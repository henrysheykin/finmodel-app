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charts/chart12.xml" ContentType="application/vnd.openxmlformats-officedocument.drawingml.chart+xml"/>
  <Override PartName="/xl/charts/chart7.xml" ContentType="application/vnd.openxmlformats-officedocument.drawingml.chart+xml"/>
  <Override PartName="/xl/charts/chart18.xml" ContentType="application/vnd.openxmlformats-officedocument.drawingml.chart+xml"/>
  <Override PartName="/xl/charts/chart17.xml" ContentType="application/vnd.openxmlformats-officedocument.drawingml.chart+xml"/>
  <Override PartName="/xl/charts/chart16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Dashboard" sheetId="2" state="visible" r:id="rId4"/>
    <sheet name="Summary" sheetId="3" state="visible" r:id="rId5"/>
    <sheet name="Scenarios" sheetId="4" state="visible" r:id="rId6"/>
    <sheet name="Break-even" sheetId="5" state="visible" r:id="rId7"/>
    <sheet name="Valuation" sheetId="6" state="visible" r:id="rId8"/>
    <sheet name="Sources &amp; Uses" sheetId="7" state="visible" r:id="rId9"/>
    <sheet name="KPIs" sheetId="8" state="visible" r:id="rId10"/>
    <sheet name="Inputs" sheetId="9" state="visible" r:id="rId11"/>
    <sheet name="P&amp;L" sheetId="10" state="visible" r:id="rId12"/>
    <sheet name="Cash Flow" sheetId="11" state="visible" r:id="rId13"/>
    <sheet name="Balance Sheet" sheetId="12" state="visible" r:id="rId14"/>
    <sheet name="Monthly" sheetId="13" state="visible" r:id="rId15"/>
    <sheet name="Headcount" sheetId="14" state="visible" r:id="rId16"/>
    <sheet name="Scenario calc" sheetId="15" state="visible" r:id="rId17"/>
    <sheet name="Checks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<sst xmlns="http://schemas.openxmlformats.org/spreadsheetml/2006/main" count="1145" uniqueCount="470">
  <si>
    <t xml:space="preserve">Fitness studio financial model (planning)</t>
  </si>
  <si>
    <t xml:space="preserve">3-year financial model · monthly detail · Low / Base / High scenarios · US dollars · Full plan</t>
  </si>
  <si>
    <t xml:space="preserve">Purpose</t>
  </si>
  <si>
    <t xml:space="preserve">Revenue and profit plan</t>
  </si>
  <si>
    <t xml:space="preserve">Active scenario</t>
  </si>
  <si>
    <t xml:space="preserve">Model checks</t>
  </si>
  <si>
    <t xml:space="preserve">Prepared</t>
  </si>
  <si>
    <t xml:space="preserve">22 October 2026</t>
  </si>
  <si>
    <t xml:space="preserve">Contents</t>
  </si>
  <si>
    <t xml:space="preserve">PRESENTATION</t>
  </si>
  <si>
    <t xml:space="preserve">Scenario switch, key numbers, core financials</t>
  </si>
  <si>
    <t xml:space="preserve">Income statement, cash flow and balance sheet — every year and any year by month</t>
  </si>
  <si>
    <t xml:space="preserve">Low / Base / High side by side: drivers, outputs, charts</t>
  </si>
  <si>
    <t xml:space="preserve">Startup costs, funding need, break-even timing and revenue</t>
  </si>
  <si>
    <t xml:space="preserve">Free cash flow, DCF (perpetual growth and exit multiple), WACC × growth sensitivity</t>
  </si>
  <si>
    <t xml:space="preserve">Funding structure, sources and uses of cash for the first months</t>
  </si>
  <si>
    <t xml:space="preserve">Financial ratios, DuPont analysis, industry metrics</t>
  </si>
  <si>
    <t xml:space="preserve">INPUTS</t>
  </si>
  <si>
    <t xml:space="preserve">Every assumption, Low / Base / High, with units and comments</t>
  </si>
  <si>
    <t xml:space="preserve">STATEMENTS</t>
  </si>
  <si>
    <t xml:space="preserve">Annual profit &amp; loss</t>
  </si>
  <si>
    <t xml:space="preserve">Annual cash flow statement</t>
  </si>
  <si>
    <t xml:space="preserve">Balance sheet at year end</t>
  </si>
  <si>
    <t xml:space="preserve">CALCULATIONS</t>
  </si>
  <si>
    <t xml:space="preserve">Month-by-month engine of the model</t>
  </si>
  <si>
    <t xml:space="preserve">Team and payroll</t>
  </si>
  <si>
    <t xml:space="preserve">Low, Base and High calculated side by side for the Scenarios sheet</t>
  </si>
  <si>
    <t xml:space="preserve">CONTROL</t>
  </si>
  <si>
    <t xml:space="preserve">Live integrity checks and the overall verdict</t>
  </si>
  <si>
    <t xml:space="preserve">How to read this file</t>
  </si>
  <si>
    <t xml:space="preserve">Input you can change — yellow cell with a blue figure (Inputs sheet and the view switches)</t>
  </si>
  <si>
    <t xml:space="preserve">Formula — calculated, do not overwrite</t>
  </si>
  <si>
    <t xml:space="preserve">Link to another sheet</t>
  </si>
  <si>
    <t xml:space="preserve">Active value the model uses (follows the scenario)</t>
  </si>
  <si>
    <t xml:space="preserve">Dashboard</t>
  </si>
  <si>
    <t xml:space="preserve">1 = Low · 2 = Base · 3 = High — every sheet follows this cell</t>
  </si>
  <si>
    <t xml:space="preserve">REVENUE · YEAR 3</t>
  </si>
  <si>
    <t xml:space="preserve">EBITDA MARGIN · YEAR 3</t>
  </si>
  <si>
    <t xml:space="preserve">NET INCOME · YEAR 3</t>
  </si>
  <si>
    <t xml:space="preserve">LOWEST CASH BALANCE</t>
  </si>
  <si>
    <t xml:space="preserve">FUNDING REQUIRED</t>
  </si>
  <si>
    <t xml:space="preserve">ENTERPRISE VALUE (DCF)</t>
  </si>
  <si>
    <t xml:space="preserve">Average of 2 methods</t>
  </si>
  <si>
    <t xml:space="preserve">Core financials ($'000) — active scenario</t>
  </si>
  <si>
    <t xml:space="preserve">Revenue</t>
  </si>
  <si>
    <t xml:space="preserve">Gross profit</t>
  </si>
  <si>
    <t xml:space="preserve">Gross margin</t>
  </si>
  <si>
    <t xml:space="preserve">Operating expenses</t>
  </si>
  <si>
    <t xml:space="preserve">EBITDA</t>
  </si>
  <si>
    <t xml:space="preserve">EBITDA margin</t>
  </si>
  <si>
    <t xml:space="preserve">Net income</t>
  </si>
  <si>
    <t xml:space="preserve">Net margin</t>
  </si>
  <si>
    <t xml:space="preserve">Operating cash flow</t>
  </si>
  <si>
    <t xml:space="preserve">Investing cash flow</t>
  </si>
  <si>
    <t xml:space="preserve">Financing cash flow</t>
  </si>
  <si>
    <t xml:space="preserve">Net change in cash</t>
  </si>
  <si>
    <t xml:space="preserve">Year-end cash</t>
  </si>
  <si>
    <t xml:space="preserve">Membership metrics</t>
  </si>
  <si>
    <t xml:space="preserve">Members (year end)</t>
  </si>
  <si>
    <t xml:space="preserve">Capacity used (year end)</t>
  </si>
  <si>
    <t xml:space="preserve">Membership fees per month (year end)</t>
  </si>
  <si>
    <t xml:space="preserve">Team (FTE, year end)</t>
  </si>
  <si>
    <t xml:space="preserve">Funding &amp; valuation ($'000) — active scenario</t>
  </si>
  <si>
    <t xml:space="preserve">Equity raised</t>
  </si>
  <si>
    <t xml:space="preserve">Loan drawn</t>
  </si>
  <si>
    <t xml:space="preserve">Funding required (incl. cash buffer)</t>
  </si>
  <si>
    <t xml:space="preserve">Funding surplus / (shortfall)</t>
  </si>
  <si>
    <t xml:space="preserve">First month with positive EBITDA</t>
  </si>
  <si>
    <t xml:space="preserve">Cash invested paid back</t>
  </si>
  <si>
    <t xml:space="preserve">Enterprise value — perpetual growth</t>
  </si>
  <si>
    <t xml:space="preserve">Enterprise value — exit multiple</t>
  </si>
  <si>
    <t xml:space="preserve">Enterprise value — average</t>
  </si>
  <si>
    <t xml:space="preserve">Financial statements summary</t>
  </si>
  <si>
    <t xml:space="preserve">Select detailed year:</t>
  </si>
  <si>
    <t xml:space="preserve">Income statement ($'000) — by year</t>
  </si>
  <si>
    <t xml:space="preserve">Cost of sales</t>
  </si>
  <si>
    <t xml:space="preserve">Total operating expenses</t>
  </si>
  <si>
    <t xml:space="preserve">Depreciation</t>
  </si>
  <si>
    <t xml:space="preserve">EBIT</t>
  </si>
  <si>
    <t xml:space="preserve">Interest</t>
  </si>
  <si>
    <t xml:space="preserve">Pre-tax income</t>
  </si>
  <si>
    <t xml:space="preserve">Income tax</t>
  </si>
  <si>
    <t xml:space="preserve">Cash flow ($'000) — by year</t>
  </si>
  <si>
    <t xml:space="preserve">Capital spending</t>
  </si>
  <si>
    <t xml:space="preserve">Loan drawdown</t>
  </si>
  <si>
    <t xml:space="preserve">Loan repayment</t>
  </si>
  <si>
    <t xml:space="preserve">Closing cash</t>
  </si>
  <si>
    <t xml:space="preserve">Balance sheet at year end ($'000)</t>
  </si>
  <si>
    <t xml:space="preserve">Cash</t>
  </si>
  <si>
    <t xml:space="preserve">Accounts receivable</t>
  </si>
  <si>
    <t xml:space="preserve">Inventory</t>
  </si>
  <si>
    <t xml:space="preserve">Net fixed assets</t>
  </si>
  <si>
    <t xml:space="preserve">Total assets</t>
  </si>
  <si>
    <t xml:space="preserve">Accounts payable</t>
  </si>
  <si>
    <t xml:space="preserve">Loan</t>
  </si>
  <si>
    <t xml:space="preserve">Total liabilities</t>
  </si>
  <si>
    <t xml:space="preserve">Paid-in capital</t>
  </si>
  <si>
    <t xml:space="preserve">Retained earnings</t>
  </si>
  <si>
    <t xml:space="preserve">Total equity</t>
  </si>
  <si>
    <t xml:space="preserve">Total liabilities &amp; equity</t>
  </si>
  <si>
    <t xml:space="preserve">Scenarios — Low / Base / High</t>
  </si>
  <si>
    <t xml:space="preserve">All three scenarios calculated side by side, live: change any input and every column updates. Active = the scenario chosen on the Dashboard.</t>
  </si>
  <si>
    <t xml:space="preserve">Key drivers</t>
  </si>
  <si>
    <t xml:space="preserve">Driver</t>
  </si>
  <si>
    <t xml:space="preserve">Low</t>
  </si>
  <si>
    <t xml:space="preserve">Base</t>
  </si>
  <si>
    <t xml:space="preserve">High</t>
  </si>
  <si>
    <t xml:space="preserve">Active</t>
  </si>
  <si>
    <t xml:space="preserve">Members at start (presale or current base) (#)</t>
  </si>
  <si>
    <t xml:space="preserve">Membership fee per month (year 1) ($)</t>
  </si>
  <si>
    <t xml:space="preserve">Members who cancel per month (%)</t>
  </si>
  <si>
    <t xml:space="preserve">Marketing budget per month (year 1) ($)</t>
  </si>
  <si>
    <t xml:space="preserve">Capacity: most members the studio can hold (#)</t>
  </si>
  <si>
    <t xml:space="preserve">Rent per month ($)</t>
  </si>
  <si>
    <t xml:space="preserve">Equity raised at start ($)</t>
  </si>
  <si>
    <t xml:space="preserve">Results by scenario ($'000)</t>
  </si>
  <si>
    <t xml:space="preserve">Output</t>
  </si>
  <si>
    <t xml:space="preserve">Revenue — final year</t>
  </si>
  <si>
    <t xml:space="preserve">Revenue — whole plan</t>
  </si>
  <si>
    <t xml:space="preserve">EBITDA — final year</t>
  </si>
  <si>
    <t xml:space="preserve">EBITDA margin — final year</t>
  </si>
  <si>
    <t xml:space="preserve">Net income — final year</t>
  </si>
  <si>
    <t xml:space="preserve">Net income — whole plan</t>
  </si>
  <si>
    <t xml:space="preserve">Cash at the end of the plan</t>
  </si>
  <si>
    <t xml:space="preserve">Lowest cash balance</t>
  </si>
  <si>
    <t xml:space="preserve">Lowest cash point (month #)</t>
  </si>
  <si>
    <t xml:space="preserve">Revenue by year ($'000)</t>
  </si>
  <si>
    <t xml:space="preserve">Scenario</t>
  </si>
  <si>
    <t xml:space="preserve">EBITDA by year ($'000)</t>
  </si>
  <si>
    <t xml:space="preserve">Net income by year ($'000)</t>
  </si>
  <si>
    <t xml:space="preserve">Cash at year end by year ($'000)</t>
  </si>
  <si>
    <t xml:space="preserve">Startup costs, funding need and break-even</t>
  </si>
  <si>
    <t xml:space="preserve">Live for the selected scenario. Periods are counted in months from the start of the plan.</t>
  </si>
  <si>
    <t xml:space="preserve">Scenario shown</t>
  </si>
  <si>
    <t xml:space="preserve">Startup costs &amp; funding need (up to the lowest cash point)</t>
  </si>
  <si>
    <t xml:space="preserve">Capital spending up to the lowest cash point</t>
  </si>
  <si>
    <t xml:space="preserve">Operating cash burn up to the lowest cash point</t>
  </si>
  <si>
    <t xml:space="preserve">Losses and working capital before the business funds itself</t>
  </si>
  <si>
    <t xml:space="preserve">Loan repayments up to the lowest cash point</t>
  </si>
  <si>
    <t xml:space="preserve">Total uses of funds</t>
  </si>
  <si>
    <t xml:space="preserve">Minimum cash buffer to keep</t>
  </si>
  <si>
    <t xml:space="preserve">Input on the Inputs sheet</t>
  </si>
  <si>
    <t xml:space="preserve">Funding required (uses + buffer)</t>
  </si>
  <si>
    <t xml:space="preserve">Total sources of funds</t>
  </si>
  <si>
    <t xml:space="preserve">Negative = raise at least this much more</t>
  </si>
  <si>
    <t xml:space="preserve">Lowest cash balance in the plan</t>
  </si>
  <si>
    <t xml:space="preserve">Equals sources minus uses</t>
  </si>
  <si>
    <t xml:space="preserve">Break-even timing</t>
  </si>
  <si>
    <t xml:space="preserve">First month with positive EBITDA (month #)</t>
  </si>
  <si>
    <t xml:space="preserve">First month with positive net income (month #)</t>
  </si>
  <si>
    <t xml:space="preserve">Cash invested paid back (month #)</t>
  </si>
  <si>
    <t xml:space="preserve">Cumulative operating + investing cash flow back to zero</t>
  </si>
  <si>
    <t xml:space="preserve">Annual break-even revenue</t>
  </si>
  <si>
    <t xml:space="preserve">Year #</t>
  </si>
  <si>
    <t xml:space="preserve">Year 1</t>
  </si>
  <si>
    <t xml:space="preserve">Year 2</t>
  </si>
  <si>
    <t xml:space="preserve">Year 3</t>
  </si>
  <si>
    <t xml:space="preserve">Gross margin (contribution)</t>
  </si>
  <si>
    <t xml:space="preserve">Operating expenses (treated as fixed)</t>
  </si>
  <si>
    <t xml:space="preserve">Break-even revenue (EBITDA = 0)</t>
  </si>
  <si>
    <t xml:space="preserve">Margin of safety (revenue above break-even)</t>
  </si>
  <si>
    <t xml:space="preserve">Simplification: cost of sales is treated as variable and operating expenses as fixed, so break-even revenue = operating expenses ÷ gross margin. In a year with zero or negative gross margin there is no break-even revenue (n/a); the chart line shows 0 there.</t>
  </si>
  <si>
    <t xml:space="preserve">Discounted cash flow valuation</t>
  </si>
  <si>
    <t xml:space="preserve">Enterprise value at the start of the plan, before the funding raised in period 1. Year-end discounting.</t>
  </si>
  <si>
    <t xml:space="preserve">Assumptions (active scenario, from the Inputs sheet)</t>
  </si>
  <si>
    <t xml:space="preserve">Discount rate (WACC)</t>
  </si>
  <si>
    <t xml:space="preserve">Terminal growth rate</t>
  </si>
  <si>
    <t xml:space="preserve">Exit multiple (EV ÷ final-year EBITDA)</t>
  </si>
  <si>
    <t xml:space="preserve">Tax rate (for the interest tax shield)</t>
  </si>
  <si>
    <t xml:space="preserve">Sensitivity step: WACC</t>
  </si>
  <si>
    <t xml:space="preserve">Sensitivity step: terminal growth</t>
  </si>
  <si>
    <t xml:space="preserve">Free cash flow by year</t>
  </si>
  <si>
    <t xml:space="preserve">Unlevered free cash flow</t>
  </si>
  <si>
    <t xml:space="preserve">Discount factor</t>
  </si>
  <si>
    <t xml:space="preserve">Present value of free cash flow</t>
  </si>
  <si>
    <t xml:space="preserve">Enterprise value</t>
  </si>
  <si>
    <t xml:space="preserve">Perpetual growth</t>
  </si>
  <si>
    <t xml:space="preserve">Exit multiple</t>
  </si>
  <si>
    <t xml:space="preserve">Present value of the plan's free cash flows</t>
  </si>
  <si>
    <t xml:space="preserve">Final-year free cash flow | final-year EBITDA</t>
  </si>
  <si>
    <t xml:space="preserve">Terminal value at the end of year 3</t>
  </si>
  <si>
    <t xml:space="preserve">Present value of the terminal value</t>
  </si>
  <si>
    <t xml:space="preserve">Terminal value share of enterprise value</t>
  </si>
  <si>
    <t xml:space="preserve">Cross-check: implied exit multiple | implied perpetual growth</t>
  </si>
  <si>
    <t xml:space="preserve">Enterprise value — average of the two methods</t>
  </si>
  <si>
    <t xml:space="preserve">Sensitivity: enterprise value (perpetual growth) by WACC and terminal growth</t>
  </si>
  <si>
    <t xml:space="preserve">WACC ↓ · terminal growth →</t>
  </si>
  <si>
    <t xml:space="preserve">Free cash flow = operating cash flow + interest × (1 − tax rate) − capital spending. Cells marked n/a: WACC not above growth.</t>
  </si>
  <si>
    <t xml:space="preserve">Sources and uses of funds</t>
  </si>
  <si>
    <t xml:space="preserve">Live for the selected scenario. Where the money comes from and where it goes in the period set below.</t>
  </si>
  <si>
    <t xml:space="preserve">Funding structure ($'000) — raised at the start of the plan</t>
  </si>
  <si>
    <t xml:space="preserve">Amount</t>
  </si>
  <si>
    <t xml:space="preserve">Share</t>
  </si>
  <si>
    <t xml:space="preserve">Equity</t>
  </si>
  <si>
    <t xml:space="preserve">Debt (loan)</t>
  </si>
  <si>
    <t xml:space="preserve">Total funding</t>
  </si>
  <si>
    <t xml:space="preserve">Gearing (debt ÷ equity)</t>
  </si>
  <si>
    <t xml:space="preserve">n/a: debt without positive equity</t>
  </si>
  <si>
    <t xml:space="preserve">Funding required by the plan (Break-even sheet)</t>
  </si>
  <si>
    <t xml:space="preserve">Period covered (months from the start)</t>
  </si>
  <si>
    <t xml:space="preserve">1 to 36 (capped)</t>
  </si>
  <si>
    <t xml:space="preserve">Months used</t>
  </si>
  <si>
    <t xml:space="preserve">Sources</t>
  </si>
  <si>
    <t xml:space="preserve">Loan drawdowns</t>
  </si>
  <si>
    <t xml:space="preserve">Cash generated by operations</t>
  </si>
  <si>
    <t xml:space="preserve">Total sources</t>
  </si>
  <si>
    <t xml:space="preserve">Uses</t>
  </si>
  <si>
    <t xml:space="preserve">Cash used by operations</t>
  </si>
  <si>
    <t xml:space="preserve">Loan repayments</t>
  </si>
  <si>
    <t xml:space="preserve">Cash at the end of the period</t>
  </si>
  <si>
    <t xml:space="preserve">Total uses</t>
  </si>
  <si>
    <t xml:space="preserve">Sources − uses (must be 0; opening cash is 0)</t>
  </si>
  <si>
    <t xml:space="preserve">KPIs &amp; ratios</t>
  </si>
  <si>
    <t xml:space="preserve">Fitness studio financial model (planning) — industry metrics and financial ratios for the active scenario</t>
  </si>
  <si>
    <t xml:space="preserve">Financial ratios</t>
  </si>
  <si>
    <t xml:space="preserve">Target</t>
  </si>
  <si>
    <t xml:space="preserve">Revenue growth</t>
  </si>
  <si>
    <t xml:space="preserve">Payroll, % of revenue</t>
  </si>
  <si>
    <t xml:space="preserve">Marketing, % of revenue</t>
  </si>
  <si>
    <t xml:space="preserve">Operating expenses, % of revenue</t>
  </si>
  <si>
    <t xml:space="preserve">Current ratio (current assets ÷ current liabilities)</t>
  </si>
  <si>
    <t xml:space="preserve">Debt ÷ equity (loan ÷ total equity)</t>
  </si>
  <si>
    <t xml:space="preserve">Return on assets (net income ÷ year-end assets)</t>
  </si>
  <si>
    <t xml:space="preserve">Return on equity (net income ÷ year-end equity)</t>
  </si>
  <si>
    <t xml:space="preserve">DuPont analysis — return on equity = net margin × asset turnover × equity multiplier</t>
  </si>
  <si>
    <t xml:space="preserve">× Asset turnover (revenue ÷ assets)</t>
  </si>
  <si>
    <t xml:space="preserve">× Equity multiplier (assets ÷ equity)</t>
  </si>
  <si>
    <t xml:space="preserve">Return on equity (product of the three)</t>
  </si>
  <si>
    <t xml:space="preserve">Check: product − return on equity (must be 0)</t>
  </si>
  <si>
    <t xml:space="preserve">Membership metrics ($'000; per-unit rows in $)</t>
  </si>
  <si>
    <t xml:space="preserve">New members in the year</t>
  </si>
  <si>
    <t xml:space="preserve">Members who cancelled in the year</t>
  </si>
  <si>
    <t xml:space="preserve">Joins lost to the capacity limit</t>
  </si>
  <si>
    <t xml:space="preserve">Capacity used (year-end members ÷ capacity)</t>
  </si>
  <si>
    <t xml:space="preserve">Membership fees per month at year end</t>
  </si>
  <si>
    <t xml:space="preserve">Membership fee per month ($)</t>
  </si>
  <si>
    <t xml:space="preserve">Membership fees</t>
  </si>
  <si>
    <t xml:space="preserve">Personal training, retail &amp; joining fees</t>
  </si>
  <si>
    <t xml:space="preserve">Marketing spend</t>
  </si>
  <si>
    <t xml:space="preserve">New members from marketing</t>
  </si>
  <si>
    <t xml:space="preserve">Marketing cost per new member ($)</t>
  </si>
  <si>
    <t xml:space="preserve">Members who cancel per month</t>
  </si>
  <si>
    <t xml:space="preserve">Member lifetime value (fee × gross margin ÷ monthly cancellations) ($)</t>
  </si>
  <si>
    <t xml:space="preserve">Revenue per square foot ($)</t>
  </si>
  <si>
    <t xml:space="preserve">Inputs — Low / Base / High</t>
  </si>
  <si>
    <t xml:space="preserve">Illustrative assumptions — replace them with your own numbers.</t>
  </si>
  <si>
    <t xml:space="preserve">Unit</t>
  </si>
  <si>
    <t xml:space="preserve">Source / comment</t>
  </si>
  <si>
    <t xml:space="preserve">Members</t>
  </si>
  <si>
    <t xml:space="preserve">Members at start (presale or current base)</t>
  </si>
  <si>
    <t xml:space="preserve">#</t>
  </si>
  <si>
    <t xml:space="preserve">Low ≤ Base ≤ High</t>
  </si>
  <si>
    <t xml:space="preserve">Capacity: most members the studio can hold</t>
  </si>
  <si>
    <t xml:space="preserve">Referral &amp; walk-in joins per month (year 1)</t>
  </si>
  <si>
    <t xml:space="preserve">Referral &amp; walk-in joins growth per year</t>
  </si>
  <si>
    <t xml:space="preserve">%</t>
  </si>
  <si>
    <t xml:space="preserve">Marketing budget per month (year 1)</t>
  </si>
  <si>
    <t xml:space="preserve">$</t>
  </si>
  <si>
    <t xml:space="preserve">Marketing budget growth per year</t>
  </si>
  <si>
    <t xml:space="preserve">Cost per lead</t>
  </si>
  <si>
    <t xml:space="preserve">Low ≥ Base ≥ High (lower is better)</t>
  </si>
  <si>
    <t xml:space="preserve">Leads that join</t>
  </si>
  <si>
    <t xml:space="preserve">Prices</t>
  </si>
  <si>
    <t xml:space="preserve">Membership fee per month (year 1)</t>
  </si>
  <si>
    <t xml:space="preserve">Price increase per year</t>
  </si>
  <si>
    <t xml:space="preserve">Joining fee per new member</t>
  </si>
  <si>
    <t xml:space="preserve">Personal training &amp; retail</t>
  </si>
  <si>
    <t xml:space="preserve">Members buying personal training</t>
  </si>
  <si>
    <t xml:space="preserve">Sessions per personal-training client per month</t>
  </si>
  <si>
    <t xml:space="preserve">Price per personal-training session</t>
  </si>
  <si>
    <t xml:space="preserve">Trainer payout, % of personal-training revenue</t>
  </si>
  <si>
    <t xml:space="preserve">Retail &amp; drinks sales per member per month</t>
  </si>
  <si>
    <t xml:space="preserve">Retail &amp; drinks cost, % of sales</t>
  </si>
  <si>
    <t xml:space="preserve">Costs</t>
  </si>
  <si>
    <t xml:space="preserve">Group classes per week</t>
  </si>
  <si>
    <t xml:space="preserve">Instructor cost per class (year 1)</t>
  </si>
  <si>
    <t xml:space="preserve">Rent per month</t>
  </si>
  <si>
    <t xml:space="preserve">Utilities per month</t>
  </si>
  <si>
    <t xml:space="preserve">Equipment maintenance &amp; cleaning per month</t>
  </si>
  <si>
    <t xml:space="preserve">Booking software &amp; payment fees, % of revenue</t>
  </si>
  <si>
    <t xml:space="preserve">Insurance &amp; other G&amp;A per month</t>
  </si>
  <si>
    <t xml:space="preserve">Studio size</t>
  </si>
  <si>
    <t xml:space="preserve">sq ft</t>
  </si>
  <si>
    <t xml:space="preserve">Fit-out &amp; equipment (month 1)</t>
  </si>
  <si>
    <t xml:space="preserve">Headcount</t>
  </si>
  <si>
    <t xml:space="preserve">Studio manager: headcount (FTE)</t>
  </si>
  <si>
    <t xml:space="preserve">FTE</t>
  </si>
  <si>
    <t xml:space="preserve">Studio manager: salary per FTE per year</t>
  </si>
  <si>
    <t xml:space="preserve">Studio manager: headcount growth per year</t>
  </si>
  <si>
    <t xml:space="preserve">Studio manager: first month on payroll</t>
  </si>
  <si>
    <t xml:space="preserve">month #</t>
  </si>
  <si>
    <t xml:space="preserve">Front desk &amp; sales: headcount (FTE)</t>
  </si>
  <si>
    <t xml:space="preserve">Front desk &amp; sales: salary per FTE per year</t>
  </si>
  <si>
    <t xml:space="preserve">Front desk &amp; sales: headcount growth per year</t>
  </si>
  <si>
    <t xml:space="preserve">Front desk &amp; sales: first month on payroll</t>
  </si>
  <si>
    <t xml:space="preserve">Payroll taxes &amp; benefits, % of salary</t>
  </si>
  <si>
    <t xml:space="preserve">Wage growth per year</t>
  </si>
  <si>
    <t xml:space="preserve">Funding</t>
  </si>
  <si>
    <t xml:space="preserve">Equity raised at start</t>
  </si>
  <si>
    <t xml:space="preserve">Loan drawn at start</t>
  </si>
  <si>
    <t xml:space="preserve">Loan interest rate per year</t>
  </si>
  <si>
    <t xml:space="preserve">Loan repayment term</t>
  </si>
  <si>
    <t xml:space="preserve">years</t>
  </si>
  <si>
    <t xml:space="preserve">Working capital</t>
  </si>
  <si>
    <t xml:space="preserve">Customer payment terms (receivable days)</t>
  </si>
  <si>
    <t xml:space="preserve">days</t>
  </si>
  <si>
    <t xml:space="preserve">Inventory held (days of COGS)</t>
  </si>
  <si>
    <t xml:space="preserve">Supplier payment terms (payable days)</t>
  </si>
  <si>
    <t xml:space="preserve">Tax &amp; depreciation</t>
  </si>
  <si>
    <t xml:space="preserve">Depreciation period for capex</t>
  </si>
  <si>
    <t xml:space="preserve">Income tax rate</t>
  </si>
  <si>
    <t xml:space="preserve">Break-even &amp; funding</t>
  </si>
  <si>
    <t xml:space="preserve">About 3 months of costs</t>
  </si>
  <si>
    <t xml:space="preserve">Valuation</t>
  </si>
  <si>
    <t xml:space="preserve">Terminal growth rate (perpetuity)</t>
  </si>
  <si>
    <t xml:space="preserve">x</t>
  </si>
  <si>
    <t xml:space="preserve">Sensitivity table: WACC step</t>
  </si>
  <si>
    <t xml:space="preserve">Sensitivity table: growth step</t>
  </si>
  <si>
    <t xml:space="preserve">Legend: yellow cell with blue figure = input you can change · black = formula · green = link to another sheet · grey = active value (column E follows the scenario on the Dashboard).</t>
  </si>
  <si>
    <t xml:space="preserve">Rolled up from the period detail (SUMIF on the year row; balances at year end).</t>
  </si>
  <si>
    <t xml:space="preserve">Staff payroll</t>
  </si>
  <si>
    <t xml:space="preserve">Marketing</t>
  </si>
  <si>
    <t xml:space="preserve">Rent</t>
  </si>
  <si>
    <t xml:space="preserve">Utilities</t>
  </si>
  <si>
    <t xml:space="preserve">Equipment maintenance &amp; cleaning</t>
  </si>
  <si>
    <t xml:space="preserve">Booking software &amp; payment fees</t>
  </si>
  <si>
    <t xml:space="preserve">Insurance &amp; other G&amp;A</t>
  </si>
  <si>
    <t xml:space="preserve">Add back depreciation</t>
  </si>
  <si>
    <t xml:space="preserve">(Increase) / decrease in receivables</t>
  </si>
  <si>
    <t xml:space="preserve">(Increase) / decrease in inventory</t>
  </si>
  <si>
    <t xml:space="preserve">Increase / (decrease) in payables</t>
  </si>
  <si>
    <t xml:space="preserve">Opening cash</t>
  </si>
  <si>
    <t xml:space="preserve">Check: assets − liabilities − equity (must be 0)</t>
  </si>
  <si>
    <t xml:space="preserve">Monthly projection</t>
  </si>
  <si>
    <t xml:space="preserve">$ unless stated; costs shown as negatives. Every period uses the same formula.</t>
  </si>
  <si>
    <t xml:space="preserve">Month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</si>
  <si>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</si>
  <si>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</si>
  <si>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</si>
  <si>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</si>
  <si>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</si>
  <si>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</si>
  <si>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</si>
  <si>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</si>
  <si>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</si>
  <si>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</si>
  <si>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</si>
  <si>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</si>
  <si>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</si>
  <si>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</si>
  <si>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</si>
  <si>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</si>
  <si>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</si>
  <si>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</si>
  <si>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</si>
  <si>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</si>
  <si>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</si>
  <si>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</si>
  <si>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</si>
  <si>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</si>
  <si>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M25</t>
  </si>
  <si>
    <t xml:space="preserve">M26</t>
  </si>
  <si>
    <t xml:space="preserve">M27</t>
  </si>
  <si>
    <t xml:space="preserve">M28</t>
  </si>
  <si>
    <t xml:space="preserve">M29</t>
  </si>
  <si>
    <t xml:space="preserve">M30</t>
  </si>
  <si>
    <t xml:space="preserve">M31</t>
  </si>
  <si>
    <t xml:space="preserve">M32</t>
  </si>
  <si>
    <t xml:space="preserve">M33</t>
  </si>
  <si>
    <t xml:space="preserve">M34</t>
  </si>
  <si>
    <t xml:space="preserve">M35</t>
  </si>
  <si>
    <t xml:space="preserve">M36</t>
  </si>
  <si>
    <t xml:space="preserve">Period #</t>
  </si>
  <si>
    <t xml:space="preserve">New members from referrals &amp; walk-ins</t>
  </si>
  <si>
    <t xml:space="preserve">New members — total</t>
  </si>
  <si>
    <t xml:space="preserve">Members — opening</t>
  </si>
  <si>
    <t xml:space="preserve">Members who cancelled</t>
  </si>
  <si>
    <t xml:space="preserve">Helper: members before the capacity limit</t>
  </si>
  <si>
    <t xml:space="preserve">Members — closing</t>
  </si>
  <si>
    <t xml:space="preserve">Members — average</t>
  </si>
  <si>
    <t xml:space="preserve">Membership fee per month</t>
  </si>
  <si>
    <t xml:space="preserve">Joining fees</t>
  </si>
  <si>
    <t xml:space="preserve">Personal training</t>
  </si>
  <si>
    <t xml:space="preserve">Retail &amp; drinks</t>
  </si>
  <si>
    <t xml:space="preserve">Group-class instructors</t>
  </si>
  <si>
    <t xml:space="preserve">Trainer payouts</t>
  </si>
  <si>
    <t xml:space="preserve">Retail &amp; drinks cost</t>
  </si>
  <si>
    <t xml:space="preserve">Profit after depreciation, interest, tax</t>
  </si>
  <si>
    <t xml:space="preserve">Interest on loan (average balance after drawdown)</t>
  </si>
  <si>
    <t xml:space="preserve">Helper: cumulative pre-tax income</t>
  </si>
  <si>
    <t xml:space="preserve">Helper: cumulative taxable income (losses carried forward)</t>
  </si>
  <si>
    <t xml:space="preserve">Fixed assets &amp; capital spending</t>
  </si>
  <si>
    <t xml:space="preserve">Capital spending (fit-out &amp; equipment)</t>
  </si>
  <si>
    <t xml:space="preserve">Fixed assets at cost</t>
  </si>
  <si>
    <t xml:space="preserve">Accumulated depreciation</t>
  </si>
  <si>
    <t xml:space="preserve">Debt</t>
  </si>
  <si>
    <t xml:space="preserve">Loan — opening balance</t>
  </si>
  <si>
    <t xml:space="preserve">Loan — closing balance</t>
  </si>
  <si>
    <t xml:space="preserve">Cash flow</t>
  </si>
  <si>
    <t xml:space="preserve">Investing cash flow (capex)</t>
  </si>
  <si>
    <t xml:space="preserve">Net cash flow</t>
  </si>
  <si>
    <t xml:space="preserve">Helper: EBITDA positive (1/0)</t>
  </si>
  <si>
    <t xml:space="preserve">Goal modules</t>
  </si>
  <si>
    <t xml:space="preserve">Helper: net income positive (1/0)</t>
  </si>
  <si>
    <t xml:space="preserve">Cash flow before financing (operating + investing)</t>
  </si>
  <si>
    <t xml:space="preserve">Cumulative cash flow before financing</t>
  </si>
  <si>
    <t xml:space="preserve">Helper: lowest cumulative cash flow so far</t>
  </si>
  <si>
    <t xml:space="preserve">Helper: investment paid back (1/0)</t>
  </si>
  <si>
    <t xml:space="preserve">Unlevered free cash flow (operating + after-tax interest − capex)</t>
  </si>
  <si>
    <t xml:space="preserve">Balance sheet</t>
  </si>
  <si>
    <t xml:space="preserve">Check: assets − liabilities − equity</t>
  </si>
  <si>
    <t xml:space="preserve">Headcount &amp; payroll</t>
  </si>
  <si>
    <t xml:space="preserve">Headcount (FTE)</t>
  </si>
  <si>
    <t xml:space="preserve">Studio manager — FTE</t>
  </si>
  <si>
    <t xml:space="preserve">Front desk &amp; sales — FTE</t>
  </si>
  <si>
    <t xml:space="preserve">Total FTE</t>
  </si>
  <si>
    <t xml:space="preserve">Payroll cost (salary + taxes &amp; benefits)</t>
  </si>
  <si>
    <t xml:space="preserve">Studio manager — payroll cost</t>
  </si>
  <si>
    <t xml:space="preserve">Front desk &amp; sales — payroll cost</t>
  </si>
  <si>
    <t xml:space="preserve">Total payroll</t>
  </si>
  <si>
    <t xml:space="preserve">Scenario calculation — Low, Base and High side by side</t>
  </si>
  <si>
    <t xml:space="preserve">The model's period calculation, copied three times; each copy reads its own Inputs column. Feeds the Scenarios sheet only.</t>
  </si>
  <si>
    <t xml:space="preserve">Low scenario — reads Inputs column B</t>
  </si>
  <si>
    <t xml:space="preserve">Base scenario — reads Inputs column C</t>
  </si>
  <si>
    <t xml:space="preserve">High scenario — reads Inputs column D</t>
  </si>
  <si>
    <t xml:space="preserve">Live formulas: they re-run every time an input changes.</t>
  </si>
  <si>
    <t xml:space="preserve">Check</t>
  </si>
  <si>
    <t xml:space="preserve">Result</t>
  </si>
  <si>
    <t xml:space="preserve">What it tests</t>
  </si>
  <si>
    <t xml:space="preserve">Annual revenue ties to period detail</t>
  </si>
  <si>
    <t xml:space="preserve">Sum of annual revenue equals the sum of every period</t>
  </si>
  <si>
    <t xml:space="preserve">Annual net income ties to period detail</t>
  </si>
  <si>
    <t xml:space="preserve">Sum of annual net income equals the sum of every period</t>
  </si>
  <si>
    <t xml:space="preserve">EBITDA reconciliation</t>
  </si>
  <si>
    <t xml:space="preserve">EBITDA = gross profit + operating expenses (costs are negative)</t>
  </si>
  <si>
    <t xml:space="preserve">Cash roll-forward</t>
  </si>
  <si>
    <t xml:space="preserve">Closing cash = all net cash flows since the start (opening cash is zero)</t>
  </si>
  <si>
    <t xml:space="preserve">Scenario selector valid</t>
  </si>
  <si>
    <t xml:space="preserve">Dashboard!B4 is 1, 2 or 3</t>
  </si>
  <si>
    <t xml:space="preserve">Scenario ordering of drivers</t>
  </si>
  <si>
    <t xml:space="preserve">Low / Base / High ordered the right way for every growth and cost driver</t>
  </si>
  <si>
    <t xml:space="preserve">Gross margin within 0–100%</t>
  </si>
  <si>
    <t xml:space="preserve">Gross margin never negative or above 100%</t>
  </si>
  <si>
    <t xml:space="preserve">Loan balance never negative</t>
  </si>
  <si>
    <t xml:space="preserve">Repayments never exceed the loan</t>
  </si>
  <si>
    <t xml:space="preserve">Funding table ties to the cash flow</t>
  </si>
  <si>
    <t xml:space="preserve">Lowest cash balance = sources of funds − uses of funds up to that point</t>
  </si>
  <si>
    <t xml:space="preserve">Valuation: discounting ties to NPV()</t>
  </si>
  <si>
    <t xml:space="preserve">Sum of discounted free cash flows equals Excel's NPV of the same flows</t>
  </si>
  <si>
    <t xml:space="preserve">Valuation: WACC above terminal growth</t>
  </si>
  <si>
    <t xml:space="preserve">The perpetual-growth formula needs WACC &gt; g</t>
  </si>
  <si>
    <t xml:space="preserve">Valuation: sensitivity centre = enterprise value</t>
  </si>
  <si>
    <t xml:space="preserve">The middle of the WACC × growth table reproduces the headline value</t>
  </si>
  <si>
    <t xml:space="preserve">Valuation: final-year cash flow positive</t>
  </si>
  <si>
    <t xml:space="preserve">Business warning: a negative final-year cash flow gives a negative terminal value (often a 1-year plan still carrying start-up spending)</t>
  </si>
  <si>
    <t xml:space="preserve">Sources &amp; uses balance</t>
  </si>
  <si>
    <t xml:space="preserve">Sources of funds = uses of funds (incl. cash at the end) for the Sources &amp; Uses period</t>
  </si>
  <si>
    <t xml:space="preserve">No error values</t>
  </si>
  <si>
    <t xml:space="preserve">No error values (divide-by-zero, broken references) on any calculation sheet</t>
  </si>
  <si>
    <t xml:space="preserve">Summary ties to statements</t>
  </si>
  <si>
    <t xml:space="preserve">Summary revenue, net income and closing cash equal the statements every year; the detailed year adds up to its annual figure</t>
  </si>
  <si>
    <t xml:space="preserve">DuPont ties to return on equity</t>
  </si>
  <si>
    <t xml:space="preserve">Net margin × asset turnover × equity multiplier equals return on equity every year; n/a = no year where both are defined (a one-sided n/a is a FAIL)</t>
  </si>
  <si>
    <t xml:space="preserve">Scenarios: Active = selected scenario</t>
  </si>
  <si>
    <t xml:space="preserve">On the Scenarios sheet the live model (Active) equals the Low / Base / High column chosen on the Dashboard for every output</t>
  </si>
  <si>
    <t xml:space="preserve">Balance sheet balances every period</t>
  </si>
  <si>
    <t xml:space="preserve">Assets = liabilities + equity in every period</t>
  </si>
  <si>
    <t xml:space="preserve">Funding sufficient (cash ≥ 0)</t>
  </si>
  <si>
    <t xml:space="preserve">Business warning, not an error: cash dips below zero in this scenario</t>
  </si>
  <si>
    <t xml:space="preserve">Overall verdict</t>
  </si>
</sst>
</file>

<file path=xl/styles.xml><?xml version="1.0" encoding="utf-8"?>
<styleSheet xmlns="http://schemas.openxmlformats.org/spreadsheetml/2006/main">
  <numFmts count="29">
    <numFmt numFmtId="164" formatCode="General"/>
    <numFmt numFmtId="165" formatCode="#,##0"/>
    <numFmt numFmtId="166" formatCode="\$#,##0.0,,\M;&quot;($&quot;#,##0.0,,&quot;M)&quot;;\-"/>
    <numFmt numFmtId="167" formatCode="0.0%;\(0.0%\);\-"/>
    <numFmt numFmtId="168" formatCode="&quot;CAGR &quot;0%;&quot;CAGR -&quot;0%;&quot;CAGR &quot;0%"/>
    <numFmt numFmtId="169" formatCode="&quot;EBITDA $&quot;#,##0.0,,\M;&quot;EBITDA -$&quot;#,##0.0,,\M;&quot;EBITDA $&quot;0.0\M"/>
    <numFmt numFmtId="170" formatCode="&quot;Net margin &quot;0%;&quot;Net margin -&quot;0%;&quot;Net margin &quot;0%"/>
    <numFmt numFmtId="171" formatCode="&quot;in month &quot;0"/>
    <numFmt numFmtId="172" formatCode="&quot;Shortfall $&quot;#,##0.0,,\M"/>
    <numFmt numFmtId="173" formatCode="&quot;Year &quot;0"/>
    <numFmt numFmtId="174" formatCode="\$#,##0,;&quot;($&quot;#,##0,\);\-"/>
    <numFmt numFmtId="175" formatCode="#,##0;\(#,##0\);\-"/>
    <numFmt numFmtId="176" formatCode="#,##0.0;\(#,##0.0\);\-"/>
    <numFmt numFmtId="177" formatCode="&quot;Month &quot;0"/>
    <numFmt numFmtId="178" formatCode="\$#,##0.0,,\M"/>
    <numFmt numFmtId="179" formatCode="0%"/>
    <numFmt numFmtId="180" formatCode="\M0"/>
    <numFmt numFmtId="181" formatCode="\$#,##0,\K"/>
    <numFmt numFmtId="182" formatCode="#,##0;\(#,##0\);\-"/>
    <numFmt numFmtId="183" formatCode="\$#,##0.00;&quot;($&quot;#,##0.00\);\-"/>
    <numFmt numFmtId="184" formatCode="0.0%;\(0.0%\);\-"/>
    <numFmt numFmtId="185" formatCode="\$#,##0;&quot;($&quot;#,##0\);\-"/>
    <numFmt numFmtId="186" formatCode="0"/>
    <numFmt numFmtId="187" formatCode="[&gt;=1000000]\$#,##0.0,,\M;[&gt;=1000]\$#,##0,\k;\$#,##0"/>
    <numFmt numFmtId="188" formatCode="0.0\x"/>
    <numFmt numFmtId="189" formatCode="0.000"/>
    <numFmt numFmtId="190" formatCode="0.0\x;\(0.0&quot;x)&quot;;\-"/>
    <numFmt numFmtId="191" formatCode="#,##0.0;\(#,##0.0\);\-"/>
    <numFmt numFmtId="192" formatCode="#,##0.0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B2A2F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9"/>
      <color rgb="FF1B2A2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0F6E56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0F6E56"/>
      <name val="Arial"/>
      <family val="0"/>
      <charset val="1"/>
    </font>
    <font>
      <sz val="9"/>
      <color rgb="FF6B7280"/>
      <name val="Arial"/>
      <family val="0"/>
      <charset val="1"/>
    </font>
    <font>
      <b val="true"/>
      <u val="single"/>
      <sz val="9"/>
      <color rgb="FF0F6E56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14"/>
      <color rgb="FF1B2A2F"/>
      <name val="Arial"/>
      <family val="0"/>
      <charset val="1"/>
    </font>
    <font>
      <u val="single"/>
      <sz val="8"/>
      <color rgb="FF0F6E56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0F6E56"/>
      <name val="Arial"/>
      <family val="0"/>
      <charset val="1"/>
    </font>
    <font>
      <i val="true"/>
      <sz val="8"/>
      <color rgb="FF6B7280"/>
      <name val="Arial"/>
      <family val="0"/>
      <charset val="1"/>
    </font>
    <font>
      <b val="true"/>
      <sz val="7"/>
      <color rgb="FF6B7280"/>
      <name val="Arial"/>
      <family val="0"/>
      <charset val="1"/>
    </font>
    <font>
      <b val="true"/>
      <sz val="18"/>
      <color rgb="FF1B2A2F"/>
      <name val="Arial"/>
      <family val="0"/>
      <charset val="1"/>
    </font>
    <font>
      <sz val="8"/>
      <color rgb="FF0F6E56"/>
      <name val="Arial"/>
      <family val="0"/>
      <charset val="1"/>
    </font>
    <font>
      <sz val="9"/>
      <color rgb="FF1B2A2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1B2A2F"/>
      <name val="Arial"/>
      <family val="2"/>
    </font>
    <font>
      <sz val="8"/>
      <color rgb="FF6B7280"/>
      <name val="Arial"/>
      <family val="2"/>
    </font>
    <font>
      <sz val="8"/>
      <color rgb="FF1B2A2F"/>
      <name val="Arial"/>
      <family val="2"/>
    </font>
    <font>
      <sz val="7"/>
      <color rgb="FFA3ABA8"/>
      <name val="Arial"/>
      <family val="0"/>
      <charset val="1"/>
    </font>
    <font>
      <i val="true"/>
      <sz val="9"/>
      <color rgb="FF008000"/>
      <name val="Arial"/>
      <family val="0"/>
      <charset val="1"/>
    </font>
    <font>
      <b val="true"/>
      <i val="true"/>
      <sz val="9"/>
      <color rgb="FF6B7280"/>
      <name val="Arial"/>
      <family val="0"/>
      <charset val="1"/>
    </font>
    <font>
      <sz val="8"/>
      <color rgb="FFFFFFFF"/>
      <name val="Arial"/>
      <family val="2"/>
    </font>
    <font>
      <sz val="8"/>
      <color rgb="FF6B72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F6E56"/>
        <bgColor rgb="FF008080"/>
      </patternFill>
    </fill>
    <fill>
      <patternFill patternType="solid">
        <fgColor rgb="FFFFF2CC"/>
        <bgColor rgb="FFFBEFCF"/>
      </patternFill>
    </fill>
    <fill>
      <patternFill patternType="solid">
        <fgColor rgb="FFF1F3EE"/>
        <bgColor rgb="FFF7F8F3"/>
      </patternFill>
    </fill>
    <fill>
      <patternFill patternType="solid">
        <fgColor rgb="FFFFE08A"/>
        <bgColor rgb="FFFBEFCF"/>
      </patternFill>
    </fill>
    <fill>
      <patternFill patternType="solid">
        <fgColor rgb="FFF7F8F3"/>
        <bgColor rgb="FFF1F3EE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CEC9"/>
      </bottom>
      <diagonal/>
    </border>
    <border diagonalUp="false" diagonalDown="false">
      <left style="thin">
        <color rgb="FFC9CEC9"/>
      </left>
      <right style="thin">
        <color rgb="FFC9CEC9"/>
      </right>
      <top style="thin">
        <color rgb="FFC9CEC9"/>
      </top>
      <bottom style="thin">
        <color rgb="FFC9CEC9"/>
      </bottom>
      <diagonal/>
    </border>
    <border diagonalUp="false" diagonalDown="false">
      <left style="medium">
        <color rgb="FF1B2A2F"/>
      </left>
      <right style="medium">
        <color rgb="FF1B2A2F"/>
      </right>
      <top style="medium">
        <color rgb="FF1B2A2F"/>
      </top>
      <bottom style="medium">
        <color rgb="FF1B2A2F"/>
      </bottom>
      <diagonal/>
    </border>
    <border diagonalUp="false" diagonalDown="false">
      <left style="thin">
        <color rgb="FFFFFFFF"/>
      </left>
      <right style="thin">
        <color rgb="FFFFFFFF"/>
      </right>
      <top style="thick">
        <color rgb="FF0F6E56"/>
      </top>
      <bottom/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  <border diagonalUp="false" diagonalDown="false">
      <left/>
      <right/>
      <top/>
      <bottom style="medium">
        <color rgb="FF1B2A2F"/>
      </bottom>
      <diagonal/>
    </border>
    <border diagonalUp="false" diagonalDown="false">
      <left/>
      <right/>
      <top style="thin">
        <color rgb="FF1B2A2F"/>
      </top>
      <bottom/>
      <diagonal/>
    </border>
    <border diagonalUp="false" diagonalDown="false">
      <left/>
      <right/>
      <top style="thin">
        <color rgb="FF1B2A2F"/>
      </top>
      <bottom style="double">
        <color rgb="FF1B2A2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2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31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0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90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1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91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1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4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4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3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3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2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1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1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8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B8322A"/>
        <sz val="9"/>
      </font>
      <fill>
        <patternFill>
          <bgColor rgb="FFF6D5D2"/>
        </patternFill>
      </fill>
    </dxf>
    <dxf>
      <font>
        <name val="Arial"/>
        <charset val="1"/>
        <family val="0"/>
        <b val="1"/>
        <color rgb="FF8A6100"/>
        <sz val="9"/>
      </font>
      <fill>
        <patternFill>
          <bgColor rgb="FFFBEFCF"/>
        </patternFill>
      </fill>
    </dxf>
    <dxf>
      <font>
        <name val="Arial"/>
        <charset val="1"/>
        <family val="0"/>
        <b val="1"/>
        <color rgb="FF0F6E56"/>
        <sz val="9"/>
      </font>
      <fill>
        <patternFill>
          <bgColor rgb="FFDCEFE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100"/>
      <rgbColor rgb="FF800080"/>
      <rgbColor rgb="FF0F6E56"/>
      <rgbColor rgb="FFC9CEC9"/>
      <rgbColor rgb="FF4F81BD"/>
      <rgbColor rgb="FFA3ABA8"/>
      <rgbColor rgb="FF993366"/>
      <rgbColor rgb="FFFFF2CC"/>
      <rgbColor rgb="FFDCEFE8"/>
      <rgbColor rgb="FF660066"/>
      <rgbColor rgb="FFFF8080"/>
      <rgbColor rgb="FF0066CC"/>
      <rgbColor rgb="FFF6D5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3EE"/>
      <rgbColor rgb="FFE3E6E1"/>
      <rgbColor rgb="FFFBEFCF"/>
      <rgbColor rgb="FF7FB5A3"/>
      <rgbColor rgb="FFF7F8F3"/>
      <rgbColor rgb="FFCC99FF"/>
      <rgbColor rgb="FFFFE08A"/>
      <rgbColor rgb="FF3366FF"/>
      <rgbColor rgb="FF33CCCC"/>
      <rgbColor rgb="FF99CC00"/>
      <rgbColor rgb="FFE0B43C"/>
      <rgbColor rgb="FFD9A21B"/>
      <rgbColor rgb="FFFF6600"/>
      <rgbColor rgb="FF6B7280"/>
      <rgbColor rgb="FF9AA3A0"/>
      <rgbColor rgb="FF003366"/>
      <rgbColor rgb="FF339966"/>
      <rgbColor rgb="FF003300"/>
      <rgbColor rgb="FF333300"/>
      <rgbColor rgb="FFB8322A"/>
      <rgbColor rgb="FF993366"/>
      <rgbColor rgb="FF333399"/>
      <rgbColor rgb="FF1B2A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Revenue &amp; EBITDA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Dashboard!$A$12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Dashboard!$B$12:$D$12</c:f>
              <c:numCache>
                <c:formatCode>\$#,##0,;"($"#,##0,\);\-</c:formatCode>
                <c:ptCount val="3"/>
                <c:pt idx="0">
                  <c:v>393075.459761719</c:v>
                </c:pt>
                <c:pt idx="1">
                  <c:v>663933.884151801</c:v>
                </c:pt>
                <c:pt idx="2">
                  <c:v>722638.4004</c:v>
                </c:pt>
              </c:numCache>
            </c:numRef>
          </c:val>
        </c:ser>
        <c:ser>
          <c:idx val="1"/>
          <c:order val="1"/>
          <c:tx>
            <c:strRef>
              <c:f>Dashboard!$A$16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Dashboard!$B$16:$D$16</c:f>
              <c:numCache>
                <c:formatCode>\$#,##0,;"($"#,##0,\);\-</c:formatCode>
                <c:ptCount val="3"/>
                <c:pt idx="0">
                  <c:v>-182978.134141062</c:v>
                </c:pt>
                <c:pt idx="1">
                  <c:v>40239.7675238735</c:v>
                </c:pt>
                <c:pt idx="2">
                  <c:v>79977.9283840001</c:v>
                </c:pt>
              </c:numCache>
            </c:numRef>
          </c:val>
        </c:ser>
        <c:gapWidth val="60"/>
        <c:overlap val="0"/>
        <c:axId val="59048954"/>
        <c:axId val="18726646"/>
      </c:barChart>
      <c:lineChart>
        <c:grouping val="standard"/>
        <c:varyColors val="0"/>
        <c:ser>
          <c:idx val="2"/>
          <c:order val="2"/>
          <c:tx>
            <c:strRef>
              <c:f>Dashboard!$A$17</c:f>
              <c:strCache>
                <c:ptCount val="1"/>
                <c:pt idx="0">
                  <c:v>EBITDA margin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Dashboard!$B$17:$D$17</c:f>
              <c:numCache>
                <c:formatCode>0.0%;\(0.0%\);\-</c:formatCode>
                <c:ptCount val="3"/>
                <c:pt idx="0">
                  <c:v>-0.465503835451804</c:v>
                </c:pt>
                <c:pt idx="1">
                  <c:v>0.0606080943967504</c:v>
                </c:pt>
                <c:pt idx="2">
                  <c:v>0.110674894026847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311517"/>
        <c:axId val="96634089"/>
      </c:lineChart>
      <c:catAx>
        <c:axId val="59048954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8726646"/>
        <c:crosses val="autoZero"/>
        <c:auto val="1"/>
        <c:lblAlgn val="ctr"/>
        <c:lblOffset val="100"/>
        <c:noMultiLvlLbl val="0"/>
      </c:catAx>
      <c:valAx>
        <c:axId val="18726646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9048954"/>
        <c:crosses val="autoZero"/>
        <c:crossBetween val="between"/>
      </c:valAx>
      <c:catAx>
        <c:axId val="5311517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6634089"/>
        <c:crosses val="autoZero"/>
        <c:auto val="1"/>
        <c:lblAlgn val="ctr"/>
        <c:lblOffset val="100"/>
        <c:noMultiLvlLbl val="0"/>
      </c:catAx>
      <c:valAx>
        <c:axId val="96634089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311517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Cash flow by activity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Dashboard!$A$20</c:f>
              <c:strCache>
                <c:ptCount val="1"/>
                <c:pt idx="0">
                  <c:v>Operating cash flow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Dashboard!$B$20:$D$20</c:f>
              <c:numCache>
                <c:formatCode>\$#,##0,;"($"#,##0,\);\-</c:formatCode>
                <c:ptCount val="3"/>
                <c:pt idx="0">
                  <c:v>-190250.259354596</c:v>
                </c:pt>
                <c:pt idx="1">
                  <c:v>31208.1522612175</c:v>
                </c:pt>
                <c:pt idx="2">
                  <c:v>72257.2090268572</c:v>
                </c:pt>
              </c:numCache>
            </c:numRef>
          </c:val>
        </c:ser>
        <c:ser>
          <c:idx val="1"/>
          <c:order val="1"/>
          <c:tx>
            <c:strRef>
              <c:f>Dashboard!$A$21</c:f>
              <c:strCache>
                <c:ptCount val="1"/>
                <c:pt idx="0">
                  <c:v>Investing cash flow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Dashboard!$B$21:$D$21</c:f>
              <c:numCache>
                <c:formatCode>\$#,##0,;"($"#,##0,\);\-</c:formatCode>
                <c:ptCount val="3"/>
                <c:pt idx="0">
                  <c:v>-250000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Dashboard!$A$22</c:f>
              <c:strCache>
                <c:ptCount val="1"/>
                <c:pt idx="0">
                  <c:v>Financing cash flow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Dashboard!$B$22:$D$22</c:f>
              <c:numCache>
                <c:formatCode>\$#,##0,;"($"#,##0,\);\-</c:formatCode>
                <c:ptCount val="3"/>
                <c:pt idx="0">
                  <c:v>460357.142857143</c:v>
                </c:pt>
                <c:pt idx="1">
                  <c:v>-21428.5714285714</c:v>
                </c:pt>
                <c:pt idx="2">
                  <c:v>-21428.5714285714</c:v>
                </c:pt>
              </c:numCache>
            </c:numRef>
          </c:val>
        </c:ser>
        <c:gapWidth val="60"/>
        <c:overlap val="0"/>
        <c:axId val="68600572"/>
        <c:axId val="81723458"/>
      </c:barChart>
      <c:catAx>
        <c:axId val="68600572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1723458"/>
        <c:crosses val="autoZero"/>
        <c:auto val="1"/>
        <c:lblAlgn val="ctr"/>
        <c:lblOffset val="100"/>
        <c:noMultiLvlLbl val="0"/>
      </c:catAx>
      <c:valAx>
        <c:axId val="81723458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860057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Year-end cash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Dashboard!$A$24</c:f>
              <c:strCache>
                <c:ptCount val="1"/>
                <c:pt idx="0">
                  <c:v>Year-end cash</c:v>
                </c:pt>
              </c:strCache>
            </c:strRef>
          </c:tx>
          <c:spPr>
            <a:solidFill>
              <a:srgbClr val="1b2a2f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800" spc="-1" strike="noStrike">
                    <a:solidFill>
                      <a:srgbClr val="1b2a2f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Dashboard!$B$24:$D$24</c:f>
              <c:numCache>
                <c:formatCode>\$#,##0,;"($"#,##0,\);\-</c:formatCode>
                <c:ptCount val="3"/>
                <c:pt idx="0">
                  <c:v>20106.8835025468</c:v>
                </c:pt>
                <c:pt idx="1">
                  <c:v>29886.4643351928</c:v>
                </c:pt>
                <c:pt idx="2">
                  <c:v>80715.1019334786</c:v>
                </c:pt>
              </c:numCache>
            </c:numRef>
          </c:val>
        </c:ser>
        <c:gapWidth val="60"/>
        <c:overlap val="0"/>
        <c:axId val="65155748"/>
        <c:axId val="81320586"/>
      </c:barChart>
      <c:catAx>
        <c:axId val="65155748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1320586"/>
        <c:crosses val="autoZero"/>
        <c:auto val="1"/>
        <c:lblAlgn val="ctr"/>
        <c:lblOffset val="100"/>
        <c:noMultiLvlLbl val="0"/>
      </c:catAx>
      <c:valAx>
        <c:axId val="81320586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515574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Members &amp; capacity used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Dashboard!$A$28</c:f>
              <c:strCache>
                <c:ptCount val="1"/>
                <c:pt idx="0">
                  <c:v>Members (year end)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Dashboard!$B$28:$D$28</c:f>
              <c:numCache>
                <c:formatCode>#,##0;\(#,##0\);\-</c:formatCode>
                <c:ptCount val="3"/>
                <c:pt idx="0">
                  <c:v>355.835858333586</c:v>
                </c:pt>
                <c:pt idx="1">
                  <c:v>450</c:v>
                </c:pt>
                <c:pt idx="2">
                  <c:v>450</c:v>
                </c:pt>
              </c:numCache>
            </c:numRef>
          </c:val>
        </c:ser>
        <c:gapWidth val="60"/>
        <c:overlap val="0"/>
        <c:axId val="36963591"/>
        <c:axId val="98476360"/>
      </c:barChart>
      <c:lineChart>
        <c:grouping val="standard"/>
        <c:varyColors val="0"/>
        <c:ser>
          <c:idx val="1"/>
          <c:order val="1"/>
          <c:tx>
            <c:strRef>
              <c:f>Dashboard!$A$29</c:f>
              <c:strCache>
                <c:ptCount val="1"/>
                <c:pt idx="0">
                  <c:v>Capacity used (year end)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Dashboard!$B$29:$D$29</c:f>
              <c:numCache>
                <c:formatCode>0.0%;\(0.0%\);\-</c:formatCode>
                <c:ptCount val="3"/>
                <c:pt idx="0">
                  <c:v>0.790746351852413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792944"/>
        <c:axId val="29601258"/>
      </c:lineChart>
      <c:catAx>
        <c:axId val="36963591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8476360"/>
        <c:crosses val="autoZero"/>
        <c:auto val="1"/>
        <c:lblAlgn val="ctr"/>
        <c:lblOffset val="100"/>
        <c:noMultiLvlLbl val="0"/>
      </c:catAx>
      <c:valAx>
        <c:axId val="98476360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6963591"/>
        <c:crosses val="autoZero"/>
        <c:crossBetween val="between"/>
      </c:valAx>
      <c:catAx>
        <c:axId val="1792944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9601258"/>
        <c:crosses val="autoZero"/>
        <c:auto val="1"/>
        <c:lblAlgn val="ctr"/>
        <c:lblOffset val="100"/>
        <c:noMultiLvlLbl val="0"/>
      </c:catAx>
      <c:valAx>
        <c:axId val="29601258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792944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Income statement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Summary!$A$7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Summary!$H$6:$S$6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Summary!$H$7:$S$7</c:f>
              <c:numCache>
                <c:formatCode>\$#,##0,;"($"#,##0,\);\-</c:formatCode>
                <c:ptCount val="12"/>
                <c:pt idx="0">
                  <c:v>18123</c:v>
                </c:pt>
                <c:pt idx="1">
                  <c:v>21349.608</c:v>
                </c:pt>
                <c:pt idx="2">
                  <c:v>24382.61952</c:v>
                </c:pt>
                <c:pt idx="3">
                  <c:v>27233.6503488</c:v>
                </c:pt>
                <c:pt idx="4">
                  <c:v>29913.619327872</c:v>
                </c:pt>
                <c:pt idx="5">
                  <c:v>32432.7901681997</c:v>
                </c:pt>
                <c:pt idx="6">
                  <c:v>34800.8107581077</c:v>
                </c:pt>
                <c:pt idx="7">
                  <c:v>37026.7501126212</c:v>
                </c:pt>
                <c:pt idx="8">
                  <c:v>39119.133105864</c:v>
                </c:pt>
                <c:pt idx="9">
                  <c:v>41085.9731195121</c:v>
                </c:pt>
                <c:pt idx="10">
                  <c:v>42934.8027323414</c:v>
                </c:pt>
                <c:pt idx="11">
                  <c:v>44672.7025684009</c:v>
                </c:pt>
              </c:numCache>
            </c:numRef>
          </c:val>
        </c:ser>
        <c:gapWidth val="60"/>
        <c:overlap val="0"/>
        <c:axId val="80459944"/>
        <c:axId val="24114144"/>
      </c:barChart>
      <c:lineChart>
        <c:grouping val="standard"/>
        <c:varyColors val="0"/>
        <c:ser>
          <c:idx val="1"/>
          <c:order val="1"/>
          <c:tx>
            <c:strRef>
              <c:f>Summary!$A$12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Summary!$H$6:$S$6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Summary!$H$12:$S$12</c:f>
              <c:numCache>
                <c:formatCode>\$#,##0,;"($"#,##0,\);\-</c:formatCode>
                <c:ptCount val="12"/>
                <c:pt idx="0">
                  <c:v>-27858.9366666667</c:v>
                </c:pt>
                <c:pt idx="1">
                  <c:v>-25078.2919866667</c:v>
                </c:pt>
                <c:pt idx="2">
                  <c:v>-22464.4859874667</c:v>
                </c:pt>
                <c:pt idx="3">
                  <c:v>-20007.5083482187</c:v>
                </c:pt>
                <c:pt idx="4">
                  <c:v>-17697.9493673256</c:v>
                </c:pt>
                <c:pt idx="5">
                  <c:v>-15526.963925286</c:v>
                </c:pt>
                <c:pt idx="6">
                  <c:v>-13486.2376097689</c:v>
                </c:pt>
                <c:pt idx="7">
                  <c:v>-11567.9548731827</c:v>
                </c:pt>
                <c:pt idx="8">
                  <c:v>-9764.76910079178</c:v>
                </c:pt>
                <c:pt idx="9">
                  <c:v>-8069.77447474427</c:v>
                </c:pt>
                <c:pt idx="10">
                  <c:v>-6476.47952625962</c:v>
                </c:pt>
                <c:pt idx="11">
                  <c:v>-4978.78227468404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Summary!$A$19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Summary!$H$6:$S$6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Summary!$H$19:$S$19</c:f>
              <c:numCache>
                <c:formatCode>\$#,##0,;"($"#,##0,\);\-</c:formatCode>
                <c:ptCount val="12"/>
                <c:pt idx="0">
                  <c:v>-31835.1271428571</c:v>
                </c:pt>
                <c:pt idx="1">
                  <c:v>-29048.5300819048</c:v>
                </c:pt>
                <c:pt idx="2">
                  <c:v>-26422.8193208</c:v>
                </c:pt>
                <c:pt idx="3">
                  <c:v>-23953.9369196472</c:v>
                </c:pt>
                <c:pt idx="4">
                  <c:v>-21632.4731768494</c:v>
                </c:pt>
                <c:pt idx="5">
                  <c:v>-19449.5829729051</c:v>
                </c:pt>
                <c:pt idx="6">
                  <c:v>-17396.9518954832</c:v>
                </c:pt>
                <c:pt idx="7">
                  <c:v>-15466.7643969923</c:v>
                </c:pt>
                <c:pt idx="8">
                  <c:v>-13651.6738626965</c:v>
                </c:pt>
                <c:pt idx="9">
                  <c:v>-11944.7744747443</c:v>
                </c:pt>
                <c:pt idx="10">
                  <c:v>-10339.5747643549</c:v>
                </c:pt>
                <c:pt idx="11">
                  <c:v>-8829.97275087452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0459944"/>
        <c:axId val="24114144"/>
      </c:lineChart>
      <c:catAx>
        <c:axId val="80459944"/>
        <c:scaling>
          <c:orientation val="minMax"/>
        </c:scaling>
        <c:delete val="0"/>
        <c:axPos val="b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4114144"/>
        <c:crosses val="autoZero"/>
        <c:auto val="1"/>
        <c:lblAlgn val="ctr"/>
        <c:lblOffset val="100"/>
        <c:noMultiLvlLbl val="0"/>
      </c:catAx>
      <c:valAx>
        <c:axId val="24114144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045994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Cash flow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Summary!$A$24</c:f>
              <c:strCache>
                <c:ptCount val="1"/>
                <c:pt idx="0">
                  <c:v>Operating cash flow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Summary!$H$24:$S$24</c:f>
              <c:numCache>
                <c:formatCode>\$#,##0,;"($"#,##0,\);\-</c:formatCode>
                <c:ptCount val="12"/>
                <c:pt idx="0">
                  <c:v>-25720.4866666667</c:v>
                </c:pt>
                <c:pt idx="1">
                  <c:v>-25966.7066057143</c:v>
                </c:pt>
                <c:pt idx="2">
                  <c:v>-23347.3338246095</c:v>
                </c:pt>
                <c:pt idx="3">
                  <c:v>-20884.4091246568</c:v>
                </c:pt>
                <c:pt idx="4">
                  <c:v>-18568.5456209869</c:v>
                </c:pt>
                <c:pt idx="5">
                  <c:v>-16390.9196418229</c:v>
                </c:pt>
                <c:pt idx="6">
                  <c:v>-14343.2369356945</c:v>
                </c:pt>
                <c:pt idx="7">
                  <c:v>-12417.7009062195</c:v>
                </c:pt>
                <c:pt idx="8">
                  <c:v>-10606.9827527987</c:v>
                </c:pt>
                <c:pt idx="9">
                  <c:v>-8904.19340286889</c:v>
                </c:pt>
                <c:pt idx="10">
                  <c:v>-7302.85712822056</c:v>
                </c:pt>
                <c:pt idx="11">
                  <c:v>-5796.88674433685</c:v>
                </c:pt>
              </c:numCache>
            </c:numRef>
          </c:val>
        </c:ser>
        <c:ser>
          <c:idx val="1"/>
          <c:order val="1"/>
          <c:tx>
            <c:strRef>
              <c:f>Summary!$A$25</c:f>
              <c:strCache>
                <c:ptCount val="1"/>
                <c:pt idx="0">
                  <c:v>Capital spending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Summary!$H$25:$S$25</c:f>
              <c:numCache>
                <c:formatCode>\$#,##0,;"($"#,##0,\);\-</c:formatCode>
                <c:ptCount val="12"/>
                <c:pt idx="0">
                  <c:v>-250000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</c:numCache>
            </c:numRef>
          </c:val>
        </c:ser>
        <c:ser>
          <c:idx val="2"/>
          <c:order val="2"/>
          <c:tx>
            <c:strRef>
              <c:f>Summary!$A$29</c:f>
              <c:strCache>
                <c:ptCount val="1"/>
                <c:pt idx="0">
                  <c:v>Financing cash flow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Summary!$H$29:$S$29</c:f>
              <c:numCache>
                <c:formatCode>\$#,##0,;"($"#,##0,\);\-</c:formatCode>
                <c:ptCount val="12"/>
                <c:pt idx="0">
                  <c:v>480000</c:v>
                </c:pt>
                <c:pt idx="1">
                  <c:v>-1785.71428571429</c:v>
                </c:pt>
                <c:pt idx="2">
                  <c:v>-1785.71428571429</c:v>
                </c:pt>
                <c:pt idx="3">
                  <c:v>-1785.71428571429</c:v>
                </c:pt>
                <c:pt idx="4">
                  <c:v>-1785.71428571429</c:v>
                </c:pt>
                <c:pt idx="5">
                  <c:v>-1785.71428571429</c:v>
                </c:pt>
                <c:pt idx="6">
                  <c:v>-1785.71428571429</c:v>
                </c:pt>
                <c:pt idx="7">
                  <c:v>-1785.71428571429</c:v>
                </c:pt>
                <c:pt idx="8">
                  <c:v>-1785.71428571429</c:v>
                </c:pt>
                <c:pt idx="9">
                  <c:v>-1785.71428571429</c:v>
                </c:pt>
                <c:pt idx="10">
                  <c:v>-1785.71428571429</c:v>
                </c:pt>
                <c:pt idx="11">
                  <c:v>-1785.71428571429</c:v>
                </c:pt>
              </c:numCache>
            </c:numRef>
          </c:val>
        </c:ser>
        <c:gapWidth val="60"/>
        <c:overlap val="0"/>
        <c:axId val="52664638"/>
        <c:axId val="43964104"/>
      </c:barChart>
      <c:lineChart>
        <c:grouping val="standard"/>
        <c:varyColors val="0"/>
        <c:ser>
          <c:idx val="3"/>
          <c:order val="3"/>
          <c:tx>
            <c:strRef>
              <c:f>Summary!$A$31</c:f>
              <c:strCache>
                <c:ptCount val="1"/>
                <c:pt idx="0">
                  <c:v>Closing cash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Summary!$H$31:$S$31</c:f>
              <c:numCache>
                <c:formatCode>\$#,##0,;"($"#,##0,\);\-</c:formatCode>
                <c:ptCount val="12"/>
                <c:pt idx="0">
                  <c:v>204279.513333333</c:v>
                </c:pt>
                <c:pt idx="1">
                  <c:v>176527.092441905</c:v>
                </c:pt>
                <c:pt idx="2">
                  <c:v>151394.044331581</c:v>
                </c:pt>
                <c:pt idx="3">
                  <c:v>128723.92092121</c:v>
                </c:pt>
                <c:pt idx="4">
                  <c:v>108369.661014509</c:v>
                </c:pt>
                <c:pt idx="5">
                  <c:v>90193.0270869715</c:v>
                </c:pt>
                <c:pt idx="6">
                  <c:v>74064.0758655627</c:v>
                </c:pt>
                <c:pt idx="7">
                  <c:v>59860.6606736289</c:v>
                </c:pt>
                <c:pt idx="8">
                  <c:v>47467.9636351159</c:v>
                </c:pt>
                <c:pt idx="9">
                  <c:v>36778.0559465327</c:v>
                </c:pt>
                <c:pt idx="10">
                  <c:v>27689.4845325979</c:v>
                </c:pt>
                <c:pt idx="11">
                  <c:v>20106.8835025468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666422"/>
        <c:axId val="66519736"/>
      </c:lineChart>
      <c:catAx>
        <c:axId val="52664638"/>
        <c:scaling>
          <c:orientation val="minMax"/>
        </c:scaling>
        <c:delete val="0"/>
        <c:axPos val="b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3964104"/>
        <c:crosses val="autoZero"/>
        <c:auto val="1"/>
        <c:lblAlgn val="ctr"/>
        <c:lblOffset val="100"/>
        <c:noMultiLvlLbl val="0"/>
      </c:catAx>
      <c:valAx>
        <c:axId val="43964104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2664638"/>
        <c:crosses val="autoZero"/>
        <c:crossBetween val="between"/>
      </c:valAx>
      <c:catAx>
        <c:axId val="4666422"/>
        <c:scaling>
          <c:orientation val="minMax"/>
        </c:scaling>
        <c:delete val="0"/>
        <c:axPos val="t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6519736"/>
        <c:crosses val="autoZero"/>
        <c:auto val="1"/>
        <c:lblAlgn val="ctr"/>
        <c:lblOffset val="100"/>
        <c:noMultiLvlLbl val="0"/>
      </c:catAx>
      <c:valAx>
        <c:axId val="66519736"/>
        <c:scaling>
          <c:orientation val="minMax"/>
        </c:scaling>
        <c:delete val="0"/>
        <c:axPos val="r"/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666422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Assets and equity at month 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Summary!$A$41</c:f>
              <c:strCache>
                <c:ptCount val="1"/>
                <c:pt idx="0">
                  <c:v>Cash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Summary!$H$41:$S$41</c:f>
              <c:numCache>
                <c:formatCode>\$#,##0,;"($"#,##0,\);\-</c:formatCode>
                <c:ptCount val="12"/>
                <c:pt idx="0">
                  <c:v>204279.513333333</c:v>
                </c:pt>
                <c:pt idx="1">
                  <c:v>176527.092441905</c:v>
                </c:pt>
                <c:pt idx="2">
                  <c:v>151394.044331581</c:v>
                </c:pt>
                <c:pt idx="3">
                  <c:v>128723.92092121</c:v>
                </c:pt>
                <c:pt idx="4">
                  <c:v>108369.661014509</c:v>
                </c:pt>
                <c:pt idx="5">
                  <c:v>90193.0270869715</c:v>
                </c:pt>
                <c:pt idx="6">
                  <c:v>74064.0758655627</c:v>
                </c:pt>
                <c:pt idx="7">
                  <c:v>59860.6606736289</c:v>
                </c:pt>
                <c:pt idx="8">
                  <c:v>47467.9636351159</c:v>
                </c:pt>
                <c:pt idx="9">
                  <c:v>36778.0559465327</c:v>
                </c:pt>
                <c:pt idx="10">
                  <c:v>27689.4845325979</c:v>
                </c:pt>
                <c:pt idx="11">
                  <c:v>20106.8835025468</c:v>
                </c:pt>
              </c:numCache>
            </c:numRef>
          </c:val>
        </c:ser>
        <c:ser>
          <c:idx val="1"/>
          <c:order val="1"/>
          <c:tx>
            <c:strRef>
              <c:f>Summary!$A$42</c:f>
              <c:strCache>
                <c:ptCount val="1"/>
                <c:pt idx="0">
                  <c:v>Accounts receivable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Summary!$H$42:$S$42</c:f>
              <c:numCache>
                <c:formatCode>\$#,##0,;"($"#,##0,\);\-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Summary!$A$44</c:f>
              <c:strCache>
                <c:ptCount val="1"/>
                <c:pt idx="0">
                  <c:v>Net fixed assets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Summary!$H$44:$S$44</c:f>
              <c:numCache>
                <c:formatCode>\$#,##0,;"($"#,##0,\);\-</c:formatCode>
                <c:ptCount val="12"/>
                <c:pt idx="0">
                  <c:v>247023.80952381</c:v>
                </c:pt>
                <c:pt idx="1">
                  <c:v>244047.619047619</c:v>
                </c:pt>
                <c:pt idx="2">
                  <c:v>241071.428571429</c:v>
                </c:pt>
                <c:pt idx="3">
                  <c:v>238095.238095238</c:v>
                </c:pt>
                <c:pt idx="4">
                  <c:v>235119.047619048</c:v>
                </c:pt>
                <c:pt idx="5">
                  <c:v>232142.857142857</c:v>
                </c:pt>
                <c:pt idx="6">
                  <c:v>229166.666666667</c:v>
                </c:pt>
                <c:pt idx="7">
                  <c:v>226190.476190476</c:v>
                </c:pt>
                <c:pt idx="8">
                  <c:v>223214.285714286</c:v>
                </c:pt>
                <c:pt idx="9">
                  <c:v>220238.095238095</c:v>
                </c:pt>
                <c:pt idx="10">
                  <c:v>217261.904761905</c:v>
                </c:pt>
                <c:pt idx="11">
                  <c:v>214285.714285714</c:v>
                </c:pt>
              </c:numCache>
            </c:numRef>
          </c:val>
        </c:ser>
        <c:gapWidth val="60"/>
        <c:overlap val="100"/>
        <c:axId val="3696244"/>
        <c:axId val="6842918"/>
      </c:barChart>
      <c:lineChart>
        <c:grouping val="stacked"/>
        <c:varyColors val="0"/>
        <c:ser>
          <c:idx val="3"/>
          <c:order val="3"/>
          <c:tx>
            <c:strRef>
              <c:f>Summary!$A$51</c:f>
              <c:strCache>
                <c:ptCount val="1"/>
                <c:pt idx="0">
                  <c:v>Total equity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Summary!$H$51:$S$51</c:f>
              <c:numCache>
                <c:formatCode>\$#,##0,;"($"#,##0,\);\-</c:formatCode>
                <c:ptCount val="12"/>
                <c:pt idx="0">
                  <c:v>298164.872857143</c:v>
                </c:pt>
                <c:pt idx="1">
                  <c:v>269116.342775238</c:v>
                </c:pt>
                <c:pt idx="2">
                  <c:v>242693.523454438</c:v>
                </c:pt>
                <c:pt idx="3">
                  <c:v>218739.586534791</c:v>
                </c:pt>
                <c:pt idx="4">
                  <c:v>197107.113357941</c:v>
                </c:pt>
                <c:pt idx="5">
                  <c:v>177657.530385036</c:v>
                </c:pt>
                <c:pt idx="6">
                  <c:v>160260.578489553</c:v>
                </c:pt>
                <c:pt idx="7">
                  <c:v>144793.814092561</c:v>
                </c:pt>
                <c:pt idx="8">
                  <c:v>131142.140229864</c:v>
                </c:pt>
                <c:pt idx="9">
                  <c:v>119197.36575512</c:v>
                </c:pt>
                <c:pt idx="10">
                  <c:v>108857.790990765</c:v>
                </c:pt>
                <c:pt idx="11">
                  <c:v>100027.818239891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696244"/>
        <c:axId val="6842918"/>
      </c:lineChart>
      <c:catAx>
        <c:axId val="3696244"/>
        <c:scaling>
          <c:orientation val="minMax"/>
        </c:scaling>
        <c:delete val="0"/>
        <c:axPos val="b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842918"/>
        <c:crosses val="autoZero"/>
        <c:auto val="1"/>
        <c:lblAlgn val="ctr"/>
        <c:lblOffset val="100"/>
        <c:noMultiLvlLbl val="0"/>
      </c:catAx>
      <c:valAx>
        <c:axId val="6842918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69624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Scenarios!$A$30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Scenarios!$B$29:$D$29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Scenarios!$B$30:$D$30</c:f>
              <c:numCache>
                <c:formatCode>\$#,##0,;"($"#,##0,\);\-</c:formatCode>
                <c:ptCount val="3"/>
                <c:pt idx="0">
                  <c:v>256826.283636468</c:v>
                </c:pt>
                <c:pt idx="1">
                  <c:v>428874.847276435</c:v>
                </c:pt>
                <c:pt idx="2">
                  <c:v>515887.224687268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Scenarios!$A$31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Scenarios!$B$29:$D$29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Scenarios!$B$31:$D$31</c:f>
              <c:numCache>
                <c:formatCode>\$#,##0,;"($"#,##0,\);\-</c:formatCode>
                <c:ptCount val="3"/>
                <c:pt idx="0">
                  <c:v>393075.459761719</c:v>
                </c:pt>
                <c:pt idx="1">
                  <c:v>663933.884151801</c:v>
                </c:pt>
                <c:pt idx="2">
                  <c:v>722638.4004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Scenarios!$A$32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Scenarios!$B$29:$D$29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Scenarios!$B$32:$D$32</c:f>
              <c:numCache>
                <c:formatCode>\$#,##0,;"($"#,##0,\);\-</c:formatCode>
                <c:ptCount val="3"/>
                <c:pt idx="0">
                  <c:v>570691.314870603</c:v>
                </c:pt>
                <c:pt idx="1">
                  <c:v>791013.6</c:v>
                </c:pt>
                <c:pt idx="2">
                  <c:v>822654.144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5211575"/>
        <c:axId val="23268426"/>
      </c:lineChart>
      <c:catAx>
        <c:axId val="35211575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3268426"/>
        <c:crosses val="autoZero"/>
        <c:auto val="1"/>
        <c:lblAlgn val="ctr"/>
        <c:lblOffset val="100"/>
        <c:noMultiLvlLbl val="0"/>
      </c:catAx>
      <c:valAx>
        <c:axId val="23268426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521157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EBITDA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Scenarios!$A$36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Scenarios!$B$35:$D$35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Scenarios!$B$36:$D$36</c:f>
              <c:numCache>
                <c:formatCode>\$#,##0,;"($"#,##0,\);\-</c:formatCode>
                <c:ptCount val="3"/>
                <c:pt idx="0">
                  <c:v>-312506.712101353</c:v>
                </c:pt>
                <c:pt idx="1">
                  <c:v>-173170.870210041</c:v>
                </c:pt>
                <c:pt idx="2">
                  <c:v>-106913.551926102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Scenarios!$A$37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Scenarios!$B$35:$D$35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Scenarios!$B$37:$D$37</c:f>
              <c:numCache>
                <c:formatCode>\$#,##0,;"($"#,##0,\);\-</c:formatCode>
                <c:ptCount val="3"/>
                <c:pt idx="0">
                  <c:v>-182978.134141062</c:v>
                </c:pt>
                <c:pt idx="1">
                  <c:v>40239.7675238735</c:v>
                </c:pt>
                <c:pt idx="2">
                  <c:v>79977.9283840001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Scenarios!$A$38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Scenarios!$B$35:$D$35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Scenarios!$B$38:$D$38</c:f>
              <c:numCache>
                <c:formatCode>\$#,##0,;"($"#,##0,\);\-</c:formatCode>
                <c:ptCount val="3"/>
                <c:pt idx="0">
                  <c:v>-14886.379575414</c:v>
                </c:pt>
                <c:pt idx="1">
                  <c:v>163449.444</c:v>
                </c:pt>
                <c:pt idx="2">
                  <c:v>178027.21176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1757624"/>
        <c:axId val="5518741"/>
      </c:lineChart>
      <c:catAx>
        <c:axId val="21757624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518741"/>
        <c:crosses val="autoZero"/>
        <c:auto val="1"/>
        <c:lblAlgn val="ctr"/>
        <c:lblOffset val="100"/>
        <c:noMultiLvlLbl val="0"/>
      </c:catAx>
      <c:valAx>
        <c:axId val="5518741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175762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Net income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Scenarios!$A$42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Scenarios!$B$41:$D$41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Scenarios!$B$42:$D$42</c:f>
              <c:numCache>
                <c:formatCode>\$#,##0,;"($"#,##0,\);\-</c:formatCode>
                <c:ptCount val="3"/>
                <c:pt idx="0">
                  <c:v>-359500.7597204</c:v>
                </c:pt>
                <c:pt idx="1">
                  <c:v>-218456.584495756</c:v>
                </c:pt>
                <c:pt idx="2">
                  <c:v>-150484.980497531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Scenarios!$A$43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Scenarios!$B$41:$D$41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Scenarios!$B$43:$D$43</c:f>
              <c:numCache>
                <c:formatCode>\$#,##0,;"($"#,##0,\);\-</c:formatCode>
                <c:ptCount val="3"/>
                <c:pt idx="0">
                  <c:v>-229972.181760109</c:v>
                </c:pt>
                <c:pt idx="1">
                  <c:v>-5045.9467618408</c:v>
                </c:pt>
                <c:pt idx="2">
                  <c:v>36406.4998125715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Scenarios!$A$44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Scenarios!$B$41:$D$41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Scenarios!$B$44:$D$44</c:f>
              <c:numCache>
                <c:formatCode>\$#,##0,;"($"#,##0,\);\-</c:formatCode>
                <c:ptCount val="3"/>
                <c:pt idx="0">
                  <c:v>-61880.4271944616</c:v>
                </c:pt>
                <c:pt idx="1">
                  <c:v>106344.236185123</c:v>
                </c:pt>
                <c:pt idx="2">
                  <c:v>106220.068718972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0467761"/>
        <c:axId val="95571832"/>
      </c:lineChart>
      <c:catAx>
        <c:axId val="40467761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5571832"/>
        <c:crosses val="autoZero"/>
        <c:auto val="1"/>
        <c:lblAlgn val="ctr"/>
        <c:lblOffset val="100"/>
        <c:noMultiLvlLbl val="0"/>
      </c:catAx>
      <c:valAx>
        <c:axId val="95571832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046776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Cash at year 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Scenarios!$A$48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Scenarios!$B$47:$D$47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Scenarios!$B$48:$D$48</c:f>
              <c:numCache>
                <c:formatCode>\$#,##0,;"($"#,##0,\);\-</c:formatCode>
                <c:ptCount val="3"/>
                <c:pt idx="0">
                  <c:v>-109620.335263531</c:v>
                </c:pt>
                <c:pt idx="1">
                  <c:v>-313379.122727699</c:v>
                </c:pt>
                <c:pt idx="2">
                  <c:v>-449313.788992151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Scenarios!$A$49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Scenarios!$B$47:$D$47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Scenarios!$B$49:$D$49</c:f>
              <c:numCache>
                <c:formatCode>\$#,##0,;"($"#,##0,\);\-</c:formatCode>
                <c:ptCount val="3"/>
                <c:pt idx="0">
                  <c:v>20106.8835025468</c:v>
                </c:pt>
                <c:pt idx="1">
                  <c:v>29886.4643351928</c:v>
                </c:pt>
                <c:pt idx="2">
                  <c:v>80715.1019334786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Scenarios!$A$50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Scenarios!$B$47:$D$47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Scenarios!$B$50:$D$50</c:f>
              <c:numCache>
                <c:formatCode>\$#,##0,;"($"#,##0,\);\-</c:formatCode>
                <c:ptCount val="3"/>
                <c:pt idx="0">
                  <c:v>188486.612488078</c:v>
                </c:pt>
                <c:pt idx="1">
                  <c:v>309265.276292248</c:v>
                </c:pt>
                <c:pt idx="2">
                  <c:v>429925.027830267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57741"/>
        <c:axId val="25525415"/>
      </c:lineChart>
      <c:catAx>
        <c:axId val="657741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5525415"/>
        <c:crosses val="autoZero"/>
        <c:auto val="1"/>
        <c:lblAlgn val="ctr"/>
        <c:lblOffset val="100"/>
        <c:noMultiLvlLbl val="0"/>
      </c:catAx>
      <c:valAx>
        <c:axId val="25525415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5774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Revenue vs break-even revenue (EBITDA = 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'Break-even'!$A$28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'Break-even'!$B$26:$D$26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'Break-even'!$B$28:$D$28</c:f>
              <c:numCache>
                <c:formatCode>\$#,##0;"($"#,##0\);\-</c:formatCode>
                <c:ptCount val="3"/>
                <c:pt idx="0">
                  <c:v>393075.459761719</c:v>
                </c:pt>
                <c:pt idx="1">
                  <c:v>663933.884151801</c:v>
                </c:pt>
                <c:pt idx="2">
                  <c:v>722638.4004</c:v>
                </c:pt>
              </c:numCache>
            </c:numRef>
          </c:val>
        </c:ser>
        <c:gapWidth val="60"/>
        <c:overlap val="0"/>
        <c:axId val="53580619"/>
        <c:axId val="58881180"/>
      </c:barChart>
      <c:lineChart>
        <c:grouping val="standard"/>
        <c:varyColors val="0"/>
        <c:ser>
          <c:idx val="1"/>
          <c:order val="1"/>
          <c:tx>
            <c:strRef>
              <c:f>'Break-even'!$A$32</c:f>
              <c:strCache>
                <c:ptCount val="1"/>
                <c:pt idx="0">
                  <c:v>Break-even revenue (EBITDA = 0)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'Break-even'!$B$26:$D$26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'Break-even'!$B$32:$D$32</c:f>
              <c:numCache>
                <c:formatCode>\$#,##0;"($"#,##0\);\-</c:formatCode>
                <c:ptCount val="3"/>
                <c:pt idx="0">
                  <c:v>666712.949071163</c:v>
                </c:pt>
                <c:pt idx="1">
                  <c:v>610954.312011652</c:v>
                </c:pt>
                <c:pt idx="2">
                  <c:v>618318.644233334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3580619"/>
        <c:axId val="58881180"/>
      </c:lineChart>
      <c:catAx>
        <c:axId val="53580619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8881180"/>
        <c:crosses val="autoZero"/>
        <c:auto val="1"/>
        <c:lblAlgn val="ctr"/>
        <c:lblOffset val="100"/>
        <c:noMultiLvlLbl val="0"/>
      </c:catAx>
      <c:valAx>
        <c:axId val="58881180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[&gt;=1000000]\$#,##0.0,,\M;[&gt;=1000]\$#,##0,\k;\$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358061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Funding structure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"Funding"</c:f>
              <c:strCache>
                <c:ptCount val="1"/>
                <c:pt idx="0">
                  <c:v>Funding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f6e5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7fb5a3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8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8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800" spc="-1" strike="noStrike">
                    <a:solidFill>
                      <a:srgbClr val="ffffff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'Sources &amp; Uses'!$A$7:$A$8</c:f>
              <c:strCache>
                <c:ptCount val="2"/>
                <c:pt idx="0">
                  <c:v>Equity</c:v>
                </c:pt>
                <c:pt idx="1">
                  <c:v>Debt (loan)</c:v>
                </c:pt>
              </c:strCache>
            </c:strRef>
          </c:cat>
          <c:val>
            <c:numRef>
              <c:f>'Sources &amp; Uses'!$B$7:$B$8</c:f>
              <c:numCache>
                <c:formatCode>\$#,##0,;"($"#,##0,\);\-</c:formatCode>
                <c:ptCount val="2"/>
                <c:pt idx="0">
                  <c:v>330000</c:v>
                </c:pt>
                <c:pt idx="1">
                  <c:v>150000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Uses of funds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"Uses"</c:f>
              <c:strCache>
                <c:ptCount val="1"/>
                <c:pt idx="0">
                  <c:v>Uses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800" spc="-1" strike="noStrike">
                    <a:solidFill>
                      <a:srgbClr val="1b2a2f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'Sources &amp; Uses'!$A$24:$A$27</c:f>
              <c:strCache>
                <c:ptCount val="4"/>
                <c:pt idx="0">
                  <c:v>Cash used by operations</c:v>
                </c:pt>
                <c:pt idx="1">
                  <c:v>Capital spending</c:v>
                </c:pt>
                <c:pt idx="2">
                  <c:v>Loan repayments</c:v>
                </c:pt>
                <c:pt idx="3">
                  <c:v>Cash at the end of the period</c:v>
                </c:pt>
              </c:strCache>
            </c:strRef>
          </c:cat>
          <c:val>
            <c:numRef>
              <c:f>'Sources &amp; Uses'!$B$24:$B$27</c:f>
              <c:numCache>
                <c:formatCode>\$#,##0,;"($"#,##0,\);\-</c:formatCode>
                <c:ptCount val="4"/>
                <c:pt idx="0">
                  <c:v>190250.259354596</c:v>
                </c:pt>
                <c:pt idx="1">
                  <c:v>250000</c:v>
                </c:pt>
                <c:pt idx="2">
                  <c:v>19642.8571428571</c:v>
                </c:pt>
                <c:pt idx="3">
                  <c:v>20106.8835025468</c:v>
                </c:pt>
              </c:numCache>
            </c:numRef>
          </c:val>
        </c:ser>
        <c:gapWidth val="60"/>
        <c:overlap val="0"/>
        <c:axId val="150424"/>
        <c:axId val="51218637"/>
      </c:barChart>
      <c:catAx>
        <c:axId val="15042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1218637"/>
        <c:crosses val="autoZero"/>
        <c:auto val="1"/>
        <c:lblAlgn val="ctr"/>
        <c:lblOffset val="100"/>
        <c:noMultiLvlLbl val="0"/>
      </c:catAx>
      <c:valAx>
        <c:axId val="51218637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50424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Margins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KPIs!$A$7</c:f>
              <c:strCache>
                <c:ptCount val="1"/>
                <c:pt idx="0">
                  <c:v>Gross margin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KPIs!$B$7:$D$7</c:f>
              <c:numCache>
                <c:formatCode>0.0%;\(0.0%\);\-</c:formatCode>
                <c:ptCount val="3"/>
                <c:pt idx="0">
                  <c:v>0.668688104845678</c:v>
                </c:pt>
                <c:pt idx="1">
                  <c:v>0.759533644730577</c:v>
                </c:pt>
                <c:pt idx="2">
                  <c:v>0.766661381533746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KPIs!$A$8</c:f>
              <c:strCache>
                <c:ptCount val="1"/>
                <c:pt idx="0">
                  <c:v>EBITDA margin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KPIs!$B$8:$D$8</c:f>
              <c:numCache>
                <c:formatCode>0.0%;\(0.0%\);\-</c:formatCode>
                <c:ptCount val="3"/>
                <c:pt idx="0">
                  <c:v>-0.465503835451804</c:v>
                </c:pt>
                <c:pt idx="1">
                  <c:v>0.0606080943967504</c:v>
                </c:pt>
                <c:pt idx="2">
                  <c:v>0.110674894026847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KPIs!$A$9</c:f>
              <c:strCache>
                <c:ptCount val="1"/>
                <c:pt idx="0">
                  <c:v>Net margin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KPIs!$B$9:$D$9</c:f>
              <c:numCache>
                <c:formatCode>0.0%;\(0.0%\);\-</c:formatCode>
                <c:ptCount val="3"/>
                <c:pt idx="0">
                  <c:v>-0.585058609101463</c:v>
                </c:pt>
                <c:pt idx="1">
                  <c:v>-0.00760007416745596</c:v>
                </c:pt>
                <c:pt idx="2">
                  <c:v>0.0503799684495309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6795865"/>
        <c:axId val="95124837"/>
      </c:lineChart>
      <c:catAx>
        <c:axId val="26795865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5124837"/>
        <c:crosses val="autoZero"/>
        <c:auto val="1"/>
        <c:lblAlgn val="ctr"/>
        <c:lblOffset val="100"/>
        <c:noMultiLvlLbl val="0"/>
      </c:catAx>
      <c:valAx>
        <c:axId val="95124837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679586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Return on assets and return on equity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KPIs!$A$15</c:f>
              <c:strCache>
                <c:ptCount val="1"/>
                <c:pt idx="0">
                  <c:v>Return on assets (net income ÷ year-end assets)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KPIs!$B$15:$D$15</c:f>
              <c:numCache>
                <c:formatCode>0.0%;\(0.0%\);\-</c:formatCode>
                <c:ptCount val="3"/>
                <c:pt idx="0">
                  <c:v>-0.964647464639535</c:v>
                </c:pt>
                <c:pt idx="1">
                  <c:v>-0.023689296676717</c:v>
                </c:pt>
                <c:pt idx="2">
                  <c:v>0.159498462013701</c:v>
                </c:pt>
              </c:numCache>
            </c:numRef>
          </c:val>
        </c:ser>
        <c:ser>
          <c:idx val="1"/>
          <c:order val="1"/>
          <c:tx>
            <c:strRef>
              <c:f>KPIs!$A$16</c:f>
              <c:strCache>
                <c:ptCount val="1"/>
                <c:pt idx="0">
                  <c:v>Return on equity (net income ÷ year-end equity)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KPIs!$B$16:$D$16</c:f>
              <c:numCache>
                <c:formatCode>0.0%;\(0.0%\);\-</c:formatCode>
                <c:ptCount val="3"/>
                <c:pt idx="0">
                  <c:v>-2.29908225338456</c:v>
                </c:pt>
                <c:pt idx="1">
                  <c:v>-0.053125366802305</c:v>
                </c:pt>
                <c:pt idx="2">
                  <c:v>0.277090730746962</c:v>
                </c:pt>
              </c:numCache>
            </c:numRef>
          </c:val>
        </c:ser>
        <c:gapWidth val="60"/>
        <c:overlap val="0"/>
        <c:axId val="70539984"/>
        <c:axId val="66458114"/>
      </c:barChart>
      <c:catAx>
        <c:axId val="70539984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6458114"/>
        <c:crosses val="autoZero"/>
        <c:auto val="1"/>
        <c:lblAlgn val="ctr"/>
        <c:lblOffset val="100"/>
        <c:noMultiLvlLbl val="0"/>
      </c:catAx>
      <c:valAx>
        <c:axId val="66458114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053998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Membership fees per month and EBITDA margin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KPIs!$A$34</c:f>
              <c:strCache>
                <c:ptCount val="1"/>
                <c:pt idx="0">
                  <c:v>Membership fees per month at year end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KPIs!$B$34:$D$34</c:f>
              <c:numCache>
                <c:formatCode>\$#,##0,;"($"#,##0,\);\-</c:formatCode>
                <c:ptCount val="3"/>
                <c:pt idx="0">
                  <c:v>35227.749975025</c:v>
                </c:pt>
                <c:pt idx="1">
                  <c:v>45886.5</c:v>
                </c:pt>
                <c:pt idx="2">
                  <c:v>47263.095</c:v>
                </c:pt>
              </c:numCache>
            </c:numRef>
          </c:val>
        </c:ser>
        <c:gapWidth val="60"/>
        <c:overlap val="0"/>
        <c:axId val="55247151"/>
        <c:axId val="25796065"/>
      </c:barChart>
      <c:lineChart>
        <c:grouping val="standard"/>
        <c:varyColors val="0"/>
        <c:ser>
          <c:idx val="1"/>
          <c:order val="1"/>
          <c:tx>
            <c:strRef>
              <c:f>KPIs!$A$47</c:f>
              <c:strCache>
                <c:ptCount val="1"/>
                <c:pt idx="0">
                  <c:v>EBITDA margin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KPIs!$B$47:$D$47</c:f>
              <c:numCache>
                <c:formatCode>0.0%;\(0.0%\);\-</c:formatCode>
                <c:ptCount val="3"/>
                <c:pt idx="0">
                  <c:v>-0.465503835451804</c:v>
                </c:pt>
                <c:pt idx="1">
                  <c:v>0.0606080943967504</c:v>
                </c:pt>
                <c:pt idx="2">
                  <c:v>0.110674894026847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5783469"/>
        <c:axId val="55953322"/>
      </c:lineChart>
      <c:catAx>
        <c:axId val="55247151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5796065"/>
        <c:crosses val="autoZero"/>
        <c:auto val="1"/>
        <c:lblAlgn val="ctr"/>
        <c:lblOffset val="100"/>
        <c:noMultiLvlLbl val="0"/>
      </c:catAx>
      <c:valAx>
        <c:axId val="25796065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[&gt;=1000000]\$#,##0.0,,\M;[&gt;=1000]\$#,##0,\k;\$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5247151"/>
        <c:crosses val="autoZero"/>
        <c:crossBetween val="between"/>
      </c:valAx>
      <c:catAx>
        <c:axId val="75783469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5953322"/>
        <c:crosses val="autoZero"/>
        <c:auto val="1"/>
        <c:lblAlgn val="ctr"/>
        <c:lblOffset val="100"/>
        <c:noMultiLvlLbl val="0"/>
      </c:catAx>
      <c:valAx>
        <c:axId val="55953322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5783469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New members, cancellations and joins lost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KPIs!$A$30</c:f>
              <c:strCache>
                <c:ptCount val="1"/>
                <c:pt idx="0">
                  <c:v>New members in the year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KPIs!$B$30:$D$30</c:f>
              <c:numCache>
                <c:formatCode>#,##0.0;\(#,##0.0\);\-</c:formatCode>
                <c:ptCount val="3"/>
                <c:pt idx="0">
                  <c:v>410.4</c:v>
                </c:pt>
                <c:pt idx="1">
                  <c:v>439.92</c:v>
                </c:pt>
                <c:pt idx="2">
                  <c:v>471.816</c:v>
                </c:pt>
              </c:numCache>
            </c:numRef>
          </c:val>
        </c:ser>
        <c:ser>
          <c:idx val="1"/>
          <c:order val="1"/>
          <c:tx>
            <c:strRef>
              <c:f>KPIs!$A$31</c:f>
              <c:strCache>
                <c:ptCount val="1"/>
                <c:pt idx="0">
                  <c:v>Members who cancelled in the year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KPIs!$B$31:$D$31</c:f>
              <c:numCache>
                <c:formatCode>#,##0.0;\(#,##0.0\);\-</c:formatCode>
                <c:ptCount val="3"/>
                <c:pt idx="0">
                  <c:v>-174.564141666414</c:v>
                </c:pt>
                <c:pt idx="1">
                  <c:v>-301.655993322928</c:v>
                </c:pt>
                <c:pt idx="2">
                  <c:v>-324</c:v>
                </c:pt>
              </c:numCache>
            </c:numRef>
          </c:val>
        </c:ser>
        <c:ser>
          <c:idx val="2"/>
          <c:order val="2"/>
          <c:tx>
            <c:strRef>
              <c:f>KPIs!$A$32</c:f>
              <c:strCache>
                <c:ptCount val="1"/>
                <c:pt idx="0">
                  <c:v>Joins lost to the capacity limit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KPIs!$B$32:$D$32</c:f>
              <c:numCache>
                <c:formatCode>#,##0.0;\(#,##0.0\);\-</c:formatCode>
                <c:ptCount val="3"/>
                <c:pt idx="0">
                  <c:v>0</c:v>
                </c:pt>
                <c:pt idx="1">
                  <c:v>44.0998650106575</c:v>
                </c:pt>
                <c:pt idx="2">
                  <c:v>147.816</c:v>
                </c:pt>
              </c:numCache>
            </c:numRef>
          </c:val>
        </c:ser>
        <c:gapWidth val="60"/>
        <c:overlap val="0"/>
        <c:axId val="6480606"/>
        <c:axId val="86196690"/>
      </c:barChart>
      <c:catAx>
        <c:axId val="6480606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6196690"/>
        <c:crosses val="autoZero"/>
        <c:auto val="1"/>
        <c:lblAlgn val="ctr"/>
        <c:lblOffset val="100"/>
        <c:noMultiLvlLbl val="0"/>
      </c:catAx>
      <c:valAx>
        <c:axId val="86196690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#,##0.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48060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Relationship Id="rId4" Type="http://schemas.openxmlformats.org/officeDocument/2006/relationships/chart" Target="../charts/chart11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2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<Relationship Id="rId3" Type="http://schemas.openxmlformats.org/officeDocument/2006/relationships/chart" Target="../charts/chart17.xml"/><Relationship Id="rId4" Type="http://schemas.openxmlformats.org/officeDocument/2006/relationships/chart" Target="../charts/chart1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9</xdr:row>
      <xdr:rowOff>0</xdr:rowOff>
    </xdr:from>
    <xdr:to>
      <xdr:col>15</xdr:col>
      <xdr:colOff>36720</xdr:colOff>
      <xdr:row>24</xdr:row>
      <xdr:rowOff>120600</xdr:rowOff>
    </xdr:to>
    <xdr:graphicFrame>
      <xdr:nvGraphicFramePr>
        <xdr:cNvPr id="0" name="Chart 1"/>
        <xdr:cNvGraphicFramePr/>
      </xdr:nvGraphicFramePr>
      <xdr:xfrm>
        <a:off x="5314320" y="20574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9</xdr:row>
      <xdr:rowOff>0</xdr:rowOff>
    </xdr:from>
    <xdr:to>
      <xdr:col>23</xdr:col>
      <xdr:colOff>36720</xdr:colOff>
      <xdr:row>24</xdr:row>
      <xdr:rowOff>120600</xdr:rowOff>
    </xdr:to>
    <xdr:graphicFrame>
      <xdr:nvGraphicFramePr>
        <xdr:cNvPr id="1" name="Chart 2"/>
        <xdr:cNvGraphicFramePr/>
      </xdr:nvGraphicFramePr>
      <xdr:xfrm>
        <a:off x="10389240" y="20574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26</xdr:row>
      <xdr:rowOff>0</xdr:rowOff>
    </xdr:from>
    <xdr:to>
      <xdr:col>15</xdr:col>
      <xdr:colOff>36720</xdr:colOff>
      <xdr:row>41</xdr:row>
      <xdr:rowOff>120600</xdr:rowOff>
    </xdr:to>
    <xdr:graphicFrame>
      <xdr:nvGraphicFramePr>
        <xdr:cNvPr id="2" name="Chart 3"/>
        <xdr:cNvGraphicFramePr/>
      </xdr:nvGraphicFramePr>
      <xdr:xfrm>
        <a:off x="5314320" y="531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0</xdr:colOff>
      <xdr:row>26</xdr:row>
      <xdr:rowOff>0</xdr:rowOff>
    </xdr:from>
    <xdr:to>
      <xdr:col>23</xdr:col>
      <xdr:colOff>36720</xdr:colOff>
      <xdr:row>41</xdr:row>
      <xdr:rowOff>120600</xdr:rowOff>
    </xdr:to>
    <xdr:graphicFrame>
      <xdr:nvGraphicFramePr>
        <xdr:cNvPr id="3" name="Chart 4"/>
        <xdr:cNvGraphicFramePr/>
      </xdr:nvGraphicFramePr>
      <xdr:xfrm>
        <a:off x="10389240" y="531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0</xdr:colOff>
      <xdr:row>4</xdr:row>
      <xdr:rowOff>0</xdr:rowOff>
    </xdr:from>
    <xdr:to>
      <xdr:col>28</xdr:col>
      <xdr:colOff>36720</xdr:colOff>
      <xdr:row>19</xdr:row>
      <xdr:rowOff>120600</xdr:rowOff>
    </xdr:to>
    <xdr:graphicFrame>
      <xdr:nvGraphicFramePr>
        <xdr:cNvPr id="4" name="Chart 1"/>
        <xdr:cNvGraphicFramePr/>
      </xdr:nvGraphicFramePr>
      <xdr:xfrm>
        <a:off x="14231160" y="90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0</xdr:colOff>
      <xdr:row>21</xdr:row>
      <xdr:rowOff>0</xdr:rowOff>
    </xdr:from>
    <xdr:to>
      <xdr:col>28</xdr:col>
      <xdr:colOff>36720</xdr:colOff>
      <xdr:row>36</xdr:row>
      <xdr:rowOff>120600</xdr:rowOff>
    </xdr:to>
    <xdr:graphicFrame>
      <xdr:nvGraphicFramePr>
        <xdr:cNvPr id="5" name="Chart 2"/>
        <xdr:cNvGraphicFramePr/>
      </xdr:nvGraphicFramePr>
      <xdr:xfrm>
        <a:off x="14231160" y="415296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20</xdr:col>
      <xdr:colOff>0</xdr:colOff>
      <xdr:row>38</xdr:row>
      <xdr:rowOff>0</xdr:rowOff>
    </xdr:from>
    <xdr:to>
      <xdr:col>28</xdr:col>
      <xdr:colOff>36720</xdr:colOff>
      <xdr:row>53</xdr:row>
      <xdr:rowOff>120600</xdr:rowOff>
    </xdr:to>
    <xdr:graphicFrame>
      <xdr:nvGraphicFramePr>
        <xdr:cNvPr id="6" name="Chart 3"/>
        <xdr:cNvGraphicFramePr/>
      </xdr:nvGraphicFramePr>
      <xdr:xfrm>
        <a:off x="14231160" y="740088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4</xdr:row>
      <xdr:rowOff>0</xdr:rowOff>
    </xdr:from>
    <xdr:to>
      <xdr:col>15</xdr:col>
      <xdr:colOff>219600</xdr:colOff>
      <xdr:row>19</xdr:row>
      <xdr:rowOff>111240</xdr:rowOff>
    </xdr:to>
    <xdr:graphicFrame>
      <xdr:nvGraphicFramePr>
        <xdr:cNvPr id="7" name="Chart 1"/>
        <xdr:cNvGraphicFramePr/>
      </xdr:nvGraphicFramePr>
      <xdr:xfrm>
        <a:off x="718956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4</xdr:row>
      <xdr:rowOff>0</xdr:rowOff>
    </xdr:from>
    <xdr:to>
      <xdr:col>23</xdr:col>
      <xdr:colOff>219600</xdr:colOff>
      <xdr:row>19</xdr:row>
      <xdr:rowOff>111240</xdr:rowOff>
    </xdr:to>
    <xdr:graphicFrame>
      <xdr:nvGraphicFramePr>
        <xdr:cNvPr id="8" name="Chart 2"/>
        <xdr:cNvGraphicFramePr/>
      </xdr:nvGraphicFramePr>
      <xdr:xfrm>
        <a:off x="1208160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21</xdr:row>
      <xdr:rowOff>0</xdr:rowOff>
    </xdr:from>
    <xdr:to>
      <xdr:col>15</xdr:col>
      <xdr:colOff>219600</xdr:colOff>
      <xdr:row>36</xdr:row>
      <xdr:rowOff>111240</xdr:rowOff>
    </xdr:to>
    <xdr:graphicFrame>
      <xdr:nvGraphicFramePr>
        <xdr:cNvPr id="9" name="Chart 3"/>
        <xdr:cNvGraphicFramePr/>
      </xdr:nvGraphicFramePr>
      <xdr:xfrm>
        <a:off x="7189560" y="41054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0</xdr:colOff>
      <xdr:row>21</xdr:row>
      <xdr:rowOff>0</xdr:rowOff>
    </xdr:from>
    <xdr:to>
      <xdr:col>23</xdr:col>
      <xdr:colOff>219600</xdr:colOff>
      <xdr:row>36</xdr:row>
      <xdr:rowOff>111240</xdr:rowOff>
    </xdr:to>
    <xdr:graphicFrame>
      <xdr:nvGraphicFramePr>
        <xdr:cNvPr id="10" name="Chart 4"/>
        <xdr:cNvGraphicFramePr/>
      </xdr:nvGraphicFramePr>
      <xdr:xfrm>
        <a:off x="12081600" y="41054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36</xdr:row>
      <xdr:rowOff>0</xdr:rowOff>
    </xdr:from>
    <xdr:to>
      <xdr:col>4</xdr:col>
      <xdr:colOff>151200</xdr:colOff>
      <xdr:row>55</xdr:row>
      <xdr:rowOff>160200</xdr:rowOff>
    </xdr:to>
    <xdr:graphicFrame>
      <xdr:nvGraphicFramePr>
        <xdr:cNvPr id="11" name="Chart 1"/>
        <xdr:cNvGraphicFramePr/>
      </xdr:nvGraphicFramePr>
      <xdr:xfrm>
        <a:off x="0" y="6972480"/>
        <a:ext cx="7199640" cy="37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4</xdr:row>
      <xdr:rowOff>0</xdr:rowOff>
    </xdr:from>
    <xdr:to>
      <xdr:col>13</xdr:col>
      <xdr:colOff>219600</xdr:colOff>
      <xdr:row>19</xdr:row>
      <xdr:rowOff>111240</xdr:rowOff>
    </xdr:to>
    <xdr:graphicFrame>
      <xdr:nvGraphicFramePr>
        <xdr:cNvPr id="12" name="Chart 1"/>
        <xdr:cNvGraphicFramePr/>
      </xdr:nvGraphicFramePr>
      <xdr:xfrm>
        <a:off x="718956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4</xdr:row>
      <xdr:rowOff>0</xdr:rowOff>
    </xdr:from>
    <xdr:to>
      <xdr:col>22</xdr:col>
      <xdr:colOff>219600</xdr:colOff>
      <xdr:row>19</xdr:row>
      <xdr:rowOff>111240</xdr:rowOff>
    </xdr:to>
    <xdr:graphicFrame>
      <xdr:nvGraphicFramePr>
        <xdr:cNvPr id="13" name="Chart 2"/>
        <xdr:cNvGraphicFramePr/>
      </xdr:nvGraphicFramePr>
      <xdr:xfrm>
        <a:off x="1269288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0</xdr:rowOff>
    </xdr:from>
    <xdr:to>
      <xdr:col>14</xdr:col>
      <xdr:colOff>36720</xdr:colOff>
      <xdr:row>18</xdr:row>
      <xdr:rowOff>111240</xdr:rowOff>
    </xdr:to>
    <xdr:graphicFrame>
      <xdr:nvGraphicFramePr>
        <xdr:cNvPr id="14" name="Chart 1"/>
        <xdr:cNvGraphicFramePr/>
      </xdr:nvGraphicFramePr>
      <xdr:xfrm>
        <a:off x="6626880" y="65736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3</xdr:row>
      <xdr:rowOff>0</xdr:rowOff>
    </xdr:from>
    <xdr:to>
      <xdr:col>22</xdr:col>
      <xdr:colOff>36720</xdr:colOff>
      <xdr:row>18</xdr:row>
      <xdr:rowOff>111240</xdr:rowOff>
    </xdr:to>
    <xdr:graphicFrame>
      <xdr:nvGraphicFramePr>
        <xdr:cNvPr id="15" name="Chart 2"/>
        <xdr:cNvGraphicFramePr/>
      </xdr:nvGraphicFramePr>
      <xdr:xfrm>
        <a:off x="11701800" y="65736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20</xdr:row>
      <xdr:rowOff>0</xdr:rowOff>
    </xdr:from>
    <xdr:to>
      <xdr:col>14</xdr:col>
      <xdr:colOff>36720</xdr:colOff>
      <xdr:row>35</xdr:row>
      <xdr:rowOff>120600</xdr:rowOff>
    </xdr:to>
    <xdr:graphicFrame>
      <xdr:nvGraphicFramePr>
        <xdr:cNvPr id="16" name="Chart 3"/>
        <xdr:cNvGraphicFramePr/>
      </xdr:nvGraphicFramePr>
      <xdr:xfrm>
        <a:off x="6626880" y="39146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0</xdr:colOff>
      <xdr:row>20</xdr:row>
      <xdr:rowOff>0</xdr:rowOff>
    </xdr:from>
    <xdr:to>
      <xdr:col>22</xdr:col>
      <xdr:colOff>36720</xdr:colOff>
      <xdr:row>35</xdr:row>
      <xdr:rowOff>120600</xdr:rowOff>
    </xdr:to>
    <xdr:graphicFrame>
      <xdr:nvGraphicFramePr>
        <xdr:cNvPr id="17" name="Chart 4"/>
        <xdr:cNvGraphicFramePr/>
      </xdr:nvGraphicFramePr>
      <xdr:xfrm>
        <a:off x="11701800" y="39146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B2:D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24"/>
    <col collapsed="false" customWidth="true" hidden="false" outlineLevel="0" max="4" min="4" style="0" width="72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D5" s="4" t="s">
        <v>3</v>
      </c>
    </row>
    <row r="6" customFormat="false" ht="15" hidden="false" customHeight="false" outlineLevel="0" collapsed="false">
      <c r="B6" s="3" t="s">
        <v>4</v>
      </c>
      <c r="D6" s="5" t="str">
        <f aca="false">Dashboard!C4&amp;"  (change it on the Dashboard, cell B4)"</f>
        <v>Base  (change it on the Dashboard, cell B4)</v>
      </c>
    </row>
    <row r="7" customFormat="false" ht="15" hidden="false" customHeight="false" outlineLevel="0" collapsed="false">
      <c r="B7" s="3" t="s">
        <v>5</v>
      </c>
      <c r="D7" s="3" t="str">
        <f aca="false">Checks!B25</f>
        <v>PASS</v>
      </c>
    </row>
    <row r="8" customFormat="false" ht="15" hidden="false" customHeight="false" outlineLevel="0" collapsed="false">
      <c r="B8" s="3" t="s">
        <v>6</v>
      </c>
      <c r="D8" s="6" t="s">
        <v>7</v>
      </c>
    </row>
    <row r="10" customFormat="false" ht="15.75" hidden="false" customHeight="true" outlineLevel="0" collapsed="false">
      <c r="B10" s="7" t="s">
        <v>8</v>
      </c>
      <c r="C10" s="7"/>
      <c r="D10" s="7"/>
    </row>
    <row r="11" customFormat="false" ht="15" hidden="false" customHeight="false" outlineLevel="0" collapsed="false">
      <c r="C11" s="8" t="s">
        <v>9</v>
      </c>
    </row>
    <row r="12" customFormat="false" ht="15" hidden="false" customHeight="false" outlineLevel="0" collapsed="false">
      <c r="B12" s="9" t="n">
        <v>1</v>
      </c>
      <c r="C12" s="10" t="str">
        <f aca="false">HYPERLINK("#Dashboard!A1","Dashboard")</f>
        <v>Dashboard</v>
      </c>
      <c r="D12" s="11" t="s">
        <v>10</v>
      </c>
    </row>
    <row r="13" customFormat="false" ht="15" hidden="false" customHeight="false" outlineLevel="0" collapsed="false">
      <c r="B13" s="9" t="n">
        <v>2</v>
      </c>
      <c r="C13" s="10" t="str">
        <f aca="false">HYPERLINK("#Summary!A1","Summary")</f>
        <v>Summary</v>
      </c>
      <c r="D13" s="11" t="s">
        <v>11</v>
      </c>
    </row>
    <row r="14" customFormat="false" ht="15" hidden="false" customHeight="false" outlineLevel="0" collapsed="false">
      <c r="B14" s="9" t="n">
        <v>3</v>
      </c>
      <c r="C14" s="10" t="str">
        <f aca="false">HYPERLINK("#Scenarios!A1","Scenarios")</f>
        <v>Scenarios</v>
      </c>
      <c r="D14" s="11" t="s">
        <v>12</v>
      </c>
    </row>
    <row r="15" customFormat="false" ht="15" hidden="false" customHeight="false" outlineLevel="0" collapsed="false">
      <c r="B15" s="9" t="n">
        <v>4</v>
      </c>
      <c r="C15" s="10" t="str">
        <f aca="false">HYPERLINK("#'Break-even'!A1","Break-even")</f>
        <v>Break-even</v>
      </c>
      <c r="D15" s="11" t="s">
        <v>13</v>
      </c>
    </row>
    <row r="16" customFormat="false" ht="15" hidden="false" customHeight="false" outlineLevel="0" collapsed="false">
      <c r="B16" s="9" t="n">
        <v>5</v>
      </c>
      <c r="C16" s="10" t="str">
        <f aca="false">HYPERLINK("#Valuation!A1","Valuation")</f>
        <v>Valuation</v>
      </c>
      <c r="D16" s="11" t="s">
        <v>14</v>
      </c>
    </row>
    <row r="17" customFormat="false" ht="15" hidden="false" customHeight="false" outlineLevel="0" collapsed="false">
      <c r="B17" s="9" t="n">
        <v>6</v>
      </c>
      <c r="C17" s="10" t="str">
        <f aca="false">HYPERLINK("#'Sources &amp; Uses'!A1","Sources &amp; Uses")</f>
        <v>Sources &amp; Uses</v>
      </c>
      <c r="D17" s="11" t="s">
        <v>15</v>
      </c>
    </row>
    <row r="18" customFormat="false" ht="15" hidden="false" customHeight="false" outlineLevel="0" collapsed="false">
      <c r="B18" s="9" t="n">
        <v>7</v>
      </c>
      <c r="C18" s="10" t="str">
        <f aca="false">HYPERLINK("#KPIs!A1","KPIs")</f>
        <v>KPIs</v>
      </c>
      <c r="D18" s="11" t="s">
        <v>16</v>
      </c>
    </row>
    <row r="19" customFormat="false" ht="15" hidden="false" customHeight="false" outlineLevel="0" collapsed="false">
      <c r="C19" s="8" t="s">
        <v>17</v>
      </c>
    </row>
    <row r="20" customFormat="false" ht="15" hidden="false" customHeight="false" outlineLevel="0" collapsed="false">
      <c r="B20" s="9" t="n">
        <v>8</v>
      </c>
      <c r="C20" s="10" t="str">
        <f aca="false">HYPERLINK("#Inputs!A1","Inputs")</f>
        <v>Inputs</v>
      </c>
      <c r="D20" s="11" t="s">
        <v>18</v>
      </c>
    </row>
    <row r="21" customFormat="false" ht="15" hidden="false" customHeight="false" outlineLevel="0" collapsed="false">
      <c r="C21" s="8" t="s">
        <v>19</v>
      </c>
    </row>
    <row r="22" customFormat="false" ht="15" hidden="false" customHeight="false" outlineLevel="0" collapsed="false">
      <c r="B22" s="9" t="n">
        <v>9</v>
      </c>
      <c r="C22" s="10" t="str">
        <f aca="false">HYPERLINK("#'P&amp;L'!A1","P&amp;L")</f>
        <v>P&amp;L</v>
      </c>
      <c r="D22" s="11" t="s">
        <v>20</v>
      </c>
    </row>
    <row r="23" customFormat="false" ht="15" hidden="false" customHeight="false" outlineLevel="0" collapsed="false">
      <c r="B23" s="9" t="n">
        <v>10</v>
      </c>
      <c r="C23" s="10" t="str">
        <f aca="false">HYPERLINK("#'Cash Flow'!A1","Cash Flow")</f>
        <v>Cash Flow</v>
      </c>
      <c r="D23" s="11" t="s">
        <v>21</v>
      </c>
    </row>
    <row r="24" customFormat="false" ht="15" hidden="false" customHeight="false" outlineLevel="0" collapsed="false">
      <c r="B24" s="9" t="n">
        <v>11</v>
      </c>
      <c r="C24" s="10" t="str">
        <f aca="false">HYPERLINK("#'Balance Sheet'!A1","Balance Sheet")</f>
        <v>Balance Sheet</v>
      </c>
      <c r="D24" s="11" t="s">
        <v>22</v>
      </c>
    </row>
    <row r="25" customFormat="false" ht="15" hidden="false" customHeight="false" outlineLevel="0" collapsed="false">
      <c r="C25" s="8" t="s">
        <v>23</v>
      </c>
    </row>
    <row r="26" customFormat="false" ht="15" hidden="false" customHeight="false" outlineLevel="0" collapsed="false">
      <c r="B26" s="9" t="n">
        <v>12</v>
      </c>
      <c r="C26" s="10" t="str">
        <f aca="false">HYPERLINK("#Monthly!A1","Monthly")</f>
        <v>Monthly</v>
      </c>
      <c r="D26" s="11" t="s">
        <v>24</v>
      </c>
    </row>
    <row r="27" customFormat="false" ht="15" hidden="false" customHeight="false" outlineLevel="0" collapsed="false">
      <c r="B27" s="9" t="n">
        <v>13</v>
      </c>
      <c r="C27" s="10" t="str">
        <f aca="false">HYPERLINK("#Headcount!A1","Headcount")</f>
        <v>Headcount</v>
      </c>
      <c r="D27" s="11" t="s">
        <v>25</v>
      </c>
    </row>
    <row r="28" customFormat="false" ht="15" hidden="false" customHeight="false" outlineLevel="0" collapsed="false">
      <c r="B28" s="9" t="n">
        <v>14</v>
      </c>
      <c r="C28" s="10" t="str">
        <f aca="false">HYPERLINK("#'Scenario calc'!A1","Scenario calc")</f>
        <v>Scenario calc</v>
      </c>
      <c r="D28" s="11" t="s">
        <v>26</v>
      </c>
    </row>
    <row r="29" customFormat="false" ht="15" hidden="false" customHeight="false" outlineLevel="0" collapsed="false">
      <c r="C29" s="8" t="s">
        <v>27</v>
      </c>
    </row>
    <row r="30" customFormat="false" ht="15" hidden="false" customHeight="false" outlineLevel="0" collapsed="false">
      <c r="B30" s="9" t="n">
        <v>15</v>
      </c>
      <c r="C30" s="10" t="str">
        <f aca="false">HYPERLINK("#Checks!A1","Checks")</f>
        <v>Checks</v>
      </c>
      <c r="D30" s="11" t="s">
        <v>28</v>
      </c>
    </row>
    <row r="32" customFormat="false" ht="15" hidden="false" customHeight="false" outlineLevel="0" collapsed="false">
      <c r="B32" s="3" t="s">
        <v>29</v>
      </c>
    </row>
    <row r="33" customFormat="false" ht="15" hidden="false" customHeight="false" outlineLevel="0" collapsed="false">
      <c r="C33" s="12" t="n">
        <v>1000</v>
      </c>
      <c r="D33" s="6" t="s">
        <v>30</v>
      </c>
    </row>
    <row r="34" customFormat="false" ht="15" hidden="false" customHeight="false" outlineLevel="0" collapsed="false">
      <c r="C34" s="13" t="n">
        <v>1000</v>
      </c>
      <c r="D34" s="6" t="s">
        <v>31</v>
      </c>
    </row>
    <row r="35" customFormat="false" ht="15" hidden="false" customHeight="false" outlineLevel="0" collapsed="false">
      <c r="C35" s="14" t="n">
        <v>1000</v>
      </c>
      <c r="D35" s="6" t="s">
        <v>32</v>
      </c>
    </row>
    <row r="36" customFormat="false" ht="15" hidden="false" customHeight="false" outlineLevel="0" collapsed="false">
      <c r="C36" s="15" t="n">
        <v>1000</v>
      </c>
      <c r="D36" s="6" t="s">
        <v>33</v>
      </c>
    </row>
  </sheetData>
  <conditionalFormatting sqref="D7">
    <cfRule type="expression" priority="2" aboveAverage="0" equalAverage="0" bottom="0" percent="0" rank="0" text="" dxfId="0">
      <formula>ISNUMBER(SEARCH("FAIL",D7))</formula>
    </cfRule>
    <cfRule type="expression" priority="3" aboveAverage="0" equalAverage="0" bottom="0" percent="0" rank="0" text="" dxfId="1">
      <formula>ISNUMBER(SEARCH("WARN",D7))</formula>
    </cfRule>
    <cfRule type="expression" priority="4" aboveAverage="0" equalAverage="0" bottom="0" percent="0" rank="0" text="" dxfId="2">
      <formula>D7="PASS"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W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.4"/>
    <col collapsed="false" customWidth="true" hidden="false" outlineLevel="0" max="6" min="2" style="0" width="9"/>
    <col collapsed="false" customWidth="true" hidden="false" outlineLevel="0" max="7" min="7" style="0" width="2"/>
    <col collapsed="false" customWidth="true" hidden="false" outlineLevel="0" max="23" min="8" style="0" width="9"/>
  </cols>
  <sheetData>
    <row r="1" customFormat="false" ht="21.75" hidden="false" customHeight="true" outlineLevel="0" collapsed="false">
      <c r="A1" s="16" t="s">
        <v>34</v>
      </c>
      <c r="W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0</v>
      </c>
    </row>
    <row r="4" customFormat="false" ht="19.5" hidden="false" customHeight="true" outlineLevel="0" collapsed="false">
      <c r="A4" s="3" t="s">
        <v>4</v>
      </c>
      <c r="B4" s="19" t="n">
        <v>2</v>
      </c>
      <c r="C4" s="20" t="str">
        <f aca="false">CHOOSE(B4,"Low","Base","High")</f>
        <v>Base</v>
      </c>
      <c r="D4" s="21" t="s">
        <v>35</v>
      </c>
      <c r="S4" s="22" t="s">
        <v>5</v>
      </c>
      <c r="T4" s="23" t="str">
        <f aca="false">Checks!B25</f>
        <v>PASS</v>
      </c>
      <c r="U4" s="23"/>
      <c r="V4" s="23"/>
      <c r="W4" s="23"/>
    </row>
    <row r="6" customFormat="false" ht="15.75" hidden="false" customHeight="true" outlineLevel="0" collapsed="false">
      <c r="A6" s="24" t="s">
        <v>36</v>
      </c>
      <c r="B6" s="24"/>
      <c r="C6" s="24" t="s">
        <v>37</v>
      </c>
      <c r="D6" s="24"/>
      <c r="E6" s="24"/>
      <c r="F6" s="24"/>
      <c r="H6" s="24" t="s">
        <v>38</v>
      </c>
      <c r="I6" s="24"/>
      <c r="J6" s="24"/>
      <c r="K6" s="24"/>
      <c r="L6" s="24" t="s">
        <v>39</v>
      </c>
      <c r="M6" s="24"/>
      <c r="N6" s="24"/>
      <c r="O6" s="24"/>
      <c r="P6" s="24" t="s">
        <v>40</v>
      </c>
      <c r="Q6" s="24"/>
      <c r="R6" s="24"/>
      <c r="S6" s="24"/>
      <c r="T6" s="24" t="s">
        <v>41</v>
      </c>
      <c r="U6" s="24"/>
      <c r="V6" s="24"/>
      <c r="W6" s="24"/>
    </row>
    <row r="7" customFormat="false" ht="30" hidden="false" customHeight="true" outlineLevel="0" collapsed="false">
      <c r="A7" s="25" t="n">
        <f aca="false">D12</f>
        <v>722638.4004</v>
      </c>
      <c r="B7" s="25"/>
      <c r="C7" s="26" t="n">
        <f aca="false">D17</f>
        <v>0.110674894026847</v>
      </c>
      <c r="D7" s="26"/>
      <c r="E7" s="26"/>
      <c r="F7" s="26"/>
      <c r="H7" s="25" t="n">
        <f aca="false">D18</f>
        <v>36406.4998125715</v>
      </c>
      <c r="I7" s="25"/>
      <c r="J7" s="25"/>
      <c r="K7" s="25"/>
      <c r="L7" s="25" t="n">
        <f aca="false">F38</f>
        <v>7440.36358710485</v>
      </c>
      <c r="M7" s="25"/>
      <c r="N7" s="25"/>
      <c r="O7" s="25"/>
      <c r="P7" s="25" t="n">
        <f aca="false">F36</f>
        <v>583559.636412895</v>
      </c>
      <c r="Q7" s="25"/>
      <c r="R7" s="25"/>
      <c r="S7" s="25"/>
      <c r="T7" s="25" t="n">
        <f aca="false">F43</f>
        <v>-109106.799553889</v>
      </c>
      <c r="U7" s="25"/>
      <c r="V7" s="25"/>
      <c r="W7" s="25"/>
    </row>
    <row r="8" customFormat="false" ht="15" hidden="false" customHeight="true" outlineLevel="0" collapsed="false">
      <c r="A8" s="27" t="n">
        <f aca="false">IF(AND(B12&gt;0,D12&gt;=0),(D12/B12)^(1/2)-1,"CAGR n/a")</f>
        <v>0.355884051528165</v>
      </c>
      <c r="B8" s="27"/>
      <c r="C8" s="28" t="n">
        <f aca="false">D16</f>
        <v>79977.9283840001</v>
      </c>
      <c r="D8" s="28"/>
      <c r="E8" s="28"/>
      <c r="F8" s="28"/>
      <c r="H8" s="29" t="n">
        <f aca="false">D19</f>
        <v>0.0503799684495309</v>
      </c>
      <c r="I8" s="29"/>
      <c r="J8" s="29"/>
      <c r="K8" s="29"/>
      <c r="L8" s="30" t="n">
        <f aca="false">'Break-even'!B6</f>
        <v>16</v>
      </c>
      <c r="M8" s="30"/>
      <c r="N8" s="30"/>
      <c r="O8" s="30"/>
      <c r="P8" s="31" t="n">
        <f aca="false">IF(F37&gt;=0,"Covered by funding raised",-F37)</f>
        <v>103559.636412895</v>
      </c>
      <c r="Q8" s="31"/>
      <c r="R8" s="31"/>
      <c r="S8" s="31"/>
      <c r="T8" s="32" t="s">
        <v>42</v>
      </c>
      <c r="U8" s="32"/>
      <c r="V8" s="32"/>
      <c r="W8" s="32"/>
    </row>
    <row r="10" customFormat="false" ht="15.75" hidden="false" customHeight="true" outlineLevel="0" collapsed="false">
      <c r="A10" s="7" t="s">
        <v>43</v>
      </c>
      <c r="B10" s="7"/>
      <c r="C10" s="7"/>
      <c r="D10" s="7"/>
      <c r="E10" s="7"/>
      <c r="F10" s="7"/>
    </row>
    <row r="11" customFormat="false" ht="15" hidden="false" customHeight="false" outlineLevel="0" collapsed="false">
      <c r="A11" s="33"/>
      <c r="B11" s="34" t="n">
        <v>1</v>
      </c>
      <c r="C11" s="34" t="n">
        <v>2</v>
      </c>
      <c r="D11" s="34" t="n">
        <v>3</v>
      </c>
      <c r="E11" s="35"/>
      <c r="F11" s="35"/>
    </row>
    <row r="12" customFormat="false" ht="15" hidden="false" customHeight="false" outlineLevel="0" collapsed="false">
      <c r="A12" s="6" t="s">
        <v>44</v>
      </c>
      <c r="B12" s="36" t="n">
        <f aca="false">SUMIF(Monthly!$C$5:$AL$5,B$11,Monthly!$C$24:$AL$24)</f>
        <v>393075.459761719</v>
      </c>
      <c r="C12" s="36" t="n">
        <f aca="false">SUMIF(Monthly!$C$5:$AL$5,C$11,Monthly!$C$24:$AL$24)</f>
        <v>663933.884151801</v>
      </c>
      <c r="D12" s="36" t="n">
        <f aca="false">SUMIF(Monthly!$C$5:$AL$5,D$11,Monthly!$C$24:$AL$24)</f>
        <v>722638.4004</v>
      </c>
    </row>
    <row r="13" customFormat="false" ht="15" hidden="false" customHeight="false" outlineLevel="0" collapsed="false">
      <c r="A13" s="37" t="s">
        <v>45</v>
      </c>
      <c r="B13" s="38" t="n">
        <f aca="false">SUMIF(Monthly!$C$5:$AL$5,B$11,Monthly!$C$31:$AL$31)</f>
        <v>262844.884249407</v>
      </c>
      <c r="C13" s="38" t="n">
        <f aca="false">SUMIF(Monthly!$C$5:$AL$5,C$11,Monthly!$C$31:$AL$31)</f>
        <v>504280.122889946</v>
      </c>
      <c r="D13" s="38" t="n">
        <f aca="false">SUMIF(Monthly!$C$5:$AL$5,D$11,Monthly!$C$31:$AL$31)</f>
        <v>554018.9544</v>
      </c>
      <c r="E13" s="37"/>
      <c r="F13" s="37"/>
    </row>
    <row r="14" customFormat="false" ht="15" hidden="false" customHeight="false" outlineLevel="0" collapsed="false">
      <c r="A14" s="39" t="s">
        <v>46</v>
      </c>
      <c r="B14" s="40" t="n">
        <f aca="false">IF(B12=0,0,B13/B12)</f>
        <v>0.668688104845678</v>
      </c>
      <c r="C14" s="40" t="n">
        <f aca="false">IF(C12=0,0,C13/C12)</f>
        <v>0.759533644730577</v>
      </c>
      <c r="D14" s="40" t="n">
        <f aca="false">IF(D12=0,0,D13/D12)</f>
        <v>0.766661381533746</v>
      </c>
    </row>
    <row r="15" customFormat="false" ht="15" hidden="false" customHeight="false" outlineLevel="0" collapsed="false">
      <c r="A15" s="6" t="s">
        <v>47</v>
      </c>
      <c r="B15" s="36" t="n">
        <f aca="false">SUMIF(Monthly!$C$5:$AL$5,B$11,Monthly!$C$41:$AL$41)</f>
        <v>-445823.018390469</v>
      </c>
      <c r="C15" s="36" t="n">
        <f aca="false">SUMIF(Monthly!$C$5:$AL$5,C$11,Monthly!$C$41:$AL$41)</f>
        <v>-464040.355366072</v>
      </c>
      <c r="D15" s="36" t="n">
        <f aca="false">SUMIF(Monthly!$C$5:$AL$5,D$11,Monthly!$C$41:$AL$41)</f>
        <v>-474041.026016</v>
      </c>
    </row>
    <row r="16" customFormat="false" ht="15" hidden="false" customHeight="false" outlineLevel="0" collapsed="false">
      <c r="A16" s="37" t="s">
        <v>48</v>
      </c>
      <c r="B16" s="38" t="n">
        <f aca="false">SUMIF(Monthly!$C$5:$AL$5,B$11,Monthly!$C$42:$AL$42)</f>
        <v>-182978.134141062</v>
      </c>
      <c r="C16" s="38" t="n">
        <f aca="false">SUMIF(Monthly!$C$5:$AL$5,C$11,Monthly!$C$42:$AL$42)</f>
        <v>40239.7675238735</v>
      </c>
      <c r="D16" s="38" t="n">
        <f aca="false">SUMIF(Monthly!$C$5:$AL$5,D$11,Monthly!$C$42:$AL$42)</f>
        <v>79977.9283840001</v>
      </c>
      <c r="E16" s="37"/>
      <c r="F16" s="37"/>
    </row>
    <row r="17" customFormat="false" ht="15" hidden="false" customHeight="false" outlineLevel="0" collapsed="false">
      <c r="A17" s="39" t="s">
        <v>49</v>
      </c>
      <c r="B17" s="40" t="n">
        <f aca="false">IF(B12=0,0,B16/B12)</f>
        <v>-0.465503835451804</v>
      </c>
      <c r="C17" s="40" t="n">
        <f aca="false">IF(C12=0,0,C16/C12)</f>
        <v>0.0606080943967504</v>
      </c>
      <c r="D17" s="40" t="n">
        <f aca="false">IF(D12=0,0,D16/D12)</f>
        <v>0.110674894026847</v>
      </c>
    </row>
    <row r="18" customFormat="false" ht="15" hidden="false" customHeight="false" outlineLevel="0" collapsed="false">
      <c r="A18" s="41" t="s">
        <v>50</v>
      </c>
      <c r="B18" s="42" t="n">
        <f aca="false">SUMIF(Monthly!$C$5:$AL$5,B$11,Monthly!$C$51:$AL$51)</f>
        <v>-229972.181760109</v>
      </c>
      <c r="C18" s="42" t="n">
        <f aca="false">SUMIF(Monthly!$C$5:$AL$5,C$11,Monthly!$C$51:$AL$51)</f>
        <v>-5045.9467618408</v>
      </c>
      <c r="D18" s="42" t="n">
        <f aca="false">SUMIF(Monthly!$C$5:$AL$5,D$11,Monthly!$C$51:$AL$51)</f>
        <v>36406.4998125715</v>
      </c>
      <c r="E18" s="41"/>
      <c r="F18" s="41"/>
    </row>
    <row r="19" customFormat="false" ht="15" hidden="false" customHeight="false" outlineLevel="0" collapsed="false">
      <c r="A19" s="39" t="s">
        <v>51</v>
      </c>
      <c r="B19" s="40" t="n">
        <f aca="false">IF(B12=0,0,B18/B12)</f>
        <v>-0.585058609101463</v>
      </c>
      <c r="C19" s="40" t="n">
        <f aca="false">IF(C12=0,0,C18/C12)</f>
        <v>-0.00760007416745596</v>
      </c>
      <c r="D19" s="40" t="n">
        <f aca="false">IF(D12=0,0,D18/D12)</f>
        <v>0.0503799684495309</v>
      </c>
    </row>
    <row r="20" customFormat="false" ht="15" hidden="false" customHeight="false" outlineLevel="0" collapsed="false">
      <c r="A20" s="6" t="s">
        <v>52</v>
      </c>
      <c r="B20" s="36" t="n">
        <f aca="false">SUMIF(Monthly!$C$5:$AL$5,B$11,Monthly!$C$75:$AL$75)</f>
        <v>-190250.259354596</v>
      </c>
      <c r="C20" s="36" t="n">
        <f aca="false">SUMIF(Monthly!$C$5:$AL$5,C$11,Monthly!$C$75:$AL$75)</f>
        <v>31208.1522612175</v>
      </c>
      <c r="D20" s="36" t="n">
        <f aca="false">SUMIF(Monthly!$C$5:$AL$5,D$11,Monthly!$C$75:$AL$75)</f>
        <v>72257.2090268572</v>
      </c>
    </row>
    <row r="21" customFormat="false" ht="15" hidden="false" customHeight="false" outlineLevel="0" collapsed="false">
      <c r="A21" s="6" t="s">
        <v>53</v>
      </c>
      <c r="B21" s="36" t="n">
        <f aca="false">SUMIF(Monthly!$C$5:$AL$5,B$11,Monthly!$C$76:$AL$76)</f>
        <v>-250000</v>
      </c>
      <c r="C21" s="36" t="n">
        <f aca="false">SUMIF(Monthly!$C$5:$AL$5,C$11,Monthly!$C$76:$AL$76)</f>
        <v>0</v>
      </c>
      <c r="D21" s="36" t="n">
        <f aca="false">SUMIF(Monthly!$C$5:$AL$5,D$11,Monthly!$C$76:$AL$76)</f>
        <v>0</v>
      </c>
    </row>
    <row r="22" customFormat="false" ht="15" hidden="false" customHeight="false" outlineLevel="0" collapsed="false">
      <c r="A22" s="6" t="s">
        <v>54</v>
      </c>
      <c r="B22" s="36" t="n">
        <f aca="false">SUMIF(Monthly!$C$5:$AL$5,B$11,Monthly!$C$78:$AL$78)</f>
        <v>460357.142857143</v>
      </c>
      <c r="C22" s="36" t="n">
        <f aca="false">SUMIF(Monthly!$C$5:$AL$5,C$11,Monthly!$C$78:$AL$78)</f>
        <v>-21428.5714285714</v>
      </c>
      <c r="D22" s="36" t="n">
        <f aca="false">SUMIF(Monthly!$C$5:$AL$5,D$11,Monthly!$C$78:$AL$78)</f>
        <v>-21428.5714285714</v>
      </c>
    </row>
    <row r="23" customFormat="false" ht="15" hidden="false" customHeight="false" outlineLevel="0" collapsed="false">
      <c r="A23" s="37" t="s">
        <v>55</v>
      </c>
      <c r="B23" s="38" t="n">
        <f aca="false">SUMIF(Monthly!$C$5:$AL$5,B$11,Monthly!$C$79:$AL$79)</f>
        <v>20106.8835025468</v>
      </c>
      <c r="C23" s="38" t="n">
        <f aca="false">SUMIF(Monthly!$C$5:$AL$5,C$11,Monthly!$C$79:$AL$79)</f>
        <v>9779.58083264608</v>
      </c>
      <c r="D23" s="38" t="n">
        <f aca="false">SUMIF(Monthly!$C$5:$AL$5,D$11,Monthly!$C$79:$AL$79)</f>
        <v>50828.6375982858</v>
      </c>
      <c r="E23" s="37"/>
      <c r="F23" s="37"/>
    </row>
    <row r="24" customFormat="false" ht="15" hidden="false" customHeight="false" outlineLevel="0" collapsed="false">
      <c r="A24" s="41" t="s">
        <v>56</v>
      </c>
      <c r="B24" s="42" t="n">
        <f aca="false">INDEX(Monthly!$C$81:$AL$81,B$11*12)</f>
        <v>20106.8835025468</v>
      </c>
      <c r="C24" s="42" t="n">
        <f aca="false">INDEX(Monthly!$C$81:$AL$81,C$11*12)</f>
        <v>29886.4643351928</v>
      </c>
      <c r="D24" s="42" t="n">
        <f aca="false">INDEX(Monthly!$C$81:$AL$81,D$11*12)</f>
        <v>80715.1019334786</v>
      </c>
      <c r="E24" s="41"/>
      <c r="F24" s="41"/>
    </row>
    <row r="26" customFormat="false" ht="15.75" hidden="false" customHeight="true" outlineLevel="0" collapsed="false">
      <c r="A26" s="7" t="s">
        <v>57</v>
      </c>
      <c r="B26" s="7"/>
      <c r="C26" s="7"/>
      <c r="D26" s="7"/>
      <c r="E26" s="7"/>
      <c r="F26" s="7"/>
    </row>
    <row r="27" customFormat="false" ht="15" hidden="false" customHeight="false" outlineLevel="0" collapsed="false">
      <c r="A27" s="33"/>
      <c r="B27" s="34" t="n">
        <v>1</v>
      </c>
      <c r="C27" s="34" t="n">
        <v>2</v>
      </c>
      <c r="D27" s="34" t="n">
        <v>3</v>
      </c>
      <c r="E27" s="35"/>
      <c r="F27" s="35"/>
    </row>
    <row r="28" customFormat="false" ht="15" hidden="false" customHeight="false" outlineLevel="0" collapsed="false">
      <c r="A28" s="6" t="s">
        <v>58</v>
      </c>
      <c r="B28" s="43" t="n">
        <f aca="false">KPIs!B29</f>
        <v>355.835858333586</v>
      </c>
      <c r="C28" s="43" t="n">
        <f aca="false">KPIs!C29</f>
        <v>450</v>
      </c>
      <c r="D28" s="43" t="n">
        <f aca="false">KPIs!D29</f>
        <v>450</v>
      </c>
    </row>
    <row r="29" customFormat="false" ht="15" hidden="false" customHeight="false" outlineLevel="0" collapsed="false">
      <c r="A29" s="6" t="s">
        <v>59</v>
      </c>
      <c r="B29" s="44" t="n">
        <f aca="false">KPIs!B33</f>
        <v>0.790746351852413</v>
      </c>
      <c r="C29" s="44" t="n">
        <f aca="false">KPIs!C33</f>
        <v>1</v>
      </c>
      <c r="D29" s="44" t="n">
        <f aca="false">KPIs!D33</f>
        <v>1</v>
      </c>
    </row>
    <row r="30" customFormat="false" ht="15" hidden="false" customHeight="false" outlineLevel="0" collapsed="false">
      <c r="A30" s="6" t="s">
        <v>60</v>
      </c>
      <c r="B30" s="36" t="n">
        <f aca="false">KPIs!B34</f>
        <v>35227.749975025</v>
      </c>
      <c r="C30" s="36" t="n">
        <f aca="false">KPIs!C34</f>
        <v>45886.5</v>
      </c>
      <c r="D30" s="36" t="n">
        <f aca="false">KPIs!D34</f>
        <v>47263.095</v>
      </c>
    </row>
    <row r="31" customFormat="false" ht="15" hidden="false" customHeight="false" outlineLevel="0" collapsed="false">
      <c r="A31" s="6" t="s">
        <v>61</v>
      </c>
      <c r="B31" s="45" t="n">
        <f aca="false">INDEX(Headcount!$C$10:$AL$10,B$27*12)</f>
        <v>4</v>
      </c>
      <c r="C31" s="45" t="n">
        <f aca="false">INDEX(Headcount!$C$10:$AL$10,C$27*12)</f>
        <v>4</v>
      </c>
      <c r="D31" s="45" t="n">
        <f aca="false">INDEX(Headcount!$C$10:$AL$10,D$27*12)</f>
        <v>4</v>
      </c>
    </row>
    <row r="33" customFormat="false" ht="15.75" hidden="false" customHeight="true" outlineLevel="0" collapsed="false">
      <c r="A33" s="7" t="s">
        <v>62</v>
      </c>
      <c r="B33" s="7"/>
      <c r="C33" s="7"/>
      <c r="D33" s="7"/>
      <c r="E33" s="7"/>
      <c r="F33" s="7"/>
    </row>
    <row r="34" customFormat="false" ht="15" hidden="false" customHeight="false" outlineLevel="0" collapsed="false">
      <c r="A34" s="6" t="s">
        <v>63</v>
      </c>
      <c r="B34" s="46"/>
      <c r="C34" s="46"/>
      <c r="D34" s="46"/>
      <c r="E34" s="46"/>
      <c r="F34" s="47" t="n">
        <f aca="false">Inputs!$E$54</f>
        <v>330000</v>
      </c>
    </row>
    <row r="35" customFormat="false" ht="15" hidden="false" customHeight="false" outlineLevel="0" collapsed="false">
      <c r="A35" s="6" t="s">
        <v>64</v>
      </c>
      <c r="B35" s="46"/>
      <c r="C35" s="46"/>
      <c r="D35" s="46"/>
      <c r="E35" s="46"/>
      <c r="F35" s="47" t="n">
        <f aca="false">Inputs!$E$55</f>
        <v>150000</v>
      </c>
    </row>
    <row r="36" customFormat="false" ht="15" hidden="false" customHeight="false" outlineLevel="0" collapsed="false">
      <c r="A36" s="6" t="s">
        <v>65</v>
      </c>
      <c r="B36" s="46"/>
      <c r="C36" s="46"/>
      <c r="D36" s="46"/>
      <c r="E36" s="46"/>
      <c r="F36" s="47" t="n">
        <f aca="false">'Break-even'!B12</f>
        <v>583559.636412895</v>
      </c>
    </row>
    <row r="37" customFormat="false" ht="15" hidden="false" customHeight="false" outlineLevel="0" collapsed="false">
      <c r="A37" s="37" t="s">
        <v>66</v>
      </c>
      <c r="B37" s="37"/>
      <c r="C37" s="37"/>
      <c r="D37" s="37"/>
      <c r="E37" s="37"/>
      <c r="F37" s="38" t="n">
        <f aca="false">'Break-even'!B17</f>
        <v>-103559.636412895</v>
      </c>
    </row>
    <row r="38" customFormat="false" ht="15" hidden="false" customHeight="false" outlineLevel="0" collapsed="false">
      <c r="A38" s="6" t="str">
        <f aca="false">"Lowest cash balance (month "&amp;'Break-even'!B6&amp;")"</f>
        <v>Lowest cash balance (month 16)</v>
      </c>
      <c r="B38" s="46"/>
      <c r="C38" s="46"/>
      <c r="D38" s="46"/>
      <c r="E38" s="46"/>
      <c r="F38" s="47" t="n">
        <f aca="false">'Break-even'!B18</f>
        <v>7440.36358710485</v>
      </c>
    </row>
    <row r="39" customFormat="false" ht="15" hidden="false" customHeight="false" outlineLevel="0" collapsed="false">
      <c r="A39" s="6" t="s">
        <v>67</v>
      </c>
      <c r="B39" s="46"/>
      <c r="C39" s="46"/>
      <c r="D39" s="46"/>
      <c r="E39" s="46"/>
      <c r="F39" s="48" t="n">
        <f aca="false">'Break-even'!B21</f>
        <v>15</v>
      </c>
    </row>
    <row r="40" customFormat="false" ht="15" hidden="false" customHeight="false" outlineLevel="0" collapsed="false">
      <c r="A40" s="6" t="s">
        <v>68</v>
      </c>
      <c r="B40" s="46"/>
      <c r="C40" s="46"/>
      <c r="D40" s="46"/>
      <c r="E40" s="46"/>
      <c r="F40" s="48" t="str">
        <f aca="false">'Break-even'!B23</f>
        <v>Not within horizon</v>
      </c>
    </row>
    <row r="41" customFormat="false" ht="15" hidden="false" customHeight="false" outlineLevel="0" collapsed="false">
      <c r="A41" s="6" t="s">
        <v>69</v>
      </c>
      <c r="B41" s="46"/>
      <c r="C41" s="46"/>
      <c r="D41" s="46"/>
      <c r="E41" s="46"/>
      <c r="F41" s="47" t="n">
        <f aca="false">Valuation!B27</f>
        <v>-101923.278375843</v>
      </c>
    </row>
    <row r="42" customFormat="false" ht="15" hidden="false" customHeight="false" outlineLevel="0" collapsed="false">
      <c r="A42" s="6" t="s">
        <v>70</v>
      </c>
      <c r="B42" s="46"/>
      <c r="C42" s="46"/>
      <c r="D42" s="46"/>
      <c r="E42" s="46"/>
      <c r="F42" s="47" t="n">
        <f aca="false">Valuation!C27</f>
        <v>-116290.320731934</v>
      </c>
    </row>
    <row r="43" customFormat="false" ht="15" hidden="false" customHeight="false" outlineLevel="0" collapsed="false">
      <c r="A43" s="41" t="s">
        <v>71</v>
      </c>
      <c r="B43" s="41"/>
      <c r="C43" s="41"/>
      <c r="D43" s="41"/>
      <c r="E43" s="41"/>
      <c r="F43" s="42" t="n">
        <f aca="false">Valuation!B30</f>
        <v>-109106.799553889</v>
      </c>
    </row>
  </sheetData>
  <mergeCells count="19">
    <mergeCell ref="T4:W4"/>
    <mergeCell ref="A6:B6"/>
    <mergeCell ref="C6:F6"/>
    <mergeCell ref="H6:K6"/>
    <mergeCell ref="L6:O6"/>
    <mergeCell ref="P6:S6"/>
    <mergeCell ref="T6:W6"/>
    <mergeCell ref="A7:B7"/>
    <mergeCell ref="C7:F7"/>
    <mergeCell ref="H7:K7"/>
    <mergeCell ref="L7:O7"/>
    <mergeCell ref="P7:S7"/>
    <mergeCell ref="T7:W7"/>
    <mergeCell ref="A8:B8"/>
    <mergeCell ref="C8:F8"/>
    <mergeCell ref="H8:K8"/>
    <mergeCell ref="L8:O8"/>
    <mergeCell ref="P8:S8"/>
    <mergeCell ref="T8:W8"/>
  </mergeCells>
  <conditionalFormatting sqref="T4:W4">
    <cfRule type="expression" priority="2" aboveAverage="0" equalAverage="0" bottom="0" percent="0" rank="0" text="" dxfId="0">
      <formula>ISNUMBER(SEARCH("FAIL",$T$4))</formula>
    </cfRule>
    <cfRule type="expression" priority="3" aboveAverage="0" equalAverage="0" bottom="0" percent="0" rank="0" text="" dxfId="1">
      <formula>ISNUMBER(SEARCH("WARN",$T$4))</formula>
    </cfRule>
    <cfRule type="expression" priority="4" aboveAverage="0" equalAverage="0" bottom="0" percent="0" rank="0" text="" dxfId="2">
      <formula>$T$4="PASS"</formula>
    </cfRule>
  </conditionalFormatting>
  <dataValidations count="1">
    <dataValidation allowBlank="false" error="Enter 1, 2 or 3" errorStyle="stop" errorTitle="Scenario" operator="between" prompt="1 = Low, 2 = Base, 3 = High. Every sheet recalculates." promptTitle="Scenario" showDropDown="false" showErrorMessage="true" showInputMessage="true" sqref="B4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U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1.5"/>
    <col collapsed="false" customWidth="true" hidden="false" outlineLevel="0" max="7" min="7" style="0" width="2"/>
    <col collapsed="false" customWidth="true" hidden="false" outlineLevel="0" max="19" min="8" style="0" width="9.2"/>
    <col collapsed="false" customWidth="true" hidden="false" outlineLevel="0" max="20" min="20" style="0" width="2"/>
    <col collapsed="false" customWidth="true" hidden="false" outlineLevel="0" max="36" min="21" style="0" width="9"/>
  </cols>
  <sheetData>
    <row r="1" customFormat="false" ht="21.75" hidden="false" customHeight="true" outlineLevel="0" collapsed="false">
      <c r="A1" s="16" t="s">
        <v>72</v>
      </c>
      <c r="U1" s="17" t="str">
        <f aca="false">HYPERLINK("#'Cover'!A1","◂ Contents")</f>
        <v>◂ Contents</v>
      </c>
    </row>
    <row r="2" customFormat="false" ht="19.5" hidden="false" customHeight="true" outlineLevel="0" collapsed="false">
      <c r="A2" s="18" t="s">
        <v>0</v>
      </c>
      <c r="P2" s="22" t="s">
        <v>73</v>
      </c>
      <c r="R2" s="49" t="n">
        <v>1</v>
      </c>
      <c r="S2" s="49"/>
    </row>
    <row r="5" customFormat="false" ht="15.75" hidden="false" customHeight="true" outlineLevel="0" collapsed="false">
      <c r="A5" s="7" t="s">
        <v>74</v>
      </c>
      <c r="B5" s="7"/>
      <c r="C5" s="7"/>
      <c r="D5" s="7"/>
      <c r="E5" s="7"/>
      <c r="F5" s="7"/>
      <c r="H5" s="7" t="str">
        <f aca="false">"Income statement ($'000) — Year "&amp;$R$2&amp;", by month"</f>
        <v>Income statement ($'000) — Year 1, by month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 customFormat="false" ht="15" hidden="false" customHeight="false" outlineLevel="0" collapsed="false">
      <c r="A6" s="33"/>
      <c r="B6" s="34" t="n">
        <v>1</v>
      </c>
      <c r="C6" s="34" t="n">
        <v>2</v>
      </c>
      <c r="D6" s="34" t="n">
        <v>3</v>
      </c>
      <c r="E6" s="35"/>
      <c r="F6" s="35"/>
      <c r="H6" s="50" t="n">
        <f aca="false">INDEX(Monthly!$C$4:$AL$4,($R$2-1)*12+1)</f>
        <v>1</v>
      </c>
      <c r="I6" s="50" t="n">
        <f aca="false">INDEX(Monthly!$C$4:$AL$4,($R$2-1)*12+2)</f>
        <v>2</v>
      </c>
      <c r="J6" s="50" t="n">
        <f aca="false">INDEX(Monthly!$C$4:$AL$4,($R$2-1)*12+3)</f>
        <v>3</v>
      </c>
      <c r="K6" s="50" t="n">
        <f aca="false">INDEX(Monthly!$C$4:$AL$4,($R$2-1)*12+4)</f>
        <v>4</v>
      </c>
      <c r="L6" s="50" t="n">
        <f aca="false">INDEX(Monthly!$C$4:$AL$4,($R$2-1)*12+5)</f>
        <v>5</v>
      </c>
      <c r="M6" s="50" t="n">
        <f aca="false">INDEX(Monthly!$C$4:$AL$4,($R$2-1)*12+6)</f>
        <v>6</v>
      </c>
      <c r="N6" s="50" t="n">
        <f aca="false">INDEX(Monthly!$C$4:$AL$4,($R$2-1)*12+7)</f>
        <v>7</v>
      </c>
      <c r="O6" s="50" t="n">
        <f aca="false">INDEX(Monthly!$C$4:$AL$4,($R$2-1)*12+8)</f>
        <v>8</v>
      </c>
      <c r="P6" s="50" t="n">
        <f aca="false">INDEX(Monthly!$C$4:$AL$4,($R$2-1)*12+9)</f>
        <v>9</v>
      </c>
      <c r="Q6" s="50" t="n">
        <f aca="false">INDEX(Monthly!$C$4:$AL$4,($R$2-1)*12+10)</f>
        <v>10</v>
      </c>
      <c r="R6" s="50" t="n">
        <f aca="false">INDEX(Monthly!$C$4:$AL$4,($R$2-1)*12+11)</f>
        <v>11</v>
      </c>
      <c r="S6" s="50" t="n">
        <f aca="false">INDEX(Monthly!$C$4:$AL$4,($R$2-1)*12+12)</f>
        <v>12</v>
      </c>
    </row>
    <row r="7" customFormat="false" ht="15" hidden="false" customHeight="false" outlineLevel="0" collapsed="false">
      <c r="A7" s="51" t="s">
        <v>44</v>
      </c>
      <c r="B7" s="36" t="n">
        <f aca="false">'P&amp;L'!B5</f>
        <v>393075.459761719</v>
      </c>
      <c r="C7" s="36" t="n">
        <f aca="false">'P&amp;L'!C5</f>
        <v>663933.884151801</v>
      </c>
      <c r="D7" s="36" t="n">
        <f aca="false">'P&amp;L'!D5</f>
        <v>722638.4004</v>
      </c>
      <c r="H7" s="36" t="n">
        <f aca="false">INDEX(Monthly!$C$24:$AL$24,($R$2-1)*12+1)</f>
        <v>18123</v>
      </c>
      <c r="I7" s="36" t="n">
        <f aca="false">INDEX(Monthly!$C$24:$AL$24,($R$2-1)*12+2)</f>
        <v>21349.608</v>
      </c>
      <c r="J7" s="36" t="n">
        <f aca="false">INDEX(Monthly!$C$24:$AL$24,($R$2-1)*12+3)</f>
        <v>24382.61952</v>
      </c>
      <c r="K7" s="36" t="n">
        <f aca="false">INDEX(Monthly!$C$24:$AL$24,($R$2-1)*12+4)</f>
        <v>27233.6503488</v>
      </c>
      <c r="L7" s="36" t="n">
        <f aca="false">INDEX(Monthly!$C$24:$AL$24,($R$2-1)*12+5)</f>
        <v>29913.619327872</v>
      </c>
      <c r="M7" s="36" t="n">
        <f aca="false">INDEX(Monthly!$C$24:$AL$24,($R$2-1)*12+6)</f>
        <v>32432.7901681997</v>
      </c>
      <c r="N7" s="36" t="n">
        <f aca="false">INDEX(Monthly!$C$24:$AL$24,($R$2-1)*12+7)</f>
        <v>34800.8107581077</v>
      </c>
      <c r="O7" s="36" t="n">
        <f aca="false">INDEX(Monthly!$C$24:$AL$24,($R$2-1)*12+8)</f>
        <v>37026.7501126212</v>
      </c>
      <c r="P7" s="36" t="n">
        <f aca="false">INDEX(Monthly!$C$24:$AL$24,($R$2-1)*12+9)</f>
        <v>39119.133105864</v>
      </c>
      <c r="Q7" s="36" t="n">
        <f aca="false">INDEX(Monthly!$C$24:$AL$24,($R$2-1)*12+10)</f>
        <v>41085.9731195121</v>
      </c>
      <c r="R7" s="36" t="n">
        <f aca="false">INDEX(Monthly!$C$24:$AL$24,($R$2-1)*12+11)</f>
        <v>42934.8027323414</v>
      </c>
      <c r="S7" s="36" t="n">
        <f aca="false">INDEX(Monthly!$C$24:$AL$24,($R$2-1)*12+12)</f>
        <v>44672.7025684009</v>
      </c>
    </row>
    <row r="8" customFormat="false" ht="15" hidden="false" customHeight="false" outlineLevel="0" collapsed="false">
      <c r="A8" s="51" t="s">
        <v>75</v>
      </c>
      <c r="B8" s="36" t="n">
        <f aca="false">'P&amp;L'!B6</f>
        <v>-130230.575512312</v>
      </c>
      <c r="C8" s="36" t="n">
        <f aca="false">'P&amp;L'!C6</f>
        <v>-159653.761261855</v>
      </c>
      <c r="D8" s="36" t="n">
        <f aca="false">'P&amp;L'!D6</f>
        <v>-168619.446</v>
      </c>
      <c r="H8" s="36" t="n">
        <f aca="false">INDEX(Monthly!$C$30:$AL$30,($R$2-1)*12+1)</f>
        <v>-9415.35</v>
      </c>
      <c r="I8" s="36" t="n">
        <f aca="false">INDEX(Monthly!$C$30:$AL$30,($R$2-1)*12+2)</f>
        <v>-9732.249</v>
      </c>
      <c r="J8" s="36" t="n">
        <f aca="false">INDEX(Monthly!$C$30:$AL$30,($R$2-1)*12+3)</f>
        <v>-10030.13406</v>
      </c>
      <c r="K8" s="36" t="n">
        <f aca="false">INDEX(Monthly!$C$30:$AL$30,($R$2-1)*12+4)</f>
        <v>-10310.1460164</v>
      </c>
      <c r="L8" s="36" t="n">
        <f aca="false">INDEX(Monthly!$C$30:$AL$30,($R$2-1)*12+5)</f>
        <v>-10573.357255416</v>
      </c>
      <c r="M8" s="36" t="n">
        <f aca="false">INDEX(Monthly!$C$30:$AL$30,($R$2-1)*12+6)</f>
        <v>-10820.775820091</v>
      </c>
      <c r="N8" s="36" t="n">
        <f aca="false">INDEX(Monthly!$C$30:$AL$30,($R$2-1)*12+7)</f>
        <v>-11053.3492708856</v>
      </c>
      <c r="O8" s="36" t="n">
        <f aca="false">INDEX(Monthly!$C$30:$AL$30,($R$2-1)*12+8)</f>
        <v>-11271.9683146324</v>
      </c>
      <c r="P8" s="36" t="n">
        <f aca="false">INDEX(Monthly!$C$30:$AL$30,($R$2-1)*12+9)</f>
        <v>-11477.4702157545</v>
      </c>
      <c r="Q8" s="36" t="n">
        <f aca="false">INDEX(Monthly!$C$30:$AL$30,($R$2-1)*12+10)</f>
        <v>-11670.6420028092</v>
      </c>
      <c r="R8" s="36" t="n">
        <f aca="false">INDEX(Monthly!$C$30:$AL$30,($R$2-1)*12+11)</f>
        <v>-11852.2234826407</v>
      </c>
      <c r="S8" s="36" t="n">
        <f aca="false">INDEX(Monthly!$C$30:$AL$30,($R$2-1)*12+12)</f>
        <v>-12022.9100736822</v>
      </c>
    </row>
    <row r="9" customFormat="false" ht="15" hidden="false" customHeight="false" outlineLevel="0" collapsed="false">
      <c r="A9" s="37" t="s">
        <v>45</v>
      </c>
      <c r="B9" s="38" t="n">
        <f aca="false">'P&amp;L'!B7</f>
        <v>262844.884249407</v>
      </c>
      <c r="C9" s="38" t="n">
        <f aca="false">'P&amp;L'!C7</f>
        <v>504280.122889946</v>
      </c>
      <c r="D9" s="38" t="n">
        <f aca="false">'P&amp;L'!D7</f>
        <v>554018.9544</v>
      </c>
      <c r="E9" s="37"/>
      <c r="F9" s="37"/>
      <c r="H9" s="38" t="n">
        <f aca="false">INDEX(Monthly!$C$31:$AL$31,($R$2-1)*12+1)</f>
        <v>8707.65</v>
      </c>
      <c r="I9" s="38" t="n">
        <f aca="false">INDEX(Monthly!$C$31:$AL$31,($R$2-1)*12+2)</f>
        <v>11617.359</v>
      </c>
      <c r="J9" s="38" t="n">
        <f aca="false">INDEX(Monthly!$C$31:$AL$31,($R$2-1)*12+3)</f>
        <v>14352.48546</v>
      </c>
      <c r="K9" s="38" t="n">
        <f aca="false">INDEX(Monthly!$C$31:$AL$31,($R$2-1)*12+4)</f>
        <v>16923.5043324</v>
      </c>
      <c r="L9" s="38" t="n">
        <f aca="false">INDEX(Monthly!$C$31:$AL$31,($R$2-1)*12+5)</f>
        <v>19340.262072456</v>
      </c>
      <c r="M9" s="38" t="n">
        <f aca="false">INDEX(Monthly!$C$31:$AL$31,($R$2-1)*12+6)</f>
        <v>21612.0143481086</v>
      </c>
      <c r="N9" s="38" t="n">
        <f aca="false">INDEX(Monthly!$C$31:$AL$31,($R$2-1)*12+7)</f>
        <v>23747.4614872221</v>
      </c>
      <c r="O9" s="38" t="n">
        <f aca="false">INDEX(Monthly!$C$31:$AL$31,($R$2-1)*12+8)</f>
        <v>25754.7817979888</v>
      </c>
      <c r="P9" s="38" t="n">
        <f aca="false">INDEX(Monthly!$C$31:$AL$31,($R$2-1)*12+9)</f>
        <v>27641.6628901095</v>
      </c>
      <c r="Q9" s="38" t="n">
        <f aca="false">INDEX(Monthly!$C$31:$AL$31,($R$2-1)*12+10)</f>
        <v>29415.3311167029</v>
      </c>
      <c r="R9" s="38" t="n">
        <f aca="false">INDEX(Monthly!$C$31:$AL$31,($R$2-1)*12+11)</f>
        <v>31082.5792497007</v>
      </c>
      <c r="S9" s="38" t="n">
        <f aca="false">INDEX(Monthly!$C$31:$AL$31,($R$2-1)*12+12)</f>
        <v>32649.7924947187</v>
      </c>
    </row>
    <row r="10" customFormat="false" ht="15" hidden="false" customHeight="false" outlineLevel="0" collapsed="false">
      <c r="A10" s="39" t="s">
        <v>46</v>
      </c>
      <c r="B10" s="40" t="n">
        <f aca="false">'P&amp;L'!B8</f>
        <v>0.668688104845678</v>
      </c>
      <c r="C10" s="40" t="n">
        <f aca="false">'P&amp;L'!C8</f>
        <v>0.759533644730577</v>
      </c>
      <c r="D10" s="40" t="n">
        <f aca="false">'P&amp;L'!D8</f>
        <v>0.766661381533746</v>
      </c>
      <c r="H10" s="40" t="n">
        <f aca="false">IF(H7=0,0,H9/H7)</f>
        <v>0.480475086906141</v>
      </c>
      <c r="I10" s="40" t="n">
        <f aca="false">IF(I7=0,0,I9/I7)</f>
        <v>0.544148585772629</v>
      </c>
      <c r="J10" s="40" t="n">
        <f aca="false">IF(J7=0,0,J9/J7)</f>
        <v>0.588635911257496</v>
      </c>
      <c r="K10" s="40" t="n">
        <f aca="false">IF(K7=0,0,K9/K7)</f>
        <v>0.621418873916978</v>
      </c>
      <c r="L10" s="40" t="n">
        <f aca="false">IF(L7=0,0,L9/L7)</f>
        <v>0.646537012471631</v>
      </c>
      <c r="M10" s="40" t="n">
        <f aca="false">IF(M7=0,0,M9/M7)</f>
        <v>0.66636309229106</v>
      </c>
      <c r="N10" s="40" t="n">
        <f aca="false">IF(N7=0,0,N9/N7)</f>
        <v>0.682382420693735</v>
      </c>
      <c r="O10" s="40" t="n">
        <f aca="false">IF(O7=0,0,O9/O7)</f>
        <v>0.695572301637399</v>
      </c>
      <c r="P10" s="40" t="n">
        <f aca="false">IF(P7=0,0,P9/P7)</f>
        <v>0.706602132907848</v>
      </c>
      <c r="Q10" s="40" t="n">
        <f aca="false">IF(Q7=0,0,Q9/Q7)</f>
        <v>0.715945829763815</v>
      </c>
      <c r="R10" s="40" t="n">
        <f aca="false">IF(R7=0,0,R9/R7)</f>
        <v>0.723948341942357</v>
      </c>
      <c r="S10" s="40" t="n">
        <f aca="false">IF(S7=0,0,S9/S7)</f>
        <v>0.730866740034963</v>
      </c>
    </row>
    <row r="11" customFormat="false" ht="15" hidden="false" customHeight="false" outlineLevel="0" collapsed="false">
      <c r="A11" s="51" t="s">
        <v>76</v>
      </c>
      <c r="B11" s="36" t="n">
        <f aca="false">'P&amp;L'!B16</f>
        <v>-445823.018390469</v>
      </c>
      <c r="C11" s="36" t="n">
        <f aca="false">'P&amp;L'!C16</f>
        <v>-464040.355366072</v>
      </c>
      <c r="D11" s="36" t="n">
        <f aca="false">'P&amp;L'!D16</f>
        <v>-474041.026016</v>
      </c>
      <c r="H11" s="36" t="n">
        <f aca="false">INDEX(Monthly!$C$41:$AL$41,($R$2-1)*12+1)</f>
        <v>-36566.5866666667</v>
      </c>
      <c r="I11" s="36" t="n">
        <f aca="false">INDEX(Monthly!$C$41:$AL$41,($R$2-1)*12+2)</f>
        <v>-36695.6509866667</v>
      </c>
      <c r="J11" s="36" t="n">
        <f aca="false">INDEX(Monthly!$C$41:$AL$41,($R$2-1)*12+3)</f>
        <v>-36816.9714474667</v>
      </c>
      <c r="K11" s="36" t="n">
        <f aca="false">INDEX(Monthly!$C$41:$AL$41,($R$2-1)*12+4)</f>
        <v>-36931.0126806187</v>
      </c>
      <c r="L11" s="36" t="n">
        <f aca="false">INDEX(Monthly!$C$41:$AL$41,($R$2-1)*12+5)</f>
        <v>-37038.2114397816</v>
      </c>
      <c r="M11" s="36" t="n">
        <f aca="false">INDEX(Monthly!$C$41:$AL$41,($R$2-1)*12+6)</f>
        <v>-37138.9782733947</v>
      </c>
      <c r="N11" s="36" t="n">
        <f aca="false">INDEX(Monthly!$C$41:$AL$41,($R$2-1)*12+7)</f>
        <v>-37233.699096991</v>
      </c>
      <c r="O11" s="36" t="n">
        <f aca="false">INDEX(Monthly!$C$41:$AL$41,($R$2-1)*12+8)</f>
        <v>-37322.7366711715</v>
      </c>
      <c r="P11" s="36" t="n">
        <f aca="false">INDEX(Monthly!$C$41:$AL$41,($R$2-1)*12+9)</f>
        <v>-37406.4319909012</v>
      </c>
      <c r="Q11" s="36" t="n">
        <f aca="false">INDEX(Monthly!$C$41:$AL$41,($R$2-1)*12+10)</f>
        <v>-37485.1055914472</v>
      </c>
      <c r="R11" s="36" t="n">
        <f aca="false">INDEX(Monthly!$C$41:$AL$41,($R$2-1)*12+11)</f>
        <v>-37559.0587759603</v>
      </c>
      <c r="S11" s="36" t="n">
        <f aca="false">INDEX(Monthly!$C$41:$AL$41,($R$2-1)*12+12)</f>
        <v>-37628.5747694027</v>
      </c>
    </row>
    <row r="12" customFormat="false" ht="15" hidden="false" customHeight="false" outlineLevel="0" collapsed="false">
      <c r="A12" s="37" t="s">
        <v>48</v>
      </c>
      <c r="B12" s="38" t="n">
        <f aca="false">'P&amp;L'!B17</f>
        <v>-182978.134141062</v>
      </c>
      <c r="C12" s="38" t="n">
        <f aca="false">'P&amp;L'!C17</f>
        <v>40239.7675238735</v>
      </c>
      <c r="D12" s="38" t="n">
        <f aca="false">'P&amp;L'!D17</f>
        <v>79977.9283840001</v>
      </c>
      <c r="E12" s="37"/>
      <c r="F12" s="37"/>
      <c r="H12" s="38" t="n">
        <f aca="false">INDEX(Monthly!$C$42:$AL$42,($R$2-1)*12+1)</f>
        <v>-27858.9366666667</v>
      </c>
      <c r="I12" s="38" t="n">
        <f aca="false">INDEX(Monthly!$C$42:$AL$42,($R$2-1)*12+2)</f>
        <v>-25078.2919866667</v>
      </c>
      <c r="J12" s="38" t="n">
        <f aca="false">INDEX(Monthly!$C$42:$AL$42,($R$2-1)*12+3)</f>
        <v>-22464.4859874667</v>
      </c>
      <c r="K12" s="38" t="n">
        <f aca="false">INDEX(Monthly!$C$42:$AL$42,($R$2-1)*12+4)</f>
        <v>-20007.5083482187</v>
      </c>
      <c r="L12" s="38" t="n">
        <f aca="false">INDEX(Monthly!$C$42:$AL$42,($R$2-1)*12+5)</f>
        <v>-17697.9493673256</v>
      </c>
      <c r="M12" s="38" t="n">
        <f aca="false">INDEX(Monthly!$C$42:$AL$42,($R$2-1)*12+6)</f>
        <v>-15526.963925286</v>
      </c>
      <c r="N12" s="38" t="n">
        <f aca="false">INDEX(Monthly!$C$42:$AL$42,($R$2-1)*12+7)</f>
        <v>-13486.2376097689</v>
      </c>
      <c r="O12" s="38" t="n">
        <f aca="false">INDEX(Monthly!$C$42:$AL$42,($R$2-1)*12+8)</f>
        <v>-11567.9548731827</v>
      </c>
      <c r="P12" s="38" t="n">
        <f aca="false">INDEX(Monthly!$C$42:$AL$42,($R$2-1)*12+9)</f>
        <v>-9764.76910079178</v>
      </c>
      <c r="Q12" s="38" t="n">
        <f aca="false">INDEX(Monthly!$C$42:$AL$42,($R$2-1)*12+10)</f>
        <v>-8069.77447474427</v>
      </c>
      <c r="R12" s="38" t="n">
        <f aca="false">INDEX(Monthly!$C$42:$AL$42,($R$2-1)*12+11)</f>
        <v>-6476.47952625962</v>
      </c>
      <c r="S12" s="38" t="n">
        <f aca="false">INDEX(Monthly!$C$42:$AL$42,($R$2-1)*12+12)</f>
        <v>-4978.78227468404</v>
      </c>
    </row>
    <row r="13" customFormat="false" ht="15" hidden="false" customHeight="false" outlineLevel="0" collapsed="false">
      <c r="A13" s="39" t="s">
        <v>49</v>
      </c>
      <c r="B13" s="40" t="n">
        <f aca="false">'P&amp;L'!B18</f>
        <v>-0.465503835451804</v>
      </c>
      <c r="C13" s="40" t="n">
        <f aca="false">'P&amp;L'!C18</f>
        <v>0.0606080943967504</v>
      </c>
      <c r="D13" s="40" t="n">
        <f aca="false">'P&amp;L'!D18</f>
        <v>0.110674894026847</v>
      </c>
      <c r="H13" s="40" t="n">
        <f aca="false">IF(H7=0,0,H12/H7)</f>
        <v>-1.53721440526771</v>
      </c>
      <c r="I13" s="40" t="n">
        <f aca="false">IF(I7=0,0,I12/I7)</f>
        <v>-1.17464882665137</v>
      </c>
      <c r="J13" s="40" t="n">
        <f aca="false">IF(J7=0,0,J12/J7)</f>
        <v>-0.921331933553736</v>
      </c>
      <c r="K13" s="40" t="n">
        <f aca="false">IF(K7=0,0,K12/K7)</f>
        <v>-0.734661277205546</v>
      </c>
      <c r="L13" s="40" t="n">
        <f aca="false">IF(L7=0,0,L12/L7)</f>
        <v>-0.591635173709505</v>
      </c>
      <c r="M13" s="40" t="n">
        <f aca="false">IF(M7=0,0,M12/M7)</f>
        <v>-0.47874277374107</v>
      </c>
      <c r="N13" s="40" t="n">
        <f aca="false">IF(N7=0,0,N12/N7)</f>
        <v>-0.387526535042777</v>
      </c>
      <c r="O13" s="40" t="n">
        <f aca="false">IF(O7=0,0,O12/O7)</f>
        <v>-0.31242155571303</v>
      </c>
      <c r="P13" s="40" t="n">
        <f aca="false">IF(P7=0,0,P12/P7)</f>
        <v>-0.249616193548216</v>
      </c>
      <c r="Q13" s="40" t="n">
        <f aca="false">IF(Q7=0,0,Q12/Q7)</f>
        <v>-0.196411910490003</v>
      </c>
      <c r="R13" s="40" t="n">
        <f aca="false">IF(R7=0,0,R12/R7)</f>
        <v>-0.150844515733179</v>
      </c>
      <c r="S13" s="40" t="n">
        <f aca="false">IF(S7=0,0,S12/S7)</f>
        <v>-0.111450214301692</v>
      </c>
    </row>
    <row r="14" customFormat="false" ht="15" hidden="false" customHeight="false" outlineLevel="0" collapsed="false">
      <c r="A14" s="51" t="s">
        <v>77</v>
      </c>
      <c r="B14" s="36" t="n">
        <f aca="false">'P&amp;L'!B19</f>
        <v>-35714.2857142857</v>
      </c>
      <c r="C14" s="36" t="n">
        <f aca="false">'P&amp;L'!C19</f>
        <v>-35714.2857142857</v>
      </c>
      <c r="D14" s="36" t="n">
        <f aca="false">'P&amp;L'!D19</f>
        <v>-35714.2857142857</v>
      </c>
      <c r="H14" s="36" t="n">
        <f aca="false">INDEX(Monthly!$C$56:$AL$56,($R$2-1)*12+1)</f>
        <v>-2976.19047619048</v>
      </c>
      <c r="I14" s="36" t="n">
        <f aca="false">INDEX(Monthly!$C$56:$AL$56,($R$2-1)*12+2)</f>
        <v>-2976.19047619048</v>
      </c>
      <c r="J14" s="36" t="n">
        <f aca="false">INDEX(Monthly!$C$56:$AL$56,($R$2-1)*12+3)</f>
        <v>-2976.19047619048</v>
      </c>
      <c r="K14" s="36" t="n">
        <f aca="false">INDEX(Monthly!$C$56:$AL$56,($R$2-1)*12+4)</f>
        <v>-2976.19047619048</v>
      </c>
      <c r="L14" s="36" t="n">
        <f aca="false">INDEX(Monthly!$C$56:$AL$56,($R$2-1)*12+5)</f>
        <v>-2976.19047619048</v>
      </c>
      <c r="M14" s="36" t="n">
        <f aca="false">INDEX(Monthly!$C$56:$AL$56,($R$2-1)*12+6)</f>
        <v>-2976.19047619048</v>
      </c>
      <c r="N14" s="36" t="n">
        <f aca="false">INDEX(Monthly!$C$56:$AL$56,($R$2-1)*12+7)</f>
        <v>-2976.19047619048</v>
      </c>
      <c r="O14" s="36" t="n">
        <f aca="false">INDEX(Monthly!$C$56:$AL$56,($R$2-1)*12+8)</f>
        <v>-2976.19047619048</v>
      </c>
      <c r="P14" s="36" t="n">
        <f aca="false">INDEX(Monthly!$C$56:$AL$56,($R$2-1)*12+9)</f>
        <v>-2976.19047619048</v>
      </c>
      <c r="Q14" s="36" t="n">
        <f aca="false">INDEX(Monthly!$C$56:$AL$56,($R$2-1)*12+10)</f>
        <v>-2976.19047619048</v>
      </c>
      <c r="R14" s="36" t="n">
        <f aca="false">INDEX(Monthly!$C$56:$AL$56,($R$2-1)*12+11)</f>
        <v>-2976.19047619048</v>
      </c>
      <c r="S14" s="36" t="n">
        <f aca="false">INDEX(Monthly!$C$56:$AL$56,($R$2-1)*12+12)</f>
        <v>-2976.19047619048</v>
      </c>
    </row>
    <row r="15" customFormat="false" ht="15" hidden="false" customHeight="false" outlineLevel="0" collapsed="false">
      <c r="A15" s="37" t="s">
        <v>78</v>
      </c>
      <c r="B15" s="38" t="n">
        <f aca="false">'P&amp;L'!B20</f>
        <v>-218692.419855347</v>
      </c>
      <c r="C15" s="38" t="n">
        <f aca="false">'P&amp;L'!C20</f>
        <v>4525.48180958777</v>
      </c>
      <c r="D15" s="38" t="n">
        <f aca="false">'P&amp;L'!D20</f>
        <v>44263.6426697144</v>
      </c>
      <c r="E15" s="37"/>
      <c r="F15" s="37"/>
      <c r="H15" s="38" t="n">
        <f aca="false">INDEX(Monthly!$C$45:$AL$45,($R$2-1)*12+1)</f>
        <v>-30835.1271428571</v>
      </c>
      <c r="I15" s="38" t="n">
        <f aca="false">INDEX(Monthly!$C$45:$AL$45,($R$2-1)*12+2)</f>
        <v>-28054.4824628572</v>
      </c>
      <c r="J15" s="38" t="n">
        <f aca="false">INDEX(Monthly!$C$45:$AL$45,($R$2-1)*12+3)</f>
        <v>-25440.6764636572</v>
      </c>
      <c r="K15" s="38" t="n">
        <f aca="false">INDEX(Monthly!$C$45:$AL$45,($R$2-1)*12+4)</f>
        <v>-22983.6988244092</v>
      </c>
      <c r="L15" s="38" t="n">
        <f aca="false">INDEX(Monthly!$C$45:$AL$45,($R$2-1)*12+5)</f>
        <v>-20674.139843516</v>
      </c>
      <c r="M15" s="38" t="n">
        <f aca="false">INDEX(Monthly!$C$45:$AL$45,($R$2-1)*12+6)</f>
        <v>-18503.1544014765</v>
      </c>
      <c r="N15" s="38" t="n">
        <f aca="false">INDEX(Monthly!$C$45:$AL$45,($R$2-1)*12+7)</f>
        <v>-16462.4280859593</v>
      </c>
      <c r="O15" s="38" t="n">
        <f aca="false">INDEX(Monthly!$C$45:$AL$45,($R$2-1)*12+8)</f>
        <v>-14544.1453493732</v>
      </c>
      <c r="P15" s="38" t="n">
        <f aca="false">INDEX(Monthly!$C$45:$AL$45,($R$2-1)*12+9)</f>
        <v>-12740.9595769823</v>
      </c>
      <c r="Q15" s="38" t="n">
        <f aca="false">INDEX(Monthly!$C$45:$AL$45,($R$2-1)*12+10)</f>
        <v>-11045.9649509347</v>
      </c>
      <c r="R15" s="38" t="n">
        <f aca="false">INDEX(Monthly!$C$45:$AL$45,($R$2-1)*12+11)</f>
        <v>-9452.67000245009</v>
      </c>
      <c r="S15" s="38" t="n">
        <f aca="false">INDEX(Monthly!$C$45:$AL$45,($R$2-1)*12+12)</f>
        <v>-7954.97275087452</v>
      </c>
    </row>
    <row r="16" customFormat="false" ht="15" hidden="false" customHeight="false" outlineLevel="0" collapsed="false">
      <c r="A16" s="51" t="s">
        <v>79</v>
      </c>
      <c r="B16" s="36" t="n">
        <f aca="false">'P&amp;L'!B21</f>
        <v>-11279.7619047619</v>
      </c>
      <c r="C16" s="36" t="n">
        <f aca="false">'P&amp;L'!C21</f>
        <v>-9571.42857142857</v>
      </c>
      <c r="D16" s="36" t="n">
        <f aca="false">'P&amp;L'!D21</f>
        <v>-7857.14285714285</v>
      </c>
      <c r="H16" s="36" t="n">
        <f aca="false">INDEX(Monthly!$C$46:$AL$46,($R$2-1)*12+1)</f>
        <v>-1000</v>
      </c>
      <c r="I16" s="36" t="n">
        <f aca="false">INDEX(Monthly!$C$46:$AL$46,($R$2-1)*12+2)</f>
        <v>-994.047619047619</v>
      </c>
      <c r="J16" s="36" t="n">
        <f aca="false">INDEX(Monthly!$C$46:$AL$46,($R$2-1)*12+3)</f>
        <v>-982.142857142857</v>
      </c>
      <c r="K16" s="36" t="n">
        <f aca="false">INDEX(Monthly!$C$46:$AL$46,($R$2-1)*12+4)</f>
        <v>-970.238095238095</v>
      </c>
      <c r="L16" s="36" t="n">
        <f aca="false">INDEX(Monthly!$C$46:$AL$46,($R$2-1)*12+5)</f>
        <v>-958.333333333333</v>
      </c>
      <c r="M16" s="36" t="n">
        <f aca="false">INDEX(Monthly!$C$46:$AL$46,($R$2-1)*12+6)</f>
        <v>-946.428571428571</v>
      </c>
      <c r="N16" s="36" t="n">
        <f aca="false">INDEX(Monthly!$C$46:$AL$46,($R$2-1)*12+7)</f>
        <v>-934.52380952381</v>
      </c>
      <c r="O16" s="36" t="n">
        <f aca="false">INDEX(Monthly!$C$46:$AL$46,($R$2-1)*12+8)</f>
        <v>-922.619047619047</v>
      </c>
      <c r="P16" s="36" t="n">
        <f aca="false">INDEX(Monthly!$C$46:$AL$46,($R$2-1)*12+9)</f>
        <v>-910.714285714286</v>
      </c>
      <c r="Q16" s="36" t="n">
        <f aca="false">INDEX(Monthly!$C$46:$AL$46,($R$2-1)*12+10)</f>
        <v>-898.809523809524</v>
      </c>
      <c r="R16" s="36" t="n">
        <f aca="false">INDEX(Monthly!$C$46:$AL$46,($R$2-1)*12+11)</f>
        <v>-886.904761904762</v>
      </c>
      <c r="S16" s="36" t="n">
        <f aca="false">INDEX(Monthly!$C$46:$AL$46,($R$2-1)*12+12)</f>
        <v>-875</v>
      </c>
    </row>
    <row r="17" customFormat="false" ht="15" hidden="false" customHeight="false" outlineLevel="0" collapsed="false">
      <c r="A17" s="51" t="s">
        <v>80</v>
      </c>
      <c r="B17" s="36" t="n">
        <f aca="false">'P&amp;L'!B22</f>
        <v>-229972.181760109</v>
      </c>
      <c r="C17" s="36" t="n">
        <f aca="false">'P&amp;L'!C22</f>
        <v>-5045.9467618408</v>
      </c>
      <c r="D17" s="36" t="n">
        <f aca="false">'P&amp;L'!D22</f>
        <v>36406.4998125715</v>
      </c>
      <c r="H17" s="36" t="n">
        <f aca="false">INDEX(Monthly!$C$47:$AL$47,($R$2-1)*12+1)</f>
        <v>-31835.1271428571</v>
      </c>
      <c r="I17" s="36" t="n">
        <f aca="false">INDEX(Monthly!$C$47:$AL$47,($R$2-1)*12+2)</f>
        <v>-29048.5300819048</v>
      </c>
      <c r="J17" s="36" t="n">
        <f aca="false">INDEX(Monthly!$C$47:$AL$47,($R$2-1)*12+3)</f>
        <v>-26422.8193208</v>
      </c>
      <c r="K17" s="36" t="n">
        <f aca="false">INDEX(Monthly!$C$47:$AL$47,($R$2-1)*12+4)</f>
        <v>-23953.9369196472</v>
      </c>
      <c r="L17" s="36" t="n">
        <f aca="false">INDEX(Monthly!$C$47:$AL$47,($R$2-1)*12+5)</f>
        <v>-21632.4731768494</v>
      </c>
      <c r="M17" s="36" t="n">
        <f aca="false">INDEX(Monthly!$C$47:$AL$47,($R$2-1)*12+6)</f>
        <v>-19449.5829729051</v>
      </c>
      <c r="N17" s="36" t="n">
        <f aca="false">INDEX(Monthly!$C$47:$AL$47,($R$2-1)*12+7)</f>
        <v>-17396.9518954832</v>
      </c>
      <c r="O17" s="36" t="n">
        <f aca="false">INDEX(Monthly!$C$47:$AL$47,($R$2-1)*12+8)</f>
        <v>-15466.7643969923</v>
      </c>
      <c r="P17" s="36" t="n">
        <f aca="false">INDEX(Monthly!$C$47:$AL$47,($R$2-1)*12+9)</f>
        <v>-13651.6738626965</v>
      </c>
      <c r="Q17" s="36" t="n">
        <f aca="false">INDEX(Monthly!$C$47:$AL$47,($R$2-1)*12+10)</f>
        <v>-11944.7744747443</v>
      </c>
      <c r="R17" s="36" t="n">
        <f aca="false">INDEX(Monthly!$C$47:$AL$47,($R$2-1)*12+11)</f>
        <v>-10339.5747643549</v>
      </c>
      <c r="S17" s="36" t="n">
        <f aca="false">INDEX(Monthly!$C$47:$AL$47,($R$2-1)*12+12)</f>
        <v>-8829.97275087452</v>
      </c>
    </row>
    <row r="18" customFormat="false" ht="15" hidden="false" customHeight="false" outlineLevel="0" collapsed="false">
      <c r="A18" s="51" t="s">
        <v>81</v>
      </c>
      <c r="B18" s="36" t="n">
        <f aca="false">'P&amp;L'!B23</f>
        <v>0</v>
      </c>
      <c r="C18" s="36" t="n">
        <f aca="false">'P&amp;L'!C23</f>
        <v>0</v>
      </c>
      <c r="D18" s="36" t="n">
        <f aca="false">'P&amp;L'!D23</f>
        <v>0</v>
      </c>
      <c r="H18" s="36" t="n">
        <f aca="false">INDEX(Monthly!$C$50:$AL$50,($R$2-1)*12+1)</f>
        <v>-0</v>
      </c>
      <c r="I18" s="36" t="n">
        <f aca="false">INDEX(Monthly!$C$50:$AL$50,($R$2-1)*12+2)</f>
        <v>-0</v>
      </c>
      <c r="J18" s="36" t="n">
        <f aca="false">INDEX(Monthly!$C$50:$AL$50,($R$2-1)*12+3)</f>
        <v>-0</v>
      </c>
      <c r="K18" s="36" t="n">
        <f aca="false">INDEX(Monthly!$C$50:$AL$50,($R$2-1)*12+4)</f>
        <v>-0</v>
      </c>
      <c r="L18" s="36" t="n">
        <f aca="false">INDEX(Monthly!$C$50:$AL$50,($R$2-1)*12+5)</f>
        <v>-0</v>
      </c>
      <c r="M18" s="36" t="n">
        <f aca="false">INDEX(Monthly!$C$50:$AL$50,($R$2-1)*12+6)</f>
        <v>-0</v>
      </c>
      <c r="N18" s="36" t="n">
        <f aca="false">INDEX(Monthly!$C$50:$AL$50,($R$2-1)*12+7)</f>
        <v>-0</v>
      </c>
      <c r="O18" s="36" t="n">
        <f aca="false">INDEX(Monthly!$C$50:$AL$50,($R$2-1)*12+8)</f>
        <v>-0</v>
      </c>
      <c r="P18" s="36" t="n">
        <f aca="false">INDEX(Monthly!$C$50:$AL$50,($R$2-1)*12+9)</f>
        <v>-0</v>
      </c>
      <c r="Q18" s="36" t="n">
        <f aca="false">INDEX(Monthly!$C$50:$AL$50,($R$2-1)*12+10)</f>
        <v>-0</v>
      </c>
      <c r="R18" s="36" t="n">
        <f aca="false">INDEX(Monthly!$C$50:$AL$50,($R$2-1)*12+11)</f>
        <v>-0</v>
      </c>
      <c r="S18" s="36" t="n">
        <f aca="false">INDEX(Monthly!$C$50:$AL$50,($R$2-1)*12+12)</f>
        <v>-0</v>
      </c>
    </row>
    <row r="19" customFormat="false" ht="15" hidden="false" customHeight="false" outlineLevel="0" collapsed="false">
      <c r="A19" s="41" t="s">
        <v>50</v>
      </c>
      <c r="B19" s="42" t="n">
        <f aca="false">'P&amp;L'!B24</f>
        <v>-229972.181760109</v>
      </c>
      <c r="C19" s="42" t="n">
        <f aca="false">'P&amp;L'!C24</f>
        <v>-5045.9467618408</v>
      </c>
      <c r="D19" s="42" t="n">
        <f aca="false">'P&amp;L'!D24</f>
        <v>36406.4998125715</v>
      </c>
      <c r="E19" s="41"/>
      <c r="F19" s="41"/>
      <c r="H19" s="42" t="n">
        <f aca="false">INDEX(Monthly!$C$51:$AL$51,($R$2-1)*12+1)</f>
        <v>-31835.1271428571</v>
      </c>
      <c r="I19" s="42" t="n">
        <f aca="false">INDEX(Monthly!$C$51:$AL$51,($R$2-1)*12+2)</f>
        <v>-29048.5300819048</v>
      </c>
      <c r="J19" s="42" t="n">
        <f aca="false">INDEX(Monthly!$C$51:$AL$51,($R$2-1)*12+3)</f>
        <v>-26422.8193208</v>
      </c>
      <c r="K19" s="42" t="n">
        <f aca="false">INDEX(Monthly!$C$51:$AL$51,($R$2-1)*12+4)</f>
        <v>-23953.9369196472</v>
      </c>
      <c r="L19" s="42" t="n">
        <f aca="false">INDEX(Monthly!$C$51:$AL$51,($R$2-1)*12+5)</f>
        <v>-21632.4731768494</v>
      </c>
      <c r="M19" s="42" t="n">
        <f aca="false">INDEX(Monthly!$C$51:$AL$51,($R$2-1)*12+6)</f>
        <v>-19449.5829729051</v>
      </c>
      <c r="N19" s="42" t="n">
        <f aca="false">INDEX(Monthly!$C$51:$AL$51,($R$2-1)*12+7)</f>
        <v>-17396.9518954832</v>
      </c>
      <c r="O19" s="42" t="n">
        <f aca="false">INDEX(Monthly!$C$51:$AL$51,($R$2-1)*12+8)</f>
        <v>-15466.7643969923</v>
      </c>
      <c r="P19" s="42" t="n">
        <f aca="false">INDEX(Monthly!$C$51:$AL$51,($R$2-1)*12+9)</f>
        <v>-13651.6738626965</v>
      </c>
      <c r="Q19" s="42" t="n">
        <f aca="false">INDEX(Monthly!$C$51:$AL$51,($R$2-1)*12+10)</f>
        <v>-11944.7744747443</v>
      </c>
      <c r="R19" s="42" t="n">
        <f aca="false">INDEX(Monthly!$C$51:$AL$51,($R$2-1)*12+11)</f>
        <v>-10339.5747643549</v>
      </c>
      <c r="S19" s="42" t="n">
        <f aca="false">INDEX(Monthly!$C$51:$AL$51,($R$2-1)*12+12)</f>
        <v>-8829.97275087452</v>
      </c>
    </row>
    <row r="20" customFormat="false" ht="15" hidden="false" customHeight="false" outlineLevel="0" collapsed="false">
      <c r="A20" s="39" t="s">
        <v>51</v>
      </c>
      <c r="B20" s="40" t="n">
        <f aca="false">'P&amp;L'!B25</f>
        <v>-0.585058609101463</v>
      </c>
      <c r="C20" s="40" t="n">
        <f aca="false">'P&amp;L'!C25</f>
        <v>-0.00760007416745596</v>
      </c>
      <c r="D20" s="40" t="n">
        <f aca="false">'P&amp;L'!D25</f>
        <v>0.0503799684495309</v>
      </c>
      <c r="H20" s="40" t="n">
        <f aca="false">IF(H7=0,0,H19/H7)</f>
        <v>-1.75661464122149</v>
      </c>
      <c r="I20" s="40" t="n">
        <f aca="false">IF(I7=0,0,I19/I7)</f>
        <v>-1.36061187080834</v>
      </c>
      <c r="J20" s="40" t="n">
        <f aca="false">IF(J7=0,0,J19/J7)</f>
        <v>-1.08367434840734</v>
      </c>
      <c r="K20" s="40" t="n">
        <f aca="false">IF(K7=0,0,K19/K7)</f>
        <v>-0.879571288198709</v>
      </c>
      <c r="L20" s="40" t="n">
        <f aca="false">IF(L7=0,0,L19/L7)</f>
        <v>-0.723164687620843</v>
      </c>
      <c r="M20" s="40" t="n">
        <f aca="false">IF(M7=0,0,M19/M7)</f>
        <v>-0.599688860318141</v>
      </c>
      <c r="N20" s="40" t="n">
        <f aca="false">IF(N7=0,0,N19/N7)</f>
        <v>-0.499900764278318</v>
      </c>
      <c r="O20" s="40" t="n">
        <f aca="false">IF(O7=0,0,O19/O7)</f>
        <v>-0.417718658806087</v>
      </c>
      <c r="P20" s="40" t="n">
        <f aca="false">IF(P7=0,0,P19/P7)</f>
        <v>-0.348976901552303</v>
      </c>
      <c r="Q20" s="40" t="n">
        <f aca="false">IF(Q7=0,0,Q19/Q7)</f>
        <v>-0.290726337185661</v>
      </c>
      <c r="R20" s="40" t="n">
        <f aca="false">IF(R7=0,0,R19/R7)</f>
        <v>-0.240820362651076</v>
      </c>
      <c r="S20" s="40" t="n">
        <f aca="false">IF(S7=0,0,S19/S7)</f>
        <v>-0.197659246994391</v>
      </c>
    </row>
    <row r="22" customFormat="false" ht="15.75" hidden="false" customHeight="true" outlineLevel="0" collapsed="false">
      <c r="A22" s="7" t="s">
        <v>82</v>
      </c>
      <c r="B22" s="7"/>
      <c r="C22" s="7"/>
      <c r="D22" s="7"/>
      <c r="E22" s="7"/>
      <c r="F22" s="7"/>
      <c r="H22" s="7" t="str">
        <f aca="false">"Cash flow ($'000) — Year "&amp;$R$2&amp;", by month"</f>
        <v>Cash flow ($'000) — Year 1, by month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</row>
    <row r="23" customFormat="false" ht="15" hidden="false" customHeight="false" outlineLevel="0" collapsed="false">
      <c r="A23" s="33"/>
      <c r="B23" s="34" t="n">
        <v>1</v>
      </c>
      <c r="C23" s="34" t="n">
        <v>2</v>
      </c>
      <c r="D23" s="34" t="n">
        <v>3</v>
      </c>
      <c r="E23" s="35"/>
      <c r="F23" s="35"/>
      <c r="H23" s="50" t="n">
        <f aca="false">INDEX(Monthly!$C$4:$AL$4,($R$2-1)*12+1)</f>
        <v>1</v>
      </c>
      <c r="I23" s="50" t="n">
        <f aca="false">INDEX(Monthly!$C$4:$AL$4,($R$2-1)*12+2)</f>
        <v>2</v>
      </c>
      <c r="J23" s="50" t="n">
        <f aca="false">INDEX(Monthly!$C$4:$AL$4,($R$2-1)*12+3)</f>
        <v>3</v>
      </c>
      <c r="K23" s="50" t="n">
        <f aca="false">INDEX(Monthly!$C$4:$AL$4,($R$2-1)*12+4)</f>
        <v>4</v>
      </c>
      <c r="L23" s="50" t="n">
        <f aca="false">INDEX(Monthly!$C$4:$AL$4,($R$2-1)*12+5)</f>
        <v>5</v>
      </c>
      <c r="M23" s="50" t="n">
        <f aca="false">INDEX(Monthly!$C$4:$AL$4,($R$2-1)*12+6)</f>
        <v>6</v>
      </c>
      <c r="N23" s="50" t="n">
        <f aca="false">INDEX(Monthly!$C$4:$AL$4,($R$2-1)*12+7)</f>
        <v>7</v>
      </c>
      <c r="O23" s="50" t="n">
        <f aca="false">INDEX(Monthly!$C$4:$AL$4,($R$2-1)*12+8)</f>
        <v>8</v>
      </c>
      <c r="P23" s="50" t="n">
        <f aca="false">INDEX(Monthly!$C$4:$AL$4,($R$2-1)*12+9)</f>
        <v>9</v>
      </c>
      <c r="Q23" s="50" t="n">
        <f aca="false">INDEX(Monthly!$C$4:$AL$4,($R$2-1)*12+10)</f>
        <v>10</v>
      </c>
      <c r="R23" s="50" t="n">
        <f aca="false">INDEX(Monthly!$C$4:$AL$4,($R$2-1)*12+11)</f>
        <v>11</v>
      </c>
      <c r="S23" s="50" t="n">
        <f aca="false">INDEX(Monthly!$C$4:$AL$4,($R$2-1)*12+12)</f>
        <v>12</v>
      </c>
    </row>
    <row r="24" customFormat="false" ht="15" hidden="false" customHeight="false" outlineLevel="0" collapsed="false">
      <c r="A24" s="37" t="s">
        <v>52</v>
      </c>
      <c r="B24" s="38" t="n">
        <f aca="false">'Cash Flow'!B10</f>
        <v>-190250.259354596</v>
      </c>
      <c r="C24" s="38" t="n">
        <f aca="false">'Cash Flow'!C10</f>
        <v>31208.1522612175</v>
      </c>
      <c r="D24" s="38" t="n">
        <f aca="false">'Cash Flow'!D10</f>
        <v>72257.2090268572</v>
      </c>
      <c r="E24" s="37"/>
      <c r="F24" s="37"/>
      <c r="H24" s="38" t="n">
        <f aca="false">INDEX(Monthly!$C$75:$AL$75,($R$2-1)*12+1)</f>
        <v>-25720.4866666667</v>
      </c>
      <c r="I24" s="38" t="n">
        <f aca="false">INDEX(Monthly!$C$75:$AL$75,($R$2-1)*12+2)</f>
        <v>-25966.7066057143</v>
      </c>
      <c r="J24" s="38" t="n">
        <f aca="false">INDEX(Monthly!$C$75:$AL$75,($R$2-1)*12+3)</f>
        <v>-23347.3338246095</v>
      </c>
      <c r="K24" s="38" t="n">
        <f aca="false">INDEX(Monthly!$C$75:$AL$75,($R$2-1)*12+4)</f>
        <v>-20884.4091246568</v>
      </c>
      <c r="L24" s="38" t="n">
        <f aca="false">INDEX(Monthly!$C$75:$AL$75,($R$2-1)*12+5)</f>
        <v>-18568.5456209869</v>
      </c>
      <c r="M24" s="38" t="n">
        <f aca="false">INDEX(Monthly!$C$75:$AL$75,($R$2-1)*12+6)</f>
        <v>-16390.9196418229</v>
      </c>
      <c r="N24" s="38" t="n">
        <f aca="false">INDEX(Monthly!$C$75:$AL$75,($R$2-1)*12+7)</f>
        <v>-14343.2369356945</v>
      </c>
      <c r="O24" s="38" t="n">
        <f aca="false">INDEX(Monthly!$C$75:$AL$75,($R$2-1)*12+8)</f>
        <v>-12417.7009062195</v>
      </c>
      <c r="P24" s="38" t="n">
        <f aca="false">INDEX(Monthly!$C$75:$AL$75,($R$2-1)*12+9)</f>
        <v>-10606.9827527987</v>
      </c>
      <c r="Q24" s="38" t="n">
        <f aca="false">INDEX(Monthly!$C$75:$AL$75,($R$2-1)*12+10)</f>
        <v>-8904.19340286889</v>
      </c>
      <c r="R24" s="38" t="n">
        <f aca="false">INDEX(Monthly!$C$75:$AL$75,($R$2-1)*12+11)</f>
        <v>-7302.85712822056</v>
      </c>
      <c r="S24" s="38" t="n">
        <f aca="false">INDEX(Monthly!$C$75:$AL$75,($R$2-1)*12+12)</f>
        <v>-5796.88674433685</v>
      </c>
    </row>
    <row r="25" customFormat="false" ht="15" hidden="false" customHeight="false" outlineLevel="0" collapsed="false">
      <c r="A25" s="51" t="s">
        <v>83</v>
      </c>
      <c r="B25" s="36" t="n">
        <f aca="false">'Cash Flow'!B11</f>
        <v>-250000</v>
      </c>
      <c r="C25" s="36" t="n">
        <f aca="false">'Cash Flow'!C11</f>
        <v>0</v>
      </c>
      <c r="D25" s="36" t="n">
        <f aca="false">'Cash Flow'!D11</f>
        <v>0</v>
      </c>
      <c r="H25" s="36" t="n">
        <f aca="false">INDEX(Monthly!$C$76:$AL$76,($R$2-1)*12+1)</f>
        <v>-250000</v>
      </c>
      <c r="I25" s="36" t="n">
        <f aca="false">INDEX(Monthly!$C$76:$AL$76,($R$2-1)*12+2)</f>
        <v>-0</v>
      </c>
      <c r="J25" s="36" t="n">
        <f aca="false">INDEX(Monthly!$C$76:$AL$76,($R$2-1)*12+3)</f>
        <v>-0</v>
      </c>
      <c r="K25" s="36" t="n">
        <f aca="false">INDEX(Monthly!$C$76:$AL$76,($R$2-1)*12+4)</f>
        <v>-0</v>
      </c>
      <c r="L25" s="36" t="n">
        <f aca="false">INDEX(Monthly!$C$76:$AL$76,($R$2-1)*12+5)</f>
        <v>-0</v>
      </c>
      <c r="M25" s="36" t="n">
        <f aca="false">INDEX(Monthly!$C$76:$AL$76,($R$2-1)*12+6)</f>
        <v>-0</v>
      </c>
      <c r="N25" s="36" t="n">
        <f aca="false">INDEX(Monthly!$C$76:$AL$76,($R$2-1)*12+7)</f>
        <v>-0</v>
      </c>
      <c r="O25" s="36" t="n">
        <f aca="false">INDEX(Monthly!$C$76:$AL$76,($R$2-1)*12+8)</f>
        <v>-0</v>
      </c>
      <c r="P25" s="36" t="n">
        <f aca="false">INDEX(Monthly!$C$76:$AL$76,($R$2-1)*12+9)</f>
        <v>-0</v>
      </c>
      <c r="Q25" s="36" t="n">
        <f aca="false">INDEX(Monthly!$C$76:$AL$76,($R$2-1)*12+10)</f>
        <v>-0</v>
      </c>
      <c r="R25" s="36" t="n">
        <f aca="false">INDEX(Monthly!$C$76:$AL$76,($R$2-1)*12+11)</f>
        <v>-0</v>
      </c>
      <c r="S25" s="36" t="n">
        <f aca="false">INDEX(Monthly!$C$76:$AL$76,($R$2-1)*12+12)</f>
        <v>-0</v>
      </c>
    </row>
    <row r="26" customFormat="false" ht="15" hidden="false" customHeight="false" outlineLevel="0" collapsed="false">
      <c r="A26" s="51" t="s">
        <v>63</v>
      </c>
      <c r="B26" s="36" t="n">
        <f aca="false">'Cash Flow'!B12</f>
        <v>330000</v>
      </c>
      <c r="C26" s="36" t="n">
        <f aca="false">'Cash Flow'!C12</f>
        <v>0</v>
      </c>
      <c r="D26" s="36" t="n">
        <f aca="false">'Cash Flow'!D12</f>
        <v>0</v>
      </c>
      <c r="H26" s="36" t="n">
        <f aca="false">INDEX(Monthly!$C$77:$AL$77,($R$2-1)*12+1)</f>
        <v>330000</v>
      </c>
      <c r="I26" s="36" t="n">
        <f aca="false">INDEX(Monthly!$C$77:$AL$77,($R$2-1)*12+2)</f>
        <v>0</v>
      </c>
      <c r="J26" s="36" t="n">
        <f aca="false">INDEX(Monthly!$C$77:$AL$77,($R$2-1)*12+3)</f>
        <v>0</v>
      </c>
      <c r="K26" s="36" t="n">
        <f aca="false">INDEX(Monthly!$C$77:$AL$77,($R$2-1)*12+4)</f>
        <v>0</v>
      </c>
      <c r="L26" s="36" t="n">
        <f aca="false">INDEX(Monthly!$C$77:$AL$77,($R$2-1)*12+5)</f>
        <v>0</v>
      </c>
      <c r="M26" s="36" t="n">
        <f aca="false">INDEX(Monthly!$C$77:$AL$77,($R$2-1)*12+6)</f>
        <v>0</v>
      </c>
      <c r="N26" s="36" t="n">
        <f aca="false">INDEX(Monthly!$C$77:$AL$77,($R$2-1)*12+7)</f>
        <v>0</v>
      </c>
      <c r="O26" s="36" t="n">
        <f aca="false">INDEX(Monthly!$C$77:$AL$77,($R$2-1)*12+8)</f>
        <v>0</v>
      </c>
      <c r="P26" s="36" t="n">
        <f aca="false">INDEX(Monthly!$C$77:$AL$77,($R$2-1)*12+9)</f>
        <v>0</v>
      </c>
      <c r="Q26" s="36" t="n">
        <f aca="false">INDEX(Monthly!$C$77:$AL$77,($R$2-1)*12+10)</f>
        <v>0</v>
      </c>
      <c r="R26" s="36" t="n">
        <f aca="false">INDEX(Monthly!$C$77:$AL$77,($R$2-1)*12+11)</f>
        <v>0</v>
      </c>
      <c r="S26" s="36" t="n">
        <f aca="false">INDEX(Monthly!$C$77:$AL$77,($R$2-1)*12+12)</f>
        <v>0</v>
      </c>
    </row>
    <row r="27" customFormat="false" ht="15" hidden="false" customHeight="false" outlineLevel="0" collapsed="false">
      <c r="A27" s="51" t="s">
        <v>84</v>
      </c>
      <c r="B27" s="36" t="n">
        <f aca="false">'Cash Flow'!B13</f>
        <v>150000</v>
      </c>
      <c r="C27" s="36" t="n">
        <f aca="false">'Cash Flow'!C13</f>
        <v>0</v>
      </c>
      <c r="D27" s="36" t="n">
        <f aca="false">'Cash Flow'!D13</f>
        <v>0</v>
      </c>
      <c r="H27" s="36" t="n">
        <f aca="false">INDEX(Monthly!$C$62:$AL$62,($R$2-1)*12+1)</f>
        <v>150000</v>
      </c>
      <c r="I27" s="36" t="n">
        <f aca="false">INDEX(Monthly!$C$62:$AL$62,($R$2-1)*12+2)</f>
        <v>0</v>
      </c>
      <c r="J27" s="36" t="n">
        <f aca="false">INDEX(Monthly!$C$62:$AL$62,($R$2-1)*12+3)</f>
        <v>0</v>
      </c>
      <c r="K27" s="36" t="n">
        <f aca="false">INDEX(Monthly!$C$62:$AL$62,($R$2-1)*12+4)</f>
        <v>0</v>
      </c>
      <c r="L27" s="36" t="n">
        <f aca="false">INDEX(Monthly!$C$62:$AL$62,($R$2-1)*12+5)</f>
        <v>0</v>
      </c>
      <c r="M27" s="36" t="n">
        <f aca="false">INDEX(Monthly!$C$62:$AL$62,($R$2-1)*12+6)</f>
        <v>0</v>
      </c>
      <c r="N27" s="36" t="n">
        <f aca="false">INDEX(Monthly!$C$62:$AL$62,($R$2-1)*12+7)</f>
        <v>0</v>
      </c>
      <c r="O27" s="36" t="n">
        <f aca="false">INDEX(Monthly!$C$62:$AL$62,($R$2-1)*12+8)</f>
        <v>0</v>
      </c>
      <c r="P27" s="36" t="n">
        <f aca="false">INDEX(Monthly!$C$62:$AL$62,($R$2-1)*12+9)</f>
        <v>0</v>
      </c>
      <c r="Q27" s="36" t="n">
        <f aca="false">INDEX(Monthly!$C$62:$AL$62,($R$2-1)*12+10)</f>
        <v>0</v>
      </c>
      <c r="R27" s="36" t="n">
        <f aca="false">INDEX(Monthly!$C$62:$AL$62,($R$2-1)*12+11)</f>
        <v>0</v>
      </c>
      <c r="S27" s="36" t="n">
        <f aca="false">INDEX(Monthly!$C$62:$AL$62,($R$2-1)*12+12)</f>
        <v>0</v>
      </c>
    </row>
    <row r="28" customFormat="false" ht="15" hidden="false" customHeight="false" outlineLevel="0" collapsed="false">
      <c r="A28" s="51" t="s">
        <v>85</v>
      </c>
      <c r="B28" s="36" t="n">
        <f aca="false">'Cash Flow'!B14</f>
        <v>-19642.8571428571</v>
      </c>
      <c r="C28" s="36" t="n">
        <f aca="false">'Cash Flow'!C14</f>
        <v>-21428.5714285714</v>
      </c>
      <c r="D28" s="36" t="n">
        <f aca="false">'Cash Flow'!D14</f>
        <v>-21428.5714285714</v>
      </c>
      <c r="H28" s="36" t="n">
        <f aca="false">INDEX(Monthly!$C$63:$AL$63,($R$2-1)*12+1)</f>
        <v>-0</v>
      </c>
      <c r="I28" s="36" t="n">
        <f aca="false">INDEX(Monthly!$C$63:$AL$63,($R$2-1)*12+2)</f>
        <v>-1785.71428571429</v>
      </c>
      <c r="J28" s="36" t="n">
        <f aca="false">INDEX(Monthly!$C$63:$AL$63,($R$2-1)*12+3)</f>
        <v>-1785.71428571429</v>
      </c>
      <c r="K28" s="36" t="n">
        <f aca="false">INDEX(Monthly!$C$63:$AL$63,($R$2-1)*12+4)</f>
        <v>-1785.71428571429</v>
      </c>
      <c r="L28" s="36" t="n">
        <f aca="false">INDEX(Monthly!$C$63:$AL$63,($R$2-1)*12+5)</f>
        <v>-1785.71428571429</v>
      </c>
      <c r="M28" s="36" t="n">
        <f aca="false">INDEX(Monthly!$C$63:$AL$63,($R$2-1)*12+6)</f>
        <v>-1785.71428571429</v>
      </c>
      <c r="N28" s="36" t="n">
        <f aca="false">INDEX(Monthly!$C$63:$AL$63,($R$2-1)*12+7)</f>
        <v>-1785.71428571429</v>
      </c>
      <c r="O28" s="36" t="n">
        <f aca="false">INDEX(Monthly!$C$63:$AL$63,($R$2-1)*12+8)</f>
        <v>-1785.71428571429</v>
      </c>
      <c r="P28" s="36" t="n">
        <f aca="false">INDEX(Monthly!$C$63:$AL$63,($R$2-1)*12+9)</f>
        <v>-1785.71428571429</v>
      </c>
      <c r="Q28" s="36" t="n">
        <f aca="false">INDEX(Monthly!$C$63:$AL$63,($R$2-1)*12+10)</f>
        <v>-1785.71428571429</v>
      </c>
      <c r="R28" s="36" t="n">
        <f aca="false">INDEX(Monthly!$C$63:$AL$63,($R$2-1)*12+11)</f>
        <v>-1785.71428571429</v>
      </c>
      <c r="S28" s="36" t="n">
        <f aca="false">INDEX(Monthly!$C$63:$AL$63,($R$2-1)*12+12)</f>
        <v>-1785.71428571429</v>
      </c>
    </row>
    <row r="29" customFormat="false" ht="15" hidden="false" customHeight="false" outlineLevel="0" collapsed="false">
      <c r="A29" s="37" t="s">
        <v>54</v>
      </c>
      <c r="B29" s="38" t="n">
        <f aca="false">'Cash Flow'!B15</f>
        <v>460357.142857143</v>
      </c>
      <c r="C29" s="38" t="n">
        <f aca="false">'Cash Flow'!C15</f>
        <v>-21428.5714285714</v>
      </c>
      <c r="D29" s="38" t="n">
        <f aca="false">'Cash Flow'!D15</f>
        <v>-21428.5714285714</v>
      </c>
      <c r="E29" s="37"/>
      <c r="F29" s="37"/>
      <c r="H29" s="38" t="n">
        <f aca="false">INDEX(Monthly!$C$78:$AL$78,($R$2-1)*12+1)</f>
        <v>480000</v>
      </c>
      <c r="I29" s="38" t="n">
        <f aca="false">INDEX(Monthly!$C$78:$AL$78,($R$2-1)*12+2)</f>
        <v>-1785.71428571429</v>
      </c>
      <c r="J29" s="38" t="n">
        <f aca="false">INDEX(Monthly!$C$78:$AL$78,($R$2-1)*12+3)</f>
        <v>-1785.71428571429</v>
      </c>
      <c r="K29" s="38" t="n">
        <f aca="false">INDEX(Monthly!$C$78:$AL$78,($R$2-1)*12+4)</f>
        <v>-1785.71428571429</v>
      </c>
      <c r="L29" s="38" t="n">
        <f aca="false">INDEX(Monthly!$C$78:$AL$78,($R$2-1)*12+5)</f>
        <v>-1785.71428571429</v>
      </c>
      <c r="M29" s="38" t="n">
        <f aca="false">INDEX(Monthly!$C$78:$AL$78,($R$2-1)*12+6)</f>
        <v>-1785.71428571429</v>
      </c>
      <c r="N29" s="38" t="n">
        <f aca="false">INDEX(Monthly!$C$78:$AL$78,($R$2-1)*12+7)</f>
        <v>-1785.71428571429</v>
      </c>
      <c r="O29" s="38" t="n">
        <f aca="false">INDEX(Monthly!$C$78:$AL$78,($R$2-1)*12+8)</f>
        <v>-1785.71428571429</v>
      </c>
      <c r="P29" s="38" t="n">
        <f aca="false">INDEX(Monthly!$C$78:$AL$78,($R$2-1)*12+9)</f>
        <v>-1785.71428571429</v>
      </c>
      <c r="Q29" s="38" t="n">
        <f aca="false">INDEX(Monthly!$C$78:$AL$78,($R$2-1)*12+10)</f>
        <v>-1785.71428571429</v>
      </c>
      <c r="R29" s="38" t="n">
        <f aca="false">INDEX(Monthly!$C$78:$AL$78,($R$2-1)*12+11)</f>
        <v>-1785.71428571429</v>
      </c>
      <c r="S29" s="38" t="n">
        <f aca="false">INDEX(Monthly!$C$78:$AL$78,($R$2-1)*12+12)</f>
        <v>-1785.71428571429</v>
      </c>
    </row>
    <row r="30" customFormat="false" ht="15" hidden="false" customHeight="false" outlineLevel="0" collapsed="false">
      <c r="A30" s="37" t="s">
        <v>55</v>
      </c>
      <c r="B30" s="38" t="n">
        <f aca="false">'Cash Flow'!B16</f>
        <v>20106.8835025468</v>
      </c>
      <c r="C30" s="38" t="n">
        <f aca="false">'Cash Flow'!C16</f>
        <v>9779.58083264608</v>
      </c>
      <c r="D30" s="38" t="n">
        <f aca="false">'Cash Flow'!D16</f>
        <v>50828.6375982858</v>
      </c>
      <c r="E30" s="37"/>
      <c r="F30" s="37"/>
      <c r="H30" s="38" t="n">
        <f aca="false">INDEX(Monthly!$C$79:$AL$79,($R$2-1)*12+1)</f>
        <v>204279.513333333</v>
      </c>
      <c r="I30" s="38" t="n">
        <f aca="false">INDEX(Monthly!$C$79:$AL$79,($R$2-1)*12+2)</f>
        <v>-27752.4208914286</v>
      </c>
      <c r="J30" s="38" t="n">
        <f aca="false">INDEX(Monthly!$C$79:$AL$79,($R$2-1)*12+3)</f>
        <v>-25133.0481103238</v>
      </c>
      <c r="K30" s="38" t="n">
        <f aca="false">INDEX(Monthly!$C$79:$AL$79,($R$2-1)*12+4)</f>
        <v>-22670.1234103711</v>
      </c>
      <c r="L30" s="38" t="n">
        <f aca="false">INDEX(Monthly!$C$79:$AL$79,($R$2-1)*12+5)</f>
        <v>-20354.2599067012</v>
      </c>
      <c r="M30" s="38" t="n">
        <f aca="false">INDEX(Monthly!$C$79:$AL$79,($R$2-1)*12+6)</f>
        <v>-18176.6339275372</v>
      </c>
      <c r="N30" s="38" t="n">
        <f aca="false">INDEX(Monthly!$C$79:$AL$79,($R$2-1)*12+7)</f>
        <v>-16128.9512214088</v>
      </c>
      <c r="O30" s="38" t="n">
        <f aca="false">INDEX(Monthly!$C$79:$AL$79,($R$2-1)*12+8)</f>
        <v>-14203.4151919338</v>
      </c>
      <c r="P30" s="38" t="n">
        <f aca="false">INDEX(Monthly!$C$79:$AL$79,($R$2-1)*12+9)</f>
        <v>-12392.697038513</v>
      </c>
      <c r="Q30" s="38" t="n">
        <f aca="false">INDEX(Monthly!$C$79:$AL$79,($R$2-1)*12+10)</f>
        <v>-10689.9076885832</v>
      </c>
      <c r="R30" s="38" t="n">
        <f aca="false">INDEX(Monthly!$C$79:$AL$79,($R$2-1)*12+11)</f>
        <v>-9088.57141393485</v>
      </c>
      <c r="S30" s="38" t="n">
        <f aca="false">INDEX(Monthly!$C$79:$AL$79,($R$2-1)*12+12)</f>
        <v>-7582.60103005114</v>
      </c>
    </row>
    <row r="31" customFormat="false" ht="15" hidden="false" customHeight="false" outlineLevel="0" collapsed="false">
      <c r="A31" s="41" t="s">
        <v>86</v>
      </c>
      <c r="B31" s="42" t="n">
        <f aca="false">'Cash Flow'!B18</f>
        <v>20106.8835025468</v>
      </c>
      <c r="C31" s="42" t="n">
        <f aca="false">'Cash Flow'!C18</f>
        <v>29886.4643351928</v>
      </c>
      <c r="D31" s="42" t="n">
        <f aca="false">'Cash Flow'!D18</f>
        <v>80715.1019334786</v>
      </c>
      <c r="E31" s="41"/>
      <c r="F31" s="41"/>
      <c r="H31" s="42" t="n">
        <f aca="false">INDEX(Monthly!$C$81:$AL$81,($R$2-1)*12+1)</f>
        <v>204279.513333333</v>
      </c>
      <c r="I31" s="42" t="n">
        <f aca="false">INDEX(Monthly!$C$81:$AL$81,($R$2-1)*12+2)</f>
        <v>176527.092441905</v>
      </c>
      <c r="J31" s="42" t="n">
        <f aca="false">INDEX(Monthly!$C$81:$AL$81,($R$2-1)*12+3)</f>
        <v>151394.044331581</v>
      </c>
      <c r="K31" s="42" t="n">
        <f aca="false">INDEX(Monthly!$C$81:$AL$81,($R$2-1)*12+4)</f>
        <v>128723.92092121</v>
      </c>
      <c r="L31" s="42" t="n">
        <f aca="false">INDEX(Monthly!$C$81:$AL$81,($R$2-1)*12+5)</f>
        <v>108369.661014509</v>
      </c>
      <c r="M31" s="42" t="n">
        <f aca="false">INDEX(Monthly!$C$81:$AL$81,($R$2-1)*12+6)</f>
        <v>90193.0270869715</v>
      </c>
      <c r="N31" s="42" t="n">
        <f aca="false">INDEX(Monthly!$C$81:$AL$81,($R$2-1)*12+7)</f>
        <v>74064.0758655627</v>
      </c>
      <c r="O31" s="42" t="n">
        <f aca="false">INDEX(Monthly!$C$81:$AL$81,($R$2-1)*12+8)</f>
        <v>59860.6606736289</v>
      </c>
      <c r="P31" s="42" t="n">
        <f aca="false">INDEX(Monthly!$C$81:$AL$81,($R$2-1)*12+9)</f>
        <v>47467.9636351159</v>
      </c>
      <c r="Q31" s="42" t="n">
        <f aca="false">INDEX(Monthly!$C$81:$AL$81,($R$2-1)*12+10)</f>
        <v>36778.0559465327</v>
      </c>
      <c r="R31" s="42" t="n">
        <f aca="false">INDEX(Monthly!$C$81:$AL$81,($R$2-1)*12+11)</f>
        <v>27689.4845325979</v>
      </c>
      <c r="S31" s="42" t="n">
        <f aca="false">INDEX(Monthly!$C$81:$AL$81,($R$2-1)*12+12)</f>
        <v>20106.8835025468</v>
      </c>
    </row>
    <row r="39" customFormat="false" ht="15.75" hidden="false" customHeight="true" outlineLevel="0" collapsed="false">
      <c r="A39" s="7" t="s">
        <v>87</v>
      </c>
      <c r="B39" s="7"/>
      <c r="C39" s="7"/>
      <c r="D39" s="7"/>
      <c r="E39" s="7"/>
      <c r="F39" s="7"/>
      <c r="H39" s="7" t="str">
        <f aca="false">"Balance sheet at month end ($'000) — Year "&amp;$R$2</f>
        <v>Balance sheet at month end ($'000) — Year 1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</row>
    <row r="40" customFormat="false" ht="15" hidden="false" customHeight="false" outlineLevel="0" collapsed="false">
      <c r="A40" s="33"/>
      <c r="B40" s="34" t="n">
        <v>1</v>
      </c>
      <c r="C40" s="34" t="n">
        <v>2</v>
      </c>
      <c r="D40" s="34" t="n">
        <v>3</v>
      </c>
      <c r="E40" s="35"/>
      <c r="F40" s="35"/>
      <c r="H40" s="50" t="n">
        <f aca="false">INDEX(Monthly!$C$4:$AL$4,($R$2-1)*12+1)</f>
        <v>1</v>
      </c>
      <c r="I40" s="50" t="n">
        <f aca="false">INDEX(Monthly!$C$4:$AL$4,($R$2-1)*12+2)</f>
        <v>2</v>
      </c>
      <c r="J40" s="50" t="n">
        <f aca="false">INDEX(Monthly!$C$4:$AL$4,($R$2-1)*12+3)</f>
        <v>3</v>
      </c>
      <c r="K40" s="50" t="n">
        <f aca="false">INDEX(Monthly!$C$4:$AL$4,($R$2-1)*12+4)</f>
        <v>4</v>
      </c>
      <c r="L40" s="50" t="n">
        <f aca="false">INDEX(Monthly!$C$4:$AL$4,($R$2-1)*12+5)</f>
        <v>5</v>
      </c>
      <c r="M40" s="50" t="n">
        <f aca="false">INDEX(Monthly!$C$4:$AL$4,($R$2-1)*12+6)</f>
        <v>6</v>
      </c>
      <c r="N40" s="50" t="n">
        <f aca="false">INDEX(Monthly!$C$4:$AL$4,($R$2-1)*12+7)</f>
        <v>7</v>
      </c>
      <c r="O40" s="50" t="n">
        <f aca="false">INDEX(Monthly!$C$4:$AL$4,($R$2-1)*12+8)</f>
        <v>8</v>
      </c>
      <c r="P40" s="50" t="n">
        <f aca="false">INDEX(Monthly!$C$4:$AL$4,($R$2-1)*12+9)</f>
        <v>9</v>
      </c>
      <c r="Q40" s="50" t="n">
        <f aca="false">INDEX(Monthly!$C$4:$AL$4,($R$2-1)*12+10)</f>
        <v>10</v>
      </c>
      <c r="R40" s="50" t="n">
        <f aca="false">INDEX(Monthly!$C$4:$AL$4,($R$2-1)*12+11)</f>
        <v>11</v>
      </c>
      <c r="S40" s="50" t="n">
        <f aca="false">INDEX(Monthly!$C$4:$AL$4,($R$2-1)*12+12)</f>
        <v>12</v>
      </c>
    </row>
    <row r="41" customFormat="false" ht="15" hidden="false" customHeight="false" outlineLevel="0" collapsed="false">
      <c r="A41" s="51" t="s">
        <v>88</v>
      </c>
      <c r="B41" s="36" t="n">
        <f aca="false">'Balance Sheet'!B5</f>
        <v>20106.8835025468</v>
      </c>
      <c r="C41" s="36" t="n">
        <f aca="false">'Balance Sheet'!C5</f>
        <v>29886.4643351928</v>
      </c>
      <c r="D41" s="36" t="n">
        <f aca="false">'Balance Sheet'!D5</f>
        <v>80715.1019334786</v>
      </c>
      <c r="H41" s="36" t="n">
        <f aca="false">INDEX(Monthly!$C$81:$AL$81,($R$2-1)*12+1)</f>
        <v>204279.513333333</v>
      </c>
      <c r="I41" s="36" t="n">
        <f aca="false">INDEX(Monthly!$C$81:$AL$81,($R$2-1)*12+2)</f>
        <v>176527.092441905</v>
      </c>
      <c r="J41" s="36" t="n">
        <f aca="false">INDEX(Monthly!$C$81:$AL$81,($R$2-1)*12+3)</f>
        <v>151394.044331581</v>
      </c>
      <c r="K41" s="36" t="n">
        <f aca="false">INDEX(Monthly!$C$81:$AL$81,($R$2-1)*12+4)</f>
        <v>128723.92092121</v>
      </c>
      <c r="L41" s="36" t="n">
        <f aca="false">INDEX(Monthly!$C$81:$AL$81,($R$2-1)*12+5)</f>
        <v>108369.661014509</v>
      </c>
      <c r="M41" s="36" t="n">
        <f aca="false">INDEX(Monthly!$C$81:$AL$81,($R$2-1)*12+6)</f>
        <v>90193.0270869715</v>
      </c>
      <c r="N41" s="36" t="n">
        <f aca="false">INDEX(Monthly!$C$81:$AL$81,($R$2-1)*12+7)</f>
        <v>74064.0758655627</v>
      </c>
      <c r="O41" s="36" t="n">
        <f aca="false">INDEX(Monthly!$C$81:$AL$81,($R$2-1)*12+8)</f>
        <v>59860.6606736289</v>
      </c>
      <c r="P41" s="36" t="n">
        <f aca="false">INDEX(Monthly!$C$81:$AL$81,($R$2-1)*12+9)</f>
        <v>47467.9636351159</v>
      </c>
      <c r="Q41" s="36" t="n">
        <f aca="false">INDEX(Monthly!$C$81:$AL$81,($R$2-1)*12+10)</f>
        <v>36778.0559465327</v>
      </c>
      <c r="R41" s="36" t="n">
        <f aca="false">INDEX(Monthly!$C$81:$AL$81,($R$2-1)*12+11)</f>
        <v>27689.4845325979</v>
      </c>
      <c r="S41" s="36" t="n">
        <f aca="false">INDEX(Monthly!$C$81:$AL$81,($R$2-1)*12+12)</f>
        <v>20106.8835025468</v>
      </c>
    </row>
    <row r="42" customFormat="false" ht="15" hidden="false" customHeight="false" outlineLevel="0" collapsed="false">
      <c r="A42" s="51" t="s">
        <v>89</v>
      </c>
      <c r="B42" s="36" t="n">
        <f aca="false">'Balance Sheet'!B6</f>
        <v>0</v>
      </c>
      <c r="C42" s="36" t="n">
        <f aca="false">'Balance Sheet'!C6</f>
        <v>0</v>
      </c>
      <c r="D42" s="36" t="n">
        <f aca="false">'Balance Sheet'!D6</f>
        <v>0</v>
      </c>
      <c r="H42" s="36" t="n">
        <f aca="false">INDEX(Monthly!$C$67:$AL$67,($R$2-1)*12+1)</f>
        <v>0</v>
      </c>
      <c r="I42" s="36" t="n">
        <f aca="false">INDEX(Monthly!$C$67:$AL$67,($R$2-1)*12+2)</f>
        <v>0</v>
      </c>
      <c r="J42" s="36" t="n">
        <f aca="false">INDEX(Monthly!$C$67:$AL$67,($R$2-1)*12+3)</f>
        <v>0</v>
      </c>
      <c r="K42" s="36" t="n">
        <f aca="false">INDEX(Monthly!$C$67:$AL$67,($R$2-1)*12+4)</f>
        <v>0</v>
      </c>
      <c r="L42" s="36" t="n">
        <f aca="false">INDEX(Monthly!$C$67:$AL$67,($R$2-1)*12+5)</f>
        <v>0</v>
      </c>
      <c r="M42" s="36" t="n">
        <f aca="false">INDEX(Monthly!$C$67:$AL$67,($R$2-1)*12+6)</f>
        <v>0</v>
      </c>
      <c r="N42" s="36" t="n">
        <f aca="false">INDEX(Monthly!$C$67:$AL$67,($R$2-1)*12+7)</f>
        <v>0</v>
      </c>
      <c r="O42" s="36" t="n">
        <f aca="false">INDEX(Monthly!$C$67:$AL$67,($R$2-1)*12+8)</f>
        <v>0</v>
      </c>
      <c r="P42" s="36" t="n">
        <f aca="false">INDEX(Monthly!$C$67:$AL$67,($R$2-1)*12+9)</f>
        <v>0</v>
      </c>
      <c r="Q42" s="36" t="n">
        <f aca="false">INDEX(Monthly!$C$67:$AL$67,($R$2-1)*12+10)</f>
        <v>0</v>
      </c>
      <c r="R42" s="36" t="n">
        <f aca="false">INDEX(Monthly!$C$67:$AL$67,($R$2-1)*12+11)</f>
        <v>0</v>
      </c>
      <c r="S42" s="36" t="n">
        <f aca="false">INDEX(Monthly!$C$67:$AL$67,($R$2-1)*12+12)</f>
        <v>0</v>
      </c>
    </row>
    <row r="43" customFormat="false" ht="15" hidden="false" customHeight="false" outlineLevel="0" collapsed="false">
      <c r="A43" s="51" t="s">
        <v>90</v>
      </c>
      <c r="B43" s="36" t="n">
        <f aca="false">'Balance Sheet'!B7</f>
        <v>4007.63669122741</v>
      </c>
      <c r="C43" s="36" t="n">
        <f aca="false">'Balance Sheet'!C7</f>
        <v>4547.45</v>
      </c>
      <c r="D43" s="36" t="n">
        <f aca="false">'Balance Sheet'!D7</f>
        <v>4683.8735</v>
      </c>
      <c r="H43" s="36" t="n">
        <f aca="false">INDEX(Monthly!$C$68:$AL$68,($R$2-1)*12+1)</f>
        <v>3138.45</v>
      </c>
      <c r="I43" s="36" t="n">
        <f aca="false">INDEX(Monthly!$C$68:$AL$68,($R$2-1)*12+2)</f>
        <v>3244.083</v>
      </c>
      <c r="J43" s="36" t="n">
        <f aca="false">INDEX(Monthly!$C$68:$AL$68,($R$2-1)*12+3)</f>
        <v>3343.37802</v>
      </c>
      <c r="K43" s="36" t="n">
        <f aca="false">INDEX(Monthly!$C$68:$AL$68,($R$2-1)*12+4)</f>
        <v>3436.7153388</v>
      </c>
      <c r="L43" s="36" t="n">
        <f aca="false">INDEX(Monthly!$C$68:$AL$68,($R$2-1)*12+5)</f>
        <v>3524.452418472</v>
      </c>
      <c r="M43" s="36" t="n">
        <f aca="false">INDEX(Monthly!$C$68:$AL$68,($R$2-1)*12+6)</f>
        <v>3606.92527336368</v>
      </c>
      <c r="N43" s="36" t="n">
        <f aca="false">INDEX(Monthly!$C$68:$AL$68,($R$2-1)*12+7)</f>
        <v>3684.44975696186</v>
      </c>
      <c r="O43" s="36" t="n">
        <f aca="false">INDEX(Monthly!$C$68:$AL$68,($R$2-1)*12+8)</f>
        <v>3757.32277154415</v>
      </c>
      <c r="P43" s="36" t="n">
        <f aca="false">INDEX(Monthly!$C$68:$AL$68,($R$2-1)*12+9)</f>
        <v>3825.8234052515</v>
      </c>
      <c r="Q43" s="36" t="n">
        <f aca="false">INDEX(Monthly!$C$68:$AL$68,($R$2-1)*12+10)</f>
        <v>3890.21400093641</v>
      </c>
      <c r="R43" s="36" t="n">
        <f aca="false">INDEX(Monthly!$C$68:$AL$68,($R$2-1)*12+11)</f>
        <v>3950.74116088022</v>
      </c>
      <c r="S43" s="36" t="n">
        <f aca="false">INDEX(Monthly!$C$68:$AL$68,($R$2-1)*12+12)</f>
        <v>4007.63669122741</v>
      </c>
    </row>
    <row r="44" customFormat="false" ht="15" hidden="false" customHeight="false" outlineLevel="0" collapsed="false">
      <c r="A44" s="51" t="s">
        <v>91</v>
      </c>
      <c r="B44" s="36" t="n">
        <f aca="false">'Balance Sheet'!B8</f>
        <v>214285.714285714</v>
      </c>
      <c r="C44" s="36" t="n">
        <f aca="false">'Balance Sheet'!C8</f>
        <v>178571.428571429</v>
      </c>
      <c r="D44" s="36" t="n">
        <f aca="false">'Balance Sheet'!D8</f>
        <v>142857.142857143</v>
      </c>
      <c r="H44" s="36" t="n">
        <f aca="false">INDEX(Monthly!$C$58:$AL$58,($R$2-1)*12+1)</f>
        <v>247023.80952381</v>
      </c>
      <c r="I44" s="36" t="n">
        <f aca="false">INDEX(Monthly!$C$58:$AL$58,($R$2-1)*12+2)</f>
        <v>244047.619047619</v>
      </c>
      <c r="J44" s="36" t="n">
        <f aca="false">INDEX(Monthly!$C$58:$AL$58,($R$2-1)*12+3)</f>
        <v>241071.428571429</v>
      </c>
      <c r="K44" s="36" t="n">
        <f aca="false">INDEX(Monthly!$C$58:$AL$58,($R$2-1)*12+4)</f>
        <v>238095.238095238</v>
      </c>
      <c r="L44" s="36" t="n">
        <f aca="false">INDEX(Monthly!$C$58:$AL$58,($R$2-1)*12+5)</f>
        <v>235119.047619048</v>
      </c>
      <c r="M44" s="36" t="n">
        <f aca="false">INDEX(Monthly!$C$58:$AL$58,($R$2-1)*12+6)</f>
        <v>232142.857142857</v>
      </c>
      <c r="N44" s="36" t="n">
        <f aca="false">INDEX(Monthly!$C$58:$AL$58,($R$2-1)*12+7)</f>
        <v>229166.666666667</v>
      </c>
      <c r="O44" s="36" t="n">
        <f aca="false">INDEX(Monthly!$C$58:$AL$58,($R$2-1)*12+8)</f>
        <v>226190.476190476</v>
      </c>
      <c r="P44" s="36" t="n">
        <f aca="false">INDEX(Monthly!$C$58:$AL$58,($R$2-1)*12+9)</f>
        <v>223214.285714286</v>
      </c>
      <c r="Q44" s="36" t="n">
        <f aca="false">INDEX(Monthly!$C$58:$AL$58,($R$2-1)*12+10)</f>
        <v>220238.095238095</v>
      </c>
      <c r="R44" s="36" t="n">
        <f aca="false">INDEX(Monthly!$C$58:$AL$58,($R$2-1)*12+11)</f>
        <v>217261.904761905</v>
      </c>
      <c r="S44" s="36" t="n">
        <f aca="false">INDEX(Monthly!$C$58:$AL$58,($R$2-1)*12+12)</f>
        <v>214285.714285714</v>
      </c>
    </row>
    <row r="45" customFormat="false" ht="15" hidden="false" customHeight="false" outlineLevel="0" collapsed="false">
      <c r="A45" s="37" t="s">
        <v>92</v>
      </c>
      <c r="B45" s="38" t="n">
        <f aca="false">'Balance Sheet'!B9</f>
        <v>238400.234479488</v>
      </c>
      <c r="C45" s="38" t="n">
        <f aca="false">'Balance Sheet'!C9</f>
        <v>213005.342906621</v>
      </c>
      <c r="D45" s="38" t="n">
        <f aca="false">'Balance Sheet'!D9</f>
        <v>228256.118290622</v>
      </c>
      <c r="E45" s="37"/>
      <c r="F45" s="37"/>
      <c r="H45" s="38" t="n">
        <f aca="false">INDEX(Monthly!$C$95:$AL$95,($R$2-1)*12+1)</f>
        <v>454441.772857143</v>
      </c>
      <c r="I45" s="38" t="n">
        <f aca="false">INDEX(Monthly!$C$95:$AL$95,($R$2-1)*12+2)</f>
        <v>423818.794489524</v>
      </c>
      <c r="J45" s="38" t="n">
        <f aca="false">INDEX(Monthly!$C$95:$AL$95,($R$2-1)*12+3)</f>
        <v>395808.85092301</v>
      </c>
      <c r="K45" s="38" t="n">
        <f aca="false">INDEX(Monthly!$C$95:$AL$95,($R$2-1)*12+4)</f>
        <v>370255.874355248</v>
      </c>
      <c r="L45" s="38" t="n">
        <f aca="false">INDEX(Monthly!$C$95:$AL$95,($R$2-1)*12+5)</f>
        <v>347013.161052028</v>
      </c>
      <c r="M45" s="38" t="n">
        <f aca="false">INDEX(Monthly!$C$95:$AL$95,($R$2-1)*12+6)</f>
        <v>325942.809503192</v>
      </c>
      <c r="N45" s="38" t="n">
        <f aca="false">INDEX(Monthly!$C$95:$AL$95,($R$2-1)*12+7)</f>
        <v>306915.192289191</v>
      </c>
      <c r="O45" s="38" t="n">
        <f aca="false">INDEX(Monthly!$C$95:$AL$95,($R$2-1)*12+8)</f>
        <v>289808.459635649</v>
      </c>
      <c r="P45" s="38" t="n">
        <f aca="false">INDEX(Monthly!$C$95:$AL$95,($R$2-1)*12+9)</f>
        <v>274508.072754653</v>
      </c>
      <c r="Q45" s="38" t="n">
        <f aca="false">INDEX(Monthly!$C$95:$AL$95,($R$2-1)*12+10)</f>
        <v>260906.365185564</v>
      </c>
      <c r="R45" s="38" t="n">
        <f aca="false">INDEX(Monthly!$C$95:$AL$95,($R$2-1)*12+11)</f>
        <v>248902.130455383</v>
      </c>
      <c r="S45" s="38" t="n">
        <f aca="false">INDEX(Monthly!$C$95:$AL$95,($R$2-1)*12+12)</f>
        <v>238400.234479488</v>
      </c>
    </row>
    <row r="46" customFormat="false" ht="15" hidden="false" customHeight="false" outlineLevel="0" collapsed="false">
      <c r="A46" s="51" t="s">
        <v>93</v>
      </c>
      <c r="B46" s="36" t="n">
        <f aca="false">'Balance Sheet'!B10</f>
        <v>8015.27338245482</v>
      </c>
      <c r="C46" s="36" t="n">
        <f aca="false">'Balance Sheet'!C10</f>
        <v>9094.9</v>
      </c>
      <c r="D46" s="36" t="n">
        <f aca="false">'Balance Sheet'!D10</f>
        <v>9367.747</v>
      </c>
      <c r="H46" s="36" t="n">
        <f aca="false">INDEX(Monthly!$C$69:$AL$69,($R$2-1)*12+1)</f>
        <v>6276.9</v>
      </c>
      <c r="I46" s="36" t="n">
        <f aca="false">INDEX(Monthly!$C$69:$AL$69,($R$2-1)*12+2)</f>
        <v>6488.166</v>
      </c>
      <c r="J46" s="36" t="n">
        <f aca="false">INDEX(Monthly!$C$69:$AL$69,($R$2-1)*12+3)</f>
        <v>6686.75604</v>
      </c>
      <c r="K46" s="36" t="n">
        <f aca="false">INDEX(Monthly!$C$69:$AL$69,($R$2-1)*12+4)</f>
        <v>6873.4306776</v>
      </c>
      <c r="L46" s="36" t="n">
        <f aca="false">INDEX(Monthly!$C$69:$AL$69,($R$2-1)*12+5)</f>
        <v>7048.904836944</v>
      </c>
      <c r="M46" s="36" t="n">
        <f aca="false">INDEX(Monthly!$C$69:$AL$69,($R$2-1)*12+6)</f>
        <v>7213.85054672736</v>
      </c>
      <c r="N46" s="36" t="n">
        <f aca="false">INDEX(Monthly!$C$69:$AL$69,($R$2-1)*12+7)</f>
        <v>7368.89951392372</v>
      </c>
      <c r="O46" s="36" t="n">
        <f aca="false">INDEX(Monthly!$C$69:$AL$69,($R$2-1)*12+8)</f>
        <v>7514.64554308829</v>
      </c>
      <c r="P46" s="36" t="n">
        <f aca="false">INDEX(Monthly!$C$69:$AL$69,($R$2-1)*12+9)</f>
        <v>7651.646810503</v>
      </c>
      <c r="Q46" s="36" t="n">
        <f aca="false">INDEX(Monthly!$C$69:$AL$69,($R$2-1)*12+10)</f>
        <v>7780.42800187282</v>
      </c>
      <c r="R46" s="36" t="n">
        <f aca="false">INDEX(Monthly!$C$69:$AL$69,($R$2-1)*12+11)</f>
        <v>7901.48232176045</v>
      </c>
      <c r="S46" s="36" t="n">
        <f aca="false">INDEX(Monthly!$C$69:$AL$69,($R$2-1)*12+12)</f>
        <v>8015.27338245482</v>
      </c>
    </row>
    <row r="47" customFormat="false" ht="15" hidden="false" customHeight="false" outlineLevel="0" collapsed="false">
      <c r="A47" s="51" t="s">
        <v>94</v>
      </c>
      <c r="B47" s="36" t="n">
        <f aca="false">'Balance Sheet'!B11</f>
        <v>130357.142857143</v>
      </c>
      <c r="C47" s="36" t="n">
        <f aca="false">'Balance Sheet'!C11</f>
        <v>108928.571428571</v>
      </c>
      <c r="D47" s="36" t="n">
        <f aca="false">'Balance Sheet'!D11</f>
        <v>87499.9999999999</v>
      </c>
      <c r="H47" s="36" t="n">
        <f aca="false">INDEX(Monthly!$C$64:$AL$64,($R$2-1)*12+1)</f>
        <v>150000</v>
      </c>
      <c r="I47" s="36" t="n">
        <f aca="false">INDEX(Monthly!$C$64:$AL$64,($R$2-1)*12+2)</f>
        <v>148214.285714286</v>
      </c>
      <c r="J47" s="36" t="n">
        <f aca="false">INDEX(Monthly!$C$64:$AL$64,($R$2-1)*12+3)</f>
        <v>146428.571428571</v>
      </c>
      <c r="K47" s="36" t="n">
        <f aca="false">INDEX(Monthly!$C$64:$AL$64,($R$2-1)*12+4)</f>
        <v>144642.857142857</v>
      </c>
      <c r="L47" s="36" t="n">
        <f aca="false">INDEX(Monthly!$C$64:$AL$64,($R$2-1)*12+5)</f>
        <v>142857.142857143</v>
      </c>
      <c r="M47" s="36" t="n">
        <f aca="false">INDEX(Monthly!$C$64:$AL$64,($R$2-1)*12+6)</f>
        <v>141071.428571429</v>
      </c>
      <c r="N47" s="36" t="n">
        <f aca="false">INDEX(Monthly!$C$64:$AL$64,($R$2-1)*12+7)</f>
        <v>139285.714285714</v>
      </c>
      <c r="O47" s="36" t="n">
        <f aca="false">INDEX(Monthly!$C$64:$AL$64,($R$2-1)*12+8)</f>
        <v>137500</v>
      </c>
      <c r="P47" s="36" t="n">
        <f aca="false">INDEX(Monthly!$C$64:$AL$64,($R$2-1)*12+9)</f>
        <v>135714.285714286</v>
      </c>
      <c r="Q47" s="36" t="n">
        <f aca="false">INDEX(Monthly!$C$64:$AL$64,($R$2-1)*12+10)</f>
        <v>133928.571428571</v>
      </c>
      <c r="R47" s="36" t="n">
        <f aca="false">INDEX(Monthly!$C$64:$AL$64,($R$2-1)*12+11)</f>
        <v>132142.857142857</v>
      </c>
      <c r="S47" s="36" t="n">
        <f aca="false">INDEX(Monthly!$C$64:$AL$64,($R$2-1)*12+12)</f>
        <v>130357.142857143</v>
      </c>
    </row>
    <row r="48" customFormat="false" ht="15" hidden="false" customHeight="false" outlineLevel="0" collapsed="false">
      <c r="A48" s="37" t="s">
        <v>95</v>
      </c>
      <c r="B48" s="38" t="n">
        <f aca="false">'Balance Sheet'!B12</f>
        <v>138372.416239598</v>
      </c>
      <c r="C48" s="38" t="n">
        <f aca="false">'Balance Sheet'!C12</f>
        <v>118023.471428571</v>
      </c>
      <c r="D48" s="38" t="n">
        <f aca="false">'Balance Sheet'!D12</f>
        <v>96867.7469999999</v>
      </c>
      <c r="E48" s="37"/>
      <c r="F48" s="37"/>
      <c r="H48" s="38" t="n">
        <f aca="false">INDEX(Monthly!$C$96:$AL$96,($R$2-1)*12+1)</f>
        <v>156276.9</v>
      </c>
      <c r="I48" s="38" t="n">
        <f aca="false">INDEX(Monthly!$C$96:$AL$96,($R$2-1)*12+2)</f>
        <v>154702.451714286</v>
      </c>
      <c r="J48" s="38" t="n">
        <f aca="false">INDEX(Monthly!$C$96:$AL$96,($R$2-1)*12+3)</f>
        <v>153115.327468571</v>
      </c>
      <c r="K48" s="38" t="n">
        <f aca="false">INDEX(Monthly!$C$96:$AL$96,($R$2-1)*12+4)</f>
        <v>151516.287820457</v>
      </c>
      <c r="L48" s="38" t="n">
        <f aca="false">INDEX(Monthly!$C$96:$AL$96,($R$2-1)*12+5)</f>
        <v>149906.047694087</v>
      </c>
      <c r="M48" s="38" t="n">
        <f aca="false">INDEX(Monthly!$C$96:$AL$96,($R$2-1)*12+6)</f>
        <v>148285.279118156</v>
      </c>
      <c r="N48" s="38" t="n">
        <f aca="false">INDEX(Monthly!$C$96:$AL$96,($R$2-1)*12+7)</f>
        <v>146654.613799638</v>
      </c>
      <c r="O48" s="38" t="n">
        <f aca="false">INDEX(Monthly!$C$96:$AL$96,($R$2-1)*12+8)</f>
        <v>145014.645543088</v>
      </c>
      <c r="P48" s="38" t="n">
        <f aca="false">INDEX(Monthly!$C$96:$AL$96,($R$2-1)*12+9)</f>
        <v>143365.932524789</v>
      </c>
      <c r="Q48" s="38" t="n">
        <f aca="false">INDEX(Monthly!$C$96:$AL$96,($R$2-1)*12+10)</f>
        <v>141708.999430444</v>
      </c>
      <c r="R48" s="38" t="n">
        <f aca="false">INDEX(Monthly!$C$96:$AL$96,($R$2-1)*12+11)</f>
        <v>140044.339464618</v>
      </c>
      <c r="S48" s="38" t="n">
        <f aca="false">INDEX(Monthly!$C$96:$AL$96,($R$2-1)*12+12)</f>
        <v>138372.416239598</v>
      </c>
    </row>
    <row r="49" customFormat="false" ht="15" hidden="false" customHeight="false" outlineLevel="0" collapsed="false">
      <c r="A49" s="51" t="s">
        <v>96</v>
      </c>
      <c r="B49" s="36" t="n">
        <f aca="false">'Balance Sheet'!B13</f>
        <v>330000</v>
      </c>
      <c r="C49" s="36" t="n">
        <f aca="false">'Balance Sheet'!C13</f>
        <v>330000</v>
      </c>
      <c r="D49" s="36" t="n">
        <f aca="false">'Balance Sheet'!D13</f>
        <v>330000</v>
      </c>
      <c r="H49" s="36" t="n">
        <f aca="false">INDEX(Monthly!$C$93:$AL$93,($R$2-1)*12+1)</f>
        <v>330000</v>
      </c>
      <c r="I49" s="36" t="n">
        <f aca="false">INDEX(Monthly!$C$93:$AL$93,($R$2-1)*12+2)</f>
        <v>330000</v>
      </c>
      <c r="J49" s="36" t="n">
        <f aca="false">INDEX(Monthly!$C$93:$AL$93,($R$2-1)*12+3)</f>
        <v>330000</v>
      </c>
      <c r="K49" s="36" t="n">
        <f aca="false">INDEX(Monthly!$C$93:$AL$93,($R$2-1)*12+4)</f>
        <v>330000</v>
      </c>
      <c r="L49" s="36" t="n">
        <f aca="false">INDEX(Monthly!$C$93:$AL$93,($R$2-1)*12+5)</f>
        <v>330000</v>
      </c>
      <c r="M49" s="36" t="n">
        <f aca="false">INDEX(Monthly!$C$93:$AL$93,($R$2-1)*12+6)</f>
        <v>330000</v>
      </c>
      <c r="N49" s="36" t="n">
        <f aca="false">INDEX(Monthly!$C$93:$AL$93,($R$2-1)*12+7)</f>
        <v>330000</v>
      </c>
      <c r="O49" s="36" t="n">
        <f aca="false">INDEX(Monthly!$C$93:$AL$93,($R$2-1)*12+8)</f>
        <v>330000</v>
      </c>
      <c r="P49" s="36" t="n">
        <f aca="false">INDEX(Monthly!$C$93:$AL$93,($R$2-1)*12+9)</f>
        <v>330000</v>
      </c>
      <c r="Q49" s="36" t="n">
        <f aca="false">INDEX(Monthly!$C$93:$AL$93,($R$2-1)*12+10)</f>
        <v>330000</v>
      </c>
      <c r="R49" s="36" t="n">
        <f aca="false">INDEX(Monthly!$C$93:$AL$93,($R$2-1)*12+11)</f>
        <v>330000</v>
      </c>
      <c r="S49" s="36" t="n">
        <f aca="false">INDEX(Monthly!$C$93:$AL$93,($R$2-1)*12+12)</f>
        <v>330000</v>
      </c>
    </row>
    <row r="50" customFormat="false" ht="15" hidden="false" customHeight="false" outlineLevel="0" collapsed="false">
      <c r="A50" s="51" t="s">
        <v>97</v>
      </c>
      <c r="B50" s="36" t="n">
        <f aca="false">'Balance Sheet'!B14</f>
        <v>-229972.181760109</v>
      </c>
      <c r="C50" s="36" t="n">
        <f aca="false">'Balance Sheet'!C14</f>
        <v>-235018.12852195</v>
      </c>
      <c r="D50" s="36" t="n">
        <f aca="false">'Balance Sheet'!D14</f>
        <v>-198611.628709379</v>
      </c>
      <c r="H50" s="36" t="n">
        <f aca="false">INDEX(Monthly!$C$94:$AL$94,($R$2-1)*12+1)</f>
        <v>-31835.1271428571</v>
      </c>
      <c r="I50" s="36" t="n">
        <f aca="false">INDEX(Monthly!$C$94:$AL$94,($R$2-1)*12+2)</f>
        <v>-60883.6572247619</v>
      </c>
      <c r="J50" s="36" t="n">
        <f aca="false">INDEX(Monthly!$C$94:$AL$94,($R$2-1)*12+3)</f>
        <v>-87306.4765455619</v>
      </c>
      <c r="K50" s="36" t="n">
        <f aca="false">INDEX(Monthly!$C$94:$AL$94,($R$2-1)*12+4)</f>
        <v>-111260.413465209</v>
      </c>
      <c r="L50" s="36" t="n">
        <f aca="false">INDEX(Monthly!$C$94:$AL$94,($R$2-1)*12+5)</f>
        <v>-132892.886642059</v>
      </c>
      <c r="M50" s="36" t="n">
        <f aca="false">INDEX(Monthly!$C$94:$AL$94,($R$2-1)*12+6)</f>
        <v>-152342.469614964</v>
      </c>
      <c r="N50" s="36" t="n">
        <f aca="false">INDEX(Monthly!$C$94:$AL$94,($R$2-1)*12+7)</f>
        <v>-169739.421510447</v>
      </c>
      <c r="O50" s="36" t="n">
        <f aca="false">INDEX(Monthly!$C$94:$AL$94,($R$2-1)*12+8)</f>
        <v>-185206.185907439</v>
      </c>
      <c r="P50" s="36" t="n">
        <f aca="false">INDEX(Monthly!$C$94:$AL$94,($R$2-1)*12+9)</f>
        <v>-198857.859770136</v>
      </c>
      <c r="Q50" s="36" t="n">
        <f aca="false">INDEX(Monthly!$C$94:$AL$94,($R$2-1)*12+10)</f>
        <v>-210802.63424488</v>
      </c>
      <c r="R50" s="36" t="n">
        <f aca="false">INDEX(Monthly!$C$94:$AL$94,($R$2-1)*12+11)</f>
        <v>-221142.209009235</v>
      </c>
      <c r="S50" s="36" t="n">
        <f aca="false">INDEX(Monthly!$C$94:$AL$94,($R$2-1)*12+12)</f>
        <v>-229972.181760109</v>
      </c>
    </row>
    <row r="51" customFormat="false" ht="15" hidden="false" customHeight="false" outlineLevel="0" collapsed="false">
      <c r="A51" s="37" t="s">
        <v>98</v>
      </c>
      <c r="B51" s="38" t="n">
        <f aca="false">'Balance Sheet'!B15</f>
        <v>100027.818239891</v>
      </c>
      <c r="C51" s="38" t="n">
        <f aca="false">'Balance Sheet'!C15</f>
        <v>94981.87147805</v>
      </c>
      <c r="D51" s="38" t="n">
        <f aca="false">'Balance Sheet'!D15</f>
        <v>131388.371290621</v>
      </c>
      <c r="E51" s="37"/>
      <c r="F51" s="37"/>
      <c r="H51" s="38" t="n">
        <f aca="false">INDEX(Monthly!$C$97:$AL$97,($R$2-1)*12+1)</f>
        <v>298164.872857143</v>
      </c>
      <c r="I51" s="38" t="n">
        <f aca="false">INDEX(Monthly!$C$97:$AL$97,($R$2-1)*12+2)</f>
        <v>269116.342775238</v>
      </c>
      <c r="J51" s="38" t="n">
        <f aca="false">INDEX(Monthly!$C$97:$AL$97,($R$2-1)*12+3)</f>
        <v>242693.523454438</v>
      </c>
      <c r="K51" s="38" t="n">
        <f aca="false">INDEX(Monthly!$C$97:$AL$97,($R$2-1)*12+4)</f>
        <v>218739.586534791</v>
      </c>
      <c r="L51" s="38" t="n">
        <f aca="false">INDEX(Monthly!$C$97:$AL$97,($R$2-1)*12+5)</f>
        <v>197107.113357941</v>
      </c>
      <c r="M51" s="38" t="n">
        <f aca="false">INDEX(Monthly!$C$97:$AL$97,($R$2-1)*12+6)</f>
        <v>177657.530385036</v>
      </c>
      <c r="N51" s="38" t="n">
        <f aca="false">INDEX(Monthly!$C$97:$AL$97,($R$2-1)*12+7)</f>
        <v>160260.578489553</v>
      </c>
      <c r="O51" s="38" t="n">
        <f aca="false">INDEX(Monthly!$C$97:$AL$97,($R$2-1)*12+8)</f>
        <v>144793.814092561</v>
      </c>
      <c r="P51" s="38" t="n">
        <f aca="false">INDEX(Monthly!$C$97:$AL$97,($R$2-1)*12+9)</f>
        <v>131142.140229864</v>
      </c>
      <c r="Q51" s="38" t="n">
        <f aca="false">INDEX(Monthly!$C$97:$AL$97,($R$2-1)*12+10)</f>
        <v>119197.36575512</v>
      </c>
      <c r="R51" s="38" t="n">
        <f aca="false">INDEX(Monthly!$C$97:$AL$97,($R$2-1)*12+11)</f>
        <v>108857.790990765</v>
      </c>
      <c r="S51" s="38" t="n">
        <f aca="false">INDEX(Monthly!$C$97:$AL$97,($R$2-1)*12+12)</f>
        <v>100027.818239891</v>
      </c>
    </row>
    <row r="52" customFormat="false" ht="15" hidden="false" customHeight="false" outlineLevel="0" collapsed="false">
      <c r="A52" s="41" t="s">
        <v>99</v>
      </c>
      <c r="B52" s="42" t="n">
        <f aca="false">'Balance Sheet'!B16</f>
        <v>238400.234479488</v>
      </c>
      <c r="C52" s="42" t="n">
        <f aca="false">'Balance Sheet'!C16</f>
        <v>213005.342906621</v>
      </c>
      <c r="D52" s="42" t="n">
        <f aca="false">'Balance Sheet'!D16</f>
        <v>228256.118290621</v>
      </c>
      <c r="E52" s="41"/>
      <c r="F52" s="41"/>
      <c r="H52" s="42" t="n">
        <f aca="false">INDEX(Monthly!$C$98:$AL$98,($R$2-1)*12+1)</f>
        <v>454441.772857143</v>
      </c>
      <c r="I52" s="42" t="n">
        <f aca="false">INDEX(Monthly!$C$98:$AL$98,($R$2-1)*12+2)</f>
        <v>423818.794489524</v>
      </c>
      <c r="J52" s="42" t="n">
        <f aca="false">INDEX(Monthly!$C$98:$AL$98,($R$2-1)*12+3)</f>
        <v>395808.85092301</v>
      </c>
      <c r="K52" s="42" t="n">
        <f aca="false">INDEX(Monthly!$C$98:$AL$98,($R$2-1)*12+4)</f>
        <v>370255.874355248</v>
      </c>
      <c r="L52" s="42" t="n">
        <f aca="false">INDEX(Monthly!$C$98:$AL$98,($R$2-1)*12+5)</f>
        <v>347013.161052028</v>
      </c>
      <c r="M52" s="42" t="n">
        <f aca="false">INDEX(Monthly!$C$98:$AL$98,($R$2-1)*12+6)</f>
        <v>325942.809503192</v>
      </c>
      <c r="N52" s="42" t="n">
        <f aca="false">INDEX(Monthly!$C$98:$AL$98,($R$2-1)*12+7)</f>
        <v>306915.192289191</v>
      </c>
      <c r="O52" s="42" t="n">
        <f aca="false">INDEX(Monthly!$C$98:$AL$98,($R$2-1)*12+8)</f>
        <v>289808.459635649</v>
      </c>
      <c r="P52" s="42" t="n">
        <f aca="false">INDEX(Monthly!$C$98:$AL$98,($R$2-1)*12+9)</f>
        <v>274508.072754653</v>
      </c>
      <c r="Q52" s="42" t="n">
        <f aca="false">INDEX(Monthly!$C$98:$AL$98,($R$2-1)*12+10)</f>
        <v>260906.365185564</v>
      </c>
      <c r="R52" s="42" t="n">
        <f aca="false">INDEX(Monthly!$C$98:$AL$98,($R$2-1)*12+11)</f>
        <v>248902.130455383</v>
      </c>
      <c r="S52" s="42" t="n">
        <f aca="false">INDEX(Monthly!$C$98:$AL$98,($R$2-1)*12+12)</f>
        <v>238400.234479488</v>
      </c>
    </row>
  </sheetData>
  <mergeCells count="1">
    <mergeCell ref="R2:S2"/>
  </mergeCells>
  <dataValidations count="1">
    <dataValidation allowBlank="false" error="Enter a year from 1 to 3" errorStyle="stop" errorTitle="Detailed year" operator="between" prompt="Pick the year shown month by month on the right" promptTitle="Detailed year" showDropDown="false" showErrorMessage="true" showInputMessage="true" sqref="R2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H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6" min="2" style="0" width="12"/>
    <col collapsed="false" customWidth="true" hidden="false" outlineLevel="0" max="7" min="7" style="0" width="2"/>
  </cols>
  <sheetData>
    <row r="1" customFormat="false" ht="21.75" hidden="false" customHeight="true" outlineLevel="0" collapsed="false">
      <c r="A1" s="16" t="s">
        <v>100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101</v>
      </c>
    </row>
    <row r="5" customFormat="false" ht="15.75" hidden="false" customHeight="true" outlineLevel="0" collapsed="false">
      <c r="A5" s="7" t="s">
        <v>102</v>
      </c>
      <c r="B5" s="7"/>
      <c r="C5" s="7"/>
      <c r="D5" s="7"/>
      <c r="E5" s="7"/>
    </row>
    <row r="6" customFormat="false" ht="15" hidden="false" customHeight="false" outlineLevel="0" collapsed="false">
      <c r="A6" s="33" t="s">
        <v>103</v>
      </c>
      <c r="B6" s="35" t="s">
        <v>104</v>
      </c>
      <c r="C6" s="35" t="s">
        <v>105</v>
      </c>
      <c r="D6" s="35" t="s">
        <v>106</v>
      </c>
      <c r="E6" s="35" t="s">
        <v>107</v>
      </c>
    </row>
    <row r="7" customFormat="false" ht="15" hidden="false" customHeight="false" outlineLevel="0" collapsed="false">
      <c r="A7" s="6" t="s">
        <v>108</v>
      </c>
      <c r="B7" s="52" t="n">
        <f aca="false">Inputs!$B$7</f>
        <v>80</v>
      </c>
      <c r="C7" s="52" t="n">
        <f aca="false">Inputs!$C$7</f>
        <v>120</v>
      </c>
      <c r="D7" s="52" t="n">
        <f aca="false">Inputs!$D$7</f>
        <v>160</v>
      </c>
      <c r="E7" s="53" t="n">
        <f aca="false">Inputs!$E$7</f>
        <v>120</v>
      </c>
    </row>
    <row r="8" customFormat="false" ht="15" hidden="false" customHeight="false" outlineLevel="0" collapsed="false">
      <c r="A8" s="6" t="s">
        <v>109</v>
      </c>
      <c r="B8" s="54" t="n">
        <f aca="false">Inputs!$B$18</f>
        <v>89</v>
      </c>
      <c r="C8" s="54" t="n">
        <f aca="false">Inputs!$C$18</f>
        <v>99</v>
      </c>
      <c r="D8" s="54" t="n">
        <f aca="false">Inputs!$D$18</f>
        <v>109</v>
      </c>
      <c r="E8" s="55" t="n">
        <f aca="false">Inputs!$E$18</f>
        <v>99</v>
      </c>
    </row>
    <row r="9" customFormat="false" ht="15" hidden="false" customHeight="false" outlineLevel="0" collapsed="false">
      <c r="A9" s="6" t="s">
        <v>110</v>
      </c>
      <c r="B9" s="56" t="n">
        <f aca="false">Inputs!$B$15</f>
        <v>0.07</v>
      </c>
      <c r="C9" s="56" t="n">
        <f aca="false">Inputs!$C$15</f>
        <v>0.06</v>
      </c>
      <c r="D9" s="56" t="n">
        <f aca="false">Inputs!$D$15</f>
        <v>0.05</v>
      </c>
      <c r="E9" s="57" t="n">
        <f aca="false">Inputs!$E$15</f>
        <v>0.06</v>
      </c>
    </row>
    <row r="10" customFormat="false" ht="15" hidden="false" customHeight="false" outlineLevel="0" collapsed="false">
      <c r="A10" s="6" t="s">
        <v>111</v>
      </c>
      <c r="B10" s="58" t="n">
        <f aca="false">Inputs!$B$11</f>
        <v>4000</v>
      </c>
      <c r="C10" s="58" t="n">
        <f aca="false">Inputs!$C$11</f>
        <v>4000</v>
      </c>
      <c r="D10" s="58" t="n">
        <f aca="false">Inputs!$D$11</f>
        <v>4000</v>
      </c>
      <c r="E10" s="59" t="n">
        <f aca="false">Inputs!$E$11</f>
        <v>4000</v>
      </c>
    </row>
    <row r="11" customFormat="false" ht="15" hidden="false" customHeight="false" outlineLevel="0" collapsed="false">
      <c r="A11" s="6" t="s">
        <v>112</v>
      </c>
      <c r="B11" s="52" t="n">
        <f aca="false">Inputs!$B$8</f>
        <v>450</v>
      </c>
      <c r="C11" s="52" t="n">
        <f aca="false">Inputs!$C$8</f>
        <v>450</v>
      </c>
      <c r="D11" s="52" t="n">
        <f aca="false">Inputs!$D$8</f>
        <v>450</v>
      </c>
      <c r="E11" s="53" t="n">
        <f aca="false">Inputs!$E$8</f>
        <v>450</v>
      </c>
    </row>
    <row r="12" customFormat="false" ht="15" hidden="false" customHeight="false" outlineLevel="0" collapsed="false">
      <c r="A12" s="6" t="s">
        <v>113</v>
      </c>
      <c r="B12" s="58" t="n">
        <f aca="false">Inputs!$B$33</f>
        <v>12000</v>
      </c>
      <c r="C12" s="58" t="n">
        <f aca="false">Inputs!$C$33</f>
        <v>12000</v>
      </c>
      <c r="D12" s="58" t="n">
        <f aca="false">Inputs!$D$33</f>
        <v>12000</v>
      </c>
      <c r="E12" s="59" t="n">
        <f aca="false">Inputs!$E$33</f>
        <v>12000</v>
      </c>
    </row>
    <row r="13" customFormat="false" ht="15" hidden="false" customHeight="false" outlineLevel="0" collapsed="false">
      <c r="A13" s="6" t="s">
        <v>114</v>
      </c>
      <c r="B13" s="58" t="n">
        <f aca="false">Inputs!$B$54</f>
        <v>330000</v>
      </c>
      <c r="C13" s="58" t="n">
        <f aca="false">Inputs!$C$54</f>
        <v>330000</v>
      </c>
      <c r="D13" s="58" t="n">
        <f aca="false">Inputs!$D$54</f>
        <v>330000</v>
      </c>
      <c r="E13" s="59" t="n">
        <f aca="false">Inputs!$E$54</f>
        <v>330000</v>
      </c>
    </row>
    <row r="15" customFormat="false" ht="15.75" hidden="false" customHeight="true" outlineLevel="0" collapsed="false">
      <c r="A15" s="7" t="s">
        <v>115</v>
      </c>
      <c r="B15" s="7"/>
      <c r="C15" s="7"/>
      <c r="D15" s="7"/>
      <c r="E15" s="7"/>
    </row>
    <row r="16" customFormat="false" ht="15" hidden="false" customHeight="false" outlineLevel="0" collapsed="false">
      <c r="A16" s="33" t="s">
        <v>116</v>
      </c>
      <c r="B16" s="35" t="s">
        <v>104</v>
      </c>
      <c r="C16" s="35" t="s">
        <v>105</v>
      </c>
      <c r="D16" s="35" t="s">
        <v>106</v>
      </c>
      <c r="E16" s="35" t="s">
        <v>107</v>
      </c>
    </row>
    <row r="17" customFormat="false" ht="15" hidden="false" customHeight="false" outlineLevel="0" collapsed="false">
      <c r="A17" s="6" t="s">
        <v>117</v>
      </c>
      <c r="B17" s="60" t="n">
        <f aca="false">D30</f>
        <v>515887.224687268</v>
      </c>
      <c r="C17" s="60" t="n">
        <f aca="false">D31</f>
        <v>722638.4004</v>
      </c>
      <c r="D17" s="60" t="n">
        <f aca="false">D32</f>
        <v>822654.144</v>
      </c>
      <c r="E17" s="61" t="n">
        <f aca="false">'P&amp;L'!D5</f>
        <v>722638.4004</v>
      </c>
    </row>
    <row r="18" customFormat="false" ht="15" hidden="false" customHeight="false" outlineLevel="0" collapsed="false">
      <c r="A18" s="6" t="s">
        <v>118</v>
      </c>
      <c r="B18" s="60" t="n">
        <f aca="false">SUM(B30:D30)</f>
        <v>1201588.35560017</v>
      </c>
      <c r="C18" s="60" t="n">
        <f aca="false">SUM(B31:D31)</f>
        <v>1779647.74431352</v>
      </c>
      <c r="D18" s="60" t="n">
        <f aca="false">SUM(B32:D32)</f>
        <v>2184359.0588706</v>
      </c>
      <c r="E18" s="61" t="n">
        <f aca="false">SUM('P&amp;L'!$B$5:$D$5)</f>
        <v>1779647.74431352</v>
      </c>
    </row>
    <row r="19" customFormat="false" ht="15" hidden="false" customHeight="false" outlineLevel="0" collapsed="false">
      <c r="A19" s="6" t="s">
        <v>119</v>
      </c>
      <c r="B19" s="60" t="n">
        <f aca="false">D36</f>
        <v>-106913.551926102</v>
      </c>
      <c r="C19" s="60" t="n">
        <f aca="false">D37</f>
        <v>79977.9283840001</v>
      </c>
      <c r="D19" s="60" t="n">
        <f aca="false">D38</f>
        <v>178027.21176</v>
      </c>
      <c r="E19" s="61" t="n">
        <f aca="false">'P&amp;L'!D17</f>
        <v>79977.9283840001</v>
      </c>
    </row>
    <row r="20" customFormat="false" ht="15" hidden="false" customHeight="false" outlineLevel="0" collapsed="false">
      <c r="A20" s="6" t="s">
        <v>120</v>
      </c>
      <c r="B20" s="62" t="n">
        <f aca="false">IF(B17=0,0,B19/B17)</f>
        <v>-0.207242100230169</v>
      </c>
      <c r="C20" s="62" t="n">
        <f aca="false">IF(C17=0,0,C19/C17)</f>
        <v>0.110674894026847</v>
      </c>
      <c r="D20" s="62" t="n">
        <f aca="false">IF(D17=0,0,D19/D17)</f>
        <v>0.216405901627598</v>
      </c>
      <c r="E20" s="63" t="n">
        <f aca="false">IF(E17=0,0,E19/E17)</f>
        <v>0.110674894026847</v>
      </c>
    </row>
    <row r="21" customFormat="false" ht="15" hidden="false" customHeight="false" outlineLevel="0" collapsed="false">
      <c r="A21" s="6" t="s">
        <v>121</v>
      </c>
      <c r="B21" s="60" t="n">
        <f aca="false">D42</f>
        <v>-150484.980497531</v>
      </c>
      <c r="C21" s="60" t="n">
        <f aca="false">D43</f>
        <v>36406.4998125715</v>
      </c>
      <c r="D21" s="60" t="n">
        <f aca="false">D44</f>
        <v>106220.068718972</v>
      </c>
      <c r="E21" s="61" t="n">
        <f aca="false">'P&amp;L'!D24</f>
        <v>36406.4998125715</v>
      </c>
    </row>
    <row r="22" customFormat="false" ht="15" hidden="false" customHeight="false" outlineLevel="0" collapsed="false">
      <c r="A22" s="6" t="s">
        <v>122</v>
      </c>
      <c r="B22" s="60" t="n">
        <f aca="false">SUM(B42:D42)</f>
        <v>-728442.324713687</v>
      </c>
      <c r="C22" s="60" t="n">
        <f aca="false">SUM(B43:D43)</f>
        <v>-198611.628709379</v>
      </c>
      <c r="D22" s="60" t="n">
        <f aca="false">SUM(B44:D44)</f>
        <v>150683.877709633</v>
      </c>
      <c r="E22" s="61" t="n">
        <f aca="false">SUM('P&amp;L'!$B$24:$D$24)</f>
        <v>-198611.628709379</v>
      </c>
    </row>
    <row r="23" customFormat="false" ht="15" hidden="false" customHeight="false" outlineLevel="0" collapsed="false">
      <c r="A23" s="6" t="s">
        <v>123</v>
      </c>
      <c r="B23" s="60" t="n">
        <f aca="false">D48</f>
        <v>-449313.788992151</v>
      </c>
      <c r="C23" s="60" t="n">
        <f aca="false">D49</f>
        <v>80715.1019334786</v>
      </c>
      <c r="D23" s="60" t="n">
        <f aca="false">D50</f>
        <v>429925.027830267</v>
      </c>
      <c r="E23" s="61" t="n">
        <f aca="false">'Balance Sheet'!D5</f>
        <v>80715.1019334786</v>
      </c>
    </row>
    <row r="24" customFormat="false" ht="15" hidden="false" customHeight="false" outlineLevel="0" collapsed="false">
      <c r="A24" s="6" t="s">
        <v>124</v>
      </c>
      <c r="B24" s="60" t="n">
        <f aca="false">MIN('Scenario calc'!$C$83:$AL$83)</f>
        <v>-449313.788992151</v>
      </c>
      <c r="C24" s="60" t="n">
        <f aca="false">MIN('Scenario calc'!$C$193:$AL$193)</f>
        <v>7440.36358710485</v>
      </c>
      <c r="D24" s="60" t="n">
        <f aca="false">MIN('Scenario calc'!$C$303:$AL$303)</f>
        <v>155942.750068845</v>
      </c>
      <c r="E24" s="61" t="n">
        <f aca="false">'Break-even'!B18</f>
        <v>7440.36358710485</v>
      </c>
    </row>
    <row r="25" customFormat="false" ht="15" hidden="false" customHeight="false" outlineLevel="0" collapsed="false">
      <c r="A25" s="6" t="s">
        <v>125</v>
      </c>
      <c r="B25" s="64" t="n">
        <f aca="false">MATCH(MIN('Scenario calc'!$C$83:$AL$83),'Scenario calc'!$C$83:$AL$83,0)</f>
        <v>36</v>
      </c>
      <c r="C25" s="64" t="n">
        <f aca="false">MATCH(MIN('Scenario calc'!$C$193:$AL$193),'Scenario calc'!$C$193:$AL$193,0)</f>
        <v>16</v>
      </c>
      <c r="D25" s="64" t="n">
        <f aca="false">MATCH(MIN('Scenario calc'!$C$303:$AL$303),'Scenario calc'!$C$303:$AL$303,0)</f>
        <v>7</v>
      </c>
      <c r="E25" s="65" t="n">
        <f aca="false">'Break-even'!B6</f>
        <v>16</v>
      </c>
    </row>
    <row r="26" customFormat="false" ht="15" hidden="false" customHeight="false" outlineLevel="0" collapsed="false">
      <c r="A26" s="4" t="s">
        <v>65</v>
      </c>
      <c r="B26" s="60" t="n">
        <f aca="false">SUMPRODUCT(--('Scenario calc'!$C$6:$AL$6&lt;=B25),'Scenario calc'!$C$56:$AL$56)-SUMPRODUCT(--('Scenario calc'!$C$6:$AL$6&lt;=B25),'Scenario calc'!$C$77:$AL$77)-SUMPRODUCT(--('Scenario calc'!$C$6:$AL$6&lt;=B25),'Scenario calc'!$C$65:$AL$65)+Inputs!$B$69</f>
        <v>1040313.78899215</v>
      </c>
      <c r="C26" s="60" t="n">
        <f aca="false">SUMPRODUCT(--('Scenario calc'!$C$116:$AL$116&lt;=C25),'Scenario calc'!$C$166:$AL$166)-SUMPRODUCT(--('Scenario calc'!$C$116:$AL$116&lt;=C25),'Scenario calc'!$C$187:$AL$187)-SUMPRODUCT(--('Scenario calc'!$C$116:$AL$116&lt;=C25),'Scenario calc'!$C$175:$AL$175)+Inputs!$C$69</f>
        <v>583559.636412895</v>
      </c>
      <c r="D26" s="60" t="n">
        <f aca="false">SUMPRODUCT(--('Scenario calc'!$C$226:$AL$226&lt;=D25),'Scenario calc'!$C$276:$AL$276)-SUMPRODUCT(--('Scenario calc'!$C$226:$AL$226&lt;=D25),'Scenario calc'!$C$297:$AL$297)-SUMPRODUCT(--('Scenario calc'!$C$226:$AL$226&lt;=D25),'Scenario calc'!$C$285:$AL$285)+Inputs!$D$69</f>
        <v>435057.249931156</v>
      </c>
      <c r="E26" s="61" t="n">
        <f aca="false">'Break-even'!B12</f>
        <v>583559.636412895</v>
      </c>
    </row>
    <row r="28" customFormat="false" ht="15.75" hidden="false" customHeight="true" outlineLevel="0" collapsed="false">
      <c r="A28" s="7" t="s">
        <v>126</v>
      </c>
      <c r="B28" s="7"/>
      <c r="C28" s="7"/>
      <c r="D28" s="7"/>
      <c r="E28" s="7"/>
    </row>
    <row r="29" customFormat="false" ht="15" hidden="false" customHeight="false" outlineLevel="0" collapsed="false">
      <c r="A29" s="33" t="s">
        <v>127</v>
      </c>
      <c r="B29" s="34" t="n">
        <v>1</v>
      </c>
      <c r="C29" s="34" t="n">
        <v>2</v>
      </c>
      <c r="D29" s="34" t="n">
        <v>3</v>
      </c>
    </row>
    <row r="30" customFormat="false" ht="15" hidden="false" customHeight="false" outlineLevel="0" collapsed="false">
      <c r="A30" s="6" t="s">
        <v>104</v>
      </c>
      <c r="B30" s="60" t="n">
        <f aca="false">SUMIF('Scenario calc'!$C$7:$AL$7,B$29,'Scenario calc'!$C$26:$AL$26)</f>
        <v>256826.283636468</v>
      </c>
      <c r="C30" s="60" t="n">
        <f aca="false">SUMIF('Scenario calc'!$C$7:$AL$7,C$29,'Scenario calc'!$C$26:$AL$26)</f>
        <v>428874.847276435</v>
      </c>
      <c r="D30" s="60" t="n">
        <f aca="false">SUMIF('Scenario calc'!$C$7:$AL$7,D$29,'Scenario calc'!$C$26:$AL$26)</f>
        <v>515887.224687268</v>
      </c>
    </row>
    <row r="31" customFormat="false" ht="15" hidden="false" customHeight="false" outlineLevel="0" collapsed="false">
      <c r="A31" s="6" t="s">
        <v>105</v>
      </c>
      <c r="B31" s="60" t="n">
        <f aca="false">SUMIF('Scenario calc'!$C$117:$AL$117,B$29,'Scenario calc'!$C$136:$AL$136)</f>
        <v>393075.459761719</v>
      </c>
      <c r="C31" s="60" t="n">
        <f aca="false">SUMIF('Scenario calc'!$C$117:$AL$117,C$29,'Scenario calc'!$C$136:$AL$136)</f>
        <v>663933.884151801</v>
      </c>
      <c r="D31" s="60" t="n">
        <f aca="false">SUMIF('Scenario calc'!$C$117:$AL$117,D$29,'Scenario calc'!$C$136:$AL$136)</f>
        <v>722638.4004</v>
      </c>
    </row>
    <row r="32" customFormat="false" ht="15" hidden="false" customHeight="false" outlineLevel="0" collapsed="false">
      <c r="A32" s="6" t="s">
        <v>106</v>
      </c>
      <c r="B32" s="60" t="n">
        <f aca="false">SUMIF('Scenario calc'!$C$227:$AL$227,B$29,'Scenario calc'!$C$246:$AL$246)</f>
        <v>570691.314870603</v>
      </c>
      <c r="C32" s="60" t="n">
        <f aca="false">SUMIF('Scenario calc'!$C$227:$AL$227,C$29,'Scenario calc'!$C$246:$AL$246)</f>
        <v>791013.6</v>
      </c>
      <c r="D32" s="60" t="n">
        <f aca="false">SUMIF('Scenario calc'!$C$227:$AL$227,D$29,'Scenario calc'!$C$246:$AL$246)</f>
        <v>822654.144</v>
      </c>
    </row>
    <row r="34" customFormat="false" ht="15.75" hidden="false" customHeight="true" outlineLevel="0" collapsed="false">
      <c r="A34" s="7" t="s">
        <v>128</v>
      </c>
      <c r="B34" s="7"/>
      <c r="C34" s="7"/>
      <c r="D34" s="7"/>
      <c r="E34" s="7"/>
    </row>
    <row r="35" customFormat="false" ht="15" hidden="false" customHeight="false" outlineLevel="0" collapsed="false">
      <c r="A35" s="33" t="s">
        <v>127</v>
      </c>
      <c r="B35" s="34" t="n">
        <v>1</v>
      </c>
      <c r="C35" s="34" t="n">
        <v>2</v>
      </c>
      <c r="D35" s="34" t="n">
        <v>3</v>
      </c>
    </row>
    <row r="36" customFormat="false" ht="15" hidden="false" customHeight="false" outlineLevel="0" collapsed="false">
      <c r="A36" s="6" t="s">
        <v>104</v>
      </c>
      <c r="B36" s="60" t="n">
        <f aca="false">SUMIF('Scenario calc'!$C$7:$AL$7,B$35,'Scenario calc'!$C$44:$AL$44)</f>
        <v>-312506.712101353</v>
      </c>
      <c r="C36" s="60" t="n">
        <f aca="false">SUMIF('Scenario calc'!$C$7:$AL$7,C$35,'Scenario calc'!$C$44:$AL$44)</f>
        <v>-173170.870210041</v>
      </c>
      <c r="D36" s="60" t="n">
        <f aca="false">SUMIF('Scenario calc'!$C$7:$AL$7,D$35,'Scenario calc'!$C$44:$AL$44)</f>
        <v>-106913.551926102</v>
      </c>
    </row>
    <row r="37" customFormat="false" ht="15" hidden="false" customHeight="false" outlineLevel="0" collapsed="false">
      <c r="A37" s="6" t="s">
        <v>105</v>
      </c>
      <c r="B37" s="60" t="n">
        <f aca="false">SUMIF('Scenario calc'!$C$117:$AL$117,B$35,'Scenario calc'!$C$154:$AL$154)</f>
        <v>-182978.134141062</v>
      </c>
      <c r="C37" s="60" t="n">
        <f aca="false">SUMIF('Scenario calc'!$C$117:$AL$117,C$35,'Scenario calc'!$C$154:$AL$154)</f>
        <v>40239.7675238735</v>
      </c>
      <c r="D37" s="60" t="n">
        <f aca="false">SUMIF('Scenario calc'!$C$117:$AL$117,D$35,'Scenario calc'!$C$154:$AL$154)</f>
        <v>79977.9283840001</v>
      </c>
    </row>
    <row r="38" customFormat="false" ht="15" hidden="false" customHeight="false" outlineLevel="0" collapsed="false">
      <c r="A38" s="6" t="s">
        <v>106</v>
      </c>
      <c r="B38" s="60" t="n">
        <f aca="false">SUMIF('Scenario calc'!$C$227:$AL$227,B$35,'Scenario calc'!$C$264:$AL$264)</f>
        <v>-14886.379575414</v>
      </c>
      <c r="C38" s="60" t="n">
        <f aca="false">SUMIF('Scenario calc'!$C$227:$AL$227,C$35,'Scenario calc'!$C$264:$AL$264)</f>
        <v>163449.444</v>
      </c>
      <c r="D38" s="60" t="n">
        <f aca="false">SUMIF('Scenario calc'!$C$227:$AL$227,D$35,'Scenario calc'!$C$264:$AL$264)</f>
        <v>178027.21176</v>
      </c>
    </row>
    <row r="40" customFormat="false" ht="15.75" hidden="false" customHeight="true" outlineLevel="0" collapsed="false">
      <c r="A40" s="7" t="s">
        <v>129</v>
      </c>
      <c r="B40" s="7"/>
      <c r="C40" s="7"/>
      <c r="D40" s="7"/>
      <c r="E40" s="7"/>
    </row>
    <row r="41" customFormat="false" ht="15" hidden="false" customHeight="false" outlineLevel="0" collapsed="false">
      <c r="A41" s="33" t="s">
        <v>127</v>
      </c>
      <c r="B41" s="34" t="n">
        <v>1</v>
      </c>
      <c r="C41" s="34" t="n">
        <v>2</v>
      </c>
      <c r="D41" s="34" t="n">
        <v>3</v>
      </c>
    </row>
    <row r="42" customFormat="false" ht="15" hidden="false" customHeight="false" outlineLevel="0" collapsed="false">
      <c r="A42" s="6" t="s">
        <v>104</v>
      </c>
      <c r="B42" s="60" t="n">
        <f aca="false">SUMIF('Scenario calc'!$C$7:$AL$7,B$41,'Scenario calc'!$C$53:$AL$53)</f>
        <v>-359500.7597204</v>
      </c>
      <c r="C42" s="60" t="n">
        <f aca="false">SUMIF('Scenario calc'!$C$7:$AL$7,C$41,'Scenario calc'!$C$53:$AL$53)</f>
        <v>-218456.584495756</v>
      </c>
      <c r="D42" s="60" t="n">
        <f aca="false">SUMIF('Scenario calc'!$C$7:$AL$7,D$41,'Scenario calc'!$C$53:$AL$53)</f>
        <v>-150484.980497531</v>
      </c>
    </row>
    <row r="43" customFormat="false" ht="15" hidden="false" customHeight="false" outlineLevel="0" collapsed="false">
      <c r="A43" s="6" t="s">
        <v>105</v>
      </c>
      <c r="B43" s="60" t="n">
        <f aca="false">SUMIF('Scenario calc'!$C$117:$AL$117,B$41,'Scenario calc'!$C$163:$AL$163)</f>
        <v>-229972.181760109</v>
      </c>
      <c r="C43" s="60" t="n">
        <f aca="false">SUMIF('Scenario calc'!$C$117:$AL$117,C$41,'Scenario calc'!$C$163:$AL$163)</f>
        <v>-5045.9467618408</v>
      </c>
      <c r="D43" s="60" t="n">
        <f aca="false">SUMIF('Scenario calc'!$C$117:$AL$117,D$41,'Scenario calc'!$C$163:$AL$163)</f>
        <v>36406.4998125715</v>
      </c>
    </row>
    <row r="44" customFormat="false" ht="15" hidden="false" customHeight="false" outlineLevel="0" collapsed="false">
      <c r="A44" s="6" t="s">
        <v>106</v>
      </c>
      <c r="B44" s="60" t="n">
        <f aca="false">SUMIF('Scenario calc'!$C$227:$AL$227,B$41,'Scenario calc'!$C$273:$AL$273)</f>
        <v>-61880.4271944616</v>
      </c>
      <c r="C44" s="60" t="n">
        <f aca="false">SUMIF('Scenario calc'!$C$227:$AL$227,C$41,'Scenario calc'!$C$273:$AL$273)</f>
        <v>106344.236185123</v>
      </c>
      <c r="D44" s="60" t="n">
        <f aca="false">SUMIF('Scenario calc'!$C$227:$AL$227,D$41,'Scenario calc'!$C$273:$AL$273)</f>
        <v>106220.068718972</v>
      </c>
    </row>
    <row r="46" customFormat="false" ht="15.75" hidden="false" customHeight="true" outlineLevel="0" collapsed="false">
      <c r="A46" s="7" t="s">
        <v>130</v>
      </c>
      <c r="B46" s="7"/>
      <c r="C46" s="7"/>
      <c r="D46" s="7"/>
      <c r="E46" s="7"/>
    </row>
    <row r="47" customFormat="false" ht="15" hidden="false" customHeight="false" outlineLevel="0" collapsed="false">
      <c r="A47" s="33" t="s">
        <v>127</v>
      </c>
      <c r="B47" s="34" t="n">
        <v>1</v>
      </c>
      <c r="C47" s="34" t="n">
        <v>2</v>
      </c>
      <c r="D47" s="34" t="n">
        <v>3</v>
      </c>
    </row>
    <row r="48" customFormat="false" ht="15" hidden="false" customHeight="false" outlineLevel="0" collapsed="false">
      <c r="A48" s="6" t="s">
        <v>104</v>
      </c>
      <c r="B48" s="60" t="n">
        <f aca="false">INDEX('Scenario calc'!$C$83:$AL$83,B$47*12)</f>
        <v>-109620.335263531</v>
      </c>
      <c r="C48" s="60" t="n">
        <f aca="false">INDEX('Scenario calc'!$C$83:$AL$83,C$47*12)</f>
        <v>-313379.122727699</v>
      </c>
      <c r="D48" s="60" t="n">
        <f aca="false">INDEX('Scenario calc'!$C$83:$AL$83,D$47*12)</f>
        <v>-449313.788992151</v>
      </c>
    </row>
    <row r="49" customFormat="false" ht="15" hidden="false" customHeight="false" outlineLevel="0" collapsed="false">
      <c r="A49" s="6" t="s">
        <v>105</v>
      </c>
      <c r="B49" s="60" t="n">
        <f aca="false">INDEX('Scenario calc'!$C$193:$AL$193,B$47*12)</f>
        <v>20106.8835025468</v>
      </c>
      <c r="C49" s="60" t="n">
        <f aca="false">INDEX('Scenario calc'!$C$193:$AL$193,C$47*12)</f>
        <v>29886.4643351928</v>
      </c>
      <c r="D49" s="60" t="n">
        <f aca="false">INDEX('Scenario calc'!$C$193:$AL$193,D$47*12)</f>
        <v>80715.1019334786</v>
      </c>
    </row>
    <row r="50" customFormat="false" ht="15" hidden="false" customHeight="false" outlineLevel="0" collapsed="false">
      <c r="A50" s="6" t="s">
        <v>106</v>
      </c>
      <c r="B50" s="60" t="n">
        <f aca="false">INDEX('Scenario calc'!$C$303:$AL$303,B$47*12)</f>
        <v>188486.612488078</v>
      </c>
      <c r="C50" s="60" t="n">
        <f aca="false">INDEX('Scenario calc'!$C$303:$AL$303,C$47*12)</f>
        <v>309265.276292248</v>
      </c>
      <c r="D50" s="60" t="n">
        <f aca="false">INDEX('Scenario calc'!$C$303:$AL$303,D$47*12)</f>
        <v>429925.027830267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F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2" style="0" width="16"/>
  </cols>
  <sheetData>
    <row r="1" customFormat="false" ht="21.75" hidden="false" customHeight="true" outlineLevel="0" collapsed="false">
      <c r="A1" s="16" t="s">
        <v>131</v>
      </c>
      <c r="F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132</v>
      </c>
    </row>
    <row r="3" customFormat="false" ht="15" hidden="false" customHeight="false" outlineLevel="0" collapsed="false">
      <c r="A3" s="4" t="s">
        <v>133</v>
      </c>
      <c r="B3" s="5" t="str">
        <f aca="false">CHOOSE(Dashboard!$B$4,"Low","Base","High")</f>
        <v>Base</v>
      </c>
    </row>
    <row r="5" customFormat="false" ht="15.75" hidden="false" customHeight="true" outlineLevel="0" collapsed="false">
      <c r="A5" s="7" t="s">
        <v>134</v>
      </c>
      <c r="B5" s="7"/>
      <c r="C5" s="7"/>
      <c r="D5" s="7"/>
    </row>
    <row r="6" customFormat="false" ht="15" hidden="false" customHeight="false" outlineLevel="0" collapsed="false">
      <c r="A6" s="6" t="s">
        <v>125</v>
      </c>
      <c r="B6" s="64" t="n">
        <f aca="false">MATCH(MIN(Monthly!$C$81:$AL$81),Monthly!$C$81:$AL$81,0)</f>
        <v>16</v>
      </c>
    </row>
    <row r="7" customFormat="false" ht="15" hidden="false" customHeight="false" outlineLevel="0" collapsed="false">
      <c r="A7" s="6" t="s">
        <v>135</v>
      </c>
      <c r="B7" s="66" t="n">
        <f aca="false">SUMPRODUCT(--(Monthly!$C$4:$AL$4&lt;=$B$6),Monthly!$C$54:$AL$54)</f>
        <v>250000</v>
      </c>
    </row>
    <row r="8" customFormat="false" ht="15" hidden="false" customHeight="false" outlineLevel="0" collapsed="false">
      <c r="A8" s="6" t="s">
        <v>136</v>
      </c>
      <c r="B8" s="66" t="n">
        <f aca="false">-SUMPRODUCT(--(Monthly!$C$4:$AL$4&lt;=$B$6),Monthly!$C$75:$AL$75)</f>
        <v>195773.922127181</v>
      </c>
      <c r="D8" s="18" t="s">
        <v>137</v>
      </c>
    </row>
    <row r="9" customFormat="false" ht="15" hidden="false" customHeight="false" outlineLevel="0" collapsed="false">
      <c r="A9" s="6" t="s">
        <v>138</v>
      </c>
      <c r="B9" s="66" t="n">
        <f aca="false">-SUMPRODUCT(--(Monthly!$C$4:$AL$4&lt;=$B$6),Monthly!$C$63:$AL$63)</f>
        <v>26785.7142857143</v>
      </c>
    </row>
    <row r="10" customFormat="false" ht="15" hidden="false" customHeight="false" outlineLevel="0" collapsed="false">
      <c r="A10" s="4" t="s">
        <v>139</v>
      </c>
      <c r="B10" s="67" t="n">
        <f aca="false">B7+B8+B9</f>
        <v>472559.636412895</v>
      </c>
    </row>
    <row r="11" customFormat="false" ht="15" hidden="false" customHeight="false" outlineLevel="0" collapsed="false">
      <c r="A11" s="6" t="s">
        <v>140</v>
      </c>
      <c r="B11" s="68" t="n">
        <f aca="false">Inputs!$E$69</f>
        <v>111000</v>
      </c>
      <c r="D11" s="18" t="s">
        <v>141</v>
      </c>
    </row>
    <row r="12" customFormat="false" ht="15" hidden="false" customHeight="false" outlineLevel="0" collapsed="false">
      <c r="A12" s="4" t="s">
        <v>142</v>
      </c>
      <c r="B12" s="67" t="n">
        <f aca="false">B10+B11</f>
        <v>583559.636412895</v>
      </c>
    </row>
    <row r="14" customFormat="false" ht="15" hidden="false" customHeight="false" outlineLevel="0" collapsed="false">
      <c r="A14" s="6" t="s">
        <v>63</v>
      </c>
      <c r="B14" s="68" t="n">
        <f aca="false">Inputs!$E$54</f>
        <v>330000</v>
      </c>
    </row>
    <row r="15" customFormat="false" ht="15" hidden="false" customHeight="false" outlineLevel="0" collapsed="false">
      <c r="A15" s="6" t="s">
        <v>64</v>
      </c>
      <c r="B15" s="68" t="n">
        <f aca="false">Inputs!$E$55</f>
        <v>150000</v>
      </c>
    </row>
    <row r="16" customFormat="false" ht="15" hidden="false" customHeight="false" outlineLevel="0" collapsed="false">
      <c r="A16" s="4" t="s">
        <v>143</v>
      </c>
      <c r="B16" s="67" t="n">
        <f aca="false">B14+B15</f>
        <v>480000</v>
      </c>
    </row>
    <row r="17" customFormat="false" ht="15" hidden="false" customHeight="false" outlineLevel="0" collapsed="false">
      <c r="A17" s="69" t="s">
        <v>66</v>
      </c>
      <c r="B17" s="70" t="n">
        <f aca="false">B16-B12</f>
        <v>-103559.636412895</v>
      </c>
      <c r="D17" s="18" t="s">
        <v>144</v>
      </c>
    </row>
    <row r="18" customFormat="false" ht="15" hidden="false" customHeight="false" outlineLevel="0" collapsed="false">
      <c r="A18" s="6" t="s">
        <v>145</v>
      </c>
      <c r="B18" s="66" t="n">
        <f aca="false">MIN(Monthly!$C$81:$AL$81)</f>
        <v>7440.36358710485</v>
      </c>
      <c r="D18" s="18" t="s">
        <v>146</v>
      </c>
    </row>
    <row r="20" customFormat="false" ht="15.75" hidden="false" customHeight="true" outlineLevel="0" collapsed="false">
      <c r="A20" s="7" t="s">
        <v>147</v>
      </c>
      <c r="B20" s="7"/>
      <c r="C20" s="7"/>
      <c r="D20" s="7"/>
    </row>
    <row r="21" customFormat="false" ht="15" hidden="false" customHeight="false" outlineLevel="0" collapsed="false">
      <c r="A21" s="6" t="s">
        <v>148</v>
      </c>
      <c r="B21" s="64" t="n">
        <f aca="false">IFERROR(MATCH(1,Monthly!$C$82:$AL$82,0),"Not within horizon")</f>
        <v>15</v>
      </c>
    </row>
    <row r="22" customFormat="false" ht="15" hidden="false" customHeight="false" outlineLevel="0" collapsed="false">
      <c r="A22" s="6" t="s">
        <v>149</v>
      </c>
      <c r="B22" s="64" t="n">
        <f aca="false">IFERROR(MATCH(1,Monthly!$C$85:$AL$85,0),"Not within horizon")</f>
        <v>18</v>
      </c>
    </row>
    <row r="23" customFormat="false" ht="15" hidden="false" customHeight="false" outlineLevel="0" collapsed="false">
      <c r="A23" s="6" t="s">
        <v>150</v>
      </c>
      <c r="B23" s="64" t="str">
        <f aca="false">IF(MIN(Monthly!$C$87:$AL$87)&gt;=0,"No investment to pay back",IFERROR(MATCH(1,Monthly!$C$89:$AL$89,0),"Not within horizon"))</f>
        <v>Not within horizon</v>
      </c>
      <c r="D23" s="18" t="s">
        <v>151</v>
      </c>
    </row>
    <row r="25" customFormat="false" ht="15.75" hidden="false" customHeight="true" outlineLevel="0" collapsed="false">
      <c r="A25" s="7" t="s">
        <v>152</v>
      </c>
      <c r="B25" s="7"/>
      <c r="C25" s="7"/>
      <c r="D25" s="7"/>
    </row>
    <row r="26" customFormat="false" ht="15" hidden="false" customHeight="false" outlineLevel="0" collapsed="false">
      <c r="A26" s="71" t="s">
        <v>153</v>
      </c>
      <c r="B26" s="71" t="n">
        <v>1</v>
      </c>
      <c r="C26" s="71" t="n">
        <v>2</v>
      </c>
      <c r="D26" s="71" t="n">
        <v>3</v>
      </c>
    </row>
    <row r="27" customFormat="false" ht="15" hidden="false" customHeight="false" outlineLevel="0" collapsed="false">
      <c r="A27" s="33"/>
      <c r="B27" s="35" t="s">
        <v>154</v>
      </c>
      <c r="C27" s="35" t="s">
        <v>155</v>
      </c>
      <c r="D27" s="35" t="s">
        <v>156</v>
      </c>
    </row>
    <row r="28" customFormat="false" ht="15" hidden="false" customHeight="false" outlineLevel="0" collapsed="false">
      <c r="A28" s="4" t="s">
        <v>44</v>
      </c>
      <c r="B28" s="72" t="n">
        <f aca="false">SUMIF(Monthly!$C$5:$AL$5,B$26,Monthly!$C$24:$AL$24)</f>
        <v>393075.459761719</v>
      </c>
      <c r="C28" s="72" t="n">
        <f aca="false">SUMIF(Monthly!$C$5:$AL$5,C$26,Monthly!$C$24:$AL$24)</f>
        <v>663933.884151801</v>
      </c>
      <c r="D28" s="72" t="n">
        <f aca="false">SUMIF(Monthly!$C$5:$AL$5,D$26,Monthly!$C$24:$AL$24)</f>
        <v>722638.4004</v>
      </c>
    </row>
    <row r="29" customFormat="false" ht="15" hidden="false" customHeight="false" outlineLevel="0" collapsed="false">
      <c r="A29" s="6" t="s">
        <v>45</v>
      </c>
      <c r="B29" s="66" t="n">
        <f aca="false">SUMIF(Monthly!$C$5:$AL$5,B$26,Monthly!$C$31:$AL$31)</f>
        <v>262844.884249407</v>
      </c>
      <c r="C29" s="66" t="n">
        <f aca="false">SUMIF(Monthly!$C$5:$AL$5,C$26,Monthly!$C$31:$AL$31)</f>
        <v>504280.122889946</v>
      </c>
      <c r="D29" s="66" t="n">
        <f aca="false">SUMIF(Monthly!$C$5:$AL$5,D$26,Monthly!$C$31:$AL$31)</f>
        <v>554018.9544</v>
      </c>
    </row>
    <row r="30" customFormat="false" ht="15" hidden="false" customHeight="false" outlineLevel="0" collapsed="false">
      <c r="A30" s="39" t="s">
        <v>157</v>
      </c>
      <c r="B30" s="73" t="n">
        <f aca="false">IF(B28=0,0,B29/B28)</f>
        <v>0.668688104845678</v>
      </c>
      <c r="C30" s="73" t="n">
        <f aca="false">IF(C28=0,0,C29/C28)</f>
        <v>0.759533644730577</v>
      </c>
      <c r="D30" s="73" t="n">
        <f aca="false">IF(D28=0,0,D29/D28)</f>
        <v>0.766661381533746</v>
      </c>
    </row>
    <row r="31" customFormat="false" ht="15" hidden="false" customHeight="false" outlineLevel="0" collapsed="false">
      <c r="A31" s="6" t="s">
        <v>158</v>
      </c>
      <c r="B31" s="66" t="n">
        <f aca="false">-SUMIF(Monthly!$C$5:$AL$5,B$26,Monthly!$C$41:$AL$41)</f>
        <v>445823.018390469</v>
      </c>
      <c r="C31" s="66" t="n">
        <f aca="false">-SUMIF(Monthly!$C$5:$AL$5,C$26,Monthly!$C$41:$AL$41)</f>
        <v>464040.355366072</v>
      </c>
      <c r="D31" s="66" t="n">
        <f aca="false">-SUMIF(Monthly!$C$5:$AL$5,D$26,Monthly!$C$41:$AL$41)</f>
        <v>474041.026016</v>
      </c>
    </row>
    <row r="32" customFormat="false" ht="15" hidden="false" customHeight="false" outlineLevel="0" collapsed="false">
      <c r="A32" s="4" t="s">
        <v>159</v>
      </c>
      <c r="B32" s="72" t="n">
        <f aca="false">IF(B30&gt;0,B31/B30,"n/a")</f>
        <v>666712.949071163</v>
      </c>
      <c r="C32" s="72" t="n">
        <f aca="false">IF(C30&gt;0,C31/C30,"n/a")</f>
        <v>610954.312011652</v>
      </c>
      <c r="D32" s="72" t="n">
        <f aca="false">IF(D30&gt;0,D31/D30,"n/a")</f>
        <v>618318.644233334</v>
      </c>
    </row>
    <row r="33" customFormat="false" ht="15" hidden="false" customHeight="false" outlineLevel="0" collapsed="false">
      <c r="A33" s="39" t="s">
        <v>160</v>
      </c>
      <c r="B33" s="73" t="n">
        <f aca="false">IF(AND(ISNUMBER(B32),B28&gt;0),(B28-B32)/B28,"n/a")</f>
        <v>-0.69614493226141</v>
      </c>
      <c r="C33" s="73" t="n">
        <f aca="false">IF(AND(ISNUMBER(C32),C28&gt;0),(C28-C32)/C28,"n/a")</f>
        <v>0.0797964577569825</v>
      </c>
      <c r="D33" s="73" t="n">
        <f aca="false">IF(AND(ISNUMBER(D32),D28&gt;0),(D28-D32)/D28,"n/a")</f>
        <v>0.144359552590788</v>
      </c>
    </row>
    <row r="35" customFormat="false" ht="15" hidden="false" customHeight="false" outlineLevel="0" collapsed="false">
      <c r="A35" s="39" t="s">
        <v>161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6"/>
  </cols>
  <sheetData>
    <row r="1" customFormat="false" ht="21.75" hidden="false" customHeight="true" outlineLevel="0" collapsed="false">
      <c r="A1" s="16" t="s">
        <v>162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163</v>
      </c>
    </row>
    <row r="3" customFormat="false" ht="15" hidden="false" customHeight="false" outlineLevel="0" collapsed="false">
      <c r="A3" s="4" t="s">
        <v>133</v>
      </c>
      <c r="B3" s="5" t="str">
        <f aca="false">CHOOSE(Dashboard!$B$4,"Low","Base","High")</f>
        <v>Base</v>
      </c>
    </row>
    <row r="5" customFormat="false" ht="15.75" hidden="false" customHeight="true" outlineLevel="0" collapsed="false">
      <c r="A5" s="7" t="s">
        <v>164</v>
      </c>
      <c r="B5" s="7"/>
      <c r="C5" s="7"/>
      <c r="D5" s="7"/>
      <c r="E5" s="7"/>
      <c r="F5" s="7"/>
    </row>
    <row r="6" customFormat="false" ht="15" hidden="false" customHeight="false" outlineLevel="0" collapsed="false">
      <c r="A6" s="39" t="s">
        <v>165</v>
      </c>
      <c r="B6" s="74" t="n">
        <f aca="false">Inputs!$E$72</f>
        <v>0.25</v>
      </c>
    </row>
    <row r="7" customFormat="false" ht="15" hidden="false" customHeight="false" outlineLevel="0" collapsed="false">
      <c r="A7" s="39" t="s">
        <v>166</v>
      </c>
      <c r="B7" s="74" t="n">
        <f aca="false">Inputs!$E$73</f>
        <v>0.02</v>
      </c>
    </row>
    <row r="8" customFormat="false" ht="15" hidden="false" customHeight="false" outlineLevel="0" collapsed="false">
      <c r="A8" s="6" t="s">
        <v>167</v>
      </c>
      <c r="B8" s="75" t="n">
        <f aca="false">Inputs!$E$74</f>
        <v>4</v>
      </c>
    </row>
    <row r="9" customFormat="false" ht="15" hidden="false" customHeight="false" outlineLevel="0" collapsed="false">
      <c r="A9" s="39" t="s">
        <v>168</v>
      </c>
      <c r="B9" s="74" t="n">
        <f aca="false">Inputs!$E$66</f>
        <v>0.21</v>
      </c>
    </row>
    <row r="10" customFormat="false" ht="15" hidden="false" customHeight="false" outlineLevel="0" collapsed="false">
      <c r="A10" s="39" t="s">
        <v>169</v>
      </c>
      <c r="B10" s="74" t="n">
        <f aca="false">Inputs!$E$75</f>
        <v>0.01</v>
      </c>
    </row>
    <row r="11" customFormat="false" ht="15" hidden="false" customHeight="false" outlineLevel="0" collapsed="false">
      <c r="A11" s="39" t="s">
        <v>170</v>
      </c>
      <c r="B11" s="74" t="n">
        <f aca="false">Inputs!$E$76</f>
        <v>0.005</v>
      </c>
    </row>
    <row r="13" customFormat="false" ht="15.75" hidden="false" customHeight="true" outlineLevel="0" collapsed="false">
      <c r="A13" s="7" t="s">
        <v>171</v>
      </c>
      <c r="B13" s="7"/>
      <c r="C13" s="7"/>
      <c r="D13" s="7"/>
    </row>
    <row r="14" customFormat="false" ht="15" hidden="false" customHeight="false" outlineLevel="0" collapsed="false">
      <c r="A14" s="71" t="s">
        <v>153</v>
      </c>
      <c r="B14" s="71" t="n">
        <v>1</v>
      </c>
      <c r="C14" s="71" t="n">
        <v>2</v>
      </c>
      <c r="D14" s="71" t="n">
        <v>3</v>
      </c>
    </row>
    <row r="15" customFormat="false" ht="15" hidden="false" customHeight="false" outlineLevel="0" collapsed="false">
      <c r="A15" s="33"/>
      <c r="B15" s="35" t="s">
        <v>154</v>
      </c>
      <c r="C15" s="35" t="s">
        <v>155</v>
      </c>
      <c r="D15" s="35" t="s">
        <v>156</v>
      </c>
    </row>
    <row r="16" customFormat="false" ht="15" hidden="false" customHeight="false" outlineLevel="0" collapsed="false">
      <c r="A16" s="6" t="s">
        <v>48</v>
      </c>
      <c r="B16" s="66" t="n">
        <f aca="false">SUMIF(Monthly!$C$5:$AL$5,B$14,Monthly!$C$42:$AL$42)</f>
        <v>-182978.134141062</v>
      </c>
      <c r="C16" s="66" t="n">
        <f aca="false">SUMIF(Monthly!$C$5:$AL$5,C$14,Monthly!$C$42:$AL$42)</f>
        <v>40239.7675238735</v>
      </c>
      <c r="D16" s="66" t="n">
        <f aca="false">SUMIF(Monthly!$C$5:$AL$5,D$14,Monthly!$C$42:$AL$42)</f>
        <v>79977.9283840001</v>
      </c>
    </row>
    <row r="17" customFormat="false" ht="15" hidden="false" customHeight="false" outlineLevel="0" collapsed="false">
      <c r="A17" s="4" t="s">
        <v>172</v>
      </c>
      <c r="B17" s="72" t="n">
        <f aca="false">SUMIF(Monthly!$C$5:$AL$5,B$14,Monthly!$C$90:$AL$90)</f>
        <v>-431339.247449834</v>
      </c>
      <c r="C17" s="72" t="n">
        <f aca="false">SUMIF(Monthly!$C$5:$AL$5,C$14,Monthly!$C$90:$AL$90)</f>
        <v>38769.5808326461</v>
      </c>
      <c r="D17" s="72" t="n">
        <f aca="false">SUMIF(Monthly!$C$5:$AL$5,D$14,Monthly!$C$90:$AL$90)</f>
        <v>78464.3518840001</v>
      </c>
    </row>
    <row r="18" customFormat="false" ht="15" hidden="false" customHeight="false" outlineLevel="0" collapsed="false">
      <c r="A18" s="6" t="s">
        <v>173</v>
      </c>
      <c r="B18" s="76" t="n">
        <f aca="false">1/(1+Inputs!$E$72)^B$14</f>
        <v>0.8</v>
      </c>
      <c r="C18" s="76" t="n">
        <f aca="false">1/(1+Inputs!$E$72)^C$14</f>
        <v>0.64</v>
      </c>
      <c r="D18" s="76" t="n">
        <f aca="false">1/(1+Inputs!$E$72)^D$14</f>
        <v>0.512</v>
      </c>
    </row>
    <row r="19" customFormat="false" ht="15" hidden="false" customHeight="false" outlineLevel="0" collapsed="false">
      <c r="A19" s="6" t="s">
        <v>174</v>
      </c>
      <c r="B19" s="66" t="n">
        <f aca="false">B17*B18</f>
        <v>-345071.397959867</v>
      </c>
      <c r="C19" s="66" t="n">
        <f aca="false">C17*C18</f>
        <v>24812.5317328935</v>
      </c>
      <c r="D19" s="66" t="n">
        <f aca="false">D17*D18</f>
        <v>40173.748164608</v>
      </c>
    </row>
    <row r="21" customFormat="false" ht="15.75" hidden="false" customHeight="true" outlineLevel="0" collapsed="false">
      <c r="A21" s="7" t="s">
        <v>175</v>
      </c>
      <c r="B21" s="7"/>
      <c r="C21" s="7"/>
      <c r="D21" s="7"/>
      <c r="E21" s="7"/>
      <c r="F21" s="7"/>
    </row>
    <row r="22" customFormat="false" ht="15" hidden="false" customHeight="false" outlineLevel="0" collapsed="false">
      <c r="B22" s="35" t="s">
        <v>176</v>
      </c>
      <c r="C22" s="35" t="s">
        <v>177</v>
      </c>
    </row>
    <row r="23" customFormat="false" ht="15" hidden="false" customHeight="false" outlineLevel="0" collapsed="false">
      <c r="A23" s="6" t="s">
        <v>178</v>
      </c>
      <c r="B23" s="66" t="n">
        <f aca="false">SUM($B$19:$D$19)</f>
        <v>-280085.118062366</v>
      </c>
      <c r="C23" s="66" t="n">
        <f aca="false">B23</f>
        <v>-280085.118062366</v>
      </c>
    </row>
    <row r="24" customFormat="false" ht="15" hidden="false" customHeight="false" outlineLevel="0" collapsed="false">
      <c r="A24" s="6" t="s">
        <v>179</v>
      </c>
      <c r="B24" s="66" t="n">
        <f aca="false">$D$17</f>
        <v>78464.3518840001</v>
      </c>
      <c r="C24" s="66" t="n">
        <f aca="false">$D$16</f>
        <v>79977.9283840001</v>
      </c>
    </row>
    <row r="25" customFormat="false" ht="15" hidden="false" customHeight="false" outlineLevel="0" collapsed="false">
      <c r="A25" s="6" t="s">
        <v>180</v>
      </c>
      <c r="B25" s="66" t="n">
        <f aca="false">IF($B$6&gt;$B$7,B24*(1+$B$7)/($B$6-$B$7),0)</f>
        <v>347972.343137739</v>
      </c>
      <c r="C25" s="66" t="n">
        <f aca="false">C24*$B$8</f>
        <v>319911.713536</v>
      </c>
    </row>
    <row r="26" customFormat="false" ht="15" hidden="false" customHeight="false" outlineLevel="0" collapsed="false">
      <c r="A26" s="6" t="s">
        <v>181</v>
      </c>
      <c r="B26" s="66" t="n">
        <f aca="false">B25/(1+$B$6)^$D$14</f>
        <v>178161.839686523</v>
      </c>
      <c r="C26" s="66" t="n">
        <f aca="false">C25/(1+$B$6)^$D$14</f>
        <v>163794.797330432</v>
      </c>
    </row>
    <row r="27" customFormat="false" ht="15" hidden="false" customHeight="false" outlineLevel="0" collapsed="false">
      <c r="A27" s="4" t="s">
        <v>175</v>
      </c>
      <c r="B27" s="67" t="n">
        <f aca="false">B23+B26</f>
        <v>-101923.278375843</v>
      </c>
      <c r="C27" s="67" t="n">
        <f aca="false">C23+C26</f>
        <v>-116290.320731934</v>
      </c>
    </row>
    <row r="28" customFormat="false" ht="15" hidden="false" customHeight="false" outlineLevel="0" collapsed="false">
      <c r="A28" s="39" t="s">
        <v>182</v>
      </c>
      <c r="B28" s="73" t="n">
        <f aca="false">IF(B27&lt;&gt;0,B26/B27,0)</f>
        <v>-1.74799950046297</v>
      </c>
      <c r="C28" s="73" t="n">
        <f aca="false">IF(C27&lt;&gt;0,C26/C27,0)</f>
        <v>-1.40849897308309</v>
      </c>
    </row>
    <row r="29" customFormat="false" ht="15" hidden="false" customHeight="false" outlineLevel="0" collapsed="false">
      <c r="A29" s="6" t="s">
        <v>183</v>
      </c>
      <c r="B29" s="77" t="n">
        <f aca="false">IF(C24&gt;0,B25/C24,"n/a")</f>
        <v>4.35085466914085</v>
      </c>
      <c r="C29" s="73" t="n">
        <f aca="false">IF(C25+B24&lt;&gt;0,(C25*$B$6-B24)/(C25+B24),"n/a")</f>
        <v>0.00379936605479614</v>
      </c>
    </row>
    <row r="30" customFormat="false" ht="15" hidden="false" customHeight="false" outlineLevel="0" collapsed="false">
      <c r="A30" s="69" t="s">
        <v>184</v>
      </c>
      <c r="B30" s="70" t="n">
        <f aca="false">AVERAGE(B27,C27)</f>
        <v>-109106.799553889</v>
      </c>
    </row>
    <row r="32" customFormat="false" ht="15.75" hidden="false" customHeight="true" outlineLevel="0" collapsed="false">
      <c r="A32" s="7" t="s">
        <v>185</v>
      </c>
      <c r="B32" s="7"/>
      <c r="C32" s="7"/>
      <c r="D32" s="7"/>
      <c r="E32" s="7"/>
      <c r="F32" s="7"/>
    </row>
    <row r="33" customFormat="false" ht="15" hidden="false" customHeight="false" outlineLevel="0" collapsed="false">
      <c r="A33" s="33" t="s">
        <v>186</v>
      </c>
      <c r="B33" s="78" t="n">
        <f aca="false">$B$7+(-2)*$B$11</f>
        <v>0.01</v>
      </c>
      <c r="C33" s="78" t="n">
        <f aca="false">$B$7+(-1)*$B$11</f>
        <v>0.015</v>
      </c>
      <c r="D33" s="78" t="n">
        <f aca="false">$B$7+(0)*$B$11</f>
        <v>0.02</v>
      </c>
      <c r="E33" s="78" t="n">
        <f aca="false">$B$7+(1)*$B$11</f>
        <v>0.025</v>
      </c>
      <c r="F33" s="78" t="n">
        <f aca="false">$B$7+(2)*$B$11</f>
        <v>0.03</v>
      </c>
    </row>
    <row r="34" customFormat="false" ht="15" hidden="false" customHeight="false" outlineLevel="0" collapsed="false">
      <c r="A34" s="73" t="n">
        <f aca="false">$B$6+(-2)*$B$10</f>
        <v>0.23</v>
      </c>
      <c r="B34" s="66" t="n">
        <f aca="false">IF($A34&gt;B$33,SUMPRODUCT($B$17:$D$17/(1+$A34)^$B$14:$D$14)+$D$17*(1+B$33)/($A34-B$33)/(1+$A34)^$D$14,"n/a")</f>
        <v>-89312.9411087163</v>
      </c>
      <c r="C34" s="66" t="n">
        <f aca="false">IF($A34&gt;C$33,SUMPRODUCT($B$17:$D$17/(1+$A34)^$B$14:$D$14)+$D$17*(1+C$33)/($A34-C$33)/(1+$A34)^$D$14,"n/a")</f>
        <v>-83830.5371482451</v>
      </c>
      <c r="D34" s="66" t="n">
        <f aca="false">IF($A34&gt;D$33,SUMPRODUCT($B$17:$D$17/(1+$A34)^$B$14:$D$14)+$D$17*(1+D$33)/($A34-D$33)/(1+$A34)^$D$14,"n/a")</f>
        <v>-78087.0663325132</v>
      </c>
      <c r="E34" s="66" t="n">
        <f aca="false">IF($A34&gt;E$33,SUMPRODUCT($B$17:$D$17/(1+$A34)^$B$14:$D$14)+$D$17*(1+E$33)/($A34-E$33)/(1+$A34)^$D$14,"n/a")</f>
        <v>-72063.4262086969</v>
      </c>
      <c r="F34" s="66" t="n">
        <f aca="false">IF($A34&gt;F$33,SUMPRODUCT($B$17:$D$17/(1+$A34)^$B$14:$D$14)+$D$17*(1+F$33)/($A34-F$33)/(1+$A34)^$D$14,"n/a")</f>
        <v>-65738.6040786897</v>
      </c>
    </row>
    <row r="35" customFormat="false" ht="15" hidden="false" customHeight="false" outlineLevel="0" collapsed="false">
      <c r="A35" s="73" t="n">
        <f aca="false">$B$6+(-1)*$B$10</f>
        <v>0.24</v>
      </c>
      <c r="B35" s="66" t="n">
        <f aca="false">IF($A35&gt;B$33,SUMPRODUCT($B$17:$D$17/(1+$A35)^$B$14:$D$14)+$D$17*(1+B$33)/($A35-B$33)/(1+$A35)^$D$14,"n/a")</f>
        <v>-100768.554882776</v>
      </c>
      <c r="C35" s="66" t="n">
        <f aca="false">IF($A35&gt;C$33,SUMPRODUCT($B$17:$D$17/(1+$A35)^$B$14:$D$14)+$D$17*(1+C$33)/($A35-C$33)/(1+$A35)^$D$14,"n/a")</f>
        <v>-95838.0808970931</v>
      </c>
      <c r="D35" s="66" t="n">
        <f aca="false">IF($A35&gt;D$33,SUMPRODUCT($B$17:$D$17/(1+$A35)^$B$14:$D$14)+$D$17*(1+D$33)/($A35-D$33)/(1+$A35)^$D$14,"n/a")</f>
        <v>-90683.4944575152</v>
      </c>
      <c r="E35" s="66" t="n">
        <f aca="false">IF($A35&gt;E$33,SUMPRODUCT($B$17:$D$17/(1+$A35)^$B$14:$D$14)+$D$17*(1+E$33)/($A35-E$33)/(1+$A35)^$D$14,"n/a")</f>
        <v>-85289.1598114453</v>
      </c>
      <c r="F35" s="66" t="n">
        <f aca="false">IF($A35&gt;F$33,SUMPRODUCT($B$17:$D$17/(1+$A35)^$B$14:$D$14)+$D$17*(1+F$33)/($A35-F$33)/(1+$A35)^$D$14,"n/a")</f>
        <v>-79637.9520869911</v>
      </c>
    </row>
    <row r="36" customFormat="false" ht="15" hidden="false" customHeight="false" outlineLevel="0" collapsed="false">
      <c r="A36" s="73" t="n">
        <f aca="false">$B$6+(0)*$B$10</f>
        <v>0.25</v>
      </c>
      <c r="B36" s="66" t="n">
        <f aca="false">IF($A36&gt;B$33,SUMPRODUCT($B$17:$D$17/(1+$A36)^$B$14:$D$14)+$D$17*(1+B$33)/($A36-B$33)/(1+$A36)^$D$14,"n/a")</f>
        <v>-111020.594536307</v>
      </c>
      <c r="C36" s="66" t="n">
        <f aca="false">IF($A36&gt;C$33,SUMPRODUCT($B$17:$D$17/(1+$A36)^$B$14:$D$14)+$D$17*(1+C$33)/($A36-C$33)/(1+$A36)^$D$14,"n/a")</f>
        <v>-106568.716415229</v>
      </c>
      <c r="D36" s="66" t="n">
        <f aca="false">IF($A36&gt;D$33,SUMPRODUCT($B$17:$D$17/(1+$A36)^$B$14:$D$14)+$D$17*(1+D$33)/($A36-D$33)/(1+$A36)^$D$14,"n/a")</f>
        <v>-101923.278375843</v>
      </c>
      <c r="E36" s="66" t="n">
        <f aca="false">IF($A36&gt;E$33,SUMPRODUCT($B$17:$D$17/(1+$A36)^$B$14:$D$14)+$D$17*(1+E$33)/($A36-E$33)/(1+$A36)^$D$14,"n/a")</f>
        <v>-97071.376423596</v>
      </c>
      <c r="F36" s="66" t="n">
        <f aca="false">IF($A36&gt;F$33,SUMPRODUCT($B$17:$D$17/(1+$A36)^$B$14:$D$14)+$D$17*(1+F$33)/($A36-F$33)/(1+$A36)^$D$14,"n/a")</f>
        <v>-91998.9334735191</v>
      </c>
    </row>
    <row r="37" customFormat="false" ht="15" hidden="false" customHeight="false" outlineLevel="0" collapsed="false">
      <c r="A37" s="73" t="n">
        <f aca="false">$B$6+(1)*$B$10</f>
        <v>0.26</v>
      </c>
      <c r="B37" s="66" t="n">
        <f aca="false">IF($A37&gt;B$33,SUMPRODUCT($B$17:$D$17/(1+$A37)^$B$14:$D$14)+$D$17*(1+B$33)/($A37-B$33)/(1+$A37)^$D$14,"n/a")</f>
        <v>-120219.490689182</v>
      </c>
      <c r="C37" s="66" t="n">
        <f aca="false">IF($A37&gt;C$33,SUMPRODUCT($B$17:$D$17/(1+$A37)^$B$14:$D$14)+$D$17*(1+C$33)/($A37-C$33)/(1+$A37)^$D$14,"n/a")</f>
        <v>-116184.939659312</v>
      </c>
      <c r="D37" s="66" t="n">
        <f aca="false">IF($A37&gt;D$33,SUMPRODUCT($B$17:$D$17/(1+$A37)^$B$14:$D$14)+$D$17*(1+D$33)/($A37-D$33)/(1+$A37)^$D$14,"n/a")</f>
        <v>-111982.282336532</v>
      </c>
      <c r="E37" s="66" t="n">
        <f aca="false">IF($A37&gt;E$33,SUMPRODUCT($B$17:$D$17/(1+$A37)^$B$14:$D$14)+$D$17*(1+E$33)/($A37-E$33)/(1+$A37)^$D$14,"n/a")</f>
        <v>-107600.788531931</v>
      </c>
      <c r="F37" s="66" t="n">
        <f aca="false">IF($A37&gt;F$33,SUMPRODUCT($B$17:$D$17/(1+$A37)^$B$14:$D$14)+$D$17*(1+F$33)/($A37-F$33)/(1+$A37)^$D$14,"n/a")</f>
        <v>-103028.794996695</v>
      </c>
    </row>
    <row r="38" customFormat="false" ht="15" hidden="false" customHeight="false" outlineLevel="0" collapsed="false">
      <c r="A38" s="73" t="n">
        <f aca="false">$B$6+(2)*$B$10</f>
        <v>0.27</v>
      </c>
      <c r="B38" s="66" t="n">
        <f aca="false">IF($A38&gt;B$33,SUMPRODUCT($B$17:$D$17/(1+$A38)^$B$14:$D$14)+$D$17*(1+B$33)/($A38-B$33)/(1+$A38)^$D$14,"n/a")</f>
        <v>-128492.339663977</v>
      </c>
      <c r="C38" s="66" t="n">
        <f aca="false">IF($A38&gt;C$33,SUMPRODUCT($B$17:$D$17/(1+$A38)^$B$14:$D$14)+$D$17*(1+C$33)/($A38-C$33)/(1+$A38)^$D$14,"n/a")</f>
        <v>-124823.56172551</v>
      </c>
      <c r="D38" s="66" t="n">
        <f aca="false">IF($A38&gt;D$33,SUMPRODUCT($B$17:$D$17/(1+$A38)^$B$14:$D$14)+$D$17*(1+D$33)/($A38-D$33)/(1+$A38)^$D$14,"n/a")</f>
        <v>-121008.032669504</v>
      </c>
      <c r="E38" s="66" t="n">
        <f aca="false">IF($A38&gt;E$33,SUMPRODUCT($B$17:$D$17/(1+$A38)^$B$14:$D$14)+$D$17*(1+E$33)/($A38-E$33)/(1+$A38)^$D$14,"n/a")</f>
        <v>-117036.767733662</v>
      </c>
      <c r="F38" s="66" t="n">
        <f aca="false">IF($A38&gt;F$33,SUMPRODUCT($B$17:$D$17/(1+$A38)^$B$14:$D$14)+$D$17*(1+F$33)/($A38-F$33)/(1+$A38)^$D$14,"n/a")</f>
        <v>-112900.033425492</v>
      </c>
    </row>
    <row r="40" customFormat="false" ht="15" hidden="false" customHeight="false" outlineLevel="0" collapsed="false">
      <c r="A40" s="39" t="s">
        <v>187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6"/>
    <col collapsed="false" customWidth="true" hidden="false" outlineLevel="0" max="5" min="5" style="0" width="2"/>
  </cols>
  <sheetData>
    <row r="1" customFormat="false" ht="21.75" hidden="false" customHeight="true" outlineLevel="0" collapsed="false">
      <c r="A1" s="16" t="s">
        <v>188</v>
      </c>
      <c r="E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189</v>
      </c>
    </row>
    <row r="3" customFormat="false" ht="15" hidden="false" customHeight="false" outlineLevel="0" collapsed="false">
      <c r="A3" s="4" t="s">
        <v>133</v>
      </c>
      <c r="B3" s="5" t="str">
        <f aca="false">CHOOSE(Dashboard!$B$4,"Low","Base","High")</f>
        <v>Base</v>
      </c>
    </row>
    <row r="5" customFormat="false" ht="15.75" hidden="false" customHeight="true" outlineLevel="0" collapsed="false">
      <c r="A5" s="7" t="s">
        <v>190</v>
      </c>
      <c r="B5" s="7"/>
      <c r="C5" s="7"/>
    </row>
    <row r="6" customFormat="false" ht="15" hidden="false" customHeight="false" outlineLevel="0" collapsed="false">
      <c r="B6" s="35" t="s">
        <v>191</v>
      </c>
      <c r="C6" s="35" t="s">
        <v>192</v>
      </c>
    </row>
    <row r="7" customFormat="false" ht="15" hidden="false" customHeight="false" outlineLevel="0" collapsed="false">
      <c r="A7" s="6" t="s">
        <v>193</v>
      </c>
      <c r="B7" s="79" t="n">
        <f aca="false">Inputs!$E$54</f>
        <v>330000</v>
      </c>
      <c r="C7" s="73" t="n">
        <f aca="false">IF($B$9=0,0,B7/$B$9)</f>
        <v>0.6875</v>
      </c>
    </row>
    <row r="8" customFormat="false" ht="15" hidden="false" customHeight="false" outlineLevel="0" collapsed="false">
      <c r="A8" s="6" t="s">
        <v>194</v>
      </c>
      <c r="B8" s="79" t="n">
        <f aca="false">Inputs!$E$55</f>
        <v>150000</v>
      </c>
      <c r="C8" s="73" t="n">
        <f aca="false">IF($B$9=0,0,B8/$B$9)</f>
        <v>0.3125</v>
      </c>
    </row>
    <row r="9" customFormat="false" ht="15" hidden="false" customHeight="false" outlineLevel="0" collapsed="false">
      <c r="A9" s="4" t="s">
        <v>195</v>
      </c>
      <c r="B9" s="80" t="n">
        <f aca="false">B7+B8</f>
        <v>480000</v>
      </c>
      <c r="C9" s="81" t="n">
        <f aca="false">IF(B9=0,0,1)</f>
        <v>1</v>
      </c>
    </row>
    <row r="10" customFormat="false" ht="15" hidden="false" customHeight="false" outlineLevel="0" collapsed="false">
      <c r="A10" s="6" t="s">
        <v>196</v>
      </c>
      <c r="B10" s="77" t="n">
        <f aca="false">IF(B7&lt;=0,IF(B8&gt;0,"n/a",0),B8/B7)</f>
        <v>0.454545454545455</v>
      </c>
      <c r="D10" s="18" t="s">
        <v>197</v>
      </c>
    </row>
    <row r="11" customFormat="false" ht="15" hidden="false" customHeight="false" outlineLevel="0" collapsed="false">
      <c r="A11" s="6" t="s">
        <v>198</v>
      </c>
      <c r="B11" s="79" t="n">
        <f aca="false">'Break-even'!B12</f>
        <v>583559.636412895</v>
      </c>
    </row>
    <row r="12" customFormat="false" ht="15" hidden="false" customHeight="false" outlineLevel="0" collapsed="false">
      <c r="A12" s="69" t="s">
        <v>66</v>
      </c>
      <c r="B12" s="82" t="n">
        <f aca="false">'Break-even'!B17</f>
        <v>-103559.636412895</v>
      </c>
    </row>
    <row r="14" customFormat="false" ht="15.75" hidden="false" customHeight="true" outlineLevel="0" collapsed="false">
      <c r="A14" s="7" t="str">
        <f aca="false">"Sources and uses of cash in the first "&amp;$B$16&amp;IF($B$16=1," month"," months")&amp;" ($'000)"</f>
        <v>Sources and uses of cash in the first 12 months ($'000)</v>
      </c>
      <c r="B14" s="7"/>
      <c r="C14" s="7"/>
    </row>
    <row r="15" customFormat="false" ht="15" hidden="false" customHeight="false" outlineLevel="0" collapsed="false">
      <c r="A15" s="6" t="s">
        <v>199</v>
      </c>
      <c r="B15" s="83" t="n">
        <v>12</v>
      </c>
      <c r="D15" s="18" t="s">
        <v>200</v>
      </c>
    </row>
    <row r="16" customFormat="false" ht="15" hidden="false" customHeight="false" outlineLevel="0" collapsed="false">
      <c r="A16" s="6" t="s">
        <v>201</v>
      </c>
      <c r="B16" s="64" t="n">
        <f aca="false">MIN(36,MAX(1,ROUND(B15,0)))</f>
        <v>12</v>
      </c>
    </row>
    <row r="17" customFormat="false" ht="15" hidden="false" customHeight="false" outlineLevel="0" collapsed="false">
      <c r="A17" s="33" t="s">
        <v>202</v>
      </c>
      <c r="B17" s="35" t="s">
        <v>191</v>
      </c>
      <c r="C17" s="35" t="s">
        <v>192</v>
      </c>
    </row>
    <row r="18" customFormat="false" ht="15" hidden="false" customHeight="false" outlineLevel="0" collapsed="false">
      <c r="A18" s="6" t="s">
        <v>63</v>
      </c>
      <c r="B18" s="60" t="n">
        <f aca="false">SUMPRODUCT(--(Monthly!$C$4:$AL$4&lt;=$B$16),Monthly!$C$77:$AL$77)</f>
        <v>330000</v>
      </c>
      <c r="C18" s="73" t="n">
        <f aca="false">IF($B$21=0,0,B18/$B$21)</f>
        <v>0.6875</v>
      </c>
    </row>
    <row r="19" customFormat="false" ht="15" hidden="false" customHeight="false" outlineLevel="0" collapsed="false">
      <c r="A19" s="6" t="s">
        <v>203</v>
      </c>
      <c r="B19" s="60" t="n">
        <f aca="false">SUMPRODUCT(--(Monthly!$C$4:$AL$4&lt;=$B$16),Monthly!$C$62:$AL$62)</f>
        <v>150000</v>
      </c>
      <c r="C19" s="73" t="n">
        <f aca="false">IF($B$21=0,0,B19/$B$21)</f>
        <v>0.3125</v>
      </c>
    </row>
    <row r="20" customFormat="false" ht="15" hidden="false" customHeight="false" outlineLevel="0" collapsed="false">
      <c r="A20" s="6" t="s">
        <v>204</v>
      </c>
      <c r="B20" s="60" t="n">
        <f aca="false">MAX(0,SUMPRODUCT(--(Monthly!$C$4:$AL$4&lt;=$B$16),Monthly!$C$75:$AL$75))</f>
        <v>0</v>
      </c>
      <c r="C20" s="73" t="n">
        <f aca="false">IF($B$21=0,0,B20/$B$21)</f>
        <v>0</v>
      </c>
    </row>
    <row r="21" customFormat="false" ht="15" hidden="false" customHeight="false" outlineLevel="0" collapsed="false">
      <c r="A21" s="4" t="s">
        <v>205</v>
      </c>
      <c r="B21" s="80" t="n">
        <f aca="false">SUM(B18:B20)</f>
        <v>480000</v>
      </c>
      <c r="C21" s="81" t="n">
        <f aca="false">IF(B21=0,0,1)</f>
        <v>1</v>
      </c>
    </row>
    <row r="23" customFormat="false" ht="15" hidden="false" customHeight="false" outlineLevel="0" collapsed="false">
      <c r="A23" s="33" t="s">
        <v>206</v>
      </c>
      <c r="B23" s="35" t="s">
        <v>191</v>
      </c>
      <c r="C23" s="35" t="s">
        <v>192</v>
      </c>
    </row>
    <row r="24" customFormat="false" ht="15" hidden="false" customHeight="false" outlineLevel="0" collapsed="false">
      <c r="A24" s="6" t="s">
        <v>207</v>
      </c>
      <c r="B24" s="60" t="n">
        <f aca="false">MAX(0,-SUMPRODUCT(--(Monthly!$C$4:$AL$4&lt;=$B$16),Monthly!$C$75:$AL$75))</f>
        <v>190250.259354596</v>
      </c>
      <c r="C24" s="73" t="n">
        <f aca="false">IF($B$28=0,0,B24/$B$28)</f>
        <v>0.396354706988742</v>
      </c>
    </row>
    <row r="25" customFormat="false" ht="15" hidden="false" customHeight="false" outlineLevel="0" collapsed="false">
      <c r="A25" s="6" t="s">
        <v>83</v>
      </c>
      <c r="B25" s="60" t="n">
        <f aca="false">-SUMPRODUCT(--(Monthly!$C$4:$AL$4&lt;=$B$16),Monthly!$C$76:$AL$76)</f>
        <v>250000</v>
      </c>
      <c r="C25" s="73" t="n">
        <f aca="false">IF($B$28=0,0,B25/$B$28)</f>
        <v>0.520833333333333</v>
      </c>
    </row>
    <row r="26" customFormat="false" ht="15" hidden="false" customHeight="false" outlineLevel="0" collapsed="false">
      <c r="A26" s="6" t="s">
        <v>208</v>
      </c>
      <c r="B26" s="60" t="n">
        <f aca="false">-SUMPRODUCT(--(Monthly!$C$4:$AL$4&lt;=$B$16),Monthly!$C$63:$AL$63)</f>
        <v>19642.8571428571</v>
      </c>
      <c r="C26" s="73" t="n">
        <f aca="false">IF($B$28=0,0,B26/$B$28)</f>
        <v>0.0409226190476191</v>
      </c>
    </row>
    <row r="27" customFormat="false" ht="15" hidden="false" customHeight="false" outlineLevel="0" collapsed="false">
      <c r="A27" s="6" t="s">
        <v>209</v>
      </c>
      <c r="B27" s="60" t="n">
        <f aca="false">INDEX(Monthly!$C$81:$AL$81,$B$16)</f>
        <v>20106.8835025468</v>
      </c>
      <c r="C27" s="73" t="n">
        <f aca="false">IF($B$28=0,0,B27/$B$28)</f>
        <v>0.0418893406303057</v>
      </c>
    </row>
    <row r="28" customFormat="false" ht="15" hidden="false" customHeight="false" outlineLevel="0" collapsed="false">
      <c r="A28" s="4" t="s">
        <v>210</v>
      </c>
      <c r="B28" s="80" t="n">
        <f aca="false">SUM(B24:B27)</f>
        <v>480000</v>
      </c>
      <c r="C28" s="81" t="n">
        <f aca="false">IF(B28=0,0,1)</f>
        <v>1</v>
      </c>
    </row>
    <row r="29" customFormat="false" ht="15" hidden="false" customHeight="false" outlineLevel="0" collapsed="false">
      <c r="A29" s="6" t="s">
        <v>211</v>
      </c>
      <c r="B29" s="60" t="n">
        <f aca="false">B21-B28</f>
        <v>0</v>
      </c>
    </row>
  </sheetData>
  <dataValidations count="1">
    <dataValidation allowBlank="false" errorStyle="stop" operator="between" prompt="A whole number from 1 to 36" promptTitle="Period" showDropDown="false" showErrorMessage="false" showInputMessage="true" sqref="B15" type="whole">
      <formula1>1</formula1>
      <formula2>36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G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1.5"/>
    <col collapsed="false" customWidth="true" hidden="false" outlineLevel="0" max="6" min="6" style="0" width="2"/>
    <col collapsed="false" customWidth="true" hidden="false" outlineLevel="0" max="22" min="7" style="0" width="9"/>
  </cols>
  <sheetData>
    <row r="1" customFormat="false" ht="21.75" hidden="false" customHeight="true" outlineLevel="0" collapsed="false">
      <c r="A1" s="16" t="s">
        <v>212</v>
      </c>
      <c r="G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213</v>
      </c>
    </row>
    <row r="4" customFormat="false" ht="15.75" hidden="false" customHeight="true" outlineLevel="0" collapsed="false">
      <c r="A4" s="7" t="s">
        <v>214</v>
      </c>
      <c r="B4" s="7"/>
      <c r="C4" s="7"/>
      <c r="D4" s="7"/>
      <c r="E4" s="7"/>
    </row>
    <row r="5" customFormat="false" ht="15" hidden="false" customHeight="false" outlineLevel="0" collapsed="false">
      <c r="A5" s="33"/>
      <c r="B5" s="34" t="n">
        <v>1</v>
      </c>
      <c r="C5" s="34" t="n">
        <v>2</v>
      </c>
      <c r="D5" s="34" t="n">
        <v>3</v>
      </c>
      <c r="E5" s="35" t="s">
        <v>215</v>
      </c>
    </row>
    <row r="6" customFormat="false" ht="15" hidden="false" customHeight="false" outlineLevel="0" collapsed="false">
      <c r="A6" s="39" t="s">
        <v>216</v>
      </c>
      <c r="B6" s="40" t="str">
        <f aca="false">IF(N('P&amp;L'!A5)&lt;=0,"n/a",'P&amp;L'!B5/'P&amp;L'!A5-1)</f>
        <v>n/a</v>
      </c>
      <c r="C6" s="40" t="n">
        <f aca="false">IF(N('P&amp;L'!B5)&lt;=0,"n/a",'P&amp;L'!C5/'P&amp;L'!B5-1)</f>
        <v>0.689074877770989</v>
      </c>
      <c r="D6" s="40" t="n">
        <f aca="false">IF(N('P&amp;L'!C5)&lt;=0,"n/a",'P&amp;L'!D5/'P&amp;L'!C5-1)</f>
        <v>0.0884192201203837</v>
      </c>
      <c r="E6" s="84"/>
    </row>
    <row r="7" customFormat="false" ht="15" hidden="false" customHeight="false" outlineLevel="0" collapsed="false">
      <c r="A7" s="39" t="s">
        <v>46</v>
      </c>
      <c r="B7" s="40" t="n">
        <f aca="false">IF('P&amp;L'!B5&lt;=0,"n/a",'P&amp;L'!B7/'P&amp;L'!B5)</f>
        <v>0.668688104845678</v>
      </c>
      <c r="C7" s="40" t="n">
        <f aca="false">IF('P&amp;L'!C5&lt;=0,"n/a",'P&amp;L'!C7/'P&amp;L'!C5)</f>
        <v>0.759533644730577</v>
      </c>
      <c r="D7" s="40" t="n">
        <f aca="false">IF('P&amp;L'!D5&lt;=0,"n/a",'P&amp;L'!D7/'P&amp;L'!D5)</f>
        <v>0.766661381533746</v>
      </c>
      <c r="E7" s="84"/>
    </row>
    <row r="8" customFormat="false" ht="15" hidden="false" customHeight="false" outlineLevel="0" collapsed="false">
      <c r="A8" s="39" t="s">
        <v>49</v>
      </c>
      <c r="B8" s="40" t="n">
        <f aca="false">IF('P&amp;L'!B5&lt;=0,"n/a",'P&amp;L'!B17/'P&amp;L'!B5)</f>
        <v>-0.465503835451804</v>
      </c>
      <c r="C8" s="40" t="n">
        <f aca="false">IF('P&amp;L'!C5&lt;=0,"n/a",'P&amp;L'!C17/'P&amp;L'!C5)</f>
        <v>0.0606080943967504</v>
      </c>
      <c r="D8" s="40" t="n">
        <f aca="false">IF('P&amp;L'!D5&lt;=0,"n/a",'P&amp;L'!D17/'P&amp;L'!D5)</f>
        <v>0.110674894026847</v>
      </c>
      <c r="E8" s="84"/>
    </row>
    <row r="9" customFormat="false" ht="15" hidden="false" customHeight="false" outlineLevel="0" collapsed="false">
      <c r="A9" s="39" t="s">
        <v>51</v>
      </c>
      <c r="B9" s="40" t="n">
        <f aca="false">IF('P&amp;L'!B5&lt;=0,"n/a",'P&amp;L'!B24/'P&amp;L'!B5)</f>
        <v>-0.585058609101463</v>
      </c>
      <c r="C9" s="40" t="n">
        <f aca="false">IF('P&amp;L'!C5&lt;=0,"n/a",'P&amp;L'!C24/'P&amp;L'!C5)</f>
        <v>-0.00760007416745596</v>
      </c>
      <c r="D9" s="40" t="n">
        <f aca="false">IF('P&amp;L'!D5&lt;=0,"n/a",'P&amp;L'!D24/'P&amp;L'!D5)</f>
        <v>0.0503799684495309</v>
      </c>
      <c r="E9" s="84"/>
    </row>
    <row r="10" customFormat="false" ht="15" hidden="false" customHeight="false" outlineLevel="0" collapsed="false">
      <c r="A10" s="39" t="s">
        <v>217</v>
      </c>
      <c r="B10" s="40" t="n">
        <f aca="false">IF('P&amp;L'!B5&lt;=0,"n/a",-SUMIF(Headcount!$C$5:$AL$5,B$5,Headcount!$C$15:$AL$15)/'P&amp;L'!B5)</f>
        <v>0.422565173874475</v>
      </c>
      <c r="C10" s="40" t="n">
        <f aca="false">IF('P&amp;L'!C5&lt;=0,"n/a",-SUMIF(Headcount!$C$5:$AL$5,C$5,Headcount!$C$15:$AL$15)/'P&amp;L'!C5)</f>
        <v>0.257680778287984</v>
      </c>
      <c r="D10" s="40" t="n">
        <f aca="false">IF('P&amp;L'!D5&lt;=0,"n/a",-SUMIF(Headcount!$C$5:$AL$5,D$5,Headcount!$C$15:$AL$15)/'P&amp;L'!D5)</f>
        <v>0.243850160609317</v>
      </c>
      <c r="E10" s="84"/>
    </row>
    <row r="11" customFormat="false" ht="15" hidden="false" customHeight="false" outlineLevel="0" collapsed="false">
      <c r="A11" s="39" t="s">
        <v>218</v>
      </c>
      <c r="B11" s="40" t="n">
        <f aca="false">IF('P&amp;L'!B5&lt;=0,"n/a",-'P&amp;L'!B10/'P&amp;L'!B5)</f>
        <v>0.122113957531456</v>
      </c>
      <c r="C11" s="40" t="n">
        <f aca="false">IF('P&amp;L'!C5&lt;=0,"n/a",-'P&amp;L'!C10/'P&amp;L'!C5)</f>
        <v>0.075911173089754</v>
      </c>
      <c r="D11" s="40" t="n">
        <f aca="false">IF('P&amp;L'!D5&lt;=0,"n/a",-'P&amp;L'!D10/'P&amp;L'!D5)</f>
        <v>0.0732316466585603</v>
      </c>
      <c r="E11" s="84"/>
    </row>
    <row r="12" customFormat="false" ht="15" hidden="false" customHeight="false" outlineLevel="0" collapsed="false">
      <c r="A12" s="39" t="s">
        <v>219</v>
      </c>
      <c r="B12" s="40" t="n">
        <f aca="false">IF('P&amp;L'!B5&lt;=0,"n/a",-'P&amp;L'!B16/'P&amp;L'!B5)</f>
        <v>1.13419194029748</v>
      </c>
      <c r="C12" s="40" t="n">
        <f aca="false">IF('P&amp;L'!C5&lt;=0,"n/a",-'P&amp;L'!C16/'P&amp;L'!C5)</f>
        <v>0.698925550333826</v>
      </c>
      <c r="D12" s="40" t="n">
        <f aca="false">IF('P&amp;L'!D5&lt;=0,"n/a",-'P&amp;L'!D16/'P&amp;L'!D5)</f>
        <v>0.655986487506899</v>
      </c>
      <c r="E12" s="84"/>
    </row>
    <row r="13" customFormat="false" ht="15" hidden="false" customHeight="false" outlineLevel="0" collapsed="false">
      <c r="A13" s="6" t="s">
        <v>220</v>
      </c>
      <c r="B13" s="85" t="n">
        <f aca="false">IF(('Balance Sheet'!B12-'Balance Sheet'!B11)&lt;=0,"n/a",('Balance Sheet'!B5+'Balance Sheet'!B6+'Balance Sheet'!B7)/('Balance Sheet'!B12-'Balance Sheet'!B11))</f>
        <v>3.00857114200996</v>
      </c>
      <c r="C13" s="85" t="n">
        <f aca="false">IF(('Balance Sheet'!C12-'Balance Sheet'!C11)&lt;=0,"n/a",('Balance Sheet'!C5+'Balance Sheet'!C6+'Balance Sheet'!C7)/('Balance Sheet'!C12-'Balance Sheet'!C11))</f>
        <v>3.78606849280287</v>
      </c>
      <c r="D13" s="85" t="n">
        <f aca="false">IF(('Balance Sheet'!D12-'Balance Sheet'!D11)&lt;=0,"n/a",('Balance Sheet'!D5+'Balance Sheet'!D6+'Balance Sheet'!D7)/('Balance Sheet'!D12-'Balance Sheet'!D11))</f>
        <v>9.1162768842368</v>
      </c>
      <c r="E13" s="86"/>
    </row>
    <row r="14" customFormat="false" ht="15" hidden="false" customHeight="false" outlineLevel="0" collapsed="false">
      <c r="A14" s="6" t="s">
        <v>221</v>
      </c>
      <c r="B14" s="85" t="n">
        <f aca="false">IF('Balance Sheet'!B15&lt;=0,"n/a",'Balance Sheet'!B11/'Balance Sheet'!B15)</f>
        <v>1.30320889879368</v>
      </c>
      <c r="C14" s="85" t="n">
        <f aca="false">IF('Balance Sheet'!C15&lt;=0,"n/a",'Balance Sheet'!C11/'Balance Sheet'!C15)</f>
        <v>1.14683538799027</v>
      </c>
      <c r="D14" s="85" t="n">
        <f aca="false">IF('Balance Sheet'!D15&lt;=0,"n/a",'Balance Sheet'!D11/'Balance Sheet'!D15)</f>
        <v>0.665964568557261</v>
      </c>
      <c r="E14" s="86"/>
    </row>
    <row r="15" customFormat="false" ht="15" hidden="false" customHeight="false" outlineLevel="0" collapsed="false">
      <c r="A15" s="39" t="s">
        <v>222</v>
      </c>
      <c r="B15" s="40" t="n">
        <f aca="false">IF('Balance Sheet'!B9&lt;=0,"n/a",'P&amp;L'!B24/'Balance Sheet'!B9)</f>
        <v>-0.964647464639535</v>
      </c>
      <c r="C15" s="40" t="n">
        <f aca="false">IF('Balance Sheet'!C9&lt;=0,"n/a",'P&amp;L'!C24/'Balance Sheet'!C9)</f>
        <v>-0.023689296676717</v>
      </c>
      <c r="D15" s="40" t="n">
        <f aca="false">IF('Balance Sheet'!D9&lt;=0,"n/a",'P&amp;L'!D24/'Balance Sheet'!D9)</f>
        <v>0.159498462013701</v>
      </c>
      <c r="E15" s="84"/>
    </row>
    <row r="16" customFormat="false" ht="15" hidden="false" customHeight="false" outlineLevel="0" collapsed="false">
      <c r="A16" s="39" t="s">
        <v>223</v>
      </c>
      <c r="B16" s="40" t="n">
        <f aca="false">IF('Balance Sheet'!B15&lt;=0,"n/a",'P&amp;L'!B24/'Balance Sheet'!B15)</f>
        <v>-2.29908225338456</v>
      </c>
      <c r="C16" s="40" t="n">
        <f aca="false">IF('Balance Sheet'!C15&lt;=0,"n/a",'P&amp;L'!C24/'Balance Sheet'!C15)</f>
        <v>-0.053125366802305</v>
      </c>
      <c r="D16" s="40" t="n">
        <f aca="false">IF('Balance Sheet'!D15&lt;=0,"n/a",'P&amp;L'!D24/'Balance Sheet'!D15)</f>
        <v>0.277090730746962</v>
      </c>
      <c r="E16" s="84"/>
    </row>
    <row r="18" customFormat="false" ht="15.75" hidden="false" customHeight="true" outlineLevel="0" collapsed="false">
      <c r="A18" s="7" t="s">
        <v>224</v>
      </c>
      <c r="B18" s="7"/>
      <c r="C18" s="7"/>
      <c r="D18" s="7"/>
    </row>
    <row r="19" customFormat="false" ht="15" hidden="false" customHeight="false" outlineLevel="0" collapsed="false">
      <c r="A19" s="33"/>
      <c r="B19" s="34" t="n">
        <v>1</v>
      </c>
      <c r="C19" s="34" t="n">
        <v>2</v>
      </c>
      <c r="D19" s="34" t="n">
        <v>3</v>
      </c>
    </row>
    <row r="20" customFormat="false" ht="15" hidden="false" customHeight="false" outlineLevel="0" collapsed="false">
      <c r="A20" s="51" t="s">
        <v>51</v>
      </c>
      <c r="B20" s="40" t="n">
        <f aca="false">IF('P&amp;L'!B5&lt;=0,"n/a",'P&amp;L'!B24/'P&amp;L'!B5)</f>
        <v>-0.585058609101463</v>
      </c>
      <c r="C20" s="40" t="n">
        <f aca="false">IF('P&amp;L'!C5&lt;=0,"n/a",'P&amp;L'!C24/'P&amp;L'!C5)</f>
        <v>-0.00760007416745596</v>
      </c>
      <c r="D20" s="40" t="n">
        <f aca="false">IF('P&amp;L'!D5&lt;=0,"n/a",'P&amp;L'!D24/'P&amp;L'!D5)</f>
        <v>0.0503799684495309</v>
      </c>
    </row>
    <row r="21" customFormat="false" ht="15" hidden="false" customHeight="false" outlineLevel="0" collapsed="false">
      <c r="A21" s="51" t="s">
        <v>225</v>
      </c>
      <c r="B21" s="85" t="n">
        <f aca="false">IF('Balance Sheet'!B9&lt;=0,"n/a",'P&amp;L'!B5/'Balance Sheet'!B9)</f>
        <v>1.64880483704196</v>
      </c>
      <c r="C21" s="85" t="n">
        <f aca="false">IF('Balance Sheet'!C9&lt;=0,"n/a",'P&amp;L'!C5/'Balance Sheet'!C9)</f>
        <v>3.11698230237755</v>
      </c>
      <c r="D21" s="85" t="n">
        <f aca="false">IF('Balance Sheet'!D9&lt;=0,"n/a",'P&amp;L'!D5/'Balance Sheet'!D9)</f>
        <v>3.16591031956444</v>
      </c>
    </row>
    <row r="22" customFormat="false" ht="15" hidden="false" customHeight="false" outlineLevel="0" collapsed="false">
      <c r="A22" s="51" t="s">
        <v>226</v>
      </c>
      <c r="B22" s="85" t="n">
        <f aca="false">IF('Balance Sheet'!B15&lt;=0,"n/a",'Balance Sheet'!B9/'Balance Sheet'!B15)</f>
        <v>2.38333934173939</v>
      </c>
      <c r="C22" s="85" t="n">
        <f aca="false">IF('Balance Sheet'!C15&lt;=0,"n/a",'Balance Sheet'!C9/'Balance Sheet'!C15)</f>
        <v>2.24258944988093</v>
      </c>
      <c r="D22" s="85" t="n">
        <f aca="false">IF('Balance Sheet'!D15&lt;=0,"n/a",'Balance Sheet'!D9/'Balance Sheet'!D15)</f>
        <v>1.73726271243393</v>
      </c>
    </row>
    <row r="23" customFormat="false" ht="15" hidden="false" customHeight="false" outlineLevel="0" collapsed="false">
      <c r="A23" s="41" t="s">
        <v>227</v>
      </c>
      <c r="B23" s="87" t="n">
        <f aca="false">IF(AND(ISNUMBER(B20),ISNUMBER(B21),ISNUMBER(B22)),B20*B21*B22,"n/a")</f>
        <v>-2.29908225338456</v>
      </c>
      <c r="C23" s="87" t="n">
        <f aca="false">IF(AND(ISNUMBER(C20),ISNUMBER(C21),ISNUMBER(C22)),C20*C21*C22,"n/a")</f>
        <v>-0.053125366802305</v>
      </c>
      <c r="D23" s="87" t="n">
        <f aca="false">IF(AND(ISNUMBER(D20),ISNUMBER(D21),ISNUMBER(D22)),D20*D21*D22,"n/a")</f>
        <v>0.277090730746962</v>
      </c>
    </row>
    <row r="24" customFormat="false" ht="15" hidden="false" customHeight="false" outlineLevel="0" collapsed="false">
      <c r="A24" s="21" t="s">
        <v>228</v>
      </c>
      <c r="B24" s="40" t="n">
        <f aca="false">IF(AND(ISNUMBER(B23),ISNUMBER(B16)),B23-B16,IF(ISNUMBER(B23),1,IF(AND(ISNUMBER(B16),ISNUMBER(B20),ISNUMBER(B21)),1,0)))</f>
        <v>0</v>
      </c>
      <c r="C24" s="40" t="n">
        <f aca="false">IF(AND(ISNUMBER(C23),ISNUMBER(C16)),C23-C16,IF(ISNUMBER(C23),1,IF(AND(ISNUMBER(C16),ISNUMBER(C20),ISNUMBER(C21)),1,0)))</f>
        <v>0</v>
      </c>
      <c r="D24" s="40" t="n">
        <f aca="false">IF(AND(ISNUMBER(D23),ISNUMBER(D16)),D23-D16,IF(ISNUMBER(D23),1,IF(AND(ISNUMBER(D16),ISNUMBER(D20),ISNUMBER(D21)),1,0)))</f>
        <v>0</v>
      </c>
    </row>
    <row r="26" customFormat="false" ht="15.75" hidden="false" customHeight="true" outlineLevel="0" collapsed="false">
      <c r="A26" s="7" t="s">
        <v>229</v>
      </c>
      <c r="B26" s="7"/>
      <c r="C26" s="7"/>
      <c r="D26" s="7"/>
      <c r="E26" s="7"/>
    </row>
    <row r="27" customFormat="false" ht="15" hidden="false" customHeight="false" outlineLevel="0" collapsed="false">
      <c r="A27" s="71" t="s">
        <v>153</v>
      </c>
      <c r="B27" s="71" t="n">
        <v>1</v>
      </c>
      <c r="C27" s="71" t="n">
        <v>2</v>
      </c>
      <c r="D27" s="71" t="n">
        <v>3</v>
      </c>
    </row>
    <row r="28" customFormat="false" ht="15" hidden="false" customHeight="false" outlineLevel="0" collapsed="false">
      <c r="A28" s="33"/>
      <c r="B28" s="35" t="s">
        <v>154</v>
      </c>
      <c r="C28" s="35" t="s">
        <v>155</v>
      </c>
      <c r="D28" s="35" t="s">
        <v>156</v>
      </c>
      <c r="E28" s="35" t="s">
        <v>215</v>
      </c>
    </row>
    <row r="29" customFormat="false" ht="15" hidden="false" customHeight="false" outlineLevel="0" collapsed="false">
      <c r="A29" s="4" t="s">
        <v>58</v>
      </c>
      <c r="B29" s="88" t="n">
        <f aca="false">INDEX(Monthly!$C$14:$AL$14,B$27*12)</f>
        <v>355.835858333586</v>
      </c>
      <c r="C29" s="88" t="n">
        <f aca="false">INDEX(Monthly!$C$14:$AL$14,C$27*12)</f>
        <v>450</v>
      </c>
      <c r="D29" s="88" t="n">
        <f aca="false">INDEX(Monthly!$C$14:$AL$14,D$27*12)</f>
        <v>450</v>
      </c>
      <c r="E29" s="89"/>
    </row>
    <row r="30" customFormat="false" ht="15" hidden="false" customHeight="false" outlineLevel="0" collapsed="false">
      <c r="A30" s="6" t="s">
        <v>230</v>
      </c>
      <c r="B30" s="90" t="n">
        <f aca="false">SUMIF(Monthly!$C$5:$AL$5,B$27,Monthly!$C$10:$AL$10)</f>
        <v>410.4</v>
      </c>
      <c r="C30" s="90" t="n">
        <f aca="false">SUMIF(Monthly!$C$5:$AL$5,C$27,Monthly!$C$10:$AL$10)</f>
        <v>439.92</v>
      </c>
      <c r="D30" s="90" t="n">
        <f aca="false">SUMIF(Monthly!$C$5:$AL$5,D$27,Monthly!$C$10:$AL$10)</f>
        <v>471.816</v>
      </c>
      <c r="E30" s="89"/>
    </row>
    <row r="31" customFormat="false" ht="15" hidden="false" customHeight="false" outlineLevel="0" collapsed="false">
      <c r="A31" s="6" t="s">
        <v>231</v>
      </c>
      <c r="B31" s="90" t="n">
        <f aca="false">SUMIF(Monthly!$C$5:$AL$5,B$27,Monthly!$C$12:$AL$12)</f>
        <v>-174.564141666414</v>
      </c>
      <c r="C31" s="90" t="n">
        <f aca="false">SUMIF(Monthly!$C$5:$AL$5,C$27,Monthly!$C$12:$AL$12)</f>
        <v>-301.655993322928</v>
      </c>
      <c r="D31" s="90" t="n">
        <f aca="false">SUMIF(Monthly!$C$5:$AL$5,D$27,Monthly!$C$12:$AL$12)</f>
        <v>-324</v>
      </c>
      <c r="E31" s="89"/>
    </row>
    <row r="32" customFormat="false" ht="15" hidden="false" customHeight="false" outlineLevel="0" collapsed="false">
      <c r="A32" s="6" t="s">
        <v>232</v>
      </c>
      <c r="B32" s="90" t="n">
        <f aca="false">SUMIF(Monthly!$C$5:$AL$5,B$27,Monthly!$C$15:$AL$15)</f>
        <v>0</v>
      </c>
      <c r="C32" s="90" t="n">
        <f aca="false">SUMIF(Monthly!$C$5:$AL$5,C$27,Monthly!$C$15:$AL$15)</f>
        <v>44.0998650106575</v>
      </c>
      <c r="D32" s="90" t="n">
        <f aca="false">SUMIF(Monthly!$C$5:$AL$5,D$27,Monthly!$C$15:$AL$15)</f>
        <v>147.816</v>
      </c>
      <c r="E32" s="89"/>
    </row>
    <row r="33" customFormat="false" ht="15" hidden="false" customHeight="false" outlineLevel="0" collapsed="false">
      <c r="A33" s="39" t="s">
        <v>233</v>
      </c>
      <c r="B33" s="91" t="n">
        <f aca="false">IF(Inputs!$E$8=0,0,B29/Inputs!$E$8)</f>
        <v>0.790746351852413</v>
      </c>
      <c r="C33" s="91" t="n">
        <f aca="false">IF(Inputs!$E$8=0,0,C29/Inputs!$E$8)</f>
        <v>1</v>
      </c>
      <c r="D33" s="91" t="n">
        <f aca="false">IF(Inputs!$E$8=0,0,D29/Inputs!$E$8)</f>
        <v>1</v>
      </c>
      <c r="E33" s="92"/>
    </row>
    <row r="34" customFormat="false" ht="15" hidden="false" customHeight="false" outlineLevel="0" collapsed="false">
      <c r="A34" s="6" t="s">
        <v>234</v>
      </c>
      <c r="B34" s="36" t="n">
        <f aca="false">B29*B35</f>
        <v>35227.749975025</v>
      </c>
      <c r="C34" s="36" t="n">
        <f aca="false">C29*C35</f>
        <v>45886.5</v>
      </c>
      <c r="D34" s="36" t="n">
        <f aca="false">D29*D35</f>
        <v>47263.095</v>
      </c>
      <c r="E34" s="93"/>
    </row>
    <row r="35" customFormat="false" ht="15" hidden="false" customHeight="false" outlineLevel="0" collapsed="false">
      <c r="A35" s="6" t="s">
        <v>235</v>
      </c>
      <c r="B35" s="94" t="n">
        <f aca="false">INDEX(Monthly!$C$19:$AL$19,B$27*12)</f>
        <v>99</v>
      </c>
      <c r="C35" s="94" t="n">
        <f aca="false">INDEX(Monthly!$C$19:$AL$19,C$27*12)</f>
        <v>101.97</v>
      </c>
      <c r="D35" s="94" t="n">
        <f aca="false">INDEX(Monthly!$C$19:$AL$19,D$27*12)</f>
        <v>105.0291</v>
      </c>
      <c r="E35" s="95"/>
    </row>
    <row r="36" customFormat="false" ht="15" hidden="false" customHeight="false" outlineLevel="0" collapsed="false">
      <c r="A36" s="4" t="s">
        <v>44</v>
      </c>
      <c r="B36" s="96" t="n">
        <f aca="false">SUMIF(Monthly!$C$5:$AL$5,B$27,Monthly!$C$24:$AL$24)</f>
        <v>393075.459761719</v>
      </c>
      <c r="C36" s="96" t="n">
        <f aca="false">SUMIF(Monthly!$C$5:$AL$5,C$27,Monthly!$C$24:$AL$24)</f>
        <v>663933.884151801</v>
      </c>
      <c r="D36" s="96" t="n">
        <f aca="false">SUMIF(Monthly!$C$5:$AL$5,D$27,Monthly!$C$24:$AL$24)</f>
        <v>722638.4004</v>
      </c>
      <c r="E36" s="93"/>
    </row>
    <row r="37" customFormat="false" ht="15" hidden="false" customHeight="false" outlineLevel="0" collapsed="false">
      <c r="A37" s="6" t="s">
        <v>236</v>
      </c>
      <c r="B37" s="36" t="n">
        <f aca="false">SUMIF(Monthly!$C$5:$AL$5,B$27,Monthly!$C$20:$AL$20)</f>
        <v>299704.708737096</v>
      </c>
      <c r="C37" s="36" t="n">
        <f aca="false">SUMIF(Monthly!$C$5:$AL$5,C$27,Monthly!$C$20:$AL$20)</f>
        <v>517465.319415178</v>
      </c>
      <c r="D37" s="36" t="n">
        <f aca="false">SUMIF(Monthly!$C$5:$AL$5,D$27,Monthly!$C$20:$AL$20)</f>
        <v>567157.14</v>
      </c>
      <c r="E37" s="93"/>
    </row>
    <row r="38" customFormat="false" ht="15" hidden="false" customHeight="false" outlineLevel="0" collapsed="false">
      <c r="A38" s="6" t="s">
        <v>237</v>
      </c>
      <c r="B38" s="36" t="n">
        <f aca="false">B36-B37</f>
        <v>93370.7510246233</v>
      </c>
      <c r="C38" s="36" t="n">
        <f aca="false">C36-C37</f>
        <v>146468.564736622</v>
      </c>
      <c r="D38" s="36" t="n">
        <f aca="false">D36-D37</f>
        <v>155481.2604</v>
      </c>
      <c r="E38" s="93"/>
    </row>
    <row r="39" customFormat="false" ht="15" hidden="false" customHeight="false" outlineLevel="0" collapsed="false">
      <c r="A39" s="6" t="s">
        <v>238</v>
      </c>
      <c r="B39" s="36" t="n">
        <f aca="false">-SUMIF(Monthly!$C$5:$AL$5,B$27,Monthly!$C$35:$AL$35)</f>
        <v>48000</v>
      </c>
      <c r="C39" s="36" t="n">
        <f aca="false">-SUMIF(Monthly!$C$5:$AL$5,C$27,Monthly!$C$35:$AL$35)</f>
        <v>50400</v>
      </c>
      <c r="D39" s="36" t="n">
        <f aca="false">-SUMIF(Monthly!$C$5:$AL$5,D$27,Monthly!$C$35:$AL$35)</f>
        <v>52920</v>
      </c>
      <c r="E39" s="93"/>
    </row>
    <row r="40" customFormat="false" ht="15" hidden="false" customHeight="false" outlineLevel="0" collapsed="false">
      <c r="A40" s="6" t="s">
        <v>239</v>
      </c>
      <c r="B40" s="90" t="n">
        <f aca="false">SUMIF(Monthly!$C$5:$AL$5,B$27,Monthly!$C$8:$AL$8)</f>
        <v>230.4</v>
      </c>
      <c r="C40" s="90" t="n">
        <f aca="false">SUMIF(Monthly!$C$5:$AL$5,C$27,Monthly!$C$8:$AL$8)</f>
        <v>241.92</v>
      </c>
      <c r="D40" s="90" t="n">
        <f aca="false">SUMIF(Monthly!$C$5:$AL$5,D$27,Monthly!$C$8:$AL$8)</f>
        <v>254.016</v>
      </c>
      <c r="E40" s="89"/>
    </row>
    <row r="41" customFormat="false" ht="15" hidden="false" customHeight="false" outlineLevel="0" collapsed="false">
      <c r="A41" s="6" t="s">
        <v>240</v>
      </c>
      <c r="B41" s="94" t="n">
        <f aca="false">IF(B40=0,0,B39/B40)</f>
        <v>208.333333333333</v>
      </c>
      <c r="C41" s="94" t="n">
        <f aca="false">IF(C40=0,0,C39/C40)</f>
        <v>208.333333333333</v>
      </c>
      <c r="D41" s="94" t="n">
        <f aca="false">IF(D40=0,0,D39/D40)</f>
        <v>208.333333333333</v>
      </c>
      <c r="E41" s="95"/>
    </row>
    <row r="42" customFormat="false" ht="15" hidden="false" customHeight="false" outlineLevel="0" collapsed="false">
      <c r="A42" s="6" t="s">
        <v>45</v>
      </c>
      <c r="B42" s="36" t="n">
        <f aca="false">SUMIF(Monthly!$C$5:$AL$5,B$27,Monthly!$C$31:$AL$31)</f>
        <v>262844.884249407</v>
      </c>
      <c r="C42" s="36" t="n">
        <f aca="false">SUMIF(Monthly!$C$5:$AL$5,C$27,Monthly!$C$31:$AL$31)</f>
        <v>504280.122889946</v>
      </c>
      <c r="D42" s="36" t="n">
        <f aca="false">SUMIF(Monthly!$C$5:$AL$5,D$27,Monthly!$C$31:$AL$31)</f>
        <v>554018.9544</v>
      </c>
      <c r="E42" s="93"/>
    </row>
    <row r="43" customFormat="false" ht="15" hidden="false" customHeight="false" outlineLevel="0" collapsed="false">
      <c r="A43" s="39" t="s">
        <v>46</v>
      </c>
      <c r="B43" s="91" t="n">
        <f aca="false">IF(B36=0,0,B42/B36)</f>
        <v>0.668688104845678</v>
      </c>
      <c r="C43" s="91" t="n">
        <f aca="false">IF(C36=0,0,C42/C36)</f>
        <v>0.759533644730577</v>
      </c>
      <c r="D43" s="91" t="n">
        <f aca="false">IF(D36=0,0,D42/D36)</f>
        <v>0.766661381533746</v>
      </c>
      <c r="E43" s="92"/>
    </row>
    <row r="44" customFormat="false" ht="15" hidden="false" customHeight="false" outlineLevel="0" collapsed="false">
      <c r="A44" s="39" t="s">
        <v>241</v>
      </c>
      <c r="B44" s="91" t="n">
        <f aca="false">Inputs!$E$15</f>
        <v>0.06</v>
      </c>
      <c r="C44" s="91" t="n">
        <f aca="false">Inputs!$E$15</f>
        <v>0.06</v>
      </c>
      <c r="D44" s="91" t="n">
        <f aca="false">Inputs!$E$15</f>
        <v>0.06</v>
      </c>
      <c r="E44" s="92"/>
    </row>
    <row r="45" customFormat="false" ht="15" hidden="false" customHeight="false" outlineLevel="0" collapsed="false">
      <c r="A45" s="6" t="s">
        <v>242</v>
      </c>
      <c r="B45" s="94" t="n">
        <f aca="false">IF(B44=0,0,B35*B43/B44)</f>
        <v>1103.33537299537</v>
      </c>
      <c r="C45" s="94" t="n">
        <f aca="false">IF(C44=0,0,C35*C43/C44)</f>
        <v>1290.82742921962</v>
      </c>
      <c r="D45" s="94" t="n">
        <f aca="false">IF(D44=0,0,D35*D43/D44)</f>
        <v>1342.0292484541</v>
      </c>
      <c r="E45" s="95"/>
    </row>
    <row r="46" customFormat="false" ht="15" hidden="false" customHeight="false" outlineLevel="0" collapsed="false">
      <c r="A46" s="6" t="s">
        <v>48</v>
      </c>
      <c r="B46" s="36" t="n">
        <f aca="false">SUMIF(Monthly!$C$5:$AL$5,B$27,Monthly!$C$42:$AL$42)</f>
        <v>-182978.134141062</v>
      </c>
      <c r="C46" s="36" t="n">
        <f aca="false">SUMIF(Monthly!$C$5:$AL$5,C$27,Monthly!$C$42:$AL$42)</f>
        <v>40239.7675238735</v>
      </c>
      <c r="D46" s="36" t="n">
        <f aca="false">SUMIF(Monthly!$C$5:$AL$5,D$27,Monthly!$C$42:$AL$42)</f>
        <v>79977.9283840001</v>
      </c>
      <c r="E46" s="93"/>
    </row>
    <row r="47" customFormat="false" ht="15" hidden="false" customHeight="false" outlineLevel="0" collapsed="false">
      <c r="A47" s="39" t="s">
        <v>49</v>
      </c>
      <c r="B47" s="91" t="n">
        <f aca="false">IF(B36=0,0,B46/B36)</f>
        <v>-0.465503835451804</v>
      </c>
      <c r="C47" s="91" t="n">
        <f aca="false">IF(C36=0,0,C46/C36)</f>
        <v>0.0606080943967504</v>
      </c>
      <c r="D47" s="91" t="n">
        <f aca="false">IF(D36=0,0,D46/D36)</f>
        <v>0.110674894026847</v>
      </c>
      <c r="E47" s="92"/>
    </row>
    <row r="48" customFormat="false" ht="15" hidden="false" customHeight="false" outlineLevel="0" collapsed="false">
      <c r="A48" s="6" t="s">
        <v>243</v>
      </c>
      <c r="B48" s="94" t="n">
        <f aca="false">IF(Inputs!$E$38=0,0,B36/Inputs!$E$38)</f>
        <v>98.2688649404297</v>
      </c>
      <c r="C48" s="94" t="n">
        <f aca="false">IF(Inputs!$E$38=0,0,C36/Inputs!$E$38)</f>
        <v>165.98347103795</v>
      </c>
      <c r="D48" s="94" t="n">
        <f aca="false">IF(Inputs!$E$38=0,0,D36/Inputs!$E$38)</f>
        <v>180.6596001</v>
      </c>
      <c r="E48" s="95"/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0B43C"/>
    <pageSetUpPr fitToPage="true"/>
  </sheetPr>
  <dimension ref="A1:I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2"/>
    <col collapsed="false" customWidth="true" hidden="false" outlineLevel="0" max="7" min="7" style="0" width="34"/>
  </cols>
  <sheetData>
    <row r="1" customFormat="false" ht="21.75" hidden="false" customHeight="true" outlineLevel="0" collapsed="false">
      <c r="A1" s="16" t="s">
        <v>244</v>
      </c>
      <c r="I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245</v>
      </c>
    </row>
    <row r="5" customFormat="false" ht="15" hidden="false" customHeight="false" outlineLevel="0" collapsed="false">
      <c r="A5" s="33" t="s">
        <v>103</v>
      </c>
      <c r="B5" s="35" t="s">
        <v>104</v>
      </c>
      <c r="C5" s="35" t="s">
        <v>105</v>
      </c>
      <c r="D5" s="35" t="s">
        <v>106</v>
      </c>
      <c r="E5" s="35" t="s">
        <v>107</v>
      </c>
      <c r="F5" s="33" t="s">
        <v>246</v>
      </c>
      <c r="G5" s="33" t="s">
        <v>247</v>
      </c>
    </row>
    <row r="6" customFormat="false" ht="15.75" hidden="false" customHeight="true" outlineLevel="0" collapsed="false">
      <c r="A6" s="7" t="s">
        <v>248</v>
      </c>
      <c r="B6" s="7"/>
      <c r="C6" s="7"/>
      <c r="D6" s="7"/>
      <c r="E6" s="7"/>
      <c r="F6" s="7"/>
      <c r="G6" s="7"/>
    </row>
    <row r="7" customFormat="false" ht="15" hidden="false" customHeight="false" outlineLevel="0" collapsed="false">
      <c r="A7" s="6" t="s">
        <v>249</v>
      </c>
      <c r="B7" s="97" t="n">
        <v>80</v>
      </c>
      <c r="C7" s="97" t="n">
        <v>120</v>
      </c>
      <c r="D7" s="97" t="n">
        <v>160</v>
      </c>
      <c r="E7" s="98" t="n">
        <f aca="false">CHOOSE(Dashboard!$B$4,B7,C7,D7)</f>
        <v>120</v>
      </c>
      <c r="F7" s="39" t="s">
        <v>250</v>
      </c>
      <c r="G7" s="99" t="s">
        <v>251</v>
      </c>
    </row>
    <row r="8" customFormat="false" ht="15" hidden="false" customHeight="false" outlineLevel="0" collapsed="false">
      <c r="A8" s="6" t="s">
        <v>252</v>
      </c>
      <c r="B8" s="97" t="n">
        <v>450</v>
      </c>
      <c r="C8" s="97" t="n">
        <v>450</v>
      </c>
      <c r="D8" s="97" t="n">
        <v>450</v>
      </c>
      <c r="E8" s="98" t="n">
        <f aca="false">CHOOSE(Dashboard!$B$4,B8,C8,D8)</f>
        <v>450</v>
      </c>
      <c r="F8" s="39" t="s">
        <v>250</v>
      </c>
      <c r="G8" s="99"/>
    </row>
    <row r="9" customFormat="false" ht="15" hidden="false" customHeight="false" outlineLevel="0" collapsed="false">
      <c r="A9" s="6" t="s">
        <v>253</v>
      </c>
      <c r="B9" s="100" t="n">
        <v>12</v>
      </c>
      <c r="C9" s="100" t="n">
        <v>15</v>
      </c>
      <c r="D9" s="100" t="n">
        <v>18</v>
      </c>
      <c r="E9" s="101" t="n">
        <f aca="false">CHOOSE(Dashboard!$B$4,B9,C9,D9)</f>
        <v>15</v>
      </c>
      <c r="F9" s="39" t="s">
        <v>250</v>
      </c>
      <c r="G9" s="99" t="s">
        <v>251</v>
      </c>
    </row>
    <row r="10" customFormat="false" ht="15" hidden="false" customHeight="false" outlineLevel="0" collapsed="false">
      <c r="A10" s="6" t="s">
        <v>254</v>
      </c>
      <c r="B10" s="102" t="n">
        <v>0.05</v>
      </c>
      <c r="C10" s="102" t="n">
        <v>0.1</v>
      </c>
      <c r="D10" s="102" t="n">
        <v>0.15</v>
      </c>
      <c r="E10" s="103" t="n">
        <f aca="false">CHOOSE(Dashboard!$B$4,B10,C10,D10)</f>
        <v>0.1</v>
      </c>
      <c r="F10" s="39" t="s">
        <v>255</v>
      </c>
      <c r="G10" s="99" t="s">
        <v>251</v>
      </c>
    </row>
    <row r="11" customFormat="false" ht="15" hidden="false" customHeight="false" outlineLevel="0" collapsed="false">
      <c r="A11" s="6" t="s">
        <v>256</v>
      </c>
      <c r="B11" s="104" t="n">
        <v>4000</v>
      </c>
      <c r="C11" s="104" t="n">
        <v>4000</v>
      </c>
      <c r="D11" s="104" t="n">
        <v>4000</v>
      </c>
      <c r="E11" s="105" t="n">
        <f aca="false">CHOOSE(Dashboard!$B$4,B11,C11,D11)</f>
        <v>4000</v>
      </c>
      <c r="F11" s="39" t="s">
        <v>257</v>
      </c>
      <c r="G11" s="99"/>
    </row>
    <row r="12" customFormat="false" ht="15" hidden="false" customHeight="false" outlineLevel="0" collapsed="false">
      <c r="A12" s="6" t="s">
        <v>258</v>
      </c>
      <c r="B12" s="102" t="n">
        <v>0</v>
      </c>
      <c r="C12" s="102" t="n">
        <v>0.05</v>
      </c>
      <c r="D12" s="102" t="n">
        <v>0.1</v>
      </c>
      <c r="E12" s="103" t="n">
        <f aca="false">CHOOSE(Dashboard!$B$4,B12,C12,D12)</f>
        <v>0.05</v>
      </c>
      <c r="F12" s="39" t="s">
        <v>255</v>
      </c>
      <c r="G12" s="99" t="s">
        <v>251</v>
      </c>
    </row>
    <row r="13" customFormat="false" ht="15" hidden="false" customHeight="false" outlineLevel="0" collapsed="false">
      <c r="A13" s="6" t="s">
        <v>259</v>
      </c>
      <c r="B13" s="106" t="n">
        <v>28</v>
      </c>
      <c r="C13" s="106" t="n">
        <v>25</v>
      </c>
      <c r="D13" s="106" t="n">
        <v>22</v>
      </c>
      <c r="E13" s="107" t="n">
        <f aca="false">CHOOSE(Dashboard!$B$4,B13,C13,D13)</f>
        <v>25</v>
      </c>
      <c r="F13" s="39" t="s">
        <v>257</v>
      </c>
      <c r="G13" s="99" t="s">
        <v>260</v>
      </c>
    </row>
    <row r="14" customFormat="false" ht="15" hidden="false" customHeight="false" outlineLevel="0" collapsed="false">
      <c r="A14" s="6" t="s">
        <v>261</v>
      </c>
      <c r="B14" s="102" t="n">
        <v>0.11</v>
      </c>
      <c r="C14" s="102" t="n">
        <v>0.12</v>
      </c>
      <c r="D14" s="102" t="n">
        <v>0.13</v>
      </c>
      <c r="E14" s="103" t="n">
        <f aca="false">CHOOSE(Dashboard!$B$4,B14,C14,D14)</f>
        <v>0.12</v>
      </c>
      <c r="F14" s="39" t="s">
        <v>255</v>
      </c>
      <c r="G14" s="99" t="s">
        <v>251</v>
      </c>
    </row>
    <row r="15" customFormat="false" ht="15" hidden="false" customHeight="false" outlineLevel="0" collapsed="false">
      <c r="A15" s="6" t="s">
        <v>241</v>
      </c>
      <c r="B15" s="102" t="n">
        <v>0.07</v>
      </c>
      <c r="C15" s="102" t="n">
        <v>0.06</v>
      </c>
      <c r="D15" s="102" t="n">
        <v>0.05</v>
      </c>
      <c r="E15" s="103" t="n">
        <f aca="false">CHOOSE(Dashboard!$B$4,B15,C15,D15)</f>
        <v>0.06</v>
      </c>
      <c r="F15" s="39" t="s">
        <v>255</v>
      </c>
      <c r="G15" s="99" t="s">
        <v>260</v>
      </c>
    </row>
    <row r="17" customFormat="false" ht="15.75" hidden="false" customHeight="true" outlineLevel="0" collapsed="false">
      <c r="A17" s="7" t="s">
        <v>262</v>
      </c>
      <c r="B17" s="7"/>
      <c r="C17" s="7"/>
      <c r="D17" s="7"/>
      <c r="E17" s="7"/>
      <c r="F17" s="7"/>
      <c r="G17" s="7"/>
    </row>
    <row r="18" customFormat="false" ht="15" hidden="false" customHeight="false" outlineLevel="0" collapsed="false">
      <c r="A18" s="6" t="s">
        <v>263</v>
      </c>
      <c r="B18" s="106" t="n">
        <v>89</v>
      </c>
      <c r="C18" s="106" t="n">
        <v>99</v>
      </c>
      <c r="D18" s="106" t="n">
        <v>109</v>
      </c>
      <c r="E18" s="107" t="n">
        <f aca="false">CHOOSE(Dashboard!$B$4,B18,C18,D18)</f>
        <v>99</v>
      </c>
      <c r="F18" s="39" t="s">
        <v>257</v>
      </c>
      <c r="G18" s="99" t="s">
        <v>251</v>
      </c>
    </row>
    <row r="19" customFormat="false" ht="15" hidden="false" customHeight="false" outlineLevel="0" collapsed="false">
      <c r="A19" s="6" t="s">
        <v>264</v>
      </c>
      <c r="B19" s="102" t="n">
        <v>0.02</v>
      </c>
      <c r="C19" s="102" t="n">
        <v>0.03</v>
      </c>
      <c r="D19" s="102" t="n">
        <v>0.04</v>
      </c>
      <c r="E19" s="103" t="n">
        <f aca="false">CHOOSE(Dashboard!$B$4,B19,C19,D19)</f>
        <v>0.03</v>
      </c>
      <c r="F19" s="39" t="s">
        <v>255</v>
      </c>
      <c r="G19" s="99" t="s">
        <v>251</v>
      </c>
    </row>
    <row r="20" customFormat="false" ht="15" hidden="false" customHeight="false" outlineLevel="0" collapsed="false">
      <c r="A20" s="6" t="s">
        <v>265</v>
      </c>
      <c r="B20" s="106" t="n">
        <v>49</v>
      </c>
      <c r="C20" s="106" t="n">
        <v>49</v>
      </c>
      <c r="D20" s="106" t="n">
        <v>49</v>
      </c>
      <c r="E20" s="107" t="n">
        <f aca="false">CHOOSE(Dashboard!$B$4,B20,C20,D20)</f>
        <v>49</v>
      </c>
      <c r="F20" s="39" t="s">
        <v>257</v>
      </c>
      <c r="G20" s="99" t="s">
        <v>251</v>
      </c>
    </row>
    <row r="22" customFormat="false" ht="15.75" hidden="false" customHeight="true" outlineLevel="0" collapsed="false">
      <c r="A22" s="7" t="s">
        <v>266</v>
      </c>
      <c r="B22" s="7"/>
      <c r="C22" s="7"/>
      <c r="D22" s="7"/>
      <c r="E22" s="7"/>
      <c r="F22" s="7"/>
      <c r="G22" s="7"/>
    </row>
    <row r="23" customFormat="false" ht="15" hidden="false" customHeight="false" outlineLevel="0" collapsed="false">
      <c r="A23" s="6" t="s">
        <v>267</v>
      </c>
      <c r="B23" s="102" t="n">
        <v>0.07</v>
      </c>
      <c r="C23" s="102" t="n">
        <v>0.08</v>
      </c>
      <c r="D23" s="102" t="n">
        <v>0.09</v>
      </c>
      <c r="E23" s="103" t="n">
        <f aca="false">CHOOSE(Dashboard!$B$4,B23,C23,D23)</f>
        <v>0.08</v>
      </c>
      <c r="F23" s="39" t="s">
        <v>255</v>
      </c>
      <c r="G23" s="99" t="s">
        <v>251</v>
      </c>
    </row>
    <row r="24" customFormat="false" ht="15" hidden="false" customHeight="false" outlineLevel="0" collapsed="false">
      <c r="A24" s="6" t="s">
        <v>268</v>
      </c>
      <c r="B24" s="100" t="n">
        <v>4</v>
      </c>
      <c r="C24" s="100" t="n">
        <v>4</v>
      </c>
      <c r="D24" s="100" t="n">
        <v>4</v>
      </c>
      <c r="E24" s="101" t="n">
        <f aca="false">CHOOSE(Dashboard!$B$4,B24,C24,D24)</f>
        <v>4</v>
      </c>
      <c r="F24" s="39" t="s">
        <v>250</v>
      </c>
      <c r="G24" s="99" t="s">
        <v>251</v>
      </c>
    </row>
    <row r="25" customFormat="false" ht="15" hidden="false" customHeight="false" outlineLevel="0" collapsed="false">
      <c r="A25" s="6" t="s">
        <v>269</v>
      </c>
      <c r="B25" s="106" t="n">
        <v>55</v>
      </c>
      <c r="C25" s="106" t="n">
        <v>60</v>
      </c>
      <c r="D25" s="106" t="n">
        <v>65</v>
      </c>
      <c r="E25" s="107" t="n">
        <f aca="false">CHOOSE(Dashboard!$B$4,B25,C25,D25)</f>
        <v>60</v>
      </c>
      <c r="F25" s="39" t="s">
        <v>257</v>
      </c>
      <c r="G25" s="99" t="s">
        <v>251</v>
      </c>
    </row>
    <row r="26" customFormat="false" ht="15" hidden="false" customHeight="false" outlineLevel="0" collapsed="false">
      <c r="A26" s="6" t="s">
        <v>270</v>
      </c>
      <c r="B26" s="102" t="n">
        <v>0.55</v>
      </c>
      <c r="C26" s="102" t="n">
        <v>0.5</v>
      </c>
      <c r="D26" s="102" t="n">
        <v>0.45</v>
      </c>
      <c r="E26" s="103" t="n">
        <f aca="false">CHOOSE(Dashboard!$B$4,B26,C26,D26)</f>
        <v>0.5</v>
      </c>
      <c r="F26" s="39" t="s">
        <v>255</v>
      </c>
      <c r="G26" s="99" t="s">
        <v>260</v>
      </c>
    </row>
    <row r="27" customFormat="false" ht="15" hidden="false" customHeight="false" outlineLevel="0" collapsed="false">
      <c r="A27" s="6" t="s">
        <v>271</v>
      </c>
      <c r="B27" s="106" t="n">
        <v>4</v>
      </c>
      <c r="C27" s="106" t="n">
        <v>5</v>
      </c>
      <c r="D27" s="106" t="n">
        <v>6</v>
      </c>
      <c r="E27" s="107" t="n">
        <f aca="false">CHOOSE(Dashboard!$B$4,B27,C27,D27)</f>
        <v>5</v>
      </c>
      <c r="F27" s="39" t="s">
        <v>257</v>
      </c>
      <c r="G27" s="99" t="s">
        <v>251</v>
      </c>
    </row>
    <row r="28" customFormat="false" ht="15" hidden="false" customHeight="false" outlineLevel="0" collapsed="false">
      <c r="A28" s="6" t="s">
        <v>272</v>
      </c>
      <c r="B28" s="102" t="n">
        <v>0.55</v>
      </c>
      <c r="C28" s="102" t="n">
        <v>0.5</v>
      </c>
      <c r="D28" s="102" t="n">
        <v>0.45</v>
      </c>
      <c r="E28" s="103" t="n">
        <f aca="false">CHOOSE(Dashboard!$B$4,B28,C28,D28)</f>
        <v>0.5</v>
      </c>
      <c r="F28" s="39" t="s">
        <v>255</v>
      </c>
      <c r="G28" s="99" t="s">
        <v>260</v>
      </c>
    </row>
    <row r="30" customFormat="false" ht="15.75" hidden="false" customHeight="true" outlineLevel="0" collapsed="false">
      <c r="A30" s="7" t="s">
        <v>273</v>
      </c>
      <c r="B30" s="7"/>
      <c r="C30" s="7"/>
      <c r="D30" s="7"/>
      <c r="E30" s="7"/>
      <c r="F30" s="7"/>
      <c r="G30" s="7"/>
    </row>
    <row r="31" customFormat="false" ht="15" hidden="false" customHeight="false" outlineLevel="0" collapsed="false">
      <c r="A31" s="6" t="s">
        <v>274</v>
      </c>
      <c r="B31" s="100" t="n">
        <v>40</v>
      </c>
      <c r="C31" s="100" t="n">
        <v>40</v>
      </c>
      <c r="D31" s="100" t="n">
        <v>40</v>
      </c>
      <c r="E31" s="101" t="n">
        <f aca="false">CHOOSE(Dashboard!$B$4,B31,C31,D31)</f>
        <v>40</v>
      </c>
      <c r="F31" s="39" t="s">
        <v>250</v>
      </c>
      <c r="G31" s="99"/>
    </row>
    <row r="32" customFormat="false" ht="15" hidden="false" customHeight="false" outlineLevel="0" collapsed="false">
      <c r="A32" s="6" t="s">
        <v>275</v>
      </c>
      <c r="B32" s="106" t="n">
        <v>50</v>
      </c>
      <c r="C32" s="106" t="n">
        <v>45</v>
      </c>
      <c r="D32" s="106" t="n">
        <v>40</v>
      </c>
      <c r="E32" s="107" t="n">
        <f aca="false">CHOOSE(Dashboard!$B$4,B32,C32,D32)</f>
        <v>45</v>
      </c>
      <c r="F32" s="39" t="s">
        <v>257</v>
      </c>
      <c r="G32" s="99" t="s">
        <v>260</v>
      </c>
    </row>
    <row r="33" customFormat="false" ht="15" hidden="false" customHeight="false" outlineLevel="0" collapsed="false">
      <c r="A33" s="6" t="s">
        <v>276</v>
      </c>
      <c r="B33" s="104" t="n">
        <v>12000</v>
      </c>
      <c r="C33" s="104" t="n">
        <v>12000</v>
      </c>
      <c r="D33" s="104" t="n">
        <v>12000</v>
      </c>
      <c r="E33" s="105" t="n">
        <f aca="false">CHOOSE(Dashboard!$B$4,B33,C33,D33)</f>
        <v>12000</v>
      </c>
      <c r="F33" s="39" t="s">
        <v>257</v>
      </c>
      <c r="G33" s="99"/>
    </row>
    <row r="34" customFormat="false" ht="15" hidden="false" customHeight="false" outlineLevel="0" collapsed="false">
      <c r="A34" s="6" t="s">
        <v>277</v>
      </c>
      <c r="B34" s="104" t="n">
        <v>2200</v>
      </c>
      <c r="C34" s="104" t="n">
        <v>2200</v>
      </c>
      <c r="D34" s="104" t="n">
        <v>2200</v>
      </c>
      <c r="E34" s="105" t="n">
        <f aca="false">CHOOSE(Dashboard!$B$4,B34,C34,D34)</f>
        <v>2200</v>
      </c>
      <c r="F34" s="39" t="s">
        <v>257</v>
      </c>
      <c r="G34" s="99"/>
    </row>
    <row r="35" customFormat="false" ht="15" hidden="false" customHeight="false" outlineLevel="0" collapsed="false">
      <c r="A35" s="6" t="s">
        <v>278</v>
      </c>
      <c r="B35" s="104" t="n">
        <v>1800</v>
      </c>
      <c r="C35" s="104" t="n">
        <v>1800</v>
      </c>
      <c r="D35" s="104" t="n">
        <v>1800</v>
      </c>
      <c r="E35" s="105" t="n">
        <f aca="false">CHOOSE(Dashboard!$B$4,B35,C35,D35)</f>
        <v>1800</v>
      </c>
      <c r="F35" s="39" t="s">
        <v>257</v>
      </c>
      <c r="G35" s="99"/>
    </row>
    <row r="36" customFormat="false" ht="15" hidden="false" customHeight="false" outlineLevel="0" collapsed="false">
      <c r="A36" s="6" t="s">
        <v>279</v>
      </c>
      <c r="B36" s="102" t="n">
        <v>0.045</v>
      </c>
      <c r="C36" s="102" t="n">
        <v>0.04</v>
      </c>
      <c r="D36" s="102" t="n">
        <v>0.035</v>
      </c>
      <c r="E36" s="103" t="n">
        <f aca="false">CHOOSE(Dashboard!$B$4,B36,C36,D36)</f>
        <v>0.04</v>
      </c>
      <c r="F36" s="39" t="s">
        <v>255</v>
      </c>
      <c r="G36" s="99" t="s">
        <v>260</v>
      </c>
    </row>
    <row r="37" customFormat="false" ht="15" hidden="false" customHeight="false" outlineLevel="0" collapsed="false">
      <c r="A37" s="6" t="s">
        <v>280</v>
      </c>
      <c r="B37" s="104" t="n">
        <v>2000</v>
      </c>
      <c r="C37" s="104" t="n">
        <v>2000</v>
      </c>
      <c r="D37" s="104" t="n">
        <v>2000</v>
      </c>
      <c r="E37" s="105" t="n">
        <f aca="false">CHOOSE(Dashboard!$B$4,B37,C37,D37)</f>
        <v>2000</v>
      </c>
      <c r="F37" s="39" t="s">
        <v>257</v>
      </c>
      <c r="G37" s="99"/>
    </row>
    <row r="38" customFormat="false" ht="15" hidden="false" customHeight="false" outlineLevel="0" collapsed="false">
      <c r="A38" s="6" t="s">
        <v>281</v>
      </c>
      <c r="B38" s="97" t="n">
        <v>4000</v>
      </c>
      <c r="C38" s="97" t="n">
        <v>4000</v>
      </c>
      <c r="D38" s="97" t="n">
        <v>4000</v>
      </c>
      <c r="E38" s="98" t="n">
        <f aca="false">CHOOSE(Dashboard!$B$4,B38,C38,D38)</f>
        <v>4000</v>
      </c>
      <c r="F38" s="39" t="s">
        <v>282</v>
      </c>
      <c r="G38" s="99"/>
    </row>
    <row r="39" customFormat="false" ht="15" hidden="false" customHeight="false" outlineLevel="0" collapsed="false">
      <c r="A39" s="6" t="s">
        <v>283</v>
      </c>
      <c r="B39" s="104" t="n">
        <v>250000</v>
      </c>
      <c r="C39" s="104" t="n">
        <v>250000</v>
      </c>
      <c r="D39" s="104" t="n">
        <v>250000</v>
      </c>
      <c r="E39" s="105" t="n">
        <f aca="false">CHOOSE(Dashboard!$B$4,B39,C39,D39)</f>
        <v>250000</v>
      </c>
      <c r="F39" s="39" t="s">
        <v>257</v>
      </c>
      <c r="G39" s="99"/>
    </row>
    <row r="41" customFormat="false" ht="15.75" hidden="false" customHeight="true" outlineLevel="0" collapsed="false">
      <c r="A41" s="7" t="s">
        <v>284</v>
      </c>
      <c r="B41" s="7"/>
      <c r="C41" s="7"/>
      <c r="D41" s="7"/>
      <c r="E41" s="7"/>
      <c r="F41" s="7"/>
      <c r="G41" s="7"/>
    </row>
    <row r="42" customFormat="false" ht="15" hidden="false" customHeight="false" outlineLevel="0" collapsed="false">
      <c r="A42" s="6" t="s">
        <v>285</v>
      </c>
      <c r="B42" s="100" t="n">
        <v>1</v>
      </c>
      <c r="C42" s="100" t="n">
        <v>1</v>
      </c>
      <c r="D42" s="100" t="n">
        <v>1</v>
      </c>
      <c r="E42" s="101" t="n">
        <f aca="false">CHOOSE(Dashboard!$B$4,B42,C42,D42)</f>
        <v>1</v>
      </c>
      <c r="F42" s="39" t="s">
        <v>286</v>
      </c>
      <c r="G42" s="99" t="s">
        <v>251</v>
      </c>
    </row>
    <row r="43" customFormat="false" ht="15" hidden="false" customHeight="false" outlineLevel="0" collapsed="false">
      <c r="A43" s="6" t="s">
        <v>287</v>
      </c>
      <c r="B43" s="104" t="n">
        <v>55000</v>
      </c>
      <c r="C43" s="104" t="n">
        <v>55000</v>
      </c>
      <c r="D43" s="104" t="n">
        <v>55000</v>
      </c>
      <c r="E43" s="105" t="n">
        <f aca="false">CHOOSE(Dashboard!$B$4,B43,C43,D43)</f>
        <v>55000</v>
      </c>
      <c r="F43" s="39" t="s">
        <v>257</v>
      </c>
      <c r="G43" s="99"/>
    </row>
    <row r="44" customFormat="false" ht="15" hidden="false" customHeight="false" outlineLevel="0" collapsed="false">
      <c r="A44" s="6" t="s">
        <v>288</v>
      </c>
      <c r="B44" s="102" t="n">
        <v>0</v>
      </c>
      <c r="C44" s="102" t="n">
        <v>0</v>
      </c>
      <c r="D44" s="102" t="n">
        <v>0</v>
      </c>
      <c r="E44" s="103" t="n">
        <f aca="false">CHOOSE(Dashboard!$B$4,B44,C44,D44)</f>
        <v>0</v>
      </c>
      <c r="F44" s="39" t="s">
        <v>255</v>
      </c>
      <c r="G44" s="99" t="s">
        <v>251</v>
      </c>
    </row>
    <row r="45" customFormat="false" ht="15" hidden="false" customHeight="false" outlineLevel="0" collapsed="false">
      <c r="A45" s="6" t="s">
        <v>289</v>
      </c>
      <c r="B45" s="97" t="n">
        <v>1</v>
      </c>
      <c r="C45" s="97" t="n">
        <v>1</v>
      </c>
      <c r="D45" s="97" t="n">
        <v>1</v>
      </c>
      <c r="E45" s="98" t="n">
        <f aca="false">CHOOSE(Dashboard!$B$4,B45,C45,D45)</f>
        <v>1</v>
      </c>
      <c r="F45" s="39" t="s">
        <v>290</v>
      </c>
      <c r="G45" s="99"/>
    </row>
    <row r="46" customFormat="false" ht="15" hidden="false" customHeight="false" outlineLevel="0" collapsed="false">
      <c r="A46" s="6" t="s">
        <v>291</v>
      </c>
      <c r="B46" s="100" t="n">
        <v>3</v>
      </c>
      <c r="C46" s="100" t="n">
        <v>3</v>
      </c>
      <c r="D46" s="100" t="n">
        <v>3</v>
      </c>
      <c r="E46" s="101" t="n">
        <f aca="false">CHOOSE(Dashboard!$B$4,B46,C46,D46)</f>
        <v>3</v>
      </c>
      <c r="F46" s="39" t="s">
        <v>286</v>
      </c>
      <c r="G46" s="99" t="s">
        <v>251</v>
      </c>
    </row>
    <row r="47" customFormat="false" ht="15" hidden="false" customHeight="false" outlineLevel="0" collapsed="false">
      <c r="A47" s="6" t="s">
        <v>292</v>
      </c>
      <c r="B47" s="104" t="n">
        <v>32000</v>
      </c>
      <c r="C47" s="104" t="n">
        <v>32000</v>
      </c>
      <c r="D47" s="104" t="n">
        <v>32000</v>
      </c>
      <c r="E47" s="105" t="n">
        <f aca="false">CHOOSE(Dashboard!$B$4,B47,C47,D47)</f>
        <v>32000</v>
      </c>
      <c r="F47" s="39" t="s">
        <v>257</v>
      </c>
      <c r="G47" s="99"/>
    </row>
    <row r="48" customFormat="false" ht="15" hidden="false" customHeight="false" outlineLevel="0" collapsed="false">
      <c r="A48" s="6" t="s">
        <v>293</v>
      </c>
      <c r="B48" s="102" t="n">
        <v>0</v>
      </c>
      <c r="C48" s="102" t="n">
        <v>0</v>
      </c>
      <c r="D48" s="102" t="n">
        <v>0</v>
      </c>
      <c r="E48" s="103" t="n">
        <f aca="false">CHOOSE(Dashboard!$B$4,B48,C48,D48)</f>
        <v>0</v>
      </c>
      <c r="F48" s="39" t="s">
        <v>255</v>
      </c>
      <c r="G48" s="99" t="s">
        <v>251</v>
      </c>
    </row>
    <row r="49" customFormat="false" ht="15" hidden="false" customHeight="false" outlineLevel="0" collapsed="false">
      <c r="A49" s="6" t="s">
        <v>294</v>
      </c>
      <c r="B49" s="97" t="n">
        <v>1</v>
      </c>
      <c r="C49" s="97" t="n">
        <v>1</v>
      </c>
      <c r="D49" s="97" t="n">
        <v>1</v>
      </c>
      <c r="E49" s="98" t="n">
        <f aca="false">CHOOSE(Dashboard!$B$4,B49,C49,D49)</f>
        <v>1</v>
      </c>
      <c r="F49" s="39" t="s">
        <v>290</v>
      </c>
      <c r="G49" s="99"/>
    </row>
    <row r="50" customFormat="false" ht="15" hidden="false" customHeight="false" outlineLevel="0" collapsed="false">
      <c r="A50" s="6" t="s">
        <v>295</v>
      </c>
      <c r="B50" s="102" t="n">
        <v>0.1</v>
      </c>
      <c r="C50" s="102" t="n">
        <v>0.1</v>
      </c>
      <c r="D50" s="102" t="n">
        <v>0.1</v>
      </c>
      <c r="E50" s="103" t="n">
        <f aca="false">CHOOSE(Dashboard!$B$4,B50,C50,D50)</f>
        <v>0.1</v>
      </c>
      <c r="F50" s="39" t="s">
        <v>255</v>
      </c>
      <c r="G50" s="99"/>
    </row>
    <row r="51" customFormat="false" ht="15" hidden="false" customHeight="false" outlineLevel="0" collapsed="false">
      <c r="A51" s="6" t="s">
        <v>296</v>
      </c>
      <c r="B51" s="102" t="n">
        <v>0.03</v>
      </c>
      <c r="C51" s="102" t="n">
        <v>0.03</v>
      </c>
      <c r="D51" s="102" t="n">
        <v>0.03</v>
      </c>
      <c r="E51" s="103" t="n">
        <f aca="false">CHOOSE(Dashboard!$B$4,B51,C51,D51)</f>
        <v>0.03</v>
      </c>
      <c r="F51" s="39" t="s">
        <v>255</v>
      </c>
      <c r="G51" s="99"/>
    </row>
    <row r="53" customFormat="false" ht="15.75" hidden="false" customHeight="true" outlineLevel="0" collapsed="false">
      <c r="A53" s="7" t="s">
        <v>297</v>
      </c>
      <c r="B53" s="7"/>
      <c r="C53" s="7"/>
      <c r="D53" s="7"/>
      <c r="E53" s="7"/>
      <c r="F53" s="7"/>
      <c r="G53" s="7"/>
    </row>
    <row r="54" customFormat="false" ht="15" hidden="false" customHeight="false" outlineLevel="0" collapsed="false">
      <c r="A54" s="6" t="s">
        <v>298</v>
      </c>
      <c r="B54" s="104" t="n">
        <v>330000</v>
      </c>
      <c r="C54" s="104" t="n">
        <v>330000</v>
      </c>
      <c r="D54" s="104" t="n">
        <v>330000</v>
      </c>
      <c r="E54" s="105" t="n">
        <f aca="false">CHOOSE(Dashboard!$B$4,B54,C54,D54)</f>
        <v>330000</v>
      </c>
      <c r="F54" s="39" t="s">
        <v>257</v>
      </c>
      <c r="G54" s="99"/>
    </row>
    <row r="55" customFormat="false" ht="15" hidden="false" customHeight="false" outlineLevel="0" collapsed="false">
      <c r="A55" s="6" t="s">
        <v>299</v>
      </c>
      <c r="B55" s="104" t="n">
        <v>150000</v>
      </c>
      <c r="C55" s="104" t="n">
        <v>150000</v>
      </c>
      <c r="D55" s="104" t="n">
        <v>150000</v>
      </c>
      <c r="E55" s="105" t="n">
        <f aca="false">CHOOSE(Dashboard!$B$4,B55,C55,D55)</f>
        <v>150000</v>
      </c>
      <c r="F55" s="39" t="s">
        <v>257</v>
      </c>
      <c r="G55" s="99"/>
    </row>
    <row r="56" customFormat="false" ht="15" hidden="false" customHeight="false" outlineLevel="0" collapsed="false">
      <c r="A56" s="6" t="s">
        <v>300</v>
      </c>
      <c r="B56" s="102" t="n">
        <v>0.08</v>
      </c>
      <c r="C56" s="102" t="n">
        <v>0.08</v>
      </c>
      <c r="D56" s="102" t="n">
        <v>0.08</v>
      </c>
      <c r="E56" s="103" t="n">
        <f aca="false">CHOOSE(Dashboard!$B$4,B56,C56,D56)</f>
        <v>0.08</v>
      </c>
      <c r="F56" s="39" t="s">
        <v>255</v>
      </c>
      <c r="G56" s="99"/>
    </row>
    <row r="57" customFormat="false" ht="15" hidden="false" customHeight="false" outlineLevel="0" collapsed="false">
      <c r="A57" s="6" t="s">
        <v>301</v>
      </c>
      <c r="B57" s="97" t="n">
        <v>7</v>
      </c>
      <c r="C57" s="97" t="n">
        <v>7</v>
      </c>
      <c r="D57" s="97" t="n">
        <v>7</v>
      </c>
      <c r="E57" s="98" t="n">
        <f aca="false">CHOOSE(Dashboard!$B$4,B57,C57,D57)</f>
        <v>7</v>
      </c>
      <c r="F57" s="39" t="s">
        <v>302</v>
      </c>
      <c r="G57" s="99"/>
    </row>
    <row r="59" customFormat="false" ht="15.75" hidden="false" customHeight="true" outlineLevel="0" collapsed="false">
      <c r="A59" s="7" t="s">
        <v>303</v>
      </c>
      <c r="B59" s="7"/>
      <c r="C59" s="7"/>
      <c r="D59" s="7"/>
      <c r="E59" s="7"/>
      <c r="F59" s="7"/>
      <c r="G59" s="7"/>
    </row>
    <row r="60" customFormat="false" ht="15" hidden="false" customHeight="false" outlineLevel="0" collapsed="false">
      <c r="A60" s="6" t="s">
        <v>304</v>
      </c>
      <c r="B60" s="97" t="n">
        <v>0</v>
      </c>
      <c r="C60" s="97" t="n">
        <v>0</v>
      </c>
      <c r="D60" s="97" t="n">
        <v>0</v>
      </c>
      <c r="E60" s="98" t="n">
        <f aca="false">CHOOSE(Dashboard!$B$4,B60,C60,D60)</f>
        <v>0</v>
      </c>
      <c r="F60" s="39" t="s">
        <v>305</v>
      </c>
      <c r="G60" s="99"/>
    </row>
    <row r="61" customFormat="false" ht="15" hidden="false" customHeight="false" outlineLevel="0" collapsed="false">
      <c r="A61" s="6" t="s">
        <v>306</v>
      </c>
      <c r="B61" s="97" t="n">
        <v>10</v>
      </c>
      <c r="C61" s="97" t="n">
        <v>10</v>
      </c>
      <c r="D61" s="97" t="n">
        <v>10</v>
      </c>
      <c r="E61" s="98" t="n">
        <f aca="false">CHOOSE(Dashboard!$B$4,B61,C61,D61)</f>
        <v>10</v>
      </c>
      <c r="F61" s="39" t="s">
        <v>305</v>
      </c>
      <c r="G61" s="99"/>
    </row>
    <row r="62" customFormat="false" ht="15" hidden="false" customHeight="false" outlineLevel="0" collapsed="false">
      <c r="A62" s="6" t="s">
        <v>307</v>
      </c>
      <c r="B62" s="97" t="n">
        <v>20</v>
      </c>
      <c r="C62" s="97" t="n">
        <v>20</v>
      </c>
      <c r="D62" s="97" t="n">
        <v>20</v>
      </c>
      <c r="E62" s="98" t="n">
        <f aca="false">CHOOSE(Dashboard!$B$4,B62,C62,D62)</f>
        <v>20</v>
      </c>
      <c r="F62" s="39" t="s">
        <v>305</v>
      </c>
      <c r="G62" s="99"/>
    </row>
    <row r="64" customFormat="false" ht="15.75" hidden="false" customHeight="true" outlineLevel="0" collapsed="false">
      <c r="A64" s="7" t="s">
        <v>308</v>
      </c>
      <c r="B64" s="7"/>
      <c r="C64" s="7"/>
      <c r="D64" s="7"/>
      <c r="E64" s="7"/>
      <c r="F64" s="7"/>
      <c r="G64" s="7"/>
    </row>
    <row r="65" customFormat="false" ht="15" hidden="false" customHeight="false" outlineLevel="0" collapsed="false">
      <c r="A65" s="6" t="s">
        <v>309</v>
      </c>
      <c r="B65" s="97" t="n">
        <v>7</v>
      </c>
      <c r="C65" s="97" t="n">
        <v>7</v>
      </c>
      <c r="D65" s="97" t="n">
        <v>7</v>
      </c>
      <c r="E65" s="98" t="n">
        <f aca="false">CHOOSE(Dashboard!$B$4,B65,C65,D65)</f>
        <v>7</v>
      </c>
      <c r="F65" s="39" t="s">
        <v>302</v>
      </c>
      <c r="G65" s="99"/>
    </row>
    <row r="66" customFormat="false" ht="15" hidden="false" customHeight="false" outlineLevel="0" collapsed="false">
      <c r="A66" s="6" t="s">
        <v>310</v>
      </c>
      <c r="B66" s="102" t="n">
        <v>0.21</v>
      </c>
      <c r="C66" s="102" t="n">
        <v>0.21</v>
      </c>
      <c r="D66" s="102" t="n">
        <v>0.21</v>
      </c>
      <c r="E66" s="103" t="n">
        <f aca="false">CHOOSE(Dashboard!$B$4,B66,C66,D66)</f>
        <v>0.21</v>
      </c>
      <c r="F66" s="39" t="s">
        <v>255</v>
      </c>
      <c r="G66" s="99"/>
    </row>
    <row r="68" customFormat="false" ht="15.75" hidden="false" customHeight="true" outlineLevel="0" collapsed="false">
      <c r="A68" s="7" t="s">
        <v>311</v>
      </c>
      <c r="B68" s="7"/>
      <c r="C68" s="7"/>
      <c r="D68" s="7"/>
      <c r="E68" s="7"/>
      <c r="F68" s="7"/>
      <c r="G68" s="7"/>
    </row>
    <row r="69" customFormat="false" ht="15" hidden="false" customHeight="false" outlineLevel="0" collapsed="false">
      <c r="A69" s="6" t="s">
        <v>140</v>
      </c>
      <c r="B69" s="104" t="n">
        <v>111000</v>
      </c>
      <c r="C69" s="104" t="n">
        <v>111000</v>
      </c>
      <c r="D69" s="104" t="n">
        <v>111000</v>
      </c>
      <c r="E69" s="105" t="n">
        <f aca="false">CHOOSE(Dashboard!$B$4,B69,C69,D69)</f>
        <v>111000</v>
      </c>
      <c r="F69" s="39" t="s">
        <v>257</v>
      </c>
      <c r="G69" s="99" t="s">
        <v>312</v>
      </c>
    </row>
    <row r="71" customFormat="false" ht="15.75" hidden="false" customHeight="true" outlineLevel="0" collapsed="false">
      <c r="A71" s="7" t="s">
        <v>313</v>
      </c>
      <c r="B71" s="7"/>
      <c r="C71" s="7"/>
      <c r="D71" s="7"/>
      <c r="E71" s="7"/>
      <c r="F71" s="7"/>
      <c r="G71" s="7"/>
    </row>
    <row r="72" customFormat="false" ht="15" hidden="false" customHeight="false" outlineLevel="0" collapsed="false">
      <c r="A72" s="6" t="s">
        <v>165</v>
      </c>
      <c r="B72" s="102" t="n">
        <v>0.3</v>
      </c>
      <c r="C72" s="102" t="n">
        <v>0.25</v>
      </c>
      <c r="D72" s="102" t="n">
        <v>0.2</v>
      </c>
      <c r="E72" s="103" t="n">
        <f aca="false">CHOOSE(Dashboard!$B$4,B72,C72,D72)</f>
        <v>0.25</v>
      </c>
      <c r="F72" s="39" t="s">
        <v>255</v>
      </c>
      <c r="G72" s="99" t="s">
        <v>260</v>
      </c>
    </row>
    <row r="73" customFormat="false" ht="15" hidden="false" customHeight="false" outlineLevel="0" collapsed="false">
      <c r="A73" s="6" t="s">
        <v>314</v>
      </c>
      <c r="B73" s="102" t="n">
        <v>0.01</v>
      </c>
      <c r="C73" s="102" t="n">
        <v>0.02</v>
      </c>
      <c r="D73" s="102" t="n">
        <v>0.03</v>
      </c>
      <c r="E73" s="103" t="n">
        <f aca="false">CHOOSE(Dashboard!$B$4,B73,C73,D73)</f>
        <v>0.02</v>
      </c>
      <c r="F73" s="39" t="s">
        <v>255</v>
      </c>
      <c r="G73" s="99" t="s">
        <v>251</v>
      </c>
    </row>
    <row r="74" customFormat="false" ht="15" hidden="false" customHeight="false" outlineLevel="0" collapsed="false">
      <c r="A74" s="6" t="s">
        <v>167</v>
      </c>
      <c r="B74" s="108" t="n">
        <v>3</v>
      </c>
      <c r="C74" s="108" t="n">
        <v>4</v>
      </c>
      <c r="D74" s="108" t="n">
        <v>5</v>
      </c>
      <c r="E74" s="109" t="n">
        <f aca="false">CHOOSE(Dashboard!$B$4,B74,C74,D74)</f>
        <v>4</v>
      </c>
      <c r="F74" s="39" t="s">
        <v>315</v>
      </c>
      <c r="G74" s="99" t="s">
        <v>251</v>
      </c>
    </row>
    <row r="75" customFormat="false" ht="15" hidden="false" customHeight="false" outlineLevel="0" collapsed="false">
      <c r="A75" s="6" t="s">
        <v>316</v>
      </c>
      <c r="B75" s="102" t="n">
        <v>0.01</v>
      </c>
      <c r="C75" s="102" t="n">
        <v>0.01</v>
      </c>
      <c r="D75" s="102" t="n">
        <v>0.01</v>
      </c>
      <c r="E75" s="103" t="n">
        <f aca="false">CHOOSE(Dashboard!$B$4,B75,C75,D75)</f>
        <v>0.01</v>
      </c>
      <c r="F75" s="39" t="s">
        <v>255</v>
      </c>
      <c r="G75" s="99"/>
    </row>
    <row r="76" customFormat="false" ht="15" hidden="false" customHeight="false" outlineLevel="0" collapsed="false">
      <c r="A76" s="6" t="s">
        <v>317</v>
      </c>
      <c r="B76" s="102" t="n">
        <v>0.005</v>
      </c>
      <c r="C76" s="102" t="n">
        <v>0.005</v>
      </c>
      <c r="D76" s="102" t="n">
        <v>0.005</v>
      </c>
      <c r="E76" s="103" t="n">
        <f aca="false">CHOOSE(Dashboard!$B$4,B76,C76,D76)</f>
        <v>0.005</v>
      </c>
      <c r="F76" s="39" t="s">
        <v>255</v>
      </c>
      <c r="G76" s="99"/>
    </row>
    <row r="78" customFormat="false" ht="15" hidden="false" customHeight="false" outlineLevel="0" collapsed="false">
      <c r="A78" s="21" t="s">
        <v>318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</cols>
  <sheetData>
    <row r="1" customFormat="false" ht="21.75" hidden="false" customHeight="true" outlineLevel="0" collapsed="false">
      <c r="A1" s="16" t="s">
        <v>20</v>
      </c>
      <c r="F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319</v>
      </c>
    </row>
    <row r="3" customFormat="false" ht="15" hidden="false" customHeight="false" outlineLevel="0" collapsed="false">
      <c r="A3" s="71" t="s">
        <v>153</v>
      </c>
      <c r="B3" s="71" t="n">
        <v>1</v>
      </c>
      <c r="C3" s="71" t="n">
        <v>2</v>
      </c>
      <c r="D3" s="71" t="n">
        <v>3</v>
      </c>
    </row>
    <row r="4" customFormat="false" ht="15" hidden="false" customHeight="false" outlineLevel="0" collapsed="false">
      <c r="A4" s="33"/>
      <c r="B4" s="35" t="s">
        <v>154</v>
      </c>
      <c r="C4" s="35" t="s">
        <v>155</v>
      </c>
      <c r="D4" s="35" t="s">
        <v>156</v>
      </c>
    </row>
    <row r="5" customFormat="false" ht="15" hidden="false" customHeight="false" outlineLevel="0" collapsed="false">
      <c r="A5" s="4" t="s">
        <v>44</v>
      </c>
      <c r="B5" s="72" t="n">
        <f aca="false">SUMIF(Monthly!$C$5:$AL$5,B$3,Monthly!$C$24:$AL$24)</f>
        <v>393075.459761719</v>
      </c>
      <c r="C5" s="72" t="n">
        <f aca="false">SUMIF(Monthly!$C$5:$AL$5,C$3,Monthly!$C$24:$AL$24)</f>
        <v>663933.884151801</v>
      </c>
      <c r="D5" s="72" t="n">
        <f aca="false">SUMIF(Monthly!$C$5:$AL$5,D$3,Monthly!$C$24:$AL$24)</f>
        <v>722638.4004</v>
      </c>
    </row>
    <row r="6" customFormat="false" ht="15" hidden="false" customHeight="false" outlineLevel="0" collapsed="false">
      <c r="A6" s="6" t="s">
        <v>75</v>
      </c>
      <c r="B6" s="66" t="n">
        <f aca="false">SUMIF(Monthly!$C$5:$AL$5,B$3,Monthly!$C$30:$AL$30)</f>
        <v>-130230.575512312</v>
      </c>
      <c r="C6" s="66" t="n">
        <f aca="false">SUMIF(Monthly!$C$5:$AL$5,C$3,Monthly!$C$30:$AL$30)</f>
        <v>-159653.761261855</v>
      </c>
      <c r="D6" s="66" t="n">
        <f aca="false">SUMIF(Monthly!$C$5:$AL$5,D$3,Monthly!$C$30:$AL$30)</f>
        <v>-168619.446</v>
      </c>
    </row>
    <row r="7" customFormat="false" ht="15" hidden="false" customHeight="false" outlineLevel="0" collapsed="false">
      <c r="A7" s="110" t="s">
        <v>45</v>
      </c>
      <c r="B7" s="67" t="n">
        <f aca="false">SUMIF(Monthly!$C$5:$AL$5,B$3,Monthly!$C$31:$AL$31)</f>
        <v>262844.884249407</v>
      </c>
      <c r="C7" s="67" t="n">
        <f aca="false">SUMIF(Monthly!$C$5:$AL$5,C$3,Monthly!$C$31:$AL$31)</f>
        <v>504280.122889946</v>
      </c>
      <c r="D7" s="67" t="n">
        <f aca="false">SUMIF(Monthly!$C$5:$AL$5,D$3,Monthly!$C$31:$AL$31)</f>
        <v>554018.9544</v>
      </c>
    </row>
    <row r="8" customFormat="false" ht="15" hidden="false" customHeight="false" outlineLevel="0" collapsed="false">
      <c r="A8" s="39" t="s">
        <v>46</v>
      </c>
      <c r="B8" s="73" t="n">
        <f aca="false">IF(B5=0,0,B7/B5)</f>
        <v>0.668688104845678</v>
      </c>
      <c r="C8" s="73" t="n">
        <f aca="false">IF(C5=0,0,C7/C5)</f>
        <v>0.759533644730577</v>
      </c>
      <c r="D8" s="73" t="n">
        <f aca="false">IF(D5=0,0,D7/D5)</f>
        <v>0.766661381533746</v>
      </c>
    </row>
    <row r="9" customFormat="false" ht="15" hidden="false" customHeight="false" outlineLevel="0" collapsed="false">
      <c r="A9" s="6" t="s">
        <v>320</v>
      </c>
      <c r="B9" s="66" t="n">
        <f aca="false">SUMIF(Monthly!$C$5:$AL$5,B$3,Monthly!$C$34:$AL$34)</f>
        <v>-166100</v>
      </c>
      <c r="C9" s="66" t="n">
        <f aca="false">SUMIF(Monthly!$C$5:$AL$5,C$3,Monthly!$C$34:$AL$34)</f>
        <v>-171083</v>
      </c>
      <c r="D9" s="66" t="n">
        <f aca="false">SUMIF(Monthly!$C$5:$AL$5,D$3,Monthly!$C$34:$AL$34)</f>
        <v>-176215.49</v>
      </c>
    </row>
    <row r="10" customFormat="false" ht="15" hidden="false" customHeight="false" outlineLevel="0" collapsed="false">
      <c r="A10" s="6" t="s">
        <v>321</v>
      </c>
      <c r="B10" s="66" t="n">
        <f aca="false">SUMIF(Monthly!$C$5:$AL$5,B$3,Monthly!$C$35:$AL$35)</f>
        <v>-48000</v>
      </c>
      <c r="C10" s="66" t="n">
        <f aca="false">SUMIF(Monthly!$C$5:$AL$5,C$3,Monthly!$C$35:$AL$35)</f>
        <v>-50400</v>
      </c>
      <c r="D10" s="66" t="n">
        <f aca="false">SUMIF(Monthly!$C$5:$AL$5,D$3,Monthly!$C$35:$AL$35)</f>
        <v>-52920</v>
      </c>
    </row>
    <row r="11" customFormat="false" ht="15" hidden="false" customHeight="false" outlineLevel="0" collapsed="false">
      <c r="A11" s="6" t="s">
        <v>322</v>
      </c>
      <c r="B11" s="66" t="n">
        <f aca="false">SUMIF(Monthly!$C$5:$AL$5,B$3,Monthly!$C$36:$AL$36)</f>
        <v>-144000</v>
      </c>
      <c r="C11" s="66" t="n">
        <f aca="false">SUMIF(Monthly!$C$5:$AL$5,C$3,Monthly!$C$36:$AL$36)</f>
        <v>-144000</v>
      </c>
      <c r="D11" s="66" t="n">
        <f aca="false">SUMIF(Monthly!$C$5:$AL$5,D$3,Monthly!$C$36:$AL$36)</f>
        <v>-144000</v>
      </c>
    </row>
    <row r="12" customFormat="false" ht="15" hidden="false" customHeight="false" outlineLevel="0" collapsed="false">
      <c r="A12" s="6" t="s">
        <v>323</v>
      </c>
      <c r="B12" s="66" t="n">
        <f aca="false">SUMIF(Monthly!$C$5:$AL$5,B$3,Monthly!$C$37:$AL$37)</f>
        <v>-26400</v>
      </c>
      <c r="C12" s="66" t="n">
        <f aca="false">SUMIF(Monthly!$C$5:$AL$5,C$3,Monthly!$C$37:$AL$37)</f>
        <v>-26400</v>
      </c>
      <c r="D12" s="66" t="n">
        <f aca="false">SUMIF(Monthly!$C$5:$AL$5,D$3,Monthly!$C$37:$AL$37)</f>
        <v>-26400</v>
      </c>
    </row>
    <row r="13" customFormat="false" ht="15" hidden="false" customHeight="false" outlineLevel="0" collapsed="false">
      <c r="A13" s="6" t="s">
        <v>324</v>
      </c>
      <c r="B13" s="66" t="n">
        <f aca="false">SUMIF(Monthly!$C$5:$AL$5,B$3,Monthly!$C$38:$AL$38)</f>
        <v>-21600</v>
      </c>
      <c r="C13" s="66" t="n">
        <f aca="false">SUMIF(Monthly!$C$5:$AL$5,C$3,Monthly!$C$38:$AL$38)</f>
        <v>-21600</v>
      </c>
      <c r="D13" s="66" t="n">
        <f aca="false">SUMIF(Monthly!$C$5:$AL$5,D$3,Monthly!$C$38:$AL$38)</f>
        <v>-21600</v>
      </c>
    </row>
    <row r="14" customFormat="false" ht="15" hidden="false" customHeight="false" outlineLevel="0" collapsed="false">
      <c r="A14" s="6" t="s">
        <v>325</v>
      </c>
      <c r="B14" s="66" t="n">
        <f aca="false">SUMIF(Monthly!$C$5:$AL$5,B$3,Monthly!$C$39:$AL$39)</f>
        <v>-15723.0183904688</v>
      </c>
      <c r="C14" s="66" t="n">
        <f aca="false">SUMIF(Monthly!$C$5:$AL$5,C$3,Monthly!$C$39:$AL$39)</f>
        <v>-26557.355366072</v>
      </c>
      <c r="D14" s="66" t="n">
        <f aca="false">SUMIF(Monthly!$C$5:$AL$5,D$3,Monthly!$C$39:$AL$39)</f>
        <v>-28905.536016</v>
      </c>
    </row>
    <row r="15" customFormat="false" ht="15" hidden="false" customHeight="false" outlineLevel="0" collapsed="false">
      <c r="A15" s="6" t="s">
        <v>326</v>
      </c>
      <c r="B15" s="66" t="n">
        <f aca="false">SUMIF(Monthly!$C$5:$AL$5,B$3,Monthly!$C$40:$AL$40)</f>
        <v>-24000</v>
      </c>
      <c r="C15" s="66" t="n">
        <f aca="false">SUMIF(Monthly!$C$5:$AL$5,C$3,Monthly!$C$40:$AL$40)</f>
        <v>-24000</v>
      </c>
      <c r="D15" s="66" t="n">
        <f aca="false">SUMIF(Monthly!$C$5:$AL$5,D$3,Monthly!$C$40:$AL$40)</f>
        <v>-24000</v>
      </c>
    </row>
    <row r="16" customFormat="false" ht="15" hidden="false" customHeight="false" outlineLevel="0" collapsed="false">
      <c r="A16" s="110" t="s">
        <v>76</v>
      </c>
      <c r="B16" s="67" t="n">
        <f aca="false">SUMIF(Monthly!$C$5:$AL$5,B$3,Monthly!$C$41:$AL$41)</f>
        <v>-445823.018390469</v>
      </c>
      <c r="C16" s="67" t="n">
        <f aca="false">SUMIF(Monthly!$C$5:$AL$5,C$3,Monthly!$C$41:$AL$41)</f>
        <v>-464040.355366072</v>
      </c>
      <c r="D16" s="67" t="n">
        <f aca="false">SUMIF(Monthly!$C$5:$AL$5,D$3,Monthly!$C$41:$AL$41)</f>
        <v>-474041.026016</v>
      </c>
    </row>
    <row r="17" customFormat="false" ht="15" hidden="false" customHeight="false" outlineLevel="0" collapsed="false">
      <c r="A17" s="110" t="s">
        <v>48</v>
      </c>
      <c r="B17" s="67" t="n">
        <f aca="false">SUMIF(Monthly!$C$5:$AL$5,B$3,Monthly!$C$42:$AL$42)</f>
        <v>-182978.134141062</v>
      </c>
      <c r="C17" s="67" t="n">
        <f aca="false">SUMIF(Monthly!$C$5:$AL$5,C$3,Monthly!$C$42:$AL$42)</f>
        <v>40239.7675238735</v>
      </c>
      <c r="D17" s="67" t="n">
        <f aca="false">SUMIF(Monthly!$C$5:$AL$5,D$3,Monthly!$C$42:$AL$42)</f>
        <v>79977.9283840001</v>
      </c>
    </row>
    <row r="18" customFormat="false" ht="15" hidden="false" customHeight="false" outlineLevel="0" collapsed="false">
      <c r="A18" s="39" t="s">
        <v>49</v>
      </c>
      <c r="B18" s="73" t="n">
        <f aca="false">IF(B5=0,0,B17/B5)</f>
        <v>-0.465503835451804</v>
      </c>
      <c r="C18" s="73" t="n">
        <f aca="false">IF(C5=0,0,C17/C5)</f>
        <v>0.0606080943967504</v>
      </c>
      <c r="D18" s="73" t="n">
        <f aca="false">IF(D5=0,0,D17/D5)</f>
        <v>0.110674894026847</v>
      </c>
    </row>
    <row r="19" customFormat="false" ht="15" hidden="false" customHeight="false" outlineLevel="0" collapsed="false">
      <c r="A19" s="6" t="s">
        <v>77</v>
      </c>
      <c r="B19" s="66" t="n">
        <f aca="false">SUMIF(Monthly!$C$5:$AL$5,B$3,Monthly!$C$56:$AL$56)</f>
        <v>-35714.2857142857</v>
      </c>
      <c r="C19" s="66" t="n">
        <f aca="false">SUMIF(Monthly!$C$5:$AL$5,C$3,Monthly!$C$56:$AL$56)</f>
        <v>-35714.2857142857</v>
      </c>
      <c r="D19" s="66" t="n">
        <f aca="false">SUMIF(Monthly!$C$5:$AL$5,D$3,Monthly!$C$56:$AL$56)</f>
        <v>-35714.2857142857</v>
      </c>
    </row>
    <row r="20" customFormat="false" ht="15" hidden="false" customHeight="false" outlineLevel="0" collapsed="false">
      <c r="A20" s="4" t="s">
        <v>78</v>
      </c>
      <c r="B20" s="72" t="n">
        <f aca="false">SUMIF(Monthly!$C$5:$AL$5,B$3,Monthly!$C$45:$AL$45)</f>
        <v>-218692.419855347</v>
      </c>
      <c r="C20" s="72" t="n">
        <f aca="false">SUMIF(Monthly!$C$5:$AL$5,C$3,Monthly!$C$45:$AL$45)</f>
        <v>4525.48180958777</v>
      </c>
      <c r="D20" s="72" t="n">
        <f aca="false">SUMIF(Monthly!$C$5:$AL$5,D$3,Monthly!$C$45:$AL$45)</f>
        <v>44263.6426697144</v>
      </c>
    </row>
    <row r="21" customFormat="false" ht="15" hidden="false" customHeight="false" outlineLevel="0" collapsed="false">
      <c r="A21" s="6" t="s">
        <v>79</v>
      </c>
      <c r="B21" s="66" t="n">
        <f aca="false">SUMIF(Monthly!$C$5:$AL$5,B$3,Monthly!$C$46:$AL$46)</f>
        <v>-11279.7619047619</v>
      </c>
      <c r="C21" s="66" t="n">
        <f aca="false">SUMIF(Monthly!$C$5:$AL$5,C$3,Monthly!$C$46:$AL$46)</f>
        <v>-9571.42857142857</v>
      </c>
      <c r="D21" s="66" t="n">
        <f aca="false">SUMIF(Monthly!$C$5:$AL$5,D$3,Monthly!$C$46:$AL$46)</f>
        <v>-7857.14285714285</v>
      </c>
    </row>
    <row r="22" customFormat="false" ht="15" hidden="false" customHeight="false" outlineLevel="0" collapsed="false">
      <c r="A22" s="111" t="s">
        <v>80</v>
      </c>
      <c r="B22" s="112" t="n">
        <f aca="false">SUMIF(Monthly!$C$5:$AL$5,B$3,Monthly!$C$47:$AL$47)</f>
        <v>-229972.181760109</v>
      </c>
      <c r="C22" s="112" t="n">
        <f aca="false">SUMIF(Monthly!$C$5:$AL$5,C$3,Monthly!$C$47:$AL$47)</f>
        <v>-5045.9467618408</v>
      </c>
      <c r="D22" s="112" t="n">
        <f aca="false">SUMIF(Monthly!$C$5:$AL$5,D$3,Monthly!$C$47:$AL$47)</f>
        <v>36406.4998125715</v>
      </c>
    </row>
    <row r="23" customFormat="false" ht="15" hidden="false" customHeight="false" outlineLevel="0" collapsed="false">
      <c r="A23" s="6" t="s">
        <v>81</v>
      </c>
      <c r="B23" s="66" t="n">
        <f aca="false">SUMIF(Monthly!$C$5:$AL$5,B$3,Monthly!$C$50:$AL$50)</f>
        <v>0</v>
      </c>
      <c r="C23" s="66" t="n">
        <f aca="false">SUMIF(Monthly!$C$5:$AL$5,C$3,Monthly!$C$50:$AL$50)</f>
        <v>0</v>
      </c>
      <c r="D23" s="66" t="n">
        <f aca="false">SUMIF(Monthly!$C$5:$AL$5,D$3,Monthly!$C$50:$AL$50)</f>
        <v>0</v>
      </c>
    </row>
    <row r="24" customFormat="false" ht="15" hidden="false" customHeight="false" outlineLevel="0" collapsed="false">
      <c r="A24" s="69" t="s">
        <v>50</v>
      </c>
      <c r="B24" s="70" t="n">
        <f aca="false">SUMIF(Monthly!$C$5:$AL$5,B$3,Monthly!$C$51:$AL$51)</f>
        <v>-229972.181760109</v>
      </c>
      <c r="C24" s="70" t="n">
        <f aca="false">SUMIF(Monthly!$C$5:$AL$5,C$3,Monthly!$C$51:$AL$51)</f>
        <v>-5045.9467618408</v>
      </c>
      <c r="D24" s="70" t="n">
        <f aca="false">SUMIF(Monthly!$C$5:$AL$5,D$3,Monthly!$C$51:$AL$51)</f>
        <v>36406.4998125715</v>
      </c>
    </row>
    <row r="25" customFormat="false" ht="15" hidden="false" customHeight="false" outlineLevel="0" collapsed="false">
      <c r="A25" s="39" t="s">
        <v>51</v>
      </c>
      <c r="B25" s="73" t="n">
        <f aca="false">IF(B5=0,0,B24/B5)</f>
        <v>-0.585058609101463</v>
      </c>
      <c r="C25" s="73" t="n">
        <f aca="false">IF(C5=0,0,C24/C5)</f>
        <v>-0.00760007416745596</v>
      </c>
      <c r="D25" s="73" t="n">
        <f aca="false">IF(D5=0,0,D24/D5)</f>
        <v>0.0503799684495309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</cols>
  <sheetData>
    <row r="1" customFormat="false" ht="21.75" hidden="false" customHeight="true" outlineLevel="0" collapsed="false">
      <c r="A1" s="16" t="s">
        <v>21</v>
      </c>
      <c r="F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319</v>
      </c>
    </row>
    <row r="3" customFormat="false" ht="15" hidden="false" customHeight="false" outlineLevel="0" collapsed="false">
      <c r="A3" s="71" t="s">
        <v>153</v>
      </c>
      <c r="B3" s="71" t="n">
        <v>1</v>
      </c>
      <c r="C3" s="71" t="n">
        <v>2</v>
      </c>
      <c r="D3" s="71" t="n">
        <v>3</v>
      </c>
    </row>
    <row r="4" customFormat="false" ht="15" hidden="false" customHeight="false" outlineLevel="0" collapsed="false">
      <c r="A4" s="33"/>
      <c r="B4" s="35" t="s">
        <v>154</v>
      </c>
      <c r="C4" s="35" t="s">
        <v>155</v>
      </c>
      <c r="D4" s="35" t="s">
        <v>156</v>
      </c>
    </row>
    <row r="5" customFormat="false" ht="15" hidden="false" customHeight="false" outlineLevel="0" collapsed="false">
      <c r="A5" s="6" t="s">
        <v>50</v>
      </c>
      <c r="B5" s="66" t="n">
        <f aca="false">SUMIF(Monthly!$C$5:$AL$5,B$3,Monthly!$C$51:$AL$51)</f>
        <v>-229972.181760109</v>
      </c>
      <c r="C5" s="66" t="n">
        <f aca="false">SUMIF(Monthly!$C$5:$AL$5,C$3,Monthly!$C$51:$AL$51)</f>
        <v>-5045.9467618408</v>
      </c>
      <c r="D5" s="66" t="n">
        <f aca="false">SUMIF(Monthly!$C$5:$AL$5,D$3,Monthly!$C$51:$AL$51)</f>
        <v>36406.4998125715</v>
      </c>
    </row>
    <row r="6" customFormat="false" ht="15" hidden="false" customHeight="false" outlineLevel="0" collapsed="false">
      <c r="A6" s="6" t="s">
        <v>327</v>
      </c>
      <c r="B6" s="66" t="n">
        <f aca="false">-SUMIF(Monthly!$C$5:$AL$5,B$3,Monthly!$C$56:$AL$56)</f>
        <v>35714.2857142857</v>
      </c>
      <c r="C6" s="66" t="n">
        <f aca="false">-SUMIF(Monthly!$C$5:$AL$5,C$3,Monthly!$C$56:$AL$56)</f>
        <v>35714.2857142857</v>
      </c>
      <c r="D6" s="66" t="n">
        <f aca="false">-SUMIF(Monthly!$C$5:$AL$5,D$3,Monthly!$C$56:$AL$56)</f>
        <v>35714.2857142857</v>
      </c>
    </row>
    <row r="7" customFormat="false" ht="15" hidden="false" customHeight="false" outlineLevel="0" collapsed="false">
      <c r="A7" s="6" t="s">
        <v>328</v>
      </c>
      <c r="B7" s="66" t="n">
        <f aca="false">SUMIF(Monthly!$C$5:$AL$5,B$3,Monthly!$C$70:$AL$70)</f>
        <v>0</v>
      </c>
      <c r="C7" s="66" t="n">
        <f aca="false">SUMIF(Monthly!$C$5:$AL$5,C$3,Monthly!$C$70:$AL$70)</f>
        <v>0</v>
      </c>
      <c r="D7" s="66" t="n">
        <f aca="false">SUMIF(Monthly!$C$5:$AL$5,D$3,Monthly!$C$70:$AL$70)</f>
        <v>0</v>
      </c>
    </row>
    <row r="8" customFormat="false" ht="15" hidden="false" customHeight="false" outlineLevel="0" collapsed="false">
      <c r="A8" s="6" t="s">
        <v>329</v>
      </c>
      <c r="B8" s="66" t="n">
        <f aca="false">SUMIF(Monthly!$C$5:$AL$5,B$3,Monthly!$C$71:$AL$71)</f>
        <v>-4007.63669122741</v>
      </c>
      <c r="C8" s="66" t="n">
        <f aca="false">SUMIF(Monthly!$C$5:$AL$5,C$3,Monthly!$C$71:$AL$71)</f>
        <v>-539.81330877259</v>
      </c>
      <c r="D8" s="66" t="n">
        <f aca="false">SUMIF(Monthly!$C$5:$AL$5,D$3,Monthly!$C$71:$AL$71)</f>
        <v>-136.423500000001</v>
      </c>
    </row>
    <row r="9" customFormat="false" ht="15" hidden="false" customHeight="false" outlineLevel="0" collapsed="false">
      <c r="A9" s="6" t="s">
        <v>330</v>
      </c>
      <c r="B9" s="66" t="n">
        <f aca="false">SUMIF(Monthly!$C$5:$AL$5,B$3,Monthly!$C$72:$AL$72)</f>
        <v>8015.27338245482</v>
      </c>
      <c r="C9" s="66" t="n">
        <f aca="false">SUMIF(Monthly!$C$5:$AL$5,C$3,Monthly!$C$72:$AL$72)</f>
        <v>1079.62661754518</v>
      </c>
      <c r="D9" s="66" t="n">
        <f aca="false">SUMIF(Monthly!$C$5:$AL$5,D$3,Monthly!$C$72:$AL$72)</f>
        <v>272.847000000002</v>
      </c>
    </row>
    <row r="10" customFormat="false" ht="15" hidden="false" customHeight="false" outlineLevel="0" collapsed="false">
      <c r="A10" s="110" t="s">
        <v>52</v>
      </c>
      <c r="B10" s="67" t="n">
        <f aca="false">SUMIF(Monthly!$C$5:$AL$5,B$3,Monthly!$C$75:$AL$75)</f>
        <v>-190250.259354596</v>
      </c>
      <c r="C10" s="67" t="n">
        <f aca="false">SUMIF(Monthly!$C$5:$AL$5,C$3,Monthly!$C$75:$AL$75)</f>
        <v>31208.1522612175</v>
      </c>
      <c r="D10" s="67" t="n">
        <f aca="false">SUMIF(Monthly!$C$5:$AL$5,D$3,Monthly!$C$75:$AL$75)</f>
        <v>72257.2090268572</v>
      </c>
    </row>
    <row r="11" customFormat="false" ht="15" hidden="false" customHeight="false" outlineLevel="0" collapsed="false">
      <c r="A11" s="6" t="s">
        <v>83</v>
      </c>
      <c r="B11" s="66" t="n">
        <f aca="false">SUMIF(Monthly!$C$5:$AL$5,B$3,Monthly!$C$76:$AL$76)</f>
        <v>-250000</v>
      </c>
      <c r="C11" s="66" t="n">
        <f aca="false">SUMIF(Monthly!$C$5:$AL$5,C$3,Monthly!$C$76:$AL$76)</f>
        <v>0</v>
      </c>
      <c r="D11" s="66" t="n">
        <f aca="false">SUMIF(Monthly!$C$5:$AL$5,D$3,Monthly!$C$76:$AL$76)</f>
        <v>0</v>
      </c>
    </row>
    <row r="12" customFormat="false" ht="15" hidden="false" customHeight="false" outlineLevel="0" collapsed="false">
      <c r="A12" s="6" t="s">
        <v>63</v>
      </c>
      <c r="B12" s="66" t="n">
        <f aca="false">SUMIF(Monthly!$C$5:$AL$5,B$3,Monthly!$C$77:$AL$77)</f>
        <v>330000</v>
      </c>
      <c r="C12" s="66" t="n">
        <f aca="false">SUMIF(Monthly!$C$5:$AL$5,C$3,Monthly!$C$77:$AL$77)</f>
        <v>0</v>
      </c>
      <c r="D12" s="66" t="n">
        <f aca="false">SUMIF(Monthly!$C$5:$AL$5,D$3,Monthly!$C$77:$AL$77)</f>
        <v>0</v>
      </c>
    </row>
    <row r="13" customFormat="false" ht="15" hidden="false" customHeight="false" outlineLevel="0" collapsed="false">
      <c r="A13" s="6" t="s">
        <v>84</v>
      </c>
      <c r="B13" s="66" t="n">
        <f aca="false">SUMIF(Monthly!$C$5:$AL$5,B$3,Monthly!$C$62:$AL$62)</f>
        <v>150000</v>
      </c>
      <c r="C13" s="66" t="n">
        <f aca="false">SUMIF(Monthly!$C$5:$AL$5,C$3,Monthly!$C$62:$AL$62)</f>
        <v>0</v>
      </c>
      <c r="D13" s="66" t="n">
        <f aca="false">SUMIF(Monthly!$C$5:$AL$5,D$3,Monthly!$C$62:$AL$62)</f>
        <v>0</v>
      </c>
    </row>
    <row r="14" customFormat="false" ht="15" hidden="false" customHeight="false" outlineLevel="0" collapsed="false">
      <c r="A14" s="6" t="s">
        <v>85</v>
      </c>
      <c r="B14" s="66" t="n">
        <f aca="false">SUMIF(Monthly!$C$5:$AL$5,B$3,Monthly!$C$63:$AL$63)</f>
        <v>-19642.8571428571</v>
      </c>
      <c r="C14" s="66" t="n">
        <f aca="false">SUMIF(Monthly!$C$5:$AL$5,C$3,Monthly!$C$63:$AL$63)</f>
        <v>-21428.5714285714</v>
      </c>
      <c r="D14" s="66" t="n">
        <f aca="false">SUMIF(Monthly!$C$5:$AL$5,D$3,Monthly!$C$63:$AL$63)</f>
        <v>-21428.5714285714</v>
      </c>
    </row>
    <row r="15" customFormat="false" ht="15" hidden="false" customHeight="false" outlineLevel="0" collapsed="false">
      <c r="A15" s="110" t="s">
        <v>54</v>
      </c>
      <c r="B15" s="67" t="n">
        <f aca="false">SUMIF(Monthly!$C$5:$AL$5,B$3,Monthly!$C$78:$AL$78)</f>
        <v>460357.142857143</v>
      </c>
      <c r="C15" s="67" t="n">
        <f aca="false">SUMIF(Monthly!$C$5:$AL$5,C$3,Monthly!$C$78:$AL$78)</f>
        <v>-21428.5714285714</v>
      </c>
      <c r="D15" s="67" t="n">
        <f aca="false">SUMIF(Monthly!$C$5:$AL$5,D$3,Monthly!$C$78:$AL$78)</f>
        <v>-21428.5714285714</v>
      </c>
    </row>
    <row r="16" customFormat="false" ht="15" hidden="false" customHeight="false" outlineLevel="0" collapsed="false">
      <c r="A16" s="4" t="s">
        <v>55</v>
      </c>
      <c r="B16" s="72" t="n">
        <f aca="false">SUMIF(Monthly!$C$5:$AL$5,B$3,Monthly!$C$79:$AL$79)</f>
        <v>20106.8835025468</v>
      </c>
      <c r="C16" s="72" t="n">
        <f aca="false">SUMIF(Monthly!$C$5:$AL$5,C$3,Monthly!$C$79:$AL$79)</f>
        <v>9779.58083264608</v>
      </c>
      <c r="D16" s="72" t="n">
        <f aca="false">SUMIF(Monthly!$C$5:$AL$5,D$3,Monthly!$C$79:$AL$79)</f>
        <v>50828.6375982858</v>
      </c>
    </row>
    <row r="17" customFormat="false" ht="15" hidden="false" customHeight="false" outlineLevel="0" collapsed="false">
      <c r="A17" s="6" t="s">
        <v>331</v>
      </c>
      <c r="B17" s="66" t="n">
        <f aca="false">INDEX(Monthly!$C$80:$AL$80,(B$3-1)*12+1)</f>
        <v>0</v>
      </c>
      <c r="C17" s="66" t="n">
        <f aca="false">INDEX(Monthly!$C$80:$AL$80,(C$3-1)*12+1)</f>
        <v>20106.8835025468</v>
      </c>
      <c r="D17" s="66" t="n">
        <f aca="false">INDEX(Monthly!$C$80:$AL$80,(D$3-1)*12+1)</f>
        <v>29886.4643351928</v>
      </c>
    </row>
    <row r="18" customFormat="false" ht="15" hidden="false" customHeight="false" outlineLevel="0" collapsed="false">
      <c r="A18" s="69" t="s">
        <v>86</v>
      </c>
      <c r="B18" s="70" t="n">
        <f aca="false">INDEX(Monthly!$C$81:$AL$81,B$3*12)</f>
        <v>20106.8835025468</v>
      </c>
      <c r="C18" s="70" t="n">
        <f aca="false">INDEX(Monthly!$C$81:$AL$81,C$3*12)</f>
        <v>29886.4643351928</v>
      </c>
      <c r="D18" s="70" t="n">
        <f aca="false">INDEX(Monthly!$C$81:$AL$81,D$3*12)</f>
        <v>80715.1019334786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</cols>
  <sheetData>
    <row r="1" customFormat="false" ht="21.75" hidden="false" customHeight="true" outlineLevel="0" collapsed="false">
      <c r="A1" s="16" t="s">
        <v>22</v>
      </c>
      <c r="F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319</v>
      </c>
    </row>
    <row r="3" customFormat="false" ht="15" hidden="false" customHeight="false" outlineLevel="0" collapsed="false">
      <c r="A3" s="71" t="s">
        <v>153</v>
      </c>
      <c r="B3" s="71" t="n">
        <v>1</v>
      </c>
      <c r="C3" s="71" t="n">
        <v>2</v>
      </c>
      <c r="D3" s="71" t="n">
        <v>3</v>
      </c>
    </row>
    <row r="4" customFormat="false" ht="15" hidden="false" customHeight="false" outlineLevel="0" collapsed="false">
      <c r="A4" s="33"/>
      <c r="B4" s="35" t="s">
        <v>154</v>
      </c>
      <c r="C4" s="35" t="s">
        <v>155</v>
      </c>
      <c r="D4" s="35" t="s">
        <v>156</v>
      </c>
    </row>
    <row r="5" customFormat="false" ht="15" hidden="false" customHeight="false" outlineLevel="0" collapsed="false">
      <c r="A5" s="6" t="s">
        <v>88</v>
      </c>
      <c r="B5" s="66" t="n">
        <f aca="false">INDEX(Monthly!$C$81:$AL$81,B$3*12)</f>
        <v>20106.8835025468</v>
      </c>
      <c r="C5" s="66" t="n">
        <f aca="false">INDEX(Monthly!$C$81:$AL$81,C$3*12)</f>
        <v>29886.4643351928</v>
      </c>
      <c r="D5" s="66" t="n">
        <f aca="false">INDEX(Monthly!$C$81:$AL$81,D$3*12)</f>
        <v>80715.1019334786</v>
      </c>
    </row>
    <row r="6" customFormat="false" ht="15" hidden="false" customHeight="false" outlineLevel="0" collapsed="false">
      <c r="A6" s="6" t="s">
        <v>89</v>
      </c>
      <c r="B6" s="66" t="n">
        <f aca="false">INDEX(Monthly!$C$67:$AL$67,B$3*12)</f>
        <v>0</v>
      </c>
      <c r="C6" s="66" t="n">
        <f aca="false">INDEX(Monthly!$C$67:$AL$67,C$3*12)</f>
        <v>0</v>
      </c>
      <c r="D6" s="66" t="n">
        <f aca="false">INDEX(Monthly!$C$67:$AL$67,D$3*12)</f>
        <v>0</v>
      </c>
    </row>
    <row r="7" customFormat="false" ht="15" hidden="false" customHeight="false" outlineLevel="0" collapsed="false">
      <c r="A7" s="6" t="s">
        <v>90</v>
      </c>
      <c r="B7" s="66" t="n">
        <f aca="false">INDEX(Monthly!$C$68:$AL$68,B$3*12)</f>
        <v>4007.63669122741</v>
      </c>
      <c r="C7" s="66" t="n">
        <f aca="false">INDEX(Monthly!$C$68:$AL$68,C$3*12)</f>
        <v>4547.45</v>
      </c>
      <c r="D7" s="66" t="n">
        <f aca="false">INDEX(Monthly!$C$68:$AL$68,D$3*12)</f>
        <v>4683.8735</v>
      </c>
    </row>
    <row r="8" customFormat="false" ht="15" hidden="false" customHeight="false" outlineLevel="0" collapsed="false">
      <c r="A8" s="6" t="s">
        <v>91</v>
      </c>
      <c r="B8" s="66" t="n">
        <f aca="false">INDEX(Monthly!$C$58:$AL$58,B$3*12)</f>
        <v>214285.714285714</v>
      </c>
      <c r="C8" s="66" t="n">
        <f aca="false">INDEX(Monthly!$C$58:$AL$58,C$3*12)</f>
        <v>178571.428571429</v>
      </c>
      <c r="D8" s="66" t="n">
        <f aca="false">INDEX(Monthly!$C$58:$AL$58,D$3*12)</f>
        <v>142857.142857143</v>
      </c>
    </row>
    <row r="9" customFormat="false" ht="15" hidden="false" customHeight="false" outlineLevel="0" collapsed="false">
      <c r="A9" s="110" t="s">
        <v>92</v>
      </c>
      <c r="B9" s="67" t="n">
        <f aca="false">INDEX(Monthly!$C$95:$AL$95,B$3*12)</f>
        <v>238400.234479488</v>
      </c>
      <c r="C9" s="67" t="n">
        <f aca="false">INDEX(Monthly!$C$95:$AL$95,C$3*12)</f>
        <v>213005.342906621</v>
      </c>
      <c r="D9" s="67" t="n">
        <f aca="false">INDEX(Monthly!$C$95:$AL$95,D$3*12)</f>
        <v>228256.118290622</v>
      </c>
    </row>
    <row r="10" customFormat="false" ht="15" hidden="false" customHeight="false" outlineLevel="0" collapsed="false">
      <c r="A10" s="6" t="s">
        <v>93</v>
      </c>
      <c r="B10" s="66" t="n">
        <f aca="false">INDEX(Monthly!$C$69:$AL$69,B$3*12)</f>
        <v>8015.27338245482</v>
      </c>
      <c r="C10" s="66" t="n">
        <f aca="false">INDEX(Monthly!$C$69:$AL$69,C$3*12)</f>
        <v>9094.9</v>
      </c>
      <c r="D10" s="66" t="n">
        <f aca="false">INDEX(Monthly!$C$69:$AL$69,D$3*12)</f>
        <v>9367.747</v>
      </c>
    </row>
    <row r="11" customFormat="false" ht="15" hidden="false" customHeight="false" outlineLevel="0" collapsed="false">
      <c r="A11" s="6" t="s">
        <v>94</v>
      </c>
      <c r="B11" s="66" t="n">
        <f aca="false">INDEX(Monthly!$C$64:$AL$64,B$3*12)</f>
        <v>130357.142857143</v>
      </c>
      <c r="C11" s="66" t="n">
        <f aca="false">INDEX(Monthly!$C$64:$AL$64,C$3*12)</f>
        <v>108928.571428571</v>
      </c>
      <c r="D11" s="66" t="n">
        <f aca="false">INDEX(Monthly!$C$64:$AL$64,D$3*12)</f>
        <v>87499.9999999999</v>
      </c>
    </row>
    <row r="12" customFormat="false" ht="15" hidden="false" customHeight="false" outlineLevel="0" collapsed="false">
      <c r="A12" s="111" t="s">
        <v>95</v>
      </c>
      <c r="B12" s="112" t="n">
        <f aca="false">INDEX(Monthly!$C$96:$AL$96,B$3*12)</f>
        <v>138372.416239598</v>
      </c>
      <c r="C12" s="112" t="n">
        <f aca="false">INDEX(Monthly!$C$96:$AL$96,C$3*12)</f>
        <v>118023.471428571</v>
      </c>
      <c r="D12" s="112" t="n">
        <f aca="false">INDEX(Monthly!$C$96:$AL$96,D$3*12)</f>
        <v>96867.7469999999</v>
      </c>
    </row>
    <row r="13" customFormat="false" ht="15" hidden="false" customHeight="false" outlineLevel="0" collapsed="false">
      <c r="A13" s="6" t="s">
        <v>96</v>
      </c>
      <c r="B13" s="66" t="n">
        <f aca="false">INDEX(Monthly!$C$93:$AL$93,B$3*12)</f>
        <v>330000</v>
      </c>
      <c r="C13" s="66" t="n">
        <f aca="false">INDEX(Monthly!$C$93:$AL$93,C$3*12)</f>
        <v>330000</v>
      </c>
      <c r="D13" s="66" t="n">
        <f aca="false">INDEX(Monthly!$C$93:$AL$93,D$3*12)</f>
        <v>330000</v>
      </c>
    </row>
    <row r="14" customFormat="false" ht="15" hidden="false" customHeight="false" outlineLevel="0" collapsed="false">
      <c r="A14" s="6" t="s">
        <v>97</v>
      </c>
      <c r="B14" s="66" t="n">
        <f aca="false">INDEX(Monthly!$C$94:$AL$94,B$3*12)</f>
        <v>-229972.181760109</v>
      </c>
      <c r="C14" s="66" t="n">
        <f aca="false">INDEX(Monthly!$C$94:$AL$94,C$3*12)</f>
        <v>-235018.12852195</v>
      </c>
      <c r="D14" s="66" t="n">
        <f aca="false">INDEX(Monthly!$C$94:$AL$94,D$3*12)</f>
        <v>-198611.628709379</v>
      </c>
    </row>
    <row r="15" customFormat="false" ht="15" hidden="false" customHeight="false" outlineLevel="0" collapsed="false">
      <c r="A15" s="111" t="s">
        <v>98</v>
      </c>
      <c r="B15" s="112" t="n">
        <f aca="false">INDEX(Monthly!$C$97:$AL$97,B$3*12)</f>
        <v>100027.818239891</v>
      </c>
      <c r="C15" s="112" t="n">
        <f aca="false">INDEX(Monthly!$C$97:$AL$97,C$3*12)</f>
        <v>94981.87147805</v>
      </c>
      <c r="D15" s="112" t="n">
        <f aca="false">INDEX(Monthly!$C$97:$AL$97,D$3*12)</f>
        <v>131388.371290621</v>
      </c>
    </row>
    <row r="16" customFormat="false" ht="15" hidden="false" customHeight="false" outlineLevel="0" collapsed="false">
      <c r="A16" s="69" t="s">
        <v>99</v>
      </c>
      <c r="B16" s="70" t="n">
        <f aca="false">INDEX(Monthly!$C$98:$AL$98,B$3*12)</f>
        <v>238400.234479488</v>
      </c>
      <c r="C16" s="70" t="n">
        <f aca="false">INDEX(Monthly!$C$98:$AL$98,C$3*12)</f>
        <v>213005.342906621</v>
      </c>
      <c r="D16" s="70" t="n">
        <f aca="false">INDEX(Monthly!$C$98:$AL$98,D$3*12)</f>
        <v>228256.118290621</v>
      </c>
    </row>
    <row r="17" customFormat="false" ht="15" hidden="false" customHeight="false" outlineLevel="0" collapsed="false">
      <c r="A17" s="6" t="s">
        <v>332</v>
      </c>
      <c r="B17" s="66" t="n">
        <f aca="false">INDEX(Monthly!$C$99:$AL$99,B$3*12)</f>
        <v>0</v>
      </c>
      <c r="C17" s="66" t="n">
        <f aca="false">INDEX(Monthly!$C$99:$AL$99,C$3*12)</f>
        <v>0</v>
      </c>
      <c r="D17" s="66" t="n">
        <f aca="false">INDEX(Monthly!$C$99:$AL$99,D$3*12)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ABA8"/>
    <pageSetUpPr fitToPage="true"/>
  </sheetPr>
  <dimension ref="A1:AL9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38" min="3" style="0" width="11"/>
  </cols>
  <sheetData>
    <row r="1" customFormat="false" ht="21.75" hidden="false" customHeight="true" outlineLevel="0" collapsed="false">
      <c r="A1" s="16" t="s">
        <v>333</v>
      </c>
      <c r="D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334</v>
      </c>
    </row>
    <row r="3" customFormat="false" ht="15" hidden="false" customHeight="false" outlineLevel="0" collapsed="false">
      <c r="A3" s="33" t="s">
        <v>335</v>
      </c>
      <c r="C3" s="35" t="s">
        <v>336</v>
      </c>
      <c r="D3" s="35" t="s">
        <v>337</v>
      </c>
      <c r="E3" s="35" t="s">
        <v>338</v>
      </c>
      <c r="F3" s="35" t="s">
        <v>339</v>
      </c>
      <c r="G3" s="35" t="s">
        <v>340</v>
      </c>
      <c r="H3" s="35" t="s">
        <v>341</v>
      </c>
      <c r="I3" s="35" t="s">
        <v>342</v>
      </c>
      <c r="J3" s="35" t="s">
        <v>343</v>
      </c>
      <c r="K3" s="35" t="s">
        <v>344</v>
      </c>
      <c r="L3" s="35" t="s">
        <v>345</v>
      </c>
      <c r="M3" s="35" t="s">
        <v>346</v>
      </c>
      <c r="N3" s="35" t="s">
        <v>347</v>
      </c>
      <c r="O3" s="35" t="s">
        <v>348</v>
      </c>
      <c r="P3" s="35" t="s">
        <v>349</v>
      </c>
      <c r="Q3" s="35" t="s">
        <v>350</v>
      </c>
      <c r="R3" s="35" t="s">
        <v>351</v>
      </c>
      <c r="S3" s="35" t="s">
        <v>352</v>
      </c>
      <c r="T3" s="35" t="s">
        <v>353</v>
      </c>
      <c r="U3" s="35" t="s">
        <v>354</v>
      </c>
      <c r="V3" s="35" t="s">
        <v>355</v>
      </c>
      <c r="W3" s="35" t="s">
        <v>356</v>
      </c>
      <c r="X3" s="35" t="s">
        <v>357</v>
      </c>
      <c r="Y3" s="35" t="s">
        <v>358</v>
      </c>
      <c r="Z3" s="35" t="s">
        <v>359</v>
      </c>
      <c r="AA3" s="35" t="s">
        <v>360</v>
      </c>
      <c r="AB3" s="35" t="s">
        <v>361</v>
      </c>
      <c r="AC3" s="35" t="s">
        <v>362</v>
      </c>
      <c r="AD3" s="35" t="s">
        <v>363</v>
      </c>
      <c r="AE3" s="35" t="s">
        <v>364</v>
      </c>
      <c r="AF3" s="35" t="s">
        <v>365</v>
      </c>
      <c r="AG3" s="35" t="s">
        <v>366</v>
      </c>
      <c r="AH3" s="35" t="s">
        <v>367</v>
      </c>
      <c r="AI3" s="35" t="s">
        <v>368</v>
      </c>
      <c r="AJ3" s="35" t="s">
        <v>369</v>
      </c>
      <c r="AK3" s="35" t="s">
        <v>370</v>
      </c>
      <c r="AL3" s="35" t="s">
        <v>371</v>
      </c>
    </row>
    <row r="4" customFormat="false" ht="15" hidden="false" customHeight="false" outlineLevel="0" collapsed="false">
      <c r="A4" s="71" t="s">
        <v>372</v>
      </c>
      <c r="C4" s="71" t="n">
        <v>1</v>
      </c>
      <c r="D4" s="71" t="n">
        <v>2</v>
      </c>
      <c r="E4" s="71" t="n">
        <v>3</v>
      </c>
      <c r="F4" s="71" t="n">
        <v>4</v>
      </c>
      <c r="G4" s="71" t="n">
        <v>5</v>
      </c>
      <c r="H4" s="71" t="n">
        <v>6</v>
      </c>
      <c r="I4" s="71" t="n">
        <v>7</v>
      </c>
      <c r="J4" s="71" t="n">
        <v>8</v>
      </c>
      <c r="K4" s="71" t="n">
        <v>9</v>
      </c>
      <c r="L4" s="71" t="n">
        <v>10</v>
      </c>
      <c r="M4" s="71" t="n">
        <v>11</v>
      </c>
      <c r="N4" s="71" t="n">
        <v>12</v>
      </c>
      <c r="O4" s="71" t="n">
        <v>13</v>
      </c>
      <c r="P4" s="71" t="n">
        <v>14</v>
      </c>
      <c r="Q4" s="71" t="n">
        <v>15</v>
      </c>
      <c r="R4" s="71" t="n">
        <v>16</v>
      </c>
      <c r="S4" s="71" t="n">
        <v>17</v>
      </c>
      <c r="T4" s="71" t="n">
        <v>18</v>
      </c>
      <c r="U4" s="71" t="n">
        <v>19</v>
      </c>
      <c r="V4" s="71" t="n">
        <v>20</v>
      </c>
      <c r="W4" s="71" t="n">
        <v>21</v>
      </c>
      <c r="X4" s="71" t="n">
        <v>22</v>
      </c>
      <c r="Y4" s="71" t="n">
        <v>23</v>
      </c>
      <c r="Z4" s="71" t="n">
        <v>24</v>
      </c>
      <c r="AA4" s="71" t="n">
        <v>25</v>
      </c>
      <c r="AB4" s="71" t="n">
        <v>26</v>
      </c>
      <c r="AC4" s="71" t="n">
        <v>27</v>
      </c>
      <c r="AD4" s="71" t="n">
        <v>28</v>
      </c>
      <c r="AE4" s="71" t="n">
        <v>29</v>
      </c>
      <c r="AF4" s="71" t="n">
        <v>30</v>
      </c>
      <c r="AG4" s="71" t="n">
        <v>31</v>
      </c>
      <c r="AH4" s="71" t="n">
        <v>32</v>
      </c>
      <c r="AI4" s="71" t="n">
        <v>33</v>
      </c>
      <c r="AJ4" s="71" t="n">
        <v>34</v>
      </c>
      <c r="AK4" s="71" t="n">
        <v>35</v>
      </c>
      <c r="AL4" s="71" t="n">
        <v>36</v>
      </c>
    </row>
    <row r="5" customFormat="false" ht="15" hidden="false" customHeight="false" outlineLevel="0" collapsed="false">
      <c r="A5" s="71" t="s">
        <v>153</v>
      </c>
      <c r="C5" s="71" t="n">
        <f aca="false">ROUNDUP(C4*1/12,0)</f>
        <v>1</v>
      </c>
      <c r="D5" s="71" t="n">
        <f aca="false">ROUNDUP(D4*1/12,0)</f>
        <v>1</v>
      </c>
      <c r="E5" s="71" t="n">
        <f aca="false">ROUNDUP(E4*1/12,0)</f>
        <v>1</v>
      </c>
      <c r="F5" s="71" t="n">
        <f aca="false">ROUNDUP(F4*1/12,0)</f>
        <v>1</v>
      </c>
      <c r="G5" s="71" t="n">
        <f aca="false">ROUNDUP(G4*1/12,0)</f>
        <v>1</v>
      </c>
      <c r="H5" s="71" t="n">
        <f aca="false">ROUNDUP(H4*1/12,0)</f>
        <v>1</v>
      </c>
      <c r="I5" s="71" t="n">
        <f aca="false">ROUNDUP(I4*1/12,0)</f>
        <v>1</v>
      </c>
      <c r="J5" s="71" t="n">
        <f aca="false">ROUNDUP(J4*1/12,0)</f>
        <v>1</v>
      </c>
      <c r="K5" s="71" t="n">
        <f aca="false">ROUNDUP(K4*1/12,0)</f>
        <v>1</v>
      </c>
      <c r="L5" s="71" t="n">
        <f aca="false">ROUNDUP(L4*1/12,0)</f>
        <v>1</v>
      </c>
      <c r="M5" s="71" t="n">
        <f aca="false">ROUNDUP(M4*1/12,0)</f>
        <v>1</v>
      </c>
      <c r="N5" s="71" t="n">
        <f aca="false">ROUNDUP(N4*1/12,0)</f>
        <v>1</v>
      </c>
      <c r="O5" s="71" t="n">
        <f aca="false">ROUNDUP(O4*1/12,0)</f>
        <v>2</v>
      </c>
      <c r="P5" s="71" t="n">
        <f aca="false">ROUNDUP(P4*1/12,0)</f>
        <v>2</v>
      </c>
      <c r="Q5" s="71" t="n">
        <f aca="false">ROUNDUP(Q4*1/12,0)</f>
        <v>2</v>
      </c>
      <c r="R5" s="71" t="n">
        <f aca="false">ROUNDUP(R4*1/12,0)</f>
        <v>2</v>
      </c>
      <c r="S5" s="71" t="n">
        <f aca="false">ROUNDUP(S4*1/12,0)</f>
        <v>2</v>
      </c>
      <c r="T5" s="71" t="n">
        <f aca="false">ROUNDUP(T4*1/12,0)</f>
        <v>2</v>
      </c>
      <c r="U5" s="71" t="n">
        <f aca="false">ROUNDUP(U4*1/12,0)</f>
        <v>2</v>
      </c>
      <c r="V5" s="71" t="n">
        <f aca="false">ROUNDUP(V4*1/12,0)</f>
        <v>2</v>
      </c>
      <c r="W5" s="71" t="n">
        <f aca="false">ROUNDUP(W4*1/12,0)</f>
        <v>2</v>
      </c>
      <c r="X5" s="71" t="n">
        <f aca="false">ROUNDUP(X4*1/12,0)</f>
        <v>2</v>
      </c>
      <c r="Y5" s="71" t="n">
        <f aca="false">ROUNDUP(Y4*1/12,0)</f>
        <v>2</v>
      </c>
      <c r="Z5" s="71" t="n">
        <f aca="false">ROUNDUP(Z4*1/12,0)</f>
        <v>2</v>
      </c>
      <c r="AA5" s="71" t="n">
        <f aca="false">ROUNDUP(AA4*1/12,0)</f>
        <v>3</v>
      </c>
      <c r="AB5" s="71" t="n">
        <f aca="false">ROUNDUP(AB4*1/12,0)</f>
        <v>3</v>
      </c>
      <c r="AC5" s="71" t="n">
        <f aca="false">ROUNDUP(AC4*1/12,0)</f>
        <v>3</v>
      </c>
      <c r="AD5" s="71" t="n">
        <f aca="false">ROUNDUP(AD4*1/12,0)</f>
        <v>3</v>
      </c>
      <c r="AE5" s="71" t="n">
        <f aca="false">ROUNDUP(AE4*1/12,0)</f>
        <v>3</v>
      </c>
      <c r="AF5" s="71" t="n">
        <f aca="false">ROUNDUP(AF4*1/12,0)</f>
        <v>3</v>
      </c>
      <c r="AG5" s="71" t="n">
        <f aca="false">ROUNDUP(AG4*1/12,0)</f>
        <v>3</v>
      </c>
      <c r="AH5" s="71" t="n">
        <f aca="false">ROUNDUP(AH4*1/12,0)</f>
        <v>3</v>
      </c>
      <c r="AI5" s="71" t="n">
        <f aca="false">ROUNDUP(AI4*1/12,0)</f>
        <v>3</v>
      </c>
      <c r="AJ5" s="71" t="n">
        <f aca="false">ROUNDUP(AJ4*1/12,0)</f>
        <v>3</v>
      </c>
      <c r="AK5" s="71" t="n">
        <f aca="false">ROUNDUP(AK4*1/12,0)</f>
        <v>3</v>
      </c>
      <c r="AL5" s="71" t="n">
        <f aca="false">ROUNDUP(AL4*1/12,0)</f>
        <v>3</v>
      </c>
    </row>
    <row r="7" customFormat="false" ht="15.75" hidden="false" customHeight="true" outlineLevel="0" collapsed="false">
      <c r="A7" s="7" t="s">
        <v>248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customFormat="false" ht="15" hidden="false" customHeight="false" outlineLevel="0" collapsed="false">
      <c r="A8" s="6" t="s">
        <v>239</v>
      </c>
      <c r="C8" s="113" t="n">
        <f aca="false">-C35/MAX(1,Inputs!$E$13)*Inputs!$E$14</f>
        <v>19.2</v>
      </c>
      <c r="D8" s="113" t="n">
        <f aca="false">-D35/MAX(1,Inputs!$E$13)*Inputs!$E$14</f>
        <v>19.2</v>
      </c>
      <c r="E8" s="113" t="n">
        <f aca="false">-E35/MAX(1,Inputs!$E$13)*Inputs!$E$14</f>
        <v>19.2</v>
      </c>
      <c r="F8" s="113" t="n">
        <f aca="false">-F35/MAX(1,Inputs!$E$13)*Inputs!$E$14</f>
        <v>19.2</v>
      </c>
      <c r="G8" s="113" t="n">
        <f aca="false">-G35/MAX(1,Inputs!$E$13)*Inputs!$E$14</f>
        <v>19.2</v>
      </c>
      <c r="H8" s="113" t="n">
        <f aca="false">-H35/MAX(1,Inputs!$E$13)*Inputs!$E$14</f>
        <v>19.2</v>
      </c>
      <c r="I8" s="113" t="n">
        <f aca="false">-I35/MAX(1,Inputs!$E$13)*Inputs!$E$14</f>
        <v>19.2</v>
      </c>
      <c r="J8" s="113" t="n">
        <f aca="false">-J35/MAX(1,Inputs!$E$13)*Inputs!$E$14</f>
        <v>19.2</v>
      </c>
      <c r="K8" s="113" t="n">
        <f aca="false">-K35/MAX(1,Inputs!$E$13)*Inputs!$E$14</f>
        <v>19.2</v>
      </c>
      <c r="L8" s="113" t="n">
        <f aca="false">-L35/MAX(1,Inputs!$E$13)*Inputs!$E$14</f>
        <v>19.2</v>
      </c>
      <c r="M8" s="113" t="n">
        <f aca="false">-M35/MAX(1,Inputs!$E$13)*Inputs!$E$14</f>
        <v>19.2</v>
      </c>
      <c r="N8" s="113" t="n">
        <f aca="false">-N35/MAX(1,Inputs!$E$13)*Inputs!$E$14</f>
        <v>19.2</v>
      </c>
      <c r="O8" s="113" t="n">
        <f aca="false">-O35/MAX(1,Inputs!$E$13)*Inputs!$E$14</f>
        <v>20.16</v>
      </c>
      <c r="P8" s="113" t="n">
        <f aca="false">-P35/MAX(1,Inputs!$E$13)*Inputs!$E$14</f>
        <v>20.16</v>
      </c>
      <c r="Q8" s="113" t="n">
        <f aca="false">-Q35/MAX(1,Inputs!$E$13)*Inputs!$E$14</f>
        <v>20.16</v>
      </c>
      <c r="R8" s="113" t="n">
        <f aca="false">-R35/MAX(1,Inputs!$E$13)*Inputs!$E$14</f>
        <v>20.16</v>
      </c>
      <c r="S8" s="113" t="n">
        <f aca="false">-S35/MAX(1,Inputs!$E$13)*Inputs!$E$14</f>
        <v>20.16</v>
      </c>
      <c r="T8" s="113" t="n">
        <f aca="false">-T35/MAX(1,Inputs!$E$13)*Inputs!$E$14</f>
        <v>20.16</v>
      </c>
      <c r="U8" s="113" t="n">
        <f aca="false">-U35/MAX(1,Inputs!$E$13)*Inputs!$E$14</f>
        <v>20.16</v>
      </c>
      <c r="V8" s="113" t="n">
        <f aca="false">-V35/MAX(1,Inputs!$E$13)*Inputs!$E$14</f>
        <v>20.16</v>
      </c>
      <c r="W8" s="113" t="n">
        <f aca="false">-W35/MAX(1,Inputs!$E$13)*Inputs!$E$14</f>
        <v>20.16</v>
      </c>
      <c r="X8" s="113" t="n">
        <f aca="false">-X35/MAX(1,Inputs!$E$13)*Inputs!$E$14</f>
        <v>20.16</v>
      </c>
      <c r="Y8" s="113" t="n">
        <f aca="false">-Y35/MAX(1,Inputs!$E$13)*Inputs!$E$14</f>
        <v>20.16</v>
      </c>
      <c r="Z8" s="113" t="n">
        <f aca="false">-Z35/MAX(1,Inputs!$E$13)*Inputs!$E$14</f>
        <v>20.16</v>
      </c>
      <c r="AA8" s="113" t="n">
        <f aca="false">-AA35/MAX(1,Inputs!$E$13)*Inputs!$E$14</f>
        <v>21.168</v>
      </c>
      <c r="AB8" s="113" t="n">
        <f aca="false">-AB35/MAX(1,Inputs!$E$13)*Inputs!$E$14</f>
        <v>21.168</v>
      </c>
      <c r="AC8" s="113" t="n">
        <f aca="false">-AC35/MAX(1,Inputs!$E$13)*Inputs!$E$14</f>
        <v>21.168</v>
      </c>
      <c r="AD8" s="113" t="n">
        <f aca="false">-AD35/MAX(1,Inputs!$E$13)*Inputs!$E$14</f>
        <v>21.168</v>
      </c>
      <c r="AE8" s="113" t="n">
        <f aca="false">-AE35/MAX(1,Inputs!$E$13)*Inputs!$E$14</f>
        <v>21.168</v>
      </c>
      <c r="AF8" s="113" t="n">
        <f aca="false">-AF35/MAX(1,Inputs!$E$13)*Inputs!$E$14</f>
        <v>21.168</v>
      </c>
      <c r="AG8" s="113" t="n">
        <f aca="false">-AG35/MAX(1,Inputs!$E$13)*Inputs!$E$14</f>
        <v>21.168</v>
      </c>
      <c r="AH8" s="113" t="n">
        <f aca="false">-AH35/MAX(1,Inputs!$E$13)*Inputs!$E$14</f>
        <v>21.168</v>
      </c>
      <c r="AI8" s="113" t="n">
        <f aca="false">-AI35/MAX(1,Inputs!$E$13)*Inputs!$E$14</f>
        <v>21.168</v>
      </c>
      <c r="AJ8" s="113" t="n">
        <f aca="false">-AJ35/MAX(1,Inputs!$E$13)*Inputs!$E$14</f>
        <v>21.168</v>
      </c>
      <c r="AK8" s="113" t="n">
        <f aca="false">-AK35/MAX(1,Inputs!$E$13)*Inputs!$E$14</f>
        <v>21.168</v>
      </c>
      <c r="AL8" s="113" t="n">
        <f aca="false">-AL35/MAX(1,Inputs!$E$13)*Inputs!$E$14</f>
        <v>21.168</v>
      </c>
    </row>
    <row r="9" customFormat="false" ht="15" hidden="false" customHeight="false" outlineLevel="0" collapsed="false">
      <c r="A9" s="6" t="s">
        <v>373</v>
      </c>
      <c r="C9" s="113" t="n">
        <f aca="false">Inputs!$E$9*(1+Inputs!$E$10)^(C$5-1)*1</f>
        <v>15</v>
      </c>
      <c r="D9" s="113" t="n">
        <f aca="false">Inputs!$E$9*(1+Inputs!$E$10)^(D$5-1)*1</f>
        <v>15</v>
      </c>
      <c r="E9" s="113" t="n">
        <f aca="false">Inputs!$E$9*(1+Inputs!$E$10)^(E$5-1)*1</f>
        <v>15</v>
      </c>
      <c r="F9" s="113" t="n">
        <f aca="false">Inputs!$E$9*(1+Inputs!$E$10)^(F$5-1)*1</f>
        <v>15</v>
      </c>
      <c r="G9" s="113" t="n">
        <f aca="false">Inputs!$E$9*(1+Inputs!$E$10)^(G$5-1)*1</f>
        <v>15</v>
      </c>
      <c r="H9" s="113" t="n">
        <f aca="false">Inputs!$E$9*(1+Inputs!$E$10)^(H$5-1)*1</f>
        <v>15</v>
      </c>
      <c r="I9" s="113" t="n">
        <f aca="false">Inputs!$E$9*(1+Inputs!$E$10)^(I$5-1)*1</f>
        <v>15</v>
      </c>
      <c r="J9" s="113" t="n">
        <f aca="false">Inputs!$E$9*(1+Inputs!$E$10)^(J$5-1)*1</f>
        <v>15</v>
      </c>
      <c r="K9" s="113" t="n">
        <f aca="false">Inputs!$E$9*(1+Inputs!$E$10)^(K$5-1)*1</f>
        <v>15</v>
      </c>
      <c r="L9" s="113" t="n">
        <f aca="false">Inputs!$E$9*(1+Inputs!$E$10)^(L$5-1)*1</f>
        <v>15</v>
      </c>
      <c r="M9" s="113" t="n">
        <f aca="false">Inputs!$E$9*(1+Inputs!$E$10)^(M$5-1)*1</f>
        <v>15</v>
      </c>
      <c r="N9" s="113" t="n">
        <f aca="false">Inputs!$E$9*(1+Inputs!$E$10)^(N$5-1)*1</f>
        <v>15</v>
      </c>
      <c r="O9" s="113" t="n">
        <f aca="false">Inputs!$E$9*(1+Inputs!$E$10)^(O$5-1)*1</f>
        <v>16.5</v>
      </c>
      <c r="P9" s="113" t="n">
        <f aca="false">Inputs!$E$9*(1+Inputs!$E$10)^(P$5-1)*1</f>
        <v>16.5</v>
      </c>
      <c r="Q9" s="113" t="n">
        <f aca="false">Inputs!$E$9*(1+Inputs!$E$10)^(Q$5-1)*1</f>
        <v>16.5</v>
      </c>
      <c r="R9" s="113" t="n">
        <f aca="false">Inputs!$E$9*(1+Inputs!$E$10)^(R$5-1)*1</f>
        <v>16.5</v>
      </c>
      <c r="S9" s="113" t="n">
        <f aca="false">Inputs!$E$9*(1+Inputs!$E$10)^(S$5-1)*1</f>
        <v>16.5</v>
      </c>
      <c r="T9" s="113" t="n">
        <f aca="false">Inputs!$E$9*(1+Inputs!$E$10)^(T$5-1)*1</f>
        <v>16.5</v>
      </c>
      <c r="U9" s="113" t="n">
        <f aca="false">Inputs!$E$9*(1+Inputs!$E$10)^(U$5-1)*1</f>
        <v>16.5</v>
      </c>
      <c r="V9" s="113" t="n">
        <f aca="false">Inputs!$E$9*(1+Inputs!$E$10)^(V$5-1)*1</f>
        <v>16.5</v>
      </c>
      <c r="W9" s="113" t="n">
        <f aca="false">Inputs!$E$9*(1+Inputs!$E$10)^(W$5-1)*1</f>
        <v>16.5</v>
      </c>
      <c r="X9" s="113" t="n">
        <f aca="false">Inputs!$E$9*(1+Inputs!$E$10)^(X$5-1)*1</f>
        <v>16.5</v>
      </c>
      <c r="Y9" s="113" t="n">
        <f aca="false">Inputs!$E$9*(1+Inputs!$E$10)^(Y$5-1)*1</f>
        <v>16.5</v>
      </c>
      <c r="Z9" s="113" t="n">
        <f aca="false">Inputs!$E$9*(1+Inputs!$E$10)^(Z$5-1)*1</f>
        <v>16.5</v>
      </c>
      <c r="AA9" s="113" t="n">
        <f aca="false">Inputs!$E$9*(1+Inputs!$E$10)^(AA$5-1)*1</f>
        <v>18.15</v>
      </c>
      <c r="AB9" s="113" t="n">
        <f aca="false">Inputs!$E$9*(1+Inputs!$E$10)^(AB$5-1)*1</f>
        <v>18.15</v>
      </c>
      <c r="AC9" s="113" t="n">
        <f aca="false">Inputs!$E$9*(1+Inputs!$E$10)^(AC$5-1)*1</f>
        <v>18.15</v>
      </c>
      <c r="AD9" s="113" t="n">
        <f aca="false">Inputs!$E$9*(1+Inputs!$E$10)^(AD$5-1)*1</f>
        <v>18.15</v>
      </c>
      <c r="AE9" s="113" t="n">
        <f aca="false">Inputs!$E$9*(1+Inputs!$E$10)^(AE$5-1)*1</f>
        <v>18.15</v>
      </c>
      <c r="AF9" s="113" t="n">
        <f aca="false">Inputs!$E$9*(1+Inputs!$E$10)^(AF$5-1)*1</f>
        <v>18.15</v>
      </c>
      <c r="AG9" s="113" t="n">
        <f aca="false">Inputs!$E$9*(1+Inputs!$E$10)^(AG$5-1)*1</f>
        <v>18.15</v>
      </c>
      <c r="AH9" s="113" t="n">
        <f aca="false">Inputs!$E$9*(1+Inputs!$E$10)^(AH$5-1)*1</f>
        <v>18.15</v>
      </c>
      <c r="AI9" s="113" t="n">
        <f aca="false">Inputs!$E$9*(1+Inputs!$E$10)^(AI$5-1)*1</f>
        <v>18.15</v>
      </c>
      <c r="AJ9" s="113" t="n">
        <f aca="false">Inputs!$E$9*(1+Inputs!$E$10)^(AJ$5-1)*1</f>
        <v>18.15</v>
      </c>
      <c r="AK9" s="113" t="n">
        <f aca="false">Inputs!$E$9*(1+Inputs!$E$10)^(AK$5-1)*1</f>
        <v>18.15</v>
      </c>
      <c r="AL9" s="113" t="n">
        <f aca="false">Inputs!$E$9*(1+Inputs!$E$10)^(AL$5-1)*1</f>
        <v>18.15</v>
      </c>
    </row>
    <row r="10" customFormat="false" ht="15" hidden="false" customHeight="false" outlineLevel="0" collapsed="false">
      <c r="A10" s="4" t="s">
        <v>374</v>
      </c>
      <c r="C10" s="114" t="n">
        <f aca="false">C8+C9</f>
        <v>34.2</v>
      </c>
      <c r="D10" s="114" t="n">
        <f aca="false">D8+D9</f>
        <v>34.2</v>
      </c>
      <c r="E10" s="114" t="n">
        <f aca="false">E8+E9</f>
        <v>34.2</v>
      </c>
      <c r="F10" s="114" t="n">
        <f aca="false">F8+F9</f>
        <v>34.2</v>
      </c>
      <c r="G10" s="114" t="n">
        <f aca="false">G8+G9</f>
        <v>34.2</v>
      </c>
      <c r="H10" s="114" t="n">
        <f aca="false">H8+H9</f>
        <v>34.2</v>
      </c>
      <c r="I10" s="114" t="n">
        <f aca="false">I8+I9</f>
        <v>34.2</v>
      </c>
      <c r="J10" s="114" t="n">
        <f aca="false">J8+J9</f>
        <v>34.2</v>
      </c>
      <c r="K10" s="114" t="n">
        <f aca="false">K8+K9</f>
        <v>34.2</v>
      </c>
      <c r="L10" s="114" t="n">
        <f aca="false">L8+L9</f>
        <v>34.2</v>
      </c>
      <c r="M10" s="114" t="n">
        <f aca="false">M8+M9</f>
        <v>34.2</v>
      </c>
      <c r="N10" s="114" t="n">
        <f aca="false">N8+N9</f>
        <v>34.2</v>
      </c>
      <c r="O10" s="114" t="n">
        <f aca="false">O8+O9</f>
        <v>36.66</v>
      </c>
      <c r="P10" s="114" t="n">
        <f aca="false">P8+P9</f>
        <v>36.66</v>
      </c>
      <c r="Q10" s="114" t="n">
        <f aca="false">Q8+Q9</f>
        <v>36.66</v>
      </c>
      <c r="R10" s="114" t="n">
        <f aca="false">R8+R9</f>
        <v>36.66</v>
      </c>
      <c r="S10" s="114" t="n">
        <f aca="false">S8+S9</f>
        <v>36.66</v>
      </c>
      <c r="T10" s="114" t="n">
        <f aca="false">T8+T9</f>
        <v>36.66</v>
      </c>
      <c r="U10" s="114" t="n">
        <f aca="false">U8+U9</f>
        <v>36.66</v>
      </c>
      <c r="V10" s="114" t="n">
        <f aca="false">V8+V9</f>
        <v>36.66</v>
      </c>
      <c r="W10" s="114" t="n">
        <f aca="false">W8+W9</f>
        <v>36.66</v>
      </c>
      <c r="X10" s="114" t="n">
        <f aca="false">X8+X9</f>
        <v>36.66</v>
      </c>
      <c r="Y10" s="114" t="n">
        <f aca="false">Y8+Y9</f>
        <v>36.66</v>
      </c>
      <c r="Z10" s="114" t="n">
        <f aca="false">Z8+Z9</f>
        <v>36.66</v>
      </c>
      <c r="AA10" s="114" t="n">
        <f aca="false">AA8+AA9</f>
        <v>39.318</v>
      </c>
      <c r="AB10" s="114" t="n">
        <f aca="false">AB8+AB9</f>
        <v>39.318</v>
      </c>
      <c r="AC10" s="114" t="n">
        <f aca="false">AC8+AC9</f>
        <v>39.318</v>
      </c>
      <c r="AD10" s="114" t="n">
        <f aca="false">AD8+AD9</f>
        <v>39.318</v>
      </c>
      <c r="AE10" s="114" t="n">
        <f aca="false">AE8+AE9</f>
        <v>39.318</v>
      </c>
      <c r="AF10" s="114" t="n">
        <f aca="false">AF8+AF9</f>
        <v>39.318</v>
      </c>
      <c r="AG10" s="114" t="n">
        <f aca="false">AG8+AG9</f>
        <v>39.318</v>
      </c>
      <c r="AH10" s="114" t="n">
        <f aca="false">AH8+AH9</f>
        <v>39.318</v>
      </c>
      <c r="AI10" s="114" t="n">
        <f aca="false">AI8+AI9</f>
        <v>39.318</v>
      </c>
      <c r="AJ10" s="114" t="n">
        <f aca="false">AJ8+AJ9</f>
        <v>39.318</v>
      </c>
      <c r="AK10" s="114" t="n">
        <f aca="false">AK8+AK9</f>
        <v>39.318</v>
      </c>
      <c r="AL10" s="114" t="n">
        <f aca="false">AL8+AL9</f>
        <v>39.318</v>
      </c>
    </row>
    <row r="11" customFormat="false" ht="15" hidden="false" customHeight="false" outlineLevel="0" collapsed="false">
      <c r="A11" s="6" t="s">
        <v>375</v>
      </c>
      <c r="C11" s="115" t="n">
        <f aca="false">Inputs!$E$7</f>
        <v>120</v>
      </c>
      <c r="D11" s="113" t="n">
        <f aca="false">C14</f>
        <v>147</v>
      </c>
      <c r="E11" s="113" t="n">
        <f aca="false">D14</f>
        <v>172.38</v>
      </c>
      <c r="F11" s="113" t="n">
        <f aca="false">E14</f>
        <v>196.2372</v>
      </c>
      <c r="G11" s="113" t="n">
        <f aca="false">F14</f>
        <v>218.662968</v>
      </c>
      <c r="H11" s="113" t="n">
        <f aca="false">G14</f>
        <v>239.74318992</v>
      </c>
      <c r="I11" s="113" t="n">
        <f aca="false">H14</f>
        <v>259.5585985248</v>
      </c>
      <c r="J11" s="113" t="n">
        <f aca="false">I14</f>
        <v>278.185082613312</v>
      </c>
      <c r="K11" s="113" t="n">
        <f aca="false">J14</f>
        <v>295.693977656513</v>
      </c>
      <c r="L11" s="113" t="n">
        <f aca="false">K14</f>
        <v>312.152338997122</v>
      </c>
      <c r="M11" s="113" t="n">
        <f aca="false">L14</f>
        <v>327.623198657295</v>
      </c>
      <c r="N11" s="113" t="n">
        <f aca="false">M14</f>
        <v>342.165806737857</v>
      </c>
      <c r="O11" s="113" t="n">
        <f aca="false">N14</f>
        <v>355.835858333586</v>
      </c>
      <c r="P11" s="113" t="n">
        <f aca="false">O14</f>
        <v>371.145706833571</v>
      </c>
      <c r="Q11" s="113" t="n">
        <f aca="false">P14</f>
        <v>385.536964423556</v>
      </c>
      <c r="R11" s="113" t="n">
        <f aca="false">Q14</f>
        <v>399.064746558143</v>
      </c>
      <c r="S11" s="113" t="n">
        <f aca="false">R14</f>
        <v>411.780861764654</v>
      </c>
      <c r="T11" s="113" t="n">
        <f aca="false">S14</f>
        <v>423.734010058775</v>
      </c>
      <c r="U11" s="113" t="n">
        <f aca="false">T14</f>
        <v>434.969969455249</v>
      </c>
      <c r="V11" s="113" t="n">
        <f aca="false">U14</f>
        <v>445.531771287934</v>
      </c>
      <c r="W11" s="113" t="n">
        <f aca="false">V14</f>
        <v>450</v>
      </c>
      <c r="X11" s="113" t="n">
        <f aca="false">W14</f>
        <v>450</v>
      </c>
      <c r="Y11" s="113" t="n">
        <f aca="false">X14</f>
        <v>450</v>
      </c>
      <c r="Z11" s="113" t="n">
        <f aca="false">Y14</f>
        <v>450</v>
      </c>
      <c r="AA11" s="113" t="n">
        <f aca="false">Z14</f>
        <v>450</v>
      </c>
      <c r="AB11" s="113" t="n">
        <f aca="false">AA14</f>
        <v>450</v>
      </c>
      <c r="AC11" s="113" t="n">
        <f aca="false">AB14</f>
        <v>450</v>
      </c>
      <c r="AD11" s="113" t="n">
        <f aca="false">AC14</f>
        <v>450</v>
      </c>
      <c r="AE11" s="113" t="n">
        <f aca="false">AD14</f>
        <v>450</v>
      </c>
      <c r="AF11" s="113" t="n">
        <f aca="false">AE14</f>
        <v>450</v>
      </c>
      <c r="AG11" s="113" t="n">
        <f aca="false">AF14</f>
        <v>450</v>
      </c>
      <c r="AH11" s="113" t="n">
        <f aca="false">AG14</f>
        <v>450</v>
      </c>
      <c r="AI11" s="113" t="n">
        <f aca="false">AH14</f>
        <v>450</v>
      </c>
      <c r="AJ11" s="113" t="n">
        <f aca="false">AI14</f>
        <v>450</v>
      </c>
      <c r="AK11" s="113" t="n">
        <f aca="false">AJ14</f>
        <v>450</v>
      </c>
      <c r="AL11" s="113" t="n">
        <f aca="false">AK14</f>
        <v>450</v>
      </c>
    </row>
    <row r="12" customFormat="false" ht="15" hidden="false" customHeight="false" outlineLevel="0" collapsed="false">
      <c r="A12" s="6" t="s">
        <v>376</v>
      </c>
      <c r="C12" s="113" t="n">
        <f aca="false">-C11*Inputs!$E$15</f>
        <v>-7.2</v>
      </c>
      <c r="D12" s="113" t="n">
        <f aca="false">-D11*Inputs!$E$15</f>
        <v>-8.82</v>
      </c>
      <c r="E12" s="113" t="n">
        <f aca="false">-E11*Inputs!$E$15</f>
        <v>-10.3428</v>
      </c>
      <c r="F12" s="113" t="n">
        <f aca="false">-F11*Inputs!$E$15</f>
        <v>-11.774232</v>
      </c>
      <c r="G12" s="113" t="n">
        <f aca="false">-G11*Inputs!$E$15</f>
        <v>-13.11977808</v>
      </c>
      <c r="H12" s="113" t="n">
        <f aca="false">-H11*Inputs!$E$15</f>
        <v>-14.3845913952</v>
      </c>
      <c r="I12" s="113" t="n">
        <f aca="false">-I11*Inputs!$E$15</f>
        <v>-15.573515911488</v>
      </c>
      <c r="J12" s="113" t="n">
        <f aca="false">-J11*Inputs!$E$15</f>
        <v>-16.6911049567987</v>
      </c>
      <c r="K12" s="113" t="n">
        <f aca="false">-K11*Inputs!$E$15</f>
        <v>-17.7416386593908</v>
      </c>
      <c r="L12" s="113" t="n">
        <f aca="false">-L11*Inputs!$E$15</f>
        <v>-18.7291403398273</v>
      </c>
      <c r="M12" s="113" t="n">
        <f aca="false">-M11*Inputs!$E$15</f>
        <v>-19.6573919194377</v>
      </c>
      <c r="N12" s="113" t="n">
        <f aca="false">-N11*Inputs!$E$15</f>
        <v>-20.5299484042714</v>
      </c>
      <c r="O12" s="113" t="n">
        <f aca="false">-O11*Inputs!$E$15</f>
        <v>-21.3501515000151</v>
      </c>
      <c r="P12" s="113" t="n">
        <f aca="false">-P11*Inputs!$E$15</f>
        <v>-22.2687424100142</v>
      </c>
      <c r="Q12" s="113" t="n">
        <f aca="false">-Q11*Inputs!$E$15</f>
        <v>-23.1322178654134</v>
      </c>
      <c r="R12" s="113" t="n">
        <f aca="false">-R11*Inputs!$E$15</f>
        <v>-23.9438847934886</v>
      </c>
      <c r="S12" s="113" t="n">
        <f aca="false">-S11*Inputs!$E$15</f>
        <v>-24.7068517058793</v>
      </c>
      <c r="T12" s="113" t="n">
        <f aca="false">-T11*Inputs!$E$15</f>
        <v>-25.4240406035265</v>
      </c>
      <c r="U12" s="113" t="n">
        <f aca="false">-U11*Inputs!$E$15</f>
        <v>-26.0981981673149</v>
      </c>
      <c r="V12" s="113" t="n">
        <f aca="false">-V11*Inputs!$E$15</f>
        <v>-26.731906277276</v>
      </c>
      <c r="W12" s="113" t="n">
        <f aca="false">-W11*Inputs!$E$15</f>
        <v>-27</v>
      </c>
      <c r="X12" s="113" t="n">
        <f aca="false">-X11*Inputs!$E$15</f>
        <v>-27</v>
      </c>
      <c r="Y12" s="113" t="n">
        <f aca="false">-Y11*Inputs!$E$15</f>
        <v>-27</v>
      </c>
      <c r="Z12" s="113" t="n">
        <f aca="false">-Z11*Inputs!$E$15</f>
        <v>-27</v>
      </c>
      <c r="AA12" s="113" t="n">
        <f aca="false">-AA11*Inputs!$E$15</f>
        <v>-27</v>
      </c>
      <c r="AB12" s="113" t="n">
        <f aca="false">-AB11*Inputs!$E$15</f>
        <v>-27</v>
      </c>
      <c r="AC12" s="113" t="n">
        <f aca="false">-AC11*Inputs!$E$15</f>
        <v>-27</v>
      </c>
      <c r="AD12" s="113" t="n">
        <f aca="false">-AD11*Inputs!$E$15</f>
        <v>-27</v>
      </c>
      <c r="AE12" s="113" t="n">
        <f aca="false">-AE11*Inputs!$E$15</f>
        <v>-27</v>
      </c>
      <c r="AF12" s="113" t="n">
        <f aca="false">-AF11*Inputs!$E$15</f>
        <v>-27</v>
      </c>
      <c r="AG12" s="113" t="n">
        <f aca="false">-AG11*Inputs!$E$15</f>
        <v>-27</v>
      </c>
      <c r="AH12" s="113" t="n">
        <f aca="false">-AH11*Inputs!$E$15</f>
        <v>-27</v>
      </c>
      <c r="AI12" s="113" t="n">
        <f aca="false">-AI11*Inputs!$E$15</f>
        <v>-27</v>
      </c>
      <c r="AJ12" s="113" t="n">
        <f aca="false">-AJ11*Inputs!$E$15</f>
        <v>-27</v>
      </c>
      <c r="AK12" s="113" t="n">
        <f aca="false">-AK11*Inputs!$E$15</f>
        <v>-27</v>
      </c>
      <c r="AL12" s="113" t="n">
        <f aca="false">-AL11*Inputs!$E$15</f>
        <v>-27</v>
      </c>
    </row>
    <row r="13" customFormat="false" ht="15" hidden="false" customHeight="false" outlineLevel="0" collapsed="false">
      <c r="A13" s="116" t="s">
        <v>377</v>
      </c>
      <c r="C13" s="113" t="n">
        <f aca="false">C11*(1-Inputs!$E$15)+C10</f>
        <v>147</v>
      </c>
      <c r="D13" s="113" t="n">
        <f aca="false">D11*(1-Inputs!$E$15)+D10</f>
        <v>172.38</v>
      </c>
      <c r="E13" s="113" t="n">
        <f aca="false">E11*(1-Inputs!$E$15)+E10</f>
        <v>196.2372</v>
      </c>
      <c r="F13" s="113" t="n">
        <f aca="false">F11*(1-Inputs!$E$15)+F10</f>
        <v>218.662968</v>
      </c>
      <c r="G13" s="113" t="n">
        <f aca="false">G11*(1-Inputs!$E$15)+G10</f>
        <v>239.74318992</v>
      </c>
      <c r="H13" s="113" t="n">
        <f aca="false">H11*(1-Inputs!$E$15)+H10</f>
        <v>259.5585985248</v>
      </c>
      <c r="I13" s="113" t="n">
        <f aca="false">I11*(1-Inputs!$E$15)+I10</f>
        <v>278.185082613312</v>
      </c>
      <c r="J13" s="113" t="n">
        <f aca="false">J11*(1-Inputs!$E$15)+J10</f>
        <v>295.693977656513</v>
      </c>
      <c r="K13" s="113" t="n">
        <f aca="false">K11*(1-Inputs!$E$15)+K10</f>
        <v>312.152338997122</v>
      </c>
      <c r="L13" s="113" t="n">
        <f aca="false">L11*(1-Inputs!$E$15)+L10</f>
        <v>327.623198657295</v>
      </c>
      <c r="M13" s="113" t="n">
        <f aca="false">M11*(1-Inputs!$E$15)+M10</f>
        <v>342.165806737857</v>
      </c>
      <c r="N13" s="113" t="n">
        <f aca="false">N11*(1-Inputs!$E$15)+N10</f>
        <v>355.835858333586</v>
      </c>
      <c r="O13" s="113" t="n">
        <f aca="false">O11*(1-Inputs!$E$15)+O10</f>
        <v>371.145706833571</v>
      </c>
      <c r="P13" s="113" t="n">
        <f aca="false">P11*(1-Inputs!$E$15)+P10</f>
        <v>385.536964423556</v>
      </c>
      <c r="Q13" s="113" t="n">
        <f aca="false">Q11*(1-Inputs!$E$15)+Q10</f>
        <v>399.064746558143</v>
      </c>
      <c r="R13" s="113" t="n">
        <f aca="false">R11*(1-Inputs!$E$15)+R10</f>
        <v>411.780861764654</v>
      </c>
      <c r="S13" s="113" t="n">
        <f aca="false">S11*(1-Inputs!$E$15)+S10</f>
        <v>423.734010058775</v>
      </c>
      <c r="T13" s="113" t="n">
        <f aca="false">T11*(1-Inputs!$E$15)+T10</f>
        <v>434.969969455249</v>
      </c>
      <c r="U13" s="113" t="n">
        <f aca="false">U11*(1-Inputs!$E$15)+U10</f>
        <v>445.531771287934</v>
      </c>
      <c r="V13" s="113" t="n">
        <f aca="false">V11*(1-Inputs!$E$15)+V10</f>
        <v>455.459865010658</v>
      </c>
      <c r="W13" s="113" t="n">
        <f aca="false">W11*(1-Inputs!$E$15)+W10</f>
        <v>459.66</v>
      </c>
      <c r="X13" s="113" t="n">
        <f aca="false">X11*(1-Inputs!$E$15)+X10</f>
        <v>459.66</v>
      </c>
      <c r="Y13" s="113" t="n">
        <f aca="false">Y11*(1-Inputs!$E$15)+Y10</f>
        <v>459.66</v>
      </c>
      <c r="Z13" s="113" t="n">
        <f aca="false">Z11*(1-Inputs!$E$15)+Z10</f>
        <v>459.66</v>
      </c>
      <c r="AA13" s="113" t="n">
        <f aca="false">AA11*(1-Inputs!$E$15)+AA10</f>
        <v>462.318</v>
      </c>
      <c r="AB13" s="113" t="n">
        <f aca="false">AB11*(1-Inputs!$E$15)+AB10</f>
        <v>462.318</v>
      </c>
      <c r="AC13" s="113" t="n">
        <f aca="false">AC11*(1-Inputs!$E$15)+AC10</f>
        <v>462.318</v>
      </c>
      <c r="AD13" s="113" t="n">
        <f aca="false">AD11*(1-Inputs!$E$15)+AD10</f>
        <v>462.318</v>
      </c>
      <c r="AE13" s="113" t="n">
        <f aca="false">AE11*(1-Inputs!$E$15)+AE10</f>
        <v>462.318</v>
      </c>
      <c r="AF13" s="113" t="n">
        <f aca="false">AF11*(1-Inputs!$E$15)+AF10</f>
        <v>462.318</v>
      </c>
      <c r="AG13" s="113" t="n">
        <f aca="false">AG11*(1-Inputs!$E$15)+AG10</f>
        <v>462.318</v>
      </c>
      <c r="AH13" s="113" t="n">
        <f aca="false">AH11*(1-Inputs!$E$15)+AH10</f>
        <v>462.318</v>
      </c>
      <c r="AI13" s="113" t="n">
        <f aca="false">AI11*(1-Inputs!$E$15)+AI10</f>
        <v>462.318</v>
      </c>
      <c r="AJ13" s="113" t="n">
        <f aca="false">AJ11*(1-Inputs!$E$15)+AJ10</f>
        <v>462.318</v>
      </c>
      <c r="AK13" s="113" t="n">
        <f aca="false">AK11*(1-Inputs!$E$15)+AK10</f>
        <v>462.318</v>
      </c>
      <c r="AL13" s="113" t="n">
        <f aca="false">AL11*(1-Inputs!$E$15)+AL10</f>
        <v>462.318</v>
      </c>
    </row>
    <row r="14" customFormat="false" ht="15" hidden="false" customHeight="false" outlineLevel="0" collapsed="false">
      <c r="A14" s="4" t="s">
        <v>378</v>
      </c>
      <c r="C14" s="114" t="n">
        <f aca="false">MIN(Inputs!$E$8,C13)</f>
        <v>147</v>
      </c>
      <c r="D14" s="114" t="n">
        <f aca="false">MIN(Inputs!$E$8,D13)</f>
        <v>172.38</v>
      </c>
      <c r="E14" s="114" t="n">
        <f aca="false">MIN(Inputs!$E$8,E13)</f>
        <v>196.2372</v>
      </c>
      <c r="F14" s="114" t="n">
        <f aca="false">MIN(Inputs!$E$8,F13)</f>
        <v>218.662968</v>
      </c>
      <c r="G14" s="114" t="n">
        <f aca="false">MIN(Inputs!$E$8,G13)</f>
        <v>239.74318992</v>
      </c>
      <c r="H14" s="114" t="n">
        <f aca="false">MIN(Inputs!$E$8,H13)</f>
        <v>259.5585985248</v>
      </c>
      <c r="I14" s="114" t="n">
        <f aca="false">MIN(Inputs!$E$8,I13)</f>
        <v>278.185082613312</v>
      </c>
      <c r="J14" s="114" t="n">
        <f aca="false">MIN(Inputs!$E$8,J13)</f>
        <v>295.693977656513</v>
      </c>
      <c r="K14" s="114" t="n">
        <f aca="false">MIN(Inputs!$E$8,K13)</f>
        <v>312.152338997122</v>
      </c>
      <c r="L14" s="114" t="n">
        <f aca="false">MIN(Inputs!$E$8,L13)</f>
        <v>327.623198657295</v>
      </c>
      <c r="M14" s="114" t="n">
        <f aca="false">MIN(Inputs!$E$8,M13)</f>
        <v>342.165806737857</v>
      </c>
      <c r="N14" s="114" t="n">
        <f aca="false">MIN(Inputs!$E$8,N13)</f>
        <v>355.835858333586</v>
      </c>
      <c r="O14" s="114" t="n">
        <f aca="false">MIN(Inputs!$E$8,O13)</f>
        <v>371.145706833571</v>
      </c>
      <c r="P14" s="114" t="n">
        <f aca="false">MIN(Inputs!$E$8,P13)</f>
        <v>385.536964423556</v>
      </c>
      <c r="Q14" s="114" t="n">
        <f aca="false">MIN(Inputs!$E$8,Q13)</f>
        <v>399.064746558143</v>
      </c>
      <c r="R14" s="114" t="n">
        <f aca="false">MIN(Inputs!$E$8,R13)</f>
        <v>411.780861764654</v>
      </c>
      <c r="S14" s="114" t="n">
        <f aca="false">MIN(Inputs!$E$8,S13)</f>
        <v>423.734010058775</v>
      </c>
      <c r="T14" s="114" t="n">
        <f aca="false">MIN(Inputs!$E$8,T13)</f>
        <v>434.969969455249</v>
      </c>
      <c r="U14" s="114" t="n">
        <f aca="false">MIN(Inputs!$E$8,U13)</f>
        <v>445.531771287934</v>
      </c>
      <c r="V14" s="114" t="n">
        <f aca="false">MIN(Inputs!$E$8,V13)</f>
        <v>450</v>
      </c>
      <c r="W14" s="114" t="n">
        <f aca="false">MIN(Inputs!$E$8,W13)</f>
        <v>450</v>
      </c>
      <c r="X14" s="114" t="n">
        <f aca="false">MIN(Inputs!$E$8,X13)</f>
        <v>450</v>
      </c>
      <c r="Y14" s="114" t="n">
        <f aca="false">MIN(Inputs!$E$8,Y13)</f>
        <v>450</v>
      </c>
      <c r="Z14" s="114" t="n">
        <f aca="false">MIN(Inputs!$E$8,Z13)</f>
        <v>450</v>
      </c>
      <c r="AA14" s="114" t="n">
        <f aca="false">MIN(Inputs!$E$8,AA13)</f>
        <v>450</v>
      </c>
      <c r="AB14" s="114" t="n">
        <f aca="false">MIN(Inputs!$E$8,AB13)</f>
        <v>450</v>
      </c>
      <c r="AC14" s="114" t="n">
        <f aca="false">MIN(Inputs!$E$8,AC13)</f>
        <v>450</v>
      </c>
      <c r="AD14" s="114" t="n">
        <f aca="false">MIN(Inputs!$E$8,AD13)</f>
        <v>450</v>
      </c>
      <c r="AE14" s="114" t="n">
        <f aca="false">MIN(Inputs!$E$8,AE13)</f>
        <v>450</v>
      </c>
      <c r="AF14" s="114" t="n">
        <f aca="false">MIN(Inputs!$E$8,AF13)</f>
        <v>450</v>
      </c>
      <c r="AG14" s="114" t="n">
        <f aca="false">MIN(Inputs!$E$8,AG13)</f>
        <v>450</v>
      </c>
      <c r="AH14" s="114" t="n">
        <f aca="false">MIN(Inputs!$E$8,AH13)</f>
        <v>450</v>
      </c>
      <c r="AI14" s="114" t="n">
        <f aca="false">MIN(Inputs!$E$8,AI13)</f>
        <v>450</v>
      </c>
      <c r="AJ14" s="114" t="n">
        <f aca="false">MIN(Inputs!$E$8,AJ13)</f>
        <v>450</v>
      </c>
      <c r="AK14" s="114" t="n">
        <f aca="false">MIN(Inputs!$E$8,AK13)</f>
        <v>450</v>
      </c>
      <c r="AL14" s="114" t="n">
        <f aca="false">MIN(Inputs!$E$8,AL13)</f>
        <v>450</v>
      </c>
    </row>
    <row r="15" customFormat="false" ht="15" hidden="false" customHeight="false" outlineLevel="0" collapsed="false">
      <c r="A15" s="6" t="s">
        <v>232</v>
      </c>
      <c r="C15" s="113" t="n">
        <f aca="false">C13-C14</f>
        <v>0</v>
      </c>
      <c r="D15" s="113" t="n">
        <f aca="false">D13-D14</f>
        <v>0</v>
      </c>
      <c r="E15" s="113" t="n">
        <f aca="false">E13-E14</f>
        <v>0</v>
      </c>
      <c r="F15" s="113" t="n">
        <f aca="false">F13-F14</f>
        <v>0</v>
      </c>
      <c r="G15" s="113" t="n">
        <f aca="false">G13-G14</f>
        <v>0</v>
      </c>
      <c r="H15" s="113" t="n">
        <f aca="false">H13-H14</f>
        <v>0</v>
      </c>
      <c r="I15" s="113" t="n">
        <f aca="false">I13-I14</f>
        <v>0</v>
      </c>
      <c r="J15" s="113" t="n">
        <f aca="false">J13-J14</f>
        <v>0</v>
      </c>
      <c r="K15" s="113" t="n">
        <f aca="false">K13-K14</f>
        <v>0</v>
      </c>
      <c r="L15" s="113" t="n">
        <f aca="false">L13-L14</f>
        <v>0</v>
      </c>
      <c r="M15" s="113" t="n">
        <f aca="false">M13-M14</f>
        <v>0</v>
      </c>
      <c r="N15" s="113" t="n">
        <f aca="false">N13-N14</f>
        <v>0</v>
      </c>
      <c r="O15" s="113" t="n">
        <f aca="false">O13-O14</f>
        <v>0</v>
      </c>
      <c r="P15" s="113" t="n">
        <f aca="false">P13-P14</f>
        <v>0</v>
      </c>
      <c r="Q15" s="113" t="n">
        <f aca="false">Q13-Q14</f>
        <v>0</v>
      </c>
      <c r="R15" s="113" t="n">
        <f aca="false">R13-R14</f>
        <v>0</v>
      </c>
      <c r="S15" s="113" t="n">
        <f aca="false">S13-S14</f>
        <v>0</v>
      </c>
      <c r="T15" s="113" t="n">
        <f aca="false">T13-T14</f>
        <v>0</v>
      </c>
      <c r="U15" s="113" t="n">
        <f aca="false">U13-U14</f>
        <v>0</v>
      </c>
      <c r="V15" s="113" t="n">
        <f aca="false">V13-V14</f>
        <v>5.45986501065761</v>
      </c>
      <c r="W15" s="113" t="n">
        <f aca="false">W13-W14</f>
        <v>9.65999999999997</v>
      </c>
      <c r="X15" s="113" t="n">
        <f aca="false">X13-X14</f>
        <v>9.65999999999997</v>
      </c>
      <c r="Y15" s="113" t="n">
        <f aca="false">Y13-Y14</f>
        <v>9.65999999999997</v>
      </c>
      <c r="Z15" s="113" t="n">
        <f aca="false">Z13-Z14</f>
        <v>9.65999999999997</v>
      </c>
      <c r="AA15" s="113" t="n">
        <f aca="false">AA13-AA14</f>
        <v>12.318</v>
      </c>
      <c r="AB15" s="113" t="n">
        <f aca="false">AB13-AB14</f>
        <v>12.318</v>
      </c>
      <c r="AC15" s="113" t="n">
        <f aca="false">AC13-AC14</f>
        <v>12.318</v>
      </c>
      <c r="AD15" s="113" t="n">
        <f aca="false">AD13-AD14</f>
        <v>12.318</v>
      </c>
      <c r="AE15" s="113" t="n">
        <f aca="false">AE13-AE14</f>
        <v>12.318</v>
      </c>
      <c r="AF15" s="113" t="n">
        <f aca="false">AF13-AF14</f>
        <v>12.318</v>
      </c>
      <c r="AG15" s="113" t="n">
        <f aca="false">AG13-AG14</f>
        <v>12.318</v>
      </c>
      <c r="AH15" s="113" t="n">
        <f aca="false">AH13-AH14</f>
        <v>12.318</v>
      </c>
      <c r="AI15" s="113" t="n">
        <f aca="false">AI13-AI14</f>
        <v>12.318</v>
      </c>
      <c r="AJ15" s="113" t="n">
        <f aca="false">AJ13-AJ14</f>
        <v>12.318</v>
      </c>
      <c r="AK15" s="113" t="n">
        <f aca="false">AK13-AK14</f>
        <v>12.318</v>
      </c>
      <c r="AL15" s="113" t="n">
        <f aca="false">AL13-AL14</f>
        <v>12.318</v>
      </c>
    </row>
    <row r="16" customFormat="false" ht="15" hidden="false" customHeight="false" outlineLevel="0" collapsed="false">
      <c r="A16" s="6" t="s">
        <v>379</v>
      </c>
      <c r="C16" s="113" t="n">
        <f aca="false">(C11+C14)/2</f>
        <v>133.5</v>
      </c>
      <c r="D16" s="113" t="n">
        <f aca="false">(D11+D14)/2</f>
        <v>159.69</v>
      </c>
      <c r="E16" s="113" t="n">
        <f aca="false">(E11+E14)/2</f>
        <v>184.3086</v>
      </c>
      <c r="F16" s="113" t="n">
        <f aca="false">(F11+F14)/2</f>
        <v>207.450084</v>
      </c>
      <c r="G16" s="113" t="n">
        <f aca="false">(G11+G14)/2</f>
        <v>229.20307896</v>
      </c>
      <c r="H16" s="113" t="n">
        <f aca="false">(H11+H14)/2</f>
        <v>249.6508942224</v>
      </c>
      <c r="I16" s="113" t="n">
        <f aca="false">(I11+I14)/2</f>
        <v>268.871840569056</v>
      </c>
      <c r="J16" s="113" t="n">
        <f aca="false">(J11+J14)/2</f>
        <v>286.939530134913</v>
      </c>
      <c r="K16" s="113" t="n">
        <f aca="false">(K11+K14)/2</f>
        <v>303.923158326818</v>
      </c>
      <c r="L16" s="113" t="n">
        <f aca="false">(L11+L14)/2</f>
        <v>319.887768827209</v>
      </c>
      <c r="M16" s="113" t="n">
        <f aca="false">(M11+M14)/2</f>
        <v>334.894502697576</v>
      </c>
      <c r="N16" s="113" t="n">
        <f aca="false">(N11+N14)/2</f>
        <v>349.000832535722</v>
      </c>
      <c r="O16" s="113" t="n">
        <f aca="false">(O11+O14)/2</f>
        <v>363.490782583578</v>
      </c>
      <c r="P16" s="113" t="n">
        <f aca="false">(P11+P14)/2</f>
        <v>378.341335628564</v>
      </c>
      <c r="Q16" s="113" t="n">
        <f aca="false">(Q11+Q14)/2</f>
        <v>392.30085549085</v>
      </c>
      <c r="R16" s="113" t="n">
        <f aca="false">(R11+R14)/2</f>
        <v>405.422804161399</v>
      </c>
      <c r="S16" s="113" t="n">
        <f aca="false">(S11+S14)/2</f>
        <v>417.757435911715</v>
      </c>
      <c r="T16" s="113" t="n">
        <f aca="false">(T11+T14)/2</f>
        <v>429.351989757012</v>
      </c>
      <c r="U16" s="113" t="n">
        <f aca="false">(U11+U14)/2</f>
        <v>440.250870371591</v>
      </c>
      <c r="V16" s="113" t="n">
        <f aca="false">(V11+V14)/2</f>
        <v>447.765885643967</v>
      </c>
      <c r="W16" s="113" t="n">
        <f aca="false">(W11+W14)/2</f>
        <v>450</v>
      </c>
      <c r="X16" s="113" t="n">
        <f aca="false">(X11+X14)/2</f>
        <v>450</v>
      </c>
      <c r="Y16" s="113" t="n">
        <f aca="false">(Y11+Y14)/2</f>
        <v>450</v>
      </c>
      <c r="Z16" s="113" t="n">
        <f aca="false">(Z11+Z14)/2</f>
        <v>450</v>
      </c>
      <c r="AA16" s="113" t="n">
        <f aca="false">(AA11+AA14)/2</f>
        <v>450</v>
      </c>
      <c r="AB16" s="113" t="n">
        <f aca="false">(AB11+AB14)/2</f>
        <v>450</v>
      </c>
      <c r="AC16" s="113" t="n">
        <f aca="false">(AC11+AC14)/2</f>
        <v>450</v>
      </c>
      <c r="AD16" s="113" t="n">
        <f aca="false">(AD11+AD14)/2</f>
        <v>450</v>
      </c>
      <c r="AE16" s="113" t="n">
        <f aca="false">(AE11+AE14)/2</f>
        <v>450</v>
      </c>
      <c r="AF16" s="113" t="n">
        <f aca="false">(AF11+AF14)/2</f>
        <v>450</v>
      </c>
      <c r="AG16" s="113" t="n">
        <f aca="false">(AG11+AG14)/2</f>
        <v>450</v>
      </c>
      <c r="AH16" s="113" t="n">
        <f aca="false">(AH11+AH14)/2</f>
        <v>450</v>
      </c>
      <c r="AI16" s="113" t="n">
        <f aca="false">(AI11+AI14)/2</f>
        <v>450</v>
      </c>
      <c r="AJ16" s="113" t="n">
        <f aca="false">(AJ11+AJ14)/2</f>
        <v>450</v>
      </c>
      <c r="AK16" s="113" t="n">
        <f aca="false">(AK11+AK14)/2</f>
        <v>450</v>
      </c>
      <c r="AL16" s="113" t="n">
        <f aca="false">(AL11+AL14)/2</f>
        <v>450</v>
      </c>
    </row>
    <row r="18" customFormat="false" ht="15.75" hidden="false" customHeight="true" outlineLevel="0" collapsed="false">
      <c r="A18" s="7" t="s">
        <v>44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customFormat="false" ht="15" hidden="false" customHeight="false" outlineLevel="0" collapsed="false">
      <c r="A19" s="6" t="s">
        <v>380</v>
      </c>
      <c r="C19" s="117" t="n">
        <f aca="false">Inputs!$E$18*(1+Inputs!$E$19)^(C$5-1)</f>
        <v>99</v>
      </c>
      <c r="D19" s="117" t="n">
        <f aca="false">Inputs!$E$18*(1+Inputs!$E$19)^(D$5-1)</f>
        <v>99</v>
      </c>
      <c r="E19" s="117" t="n">
        <f aca="false">Inputs!$E$18*(1+Inputs!$E$19)^(E$5-1)</f>
        <v>99</v>
      </c>
      <c r="F19" s="117" t="n">
        <f aca="false">Inputs!$E$18*(1+Inputs!$E$19)^(F$5-1)</f>
        <v>99</v>
      </c>
      <c r="G19" s="117" t="n">
        <f aca="false">Inputs!$E$18*(1+Inputs!$E$19)^(G$5-1)</f>
        <v>99</v>
      </c>
      <c r="H19" s="117" t="n">
        <f aca="false">Inputs!$E$18*(1+Inputs!$E$19)^(H$5-1)</f>
        <v>99</v>
      </c>
      <c r="I19" s="117" t="n">
        <f aca="false">Inputs!$E$18*(1+Inputs!$E$19)^(I$5-1)</f>
        <v>99</v>
      </c>
      <c r="J19" s="117" t="n">
        <f aca="false">Inputs!$E$18*(1+Inputs!$E$19)^(J$5-1)</f>
        <v>99</v>
      </c>
      <c r="K19" s="117" t="n">
        <f aca="false">Inputs!$E$18*(1+Inputs!$E$19)^(K$5-1)</f>
        <v>99</v>
      </c>
      <c r="L19" s="117" t="n">
        <f aca="false">Inputs!$E$18*(1+Inputs!$E$19)^(L$5-1)</f>
        <v>99</v>
      </c>
      <c r="M19" s="117" t="n">
        <f aca="false">Inputs!$E$18*(1+Inputs!$E$19)^(M$5-1)</f>
        <v>99</v>
      </c>
      <c r="N19" s="117" t="n">
        <f aca="false">Inputs!$E$18*(1+Inputs!$E$19)^(N$5-1)</f>
        <v>99</v>
      </c>
      <c r="O19" s="117" t="n">
        <f aca="false">Inputs!$E$18*(1+Inputs!$E$19)^(O$5-1)</f>
        <v>101.97</v>
      </c>
      <c r="P19" s="117" t="n">
        <f aca="false">Inputs!$E$18*(1+Inputs!$E$19)^(P$5-1)</f>
        <v>101.97</v>
      </c>
      <c r="Q19" s="117" t="n">
        <f aca="false">Inputs!$E$18*(1+Inputs!$E$19)^(Q$5-1)</f>
        <v>101.97</v>
      </c>
      <c r="R19" s="117" t="n">
        <f aca="false">Inputs!$E$18*(1+Inputs!$E$19)^(R$5-1)</f>
        <v>101.97</v>
      </c>
      <c r="S19" s="117" t="n">
        <f aca="false">Inputs!$E$18*(1+Inputs!$E$19)^(S$5-1)</f>
        <v>101.97</v>
      </c>
      <c r="T19" s="117" t="n">
        <f aca="false">Inputs!$E$18*(1+Inputs!$E$19)^(T$5-1)</f>
        <v>101.97</v>
      </c>
      <c r="U19" s="117" t="n">
        <f aca="false">Inputs!$E$18*(1+Inputs!$E$19)^(U$5-1)</f>
        <v>101.97</v>
      </c>
      <c r="V19" s="117" t="n">
        <f aca="false">Inputs!$E$18*(1+Inputs!$E$19)^(V$5-1)</f>
        <v>101.97</v>
      </c>
      <c r="W19" s="117" t="n">
        <f aca="false">Inputs!$E$18*(1+Inputs!$E$19)^(W$5-1)</f>
        <v>101.97</v>
      </c>
      <c r="X19" s="117" t="n">
        <f aca="false">Inputs!$E$18*(1+Inputs!$E$19)^(X$5-1)</f>
        <v>101.97</v>
      </c>
      <c r="Y19" s="117" t="n">
        <f aca="false">Inputs!$E$18*(1+Inputs!$E$19)^(Y$5-1)</f>
        <v>101.97</v>
      </c>
      <c r="Z19" s="117" t="n">
        <f aca="false">Inputs!$E$18*(1+Inputs!$E$19)^(Z$5-1)</f>
        <v>101.97</v>
      </c>
      <c r="AA19" s="117" t="n">
        <f aca="false">Inputs!$E$18*(1+Inputs!$E$19)^(AA$5-1)</f>
        <v>105.0291</v>
      </c>
      <c r="AB19" s="117" t="n">
        <f aca="false">Inputs!$E$18*(1+Inputs!$E$19)^(AB$5-1)</f>
        <v>105.0291</v>
      </c>
      <c r="AC19" s="117" t="n">
        <f aca="false">Inputs!$E$18*(1+Inputs!$E$19)^(AC$5-1)</f>
        <v>105.0291</v>
      </c>
      <c r="AD19" s="117" t="n">
        <f aca="false">Inputs!$E$18*(1+Inputs!$E$19)^(AD$5-1)</f>
        <v>105.0291</v>
      </c>
      <c r="AE19" s="117" t="n">
        <f aca="false">Inputs!$E$18*(1+Inputs!$E$19)^(AE$5-1)</f>
        <v>105.0291</v>
      </c>
      <c r="AF19" s="117" t="n">
        <f aca="false">Inputs!$E$18*(1+Inputs!$E$19)^(AF$5-1)</f>
        <v>105.0291</v>
      </c>
      <c r="AG19" s="117" t="n">
        <f aca="false">Inputs!$E$18*(1+Inputs!$E$19)^(AG$5-1)</f>
        <v>105.0291</v>
      </c>
      <c r="AH19" s="117" t="n">
        <f aca="false">Inputs!$E$18*(1+Inputs!$E$19)^(AH$5-1)</f>
        <v>105.0291</v>
      </c>
      <c r="AI19" s="117" t="n">
        <f aca="false">Inputs!$E$18*(1+Inputs!$E$19)^(AI$5-1)</f>
        <v>105.0291</v>
      </c>
      <c r="AJ19" s="117" t="n">
        <f aca="false">Inputs!$E$18*(1+Inputs!$E$19)^(AJ$5-1)</f>
        <v>105.0291</v>
      </c>
      <c r="AK19" s="117" t="n">
        <f aca="false">Inputs!$E$18*(1+Inputs!$E$19)^(AK$5-1)</f>
        <v>105.0291</v>
      </c>
      <c r="AL19" s="117" t="n">
        <f aca="false">Inputs!$E$18*(1+Inputs!$E$19)^(AL$5-1)</f>
        <v>105.0291</v>
      </c>
    </row>
    <row r="20" customFormat="false" ht="15" hidden="false" customHeight="false" outlineLevel="0" collapsed="false">
      <c r="A20" s="6" t="s">
        <v>236</v>
      </c>
      <c r="C20" s="66" t="n">
        <f aca="false">C16*C19*1</f>
        <v>13216.5</v>
      </c>
      <c r="D20" s="66" t="n">
        <f aca="false">D16*D19*1</f>
        <v>15809.31</v>
      </c>
      <c r="E20" s="66" t="n">
        <f aca="false">E16*E19*1</f>
        <v>18246.5514</v>
      </c>
      <c r="F20" s="66" t="n">
        <f aca="false">F16*F19*1</f>
        <v>20537.558316</v>
      </c>
      <c r="G20" s="66" t="n">
        <f aca="false">G16*G19*1</f>
        <v>22691.10481704</v>
      </c>
      <c r="H20" s="66" t="n">
        <f aca="false">H16*H19*1</f>
        <v>24715.4385280176</v>
      </c>
      <c r="I20" s="66" t="n">
        <f aca="false">I16*I19*1</f>
        <v>26618.3122163365</v>
      </c>
      <c r="J20" s="66" t="n">
        <f aca="false">J16*J19*1</f>
        <v>28407.0134833563</v>
      </c>
      <c r="K20" s="66" t="n">
        <f aca="false">K16*K19*1</f>
        <v>30088.392674355</v>
      </c>
      <c r="L20" s="66" t="n">
        <f aca="false">L16*L19*1</f>
        <v>31668.8891138937</v>
      </c>
      <c r="M20" s="66" t="n">
        <f aca="false">M16*M19*1</f>
        <v>33154.55576706</v>
      </c>
      <c r="N20" s="66" t="n">
        <f aca="false">N16*N19*1</f>
        <v>34551.0824210364</v>
      </c>
      <c r="O20" s="66" t="n">
        <f aca="false">O16*O19*1</f>
        <v>37065.1551000475</v>
      </c>
      <c r="P20" s="66" t="n">
        <f aca="false">P16*P19*1</f>
        <v>38579.4659940446</v>
      </c>
      <c r="Q20" s="66" t="n">
        <f aca="false">Q16*Q19*1</f>
        <v>40002.9182344019</v>
      </c>
      <c r="R20" s="66" t="n">
        <f aca="false">R16*R19*1</f>
        <v>41340.9633403378</v>
      </c>
      <c r="S20" s="66" t="n">
        <f aca="false">S16*S19*1</f>
        <v>42598.7257399176</v>
      </c>
      <c r="T20" s="66" t="n">
        <f aca="false">T16*T19*1</f>
        <v>43781.0223955225</v>
      </c>
      <c r="U20" s="66" t="n">
        <f aca="false">U16*U19*1</f>
        <v>44892.3812517912</v>
      </c>
      <c r="V20" s="66" t="n">
        <f aca="false">V16*V19*1</f>
        <v>45658.6873591153</v>
      </c>
      <c r="W20" s="66" t="n">
        <f aca="false">W16*W19*1</f>
        <v>45886.5</v>
      </c>
      <c r="X20" s="66" t="n">
        <f aca="false">X16*X19*1</f>
        <v>45886.5</v>
      </c>
      <c r="Y20" s="66" t="n">
        <f aca="false">Y16*Y19*1</f>
        <v>45886.5</v>
      </c>
      <c r="Z20" s="66" t="n">
        <f aca="false">Z16*Z19*1</f>
        <v>45886.5</v>
      </c>
      <c r="AA20" s="66" t="n">
        <f aca="false">AA16*AA19*1</f>
        <v>47263.095</v>
      </c>
      <c r="AB20" s="66" t="n">
        <f aca="false">AB16*AB19*1</f>
        <v>47263.095</v>
      </c>
      <c r="AC20" s="66" t="n">
        <f aca="false">AC16*AC19*1</f>
        <v>47263.095</v>
      </c>
      <c r="AD20" s="66" t="n">
        <f aca="false">AD16*AD19*1</f>
        <v>47263.095</v>
      </c>
      <c r="AE20" s="66" t="n">
        <f aca="false">AE16*AE19*1</f>
        <v>47263.095</v>
      </c>
      <c r="AF20" s="66" t="n">
        <f aca="false">AF16*AF19*1</f>
        <v>47263.095</v>
      </c>
      <c r="AG20" s="66" t="n">
        <f aca="false">AG16*AG19*1</f>
        <v>47263.095</v>
      </c>
      <c r="AH20" s="66" t="n">
        <f aca="false">AH16*AH19*1</f>
        <v>47263.095</v>
      </c>
      <c r="AI20" s="66" t="n">
        <f aca="false">AI16*AI19*1</f>
        <v>47263.095</v>
      </c>
      <c r="AJ20" s="66" t="n">
        <f aca="false">AJ16*AJ19*1</f>
        <v>47263.095</v>
      </c>
      <c r="AK20" s="66" t="n">
        <f aca="false">AK16*AK19*1</f>
        <v>47263.095</v>
      </c>
      <c r="AL20" s="66" t="n">
        <f aca="false">AL16*AL19*1</f>
        <v>47263.095</v>
      </c>
    </row>
    <row r="21" customFormat="false" ht="15" hidden="false" customHeight="false" outlineLevel="0" collapsed="false">
      <c r="A21" s="6" t="s">
        <v>381</v>
      </c>
      <c r="C21" s="66" t="n">
        <f aca="false">(C10-C15)*Inputs!$E$20*(1+Inputs!$E$19)^(C$5-1)</f>
        <v>1675.8</v>
      </c>
      <c r="D21" s="66" t="n">
        <f aca="false">(D10-D15)*Inputs!$E$20*(1+Inputs!$E$19)^(D$5-1)</f>
        <v>1675.8</v>
      </c>
      <c r="E21" s="66" t="n">
        <f aca="false">(E10-E15)*Inputs!$E$20*(1+Inputs!$E$19)^(E$5-1)</f>
        <v>1675.8</v>
      </c>
      <c r="F21" s="66" t="n">
        <f aca="false">(F10-F15)*Inputs!$E$20*(1+Inputs!$E$19)^(F$5-1)</f>
        <v>1675.8</v>
      </c>
      <c r="G21" s="66" t="n">
        <f aca="false">(G10-G15)*Inputs!$E$20*(1+Inputs!$E$19)^(G$5-1)</f>
        <v>1675.8</v>
      </c>
      <c r="H21" s="66" t="n">
        <f aca="false">(H10-H15)*Inputs!$E$20*(1+Inputs!$E$19)^(H$5-1)</f>
        <v>1675.8</v>
      </c>
      <c r="I21" s="66" t="n">
        <f aca="false">(I10-I15)*Inputs!$E$20*(1+Inputs!$E$19)^(I$5-1)</f>
        <v>1675.8</v>
      </c>
      <c r="J21" s="66" t="n">
        <f aca="false">(J10-J15)*Inputs!$E$20*(1+Inputs!$E$19)^(J$5-1)</f>
        <v>1675.8</v>
      </c>
      <c r="K21" s="66" t="n">
        <f aca="false">(K10-K15)*Inputs!$E$20*(1+Inputs!$E$19)^(K$5-1)</f>
        <v>1675.8</v>
      </c>
      <c r="L21" s="66" t="n">
        <f aca="false">(L10-L15)*Inputs!$E$20*(1+Inputs!$E$19)^(L$5-1)</f>
        <v>1675.8</v>
      </c>
      <c r="M21" s="66" t="n">
        <f aca="false">(M10-M15)*Inputs!$E$20*(1+Inputs!$E$19)^(M$5-1)</f>
        <v>1675.8</v>
      </c>
      <c r="N21" s="66" t="n">
        <f aca="false">(N10-N15)*Inputs!$E$20*(1+Inputs!$E$19)^(N$5-1)</f>
        <v>1675.8</v>
      </c>
      <c r="O21" s="66" t="n">
        <f aca="false">(O10-O15)*Inputs!$E$20*(1+Inputs!$E$19)^(O$5-1)</f>
        <v>1850.2302</v>
      </c>
      <c r="P21" s="66" t="n">
        <f aca="false">(P10-P15)*Inputs!$E$20*(1+Inputs!$E$19)^(P$5-1)</f>
        <v>1850.2302</v>
      </c>
      <c r="Q21" s="66" t="n">
        <f aca="false">(Q10-Q15)*Inputs!$E$20*(1+Inputs!$E$19)^(Q$5-1)</f>
        <v>1850.2302</v>
      </c>
      <c r="R21" s="66" t="n">
        <f aca="false">(R10-R15)*Inputs!$E$20*(1+Inputs!$E$19)^(R$5-1)</f>
        <v>1850.2302</v>
      </c>
      <c r="S21" s="66" t="n">
        <f aca="false">(S10-S15)*Inputs!$E$20*(1+Inputs!$E$19)^(S$5-1)</f>
        <v>1850.2302</v>
      </c>
      <c r="T21" s="66" t="n">
        <f aca="false">(T10-T15)*Inputs!$E$20*(1+Inputs!$E$19)^(T$5-1)</f>
        <v>1850.2302</v>
      </c>
      <c r="U21" s="66" t="n">
        <f aca="false">(U10-U15)*Inputs!$E$20*(1+Inputs!$E$19)^(U$5-1)</f>
        <v>1850.2302</v>
      </c>
      <c r="V21" s="66" t="n">
        <f aca="false">(V10-V15)*Inputs!$E$20*(1+Inputs!$E$19)^(V$5-1)</f>
        <v>1574.67081291211</v>
      </c>
      <c r="W21" s="66" t="n">
        <f aca="false">(W10-W15)*Inputs!$E$20*(1+Inputs!$E$19)^(W$5-1)</f>
        <v>1362.69</v>
      </c>
      <c r="X21" s="66" t="n">
        <f aca="false">(X10-X15)*Inputs!$E$20*(1+Inputs!$E$19)^(X$5-1)</f>
        <v>1362.69</v>
      </c>
      <c r="Y21" s="66" t="n">
        <f aca="false">(Y10-Y15)*Inputs!$E$20*(1+Inputs!$E$19)^(Y$5-1)</f>
        <v>1362.69</v>
      </c>
      <c r="Z21" s="66" t="n">
        <f aca="false">(Z10-Z15)*Inputs!$E$20*(1+Inputs!$E$19)^(Z$5-1)</f>
        <v>1362.69</v>
      </c>
      <c r="AA21" s="66" t="n">
        <f aca="false">(AA10-AA15)*Inputs!$E$20*(1+Inputs!$E$19)^(AA$5-1)</f>
        <v>1403.5707</v>
      </c>
      <c r="AB21" s="66" t="n">
        <f aca="false">(AB10-AB15)*Inputs!$E$20*(1+Inputs!$E$19)^(AB$5-1)</f>
        <v>1403.5707</v>
      </c>
      <c r="AC21" s="66" t="n">
        <f aca="false">(AC10-AC15)*Inputs!$E$20*(1+Inputs!$E$19)^(AC$5-1)</f>
        <v>1403.5707</v>
      </c>
      <c r="AD21" s="66" t="n">
        <f aca="false">(AD10-AD15)*Inputs!$E$20*(1+Inputs!$E$19)^(AD$5-1)</f>
        <v>1403.5707</v>
      </c>
      <c r="AE21" s="66" t="n">
        <f aca="false">(AE10-AE15)*Inputs!$E$20*(1+Inputs!$E$19)^(AE$5-1)</f>
        <v>1403.5707</v>
      </c>
      <c r="AF21" s="66" t="n">
        <f aca="false">(AF10-AF15)*Inputs!$E$20*(1+Inputs!$E$19)^(AF$5-1)</f>
        <v>1403.5707</v>
      </c>
      <c r="AG21" s="66" t="n">
        <f aca="false">(AG10-AG15)*Inputs!$E$20*(1+Inputs!$E$19)^(AG$5-1)</f>
        <v>1403.5707</v>
      </c>
      <c r="AH21" s="66" t="n">
        <f aca="false">(AH10-AH15)*Inputs!$E$20*(1+Inputs!$E$19)^(AH$5-1)</f>
        <v>1403.5707</v>
      </c>
      <c r="AI21" s="66" t="n">
        <f aca="false">(AI10-AI15)*Inputs!$E$20*(1+Inputs!$E$19)^(AI$5-1)</f>
        <v>1403.5707</v>
      </c>
      <c r="AJ21" s="66" t="n">
        <f aca="false">(AJ10-AJ15)*Inputs!$E$20*(1+Inputs!$E$19)^(AJ$5-1)</f>
        <v>1403.5707</v>
      </c>
      <c r="AK21" s="66" t="n">
        <f aca="false">(AK10-AK15)*Inputs!$E$20*(1+Inputs!$E$19)^(AK$5-1)</f>
        <v>1403.5707</v>
      </c>
      <c r="AL21" s="66" t="n">
        <f aca="false">(AL10-AL15)*Inputs!$E$20*(1+Inputs!$E$19)^(AL$5-1)</f>
        <v>1403.5707</v>
      </c>
    </row>
    <row r="22" customFormat="false" ht="15" hidden="false" customHeight="false" outlineLevel="0" collapsed="false">
      <c r="A22" s="6" t="s">
        <v>382</v>
      </c>
      <c r="C22" s="66" t="n">
        <f aca="false">C16*Inputs!$E$23*Inputs!$E$24*Inputs!$E$25*(1+Inputs!$E$19)^(C$5-1)*1</f>
        <v>2563.2</v>
      </c>
      <c r="D22" s="66" t="n">
        <f aca="false">D16*Inputs!$E$23*Inputs!$E$24*Inputs!$E$25*(1+Inputs!$E$19)^(D$5-1)*1</f>
        <v>3066.048</v>
      </c>
      <c r="E22" s="66" t="n">
        <f aca="false">E16*Inputs!$E$23*Inputs!$E$24*Inputs!$E$25*(1+Inputs!$E$19)^(E$5-1)*1</f>
        <v>3538.72512</v>
      </c>
      <c r="F22" s="66" t="n">
        <f aca="false">F16*Inputs!$E$23*Inputs!$E$24*Inputs!$E$25*(1+Inputs!$E$19)^(F$5-1)*1</f>
        <v>3983.0416128</v>
      </c>
      <c r="G22" s="66" t="n">
        <f aca="false">G16*Inputs!$E$23*Inputs!$E$24*Inputs!$E$25*(1+Inputs!$E$19)^(G$5-1)*1</f>
        <v>4400.699116032</v>
      </c>
      <c r="H22" s="66" t="n">
        <f aca="false">H16*Inputs!$E$23*Inputs!$E$24*Inputs!$E$25*(1+Inputs!$E$19)^(H$5-1)*1</f>
        <v>4793.29716907008</v>
      </c>
      <c r="I22" s="66" t="n">
        <f aca="false">I16*Inputs!$E$23*Inputs!$E$24*Inputs!$E$25*(1+Inputs!$E$19)^(I$5-1)*1</f>
        <v>5162.33933892587</v>
      </c>
      <c r="J22" s="66" t="n">
        <f aca="false">J16*Inputs!$E$23*Inputs!$E$24*Inputs!$E$25*(1+Inputs!$E$19)^(J$5-1)*1</f>
        <v>5509.23897859032</v>
      </c>
      <c r="K22" s="66" t="n">
        <f aca="false">K16*Inputs!$E$23*Inputs!$E$24*Inputs!$E$25*(1+Inputs!$E$19)^(K$5-1)*1</f>
        <v>5835.3246398749</v>
      </c>
      <c r="L22" s="66" t="n">
        <f aca="false">L16*Inputs!$E$23*Inputs!$E$24*Inputs!$E$25*(1+Inputs!$E$19)^(L$5-1)*1</f>
        <v>6141.84516148241</v>
      </c>
      <c r="M22" s="66" t="n">
        <f aca="false">M16*Inputs!$E$23*Inputs!$E$24*Inputs!$E$25*(1+Inputs!$E$19)^(M$5-1)*1</f>
        <v>6429.97445179346</v>
      </c>
      <c r="N22" s="66" t="n">
        <f aca="false">N16*Inputs!$E$23*Inputs!$E$24*Inputs!$E$25*(1+Inputs!$E$19)^(N$5-1)*1</f>
        <v>6700.81598468585</v>
      </c>
      <c r="O22" s="66" t="n">
        <f aca="false">O16*Inputs!$E$23*Inputs!$E$24*Inputs!$E$25*(1+Inputs!$E$19)^(O$5-1)*1</f>
        <v>7188.39371637284</v>
      </c>
      <c r="P22" s="66" t="n">
        <f aca="false">P16*Inputs!$E$23*Inputs!$E$24*Inputs!$E$25*(1+Inputs!$E$19)^(P$5-1)*1</f>
        <v>7482.07825339047</v>
      </c>
      <c r="Q22" s="66" t="n">
        <f aca="false">Q16*Inputs!$E$23*Inputs!$E$24*Inputs!$E$25*(1+Inputs!$E$19)^(Q$5-1)*1</f>
        <v>7758.14171818704</v>
      </c>
      <c r="R22" s="66" t="n">
        <f aca="false">R16*Inputs!$E$23*Inputs!$E$24*Inputs!$E$25*(1+Inputs!$E$19)^(R$5-1)*1</f>
        <v>8017.64137509582</v>
      </c>
      <c r="S22" s="66" t="n">
        <f aca="false">S16*Inputs!$E$23*Inputs!$E$24*Inputs!$E$25*(1+Inputs!$E$19)^(S$5-1)*1</f>
        <v>8261.57105259007</v>
      </c>
      <c r="T22" s="66" t="n">
        <f aca="false">T16*Inputs!$E$23*Inputs!$E$24*Inputs!$E$25*(1+Inputs!$E$19)^(T$5-1)*1</f>
        <v>8490.86494943467</v>
      </c>
      <c r="U22" s="66" t="n">
        <f aca="false">U16*Inputs!$E$23*Inputs!$E$24*Inputs!$E$25*(1+Inputs!$E$19)^(U$5-1)*1</f>
        <v>8706.40121246859</v>
      </c>
      <c r="V22" s="66" t="n">
        <f aca="false">V16*Inputs!$E$23*Inputs!$E$24*Inputs!$E$25*(1+Inputs!$E$19)^(V$5-1)*1</f>
        <v>8855.01815449509</v>
      </c>
      <c r="W22" s="66" t="n">
        <f aca="false">W16*Inputs!$E$23*Inputs!$E$24*Inputs!$E$25*(1+Inputs!$E$19)^(W$5-1)*1</f>
        <v>8899.2</v>
      </c>
      <c r="X22" s="66" t="n">
        <f aca="false">X16*Inputs!$E$23*Inputs!$E$24*Inputs!$E$25*(1+Inputs!$E$19)^(X$5-1)*1</f>
        <v>8899.2</v>
      </c>
      <c r="Y22" s="66" t="n">
        <f aca="false">Y16*Inputs!$E$23*Inputs!$E$24*Inputs!$E$25*(1+Inputs!$E$19)^(Y$5-1)*1</f>
        <v>8899.2</v>
      </c>
      <c r="Z22" s="66" t="n">
        <f aca="false">Z16*Inputs!$E$23*Inputs!$E$24*Inputs!$E$25*(1+Inputs!$E$19)^(Z$5-1)*1</f>
        <v>8899.2</v>
      </c>
      <c r="AA22" s="66" t="n">
        <f aca="false">AA16*Inputs!$E$23*Inputs!$E$24*Inputs!$E$25*(1+Inputs!$E$19)^(AA$5-1)*1</f>
        <v>9166.176</v>
      </c>
      <c r="AB22" s="66" t="n">
        <f aca="false">AB16*Inputs!$E$23*Inputs!$E$24*Inputs!$E$25*(1+Inputs!$E$19)^(AB$5-1)*1</f>
        <v>9166.176</v>
      </c>
      <c r="AC22" s="66" t="n">
        <f aca="false">AC16*Inputs!$E$23*Inputs!$E$24*Inputs!$E$25*(1+Inputs!$E$19)^(AC$5-1)*1</f>
        <v>9166.176</v>
      </c>
      <c r="AD22" s="66" t="n">
        <f aca="false">AD16*Inputs!$E$23*Inputs!$E$24*Inputs!$E$25*(1+Inputs!$E$19)^(AD$5-1)*1</f>
        <v>9166.176</v>
      </c>
      <c r="AE22" s="66" t="n">
        <f aca="false">AE16*Inputs!$E$23*Inputs!$E$24*Inputs!$E$25*(1+Inputs!$E$19)^(AE$5-1)*1</f>
        <v>9166.176</v>
      </c>
      <c r="AF22" s="66" t="n">
        <f aca="false">AF16*Inputs!$E$23*Inputs!$E$24*Inputs!$E$25*(1+Inputs!$E$19)^(AF$5-1)*1</f>
        <v>9166.176</v>
      </c>
      <c r="AG22" s="66" t="n">
        <f aca="false">AG16*Inputs!$E$23*Inputs!$E$24*Inputs!$E$25*(1+Inputs!$E$19)^(AG$5-1)*1</f>
        <v>9166.176</v>
      </c>
      <c r="AH22" s="66" t="n">
        <f aca="false">AH16*Inputs!$E$23*Inputs!$E$24*Inputs!$E$25*(1+Inputs!$E$19)^(AH$5-1)*1</f>
        <v>9166.176</v>
      </c>
      <c r="AI22" s="66" t="n">
        <f aca="false">AI16*Inputs!$E$23*Inputs!$E$24*Inputs!$E$25*(1+Inputs!$E$19)^(AI$5-1)*1</f>
        <v>9166.176</v>
      </c>
      <c r="AJ22" s="66" t="n">
        <f aca="false">AJ16*Inputs!$E$23*Inputs!$E$24*Inputs!$E$25*(1+Inputs!$E$19)^(AJ$5-1)*1</f>
        <v>9166.176</v>
      </c>
      <c r="AK22" s="66" t="n">
        <f aca="false">AK16*Inputs!$E$23*Inputs!$E$24*Inputs!$E$25*(1+Inputs!$E$19)^(AK$5-1)*1</f>
        <v>9166.176</v>
      </c>
      <c r="AL22" s="66" t="n">
        <f aca="false">AL16*Inputs!$E$23*Inputs!$E$24*Inputs!$E$25*(1+Inputs!$E$19)^(AL$5-1)*1</f>
        <v>9166.176</v>
      </c>
    </row>
    <row r="23" customFormat="false" ht="15" hidden="false" customHeight="false" outlineLevel="0" collapsed="false">
      <c r="A23" s="6" t="s">
        <v>383</v>
      </c>
      <c r="C23" s="66" t="n">
        <f aca="false">C16*Inputs!$E$27*(1+Inputs!$E$19)^(C$5-1)*1</f>
        <v>667.5</v>
      </c>
      <c r="D23" s="66" t="n">
        <f aca="false">D16*Inputs!$E$27*(1+Inputs!$E$19)^(D$5-1)*1</f>
        <v>798.45</v>
      </c>
      <c r="E23" s="66" t="n">
        <f aca="false">E16*Inputs!$E$27*(1+Inputs!$E$19)^(E$5-1)*1</f>
        <v>921.543</v>
      </c>
      <c r="F23" s="66" t="n">
        <f aca="false">F16*Inputs!$E$27*(1+Inputs!$E$19)^(F$5-1)*1</f>
        <v>1037.25042</v>
      </c>
      <c r="G23" s="66" t="n">
        <f aca="false">G16*Inputs!$E$27*(1+Inputs!$E$19)^(G$5-1)*1</f>
        <v>1146.0153948</v>
      </c>
      <c r="H23" s="66" t="n">
        <f aca="false">H16*Inputs!$E$27*(1+Inputs!$E$19)^(H$5-1)*1</f>
        <v>1248.254471112</v>
      </c>
      <c r="I23" s="66" t="n">
        <f aca="false">I16*Inputs!$E$27*(1+Inputs!$E$19)^(I$5-1)*1</f>
        <v>1344.35920284528</v>
      </c>
      <c r="J23" s="66" t="n">
        <f aca="false">J16*Inputs!$E$27*(1+Inputs!$E$19)^(J$5-1)*1</f>
        <v>1434.69765067456</v>
      </c>
      <c r="K23" s="66" t="n">
        <f aca="false">K16*Inputs!$E$27*(1+Inputs!$E$19)^(K$5-1)*1</f>
        <v>1519.61579163409</v>
      </c>
      <c r="L23" s="66" t="n">
        <f aca="false">L16*Inputs!$E$27*(1+Inputs!$E$19)^(L$5-1)*1</f>
        <v>1599.43884413604</v>
      </c>
      <c r="M23" s="66" t="n">
        <f aca="false">M16*Inputs!$E$27*(1+Inputs!$E$19)^(M$5-1)*1</f>
        <v>1674.47251348788</v>
      </c>
      <c r="N23" s="66" t="n">
        <f aca="false">N16*Inputs!$E$27*(1+Inputs!$E$19)^(N$5-1)*1</f>
        <v>1745.00416267861</v>
      </c>
      <c r="O23" s="66" t="n">
        <f aca="false">O16*Inputs!$E$27*(1+Inputs!$E$19)^(O$5-1)*1</f>
        <v>1871.97753030543</v>
      </c>
      <c r="P23" s="66" t="n">
        <f aca="false">P16*Inputs!$E$27*(1+Inputs!$E$19)^(P$5-1)*1</f>
        <v>1948.4578784871</v>
      </c>
      <c r="Q23" s="66" t="n">
        <f aca="false">Q16*Inputs!$E$27*(1+Inputs!$E$19)^(Q$5-1)*1</f>
        <v>2020.34940577788</v>
      </c>
      <c r="R23" s="66" t="n">
        <f aca="false">R16*Inputs!$E$27*(1+Inputs!$E$19)^(R$5-1)*1</f>
        <v>2087.9274414312</v>
      </c>
      <c r="S23" s="66" t="n">
        <f aca="false">S16*Inputs!$E$27*(1+Inputs!$E$19)^(S$5-1)*1</f>
        <v>2151.45079494533</v>
      </c>
      <c r="T23" s="66" t="n">
        <f aca="false">T16*Inputs!$E$27*(1+Inputs!$E$19)^(T$5-1)*1</f>
        <v>2211.16274724861</v>
      </c>
      <c r="U23" s="66" t="n">
        <f aca="false">U16*Inputs!$E$27*(1+Inputs!$E$19)^(U$5-1)*1</f>
        <v>2267.29198241369</v>
      </c>
      <c r="V23" s="66" t="n">
        <f aca="false">V16*Inputs!$E$27*(1+Inputs!$E$19)^(V$5-1)*1</f>
        <v>2305.99431106643</v>
      </c>
      <c r="W23" s="66" t="n">
        <f aca="false">W16*Inputs!$E$27*(1+Inputs!$E$19)^(W$5-1)*1</f>
        <v>2317.5</v>
      </c>
      <c r="X23" s="66" t="n">
        <f aca="false">X16*Inputs!$E$27*(1+Inputs!$E$19)^(X$5-1)*1</f>
        <v>2317.5</v>
      </c>
      <c r="Y23" s="66" t="n">
        <f aca="false">Y16*Inputs!$E$27*(1+Inputs!$E$19)^(Y$5-1)*1</f>
        <v>2317.5</v>
      </c>
      <c r="Z23" s="66" t="n">
        <f aca="false">Z16*Inputs!$E$27*(1+Inputs!$E$19)^(Z$5-1)*1</f>
        <v>2317.5</v>
      </c>
      <c r="AA23" s="66" t="n">
        <f aca="false">AA16*Inputs!$E$27*(1+Inputs!$E$19)^(AA$5-1)*1</f>
        <v>2387.025</v>
      </c>
      <c r="AB23" s="66" t="n">
        <f aca="false">AB16*Inputs!$E$27*(1+Inputs!$E$19)^(AB$5-1)*1</f>
        <v>2387.025</v>
      </c>
      <c r="AC23" s="66" t="n">
        <f aca="false">AC16*Inputs!$E$27*(1+Inputs!$E$19)^(AC$5-1)*1</f>
        <v>2387.025</v>
      </c>
      <c r="AD23" s="66" t="n">
        <f aca="false">AD16*Inputs!$E$27*(1+Inputs!$E$19)^(AD$5-1)*1</f>
        <v>2387.025</v>
      </c>
      <c r="AE23" s="66" t="n">
        <f aca="false">AE16*Inputs!$E$27*(1+Inputs!$E$19)^(AE$5-1)*1</f>
        <v>2387.025</v>
      </c>
      <c r="AF23" s="66" t="n">
        <f aca="false">AF16*Inputs!$E$27*(1+Inputs!$E$19)^(AF$5-1)*1</f>
        <v>2387.025</v>
      </c>
      <c r="AG23" s="66" t="n">
        <f aca="false">AG16*Inputs!$E$27*(1+Inputs!$E$19)^(AG$5-1)*1</f>
        <v>2387.025</v>
      </c>
      <c r="AH23" s="66" t="n">
        <f aca="false">AH16*Inputs!$E$27*(1+Inputs!$E$19)^(AH$5-1)*1</f>
        <v>2387.025</v>
      </c>
      <c r="AI23" s="66" t="n">
        <f aca="false">AI16*Inputs!$E$27*(1+Inputs!$E$19)^(AI$5-1)*1</f>
        <v>2387.025</v>
      </c>
      <c r="AJ23" s="66" t="n">
        <f aca="false">AJ16*Inputs!$E$27*(1+Inputs!$E$19)^(AJ$5-1)*1</f>
        <v>2387.025</v>
      </c>
      <c r="AK23" s="66" t="n">
        <f aca="false">AK16*Inputs!$E$27*(1+Inputs!$E$19)^(AK$5-1)*1</f>
        <v>2387.025</v>
      </c>
      <c r="AL23" s="66" t="n">
        <f aca="false">AL16*Inputs!$E$27*(1+Inputs!$E$19)^(AL$5-1)*1</f>
        <v>2387.025</v>
      </c>
    </row>
    <row r="24" customFormat="false" ht="15" hidden="false" customHeight="false" outlineLevel="0" collapsed="false">
      <c r="A24" s="110" t="s">
        <v>44</v>
      </c>
      <c r="C24" s="67" t="n">
        <f aca="false">C20+C21+C22+C23</f>
        <v>18123</v>
      </c>
      <c r="D24" s="67" t="n">
        <f aca="false">D20+D21+D22+D23</f>
        <v>21349.608</v>
      </c>
      <c r="E24" s="67" t="n">
        <f aca="false">E20+E21+E22+E23</f>
        <v>24382.61952</v>
      </c>
      <c r="F24" s="67" t="n">
        <f aca="false">F20+F21+F22+F23</f>
        <v>27233.6503488</v>
      </c>
      <c r="G24" s="67" t="n">
        <f aca="false">G20+G21+G22+G23</f>
        <v>29913.619327872</v>
      </c>
      <c r="H24" s="67" t="n">
        <f aca="false">H20+H21+H22+H23</f>
        <v>32432.7901681997</v>
      </c>
      <c r="I24" s="67" t="n">
        <f aca="false">I20+I21+I22+I23</f>
        <v>34800.8107581077</v>
      </c>
      <c r="J24" s="67" t="n">
        <f aca="false">J20+J21+J22+J23</f>
        <v>37026.7501126212</v>
      </c>
      <c r="K24" s="67" t="n">
        <f aca="false">K20+K21+K22+K23</f>
        <v>39119.133105864</v>
      </c>
      <c r="L24" s="67" t="n">
        <f aca="false">L20+L21+L22+L23</f>
        <v>41085.9731195121</v>
      </c>
      <c r="M24" s="67" t="n">
        <f aca="false">M20+M21+M22+M23</f>
        <v>42934.8027323414</v>
      </c>
      <c r="N24" s="67" t="n">
        <f aca="false">N20+N21+N22+N23</f>
        <v>44672.7025684009</v>
      </c>
      <c r="O24" s="67" t="n">
        <f aca="false">O20+O21+O22+O23</f>
        <v>47975.7565467257</v>
      </c>
      <c r="P24" s="67" t="n">
        <f aca="false">P20+P21+P22+P23</f>
        <v>49860.2323259222</v>
      </c>
      <c r="Q24" s="67" t="n">
        <f aca="false">Q20+Q21+Q22+Q23</f>
        <v>51631.6395583669</v>
      </c>
      <c r="R24" s="67" t="n">
        <f aca="false">R20+R21+R22+R23</f>
        <v>53296.7623568648</v>
      </c>
      <c r="S24" s="67" t="n">
        <f aca="false">S20+S21+S22+S23</f>
        <v>54861.977787453</v>
      </c>
      <c r="T24" s="67" t="n">
        <f aca="false">T20+T21+T22+T23</f>
        <v>56333.2802922058</v>
      </c>
      <c r="U24" s="67" t="n">
        <f aca="false">U20+U21+U22+U23</f>
        <v>57716.3046466734</v>
      </c>
      <c r="V24" s="67" t="n">
        <f aca="false">V20+V21+V22+V23</f>
        <v>58394.3706375889</v>
      </c>
      <c r="W24" s="67" t="n">
        <f aca="false">W20+W21+W22+W23</f>
        <v>58465.89</v>
      </c>
      <c r="X24" s="67" t="n">
        <f aca="false">X20+X21+X22+X23</f>
        <v>58465.89</v>
      </c>
      <c r="Y24" s="67" t="n">
        <f aca="false">Y20+Y21+Y22+Y23</f>
        <v>58465.89</v>
      </c>
      <c r="Z24" s="67" t="n">
        <f aca="false">Z20+Z21+Z22+Z23</f>
        <v>58465.89</v>
      </c>
      <c r="AA24" s="67" t="n">
        <f aca="false">AA20+AA21+AA22+AA23</f>
        <v>60219.8667</v>
      </c>
      <c r="AB24" s="67" t="n">
        <f aca="false">AB20+AB21+AB22+AB23</f>
        <v>60219.8667</v>
      </c>
      <c r="AC24" s="67" t="n">
        <f aca="false">AC20+AC21+AC22+AC23</f>
        <v>60219.8667</v>
      </c>
      <c r="AD24" s="67" t="n">
        <f aca="false">AD20+AD21+AD22+AD23</f>
        <v>60219.8667</v>
      </c>
      <c r="AE24" s="67" t="n">
        <f aca="false">AE20+AE21+AE22+AE23</f>
        <v>60219.8667</v>
      </c>
      <c r="AF24" s="67" t="n">
        <f aca="false">AF20+AF21+AF22+AF23</f>
        <v>60219.8667</v>
      </c>
      <c r="AG24" s="67" t="n">
        <f aca="false">AG20+AG21+AG22+AG23</f>
        <v>60219.8667</v>
      </c>
      <c r="AH24" s="67" t="n">
        <f aca="false">AH20+AH21+AH22+AH23</f>
        <v>60219.8667</v>
      </c>
      <c r="AI24" s="67" t="n">
        <f aca="false">AI20+AI21+AI22+AI23</f>
        <v>60219.8667</v>
      </c>
      <c r="AJ24" s="67" t="n">
        <f aca="false">AJ20+AJ21+AJ22+AJ23</f>
        <v>60219.8667</v>
      </c>
      <c r="AK24" s="67" t="n">
        <f aca="false">AK20+AK21+AK22+AK23</f>
        <v>60219.8667</v>
      </c>
      <c r="AL24" s="67" t="n">
        <f aca="false">AL20+AL21+AL22+AL23</f>
        <v>60219.8667</v>
      </c>
    </row>
    <row r="26" customFormat="false" ht="15.75" hidden="false" customHeight="true" outlineLevel="0" collapsed="false">
      <c r="A26" s="7" t="s">
        <v>75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  <row r="27" customFormat="false" ht="15" hidden="false" customHeight="false" outlineLevel="0" collapsed="false">
      <c r="A27" s="6" t="s">
        <v>384</v>
      </c>
      <c r="C27" s="66" t="n">
        <f aca="false">-Inputs!$E$31*52/12*Inputs!$E$32*(1+Inputs!$E$51)^(C$5-1)*1</f>
        <v>-7800</v>
      </c>
      <c r="D27" s="66" t="n">
        <f aca="false">-Inputs!$E$31*52/12*Inputs!$E$32*(1+Inputs!$E$51)^(D$5-1)*1</f>
        <v>-7800</v>
      </c>
      <c r="E27" s="66" t="n">
        <f aca="false">-Inputs!$E$31*52/12*Inputs!$E$32*(1+Inputs!$E$51)^(E$5-1)*1</f>
        <v>-7800</v>
      </c>
      <c r="F27" s="66" t="n">
        <f aca="false">-Inputs!$E$31*52/12*Inputs!$E$32*(1+Inputs!$E$51)^(F$5-1)*1</f>
        <v>-7800</v>
      </c>
      <c r="G27" s="66" t="n">
        <f aca="false">-Inputs!$E$31*52/12*Inputs!$E$32*(1+Inputs!$E$51)^(G$5-1)*1</f>
        <v>-7800</v>
      </c>
      <c r="H27" s="66" t="n">
        <f aca="false">-Inputs!$E$31*52/12*Inputs!$E$32*(1+Inputs!$E$51)^(H$5-1)*1</f>
        <v>-7800</v>
      </c>
      <c r="I27" s="66" t="n">
        <f aca="false">-Inputs!$E$31*52/12*Inputs!$E$32*(1+Inputs!$E$51)^(I$5-1)*1</f>
        <v>-7800</v>
      </c>
      <c r="J27" s="66" t="n">
        <f aca="false">-Inputs!$E$31*52/12*Inputs!$E$32*(1+Inputs!$E$51)^(J$5-1)*1</f>
        <v>-7800</v>
      </c>
      <c r="K27" s="66" t="n">
        <f aca="false">-Inputs!$E$31*52/12*Inputs!$E$32*(1+Inputs!$E$51)^(K$5-1)*1</f>
        <v>-7800</v>
      </c>
      <c r="L27" s="66" t="n">
        <f aca="false">-Inputs!$E$31*52/12*Inputs!$E$32*(1+Inputs!$E$51)^(L$5-1)*1</f>
        <v>-7800</v>
      </c>
      <c r="M27" s="66" t="n">
        <f aca="false">-Inputs!$E$31*52/12*Inputs!$E$32*(1+Inputs!$E$51)^(M$5-1)*1</f>
        <v>-7800</v>
      </c>
      <c r="N27" s="66" t="n">
        <f aca="false">-Inputs!$E$31*52/12*Inputs!$E$32*(1+Inputs!$E$51)^(N$5-1)*1</f>
        <v>-7800</v>
      </c>
      <c r="O27" s="66" t="n">
        <f aca="false">-Inputs!$E$31*52/12*Inputs!$E$32*(1+Inputs!$E$51)^(O$5-1)*1</f>
        <v>-8034</v>
      </c>
      <c r="P27" s="66" t="n">
        <f aca="false">-Inputs!$E$31*52/12*Inputs!$E$32*(1+Inputs!$E$51)^(P$5-1)*1</f>
        <v>-8034</v>
      </c>
      <c r="Q27" s="66" t="n">
        <f aca="false">-Inputs!$E$31*52/12*Inputs!$E$32*(1+Inputs!$E$51)^(Q$5-1)*1</f>
        <v>-8034</v>
      </c>
      <c r="R27" s="66" t="n">
        <f aca="false">-Inputs!$E$31*52/12*Inputs!$E$32*(1+Inputs!$E$51)^(R$5-1)*1</f>
        <v>-8034</v>
      </c>
      <c r="S27" s="66" t="n">
        <f aca="false">-Inputs!$E$31*52/12*Inputs!$E$32*(1+Inputs!$E$51)^(S$5-1)*1</f>
        <v>-8034</v>
      </c>
      <c r="T27" s="66" t="n">
        <f aca="false">-Inputs!$E$31*52/12*Inputs!$E$32*(1+Inputs!$E$51)^(T$5-1)*1</f>
        <v>-8034</v>
      </c>
      <c r="U27" s="66" t="n">
        <f aca="false">-Inputs!$E$31*52/12*Inputs!$E$32*(1+Inputs!$E$51)^(U$5-1)*1</f>
        <v>-8034</v>
      </c>
      <c r="V27" s="66" t="n">
        <f aca="false">-Inputs!$E$31*52/12*Inputs!$E$32*(1+Inputs!$E$51)^(V$5-1)*1</f>
        <v>-8034</v>
      </c>
      <c r="W27" s="66" t="n">
        <f aca="false">-Inputs!$E$31*52/12*Inputs!$E$32*(1+Inputs!$E$51)^(W$5-1)*1</f>
        <v>-8034</v>
      </c>
      <c r="X27" s="66" t="n">
        <f aca="false">-Inputs!$E$31*52/12*Inputs!$E$32*(1+Inputs!$E$51)^(X$5-1)*1</f>
        <v>-8034</v>
      </c>
      <c r="Y27" s="66" t="n">
        <f aca="false">-Inputs!$E$31*52/12*Inputs!$E$32*(1+Inputs!$E$51)^(Y$5-1)*1</f>
        <v>-8034</v>
      </c>
      <c r="Z27" s="66" t="n">
        <f aca="false">-Inputs!$E$31*52/12*Inputs!$E$32*(1+Inputs!$E$51)^(Z$5-1)*1</f>
        <v>-8034</v>
      </c>
      <c r="AA27" s="66" t="n">
        <f aca="false">-Inputs!$E$31*52/12*Inputs!$E$32*(1+Inputs!$E$51)^(AA$5-1)*1</f>
        <v>-8275.02</v>
      </c>
      <c r="AB27" s="66" t="n">
        <f aca="false">-Inputs!$E$31*52/12*Inputs!$E$32*(1+Inputs!$E$51)^(AB$5-1)*1</f>
        <v>-8275.02</v>
      </c>
      <c r="AC27" s="66" t="n">
        <f aca="false">-Inputs!$E$31*52/12*Inputs!$E$32*(1+Inputs!$E$51)^(AC$5-1)*1</f>
        <v>-8275.02</v>
      </c>
      <c r="AD27" s="66" t="n">
        <f aca="false">-Inputs!$E$31*52/12*Inputs!$E$32*(1+Inputs!$E$51)^(AD$5-1)*1</f>
        <v>-8275.02</v>
      </c>
      <c r="AE27" s="66" t="n">
        <f aca="false">-Inputs!$E$31*52/12*Inputs!$E$32*(1+Inputs!$E$51)^(AE$5-1)*1</f>
        <v>-8275.02</v>
      </c>
      <c r="AF27" s="66" t="n">
        <f aca="false">-Inputs!$E$31*52/12*Inputs!$E$32*(1+Inputs!$E$51)^(AF$5-1)*1</f>
        <v>-8275.02</v>
      </c>
      <c r="AG27" s="66" t="n">
        <f aca="false">-Inputs!$E$31*52/12*Inputs!$E$32*(1+Inputs!$E$51)^(AG$5-1)*1</f>
        <v>-8275.02</v>
      </c>
      <c r="AH27" s="66" t="n">
        <f aca="false">-Inputs!$E$31*52/12*Inputs!$E$32*(1+Inputs!$E$51)^(AH$5-1)*1</f>
        <v>-8275.02</v>
      </c>
      <c r="AI27" s="66" t="n">
        <f aca="false">-Inputs!$E$31*52/12*Inputs!$E$32*(1+Inputs!$E$51)^(AI$5-1)*1</f>
        <v>-8275.02</v>
      </c>
      <c r="AJ27" s="66" t="n">
        <f aca="false">-Inputs!$E$31*52/12*Inputs!$E$32*(1+Inputs!$E$51)^(AJ$5-1)*1</f>
        <v>-8275.02</v>
      </c>
      <c r="AK27" s="66" t="n">
        <f aca="false">-Inputs!$E$31*52/12*Inputs!$E$32*(1+Inputs!$E$51)^(AK$5-1)*1</f>
        <v>-8275.02</v>
      </c>
      <c r="AL27" s="66" t="n">
        <f aca="false">-Inputs!$E$31*52/12*Inputs!$E$32*(1+Inputs!$E$51)^(AL$5-1)*1</f>
        <v>-8275.02</v>
      </c>
    </row>
    <row r="28" customFormat="false" ht="15" hidden="false" customHeight="false" outlineLevel="0" collapsed="false">
      <c r="A28" s="6" t="s">
        <v>385</v>
      </c>
      <c r="C28" s="66" t="n">
        <f aca="false">-C22*Inputs!$E$26</f>
        <v>-1281.6</v>
      </c>
      <c r="D28" s="66" t="n">
        <f aca="false">-D22*Inputs!$E$26</f>
        <v>-1533.024</v>
      </c>
      <c r="E28" s="66" t="n">
        <f aca="false">-E22*Inputs!$E$26</f>
        <v>-1769.36256</v>
      </c>
      <c r="F28" s="66" t="n">
        <f aca="false">-F22*Inputs!$E$26</f>
        <v>-1991.5208064</v>
      </c>
      <c r="G28" s="66" t="n">
        <f aca="false">-G22*Inputs!$E$26</f>
        <v>-2200.349558016</v>
      </c>
      <c r="H28" s="66" t="n">
        <f aca="false">-H22*Inputs!$E$26</f>
        <v>-2396.64858453504</v>
      </c>
      <c r="I28" s="66" t="n">
        <f aca="false">-I22*Inputs!$E$26</f>
        <v>-2581.16966946294</v>
      </c>
      <c r="J28" s="66" t="n">
        <f aca="false">-J22*Inputs!$E$26</f>
        <v>-2754.61948929516</v>
      </c>
      <c r="K28" s="66" t="n">
        <f aca="false">-K22*Inputs!$E$26</f>
        <v>-2917.66231993745</v>
      </c>
      <c r="L28" s="66" t="n">
        <f aca="false">-L22*Inputs!$E$26</f>
        <v>-3070.9225807412</v>
      </c>
      <c r="M28" s="66" t="n">
        <f aca="false">-M22*Inputs!$E$26</f>
        <v>-3214.98722589673</v>
      </c>
      <c r="N28" s="66" t="n">
        <f aca="false">-N22*Inputs!$E$26</f>
        <v>-3350.40799234293</v>
      </c>
      <c r="O28" s="66" t="n">
        <f aca="false">-O22*Inputs!$E$26</f>
        <v>-3594.19685818642</v>
      </c>
      <c r="P28" s="66" t="n">
        <f aca="false">-P22*Inputs!$E$26</f>
        <v>-3741.03912669524</v>
      </c>
      <c r="Q28" s="66" t="n">
        <f aca="false">-Q22*Inputs!$E$26</f>
        <v>-3879.07085909352</v>
      </c>
      <c r="R28" s="66" t="n">
        <f aca="false">-R22*Inputs!$E$26</f>
        <v>-4008.82068754791</v>
      </c>
      <c r="S28" s="66" t="n">
        <f aca="false">-S22*Inputs!$E$26</f>
        <v>-4130.78552629504</v>
      </c>
      <c r="T28" s="66" t="n">
        <f aca="false">-T22*Inputs!$E$26</f>
        <v>-4245.43247471733</v>
      </c>
      <c r="U28" s="66" t="n">
        <f aca="false">-U22*Inputs!$E$26</f>
        <v>-4353.20060623429</v>
      </c>
      <c r="V28" s="66" t="n">
        <f aca="false">-V22*Inputs!$E$26</f>
        <v>-4427.50907724754</v>
      </c>
      <c r="W28" s="66" t="n">
        <f aca="false">-W22*Inputs!$E$26</f>
        <v>-4449.6</v>
      </c>
      <c r="X28" s="66" t="n">
        <f aca="false">-X22*Inputs!$E$26</f>
        <v>-4449.6</v>
      </c>
      <c r="Y28" s="66" t="n">
        <f aca="false">-Y22*Inputs!$E$26</f>
        <v>-4449.6</v>
      </c>
      <c r="Z28" s="66" t="n">
        <f aca="false">-Z22*Inputs!$E$26</f>
        <v>-4449.6</v>
      </c>
      <c r="AA28" s="66" t="n">
        <f aca="false">-AA22*Inputs!$E$26</f>
        <v>-4583.088</v>
      </c>
      <c r="AB28" s="66" t="n">
        <f aca="false">-AB22*Inputs!$E$26</f>
        <v>-4583.088</v>
      </c>
      <c r="AC28" s="66" t="n">
        <f aca="false">-AC22*Inputs!$E$26</f>
        <v>-4583.088</v>
      </c>
      <c r="AD28" s="66" t="n">
        <f aca="false">-AD22*Inputs!$E$26</f>
        <v>-4583.088</v>
      </c>
      <c r="AE28" s="66" t="n">
        <f aca="false">-AE22*Inputs!$E$26</f>
        <v>-4583.088</v>
      </c>
      <c r="AF28" s="66" t="n">
        <f aca="false">-AF22*Inputs!$E$26</f>
        <v>-4583.088</v>
      </c>
      <c r="AG28" s="66" t="n">
        <f aca="false">-AG22*Inputs!$E$26</f>
        <v>-4583.088</v>
      </c>
      <c r="AH28" s="66" t="n">
        <f aca="false">-AH22*Inputs!$E$26</f>
        <v>-4583.088</v>
      </c>
      <c r="AI28" s="66" t="n">
        <f aca="false">-AI22*Inputs!$E$26</f>
        <v>-4583.088</v>
      </c>
      <c r="AJ28" s="66" t="n">
        <f aca="false">-AJ22*Inputs!$E$26</f>
        <v>-4583.088</v>
      </c>
      <c r="AK28" s="66" t="n">
        <f aca="false">-AK22*Inputs!$E$26</f>
        <v>-4583.088</v>
      </c>
      <c r="AL28" s="66" t="n">
        <f aca="false">-AL22*Inputs!$E$26</f>
        <v>-4583.088</v>
      </c>
    </row>
    <row r="29" customFormat="false" ht="15" hidden="false" customHeight="false" outlineLevel="0" collapsed="false">
      <c r="A29" s="6" t="s">
        <v>386</v>
      </c>
      <c r="C29" s="66" t="n">
        <f aca="false">-C23*Inputs!$E$28</f>
        <v>-333.75</v>
      </c>
      <c r="D29" s="66" t="n">
        <f aca="false">-D23*Inputs!$E$28</f>
        <v>-399.225</v>
      </c>
      <c r="E29" s="66" t="n">
        <f aca="false">-E23*Inputs!$E$28</f>
        <v>-460.7715</v>
      </c>
      <c r="F29" s="66" t="n">
        <f aca="false">-F23*Inputs!$E$28</f>
        <v>-518.62521</v>
      </c>
      <c r="G29" s="66" t="n">
        <f aca="false">-G23*Inputs!$E$28</f>
        <v>-573.0076974</v>
      </c>
      <c r="H29" s="66" t="n">
        <f aca="false">-H23*Inputs!$E$28</f>
        <v>-624.127235556</v>
      </c>
      <c r="I29" s="66" t="n">
        <f aca="false">-I23*Inputs!$E$28</f>
        <v>-672.17960142264</v>
      </c>
      <c r="J29" s="66" t="n">
        <f aca="false">-J23*Inputs!$E$28</f>
        <v>-717.348825337281</v>
      </c>
      <c r="K29" s="66" t="n">
        <f aca="false">-K23*Inputs!$E$28</f>
        <v>-759.807895817045</v>
      </c>
      <c r="L29" s="66" t="n">
        <f aca="false">-L23*Inputs!$E$28</f>
        <v>-799.719422068022</v>
      </c>
      <c r="M29" s="66" t="n">
        <f aca="false">-M23*Inputs!$E$28</f>
        <v>-837.23625674394</v>
      </c>
      <c r="N29" s="66" t="n">
        <f aca="false">-N23*Inputs!$E$28</f>
        <v>-872.502081339304</v>
      </c>
      <c r="O29" s="66" t="n">
        <f aca="false">-O23*Inputs!$E$28</f>
        <v>-935.988765152714</v>
      </c>
      <c r="P29" s="66" t="n">
        <f aca="false">-P23*Inputs!$E$28</f>
        <v>-974.228939243551</v>
      </c>
      <c r="Q29" s="66" t="n">
        <f aca="false">-Q23*Inputs!$E$28</f>
        <v>-1010.17470288894</v>
      </c>
      <c r="R29" s="66" t="n">
        <f aca="false">-R23*Inputs!$E$28</f>
        <v>-1043.9637207156</v>
      </c>
      <c r="S29" s="66" t="n">
        <f aca="false">-S23*Inputs!$E$28</f>
        <v>-1075.72539747267</v>
      </c>
      <c r="T29" s="66" t="n">
        <f aca="false">-T23*Inputs!$E$28</f>
        <v>-1105.58137362431</v>
      </c>
      <c r="U29" s="66" t="n">
        <f aca="false">-U23*Inputs!$E$28</f>
        <v>-1133.64599120685</v>
      </c>
      <c r="V29" s="66" t="n">
        <f aca="false">-V23*Inputs!$E$28</f>
        <v>-1152.99715553321</v>
      </c>
      <c r="W29" s="66" t="n">
        <f aca="false">-W23*Inputs!$E$28</f>
        <v>-1158.75</v>
      </c>
      <c r="X29" s="66" t="n">
        <f aca="false">-X23*Inputs!$E$28</f>
        <v>-1158.75</v>
      </c>
      <c r="Y29" s="66" t="n">
        <f aca="false">-Y23*Inputs!$E$28</f>
        <v>-1158.75</v>
      </c>
      <c r="Z29" s="66" t="n">
        <f aca="false">-Z23*Inputs!$E$28</f>
        <v>-1158.75</v>
      </c>
      <c r="AA29" s="66" t="n">
        <f aca="false">-AA23*Inputs!$E$28</f>
        <v>-1193.5125</v>
      </c>
      <c r="AB29" s="66" t="n">
        <f aca="false">-AB23*Inputs!$E$28</f>
        <v>-1193.5125</v>
      </c>
      <c r="AC29" s="66" t="n">
        <f aca="false">-AC23*Inputs!$E$28</f>
        <v>-1193.5125</v>
      </c>
      <c r="AD29" s="66" t="n">
        <f aca="false">-AD23*Inputs!$E$28</f>
        <v>-1193.5125</v>
      </c>
      <c r="AE29" s="66" t="n">
        <f aca="false">-AE23*Inputs!$E$28</f>
        <v>-1193.5125</v>
      </c>
      <c r="AF29" s="66" t="n">
        <f aca="false">-AF23*Inputs!$E$28</f>
        <v>-1193.5125</v>
      </c>
      <c r="AG29" s="66" t="n">
        <f aca="false">-AG23*Inputs!$E$28</f>
        <v>-1193.5125</v>
      </c>
      <c r="AH29" s="66" t="n">
        <f aca="false">-AH23*Inputs!$E$28</f>
        <v>-1193.5125</v>
      </c>
      <c r="AI29" s="66" t="n">
        <f aca="false">-AI23*Inputs!$E$28</f>
        <v>-1193.5125</v>
      </c>
      <c r="AJ29" s="66" t="n">
        <f aca="false">-AJ23*Inputs!$E$28</f>
        <v>-1193.5125</v>
      </c>
      <c r="AK29" s="66" t="n">
        <f aca="false">-AK23*Inputs!$E$28</f>
        <v>-1193.5125</v>
      </c>
      <c r="AL29" s="66" t="n">
        <f aca="false">-AL23*Inputs!$E$28</f>
        <v>-1193.5125</v>
      </c>
    </row>
    <row r="30" customFormat="false" ht="15" hidden="false" customHeight="false" outlineLevel="0" collapsed="false">
      <c r="A30" s="4" t="s">
        <v>75</v>
      </c>
      <c r="C30" s="72" t="n">
        <f aca="false">C27+C28+C29</f>
        <v>-9415.35</v>
      </c>
      <c r="D30" s="72" t="n">
        <f aca="false">D27+D28+D29</f>
        <v>-9732.249</v>
      </c>
      <c r="E30" s="72" t="n">
        <f aca="false">E27+E28+E29</f>
        <v>-10030.13406</v>
      </c>
      <c r="F30" s="72" t="n">
        <f aca="false">F27+F28+F29</f>
        <v>-10310.1460164</v>
      </c>
      <c r="G30" s="72" t="n">
        <f aca="false">G27+G28+G29</f>
        <v>-10573.357255416</v>
      </c>
      <c r="H30" s="72" t="n">
        <f aca="false">H27+H28+H29</f>
        <v>-10820.775820091</v>
      </c>
      <c r="I30" s="72" t="n">
        <f aca="false">I27+I28+I29</f>
        <v>-11053.3492708856</v>
      </c>
      <c r="J30" s="72" t="n">
        <f aca="false">J27+J28+J29</f>
        <v>-11271.9683146324</v>
      </c>
      <c r="K30" s="72" t="n">
        <f aca="false">K27+K28+K29</f>
        <v>-11477.4702157545</v>
      </c>
      <c r="L30" s="72" t="n">
        <f aca="false">L27+L28+L29</f>
        <v>-11670.6420028092</v>
      </c>
      <c r="M30" s="72" t="n">
        <f aca="false">M27+M28+M29</f>
        <v>-11852.2234826407</v>
      </c>
      <c r="N30" s="72" t="n">
        <f aca="false">N27+N28+N29</f>
        <v>-12022.9100736822</v>
      </c>
      <c r="O30" s="72" t="n">
        <f aca="false">O27+O28+O29</f>
        <v>-12564.1856233391</v>
      </c>
      <c r="P30" s="72" t="n">
        <f aca="false">P27+P28+P29</f>
        <v>-12749.2680659388</v>
      </c>
      <c r="Q30" s="72" t="n">
        <f aca="false">Q27+Q28+Q29</f>
        <v>-12923.2455619825</v>
      </c>
      <c r="R30" s="72" t="n">
        <f aca="false">R27+R28+R29</f>
        <v>-13086.7844082635</v>
      </c>
      <c r="S30" s="72" t="n">
        <f aca="false">S27+S28+S29</f>
        <v>-13240.5109237677</v>
      </c>
      <c r="T30" s="72" t="n">
        <f aca="false">T27+T28+T29</f>
        <v>-13385.0138483416</v>
      </c>
      <c r="U30" s="72" t="n">
        <f aca="false">U27+U28+U29</f>
        <v>-13520.8465974411</v>
      </c>
      <c r="V30" s="72" t="n">
        <f aca="false">V27+V28+V29</f>
        <v>-13614.5062327808</v>
      </c>
      <c r="W30" s="72" t="n">
        <f aca="false">W27+W28+W29</f>
        <v>-13642.35</v>
      </c>
      <c r="X30" s="72" t="n">
        <f aca="false">X27+X28+X29</f>
        <v>-13642.35</v>
      </c>
      <c r="Y30" s="72" t="n">
        <f aca="false">Y27+Y28+Y29</f>
        <v>-13642.35</v>
      </c>
      <c r="Z30" s="72" t="n">
        <f aca="false">Z27+Z28+Z29</f>
        <v>-13642.35</v>
      </c>
      <c r="AA30" s="72" t="n">
        <f aca="false">AA27+AA28+AA29</f>
        <v>-14051.6205</v>
      </c>
      <c r="AB30" s="72" t="n">
        <f aca="false">AB27+AB28+AB29</f>
        <v>-14051.6205</v>
      </c>
      <c r="AC30" s="72" t="n">
        <f aca="false">AC27+AC28+AC29</f>
        <v>-14051.6205</v>
      </c>
      <c r="AD30" s="72" t="n">
        <f aca="false">AD27+AD28+AD29</f>
        <v>-14051.6205</v>
      </c>
      <c r="AE30" s="72" t="n">
        <f aca="false">AE27+AE28+AE29</f>
        <v>-14051.6205</v>
      </c>
      <c r="AF30" s="72" t="n">
        <f aca="false">AF27+AF28+AF29</f>
        <v>-14051.6205</v>
      </c>
      <c r="AG30" s="72" t="n">
        <f aca="false">AG27+AG28+AG29</f>
        <v>-14051.6205</v>
      </c>
      <c r="AH30" s="72" t="n">
        <f aca="false">AH27+AH28+AH29</f>
        <v>-14051.6205</v>
      </c>
      <c r="AI30" s="72" t="n">
        <f aca="false">AI27+AI28+AI29</f>
        <v>-14051.6205</v>
      </c>
      <c r="AJ30" s="72" t="n">
        <f aca="false">AJ27+AJ28+AJ29</f>
        <v>-14051.6205</v>
      </c>
      <c r="AK30" s="72" t="n">
        <f aca="false">AK27+AK28+AK29</f>
        <v>-14051.6205</v>
      </c>
      <c r="AL30" s="72" t="n">
        <f aca="false">AL27+AL28+AL29</f>
        <v>-14051.6205</v>
      </c>
    </row>
    <row r="31" customFormat="false" ht="15" hidden="false" customHeight="false" outlineLevel="0" collapsed="false">
      <c r="A31" s="110" t="s">
        <v>45</v>
      </c>
      <c r="C31" s="67" t="n">
        <f aca="false">C24+C30</f>
        <v>8707.65</v>
      </c>
      <c r="D31" s="67" t="n">
        <f aca="false">D24+D30</f>
        <v>11617.359</v>
      </c>
      <c r="E31" s="67" t="n">
        <f aca="false">E24+E30</f>
        <v>14352.48546</v>
      </c>
      <c r="F31" s="67" t="n">
        <f aca="false">F24+F30</f>
        <v>16923.5043324</v>
      </c>
      <c r="G31" s="67" t="n">
        <f aca="false">G24+G30</f>
        <v>19340.262072456</v>
      </c>
      <c r="H31" s="67" t="n">
        <f aca="false">H24+H30</f>
        <v>21612.0143481086</v>
      </c>
      <c r="I31" s="67" t="n">
        <f aca="false">I24+I30</f>
        <v>23747.4614872221</v>
      </c>
      <c r="J31" s="67" t="n">
        <f aca="false">J24+J30</f>
        <v>25754.7817979888</v>
      </c>
      <c r="K31" s="67" t="n">
        <f aca="false">K24+K30</f>
        <v>27641.6628901095</v>
      </c>
      <c r="L31" s="67" t="n">
        <f aca="false">L24+L30</f>
        <v>29415.3311167029</v>
      </c>
      <c r="M31" s="67" t="n">
        <f aca="false">M24+M30</f>
        <v>31082.5792497007</v>
      </c>
      <c r="N31" s="67" t="n">
        <f aca="false">N24+N30</f>
        <v>32649.7924947187</v>
      </c>
      <c r="O31" s="67" t="n">
        <f aca="false">O24+O30</f>
        <v>35411.5709233866</v>
      </c>
      <c r="P31" s="67" t="n">
        <f aca="false">P24+P30</f>
        <v>37110.9642599834</v>
      </c>
      <c r="Q31" s="67" t="n">
        <f aca="false">Q24+Q30</f>
        <v>38708.3939963844</v>
      </c>
      <c r="R31" s="67" t="n">
        <f aca="false">R24+R30</f>
        <v>40209.9779486013</v>
      </c>
      <c r="S31" s="67" t="n">
        <f aca="false">S24+S30</f>
        <v>41621.4668636853</v>
      </c>
      <c r="T31" s="67" t="n">
        <f aca="false">T24+T30</f>
        <v>42948.2664438641</v>
      </c>
      <c r="U31" s="67" t="n">
        <f aca="false">U24+U30</f>
        <v>44195.4580492323</v>
      </c>
      <c r="V31" s="67" t="n">
        <f aca="false">V24+V30</f>
        <v>44779.8644048082</v>
      </c>
      <c r="W31" s="67" t="n">
        <f aca="false">W24+W30</f>
        <v>44823.54</v>
      </c>
      <c r="X31" s="67" t="n">
        <f aca="false">X24+X30</f>
        <v>44823.54</v>
      </c>
      <c r="Y31" s="67" t="n">
        <f aca="false">Y24+Y30</f>
        <v>44823.54</v>
      </c>
      <c r="Z31" s="67" t="n">
        <f aca="false">Z24+Z30</f>
        <v>44823.54</v>
      </c>
      <c r="AA31" s="67" t="n">
        <f aca="false">AA24+AA30</f>
        <v>46168.2462</v>
      </c>
      <c r="AB31" s="67" t="n">
        <f aca="false">AB24+AB30</f>
        <v>46168.2462</v>
      </c>
      <c r="AC31" s="67" t="n">
        <f aca="false">AC24+AC30</f>
        <v>46168.2462</v>
      </c>
      <c r="AD31" s="67" t="n">
        <f aca="false">AD24+AD30</f>
        <v>46168.2462</v>
      </c>
      <c r="AE31" s="67" t="n">
        <f aca="false">AE24+AE30</f>
        <v>46168.2462</v>
      </c>
      <c r="AF31" s="67" t="n">
        <f aca="false">AF24+AF30</f>
        <v>46168.2462</v>
      </c>
      <c r="AG31" s="67" t="n">
        <f aca="false">AG24+AG30</f>
        <v>46168.2462</v>
      </c>
      <c r="AH31" s="67" t="n">
        <f aca="false">AH24+AH30</f>
        <v>46168.2462</v>
      </c>
      <c r="AI31" s="67" t="n">
        <f aca="false">AI24+AI30</f>
        <v>46168.2462</v>
      </c>
      <c r="AJ31" s="67" t="n">
        <f aca="false">AJ24+AJ30</f>
        <v>46168.2462</v>
      </c>
      <c r="AK31" s="67" t="n">
        <f aca="false">AK24+AK30</f>
        <v>46168.2462</v>
      </c>
      <c r="AL31" s="67" t="n">
        <f aca="false">AL24+AL30</f>
        <v>46168.2462</v>
      </c>
    </row>
    <row r="33" customFormat="false" ht="15.75" hidden="false" customHeight="true" outlineLevel="0" collapsed="false">
      <c r="A33" s="7" t="s">
        <v>47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</row>
    <row r="34" customFormat="false" ht="15" hidden="false" customHeight="false" outlineLevel="0" collapsed="false">
      <c r="A34" s="6" t="s">
        <v>320</v>
      </c>
      <c r="C34" s="68" t="n">
        <f aca="false">Headcount!C15</f>
        <v>-13841.6666666667</v>
      </c>
      <c r="D34" s="68" t="n">
        <f aca="false">Headcount!D15</f>
        <v>-13841.6666666667</v>
      </c>
      <c r="E34" s="68" t="n">
        <f aca="false">Headcount!E15</f>
        <v>-13841.6666666667</v>
      </c>
      <c r="F34" s="68" t="n">
        <f aca="false">Headcount!F15</f>
        <v>-13841.6666666667</v>
      </c>
      <c r="G34" s="68" t="n">
        <f aca="false">Headcount!G15</f>
        <v>-13841.6666666667</v>
      </c>
      <c r="H34" s="68" t="n">
        <f aca="false">Headcount!H15</f>
        <v>-13841.6666666667</v>
      </c>
      <c r="I34" s="68" t="n">
        <f aca="false">Headcount!I15</f>
        <v>-13841.6666666667</v>
      </c>
      <c r="J34" s="68" t="n">
        <f aca="false">Headcount!J15</f>
        <v>-13841.6666666667</v>
      </c>
      <c r="K34" s="68" t="n">
        <f aca="false">Headcount!K15</f>
        <v>-13841.6666666667</v>
      </c>
      <c r="L34" s="68" t="n">
        <f aca="false">Headcount!L15</f>
        <v>-13841.6666666667</v>
      </c>
      <c r="M34" s="68" t="n">
        <f aca="false">Headcount!M15</f>
        <v>-13841.6666666667</v>
      </c>
      <c r="N34" s="68" t="n">
        <f aca="false">Headcount!N15</f>
        <v>-13841.6666666667</v>
      </c>
      <c r="O34" s="68" t="n">
        <f aca="false">Headcount!O15</f>
        <v>-14256.9166666667</v>
      </c>
      <c r="P34" s="68" t="n">
        <f aca="false">Headcount!P15</f>
        <v>-14256.9166666667</v>
      </c>
      <c r="Q34" s="68" t="n">
        <f aca="false">Headcount!Q15</f>
        <v>-14256.9166666667</v>
      </c>
      <c r="R34" s="68" t="n">
        <f aca="false">Headcount!R15</f>
        <v>-14256.9166666667</v>
      </c>
      <c r="S34" s="68" t="n">
        <f aca="false">Headcount!S15</f>
        <v>-14256.9166666667</v>
      </c>
      <c r="T34" s="68" t="n">
        <f aca="false">Headcount!T15</f>
        <v>-14256.9166666667</v>
      </c>
      <c r="U34" s="68" t="n">
        <f aca="false">Headcount!U15</f>
        <v>-14256.9166666667</v>
      </c>
      <c r="V34" s="68" t="n">
        <f aca="false">Headcount!V15</f>
        <v>-14256.9166666667</v>
      </c>
      <c r="W34" s="68" t="n">
        <f aca="false">Headcount!W15</f>
        <v>-14256.9166666667</v>
      </c>
      <c r="X34" s="68" t="n">
        <f aca="false">Headcount!X15</f>
        <v>-14256.9166666667</v>
      </c>
      <c r="Y34" s="68" t="n">
        <f aca="false">Headcount!Y15</f>
        <v>-14256.9166666667</v>
      </c>
      <c r="Z34" s="68" t="n">
        <f aca="false">Headcount!Z15</f>
        <v>-14256.9166666667</v>
      </c>
      <c r="AA34" s="68" t="n">
        <f aca="false">Headcount!AA15</f>
        <v>-14684.6241666667</v>
      </c>
      <c r="AB34" s="68" t="n">
        <f aca="false">Headcount!AB15</f>
        <v>-14684.6241666667</v>
      </c>
      <c r="AC34" s="68" t="n">
        <f aca="false">Headcount!AC15</f>
        <v>-14684.6241666667</v>
      </c>
      <c r="AD34" s="68" t="n">
        <f aca="false">Headcount!AD15</f>
        <v>-14684.6241666667</v>
      </c>
      <c r="AE34" s="68" t="n">
        <f aca="false">Headcount!AE15</f>
        <v>-14684.6241666667</v>
      </c>
      <c r="AF34" s="68" t="n">
        <f aca="false">Headcount!AF15</f>
        <v>-14684.6241666667</v>
      </c>
      <c r="AG34" s="68" t="n">
        <f aca="false">Headcount!AG15</f>
        <v>-14684.6241666667</v>
      </c>
      <c r="AH34" s="68" t="n">
        <f aca="false">Headcount!AH15</f>
        <v>-14684.6241666667</v>
      </c>
      <c r="AI34" s="68" t="n">
        <f aca="false">Headcount!AI15</f>
        <v>-14684.6241666667</v>
      </c>
      <c r="AJ34" s="68" t="n">
        <f aca="false">Headcount!AJ15</f>
        <v>-14684.6241666667</v>
      </c>
      <c r="AK34" s="68" t="n">
        <f aca="false">Headcount!AK15</f>
        <v>-14684.6241666667</v>
      </c>
      <c r="AL34" s="68" t="n">
        <f aca="false">Headcount!AL15</f>
        <v>-14684.6241666667</v>
      </c>
    </row>
    <row r="35" customFormat="false" ht="15" hidden="false" customHeight="false" outlineLevel="0" collapsed="false">
      <c r="A35" s="6" t="s">
        <v>321</v>
      </c>
      <c r="C35" s="66" t="n">
        <f aca="false">-Inputs!$E$11*(1+Inputs!$E$12)^(C$5-1)*1</f>
        <v>-4000</v>
      </c>
      <c r="D35" s="66" t="n">
        <f aca="false">-Inputs!$E$11*(1+Inputs!$E$12)^(D$5-1)*1</f>
        <v>-4000</v>
      </c>
      <c r="E35" s="66" t="n">
        <f aca="false">-Inputs!$E$11*(1+Inputs!$E$12)^(E$5-1)*1</f>
        <v>-4000</v>
      </c>
      <c r="F35" s="66" t="n">
        <f aca="false">-Inputs!$E$11*(1+Inputs!$E$12)^(F$5-1)*1</f>
        <v>-4000</v>
      </c>
      <c r="G35" s="66" t="n">
        <f aca="false">-Inputs!$E$11*(1+Inputs!$E$12)^(G$5-1)*1</f>
        <v>-4000</v>
      </c>
      <c r="H35" s="66" t="n">
        <f aca="false">-Inputs!$E$11*(1+Inputs!$E$12)^(H$5-1)*1</f>
        <v>-4000</v>
      </c>
      <c r="I35" s="66" t="n">
        <f aca="false">-Inputs!$E$11*(1+Inputs!$E$12)^(I$5-1)*1</f>
        <v>-4000</v>
      </c>
      <c r="J35" s="66" t="n">
        <f aca="false">-Inputs!$E$11*(1+Inputs!$E$12)^(J$5-1)*1</f>
        <v>-4000</v>
      </c>
      <c r="K35" s="66" t="n">
        <f aca="false">-Inputs!$E$11*(1+Inputs!$E$12)^(K$5-1)*1</f>
        <v>-4000</v>
      </c>
      <c r="L35" s="66" t="n">
        <f aca="false">-Inputs!$E$11*(1+Inputs!$E$12)^(L$5-1)*1</f>
        <v>-4000</v>
      </c>
      <c r="M35" s="66" t="n">
        <f aca="false">-Inputs!$E$11*(1+Inputs!$E$12)^(M$5-1)*1</f>
        <v>-4000</v>
      </c>
      <c r="N35" s="66" t="n">
        <f aca="false">-Inputs!$E$11*(1+Inputs!$E$12)^(N$5-1)*1</f>
        <v>-4000</v>
      </c>
      <c r="O35" s="66" t="n">
        <f aca="false">-Inputs!$E$11*(1+Inputs!$E$12)^(O$5-1)*1</f>
        <v>-4200</v>
      </c>
      <c r="P35" s="66" t="n">
        <f aca="false">-Inputs!$E$11*(1+Inputs!$E$12)^(P$5-1)*1</f>
        <v>-4200</v>
      </c>
      <c r="Q35" s="66" t="n">
        <f aca="false">-Inputs!$E$11*(1+Inputs!$E$12)^(Q$5-1)*1</f>
        <v>-4200</v>
      </c>
      <c r="R35" s="66" t="n">
        <f aca="false">-Inputs!$E$11*(1+Inputs!$E$12)^(R$5-1)*1</f>
        <v>-4200</v>
      </c>
      <c r="S35" s="66" t="n">
        <f aca="false">-Inputs!$E$11*(1+Inputs!$E$12)^(S$5-1)*1</f>
        <v>-4200</v>
      </c>
      <c r="T35" s="66" t="n">
        <f aca="false">-Inputs!$E$11*(1+Inputs!$E$12)^(T$5-1)*1</f>
        <v>-4200</v>
      </c>
      <c r="U35" s="66" t="n">
        <f aca="false">-Inputs!$E$11*(1+Inputs!$E$12)^(U$5-1)*1</f>
        <v>-4200</v>
      </c>
      <c r="V35" s="66" t="n">
        <f aca="false">-Inputs!$E$11*(1+Inputs!$E$12)^(V$5-1)*1</f>
        <v>-4200</v>
      </c>
      <c r="W35" s="66" t="n">
        <f aca="false">-Inputs!$E$11*(1+Inputs!$E$12)^(W$5-1)*1</f>
        <v>-4200</v>
      </c>
      <c r="X35" s="66" t="n">
        <f aca="false">-Inputs!$E$11*(1+Inputs!$E$12)^(X$5-1)*1</f>
        <v>-4200</v>
      </c>
      <c r="Y35" s="66" t="n">
        <f aca="false">-Inputs!$E$11*(1+Inputs!$E$12)^(Y$5-1)*1</f>
        <v>-4200</v>
      </c>
      <c r="Z35" s="66" t="n">
        <f aca="false">-Inputs!$E$11*(1+Inputs!$E$12)^(Z$5-1)*1</f>
        <v>-4200</v>
      </c>
      <c r="AA35" s="66" t="n">
        <f aca="false">-Inputs!$E$11*(1+Inputs!$E$12)^(AA$5-1)*1</f>
        <v>-4410</v>
      </c>
      <c r="AB35" s="66" t="n">
        <f aca="false">-Inputs!$E$11*(1+Inputs!$E$12)^(AB$5-1)*1</f>
        <v>-4410</v>
      </c>
      <c r="AC35" s="66" t="n">
        <f aca="false">-Inputs!$E$11*(1+Inputs!$E$12)^(AC$5-1)*1</f>
        <v>-4410</v>
      </c>
      <c r="AD35" s="66" t="n">
        <f aca="false">-Inputs!$E$11*(1+Inputs!$E$12)^(AD$5-1)*1</f>
        <v>-4410</v>
      </c>
      <c r="AE35" s="66" t="n">
        <f aca="false">-Inputs!$E$11*(1+Inputs!$E$12)^(AE$5-1)*1</f>
        <v>-4410</v>
      </c>
      <c r="AF35" s="66" t="n">
        <f aca="false">-Inputs!$E$11*(1+Inputs!$E$12)^(AF$5-1)*1</f>
        <v>-4410</v>
      </c>
      <c r="AG35" s="66" t="n">
        <f aca="false">-Inputs!$E$11*(1+Inputs!$E$12)^(AG$5-1)*1</f>
        <v>-4410</v>
      </c>
      <c r="AH35" s="66" t="n">
        <f aca="false">-Inputs!$E$11*(1+Inputs!$E$12)^(AH$5-1)*1</f>
        <v>-4410</v>
      </c>
      <c r="AI35" s="66" t="n">
        <f aca="false">-Inputs!$E$11*(1+Inputs!$E$12)^(AI$5-1)*1</f>
        <v>-4410</v>
      </c>
      <c r="AJ35" s="66" t="n">
        <f aca="false">-Inputs!$E$11*(1+Inputs!$E$12)^(AJ$5-1)*1</f>
        <v>-4410</v>
      </c>
      <c r="AK35" s="66" t="n">
        <f aca="false">-Inputs!$E$11*(1+Inputs!$E$12)^(AK$5-1)*1</f>
        <v>-4410</v>
      </c>
      <c r="AL35" s="66" t="n">
        <f aca="false">-Inputs!$E$11*(1+Inputs!$E$12)^(AL$5-1)*1</f>
        <v>-4410</v>
      </c>
    </row>
    <row r="36" customFormat="false" ht="15" hidden="false" customHeight="false" outlineLevel="0" collapsed="false">
      <c r="A36" s="6" t="s">
        <v>322</v>
      </c>
      <c r="C36" s="66" t="n">
        <f aca="false">-Inputs!$E$33*1</f>
        <v>-12000</v>
      </c>
      <c r="D36" s="66" t="n">
        <f aca="false">-Inputs!$E$33*1</f>
        <v>-12000</v>
      </c>
      <c r="E36" s="66" t="n">
        <f aca="false">-Inputs!$E$33*1</f>
        <v>-12000</v>
      </c>
      <c r="F36" s="66" t="n">
        <f aca="false">-Inputs!$E$33*1</f>
        <v>-12000</v>
      </c>
      <c r="G36" s="66" t="n">
        <f aca="false">-Inputs!$E$33*1</f>
        <v>-12000</v>
      </c>
      <c r="H36" s="66" t="n">
        <f aca="false">-Inputs!$E$33*1</f>
        <v>-12000</v>
      </c>
      <c r="I36" s="66" t="n">
        <f aca="false">-Inputs!$E$33*1</f>
        <v>-12000</v>
      </c>
      <c r="J36" s="66" t="n">
        <f aca="false">-Inputs!$E$33*1</f>
        <v>-12000</v>
      </c>
      <c r="K36" s="66" t="n">
        <f aca="false">-Inputs!$E$33*1</f>
        <v>-12000</v>
      </c>
      <c r="L36" s="66" t="n">
        <f aca="false">-Inputs!$E$33*1</f>
        <v>-12000</v>
      </c>
      <c r="M36" s="66" t="n">
        <f aca="false">-Inputs!$E$33*1</f>
        <v>-12000</v>
      </c>
      <c r="N36" s="66" t="n">
        <f aca="false">-Inputs!$E$33*1</f>
        <v>-12000</v>
      </c>
      <c r="O36" s="66" t="n">
        <f aca="false">-Inputs!$E$33*1</f>
        <v>-12000</v>
      </c>
      <c r="P36" s="66" t="n">
        <f aca="false">-Inputs!$E$33*1</f>
        <v>-12000</v>
      </c>
      <c r="Q36" s="66" t="n">
        <f aca="false">-Inputs!$E$33*1</f>
        <v>-12000</v>
      </c>
      <c r="R36" s="66" t="n">
        <f aca="false">-Inputs!$E$33*1</f>
        <v>-12000</v>
      </c>
      <c r="S36" s="66" t="n">
        <f aca="false">-Inputs!$E$33*1</f>
        <v>-12000</v>
      </c>
      <c r="T36" s="66" t="n">
        <f aca="false">-Inputs!$E$33*1</f>
        <v>-12000</v>
      </c>
      <c r="U36" s="66" t="n">
        <f aca="false">-Inputs!$E$33*1</f>
        <v>-12000</v>
      </c>
      <c r="V36" s="66" t="n">
        <f aca="false">-Inputs!$E$33*1</f>
        <v>-12000</v>
      </c>
      <c r="W36" s="66" t="n">
        <f aca="false">-Inputs!$E$33*1</f>
        <v>-12000</v>
      </c>
      <c r="X36" s="66" t="n">
        <f aca="false">-Inputs!$E$33*1</f>
        <v>-12000</v>
      </c>
      <c r="Y36" s="66" t="n">
        <f aca="false">-Inputs!$E$33*1</f>
        <v>-12000</v>
      </c>
      <c r="Z36" s="66" t="n">
        <f aca="false">-Inputs!$E$33*1</f>
        <v>-12000</v>
      </c>
      <c r="AA36" s="66" t="n">
        <f aca="false">-Inputs!$E$33*1</f>
        <v>-12000</v>
      </c>
      <c r="AB36" s="66" t="n">
        <f aca="false">-Inputs!$E$33*1</f>
        <v>-12000</v>
      </c>
      <c r="AC36" s="66" t="n">
        <f aca="false">-Inputs!$E$33*1</f>
        <v>-12000</v>
      </c>
      <c r="AD36" s="66" t="n">
        <f aca="false">-Inputs!$E$33*1</f>
        <v>-12000</v>
      </c>
      <c r="AE36" s="66" t="n">
        <f aca="false">-Inputs!$E$33*1</f>
        <v>-12000</v>
      </c>
      <c r="AF36" s="66" t="n">
        <f aca="false">-Inputs!$E$33*1</f>
        <v>-12000</v>
      </c>
      <c r="AG36" s="66" t="n">
        <f aca="false">-Inputs!$E$33*1</f>
        <v>-12000</v>
      </c>
      <c r="AH36" s="66" t="n">
        <f aca="false">-Inputs!$E$33*1</f>
        <v>-12000</v>
      </c>
      <c r="AI36" s="66" t="n">
        <f aca="false">-Inputs!$E$33*1</f>
        <v>-12000</v>
      </c>
      <c r="AJ36" s="66" t="n">
        <f aca="false">-Inputs!$E$33*1</f>
        <v>-12000</v>
      </c>
      <c r="AK36" s="66" t="n">
        <f aca="false">-Inputs!$E$33*1</f>
        <v>-12000</v>
      </c>
      <c r="AL36" s="66" t="n">
        <f aca="false">-Inputs!$E$33*1</f>
        <v>-12000</v>
      </c>
    </row>
    <row r="37" customFormat="false" ht="15" hidden="false" customHeight="false" outlineLevel="0" collapsed="false">
      <c r="A37" s="6" t="s">
        <v>323</v>
      </c>
      <c r="C37" s="66" t="n">
        <f aca="false">-Inputs!$E$34*1</f>
        <v>-2200</v>
      </c>
      <c r="D37" s="66" t="n">
        <f aca="false">-Inputs!$E$34*1</f>
        <v>-2200</v>
      </c>
      <c r="E37" s="66" t="n">
        <f aca="false">-Inputs!$E$34*1</f>
        <v>-2200</v>
      </c>
      <c r="F37" s="66" t="n">
        <f aca="false">-Inputs!$E$34*1</f>
        <v>-2200</v>
      </c>
      <c r="G37" s="66" t="n">
        <f aca="false">-Inputs!$E$34*1</f>
        <v>-2200</v>
      </c>
      <c r="H37" s="66" t="n">
        <f aca="false">-Inputs!$E$34*1</f>
        <v>-2200</v>
      </c>
      <c r="I37" s="66" t="n">
        <f aca="false">-Inputs!$E$34*1</f>
        <v>-2200</v>
      </c>
      <c r="J37" s="66" t="n">
        <f aca="false">-Inputs!$E$34*1</f>
        <v>-2200</v>
      </c>
      <c r="K37" s="66" t="n">
        <f aca="false">-Inputs!$E$34*1</f>
        <v>-2200</v>
      </c>
      <c r="L37" s="66" t="n">
        <f aca="false">-Inputs!$E$34*1</f>
        <v>-2200</v>
      </c>
      <c r="M37" s="66" t="n">
        <f aca="false">-Inputs!$E$34*1</f>
        <v>-2200</v>
      </c>
      <c r="N37" s="66" t="n">
        <f aca="false">-Inputs!$E$34*1</f>
        <v>-2200</v>
      </c>
      <c r="O37" s="66" t="n">
        <f aca="false">-Inputs!$E$34*1</f>
        <v>-2200</v>
      </c>
      <c r="P37" s="66" t="n">
        <f aca="false">-Inputs!$E$34*1</f>
        <v>-2200</v>
      </c>
      <c r="Q37" s="66" t="n">
        <f aca="false">-Inputs!$E$34*1</f>
        <v>-2200</v>
      </c>
      <c r="R37" s="66" t="n">
        <f aca="false">-Inputs!$E$34*1</f>
        <v>-2200</v>
      </c>
      <c r="S37" s="66" t="n">
        <f aca="false">-Inputs!$E$34*1</f>
        <v>-2200</v>
      </c>
      <c r="T37" s="66" t="n">
        <f aca="false">-Inputs!$E$34*1</f>
        <v>-2200</v>
      </c>
      <c r="U37" s="66" t="n">
        <f aca="false">-Inputs!$E$34*1</f>
        <v>-2200</v>
      </c>
      <c r="V37" s="66" t="n">
        <f aca="false">-Inputs!$E$34*1</f>
        <v>-2200</v>
      </c>
      <c r="W37" s="66" t="n">
        <f aca="false">-Inputs!$E$34*1</f>
        <v>-2200</v>
      </c>
      <c r="X37" s="66" t="n">
        <f aca="false">-Inputs!$E$34*1</f>
        <v>-2200</v>
      </c>
      <c r="Y37" s="66" t="n">
        <f aca="false">-Inputs!$E$34*1</f>
        <v>-2200</v>
      </c>
      <c r="Z37" s="66" t="n">
        <f aca="false">-Inputs!$E$34*1</f>
        <v>-2200</v>
      </c>
      <c r="AA37" s="66" t="n">
        <f aca="false">-Inputs!$E$34*1</f>
        <v>-2200</v>
      </c>
      <c r="AB37" s="66" t="n">
        <f aca="false">-Inputs!$E$34*1</f>
        <v>-2200</v>
      </c>
      <c r="AC37" s="66" t="n">
        <f aca="false">-Inputs!$E$34*1</f>
        <v>-2200</v>
      </c>
      <c r="AD37" s="66" t="n">
        <f aca="false">-Inputs!$E$34*1</f>
        <v>-2200</v>
      </c>
      <c r="AE37" s="66" t="n">
        <f aca="false">-Inputs!$E$34*1</f>
        <v>-2200</v>
      </c>
      <c r="AF37" s="66" t="n">
        <f aca="false">-Inputs!$E$34*1</f>
        <v>-2200</v>
      </c>
      <c r="AG37" s="66" t="n">
        <f aca="false">-Inputs!$E$34*1</f>
        <v>-2200</v>
      </c>
      <c r="AH37" s="66" t="n">
        <f aca="false">-Inputs!$E$34*1</f>
        <v>-2200</v>
      </c>
      <c r="AI37" s="66" t="n">
        <f aca="false">-Inputs!$E$34*1</f>
        <v>-2200</v>
      </c>
      <c r="AJ37" s="66" t="n">
        <f aca="false">-Inputs!$E$34*1</f>
        <v>-2200</v>
      </c>
      <c r="AK37" s="66" t="n">
        <f aca="false">-Inputs!$E$34*1</f>
        <v>-2200</v>
      </c>
      <c r="AL37" s="66" t="n">
        <f aca="false">-Inputs!$E$34*1</f>
        <v>-2200</v>
      </c>
    </row>
    <row r="38" customFormat="false" ht="15" hidden="false" customHeight="false" outlineLevel="0" collapsed="false">
      <c r="A38" s="6" t="s">
        <v>324</v>
      </c>
      <c r="C38" s="66" t="n">
        <f aca="false">-Inputs!$E$35*1</f>
        <v>-1800</v>
      </c>
      <c r="D38" s="66" t="n">
        <f aca="false">-Inputs!$E$35*1</f>
        <v>-1800</v>
      </c>
      <c r="E38" s="66" t="n">
        <f aca="false">-Inputs!$E$35*1</f>
        <v>-1800</v>
      </c>
      <c r="F38" s="66" t="n">
        <f aca="false">-Inputs!$E$35*1</f>
        <v>-1800</v>
      </c>
      <c r="G38" s="66" t="n">
        <f aca="false">-Inputs!$E$35*1</f>
        <v>-1800</v>
      </c>
      <c r="H38" s="66" t="n">
        <f aca="false">-Inputs!$E$35*1</f>
        <v>-1800</v>
      </c>
      <c r="I38" s="66" t="n">
        <f aca="false">-Inputs!$E$35*1</f>
        <v>-1800</v>
      </c>
      <c r="J38" s="66" t="n">
        <f aca="false">-Inputs!$E$35*1</f>
        <v>-1800</v>
      </c>
      <c r="K38" s="66" t="n">
        <f aca="false">-Inputs!$E$35*1</f>
        <v>-1800</v>
      </c>
      <c r="L38" s="66" t="n">
        <f aca="false">-Inputs!$E$35*1</f>
        <v>-1800</v>
      </c>
      <c r="M38" s="66" t="n">
        <f aca="false">-Inputs!$E$35*1</f>
        <v>-1800</v>
      </c>
      <c r="N38" s="66" t="n">
        <f aca="false">-Inputs!$E$35*1</f>
        <v>-1800</v>
      </c>
      <c r="O38" s="66" t="n">
        <f aca="false">-Inputs!$E$35*1</f>
        <v>-1800</v>
      </c>
      <c r="P38" s="66" t="n">
        <f aca="false">-Inputs!$E$35*1</f>
        <v>-1800</v>
      </c>
      <c r="Q38" s="66" t="n">
        <f aca="false">-Inputs!$E$35*1</f>
        <v>-1800</v>
      </c>
      <c r="R38" s="66" t="n">
        <f aca="false">-Inputs!$E$35*1</f>
        <v>-1800</v>
      </c>
      <c r="S38" s="66" t="n">
        <f aca="false">-Inputs!$E$35*1</f>
        <v>-1800</v>
      </c>
      <c r="T38" s="66" t="n">
        <f aca="false">-Inputs!$E$35*1</f>
        <v>-1800</v>
      </c>
      <c r="U38" s="66" t="n">
        <f aca="false">-Inputs!$E$35*1</f>
        <v>-1800</v>
      </c>
      <c r="V38" s="66" t="n">
        <f aca="false">-Inputs!$E$35*1</f>
        <v>-1800</v>
      </c>
      <c r="W38" s="66" t="n">
        <f aca="false">-Inputs!$E$35*1</f>
        <v>-1800</v>
      </c>
      <c r="X38" s="66" t="n">
        <f aca="false">-Inputs!$E$35*1</f>
        <v>-1800</v>
      </c>
      <c r="Y38" s="66" t="n">
        <f aca="false">-Inputs!$E$35*1</f>
        <v>-1800</v>
      </c>
      <c r="Z38" s="66" t="n">
        <f aca="false">-Inputs!$E$35*1</f>
        <v>-1800</v>
      </c>
      <c r="AA38" s="66" t="n">
        <f aca="false">-Inputs!$E$35*1</f>
        <v>-1800</v>
      </c>
      <c r="AB38" s="66" t="n">
        <f aca="false">-Inputs!$E$35*1</f>
        <v>-1800</v>
      </c>
      <c r="AC38" s="66" t="n">
        <f aca="false">-Inputs!$E$35*1</f>
        <v>-1800</v>
      </c>
      <c r="AD38" s="66" t="n">
        <f aca="false">-Inputs!$E$35*1</f>
        <v>-1800</v>
      </c>
      <c r="AE38" s="66" t="n">
        <f aca="false">-Inputs!$E$35*1</f>
        <v>-1800</v>
      </c>
      <c r="AF38" s="66" t="n">
        <f aca="false">-Inputs!$E$35*1</f>
        <v>-1800</v>
      </c>
      <c r="AG38" s="66" t="n">
        <f aca="false">-Inputs!$E$35*1</f>
        <v>-1800</v>
      </c>
      <c r="AH38" s="66" t="n">
        <f aca="false">-Inputs!$E$35*1</f>
        <v>-1800</v>
      </c>
      <c r="AI38" s="66" t="n">
        <f aca="false">-Inputs!$E$35*1</f>
        <v>-1800</v>
      </c>
      <c r="AJ38" s="66" t="n">
        <f aca="false">-Inputs!$E$35*1</f>
        <v>-1800</v>
      </c>
      <c r="AK38" s="66" t="n">
        <f aca="false">-Inputs!$E$35*1</f>
        <v>-1800</v>
      </c>
      <c r="AL38" s="66" t="n">
        <f aca="false">-Inputs!$E$35*1</f>
        <v>-1800</v>
      </c>
    </row>
    <row r="39" customFormat="false" ht="15" hidden="false" customHeight="false" outlineLevel="0" collapsed="false">
      <c r="A39" s="6" t="s">
        <v>325</v>
      </c>
      <c r="C39" s="66" t="n">
        <f aca="false">-C24*Inputs!$E$36</f>
        <v>-724.92</v>
      </c>
      <c r="D39" s="66" t="n">
        <f aca="false">-D24*Inputs!$E$36</f>
        <v>-853.98432</v>
      </c>
      <c r="E39" s="66" t="n">
        <f aca="false">-E24*Inputs!$E$36</f>
        <v>-975.3047808</v>
      </c>
      <c r="F39" s="66" t="n">
        <f aca="false">-F24*Inputs!$E$36</f>
        <v>-1089.346013952</v>
      </c>
      <c r="G39" s="66" t="n">
        <f aca="false">-G24*Inputs!$E$36</f>
        <v>-1196.54477311488</v>
      </c>
      <c r="H39" s="66" t="n">
        <f aca="false">-H24*Inputs!$E$36</f>
        <v>-1297.31160672799</v>
      </c>
      <c r="I39" s="66" t="n">
        <f aca="false">-I24*Inputs!$E$36</f>
        <v>-1392.03243032431</v>
      </c>
      <c r="J39" s="66" t="n">
        <f aca="false">-J24*Inputs!$E$36</f>
        <v>-1481.07000450485</v>
      </c>
      <c r="K39" s="66" t="n">
        <f aca="false">-K24*Inputs!$E$36</f>
        <v>-1564.76532423456</v>
      </c>
      <c r="L39" s="66" t="n">
        <f aca="false">-L24*Inputs!$E$36</f>
        <v>-1643.43892478048</v>
      </c>
      <c r="M39" s="66" t="n">
        <f aca="false">-M24*Inputs!$E$36</f>
        <v>-1717.39210929366</v>
      </c>
      <c r="N39" s="66" t="n">
        <f aca="false">-N24*Inputs!$E$36</f>
        <v>-1786.90810273604</v>
      </c>
      <c r="O39" s="66" t="n">
        <f aca="false">-O24*Inputs!$E$36</f>
        <v>-1919.03026186903</v>
      </c>
      <c r="P39" s="66" t="n">
        <f aca="false">-P24*Inputs!$E$36</f>
        <v>-1994.40929303689</v>
      </c>
      <c r="Q39" s="66" t="n">
        <f aca="false">-Q24*Inputs!$E$36</f>
        <v>-2065.26558233467</v>
      </c>
      <c r="R39" s="66" t="n">
        <f aca="false">-R24*Inputs!$E$36</f>
        <v>-2131.87049427459</v>
      </c>
      <c r="S39" s="66" t="n">
        <f aca="false">-S24*Inputs!$E$36</f>
        <v>-2194.47911149812</v>
      </c>
      <c r="T39" s="66" t="n">
        <f aca="false">-T24*Inputs!$E$36</f>
        <v>-2253.33121168823</v>
      </c>
      <c r="U39" s="66" t="n">
        <f aca="false">-U24*Inputs!$E$36</f>
        <v>-2308.65218586694</v>
      </c>
      <c r="V39" s="66" t="n">
        <f aca="false">-V24*Inputs!$E$36</f>
        <v>-2335.77482550356</v>
      </c>
      <c r="W39" s="66" t="n">
        <f aca="false">-W24*Inputs!$E$36</f>
        <v>-2338.6356</v>
      </c>
      <c r="X39" s="66" t="n">
        <f aca="false">-X24*Inputs!$E$36</f>
        <v>-2338.6356</v>
      </c>
      <c r="Y39" s="66" t="n">
        <f aca="false">-Y24*Inputs!$E$36</f>
        <v>-2338.6356</v>
      </c>
      <c r="Z39" s="66" t="n">
        <f aca="false">-Z24*Inputs!$E$36</f>
        <v>-2338.6356</v>
      </c>
      <c r="AA39" s="66" t="n">
        <f aca="false">-AA24*Inputs!$E$36</f>
        <v>-2408.794668</v>
      </c>
      <c r="AB39" s="66" t="n">
        <f aca="false">-AB24*Inputs!$E$36</f>
        <v>-2408.794668</v>
      </c>
      <c r="AC39" s="66" t="n">
        <f aca="false">-AC24*Inputs!$E$36</f>
        <v>-2408.794668</v>
      </c>
      <c r="AD39" s="66" t="n">
        <f aca="false">-AD24*Inputs!$E$36</f>
        <v>-2408.794668</v>
      </c>
      <c r="AE39" s="66" t="n">
        <f aca="false">-AE24*Inputs!$E$36</f>
        <v>-2408.794668</v>
      </c>
      <c r="AF39" s="66" t="n">
        <f aca="false">-AF24*Inputs!$E$36</f>
        <v>-2408.794668</v>
      </c>
      <c r="AG39" s="66" t="n">
        <f aca="false">-AG24*Inputs!$E$36</f>
        <v>-2408.794668</v>
      </c>
      <c r="AH39" s="66" t="n">
        <f aca="false">-AH24*Inputs!$E$36</f>
        <v>-2408.794668</v>
      </c>
      <c r="AI39" s="66" t="n">
        <f aca="false">-AI24*Inputs!$E$36</f>
        <v>-2408.794668</v>
      </c>
      <c r="AJ39" s="66" t="n">
        <f aca="false">-AJ24*Inputs!$E$36</f>
        <v>-2408.794668</v>
      </c>
      <c r="AK39" s="66" t="n">
        <f aca="false">-AK24*Inputs!$E$36</f>
        <v>-2408.794668</v>
      </c>
      <c r="AL39" s="66" t="n">
        <f aca="false">-AL24*Inputs!$E$36</f>
        <v>-2408.794668</v>
      </c>
    </row>
    <row r="40" customFormat="false" ht="15" hidden="false" customHeight="false" outlineLevel="0" collapsed="false">
      <c r="A40" s="6" t="s">
        <v>326</v>
      </c>
      <c r="C40" s="66" t="n">
        <f aca="false">-Inputs!$E$37*1</f>
        <v>-2000</v>
      </c>
      <c r="D40" s="66" t="n">
        <f aca="false">-Inputs!$E$37*1</f>
        <v>-2000</v>
      </c>
      <c r="E40" s="66" t="n">
        <f aca="false">-Inputs!$E$37*1</f>
        <v>-2000</v>
      </c>
      <c r="F40" s="66" t="n">
        <f aca="false">-Inputs!$E$37*1</f>
        <v>-2000</v>
      </c>
      <c r="G40" s="66" t="n">
        <f aca="false">-Inputs!$E$37*1</f>
        <v>-2000</v>
      </c>
      <c r="H40" s="66" t="n">
        <f aca="false">-Inputs!$E$37*1</f>
        <v>-2000</v>
      </c>
      <c r="I40" s="66" t="n">
        <f aca="false">-Inputs!$E$37*1</f>
        <v>-2000</v>
      </c>
      <c r="J40" s="66" t="n">
        <f aca="false">-Inputs!$E$37*1</f>
        <v>-2000</v>
      </c>
      <c r="K40" s="66" t="n">
        <f aca="false">-Inputs!$E$37*1</f>
        <v>-2000</v>
      </c>
      <c r="L40" s="66" t="n">
        <f aca="false">-Inputs!$E$37*1</f>
        <v>-2000</v>
      </c>
      <c r="M40" s="66" t="n">
        <f aca="false">-Inputs!$E$37*1</f>
        <v>-2000</v>
      </c>
      <c r="N40" s="66" t="n">
        <f aca="false">-Inputs!$E$37*1</f>
        <v>-2000</v>
      </c>
      <c r="O40" s="66" t="n">
        <f aca="false">-Inputs!$E$37*1</f>
        <v>-2000</v>
      </c>
      <c r="P40" s="66" t="n">
        <f aca="false">-Inputs!$E$37*1</f>
        <v>-2000</v>
      </c>
      <c r="Q40" s="66" t="n">
        <f aca="false">-Inputs!$E$37*1</f>
        <v>-2000</v>
      </c>
      <c r="R40" s="66" t="n">
        <f aca="false">-Inputs!$E$37*1</f>
        <v>-2000</v>
      </c>
      <c r="S40" s="66" t="n">
        <f aca="false">-Inputs!$E$37*1</f>
        <v>-2000</v>
      </c>
      <c r="T40" s="66" t="n">
        <f aca="false">-Inputs!$E$37*1</f>
        <v>-2000</v>
      </c>
      <c r="U40" s="66" t="n">
        <f aca="false">-Inputs!$E$37*1</f>
        <v>-2000</v>
      </c>
      <c r="V40" s="66" t="n">
        <f aca="false">-Inputs!$E$37*1</f>
        <v>-2000</v>
      </c>
      <c r="W40" s="66" t="n">
        <f aca="false">-Inputs!$E$37*1</f>
        <v>-2000</v>
      </c>
      <c r="X40" s="66" t="n">
        <f aca="false">-Inputs!$E$37*1</f>
        <v>-2000</v>
      </c>
      <c r="Y40" s="66" t="n">
        <f aca="false">-Inputs!$E$37*1</f>
        <v>-2000</v>
      </c>
      <c r="Z40" s="66" t="n">
        <f aca="false">-Inputs!$E$37*1</f>
        <v>-2000</v>
      </c>
      <c r="AA40" s="66" t="n">
        <f aca="false">-Inputs!$E$37*1</f>
        <v>-2000</v>
      </c>
      <c r="AB40" s="66" t="n">
        <f aca="false">-Inputs!$E$37*1</f>
        <v>-2000</v>
      </c>
      <c r="AC40" s="66" t="n">
        <f aca="false">-Inputs!$E$37*1</f>
        <v>-2000</v>
      </c>
      <c r="AD40" s="66" t="n">
        <f aca="false">-Inputs!$E$37*1</f>
        <v>-2000</v>
      </c>
      <c r="AE40" s="66" t="n">
        <f aca="false">-Inputs!$E$37*1</f>
        <v>-2000</v>
      </c>
      <c r="AF40" s="66" t="n">
        <f aca="false">-Inputs!$E$37*1</f>
        <v>-2000</v>
      </c>
      <c r="AG40" s="66" t="n">
        <f aca="false">-Inputs!$E$37*1</f>
        <v>-2000</v>
      </c>
      <c r="AH40" s="66" t="n">
        <f aca="false">-Inputs!$E$37*1</f>
        <v>-2000</v>
      </c>
      <c r="AI40" s="66" t="n">
        <f aca="false">-Inputs!$E$37*1</f>
        <v>-2000</v>
      </c>
      <c r="AJ40" s="66" t="n">
        <f aca="false">-Inputs!$E$37*1</f>
        <v>-2000</v>
      </c>
      <c r="AK40" s="66" t="n">
        <f aca="false">-Inputs!$E$37*1</f>
        <v>-2000</v>
      </c>
      <c r="AL40" s="66" t="n">
        <f aca="false">-Inputs!$E$37*1</f>
        <v>-2000</v>
      </c>
    </row>
    <row r="41" customFormat="false" ht="15" hidden="false" customHeight="false" outlineLevel="0" collapsed="false">
      <c r="A41" s="110" t="s">
        <v>76</v>
      </c>
      <c r="C41" s="67" t="n">
        <f aca="false">C34+C35+C36+C37+C38+C39+C40</f>
        <v>-36566.5866666667</v>
      </c>
      <c r="D41" s="67" t="n">
        <f aca="false">D34+D35+D36+D37+D38+D39+D40</f>
        <v>-36695.6509866667</v>
      </c>
      <c r="E41" s="67" t="n">
        <f aca="false">E34+E35+E36+E37+E38+E39+E40</f>
        <v>-36816.9714474667</v>
      </c>
      <c r="F41" s="67" t="n">
        <f aca="false">F34+F35+F36+F37+F38+F39+F40</f>
        <v>-36931.0126806187</v>
      </c>
      <c r="G41" s="67" t="n">
        <f aca="false">G34+G35+G36+G37+G38+G39+G40</f>
        <v>-37038.2114397816</v>
      </c>
      <c r="H41" s="67" t="n">
        <f aca="false">H34+H35+H36+H37+H38+H39+H40</f>
        <v>-37138.9782733947</v>
      </c>
      <c r="I41" s="67" t="n">
        <f aca="false">I34+I35+I36+I37+I38+I39+I40</f>
        <v>-37233.699096991</v>
      </c>
      <c r="J41" s="67" t="n">
        <f aca="false">J34+J35+J36+J37+J38+J39+J40</f>
        <v>-37322.7366711715</v>
      </c>
      <c r="K41" s="67" t="n">
        <f aca="false">K34+K35+K36+K37+K38+K39+K40</f>
        <v>-37406.4319909012</v>
      </c>
      <c r="L41" s="67" t="n">
        <f aca="false">L34+L35+L36+L37+L38+L39+L40</f>
        <v>-37485.1055914472</v>
      </c>
      <c r="M41" s="67" t="n">
        <f aca="false">M34+M35+M36+M37+M38+M39+M40</f>
        <v>-37559.0587759603</v>
      </c>
      <c r="N41" s="67" t="n">
        <f aca="false">N34+N35+N36+N37+N38+N39+N40</f>
        <v>-37628.5747694027</v>
      </c>
      <c r="O41" s="67" t="n">
        <f aca="false">O34+O35+O36+O37+O38+O39+O40</f>
        <v>-38375.9469285357</v>
      </c>
      <c r="P41" s="67" t="n">
        <f aca="false">P34+P35+P36+P37+P38+P39+P40</f>
        <v>-38451.3259597036</v>
      </c>
      <c r="Q41" s="67" t="n">
        <f aca="false">Q34+Q35+Q36+Q37+Q38+Q39+Q40</f>
        <v>-38522.1822490013</v>
      </c>
      <c r="R41" s="67" t="n">
        <f aca="false">R34+R35+R36+R37+R38+R39+R40</f>
        <v>-38588.7871609413</v>
      </c>
      <c r="S41" s="67" t="n">
        <f aca="false">S34+S35+S36+S37+S38+S39+S40</f>
        <v>-38651.3957781648</v>
      </c>
      <c r="T41" s="67" t="n">
        <f aca="false">T34+T35+T36+T37+T38+T39+T40</f>
        <v>-38710.2478783549</v>
      </c>
      <c r="U41" s="67" t="n">
        <f aca="false">U34+U35+U36+U37+U38+U39+U40</f>
        <v>-38765.5688525336</v>
      </c>
      <c r="V41" s="67" t="n">
        <f aca="false">V34+V35+V36+V37+V38+V39+V40</f>
        <v>-38792.6914921702</v>
      </c>
      <c r="W41" s="67" t="n">
        <f aca="false">W34+W35+W36+W37+W38+W39+W40</f>
        <v>-38795.5522666667</v>
      </c>
      <c r="X41" s="67" t="n">
        <f aca="false">X34+X35+X36+X37+X38+X39+X40</f>
        <v>-38795.5522666667</v>
      </c>
      <c r="Y41" s="67" t="n">
        <f aca="false">Y34+Y35+Y36+Y37+Y38+Y39+Y40</f>
        <v>-38795.5522666667</v>
      </c>
      <c r="Z41" s="67" t="n">
        <f aca="false">Z34+Z35+Z36+Z37+Z38+Z39+Z40</f>
        <v>-38795.5522666667</v>
      </c>
      <c r="AA41" s="67" t="n">
        <f aca="false">AA34+AA35+AA36+AA37+AA38+AA39+AA40</f>
        <v>-39503.4188346667</v>
      </c>
      <c r="AB41" s="67" t="n">
        <f aca="false">AB34+AB35+AB36+AB37+AB38+AB39+AB40</f>
        <v>-39503.4188346667</v>
      </c>
      <c r="AC41" s="67" t="n">
        <f aca="false">AC34+AC35+AC36+AC37+AC38+AC39+AC40</f>
        <v>-39503.4188346667</v>
      </c>
      <c r="AD41" s="67" t="n">
        <f aca="false">AD34+AD35+AD36+AD37+AD38+AD39+AD40</f>
        <v>-39503.4188346667</v>
      </c>
      <c r="AE41" s="67" t="n">
        <f aca="false">AE34+AE35+AE36+AE37+AE38+AE39+AE40</f>
        <v>-39503.4188346667</v>
      </c>
      <c r="AF41" s="67" t="n">
        <f aca="false">AF34+AF35+AF36+AF37+AF38+AF39+AF40</f>
        <v>-39503.4188346667</v>
      </c>
      <c r="AG41" s="67" t="n">
        <f aca="false">AG34+AG35+AG36+AG37+AG38+AG39+AG40</f>
        <v>-39503.4188346667</v>
      </c>
      <c r="AH41" s="67" t="n">
        <f aca="false">AH34+AH35+AH36+AH37+AH38+AH39+AH40</f>
        <v>-39503.4188346667</v>
      </c>
      <c r="AI41" s="67" t="n">
        <f aca="false">AI34+AI35+AI36+AI37+AI38+AI39+AI40</f>
        <v>-39503.4188346667</v>
      </c>
      <c r="AJ41" s="67" t="n">
        <f aca="false">AJ34+AJ35+AJ36+AJ37+AJ38+AJ39+AJ40</f>
        <v>-39503.4188346667</v>
      </c>
      <c r="AK41" s="67" t="n">
        <f aca="false">AK34+AK35+AK36+AK37+AK38+AK39+AK40</f>
        <v>-39503.4188346667</v>
      </c>
      <c r="AL41" s="67" t="n">
        <f aca="false">AL34+AL35+AL36+AL37+AL38+AL39+AL40</f>
        <v>-39503.4188346667</v>
      </c>
    </row>
    <row r="42" customFormat="false" ht="15" hidden="false" customHeight="false" outlineLevel="0" collapsed="false">
      <c r="A42" s="110" t="s">
        <v>48</v>
      </c>
      <c r="C42" s="67" t="n">
        <f aca="false">C31+C41</f>
        <v>-27858.9366666667</v>
      </c>
      <c r="D42" s="67" t="n">
        <f aca="false">D31+D41</f>
        <v>-25078.2919866667</v>
      </c>
      <c r="E42" s="67" t="n">
        <f aca="false">E31+E41</f>
        <v>-22464.4859874667</v>
      </c>
      <c r="F42" s="67" t="n">
        <f aca="false">F31+F41</f>
        <v>-20007.5083482187</v>
      </c>
      <c r="G42" s="67" t="n">
        <f aca="false">G31+G41</f>
        <v>-17697.9493673256</v>
      </c>
      <c r="H42" s="67" t="n">
        <f aca="false">H31+H41</f>
        <v>-15526.963925286</v>
      </c>
      <c r="I42" s="67" t="n">
        <f aca="false">I31+I41</f>
        <v>-13486.2376097689</v>
      </c>
      <c r="J42" s="67" t="n">
        <f aca="false">J31+J41</f>
        <v>-11567.9548731827</v>
      </c>
      <c r="K42" s="67" t="n">
        <f aca="false">K31+K41</f>
        <v>-9764.76910079178</v>
      </c>
      <c r="L42" s="67" t="n">
        <f aca="false">L31+L41</f>
        <v>-8069.77447474427</v>
      </c>
      <c r="M42" s="67" t="n">
        <f aca="false">M31+M41</f>
        <v>-6476.47952625962</v>
      </c>
      <c r="N42" s="67" t="n">
        <f aca="false">N31+N41</f>
        <v>-4978.78227468404</v>
      </c>
      <c r="O42" s="67" t="n">
        <f aca="false">O31+O41</f>
        <v>-2964.3760051491</v>
      </c>
      <c r="P42" s="67" t="n">
        <f aca="false">P31+P41</f>
        <v>-1340.36169972015</v>
      </c>
      <c r="Q42" s="67" t="n">
        <f aca="false">Q31+Q41</f>
        <v>186.211747383044</v>
      </c>
      <c r="R42" s="67" t="n">
        <f aca="false">R31+R41</f>
        <v>1621.19078766005</v>
      </c>
      <c r="S42" s="67" t="n">
        <f aca="false">S31+S41</f>
        <v>2970.07108552046</v>
      </c>
      <c r="T42" s="67" t="n">
        <f aca="false">T31+T41</f>
        <v>4238.01856550924</v>
      </c>
      <c r="U42" s="67" t="n">
        <f aca="false">U31+U41</f>
        <v>5429.88919669868</v>
      </c>
      <c r="V42" s="67" t="n">
        <f aca="false">V31+V41</f>
        <v>5987.17291263794</v>
      </c>
      <c r="W42" s="67" t="n">
        <f aca="false">W31+W41</f>
        <v>6027.98773333333</v>
      </c>
      <c r="X42" s="67" t="n">
        <f aca="false">X31+X41</f>
        <v>6027.98773333333</v>
      </c>
      <c r="Y42" s="67" t="n">
        <f aca="false">Y31+Y41</f>
        <v>6027.98773333333</v>
      </c>
      <c r="Z42" s="67" t="n">
        <f aca="false">Z31+Z41</f>
        <v>6027.98773333333</v>
      </c>
      <c r="AA42" s="67" t="n">
        <f aca="false">AA31+AA41</f>
        <v>6664.82736533334</v>
      </c>
      <c r="AB42" s="67" t="n">
        <f aca="false">AB31+AB41</f>
        <v>6664.82736533334</v>
      </c>
      <c r="AC42" s="67" t="n">
        <f aca="false">AC31+AC41</f>
        <v>6664.82736533334</v>
      </c>
      <c r="AD42" s="67" t="n">
        <f aca="false">AD31+AD41</f>
        <v>6664.82736533334</v>
      </c>
      <c r="AE42" s="67" t="n">
        <f aca="false">AE31+AE41</f>
        <v>6664.82736533334</v>
      </c>
      <c r="AF42" s="67" t="n">
        <f aca="false">AF31+AF41</f>
        <v>6664.82736533334</v>
      </c>
      <c r="AG42" s="67" t="n">
        <f aca="false">AG31+AG41</f>
        <v>6664.82736533334</v>
      </c>
      <c r="AH42" s="67" t="n">
        <f aca="false">AH31+AH41</f>
        <v>6664.82736533334</v>
      </c>
      <c r="AI42" s="67" t="n">
        <f aca="false">AI31+AI41</f>
        <v>6664.82736533334</v>
      </c>
      <c r="AJ42" s="67" t="n">
        <f aca="false">AJ31+AJ41</f>
        <v>6664.82736533334</v>
      </c>
      <c r="AK42" s="67" t="n">
        <f aca="false">AK31+AK41</f>
        <v>6664.82736533334</v>
      </c>
      <c r="AL42" s="67" t="n">
        <f aca="false">AL31+AL41</f>
        <v>6664.82736533334</v>
      </c>
    </row>
    <row r="44" customFormat="false" ht="15.75" hidden="false" customHeight="true" outlineLevel="0" collapsed="false">
      <c r="A44" s="7" t="s">
        <v>387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</row>
    <row r="45" customFormat="false" ht="15" hidden="false" customHeight="false" outlineLevel="0" collapsed="false">
      <c r="A45" s="4" t="s">
        <v>78</v>
      </c>
      <c r="C45" s="72" t="n">
        <f aca="false">C42+C56</f>
        <v>-30835.1271428571</v>
      </c>
      <c r="D45" s="72" t="n">
        <f aca="false">D42+D56</f>
        <v>-28054.4824628572</v>
      </c>
      <c r="E45" s="72" t="n">
        <f aca="false">E42+E56</f>
        <v>-25440.6764636572</v>
      </c>
      <c r="F45" s="72" t="n">
        <f aca="false">F42+F56</f>
        <v>-22983.6988244092</v>
      </c>
      <c r="G45" s="72" t="n">
        <f aca="false">G42+G56</f>
        <v>-20674.139843516</v>
      </c>
      <c r="H45" s="72" t="n">
        <f aca="false">H42+H56</f>
        <v>-18503.1544014765</v>
      </c>
      <c r="I45" s="72" t="n">
        <f aca="false">I42+I56</f>
        <v>-16462.4280859593</v>
      </c>
      <c r="J45" s="72" t="n">
        <f aca="false">J42+J56</f>
        <v>-14544.1453493732</v>
      </c>
      <c r="K45" s="72" t="n">
        <f aca="false">K42+K56</f>
        <v>-12740.9595769823</v>
      </c>
      <c r="L45" s="72" t="n">
        <f aca="false">L42+L56</f>
        <v>-11045.9649509347</v>
      </c>
      <c r="M45" s="72" t="n">
        <f aca="false">M42+M56</f>
        <v>-9452.67000245009</v>
      </c>
      <c r="N45" s="72" t="n">
        <f aca="false">N42+N56</f>
        <v>-7954.97275087452</v>
      </c>
      <c r="O45" s="72" t="n">
        <f aca="false">O42+O56</f>
        <v>-5940.56648133957</v>
      </c>
      <c r="P45" s="72" t="n">
        <f aca="false">P42+P56</f>
        <v>-4316.55217591062</v>
      </c>
      <c r="Q45" s="72" t="n">
        <f aca="false">Q42+Q56</f>
        <v>-2789.97872880743</v>
      </c>
      <c r="R45" s="72" t="n">
        <f aca="false">R42+R56</f>
        <v>-1354.99968853042</v>
      </c>
      <c r="S45" s="72" t="n">
        <f aca="false">S42+S56</f>
        <v>-6.1193906700164</v>
      </c>
      <c r="T45" s="72" t="n">
        <f aca="false">T42+T56</f>
        <v>1261.82808931876</v>
      </c>
      <c r="U45" s="72" t="n">
        <f aca="false">U42+U56</f>
        <v>2453.6987205082</v>
      </c>
      <c r="V45" s="72" t="n">
        <f aca="false">V42+V56</f>
        <v>3010.98243644747</v>
      </c>
      <c r="W45" s="72" t="n">
        <f aca="false">W42+W56</f>
        <v>3051.79725714285</v>
      </c>
      <c r="X45" s="72" t="n">
        <f aca="false">X42+X56</f>
        <v>3051.79725714285</v>
      </c>
      <c r="Y45" s="72" t="n">
        <f aca="false">Y42+Y56</f>
        <v>3051.79725714285</v>
      </c>
      <c r="Z45" s="72" t="n">
        <f aca="false">Z42+Z56</f>
        <v>3051.79725714285</v>
      </c>
      <c r="AA45" s="72" t="n">
        <f aca="false">AA42+AA56</f>
        <v>3688.63688914286</v>
      </c>
      <c r="AB45" s="72" t="n">
        <f aca="false">AB42+AB56</f>
        <v>3688.63688914286</v>
      </c>
      <c r="AC45" s="72" t="n">
        <f aca="false">AC42+AC56</f>
        <v>3688.63688914286</v>
      </c>
      <c r="AD45" s="72" t="n">
        <f aca="false">AD42+AD56</f>
        <v>3688.63688914286</v>
      </c>
      <c r="AE45" s="72" t="n">
        <f aca="false">AE42+AE56</f>
        <v>3688.63688914286</v>
      </c>
      <c r="AF45" s="72" t="n">
        <f aca="false">AF42+AF56</f>
        <v>3688.63688914286</v>
      </c>
      <c r="AG45" s="72" t="n">
        <f aca="false">AG42+AG56</f>
        <v>3688.63688914286</v>
      </c>
      <c r="AH45" s="72" t="n">
        <f aca="false">AH42+AH56</f>
        <v>3688.63688914286</v>
      </c>
      <c r="AI45" s="72" t="n">
        <f aca="false">AI42+AI56</f>
        <v>3688.63688914286</v>
      </c>
      <c r="AJ45" s="72" t="n">
        <f aca="false">AJ42+AJ56</f>
        <v>3688.63688914286</v>
      </c>
      <c r="AK45" s="72" t="n">
        <f aca="false">AK42+AK56</f>
        <v>3688.63688914286</v>
      </c>
      <c r="AL45" s="72" t="n">
        <f aca="false">AL42+AL56</f>
        <v>3688.63688914286</v>
      </c>
    </row>
    <row r="46" customFormat="false" ht="15" hidden="false" customHeight="false" outlineLevel="0" collapsed="false">
      <c r="A46" s="6" t="s">
        <v>388</v>
      </c>
      <c r="C46" s="66" t="n">
        <f aca="false">-(C61+C62+C64)/2*Inputs!$E$56/12</f>
        <v>-1000</v>
      </c>
      <c r="D46" s="66" t="n">
        <f aca="false">-(D61+D62+D64)/2*Inputs!$E$56/12</f>
        <v>-994.047619047619</v>
      </c>
      <c r="E46" s="66" t="n">
        <f aca="false">-(E61+E62+E64)/2*Inputs!$E$56/12</f>
        <v>-982.142857142857</v>
      </c>
      <c r="F46" s="66" t="n">
        <f aca="false">-(F61+F62+F64)/2*Inputs!$E$56/12</f>
        <v>-970.238095238095</v>
      </c>
      <c r="G46" s="66" t="n">
        <f aca="false">-(G61+G62+G64)/2*Inputs!$E$56/12</f>
        <v>-958.333333333333</v>
      </c>
      <c r="H46" s="66" t="n">
        <f aca="false">-(H61+H62+H64)/2*Inputs!$E$56/12</f>
        <v>-946.428571428571</v>
      </c>
      <c r="I46" s="66" t="n">
        <f aca="false">-(I61+I62+I64)/2*Inputs!$E$56/12</f>
        <v>-934.52380952381</v>
      </c>
      <c r="J46" s="66" t="n">
        <f aca="false">-(J61+J62+J64)/2*Inputs!$E$56/12</f>
        <v>-922.619047619047</v>
      </c>
      <c r="K46" s="66" t="n">
        <f aca="false">-(K61+K62+K64)/2*Inputs!$E$56/12</f>
        <v>-910.714285714286</v>
      </c>
      <c r="L46" s="66" t="n">
        <f aca="false">-(L61+L62+L64)/2*Inputs!$E$56/12</f>
        <v>-898.809523809524</v>
      </c>
      <c r="M46" s="66" t="n">
        <f aca="false">-(M61+M62+M64)/2*Inputs!$E$56/12</f>
        <v>-886.904761904762</v>
      </c>
      <c r="N46" s="66" t="n">
        <f aca="false">-(N61+N62+N64)/2*Inputs!$E$56/12</f>
        <v>-875</v>
      </c>
      <c r="O46" s="66" t="n">
        <f aca="false">-(O61+O62+O64)/2*Inputs!$E$56/12</f>
        <v>-863.095238095238</v>
      </c>
      <c r="P46" s="66" t="n">
        <f aca="false">-(P61+P62+P64)/2*Inputs!$E$56/12</f>
        <v>-851.190476190476</v>
      </c>
      <c r="Q46" s="66" t="n">
        <f aca="false">-(Q61+Q62+Q64)/2*Inputs!$E$56/12</f>
        <v>-839.285714285714</v>
      </c>
      <c r="R46" s="66" t="n">
        <f aca="false">-(R61+R62+R64)/2*Inputs!$E$56/12</f>
        <v>-827.380952380952</v>
      </c>
      <c r="S46" s="66" t="n">
        <f aca="false">-(S61+S62+S64)/2*Inputs!$E$56/12</f>
        <v>-815.47619047619</v>
      </c>
      <c r="T46" s="66" t="n">
        <f aca="false">-(T61+T62+T64)/2*Inputs!$E$56/12</f>
        <v>-803.571428571428</v>
      </c>
      <c r="U46" s="66" t="n">
        <f aca="false">-(U61+U62+U64)/2*Inputs!$E$56/12</f>
        <v>-791.666666666666</v>
      </c>
      <c r="V46" s="66" t="n">
        <f aca="false">-(V61+V62+V64)/2*Inputs!$E$56/12</f>
        <v>-779.761904761904</v>
      </c>
      <c r="W46" s="66" t="n">
        <f aca="false">-(W61+W62+W64)/2*Inputs!$E$56/12</f>
        <v>-767.857142857142</v>
      </c>
      <c r="X46" s="66" t="n">
        <f aca="false">-(X61+X62+X64)/2*Inputs!$E$56/12</f>
        <v>-755.95238095238</v>
      </c>
      <c r="Y46" s="66" t="n">
        <f aca="false">-(Y61+Y62+Y64)/2*Inputs!$E$56/12</f>
        <v>-744.047619047619</v>
      </c>
      <c r="Z46" s="66" t="n">
        <f aca="false">-(Z61+Z62+Z64)/2*Inputs!$E$56/12</f>
        <v>-732.142857142857</v>
      </c>
      <c r="AA46" s="66" t="n">
        <f aca="false">-(AA61+AA62+AA64)/2*Inputs!$E$56/12</f>
        <v>-720.238095238095</v>
      </c>
      <c r="AB46" s="66" t="n">
        <f aca="false">-(AB61+AB62+AB64)/2*Inputs!$E$56/12</f>
        <v>-708.333333333333</v>
      </c>
      <c r="AC46" s="66" t="n">
        <f aca="false">-(AC61+AC62+AC64)/2*Inputs!$E$56/12</f>
        <v>-696.428571428571</v>
      </c>
      <c r="AD46" s="66" t="n">
        <f aca="false">-(AD61+AD62+AD64)/2*Inputs!$E$56/12</f>
        <v>-684.523809523809</v>
      </c>
      <c r="AE46" s="66" t="n">
        <f aca="false">-(AE61+AE62+AE64)/2*Inputs!$E$56/12</f>
        <v>-672.619047619047</v>
      </c>
      <c r="AF46" s="66" t="n">
        <f aca="false">-(AF61+AF62+AF64)/2*Inputs!$E$56/12</f>
        <v>-660.714285714285</v>
      </c>
      <c r="AG46" s="66" t="n">
        <f aca="false">-(AG61+AG62+AG64)/2*Inputs!$E$56/12</f>
        <v>-648.809523809523</v>
      </c>
      <c r="AH46" s="66" t="n">
        <f aca="false">-(AH61+AH62+AH64)/2*Inputs!$E$56/12</f>
        <v>-636.904761904761</v>
      </c>
      <c r="AI46" s="66" t="n">
        <f aca="false">-(AI61+AI62+AI64)/2*Inputs!$E$56/12</f>
        <v>-624.999999999999</v>
      </c>
      <c r="AJ46" s="66" t="n">
        <f aca="false">-(AJ61+AJ62+AJ64)/2*Inputs!$E$56/12</f>
        <v>-613.095238095237</v>
      </c>
      <c r="AK46" s="66" t="n">
        <f aca="false">-(AK61+AK62+AK64)/2*Inputs!$E$56/12</f>
        <v>-601.190476190475</v>
      </c>
      <c r="AL46" s="66" t="n">
        <f aca="false">-(AL61+AL62+AL64)/2*Inputs!$E$56/12</f>
        <v>-589.285714285713</v>
      </c>
    </row>
    <row r="47" customFormat="false" ht="15" hidden="false" customHeight="false" outlineLevel="0" collapsed="false">
      <c r="A47" s="110" t="s">
        <v>80</v>
      </c>
      <c r="C47" s="67" t="n">
        <f aca="false">C45+C46</f>
        <v>-31835.1271428571</v>
      </c>
      <c r="D47" s="67" t="n">
        <f aca="false">D45+D46</f>
        <v>-29048.5300819048</v>
      </c>
      <c r="E47" s="67" t="n">
        <f aca="false">E45+E46</f>
        <v>-26422.8193208</v>
      </c>
      <c r="F47" s="67" t="n">
        <f aca="false">F45+F46</f>
        <v>-23953.9369196472</v>
      </c>
      <c r="G47" s="67" t="n">
        <f aca="false">G45+G46</f>
        <v>-21632.4731768494</v>
      </c>
      <c r="H47" s="67" t="n">
        <f aca="false">H45+H46</f>
        <v>-19449.5829729051</v>
      </c>
      <c r="I47" s="67" t="n">
        <f aca="false">I45+I46</f>
        <v>-17396.9518954832</v>
      </c>
      <c r="J47" s="67" t="n">
        <f aca="false">J45+J46</f>
        <v>-15466.7643969923</v>
      </c>
      <c r="K47" s="67" t="n">
        <f aca="false">K45+K46</f>
        <v>-13651.6738626965</v>
      </c>
      <c r="L47" s="67" t="n">
        <f aca="false">L45+L46</f>
        <v>-11944.7744747443</v>
      </c>
      <c r="M47" s="67" t="n">
        <f aca="false">M45+M46</f>
        <v>-10339.5747643549</v>
      </c>
      <c r="N47" s="67" t="n">
        <f aca="false">N45+N46</f>
        <v>-8829.97275087452</v>
      </c>
      <c r="O47" s="67" t="n">
        <f aca="false">O45+O46</f>
        <v>-6803.66171943481</v>
      </c>
      <c r="P47" s="67" t="n">
        <f aca="false">P45+P46</f>
        <v>-5167.7426521011</v>
      </c>
      <c r="Q47" s="67" t="n">
        <f aca="false">Q45+Q46</f>
        <v>-3629.26444309315</v>
      </c>
      <c r="R47" s="67" t="n">
        <f aca="false">R45+R46</f>
        <v>-2182.38064091138</v>
      </c>
      <c r="S47" s="67" t="n">
        <f aca="false">S45+S46</f>
        <v>-821.595581146206</v>
      </c>
      <c r="T47" s="67" t="n">
        <f aca="false">T45+T46</f>
        <v>458.256660747331</v>
      </c>
      <c r="U47" s="67" t="n">
        <f aca="false">U45+U46</f>
        <v>1662.03205384154</v>
      </c>
      <c r="V47" s="67" t="n">
        <f aca="false">V45+V46</f>
        <v>2231.22053168556</v>
      </c>
      <c r="W47" s="67" t="n">
        <f aca="false">W45+W46</f>
        <v>2283.94011428571</v>
      </c>
      <c r="X47" s="67" t="n">
        <f aca="false">X45+X46</f>
        <v>2295.84487619047</v>
      </c>
      <c r="Y47" s="67" t="n">
        <f aca="false">Y45+Y46</f>
        <v>2307.74963809523</v>
      </c>
      <c r="Z47" s="67" t="n">
        <f aca="false">Z45+Z46</f>
        <v>2319.6544</v>
      </c>
      <c r="AA47" s="67" t="n">
        <f aca="false">AA45+AA46</f>
        <v>2968.39879390477</v>
      </c>
      <c r="AB47" s="67" t="n">
        <f aca="false">AB45+AB46</f>
        <v>2980.30355580953</v>
      </c>
      <c r="AC47" s="67" t="n">
        <f aca="false">AC45+AC46</f>
        <v>2992.20831771429</v>
      </c>
      <c r="AD47" s="67" t="n">
        <f aca="false">AD45+AD46</f>
        <v>3004.11307961905</v>
      </c>
      <c r="AE47" s="67" t="n">
        <f aca="false">AE45+AE46</f>
        <v>3016.01784152382</v>
      </c>
      <c r="AF47" s="67" t="n">
        <f aca="false">AF45+AF46</f>
        <v>3027.92260342858</v>
      </c>
      <c r="AG47" s="67" t="n">
        <f aca="false">AG45+AG46</f>
        <v>3039.82736533334</v>
      </c>
      <c r="AH47" s="67" t="n">
        <f aca="false">AH45+AH46</f>
        <v>3051.7321272381</v>
      </c>
      <c r="AI47" s="67" t="n">
        <f aca="false">AI45+AI46</f>
        <v>3063.63688914286</v>
      </c>
      <c r="AJ47" s="67" t="n">
        <f aca="false">AJ45+AJ46</f>
        <v>3075.54165104763</v>
      </c>
      <c r="AK47" s="67" t="n">
        <f aca="false">AK45+AK46</f>
        <v>3087.44641295239</v>
      </c>
      <c r="AL47" s="67" t="n">
        <f aca="false">AL45+AL46</f>
        <v>3099.35117485715</v>
      </c>
    </row>
    <row r="48" customFormat="false" ht="15" hidden="false" customHeight="false" outlineLevel="0" collapsed="false">
      <c r="A48" s="116" t="s">
        <v>389</v>
      </c>
      <c r="C48" s="66" t="n">
        <f aca="false">C47</f>
        <v>-31835.1271428571</v>
      </c>
      <c r="D48" s="66" t="n">
        <f aca="false">C48+D47</f>
        <v>-60883.6572247619</v>
      </c>
      <c r="E48" s="66" t="n">
        <f aca="false">D48+E47</f>
        <v>-87306.4765455619</v>
      </c>
      <c r="F48" s="66" t="n">
        <f aca="false">E48+F47</f>
        <v>-111260.413465209</v>
      </c>
      <c r="G48" s="66" t="n">
        <f aca="false">F48+G47</f>
        <v>-132892.886642059</v>
      </c>
      <c r="H48" s="66" t="n">
        <f aca="false">G48+H47</f>
        <v>-152342.469614964</v>
      </c>
      <c r="I48" s="66" t="n">
        <f aca="false">H48+I47</f>
        <v>-169739.421510447</v>
      </c>
      <c r="J48" s="66" t="n">
        <f aca="false">I48+J47</f>
        <v>-185206.185907439</v>
      </c>
      <c r="K48" s="66" t="n">
        <f aca="false">J48+K47</f>
        <v>-198857.859770136</v>
      </c>
      <c r="L48" s="66" t="n">
        <f aca="false">K48+L47</f>
        <v>-210802.63424488</v>
      </c>
      <c r="M48" s="66" t="n">
        <f aca="false">L48+M47</f>
        <v>-221142.209009235</v>
      </c>
      <c r="N48" s="66" t="n">
        <f aca="false">M48+N47</f>
        <v>-229972.181760109</v>
      </c>
      <c r="O48" s="66" t="n">
        <f aca="false">N48+O47</f>
        <v>-236775.843479544</v>
      </c>
      <c r="P48" s="66" t="n">
        <f aca="false">O48+P47</f>
        <v>-241943.586131645</v>
      </c>
      <c r="Q48" s="66" t="n">
        <f aca="false">P48+Q47</f>
        <v>-245572.850574738</v>
      </c>
      <c r="R48" s="66" t="n">
        <f aca="false">Q48+R47</f>
        <v>-247755.23121565</v>
      </c>
      <c r="S48" s="66" t="n">
        <f aca="false">R48+S47</f>
        <v>-248576.826796796</v>
      </c>
      <c r="T48" s="66" t="n">
        <f aca="false">S48+T47</f>
        <v>-248118.570136049</v>
      </c>
      <c r="U48" s="66" t="n">
        <f aca="false">T48+U47</f>
        <v>-246456.538082207</v>
      </c>
      <c r="V48" s="66" t="n">
        <f aca="false">U48+V47</f>
        <v>-244225.317550521</v>
      </c>
      <c r="W48" s="66" t="n">
        <f aca="false">V48+W47</f>
        <v>-241941.377436236</v>
      </c>
      <c r="X48" s="66" t="n">
        <f aca="false">W48+X47</f>
        <v>-239645.532560045</v>
      </c>
      <c r="Y48" s="66" t="n">
        <f aca="false">X48+Y47</f>
        <v>-237337.78292195</v>
      </c>
      <c r="Z48" s="66" t="n">
        <f aca="false">Y48+Z47</f>
        <v>-235018.12852195</v>
      </c>
      <c r="AA48" s="66" t="n">
        <f aca="false">Z48+AA47</f>
        <v>-232049.729728045</v>
      </c>
      <c r="AB48" s="66" t="n">
        <f aca="false">AA48+AB47</f>
        <v>-229069.426172236</v>
      </c>
      <c r="AC48" s="66" t="n">
        <f aca="false">AB48+AC47</f>
        <v>-226077.217854521</v>
      </c>
      <c r="AD48" s="66" t="n">
        <f aca="false">AC48+AD47</f>
        <v>-223073.104774902</v>
      </c>
      <c r="AE48" s="66" t="n">
        <f aca="false">AD48+AE47</f>
        <v>-220057.086933379</v>
      </c>
      <c r="AF48" s="66" t="n">
        <f aca="false">AE48+AF47</f>
        <v>-217029.16432995</v>
      </c>
      <c r="AG48" s="66" t="n">
        <f aca="false">AF48+AG47</f>
        <v>-213989.336964617</v>
      </c>
      <c r="AH48" s="66" t="n">
        <f aca="false">AG48+AH47</f>
        <v>-210937.604837379</v>
      </c>
      <c r="AI48" s="66" t="n">
        <f aca="false">AH48+AI47</f>
        <v>-207873.967948236</v>
      </c>
      <c r="AJ48" s="66" t="n">
        <f aca="false">AI48+AJ47</f>
        <v>-204798.426297188</v>
      </c>
      <c r="AK48" s="66" t="n">
        <f aca="false">AJ48+AK47</f>
        <v>-201710.979884236</v>
      </c>
      <c r="AL48" s="66" t="n">
        <f aca="false">AK48+AL47</f>
        <v>-198611.628709379</v>
      </c>
    </row>
    <row r="49" customFormat="false" ht="15" hidden="false" customHeight="false" outlineLevel="0" collapsed="false">
      <c r="A49" s="116" t="s">
        <v>390</v>
      </c>
      <c r="C49" s="66" t="n">
        <f aca="false">MAX(0,C48)</f>
        <v>0</v>
      </c>
      <c r="D49" s="66" t="n">
        <f aca="false">MAX(C49,D48)</f>
        <v>0</v>
      </c>
      <c r="E49" s="66" t="n">
        <f aca="false">MAX(D49,E48)</f>
        <v>0</v>
      </c>
      <c r="F49" s="66" t="n">
        <f aca="false">MAX(E49,F48)</f>
        <v>0</v>
      </c>
      <c r="G49" s="66" t="n">
        <f aca="false">MAX(F49,G48)</f>
        <v>0</v>
      </c>
      <c r="H49" s="66" t="n">
        <f aca="false">MAX(G49,H48)</f>
        <v>0</v>
      </c>
      <c r="I49" s="66" t="n">
        <f aca="false">MAX(H49,I48)</f>
        <v>0</v>
      </c>
      <c r="J49" s="66" t="n">
        <f aca="false">MAX(I49,J48)</f>
        <v>0</v>
      </c>
      <c r="K49" s="66" t="n">
        <f aca="false">MAX(J49,K48)</f>
        <v>0</v>
      </c>
      <c r="L49" s="66" t="n">
        <f aca="false">MAX(K49,L48)</f>
        <v>0</v>
      </c>
      <c r="M49" s="66" t="n">
        <f aca="false">MAX(L49,M48)</f>
        <v>0</v>
      </c>
      <c r="N49" s="66" t="n">
        <f aca="false">MAX(M49,N48)</f>
        <v>0</v>
      </c>
      <c r="O49" s="66" t="n">
        <f aca="false">MAX(N49,O48)</f>
        <v>0</v>
      </c>
      <c r="P49" s="66" t="n">
        <f aca="false">MAX(O49,P48)</f>
        <v>0</v>
      </c>
      <c r="Q49" s="66" t="n">
        <f aca="false">MAX(P49,Q48)</f>
        <v>0</v>
      </c>
      <c r="R49" s="66" t="n">
        <f aca="false">MAX(Q49,R48)</f>
        <v>0</v>
      </c>
      <c r="S49" s="66" t="n">
        <f aca="false">MAX(R49,S48)</f>
        <v>0</v>
      </c>
      <c r="T49" s="66" t="n">
        <f aca="false">MAX(S49,T48)</f>
        <v>0</v>
      </c>
      <c r="U49" s="66" t="n">
        <f aca="false">MAX(T49,U48)</f>
        <v>0</v>
      </c>
      <c r="V49" s="66" t="n">
        <f aca="false">MAX(U49,V48)</f>
        <v>0</v>
      </c>
      <c r="W49" s="66" t="n">
        <f aca="false">MAX(V49,W48)</f>
        <v>0</v>
      </c>
      <c r="X49" s="66" t="n">
        <f aca="false">MAX(W49,X48)</f>
        <v>0</v>
      </c>
      <c r="Y49" s="66" t="n">
        <f aca="false">MAX(X49,Y48)</f>
        <v>0</v>
      </c>
      <c r="Z49" s="66" t="n">
        <f aca="false">MAX(Y49,Z48)</f>
        <v>0</v>
      </c>
      <c r="AA49" s="66" t="n">
        <f aca="false">MAX(Z49,AA48)</f>
        <v>0</v>
      </c>
      <c r="AB49" s="66" t="n">
        <f aca="false">MAX(AA49,AB48)</f>
        <v>0</v>
      </c>
      <c r="AC49" s="66" t="n">
        <f aca="false">MAX(AB49,AC48)</f>
        <v>0</v>
      </c>
      <c r="AD49" s="66" t="n">
        <f aca="false">MAX(AC49,AD48)</f>
        <v>0</v>
      </c>
      <c r="AE49" s="66" t="n">
        <f aca="false">MAX(AD49,AE48)</f>
        <v>0</v>
      </c>
      <c r="AF49" s="66" t="n">
        <f aca="false">MAX(AE49,AF48)</f>
        <v>0</v>
      </c>
      <c r="AG49" s="66" t="n">
        <f aca="false">MAX(AF49,AG48)</f>
        <v>0</v>
      </c>
      <c r="AH49" s="66" t="n">
        <f aca="false">MAX(AG49,AH48)</f>
        <v>0</v>
      </c>
      <c r="AI49" s="66" t="n">
        <f aca="false">MAX(AH49,AI48)</f>
        <v>0</v>
      </c>
      <c r="AJ49" s="66" t="n">
        <f aca="false">MAX(AI49,AJ48)</f>
        <v>0</v>
      </c>
      <c r="AK49" s="66" t="n">
        <f aca="false">MAX(AJ49,AK48)</f>
        <v>0</v>
      </c>
      <c r="AL49" s="66" t="n">
        <f aca="false">MAX(AK49,AL48)</f>
        <v>0</v>
      </c>
    </row>
    <row r="50" customFormat="false" ht="15" hidden="false" customHeight="false" outlineLevel="0" collapsed="false">
      <c r="A50" s="6" t="s">
        <v>81</v>
      </c>
      <c r="C50" s="66" t="n">
        <f aca="false">-C49*Inputs!$E$66</f>
        <v>-0</v>
      </c>
      <c r="D50" s="66" t="n">
        <f aca="false">-(D49-C49)*Inputs!$E$66</f>
        <v>-0</v>
      </c>
      <c r="E50" s="66" t="n">
        <f aca="false">-(E49-D49)*Inputs!$E$66</f>
        <v>-0</v>
      </c>
      <c r="F50" s="66" t="n">
        <f aca="false">-(F49-E49)*Inputs!$E$66</f>
        <v>-0</v>
      </c>
      <c r="G50" s="66" t="n">
        <f aca="false">-(G49-F49)*Inputs!$E$66</f>
        <v>-0</v>
      </c>
      <c r="H50" s="66" t="n">
        <f aca="false">-(H49-G49)*Inputs!$E$66</f>
        <v>-0</v>
      </c>
      <c r="I50" s="66" t="n">
        <f aca="false">-(I49-H49)*Inputs!$E$66</f>
        <v>-0</v>
      </c>
      <c r="J50" s="66" t="n">
        <f aca="false">-(J49-I49)*Inputs!$E$66</f>
        <v>-0</v>
      </c>
      <c r="K50" s="66" t="n">
        <f aca="false">-(K49-J49)*Inputs!$E$66</f>
        <v>-0</v>
      </c>
      <c r="L50" s="66" t="n">
        <f aca="false">-(L49-K49)*Inputs!$E$66</f>
        <v>-0</v>
      </c>
      <c r="M50" s="66" t="n">
        <f aca="false">-(M49-L49)*Inputs!$E$66</f>
        <v>-0</v>
      </c>
      <c r="N50" s="66" t="n">
        <f aca="false">-(N49-M49)*Inputs!$E$66</f>
        <v>-0</v>
      </c>
      <c r="O50" s="66" t="n">
        <f aca="false">-(O49-N49)*Inputs!$E$66</f>
        <v>-0</v>
      </c>
      <c r="P50" s="66" t="n">
        <f aca="false">-(P49-O49)*Inputs!$E$66</f>
        <v>-0</v>
      </c>
      <c r="Q50" s="66" t="n">
        <f aca="false">-(Q49-P49)*Inputs!$E$66</f>
        <v>-0</v>
      </c>
      <c r="R50" s="66" t="n">
        <f aca="false">-(R49-Q49)*Inputs!$E$66</f>
        <v>-0</v>
      </c>
      <c r="S50" s="66" t="n">
        <f aca="false">-(S49-R49)*Inputs!$E$66</f>
        <v>-0</v>
      </c>
      <c r="T50" s="66" t="n">
        <f aca="false">-(T49-S49)*Inputs!$E$66</f>
        <v>-0</v>
      </c>
      <c r="U50" s="66" t="n">
        <f aca="false">-(U49-T49)*Inputs!$E$66</f>
        <v>-0</v>
      </c>
      <c r="V50" s="66" t="n">
        <f aca="false">-(V49-U49)*Inputs!$E$66</f>
        <v>-0</v>
      </c>
      <c r="W50" s="66" t="n">
        <f aca="false">-(W49-V49)*Inputs!$E$66</f>
        <v>-0</v>
      </c>
      <c r="X50" s="66" t="n">
        <f aca="false">-(X49-W49)*Inputs!$E$66</f>
        <v>-0</v>
      </c>
      <c r="Y50" s="66" t="n">
        <f aca="false">-(Y49-X49)*Inputs!$E$66</f>
        <v>-0</v>
      </c>
      <c r="Z50" s="66" t="n">
        <f aca="false">-(Z49-Y49)*Inputs!$E$66</f>
        <v>-0</v>
      </c>
      <c r="AA50" s="66" t="n">
        <f aca="false">-(AA49-Z49)*Inputs!$E$66</f>
        <v>-0</v>
      </c>
      <c r="AB50" s="66" t="n">
        <f aca="false">-(AB49-AA49)*Inputs!$E$66</f>
        <v>-0</v>
      </c>
      <c r="AC50" s="66" t="n">
        <f aca="false">-(AC49-AB49)*Inputs!$E$66</f>
        <v>-0</v>
      </c>
      <c r="AD50" s="66" t="n">
        <f aca="false">-(AD49-AC49)*Inputs!$E$66</f>
        <v>-0</v>
      </c>
      <c r="AE50" s="66" t="n">
        <f aca="false">-(AE49-AD49)*Inputs!$E$66</f>
        <v>-0</v>
      </c>
      <c r="AF50" s="66" t="n">
        <f aca="false">-(AF49-AE49)*Inputs!$E$66</f>
        <v>-0</v>
      </c>
      <c r="AG50" s="66" t="n">
        <f aca="false">-(AG49-AF49)*Inputs!$E$66</f>
        <v>-0</v>
      </c>
      <c r="AH50" s="66" t="n">
        <f aca="false">-(AH49-AG49)*Inputs!$E$66</f>
        <v>-0</v>
      </c>
      <c r="AI50" s="66" t="n">
        <f aca="false">-(AI49-AH49)*Inputs!$E$66</f>
        <v>-0</v>
      </c>
      <c r="AJ50" s="66" t="n">
        <f aca="false">-(AJ49-AI49)*Inputs!$E$66</f>
        <v>-0</v>
      </c>
      <c r="AK50" s="66" t="n">
        <f aca="false">-(AK49-AJ49)*Inputs!$E$66</f>
        <v>-0</v>
      </c>
      <c r="AL50" s="66" t="n">
        <f aca="false">-(AL49-AK49)*Inputs!$E$66</f>
        <v>-0</v>
      </c>
    </row>
    <row r="51" customFormat="false" ht="15" hidden="false" customHeight="false" outlineLevel="0" collapsed="false">
      <c r="A51" s="110" t="s">
        <v>50</v>
      </c>
      <c r="C51" s="67" t="n">
        <f aca="false">C47+C50</f>
        <v>-31835.1271428571</v>
      </c>
      <c r="D51" s="67" t="n">
        <f aca="false">D47+D50</f>
        <v>-29048.5300819048</v>
      </c>
      <c r="E51" s="67" t="n">
        <f aca="false">E47+E50</f>
        <v>-26422.8193208</v>
      </c>
      <c r="F51" s="67" t="n">
        <f aca="false">F47+F50</f>
        <v>-23953.9369196472</v>
      </c>
      <c r="G51" s="67" t="n">
        <f aca="false">G47+G50</f>
        <v>-21632.4731768494</v>
      </c>
      <c r="H51" s="67" t="n">
        <f aca="false">H47+H50</f>
        <v>-19449.5829729051</v>
      </c>
      <c r="I51" s="67" t="n">
        <f aca="false">I47+I50</f>
        <v>-17396.9518954832</v>
      </c>
      <c r="J51" s="67" t="n">
        <f aca="false">J47+J50</f>
        <v>-15466.7643969923</v>
      </c>
      <c r="K51" s="67" t="n">
        <f aca="false">K47+K50</f>
        <v>-13651.6738626965</v>
      </c>
      <c r="L51" s="67" t="n">
        <f aca="false">L47+L50</f>
        <v>-11944.7744747443</v>
      </c>
      <c r="M51" s="67" t="n">
        <f aca="false">M47+M50</f>
        <v>-10339.5747643549</v>
      </c>
      <c r="N51" s="67" t="n">
        <f aca="false">N47+N50</f>
        <v>-8829.97275087452</v>
      </c>
      <c r="O51" s="67" t="n">
        <f aca="false">O47+O50</f>
        <v>-6803.66171943481</v>
      </c>
      <c r="P51" s="67" t="n">
        <f aca="false">P47+P50</f>
        <v>-5167.7426521011</v>
      </c>
      <c r="Q51" s="67" t="n">
        <f aca="false">Q47+Q50</f>
        <v>-3629.26444309315</v>
      </c>
      <c r="R51" s="67" t="n">
        <f aca="false">R47+R50</f>
        <v>-2182.38064091138</v>
      </c>
      <c r="S51" s="67" t="n">
        <f aca="false">S47+S50</f>
        <v>-821.595581146206</v>
      </c>
      <c r="T51" s="67" t="n">
        <f aca="false">T47+T50</f>
        <v>458.256660747331</v>
      </c>
      <c r="U51" s="67" t="n">
        <f aca="false">U47+U50</f>
        <v>1662.03205384154</v>
      </c>
      <c r="V51" s="67" t="n">
        <f aca="false">V47+V50</f>
        <v>2231.22053168556</v>
      </c>
      <c r="W51" s="67" t="n">
        <f aca="false">W47+W50</f>
        <v>2283.94011428571</v>
      </c>
      <c r="X51" s="67" t="n">
        <f aca="false">X47+X50</f>
        <v>2295.84487619047</v>
      </c>
      <c r="Y51" s="67" t="n">
        <f aca="false">Y47+Y50</f>
        <v>2307.74963809523</v>
      </c>
      <c r="Z51" s="67" t="n">
        <f aca="false">Z47+Z50</f>
        <v>2319.6544</v>
      </c>
      <c r="AA51" s="67" t="n">
        <f aca="false">AA47+AA50</f>
        <v>2968.39879390477</v>
      </c>
      <c r="AB51" s="67" t="n">
        <f aca="false">AB47+AB50</f>
        <v>2980.30355580953</v>
      </c>
      <c r="AC51" s="67" t="n">
        <f aca="false">AC47+AC50</f>
        <v>2992.20831771429</v>
      </c>
      <c r="AD51" s="67" t="n">
        <f aca="false">AD47+AD50</f>
        <v>3004.11307961905</v>
      </c>
      <c r="AE51" s="67" t="n">
        <f aca="false">AE47+AE50</f>
        <v>3016.01784152382</v>
      </c>
      <c r="AF51" s="67" t="n">
        <f aca="false">AF47+AF50</f>
        <v>3027.92260342858</v>
      </c>
      <c r="AG51" s="67" t="n">
        <f aca="false">AG47+AG50</f>
        <v>3039.82736533334</v>
      </c>
      <c r="AH51" s="67" t="n">
        <f aca="false">AH47+AH50</f>
        <v>3051.7321272381</v>
      </c>
      <c r="AI51" s="67" t="n">
        <f aca="false">AI47+AI50</f>
        <v>3063.63688914286</v>
      </c>
      <c r="AJ51" s="67" t="n">
        <f aca="false">AJ47+AJ50</f>
        <v>3075.54165104763</v>
      </c>
      <c r="AK51" s="67" t="n">
        <f aca="false">AK47+AK50</f>
        <v>3087.44641295239</v>
      </c>
      <c r="AL51" s="67" t="n">
        <f aca="false">AL47+AL50</f>
        <v>3099.35117485715</v>
      </c>
    </row>
    <row r="53" customFormat="false" ht="15.75" hidden="false" customHeight="true" outlineLevel="0" collapsed="false">
      <c r="A53" s="7" t="s">
        <v>391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</row>
    <row r="54" customFormat="false" ht="15" hidden="false" customHeight="false" outlineLevel="0" collapsed="false">
      <c r="A54" s="6" t="s">
        <v>392</v>
      </c>
      <c r="C54" s="66" t="n">
        <f aca="false">IF(C$4=1,Inputs!$E$39,0)</f>
        <v>250000</v>
      </c>
      <c r="D54" s="66" t="n">
        <f aca="false">IF(D$4=1,Inputs!$E$39,0)</f>
        <v>0</v>
      </c>
      <c r="E54" s="66" t="n">
        <f aca="false">IF(E$4=1,Inputs!$E$39,0)</f>
        <v>0</v>
      </c>
      <c r="F54" s="66" t="n">
        <f aca="false">IF(F$4=1,Inputs!$E$39,0)</f>
        <v>0</v>
      </c>
      <c r="G54" s="66" t="n">
        <f aca="false">IF(G$4=1,Inputs!$E$39,0)</f>
        <v>0</v>
      </c>
      <c r="H54" s="66" t="n">
        <f aca="false">IF(H$4=1,Inputs!$E$39,0)</f>
        <v>0</v>
      </c>
      <c r="I54" s="66" t="n">
        <f aca="false">IF(I$4=1,Inputs!$E$39,0)</f>
        <v>0</v>
      </c>
      <c r="J54" s="66" t="n">
        <f aca="false">IF(J$4=1,Inputs!$E$39,0)</f>
        <v>0</v>
      </c>
      <c r="K54" s="66" t="n">
        <f aca="false">IF(K$4=1,Inputs!$E$39,0)</f>
        <v>0</v>
      </c>
      <c r="L54" s="66" t="n">
        <f aca="false">IF(L$4=1,Inputs!$E$39,0)</f>
        <v>0</v>
      </c>
      <c r="M54" s="66" t="n">
        <f aca="false">IF(M$4=1,Inputs!$E$39,0)</f>
        <v>0</v>
      </c>
      <c r="N54" s="66" t="n">
        <f aca="false">IF(N$4=1,Inputs!$E$39,0)</f>
        <v>0</v>
      </c>
      <c r="O54" s="66" t="n">
        <f aca="false">IF(O$4=1,Inputs!$E$39,0)</f>
        <v>0</v>
      </c>
      <c r="P54" s="66" t="n">
        <f aca="false">IF(P$4=1,Inputs!$E$39,0)</f>
        <v>0</v>
      </c>
      <c r="Q54" s="66" t="n">
        <f aca="false">IF(Q$4=1,Inputs!$E$39,0)</f>
        <v>0</v>
      </c>
      <c r="R54" s="66" t="n">
        <f aca="false">IF(R$4=1,Inputs!$E$39,0)</f>
        <v>0</v>
      </c>
      <c r="S54" s="66" t="n">
        <f aca="false">IF(S$4=1,Inputs!$E$39,0)</f>
        <v>0</v>
      </c>
      <c r="T54" s="66" t="n">
        <f aca="false">IF(T$4=1,Inputs!$E$39,0)</f>
        <v>0</v>
      </c>
      <c r="U54" s="66" t="n">
        <f aca="false">IF(U$4=1,Inputs!$E$39,0)</f>
        <v>0</v>
      </c>
      <c r="V54" s="66" t="n">
        <f aca="false">IF(V$4=1,Inputs!$E$39,0)</f>
        <v>0</v>
      </c>
      <c r="W54" s="66" t="n">
        <f aca="false">IF(W$4=1,Inputs!$E$39,0)</f>
        <v>0</v>
      </c>
      <c r="X54" s="66" t="n">
        <f aca="false">IF(X$4=1,Inputs!$E$39,0)</f>
        <v>0</v>
      </c>
      <c r="Y54" s="66" t="n">
        <f aca="false">IF(Y$4=1,Inputs!$E$39,0)</f>
        <v>0</v>
      </c>
      <c r="Z54" s="66" t="n">
        <f aca="false">IF(Z$4=1,Inputs!$E$39,0)</f>
        <v>0</v>
      </c>
      <c r="AA54" s="66" t="n">
        <f aca="false">IF(AA$4=1,Inputs!$E$39,0)</f>
        <v>0</v>
      </c>
      <c r="AB54" s="66" t="n">
        <f aca="false">IF(AB$4=1,Inputs!$E$39,0)</f>
        <v>0</v>
      </c>
      <c r="AC54" s="66" t="n">
        <f aca="false">IF(AC$4=1,Inputs!$E$39,0)</f>
        <v>0</v>
      </c>
      <c r="AD54" s="66" t="n">
        <f aca="false">IF(AD$4=1,Inputs!$E$39,0)</f>
        <v>0</v>
      </c>
      <c r="AE54" s="66" t="n">
        <f aca="false">IF(AE$4=1,Inputs!$E$39,0)</f>
        <v>0</v>
      </c>
      <c r="AF54" s="66" t="n">
        <f aca="false">IF(AF$4=1,Inputs!$E$39,0)</f>
        <v>0</v>
      </c>
      <c r="AG54" s="66" t="n">
        <f aca="false">IF(AG$4=1,Inputs!$E$39,0)</f>
        <v>0</v>
      </c>
      <c r="AH54" s="66" t="n">
        <f aca="false">IF(AH$4=1,Inputs!$E$39,0)</f>
        <v>0</v>
      </c>
      <c r="AI54" s="66" t="n">
        <f aca="false">IF(AI$4=1,Inputs!$E$39,0)</f>
        <v>0</v>
      </c>
      <c r="AJ54" s="66" t="n">
        <f aca="false">IF(AJ$4=1,Inputs!$E$39,0)</f>
        <v>0</v>
      </c>
      <c r="AK54" s="66" t="n">
        <f aca="false">IF(AK$4=1,Inputs!$E$39,0)</f>
        <v>0</v>
      </c>
      <c r="AL54" s="66" t="n">
        <f aca="false">IF(AL$4=1,Inputs!$E$39,0)</f>
        <v>0</v>
      </c>
    </row>
    <row r="55" customFormat="false" ht="15" hidden="false" customHeight="false" outlineLevel="0" collapsed="false">
      <c r="A55" s="6" t="s">
        <v>393</v>
      </c>
      <c r="C55" s="66" t="n">
        <f aca="false">C54</f>
        <v>250000</v>
      </c>
      <c r="D55" s="66" t="n">
        <f aca="false">C55+D54</f>
        <v>250000</v>
      </c>
      <c r="E55" s="66" t="n">
        <f aca="false">D55+E54</f>
        <v>250000</v>
      </c>
      <c r="F55" s="66" t="n">
        <f aca="false">E55+F54</f>
        <v>250000</v>
      </c>
      <c r="G55" s="66" t="n">
        <f aca="false">F55+G54</f>
        <v>250000</v>
      </c>
      <c r="H55" s="66" t="n">
        <f aca="false">G55+H54</f>
        <v>250000</v>
      </c>
      <c r="I55" s="66" t="n">
        <f aca="false">H55+I54</f>
        <v>250000</v>
      </c>
      <c r="J55" s="66" t="n">
        <f aca="false">I55+J54</f>
        <v>250000</v>
      </c>
      <c r="K55" s="66" t="n">
        <f aca="false">J55+K54</f>
        <v>250000</v>
      </c>
      <c r="L55" s="66" t="n">
        <f aca="false">K55+L54</f>
        <v>250000</v>
      </c>
      <c r="M55" s="66" t="n">
        <f aca="false">L55+M54</f>
        <v>250000</v>
      </c>
      <c r="N55" s="66" t="n">
        <f aca="false">M55+N54</f>
        <v>250000</v>
      </c>
      <c r="O55" s="66" t="n">
        <f aca="false">N55+O54</f>
        <v>250000</v>
      </c>
      <c r="P55" s="66" t="n">
        <f aca="false">O55+P54</f>
        <v>250000</v>
      </c>
      <c r="Q55" s="66" t="n">
        <f aca="false">P55+Q54</f>
        <v>250000</v>
      </c>
      <c r="R55" s="66" t="n">
        <f aca="false">Q55+R54</f>
        <v>250000</v>
      </c>
      <c r="S55" s="66" t="n">
        <f aca="false">R55+S54</f>
        <v>250000</v>
      </c>
      <c r="T55" s="66" t="n">
        <f aca="false">S55+T54</f>
        <v>250000</v>
      </c>
      <c r="U55" s="66" t="n">
        <f aca="false">T55+U54</f>
        <v>250000</v>
      </c>
      <c r="V55" s="66" t="n">
        <f aca="false">U55+V54</f>
        <v>250000</v>
      </c>
      <c r="W55" s="66" t="n">
        <f aca="false">V55+W54</f>
        <v>250000</v>
      </c>
      <c r="X55" s="66" t="n">
        <f aca="false">W55+X54</f>
        <v>250000</v>
      </c>
      <c r="Y55" s="66" t="n">
        <f aca="false">X55+Y54</f>
        <v>250000</v>
      </c>
      <c r="Z55" s="66" t="n">
        <f aca="false">Y55+Z54</f>
        <v>250000</v>
      </c>
      <c r="AA55" s="66" t="n">
        <f aca="false">Z55+AA54</f>
        <v>250000</v>
      </c>
      <c r="AB55" s="66" t="n">
        <f aca="false">AA55+AB54</f>
        <v>250000</v>
      </c>
      <c r="AC55" s="66" t="n">
        <f aca="false">AB55+AC54</f>
        <v>250000</v>
      </c>
      <c r="AD55" s="66" t="n">
        <f aca="false">AC55+AD54</f>
        <v>250000</v>
      </c>
      <c r="AE55" s="66" t="n">
        <f aca="false">AD55+AE54</f>
        <v>250000</v>
      </c>
      <c r="AF55" s="66" t="n">
        <f aca="false">AE55+AF54</f>
        <v>250000</v>
      </c>
      <c r="AG55" s="66" t="n">
        <f aca="false">AF55+AG54</f>
        <v>250000</v>
      </c>
      <c r="AH55" s="66" t="n">
        <f aca="false">AG55+AH54</f>
        <v>250000</v>
      </c>
      <c r="AI55" s="66" t="n">
        <f aca="false">AH55+AI54</f>
        <v>250000</v>
      </c>
      <c r="AJ55" s="66" t="n">
        <f aca="false">AI55+AJ54</f>
        <v>250000</v>
      </c>
      <c r="AK55" s="66" t="n">
        <f aca="false">AJ55+AK54</f>
        <v>250000</v>
      </c>
      <c r="AL55" s="66" t="n">
        <f aca="false">AK55+AL54</f>
        <v>250000</v>
      </c>
    </row>
    <row r="56" customFormat="false" ht="15" hidden="false" customHeight="false" outlineLevel="0" collapsed="false">
      <c r="A56" s="6" t="s">
        <v>77</v>
      </c>
      <c r="C56" s="66" t="n">
        <f aca="false">-MIN(C55/MAX(1,Inputs!$E$65*12),C54)</f>
        <v>-2976.19047619048</v>
      </c>
      <c r="D56" s="66" t="n">
        <f aca="false">-MIN(D55/MAX(1,Inputs!$E$65*12),C58+D54)</f>
        <v>-2976.19047619048</v>
      </c>
      <c r="E56" s="66" t="n">
        <f aca="false">-MIN(E55/MAX(1,Inputs!$E$65*12),D58+E54)</f>
        <v>-2976.19047619048</v>
      </c>
      <c r="F56" s="66" t="n">
        <f aca="false">-MIN(F55/MAX(1,Inputs!$E$65*12),E58+F54)</f>
        <v>-2976.19047619048</v>
      </c>
      <c r="G56" s="66" t="n">
        <f aca="false">-MIN(G55/MAX(1,Inputs!$E$65*12),F58+G54)</f>
        <v>-2976.19047619048</v>
      </c>
      <c r="H56" s="66" t="n">
        <f aca="false">-MIN(H55/MAX(1,Inputs!$E$65*12),G58+H54)</f>
        <v>-2976.19047619048</v>
      </c>
      <c r="I56" s="66" t="n">
        <f aca="false">-MIN(I55/MAX(1,Inputs!$E$65*12),H58+I54)</f>
        <v>-2976.19047619048</v>
      </c>
      <c r="J56" s="66" t="n">
        <f aca="false">-MIN(J55/MAX(1,Inputs!$E$65*12),I58+J54)</f>
        <v>-2976.19047619048</v>
      </c>
      <c r="K56" s="66" t="n">
        <f aca="false">-MIN(K55/MAX(1,Inputs!$E$65*12),J58+K54)</f>
        <v>-2976.19047619048</v>
      </c>
      <c r="L56" s="66" t="n">
        <f aca="false">-MIN(L55/MAX(1,Inputs!$E$65*12),K58+L54)</f>
        <v>-2976.19047619048</v>
      </c>
      <c r="M56" s="66" t="n">
        <f aca="false">-MIN(M55/MAX(1,Inputs!$E$65*12),L58+M54)</f>
        <v>-2976.19047619048</v>
      </c>
      <c r="N56" s="66" t="n">
        <f aca="false">-MIN(N55/MAX(1,Inputs!$E$65*12),M58+N54)</f>
        <v>-2976.19047619048</v>
      </c>
      <c r="O56" s="66" t="n">
        <f aca="false">-MIN(O55/MAX(1,Inputs!$E$65*12),N58+O54)</f>
        <v>-2976.19047619048</v>
      </c>
      <c r="P56" s="66" t="n">
        <f aca="false">-MIN(P55/MAX(1,Inputs!$E$65*12),O58+P54)</f>
        <v>-2976.19047619048</v>
      </c>
      <c r="Q56" s="66" t="n">
        <f aca="false">-MIN(Q55/MAX(1,Inputs!$E$65*12),P58+Q54)</f>
        <v>-2976.19047619048</v>
      </c>
      <c r="R56" s="66" t="n">
        <f aca="false">-MIN(R55/MAX(1,Inputs!$E$65*12),Q58+R54)</f>
        <v>-2976.19047619048</v>
      </c>
      <c r="S56" s="66" t="n">
        <f aca="false">-MIN(S55/MAX(1,Inputs!$E$65*12),R58+S54)</f>
        <v>-2976.19047619048</v>
      </c>
      <c r="T56" s="66" t="n">
        <f aca="false">-MIN(T55/MAX(1,Inputs!$E$65*12),S58+T54)</f>
        <v>-2976.19047619048</v>
      </c>
      <c r="U56" s="66" t="n">
        <f aca="false">-MIN(U55/MAX(1,Inputs!$E$65*12),T58+U54)</f>
        <v>-2976.19047619048</v>
      </c>
      <c r="V56" s="66" t="n">
        <f aca="false">-MIN(V55/MAX(1,Inputs!$E$65*12),U58+V54)</f>
        <v>-2976.19047619048</v>
      </c>
      <c r="W56" s="66" t="n">
        <f aca="false">-MIN(W55/MAX(1,Inputs!$E$65*12),V58+W54)</f>
        <v>-2976.19047619048</v>
      </c>
      <c r="X56" s="66" t="n">
        <f aca="false">-MIN(X55/MAX(1,Inputs!$E$65*12),W58+X54)</f>
        <v>-2976.19047619048</v>
      </c>
      <c r="Y56" s="66" t="n">
        <f aca="false">-MIN(Y55/MAX(1,Inputs!$E$65*12),X58+Y54)</f>
        <v>-2976.19047619048</v>
      </c>
      <c r="Z56" s="66" t="n">
        <f aca="false">-MIN(Z55/MAX(1,Inputs!$E$65*12),Y58+Z54)</f>
        <v>-2976.19047619048</v>
      </c>
      <c r="AA56" s="66" t="n">
        <f aca="false">-MIN(AA55/MAX(1,Inputs!$E$65*12),Z58+AA54)</f>
        <v>-2976.19047619048</v>
      </c>
      <c r="AB56" s="66" t="n">
        <f aca="false">-MIN(AB55/MAX(1,Inputs!$E$65*12),AA58+AB54)</f>
        <v>-2976.19047619048</v>
      </c>
      <c r="AC56" s="66" t="n">
        <f aca="false">-MIN(AC55/MAX(1,Inputs!$E$65*12),AB58+AC54)</f>
        <v>-2976.19047619048</v>
      </c>
      <c r="AD56" s="66" t="n">
        <f aca="false">-MIN(AD55/MAX(1,Inputs!$E$65*12),AC58+AD54)</f>
        <v>-2976.19047619048</v>
      </c>
      <c r="AE56" s="66" t="n">
        <f aca="false">-MIN(AE55/MAX(1,Inputs!$E$65*12),AD58+AE54)</f>
        <v>-2976.19047619048</v>
      </c>
      <c r="AF56" s="66" t="n">
        <f aca="false">-MIN(AF55/MAX(1,Inputs!$E$65*12),AE58+AF54)</f>
        <v>-2976.19047619048</v>
      </c>
      <c r="AG56" s="66" t="n">
        <f aca="false">-MIN(AG55/MAX(1,Inputs!$E$65*12),AF58+AG54)</f>
        <v>-2976.19047619048</v>
      </c>
      <c r="AH56" s="66" t="n">
        <f aca="false">-MIN(AH55/MAX(1,Inputs!$E$65*12),AG58+AH54)</f>
        <v>-2976.19047619048</v>
      </c>
      <c r="AI56" s="66" t="n">
        <f aca="false">-MIN(AI55/MAX(1,Inputs!$E$65*12),AH58+AI54)</f>
        <v>-2976.19047619048</v>
      </c>
      <c r="AJ56" s="66" t="n">
        <f aca="false">-MIN(AJ55/MAX(1,Inputs!$E$65*12),AI58+AJ54)</f>
        <v>-2976.19047619048</v>
      </c>
      <c r="AK56" s="66" t="n">
        <f aca="false">-MIN(AK55/MAX(1,Inputs!$E$65*12),AJ58+AK54)</f>
        <v>-2976.19047619048</v>
      </c>
      <c r="AL56" s="66" t="n">
        <f aca="false">-MIN(AL55/MAX(1,Inputs!$E$65*12),AK58+AL54)</f>
        <v>-2976.19047619048</v>
      </c>
    </row>
    <row r="57" customFormat="false" ht="15" hidden="false" customHeight="false" outlineLevel="0" collapsed="false">
      <c r="A57" s="6" t="s">
        <v>394</v>
      </c>
      <c r="C57" s="66" t="n">
        <f aca="false">C56</f>
        <v>-2976.19047619048</v>
      </c>
      <c r="D57" s="66" t="n">
        <f aca="false">C57+D56</f>
        <v>-5952.38095238095</v>
      </c>
      <c r="E57" s="66" t="n">
        <f aca="false">D57+E56</f>
        <v>-8928.57142857143</v>
      </c>
      <c r="F57" s="66" t="n">
        <f aca="false">E57+F56</f>
        <v>-11904.7619047619</v>
      </c>
      <c r="G57" s="66" t="n">
        <f aca="false">F57+G56</f>
        <v>-14880.9523809524</v>
      </c>
      <c r="H57" s="66" t="n">
        <f aca="false">G57+H56</f>
        <v>-17857.1428571429</v>
      </c>
      <c r="I57" s="66" t="n">
        <f aca="false">H57+I56</f>
        <v>-20833.3333333333</v>
      </c>
      <c r="J57" s="66" t="n">
        <f aca="false">I57+J56</f>
        <v>-23809.5238095238</v>
      </c>
      <c r="K57" s="66" t="n">
        <f aca="false">J57+K56</f>
        <v>-26785.7142857143</v>
      </c>
      <c r="L57" s="66" t="n">
        <f aca="false">K57+L56</f>
        <v>-29761.9047619048</v>
      </c>
      <c r="M57" s="66" t="n">
        <f aca="false">L57+M56</f>
        <v>-32738.0952380952</v>
      </c>
      <c r="N57" s="66" t="n">
        <f aca="false">M57+N56</f>
        <v>-35714.2857142857</v>
      </c>
      <c r="O57" s="66" t="n">
        <f aca="false">N57+O56</f>
        <v>-38690.4761904762</v>
      </c>
      <c r="P57" s="66" t="n">
        <f aca="false">O57+P56</f>
        <v>-41666.6666666667</v>
      </c>
      <c r="Q57" s="66" t="n">
        <f aca="false">P57+Q56</f>
        <v>-44642.8571428571</v>
      </c>
      <c r="R57" s="66" t="n">
        <f aca="false">Q57+R56</f>
        <v>-47619.0476190476</v>
      </c>
      <c r="S57" s="66" t="n">
        <f aca="false">R57+S56</f>
        <v>-50595.2380952381</v>
      </c>
      <c r="T57" s="66" t="n">
        <f aca="false">S57+T56</f>
        <v>-53571.4285714286</v>
      </c>
      <c r="U57" s="66" t="n">
        <f aca="false">T57+U56</f>
        <v>-56547.619047619</v>
      </c>
      <c r="V57" s="66" t="n">
        <f aca="false">U57+V56</f>
        <v>-59523.8095238095</v>
      </c>
      <c r="W57" s="66" t="n">
        <f aca="false">V57+W56</f>
        <v>-62500</v>
      </c>
      <c r="X57" s="66" t="n">
        <f aca="false">W57+X56</f>
        <v>-65476.1904761905</v>
      </c>
      <c r="Y57" s="66" t="n">
        <f aca="false">X57+Y56</f>
        <v>-68452.3809523809</v>
      </c>
      <c r="Z57" s="66" t="n">
        <f aca="false">Y57+Z56</f>
        <v>-71428.5714285714</v>
      </c>
      <c r="AA57" s="66" t="n">
        <f aca="false">Z57+AA56</f>
        <v>-74404.7619047619</v>
      </c>
      <c r="AB57" s="66" t="n">
        <f aca="false">AA57+AB56</f>
        <v>-77380.9523809524</v>
      </c>
      <c r="AC57" s="66" t="n">
        <f aca="false">AB57+AC56</f>
        <v>-80357.1428571428</v>
      </c>
      <c r="AD57" s="66" t="n">
        <f aca="false">AC57+AD56</f>
        <v>-83333.3333333333</v>
      </c>
      <c r="AE57" s="66" t="n">
        <f aca="false">AD57+AE56</f>
        <v>-86309.5238095238</v>
      </c>
      <c r="AF57" s="66" t="n">
        <f aca="false">AE57+AF56</f>
        <v>-89285.7142857143</v>
      </c>
      <c r="AG57" s="66" t="n">
        <f aca="false">AF57+AG56</f>
        <v>-92261.9047619047</v>
      </c>
      <c r="AH57" s="66" t="n">
        <f aca="false">AG57+AH56</f>
        <v>-95238.0952380952</v>
      </c>
      <c r="AI57" s="66" t="n">
        <f aca="false">AH57+AI56</f>
        <v>-98214.2857142857</v>
      </c>
      <c r="AJ57" s="66" t="n">
        <f aca="false">AI57+AJ56</f>
        <v>-101190.476190476</v>
      </c>
      <c r="AK57" s="66" t="n">
        <f aca="false">AJ57+AK56</f>
        <v>-104166.666666667</v>
      </c>
      <c r="AL57" s="66" t="n">
        <f aca="false">AK57+AL56</f>
        <v>-107142.857142857</v>
      </c>
    </row>
    <row r="58" customFormat="false" ht="15" hidden="false" customHeight="false" outlineLevel="0" collapsed="false">
      <c r="A58" s="4" t="s">
        <v>91</v>
      </c>
      <c r="C58" s="72" t="n">
        <f aca="false">C55+C57</f>
        <v>247023.80952381</v>
      </c>
      <c r="D58" s="72" t="n">
        <f aca="false">D55+D57</f>
        <v>244047.619047619</v>
      </c>
      <c r="E58" s="72" t="n">
        <f aca="false">E55+E57</f>
        <v>241071.428571429</v>
      </c>
      <c r="F58" s="72" t="n">
        <f aca="false">F55+F57</f>
        <v>238095.238095238</v>
      </c>
      <c r="G58" s="72" t="n">
        <f aca="false">G55+G57</f>
        <v>235119.047619048</v>
      </c>
      <c r="H58" s="72" t="n">
        <f aca="false">H55+H57</f>
        <v>232142.857142857</v>
      </c>
      <c r="I58" s="72" t="n">
        <f aca="false">I55+I57</f>
        <v>229166.666666667</v>
      </c>
      <c r="J58" s="72" t="n">
        <f aca="false">J55+J57</f>
        <v>226190.476190476</v>
      </c>
      <c r="K58" s="72" t="n">
        <f aca="false">K55+K57</f>
        <v>223214.285714286</v>
      </c>
      <c r="L58" s="72" t="n">
        <f aca="false">L55+L57</f>
        <v>220238.095238095</v>
      </c>
      <c r="M58" s="72" t="n">
        <f aca="false">M55+M57</f>
        <v>217261.904761905</v>
      </c>
      <c r="N58" s="72" t="n">
        <f aca="false">N55+N57</f>
        <v>214285.714285714</v>
      </c>
      <c r="O58" s="72" t="n">
        <f aca="false">O55+O57</f>
        <v>211309.523809524</v>
      </c>
      <c r="P58" s="72" t="n">
        <f aca="false">P55+P57</f>
        <v>208333.333333333</v>
      </c>
      <c r="Q58" s="72" t="n">
        <f aca="false">Q55+Q57</f>
        <v>205357.142857143</v>
      </c>
      <c r="R58" s="72" t="n">
        <f aca="false">R55+R57</f>
        <v>202380.952380952</v>
      </c>
      <c r="S58" s="72" t="n">
        <f aca="false">S55+S57</f>
        <v>199404.761904762</v>
      </c>
      <c r="T58" s="72" t="n">
        <f aca="false">T55+T57</f>
        <v>196428.571428571</v>
      </c>
      <c r="U58" s="72" t="n">
        <f aca="false">U55+U57</f>
        <v>193452.380952381</v>
      </c>
      <c r="V58" s="72" t="n">
        <f aca="false">V55+V57</f>
        <v>190476.190476191</v>
      </c>
      <c r="W58" s="72" t="n">
        <f aca="false">W55+W57</f>
        <v>187500</v>
      </c>
      <c r="X58" s="72" t="n">
        <f aca="false">X55+X57</f>
        <v>184523.80952381</v>
      </c>
      <c r="Y58" s="72" t="n">
        <f aca="false">Y55+Y57</f>
        <v>181547.619047619</v>
      </c>
      <c r="Z58" s="72" t="n">
        <f aca="false">Z55+Z57</f>
        <v>178571.428571429</v>
      </c>
      <c r="AA58" s="72" t="n">
        <f aca="false">AA55+AA57</f>
        <v>175595.238095238</v>
      </c>
      <c r="AB58" s="72" t="n">
        <f aca="false">AB55+AB57</f>
        <v>172619.047619048</v>
      </c>
      <c r="AC58" s="72" t="n">
        <f aca="false">AC55+AC57</f>
        <v>169642.857142857</v>
      </c>
      <c r="AD58" s="72" t="n">
        <f aca="false">AD55+AD57</f>
        <v>166666.666666667</v>
      </c>
      <c r="AE58" s="72" t="n">
        <f aca="false">AE55+AE57</f>
        <v>163690.476190476</v>
      </c>
      <c r="AF58" s="72" t="n">
        <f aca="false">AF55+AF57</f>
        <v>160714.285714286</v>
      </c>
      <c r="AG58" s="72" t="n">
        <f aca="false">AG55+AG57</f>
        <v>157738.095238095</v>
      </c>
      <c r="AH58" s="72" t="n">
        <f aca="false">AH55+AH57</f>
        <v>154761.904761905</v>
      </c>
      <c r="AI58" s="72" t="n">
        <f aca="false">AI55+AI57</f>
        <v>151785.714285714</v>
      </c>
      <c r="AJ58" s="72" t="n">
        <f aca="false">AJ55+AJ57</f>
        <v>148809.523809524</v>
      </c>
      <c r="AK58" s="72" t="n">
        <f aca="false">AK55+AK57</f>
        <v>145833.333333333</v>
      </c>
      <c r="AL58" s="72" t="n">
        <f aca="false">AL55+AL57</f>
        <v>142857.142857143</v>
      </c>
    </row>
    <row r="60" customFormat="false" ht="15.75" hidden="false" customHeight="true" outlineLevel="0" collapsed="false">
      <c r="A60" s="7" t="s">
        <v>395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</row>
    <row r="61" customFormat="false" ht="15" hidden="false" customHeight="false" outlineLevel="0" collapsed="false">
      <c r="A61" s="6" t="s">
        <v>396</v>
      </c>
      <c r="C61" s="66" t="n">
        <f aca="false">0</f>
        <v>0</v>
      </c>
      <c r="D61" s="66" t="n">
        <f aca="false">C64</f>
        <v>150000</v>
      </c>
      <c r="E61" s="66" t="n">
        <f aca="false">D64</f>
        <v>148214.285714286</v>
      </c>
      <c r="F61" s="66" t="n">
        <f aca="false">E64</f>
        <v>146428.571428571</v>
      </c>
      <c r="G61" s="66" t="n">
        <f aca="false">F64</f>
        <v>144642.857142857</v>
      </c>
      <c r="H61" s="66" t="n">
        <f aca="false">G64</f>
        <v>142857.142857143</v>
      </c>
      <c r="I61" s="66" t="n">
        <f aca="false">H64</f>
        <v>141071.428571429</v>
      </c>
      <c r="J61" s="66" t="n">
        <f aca="false">I64</f>
        <v>139285.714285714</v>
      </c>
      <c r="K61" s="66" t="n">
        <f aca="false">J64</f>
        <v>137500</v>
      </c>
      <c r="L61" s="66" t="n">
        <f aca="false">K64</f>
        <v>135714.285714286</v>
      </c>
      <c r="M61" s="66" t="n">
        <f aca="false">L64</f>
        <v>133928.571428571</v>
      </c>
      <c r="N61" s="66" t="n">
        <f aca="false">M64</f>
        <v>132142.857142857</v>
      </c>
      <c r="O61" s="66" t="n">
        <f aca="false">N64</f>
        <v>130357.142857143</v>
      </c>
      <c r="P61" s="66" t="n">
        <f aca="false">O64</f>
        <v>128571.428571429</v>
      </c>
      <c r="Q61" s="66" t="n">
        <f aca="false">P64</f>
        <v>126785.714285714</v>
      </c>
      <c r="R61" s="66" t="n">
        <f aca="false">Q64</f>
        <v>125000</v>
      </c>
      <c r="S61" s="66" t="n">
        <f aca="false">R64</f>
        <v>123214.285714286</v>
      </c>
      <c r="T61" s="66" t="n">
        <f aca="false">S64</f>
        <v>121428.571428571</v>
      </c>
      <c r="U61" s="66" t="n">
        <f aca="false">T64</f>
        <v>119642.857142857</v>
      </c>
      <c r="V61" s="66" t="n">
        <f aca="false">U64</f>
        <v>117857.142857143</v>
      </c>
      <c r="W61" s="66" t="n">
        <f aca="false">V64</f>
        <v>116071.428571428</v>
      </c>
      <c r="X61" s="66" t="n">
        <f aca="false">W64</f>
        <v>114285.714285714</v>
      </c>
      <c r="Y61" s="66" t="n">
        <f aca="false">X64</f>
        <v>112500</v>
      </c>
      <c r="Z61" s="66" t="n">
        <f aca="false">Y64</f>
        <v>110714.285714286</v>
      </c>
      <c r="AA61" s="66" t="n">
        <f aca="false">Z64</f>
        <v>108928.571428571</v>
      </c>
      <c r="AB61" s="66" t="n">
        <f aca="false">AA64</f>
        <v>107142.857142857</v>
      </c>
      <c r="AC61" s="66" t="n">
        <f aca="false">AB64</f>
        <v>105357.142857143</v>
      </c>
      <c r="AD61" s="66" t="n">
        <f aca="false">AC64</f>
        <v>103571.428571428</v>
      </c>
      <c r="AE61" s="66" t="n">
        <f aca="false">AD64</f>
        <v>101785.714285714</v>
      </c>
      <c r="AF61" s="66" t="n">
        <f aca="false">AE64</f>
        <v>99999.9999999999</v>
      </c>
      <c r="AG61" s="66" t="n">
        <f aca="false">AF64</f>
        <v>98214.2857142856</v>
      </c>
      <c r="AH61" s="66" t="n">
        <f aca="false">AG64</f>
        <v>96428.5714285713</v>
      </c>
      <c r="AI61" s="66" t="n">
        <f aca="false">AH64</f>
        <v>94642.857142857</v>
      </c>
      <c r="AJ61" s="66" t="n">
        <f aca="false">AI64</f>
        <v>92857.1428571427</v>
      </c>
      <c r="AK61" s="66" t="n">
        <f aca="false">AJ64</f>
        <v>91071.4285714284</v>
      </c>
      <c r="AL61" s="66" t="n">
        <f aca="false">AK64</f>
        <v>89285.7142857141</v>
      </c>
    </row>
    <row r="62" customFormat="false" ht="15" hidden="false" customHeight="false" outlineLevel="0" collapsed="false">
      <c r="A62" s="6" t="s">
        <v>84</v>
      </c>
      <c r="C62" s="66" t="n">
        <f aca="false">IF(C$4=1,Inputs!$E$55,0)</f>
        <v>150000</v>
      </c>
      <c r="D62" s="66" t="n">
        <f aca="false">IF(D$4=1,Inputs!$E$55,0)</f>
        <v>0</v>
      </c>
      <c r="E62" s="66" t="n">
        <f aca="false">IF(E$4=1,Inputs!$E$55,0)</f>
        <v>0</v>
      </c>
      <c r="F62" s="66" t="n">
        <f aca="false">IF(F$4=1,Inputs!$E$55,0)</f>
        <v>0</v>
      </c>
      <c r="G62" s="66" t="n">
        <f aca="false">IF(G$4=1,Inputs!$E$55,0)</f>
        <v>0</v>
      </c>
      <c r="H62" s="66" t="n">
        <f aca="false">IF(H$4=1,Inputs!$E$55,0)</f>
        <v>0</v>
      </c>
      <c r="I62" s="66" t="n">
        <f aca="false">IF(I$4=1,Inputs!$E$55,0)</f>
        <v>0</v>
      </c>
      <c r="J62" s="66" t="n">
        <f aca="false">IF(J$4=1,Inputs!$E$55,0)</f>
        <v>0</v>
      </c>
      <c r="K62" s="66" t="n">
        <f aca="false">IF(K$4=1,Inputs!$E$55,0)</f>
        <v>0</v>
      </c>
      <c r="L62" s="66" t="n">
        <f aca="false">IF(L$4=1,Inputs!$E$55,0)</f>
        <v>0</v>
      </c>
      <c r="M62" s="66" t="n">
        <f aca="false">IF(M$4=1,Inputs!$E$55,0)</f>
        <v>0</v>
      </c>
      <c r="N62" s="66" t="n">
        <f aca="false">IF(N$4=1,Inputs!$E$55,0)</f>
        <v>0</v>
      </c>
      <c r="O62" s="66" t="n">
        <f aca="false">IF(O$4=1,Inputs!$E$55,0)</f>
        <v>0</v>
      </c>
      <c r="P62" s="66" t="n">
        <f aca="false">IF(P$4=1,Inputs!$E$55,0)</f>
        <v>0</v>
      </c>
      <c r="Q62" s="66" t="n">
        <f aca="false">IF(Q$4=1,Inputs!$E$55,0)</f>
        <v>0</v>
      </c>
      <c r="R62" s="66" t="n">
        <f aca="false">IF(R$4=1,Inputs!$E$55,0)</f>
        <v>0</v>
      </c>
      <c r="S62" s="66" t="n">
        <f aca="false">IF(S$4=1,Inputs!$E$55,0)</f>
        <v>0</v>
      </c>
      <c r="T62" s="66" t="n">
        <f aca="false">IF(T$4=1,Inputs!$E$55,0)</f>
        <v>0</v>
      </c>
      <c r="U62" s="66" t="n">
        <f aca="false">IF(U$4=1,Inputs!$E$55,0)</f>
        <v>0</v>
      </c>
      <c r="V62" s="66" t="n">
        <f aca="false">IF(V$4=1,Inputs!$E$55,0)</f>
        <v>0</v>
      </c>
      <c r="W62" s="66" t="n">
        <f aca="false">IF(W$4=1,Inputs!$E$55,0)</f>
        <v>0</v>
      </c>
      <c r="X62" s="66" t="n">
        <f aca="false">IF(X$4=1,Inputs!$E$55,0)</f>
        <v>0</v>
      </c>
      <c r="Y62" s="66" t="n">
        <f aca="false">IF(Y$4=1,Inputs!$E$55,0)</f>
        <v>0</v>
      </c>
      <c r="Z62" s="66" t="n">
        <f aca="false">IF(Z$4=1,Inputs!$E$55,0)</f>
        <v>0</v>
      </c>
      <c r="AA62" s="66" t="n">
        <f aca="false">IF(AA$4=1,Inputs!$E$55,0)</f>
        <v>0</v>
      </c>
      <c r="AB62" s="66" t="n">
        <f aca="false">IF(AB$4=1,Inputs!$E$55,0)</f>
        <v>0</v>
      </c>
      <c r="AC62" s="66" t="n">
        <f aca="false">IF(AC$4=1,Inputs!$E$55,0)</f>
        <v>0</v>
      </c>
      <c r="AD62" s="66" t="n">
        <f aca="false">IF(AD$4=1,Inputs!$E$55,0)</f>
        <v>0</v>
      </c>
      <c r="AE62" s="66" t="n">
        <f aca="false">IF(AE$4=1,Inputs!$E$55,0)</f>
        <v>0</v>
      </c>
      <c r="AF62" s="66" t="n">
        <f aca="false">IF(AF$4=1,Inputs!$E$55,0)</f>
        <v>0</v>
      </c>
      <c r="AG62" s="66" t="n">
        <f aca="false">IF(AG$4=1,Inputs!$E$55,0)</f>
        <v>0</v>
      </c>
      <c r="AH62" s="66" t="n">
        <f aca="false">IF(AH$4=1,Inputs!$E$55,0)</f>
        <v>0</v>
      </c>
      <c r="AI62" s="66" t="n">
        <f aca="false">IF(AI$4=1,Inputs!$E$55,0)</f>
        <v>0</v>
      </c>
      <c r="AJ62" s="66" t="n">
        <f aca="false">IF(AJ$4=1,Inputs!$E$55,0)</f>
        <v>0</v>
      </c>
      <c r="AK62" s="66" t="n">
        <f aca="false">IF(AK$4=1,Inputs!$E$55,0)</f>
        <v>0</v>
      </c>
      <c r="AL62" s="66" t="n">
        <f aca="false">IF(AL$4=1,Inputs!$E$55,0)</f>
        <v>0</v>
      </c>
    </row>
    <row r="63" customFormat="false" ht="15" hidden="false" customHeight="false" outlineLevel="0" collapsed="false">
      <c r="A63" s="6" t="s">
        <v>85</v>
      </c>
      <c r="C63" s="66" t="n">
        <f aca="false">-MIN(C61,Inputs!$E$55/MAX(1,Inputs!$E$57*12))</f>
        <v>-0</v>
      </c>
      <c r="D63" s="66" t="n">
        <f aca="false">-MIN(D61,Inputs!$E$55/MAX(1,Inputs!$E$57*12))</f>
        <v>-1785.71428571429</v>
      </c>
      <c r="E63" s="66" t="n">
        <f aca="false">-MIN(E61,Inputs!$E$55/MAX(1,Inputs!$E$57*12))</f>
        <v>-1785.71428571429</v>
      </c>
      <c r="F63" s="66" t="n">
        <f aca="false">-MIN(F61,Inputs!$E$55/MAX(1,Inputs!$E$57*12))</f>
        <v>-1785.71428571429</v>
      </c>
      <c r="G63" s="66" t="n">
        <f aca="false">-MIN(G61,Inputs!$E$55/MAX(1,Inputs!$E$57*12))</f>
        <v>-1785.71428571429</v>
      </c>
      <c r="H63" s="66" t="n">
        <f aca="false">-MIN(H61,Inputs!$E$55/MAX(1,Inputs!$E$57*12))</f>
        <v>-1785.71428571429</v>
      </c>
      <c r="I63" s="66" t="n">
        <f aca="false">-MIN(I61,Inputs!$E$55/MAX(1,Inputs!$E$57*12))</f>
        <v>-1785.71428571429</v>
      </c>
      <c r="J63" s="66" t="n">
        <f aca="false">-MIN(J61,Inputs!$E$55/MAX(1,Inputs!$E$57*12))</f>
        <v>-1785.71428571429</v>
      </c>
      <c r="K63" s="66" t="n">
        <f aca="false">-MIN(K61,Inputs!$E$55/MAX(1,Inputs!$E$57*12))</f>
        <v>-1785.71428571429</v>
      </c>
      <c r="L63" s="66" t="n">
        <f aca="false">-MIN(L61,Inputs!$E$55/MAX(1,Inputs!$E$57*12))</f>
        <v>-1785.71428571429</v>
      </c>
      <c r="M63" s="66" t="n">
        <f aca="false">-MIN(M61,Inputs!$E$55/MAX(1,Inputs!$E$57*12))</f>
        <v>-1785.71428571429</v>
      </c>
      <c r="N63" s="66" t="n">
        <f aca="false">-MIN(N61,Inputs!$E$55/MAX(1,Inputs!$E$57*12))</f>
        <v>-1785.71428571429</v>
      </c>
      <c r="O63" s="66" t="n">
        <f aca="false">-MIN(O61,Inputs!$E$55/MAX(1,Inputs!$E$57*12))</f>
        <v>-1785.71428571429</v>
      </c>
      <c r="P63" s="66" t="n">
        <f aca="false">-MIN(P61,Inputs!$E$55/MAX(1,Inputs!$E$57*12))</f>
        <v>-1785.71428571429</v>
      </c>
      <c r="Q63" s="66" t="n">
        <f aca="false">-MIN(Q61,Inputs!$E$55/MAX(1,Inputs!$E$57*12))</f>
        <v>-1785.71428571429</v>
      </c>
      <c r="R63" s="66" t="n">
        <f aca="false">-MIN(R61,Inputs!$E$55/MAX(1,Inputs!$E$57*12))</f>
        <v>-1785.71428571429</v>
      </c>
      <c r="S63" s="66" t="n">
        <f aca="false">-MIN(S61,Inputs!$E$55/MAX(1,Inputs!$E$57*12))</f>
        <v>-1785.71428571429</v>
      </c>
      <c r="T63" s="66" t="n">
        <f aca="false">-MIN(T61,Inputs!$E$55/MAX(1,Inputs!$E$57*12))</f>
        <v>-1785.71428571429</v>
      </c>
      <c r="U63" s="66" t="n">
        <f aca="false">-MIN(U61,Inputs!$E$55/MAX(1,Inputs!$E$57*12))</f>
        <v>-1785.71428571429</v>
      </c>
      <c r="V63" s="66" t="n">
        <f aca="false">-MIN(V61,Inputs!$E$55/MAX(1,Inputs!$E$57*12))</f>
        <v>-1785.71428571429</v>
      </c>
      <c r="W63" s="66" t="n">
        <f aca="false">-MIN(W61,Inputs!$E$55/MAX(1,Inputs!$E$57*12))</f>
        <v>-1785.71428571429</v>
      </c>
      <c r="X63" s="66" t="n">
        <f aca="false">-MIN(X61,Inputs!$E$55/MAX(1,Inputs!$E$57*12))</f>
        <v>-1785.71428571429</v>
      </c>
      <c r="Y63" s="66" t="n">
        <f aca="false">-MIN(Y61,Inputs!$E$55/MAX(1,Inputs!$E$57*12))</f>
        <v>-1785.71428571429</v>
      </c>
      <c r="Z63" s="66" t="n">
        <f aca="false">-MIN(Z61,Inputs!$E$55/MAX(1,Inputs!$E$57*12))</f>
        <v>-1785.71428571429</v>
      </c>
      <c r="AA63" s="66" t="n">
        <f aca="false">-MIN(AA61,Inputs!$E$55/MAX(1,Inputs!$E$57*12))</f>
        <v>-1785.71428571429</v>
      </c>
      <c r="AB63" s="66" t="n">
        <f aca="false">-MIN(AB61,Inputs!$E$55/MAX(1,Inputs!$E$57*12))</f>
        <v>-1785.71428571429</v>
      </c>
      <c r="AC63" s="66" t="n">
        <f aca="false">-MIN(AC61,Inputs!$E$55/MAX(1,Inputs!$E$57*12))</f>
        <v>-1785.71428571429</v>
      </c>
      <c r="AD63" s="66" t="n">
        <f aca="false">-MIN(AD61,Inputs!$E$55/MAX(1,Inputs!$E$57*12))</f>
        <v>-1785.71428571429</v>
      </c>
      <c r="AE63" s="66" t="n">
        <f aca="false">-MIN(AE61,Inputs!$E$55/MAX(1,Inputs!$E$57*12))</f>
        <v>-1785.71428571429</v>
      </c>
      <c r="AF63" s="66" t="n">
        <f aca="false">-MIN(AF61,Inputs!$E$55/MAX(1,Inputs!$E$57*12))</f>
        <v>-1785.71428571429</v>
      </c>
      <c r="AG63" s="66" t="n">
        <f aca="false">-MIN(AG61,Inputs!$E$55/MAX(1,Inputs!$E$57*12))</f>
        <v>-1785.71428571429</v>
      </c>
      <c r="AH63" s="66" t="n">
        <f aca="false">-MIN(AH61,Inputs!$E$55/MAX(1,Inputs!$E$57*12))</f>
        <v>-1785.71428571429</v>
      </c>
      <c r="AI63" s="66" t="n">
        <f aca="false">-MIN(AI61,Inputs!$E$55/MAX(1,Inputs!$E$57*12))</f>
        <v>-1785.71428571429</v>
      </c>
      <c r="AJ63" s="66" t="n">
        <f aca="false">-MIN(AJ61,Inputs!$E$55/MAX(1,Inputs!$E$57*12))</f>
        <v>-1785.71428571429</v>
      </c>
      <c r="AK63" s="66" t="n">
        <f aca="false">-MIN(AK61,Inputs!$E$55/MAX(1,Inputs!$E$57*12))</f>
        <v>-1785.71428571429</v>
      </c>
      <c r="AL63" s="66" t="n">
        <f aca="false">-MIN(AL61,Inputs!$E$55/MAX(1,Inputs!$E$57*12))</f>
        <v>-1785.71428571429</v>
      </c>
    </row>
    <row r="64" customFormat="false" ht="15" hidden="false" customHeight="false" outlineLevel="0" collapsed="false">
      <c r="A64" s="4" t="s">
        <v>397</v>
      </c>
      <c r="C64" s="72" t="n">
        <f aca="false">C61+C62+C63</f>
        <v>150000</v>
      </c>
      <c r="D64" s="72" t="n">
        <f aca="false">D61+D62+D63</f>
        <v>148214.285714286</v>
      </c>
      <c r="E64" s="72" t="n">
        <f aca="false">E61+E62+E63</f>
        <v>146428.571428571</v>
      </c>
      <c r="F64" s="72" t="n">
        <f aca="false">F61+F62+F63</f>
        <v>144642.857142857</v>
      </c>
      <c r="G64" s="72" t="n">
        <f aca="false">G61+G62+G63</f>
        <v>142857.142857143</v>
      </c>
      <c r="H64" s="72" t="n">
        <f aca="false">H61+H62+H63</f>
        <v>141071.428571429</v>
      </c>
      <c r="I64" s="72" t="n">
        <f aca="false">I61+I62+I63</f>
        <v>139285.714285714</v>
      </c>
      <c r="J64" s="72" t="n">
        <f aca="false">J61+J62+J63</f>
        <v>137500</v>
      </c>
      <c r="K64" s="72" t="n">
        <f aca="false">K61+K62+K63</f>
        <v>135714.285714286</v>
      </c>
      <c r="L64" s="72" t="n">
        <f aca="false">L61+L62+L63</f>
        <v>133928.571428571</v>
      </c>
      <c r="M64" s="72" t="n">
        <f aca="false">M61+M62+M63</f>
        <v>132142.857142857</v>
      </c>
      <c r="N64" s="72" t="n">
        <f aca="false">N61+N62+N63</f>
        <v>130357.142857143</v>
      </c>
      <c r="O64" s="72" t="n">
        <f aca="false">O61+O62+O63</f>
        <v>128571.428571429</v>
      </c>
      <c r="P64" s="72" t="n">
        <f aca="false">P61+P62+P63</f>
        <v>126785.714285714</v>
      </c>
      <c r="Q64" s="72" t="n">
        <f aca="false">Q61+Q62+Q63</f>
        <v>125000</v>
      </c>
      <c r="R64" s="72" t="n">
        <f aca="false">R61+R62+R63</f>
        <v>123214.285714286</v>
      </c>
      <c r="S64" s="72" t="n">
        <f aca="false">S61+S62+S63</f>
        <v>121428.571428571</v>
      </c>
      <c r="T64" s="72" t="n">
        <f aca="false">T61+T62+T63</f>
        <v>119642.857142857</v>
      </c>
      <c r="U64" s="72" t="n">
        <f aca="false">U61+U62+U63</f>
        <v>117857.142857143</v>
      </c>
      <c r="V64" s="72" t="n">
        <f aca="false">V61+V62+V63</f>
        <v>116071.428571428</v>
      </c>
      <c r="W64" s="72" t="n">
        <f aca="false">W61+W62+W63</f>
        <v>114285.714285714</v>
      </c>
      <c r="X64" s="72" t="n">
        <f aca="false">X61+X62+X63</f>
        <v>112500</v>
      </c>
      <c r="Y64" s="72" t="n">
        <f aca="false">Y61+Y62+Y63</f>
        <v>110714.285714286</v>
      </c>
      <c r="Z64" s="72" t="n">
        <f aca="false">Z61+Z62+Z63</f>
        <v>108928.571428571</v>
      </c>
      <c r="AA64" s="72" t="n">
        <f aca="false">AA61+AA62+AA63</f>
        <v>107142.857142857</v>
      </c>
      <c r="AB64" s="72" t="n">
        <f aca="false">AB61+AB62+AB63</f>
        <v>105357.142857143</v>
      </c>
      <c r="AC64" s="72" t="n">
        <f aca="false">AC61+AC62+AC63</f>
        <v>103571.428571428</v>
      </c>
      <c r="AD64" s="72" t="n">
        <f aca="false">AD61+AD62+AD63</f>
        <v>101785.714285714</v>
      </c>
      <c r="AE64" s="72" t="n">
        <f aca="false">AE61+AE62+AE63</f>
        <v>99999.9999999999</v>
      </c>
      <c r="AF64" s="72" t="n">
        <f aca="false">AF61+AF62+AF63</f>
        <v>98214.2857142856</v>
      </c>
      <c r="AG64" s="72" t="n">
        <f aca="false">AG61+AG62+AG63</f>
        <v>96428.5714285713</v>
      </c>
      <c r="AH64" s="72" t="n">
        <f aca="false">AH61+AH62+AH63</f>
        <v>94642.857142857</v>
      </c>
      <c r="AI64" s="72" t="n">
        <f aca="false">AI61+AI62+AI63</f>
        <v>92857.1428571427</v>
      </c>
      <c r="AJ64" s="72" t="n">
        <f aca="false">AJ61+AJ62+AJ63</f>
        <v>91071.4285714284</v>
      </c>
      <c r="AK64" s="72" t="n">
        <f aca="false">AK61+AK62+AK63</f>
        <v>89285.7142857141</v>
      </c>
      <c r="AL64" s="72" t="n">
        <f aca="false">AL61+AL62+AL63</f>
        <v>87499.9999999999</v>
      </c>
    </row>
    <row r="66" customFormat="false" ht="15.75" hidden="false" customHeight="true" outlineLevel="0" collapsed="false">
      <c r="A66" s="7" t="s">
        <v>303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</row>
    <row r="67" customFormat="false" ht="15" hidden="false" customHeight="false" outlineLevel="0" collapsed="false">
      <c r="A67" s="6" t="s">
        <v>89</v>
      </c>
      <c r="C67" s="66" t="n">
        <f aca="false">C24*Inputs!$E$60/30</f>
        <v>0</v>
      </c>
      <c r="D67" s="66" t="n">
        <f aca="false">D24*Inputs!$E$60/30</f>
        <v>0</v>
      </c>
      <c r="E67" s="66" t="n">
        <f aca="false">E24*Inputs!$E$60/30</f>
        <v>0</v>
      </c>
      <c r="F67" s="66" t="n">
        <f aca="false">F24*Inputs!$E$60/30</f>
        <v>0</v>
      </c>
      <c r="G67" s="66" t="n">
        <f aca="false">G24*Inputs!$E$60/30</f>
        <v>0</v>
      </c>
      <c r="H67" s="66" t="n">
        <f aca="false">H24*Inputs!$E$60/30</f>
        <v>0</v>
      </c>
      <c r="I67" s="66" t="n">
        <f aca="false">I24*Inputs!$E$60/30</f>
        <v>0</v>
      </c>
      <c r="J67" s="66" t="n">
        <f aca="false">J24*Inputs!$E$60/30</f>
        <v>0</v>
      </c>
      <c r="K67" s="66" t="n">
        <f aca="false">K24*Inputs!$E$60/30</f>
        <v>0</v>
      </c>
      <c r="L67" s="66" t="n">
        <f aca="false">L24*Inputs!$E$60/30</f>
        <v>0</v>
      </c>
      <c r="M67" s="66" t="n">
        <f aca="false">M24*Inputs!$E$60/30</f>
        <v>0</v>
      </c>
      <c r="N67" s="66" t="n">
        <f aca="false">N24*Inputs!$E$60/30</f>
        <v>0</v>
      </c>
      <c r="O67" s="66" t="n">
        <f aca="false">O24*Inputs!$E$60/30</f>
        <v>0</v>
      </c>
      <c r="P67" s="66" t="n">
        <f aca="false">P24*Inputs!$E$60/30</f>
        <v>0</v>
      </c>
      <c r="Q67" s="66" t="n">
        <f aca="false">Q24*Inputs!$E$60/30</f>
        <v>0</v>
      </c>
      <c r="R67" s="66" t="n">
        <f aca="false">R24*Inputs!$E$60/30</f>
        <v>0</v>
      </c>
      <c r="S67" s="66" t="n">
        <f aca="false">S24*Inputs!$E$60/30</f>
        <v>0</v>
      </c>
      <c r="T67" s="66" t="n">
        <f aca="false">T24*Inputs!$E$60/30</f>
        <v>0</v>
      </c>
      <c r="U67" s="66" t="n">
        <f aca="false">U24*Inputs!$E$60/30</f>
        <v>0</v>
      </c>
      <c r="V67" s="66" t="n">
        <f aca="false">V24*Inputs!$E$60/30</f>
        <v>0</v>
      </c>
      <c r="W67" s="66" t="n">
        <f aca="false">W24*Inputs!$E$60/30</f>
        <v>0</v>
      </c>
      <c r="X67" s="66" t="n">
        <f aca="false">X24*Inputs!$E$60/30</f>
        <v>0</v>
      </c>
      <c r="Y67" s="66" t="n">
        <f aca="false">Y24*Inputs!$E$60/30</f>
        <v>0</v>
      </c>
      <c r="Z67" s="66" t="n">
        <f aca="false">Z24*Inputs!$E$60/30</f>
        <v>0</v>
      </c>
      <c r="AA67" s="66" t="n">
        <f aca="false">AA24*Inputs!$E$60/30</f>
        <v>0</v>
      </c>
      <c r="AB67" s="66" t="n">
        <f aca="false">AB24*Inputs!$E$60/30</f>
        <v>0</v>
      </c>
      <c r="AC67" s="66" t="n">
        <f aca="false">AC24*Inputs!$E$60/30</f>
        <v>0</v>
      </c>
      <c r="AD67" s="66" t="n">
        <f aca="false">AD24*Inputs!$E$60/30</f>
        <v>0</v>
      </c>
      <c r="AE67" s="66" t="n">
        <f aca="false">AE24*Inputs!$E$60/30</f>
        <v>0</v>
      </c>
      <c r="AF67" s="66" t="n">
        <f aca="false">AF24*Inputs!$E$60/30</f>
        <v>0</v>
      </c>
      <c r="AG67" s="66" t="n">
        <f aca="false">AG24*Inputs!$E$60/30</f>
        <v>0</v>
      </c>
      <c r="AH67" s="66" t="n">
        <f aca="false">AH24*Inputs!$E$60/30</f>
        <v>0</v>
      </c>
      <c r="AI67" s="66" t="n">
        <f aca="false">AI24*Inputs!$E$60/30</f>
        <v>0</v>
      </c>
      <c r="AJ67" s="66" t="n">
        <f aca="false">AJ24*Inputs!$E$60/30</f>
        <v>0</v>
      </c>
      <c r="AK67" s="66" t="n">
        <f aca="false">AK24*Inputs!$E$60/30</f>
        <v>0</v>
      </c>
      <c r="AL67" s="66" t="n">
        <f aca="false">AL24*Inputs!$E$60/30</f>
        <v>0</v>
      </c>
    </row>
    <row r="68" customFormat="false" ht="15" hidden="false" customHeight="false" outlineLevel="0" collapsed="false">
      <c r="A68" s="6" t="s">
        <v>90</v>
      </c>
      <c r="C68" s="66" t="n">
        <f aca="false">-C30*Inputs!$E$61/30</f>
        <v>3138.45</v>
      </c>
      <c r="D68" s="66" t="n">
        <f aca="false">-D30*Inputs!$E$61/30</f>
        <v>3244.083</v>
      </c>
      <c r="E68" s="66" t="n">
        <f aca="false">-E30*Inputs!$E$61/30</f>
        <v>3343.37802</v>
      </c>
      <c r="F68" s="66" t="n">
        <f aca="false">-F30*Inputs!$E$61/30</f>
        <v>3436.7153388</v>
      </c>
      <c r="G68" s="66" t="n">
        <f aca="false">-G30*Inputs!$E$61/30</f>
        <v>3524.452418472</v>
      </c>
      <c r="H68" s="66" t="n">
        <f aca="false">-H30*Inputs!$E$61/30</f>
        <v>3606.92527336368</v>
      </c>
      <c r="I68" s="66" t="n">
        <f aca="false">-I30*Inputs!$E$61/30</f>
        <v>3684.44975696186</v>
      </c>
      <c r="J68" s="66" t="n">
        <f aca="false">-J30*Inputs!$E$61/30</f>
        <v>3757.32277154415</v>
      </c>
      <c r="K68" s="66" t="n">
        <f aca="false">-K30*Inputs!$E$61/30</f>
        <v>3825.8234052515</v>
      </c>
      <c r="L68" s="66" t="n">
        <f aca="false">-L30*Inputs!$E$61/30</f>
        <v>3890.21400093641</v>
      </c>
      <c r="M68" s="66" t="n">
        <f aca="false">-M30*Inputs!$E$61/30</f>
        <v>3950.74116088022</v>
      </c>
      <c r="N68" s="66" t="n">
        <f aca="false">-N30*Inputs!$E$61/30</f>
        <v>4007.63669122741</v>
      </c>
      <c r="O68" s="66" t="n">
        <f aca="false">-O30*Inputs!$E$61/30</f>
        <v>4188.06187444638</v>
      </c>
      <c r="P68" s="66" t="n">
        <f aca="false">-P30*Inputs!$E$61/30</f>
        <v>4249.7560219796</v>
      </c>
      <c r="Q68" s="66" t="n">
        <f aca="false">-Q30*Inputs!$E$61/30</f>
        <v>4307.74852066082</v>
      </c>
      <c r="R68" s="66" t="n">
        <f aca="false">-R30*Inputs!$E$61/30</f>
        <v>4362.26146942117</v>
      </c>
      <c r="S68" s="66" t="n">
        <f aca="false">-S30*Inputs!$E$61/30</f>
        <v>4413.5036412559</v>
      </c>
      <c r="T68" s="66" t="n">
        <f aca="false">-T30*Inputs!$E$61/30</f>
        <v>4461.67128278055</v>
      </c>
      <c r="U68" s="66" t="n">
        <f aca="false">-U30*Inputs!$E$61/30</f>
        <v>4506.94886581371</v>
      </c>
      <c r="V68" s="66" t="n">
        <f aca="false">-V30*Inputs!$E$61/30</f>
        <v>4538.16874426025</v>
      </c>
      <c r="W68" s="66" t="n">
        <f aca="false">-W30*Inputs!$E$61/30</f>
        <v>4547.45</v>
      </c>
      <c r="X68" s="66" t="n">
        <f aca="false">-X30*Inputs!$E$61/30</f>
        <v>4547.45</v>
      </c>
      <c r="Y68" s="66" t="n">
        <f aca="false">-Y30*Inputs!$E$61/30</f>
        <v>4547.45</v>
      </c>
      <c r="Z68" s="66" t="n">
        <f aca="false">-Z30*Inputs!$E$61/30</f>
        <v>4547.45</v>
      </c>
      <c r="AA68" s="66" t="n">
        <f aca="false">-AA30*Inputs!$E$61/30</f>
        <v>4683.8735</v>
      </c>
      <c r="AB68" s="66" t="n">
        <f aca="false">-AB30*Inputs!$E$61/30</f>
        <v>4683.8735</v>
      </c>
      <c r="AC68" s="66" t="n">
        <f aca="false">-AC30*Inputs!$E$61/30</f>
        <v>4683.8735</v>
      </c>
      <c r="AD68" s="66" t="n">
        <f aca="false">-AD30*Inputs!$E$61/30</f>
        <v>4683.8735</v>
      </c>
      <c r="AE68" s="66" t="n">
        <f aca="false">-AE30*Inputs!$E$61/30</f>
        <v>4683.8735</v>
      </c>
      <c r="AF68" s="66" t="n">
        <f aca="false">-AF30*Inputs!$E$61/30</f>
        <v>4683.8735</v>
      </c>
      <c r="AG68" s="66" t="n">
        <f aca="false">-AG30*Inputs!$E$61/30</f>
        <v>4683.8735</v>
      </c>
      <c r="AH68" s="66" t="n">
        <f aca="false">-AH30*Inputs!$E$61/30</f>
        <v>4683.8735</v>
      </c>
      <c r="AI68" s="66" t="n">
        <f aca="false">-AI30*Inputs!$E$61/30</f>
        <v>4683.8735</v>
      </c>
      <c r="AJ68" s="66" t="n">
        <f aca="false">-AJ30*Inputs!$E$61/30</f>
        <v>4683.8735</v>
      </c>
      <c r="AK68" s="66" t="n">
        <f aca="false">-AK30*Inputs!$E$61/30</f>
        <v>4683.8735</v>
      </c>
      <c r="AL68" s="66" t="n">
        <f aca="false">-AL30*Inputs!$E$61/30</f>
        <v>4683.8735</v>
      </c>
    </row>
    <row r="69" customFormat="false" ht="15" hidden="false" customHeight="false" outlineLevel="0" collapsed="false">
      <c r="A69" s="6" t="s">
        <v>93</v>
      </c>
      <c r="C69" s="66" t="n">
        <f aca="false">-C30*Inputs!$E$62/30</f>
        <v>6276.9</v>
      </c>
      <c r="D69" s="66" t="n">
        <f aca="false">-D30*Inputs!$E$62/30</f>
        <v>6488.166</v>
      </c>
      <c r="E69" s="66" t="n">
        <f aca="false">-E30*Inputs!$E$62/30</f>
        <v>6686.75604</v>
      </c>
      <c r="F69" s="66" t="n">
        <f aca="false">-F30*Inputs!$E$62/30</f>
        <v>6873.4306776</v>
      </c>
      <c r="G69" s="66" t="n">
        <f aca="false">-G30*Inputs!$E$62/30</f>
        <v>7048.904836944</v>
      </c>
      <c r="H69" s="66" t="n">
        <f aca="false">-H30*Inputs!$E$62/30</f>
        <v>7213.85054672736</v>
      </c>
      <c r="I69" s="66" t="n">
        <f aca="false">-I30*Inputs!$E$62/30</f>
        <v>7368.89951392372</v>
      </c>
      <c r="J69" s="66" t="n">
        <f aca="false">-J30*Inputs!$E$62/30</f>
        <v>7514.64554308829</v>
      </c>
      <c r="K69" s="66" t="n">
        <f aca="false">-K30*Inputs!$E$62/30</f>
        <v>7651.646810503</v>
      </c>
      <c r="L69" s="66" t="n">
        <f aca="false">-L30*Inputs!$E$62/30</f>
        <v>7780.42800187282</v>
      </c>
      <c r="M69" s="66" t="n">
        <f aca="false">-M30*Inputs!$E$62/30</f>
        <v>7901.48232176045</v>
      </c>
      <c r="N69" s="66" t="n">
        <f aca="false">-N30*Inputs!$E$62/30</f>
        <v>8015.27338245482</v>
      </c>
      <c r="O69" s="66" t="n">
        <f aca="false">-O30*Inputs!$E$62/30</f>
        <v>8376.12374889276</v>
      </c>
      <c r="P69" s="66" t="n">
        <f aca="false">-P30*Inputs!$E$62/30</f>
        <v>8499.51204395919</v>
      </c>
      <c r="Q69" s="66" t="n">
        <f aca="false">-Q30*Inputs!$E$62/30</f>
        <v>8615.49704132164</v>
      </c>
      <c r="R69" s="66" t="n">
        <f aca="false">-R30*Inputs!$E$62/30</f>
        <v>8724.52293884234</v>
      </c>
      <c r="S69" s="66" t="n">
        <f aca="false">-S30*Inputs!$E$62/30</f>
        <v>8827.0072825118</v>
      </c>
      <c r="T69" s="66" t="n">
        <f aca="false">-T30*Inputs!$E$62/30</f>
        <v>8923.34256556109</v>
      </c>
      <c r="U69" s="66" t="n">
        <f aca="false">-U30*Inputs!$E$62/30</f>
        <v>9013.89773162743</v>
      </c>
      <c r="V69" s="66" t="n">
        <f aca="false">-V30*Inputs!$E$62/30</f>
        <v>9076.33748852051</v>
      </c>
      <c r="W69" s="66" t="n">
        <f aca="false">-W30*Inputs!$E$62/30</f>
        <v>9094.9</v>
      </c>
      <c r="X69" s="66" t="n">
        <f aca="false">-X30*Inputs!$E$62/30</f>
        <v>9094.9</v>
      </c>
      <c r="Y69" s="66" t="n">
        <f aca="false">-Y30*Inputs!$E$62/30</f>
        <v>9094.9</v>
      </c>
      <c r="Z69" s="66" t="n">
        <f aca="false">-Z30*Inputs!$E$62/30</f>
        <v>9094.9</v>
      </c>
      <c r="AA69" s="66" t="n">
        <f aca="false">-AA30*Inputs!$E$62/30</f>
        <v>9367.747</v>
      </c>
      <c r="AB69" s="66" t="n">
        <f aca="false">-AB30*Inputs!$E$62/30</f>
        <v>9367.747</v>
      </c>
      <c r="AC69" s="66" t="n">
        <f aca="false">-AC30*Inputs!$E$62/30</f>
        <v>9367.747</v>
      </c>
      <c r="AD69" s="66" t="n">
        <f aca="false">-AD30*Inputs!$E$62/30</f>
        <v>9367.747</v>
      </c>
      <c r="AE69" s="66" t="n">
        <f aca="false">-AE30*Inputs!$E$62/30</f>
        <v>9367.747</v>
      </c>
      <c r="AF69" s="66" t="n">
        <f aca="false">-AF30*Inputs!$E$62/30</f>
        <v>9367.747</v>
      </c>
      <c r="AG69" s="66" t="n">
        <f aca="false">-AG30*Inputs!$E$62/30</f>
        <v>9367.747</v>
      </c>
      <c r="AH69" s="66" t="n">
        <f aca="false">-AH30*Inputs!$E$62/30</f>
        <v>9367.747</v>
      </c>
      <c r="AI69" s="66" t="n">
        <f aca="false">-AI30*Inputs!$E$62/30</f>
        <v>9367.747</v>
      </c>
      <c r="AJ69" s="66" t="n">
        <f aca="false">-AJ30*Inputs!$E$62/30</f>
        <v>9367.747</v>
      </c>
      <c r="AK69" s="66" t="n">
        <f aca="false">-AK30*Inputs!$E$62/30</f>
        <v>9367.747</v>
      </c>
      <c r="AL69" s="66" t="n">
        <f aca="false">-AL30*Inputs!$E$62/30</f>
        <v>9367.747</v>
      </c>
    </row>
    <row r="70" customFormat="false" ht="15" hidden="false" customHeight="false" outlineLevel="0" collapsed="false">
      <c r="A70" s="6" t="s">
        <v>328</v>
      </c>
      <c r="C70" s="66" t="n">
        <f aca="false">-C67</f>
        <v>-0</v>
      </c>
      <c r="D70" s="66" t="n">
        <f aca="false">C67-D67</f>
        <v>0</v>
      </c>
      <c r="E70" s="66" t="n">
        <f aca="false">D67-E67</f>
        <v>0</v>
      </c>
      <c r="F70" s="66" t="n">
        <f aca="false">E67-F67</f>
        <v>0</v>
      </c>
      <c r="G70" s="66" t="n">
        <f aca="false">F67-G67</f>
        <v>0</v>
      </c>
      <c r="H70" s="66" t="n">
        <f aca="false">G67-H67</f>
        <v>0</v>
      </c>
      <c r="I70" s="66" t="n">
        <f aca="false">H67-I67</f>
        <v>0</v>
      </c>
      <c r="J70" s="66" t="n">
        <f aca="false">I67-J67</f>
        <v>0</v>
      </c>
      <c r="K70" s="66" t="n">
        <f aca="false">J67-K67</f>
        <v>0</v>
      </c>
      <c r="L70" s="66" t="n">
        <f aca="false">K67-L67</f>
        <v>0</v>
      </c>
      <c r="M70" s="66" t="n">
        <f aca="false">L67-M67</f>
        <v>0</v>
      </c>
      <c r="N70" s="66" t="n">
        <f aca="false">M67-N67</f>
        <v>0</v>
      </c>
      <c r="O70" s="66" t="n">
        <f aca="false">N67-O67</f>
        <v>0</v>
      </c>
      <c r="P70" s="66" t="n">
        <f aca="false">O67-P67</f>
        <v>0</v>
      </c>
      <c r="Q70" s="66" t="n">
        <f aca="false">P67-Q67</f>
        <v>0</v>
      </c>
      <c r="R70" s="66" t="n">
        <f aca="false">Q67-R67</f>
        <v>0</v>
      </c>
      <c r="S70" s="66" t="n">
        <f aca="false">R67-S67</f>
        <v>0</v>
      </c>
      <c r="T70" s="66" t="n">
        <f aca="false">S67-T67</f>
        <v>0</v>
      </c>
      <c r="U70" s="66" t="n">
        <f aca="false">T67-U67</f>
        <v>0</v>
      </c>
      <c r="V70" s="66" t="n">
        <f aca="false">U67-V67</f>
        <v>0</v>
      </c>
      <c r="W70" s="66" t="n">
        <f aca="false">V67-W67</f>
        <v>0</v>
      </c>
      <c r="X70" s="66" t="n">
        <f aca="false">W67-X67</f>
        <v>0</v>
      </c>
      <c r="Y70" s="66" t="n">
        <f aca="false">X67-Y67</f>
        <v>0</v>
      </c>
      <c r="Z70" s="66" t="n">
        <f aca="false">Y67-Z67</f>
        <v>0</v>
      </c>
      <c r="AA70" s="66" t="n">
        <f aca="false">Z67-AA67</f>
        <v>0</v>
      </c>
      <c r="AB70" s="66" t="n">
        <f aca="false">AA67-AB67</f>
        <v>0</v>
      </c>
      <c r="AC70" s="66" t="n">
        <f aca="false">AB67-AC67</f>
        <v>0</v>
      </c>
      <c r="AD70" s="66" t="n">
        <f aca="false">AC67-AD67</f>
        <v>0</v>
      </c>
      <c r="AE70" s="66" t="n">
        <f aca="false">AD67-AE67</f>
        <v>0</v>
      </c>
      <c r="AF70" s="66" t="n">
        <f aca="false">AE67-AF67</f>
        <v>0</v>
      </c>
      <c r="AG70" s="66" t="n">
        <f aca="false">AF67-AG67</f>
        <v>0</v>
      </c>
      <c r="AH70" s="66" t="n">
        <f aca="false">AG67-AH67</f>
        <v>0</v>
      </c>
      <c r="AI70" s="66" t="n">
        <f aca="false">AH67-AI67</f>
        <v>0</v>
      </c>
      <c r="AJ70" s="66" t="n">
        <f aca="false">AI67-AJ67</f>
        <v>0</v>
      </c>
      <c r="AK70" s="66" t="n">
        <f aca="false">AJ67-AK67</f>
        <v>0</v>
      </c>
      <c r="AL70" s="66" t="n">
        <f aca="false">AK67-AL67</f>
        <v>0</v>
      </c>
    </row>
    <row r="71" customFormat="false" ht="15" hidden="false" customHeight="false" outlineLevel="0" collapsed="false">
      <c r="A71" s="6" t="s">
        <v>329</v>
      </c>
      <c r="C71" s="66" t="n">
        <f aca="false">-C68</f>
        <v>-3138.45</v>
      </c>
      <c r="D71" s="66" t="n">
        <f aca="false">C68-D68</f>
        <v>-105.633</v>
      </c>
      <c r="E71" s="66" t="n">
        <f aca="false">D68-E68</f>
        <v>-99.29502</v>
      </c>
      <c r="F71" s="66" t="n">
        <f aca="false">E68-F68</f>
        <v>-93.3373188000005</v>
      </c>
      <c r="G71" s="66" t="n">
        <f aca="false">F68-G68</f>
        <v>-87.7370796719997</v>
      </c>
      <c r="H71" s="66" t="n">
        <f aca="false">G68-H68</f>
        <v>-82.4728548916801</v>
      </c>
      <c r="I71" s="66" t="n">
        <f aca="false">H68-I68</f>
        <v>-77.5244835981794</v>
      </c>
      <c r="J71" s="66" t="n">
        <f aca="false">I68-J68</f>
        <v>-72.8730145822879</v>
      </c>
      <c r="K71" s="66" t="n">
        <f aca="false">J68-K68</f>
        <v>-68.5006337073514</v>
      </c>
      <c r="L71" s="66" t="n">
        <f aca="false">K68-L68</f>
        <v>-64.3905956849098</v>
      </c>
      <c r="M71" s="66" t="n">
        <f aca="false">L68-M68</f>
        <v>-60.5271599438152</v>
      </c>
      <c r="N71" s="66" t="n">
        <f aca="false">M68-N68</f>
        <v>-56.8955303471867</v>
      </c>
      <c r="O71" s="66" t="n">
        <f aca="false">N68-O68</f>
        <v>-180.425183218968</v>
      </c>
      <c r="P71" s="66" t="n">
        <f aca="false">O68-P68</f>
        <v>-61.6941475332169</v>
      </c>
      <c r="Q71" s="66" t="n">
        <f aca="false">P68-Q68</f>
        <v>-57.9924986812248</v>
      </c>
      <c r="R71" s="66" t="n">
        <f aca="false">Q68-R68</f>
        <v>-54.5129487603508</v>
      </c>
      <c r="S71" s="66" t="n">
        <f aca="false">R68-S68</f>
        <v>-51.2421718347296</v>
      </c>
      <c r="T71" s="66" t="n">
        <f aca="false">S68-T68</f>
        <v>-48.1676415246466</v>
      </c>
      <c r="U71" s="66" t="n">
        <f aca="false">T68-U68</f>
        <v>-45.2775830331666</v>
      </c>
      <c r="V71" s="66" t="n">
        <f aca="false">U68-V68</f>
        <v>-31.21987844654</v>
      </c>
      <c r="W71" s="66" t="n">
        <f aca="false">V68-W68</f>
        <v>-9.28125573974648</v>
      </c>
      <c r="X71" s="66" t="n">
        <f aca="false">W68-X68</f>
        <v>0</v>
      </c>
      <c r="Y71" s="66" t="n">
        <f aca="false">X68-Y68</f>
        <v>0</v>
      </c>
      <c r="Z71" s="66" t="n">
        <f aca="false">Y68-Z68</f>
        <v>0</v>
      </c>
      <c r="AA71" s="66" t="n">
        <f aca="false">Z68-AA68</f>
        <v>-136.423500000001</v>
      </c>
      <c r="AB71" s="66" t="n">
        <f aca="false">AA68-AB68</f>
        <v>0</v>
      </c>
      <c r="AC71" s="66" t="n">
        <f aca="false">AB68-AC68</f>
        <v>0</v>
      </c>
      <c r="AD71" s="66" t="n">
        <f aca="false">AC68-AD68</f>
        <v>0</v>
      </c>
      <c r="AE71" s="66" t="n">
        <f aca="false">AD68-AE68</f>
        <v>0</v>
      </c>
      <c r="AF71" s="66" t="n">
        <f aca="false">AE68-AF68</f>
        <v>0</v>
      </c>
      <c r="AG71" s="66" t="n">
        <f aca="false">AF68-AG68</f>
        <v>0</v>
      </c>
      <c r="AH71" s="66" t="n">
        <f aca="false">AG68-AH68</f>
        <v>0</v>
      </c>
      <c r="AI71" s="66" t="n">
        <f aca="false">AH68-AI68</f>
        <v>0</v>
      </c>
      <c r="AJ71" s="66" t="n">
        <f aca="false">AI68-AJ68</f>
        <v>0</v>
      </c>
      <c r="AK71" s="66" t="n">
        <f aca="false">AJ68-AK68</f>
        <v>0</v>
      </c>
      <c r="AL71" s="66" t="n">
        <f aca="false">AK68-AL68</f>
        <v>0</v>
      </c>
    </row>
    <row r="72" customFormat="false" ht="15" hidden="false" customHeight="false" outlineLevel="0" collapsed="false">
      <c r="A72" s="6" t="s">
        <v>330</v>
      </c>
      <c r="C72" s="66" t="n">
        <f aca="false">C69</f>
        <v>6276.9</v>
      </c>
      <c r="D72" s="66" t="n">
        <f aca="false">D69-C69</f>
        <v>211.266</v>
      </c>
      <c r="E72" s="66" t="n">
        <f aca="false">E69-D69</f>
        <v>198.59004</v>
      </c>
      <c r="F72" s="66" t="n">
        <f aca="false">F69-E69</f>
        <v>186.674637600001</v>
      </c>
      <c r="G72" s="66" t="n">
        <f aca="false">G69-F69</f>
        <v>175.474159343999</v>
      </c>
      <c r="H72" s="66" t="n">
        <f aca="false">H69-G69</f>
        <v>164.94570978336</v>
      </c>
      <c r="I72" s="66" t="n">
        <f aca="false">I69-H69</f>
        <v>155.048967196359</v>
      </c>
      <c r="J72" s="66" t="n">
        <f aca="false">J69-I69</f>
        <v>145.746029164576</v>
      </c>
      <c r="K72" s="66" t="n">
        <f aca="false">K69-J69</f>
        <v>137.001267414703</v>
      </c>
      <c r="L72" s="66" t="n">
        <f aca="false">L69-K69</f>
        <v>128.78119136982</v>
      </c>
      <c r="M72" s="66" t="n">
        <f aca="false">M69-L69</f>
        <v>121.05431988763</v>
      </c>
      <c r="N72" s="66" t="n">
        <f aca="false">N69-M69</f>
        <v>113.791060694373</v>
      </c>
      <c r="O72" s="66" t="n">
        <f aca="false">O69-N69</f>
        <v>360.850366437936</v>
      </c>
      <c r="P72" s="66" t="n">
        <f aca="false">P69-O69</f>
        <v>123.388295066434</v>
      </c>
      <c r="Q72" s="66" t="n">
        <f aca="false">Q69-P69</f>
        <v>115.98499736245</v>
      </c>
      <c r="R72" s="66" t="n">
        <f aca="false">R69-Q69</f>
        <v>109.025897520702</v>
      </c>
      <c r="S72" s="66" t="n">
        <f aca="false">S69-R69</f>
        <v>102.484343669459</v>
      </c>
      <c r="T72" s="66" t="n">
        <f aca="false">T69-S69</f>
        <v>96.3352830492931</v>
      </c>
      <c r="U72" s="66" t="n">
        <f aca="false">U69-T69</f>
        <v>90.5551660663332</v>
      </c>
      <c r="V72" s="66" t="n">
        <f aca="false">V69-U69</f>
        <v>62.4397568930799</v>
      </c>
      <c r="W72" s="66" t="n">
        <f aca="false">W69-V69</f>
        <v>18.562511479493</v>
      </c>
      <c r="X72" s="66" t="n">
        <f aca="false">X69-W69</f>
        <v>0</v>
      </c>
      <c r="Y72" s="66" t="n">
        <f aca="false">Y69-X69</f>
        <v>0</v>
      </c>
      <c r="Z72" s="66" t="n">
        <f aca="false">Z69-Y69</f>
        <v>0</v>
      </c>
      <c r="AA72" s="66" t="n">
        <f aca="false">AA69-Z69</f>
        <v>272.847000000002</v>
      </c>
      <c r="AB72" s="66" t="n">
        <f aca="false">AB69-AA69</f>
        <v>0</v>
      </c>
      <c r="AC72" s="66" t="n">
        <f aca="false">AC69-AB69</f>
        <v>0</v>
      </c>
      <c r="AD72" s="66" t="n">
        <f aca="false">AD69-AC69</f>
        <v>0</v>
      </c>
      <c r="AE72" s="66" t="n">
        <f aca="false">AE69-AD69</f>
        <v>0</v>
      </c>
      <c r="AF72" s="66" t="n">
        <f aca="false">AF69-AE69</f>
        <v>0</v>
      </c>
      <c r="AG72" s="66" t="n">
        <f aca="false">AG69-AF69</f>
        <v>0</v>
      </c>
      <c r="AH72" s="66" t="n">
        <f aca="false">AH69-AG69</f>
        <v>0</v>
      </c>
      <c r="AI72" s="66" t="n">
        <f aca="false">AI69-AH69</f>
        <v>0</v>
      </c>
      <c r="AJ72" s="66" t="n">
        <f aca="false">AJ69-AI69</f>
        <v>0</v>
      </c>
      <c r="AK72" s="66" t="n">
        <f aca="false">AK69-AJ69</f>
        <v>0</v>
      </c>
      <c r="AL72" s="66" t="n">
        <f aca="false">AL69-AK69</f>
        <v>0</v>
      </c>
    </row>
    <row r="74" customFormat="false" ht="15.75" hidden="false" customHeight="true" outlineLevel="0" collapsed="false">
      <c r="A74" s="7" t="s">
        <v>398</v>
      </c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</row>
    <row r="75" customFormat="false" ht="15" hidden="false" customHeight="false" outlineLevel="0" collapsed="false">
      <c r="A75" s="4" t="s">
        <v>52</v>
      </c>
      <c r="C75" s="72" t="n">
        <f aca="false">C51-C56+C70+C71+C72</f>
        <v>-25720.4866666667</v>
      </c>
      <c r="D75" s="72" t="n">
        <f aca="false">D51-D56+D70+D71+D72</f>
        <v>-25966.7066057143</v>
      </c>
      <c r="E75" s="72" t="n">
        <f aca="false">E51-E56+E70+E71+E72</f>
        <v>-23347.3338246095</v>
      </c>
      <c r="F75" s="72" t="n">
        <f aca="false">F51-F56+F70+F71+F72</f>
        <v>-20884.4091246568</v>
      </c>
      <c r="G75" s="72" t="n">
        <f aca="false">G51-G56+G70+G71+G72</f>
        <v>-18568.5456209869</v>
      </c>
      <c r="H75" s="72" t="n">
        <f aca="false">H51-H56+H70+H71+H72</f>
        <v>-16390.9196418229</v>
      </c>
      <c r="I75" s="72" t="n">
        <f aca="false">I51-I56+I70+I71+I72</f>
        <v>-14343.2369356945</v>
      </c>
      <c r="J75" s="72" t="n">
        <f aca="false">J51-J56+J70+J71+J72</f>
        <v>-12417.7009062195</v>
      </c>
      <c r="K75" s="72" t="n">
        <f aca="false">K51-K56+K70+K71+K72</f>
        <v>-10606.9827527987</v>
      </c>
      <c r="L75" s="72" t="n">
        <f aca="false">L51-L56+L70+L71+L72</f>
        <v>-8904.19340286889</v>
      </c>
      <c r="M75" s="72" t="n">
        <f aca="false">M51-M56+M70+M71+M72</f>
        <v>-7302.85712822056</v>
      </c>
      <c r="N75" s="72" t="n">
        <f aca="false">N51-N56+N70+N71+N72</f>
        <v>-5796.88674433685</v>
      </c>
      <c r="O75" s="72" t="n">
        <f aca="false">O51-O56+O70+O71+O72</f>
        <v>-3647.04606002537</v>
      </c>
      <c r="P75" s="72" t="n">
        <f aca="false">P51-P56+P70+P71+P72</f>
        <v>-2129.85802837741</v>
      </c>
      <c r="Q75" s="72" t="n">
        <f aca="false">Q51-Q56+Q70+Q71+Q72</f>
        <v>-595.081468221445</v>
      </c>
      <c r="R75" s="72" t="n">
        <f aca="false">R51-R56+R70+R71+R72</f>
        <v>848.322784039452</v>
      </c>
      <c r="S75" s="72" t="n">
        <f aca="false">S51-S56+S70+S71+S72</f>
        <v>2205.837066879</v>
      </c>
      <c r="T75" s="72" t="n">
        <f aca="false">T51-T56+T70+T71+T72</f>
        <v>3482.61477846245</v>
      </c>
      <c r="U75" s="72" t="n">
        <f aca="false">U51-U56+U70+U71+U72</f>
        <v>4683.50011306518</v>
      </c>
      <c r="V75" s="72" t="n">
        <f aca="false">V51-V56+V70+V71+V72</f>
        <v>5238.63088632258</v>
      </c>
      <c r="W75" s="72" t="n">
        <f aca="false">W51-W56+W70+W71+W72</f>
        <v>5269.41184621593</v>
      </c>
      <c r="X75" s="72" t="n">
        <f aca="false">X51-X56+X70+X71+X72</f>
        <v>5272.03535238095</v>
      </c>
      <c r="Y75" s="72" t="n">
        <f aca="false">Y51-Y56+Y70+Y71+Y72</f>
        <v>5283.94011428571</v>
      </c>
      <c r="Z75" s="72" t="n">
        <f aca="false">Z51-Z56+Z70+Z71+Z72</f>
        <v>5295.84487619047</v>
      </c>
      <c r="AA75" s="72" t="n">
        <f aca="false">AA51-AA56+AA70+AA71+AA72</f>
        <v>6081.01277009524</v>
      </c>
      <c r="AB75" s="72" t="n">
        <f aca="false">AB51-AB56+AB70+AB71+AB72</f>
        <v>5956.49403200001</v>
      </c>
      <c r="AC75" s="72" t="n">
        <f aca="false">AC51-AC56+AC70+AC71+AC72</f>
        <v>5968.39879390477</v>
      </c>
      <c r="AD75" s="72" t="n">
        <f aca="false">AD51-AD56+AD70+AD71+AD72</f>
        <v>5980.30355580953</v>
      </c>
      <c r="AE75" s="72" t="n">
        <f aca="false">AE51-AE56+AE70+AE71+AE72</f>
        <v>5992.20831771429</v>
      </c>
      <c r="AF75" s="72" t="n">
        <f aca="false">AF51-AF56+AF70+AF71+AF72</f>
        <v>6004.11307961905</v>
      </c>
      <c r="AG75" s="72" t="n">
        <f aca="false">AG51-AG56+AG70+AG71+AG72</f>
        <v>6016.01784152382</v>
      </c>
      <c r="AH75" s="72" t="n">
        <f aca="false">AH51-AH56+AH70+AH71+AH72</f>
        <v>6027.92260342858</v>
      </c>
      <c r="AI75" s="72" t="n">
        <f aca="false">AI51-AI56+AI70+AI71+AI72</f>
        <v>6039.82736533334</v>
      </c>
      <c r="AJ75" s="72" t="n">
        <f aca="false">AJ51-AJ56+AJ70+AJ71+AJ72</f>
        <v>6051.7321272381</v>
      </c>
      <c r="AK75" s="72" t="n">
        <f aca="false">AK51-AK56+AK70+AK71+AK72</f>
        <v>6063.63688914286</v>
      </c>
      <c r="AL75" s="72" t="n">
        <f aca="false">AL51-AL56+AL70+AL71+AL72</f>
        <v>6075.54165104762</v>
      </c>
    </row>
    <row r="76" customFormat="false" ht="15" hidden="false" customHeight="false" outlineLevel="0" collapsed="false">
      <c r="A76" s="6" t="s">
        <v>399</v>
      </c>
      <c r="C76" s="66" t="n">
        <f aca="false">-C54</f>
        <v>-250000</v>
      </c>
      <c r="D76" s="66" t="n">
        <f aca="false">-D54</f>
        <v>-0</v>
      </c>
      <c r="E76" s="66" t="n">
        <f aca="false">-E54</f>
        <v>-0</v>
      </c>
      <c r="F76" s="66" t="n">
        <f aca="false">-F54</f>
        <v>-0</v>
      </c>
      <c r="G76" s="66" t="n">
        <f aca="false">-G54</f>
        <v>-0</v>
      </c>
      <c r="H76" s="66" t="n">
        <f aca="false">-H54</f>
        <v>-0</v>
      </c>
      <c r="I76" s="66" t="n">
        <f aca="false">-I54</f>
        <v>-0</v>
      </c>
      <c r="J76" s="66" t="n">
        <f aca="false">-J54</f>
        <v>-0</v>
      </c>
      <c r="K76" s="66" t="n">
        <f aca="false">-K54</f>
        <v>-0</v>
      </c>
      <c r="L76" s="66" t="n">
        <f aca="false">-L54</f>
        <v>-0</v>
      </c>
      <c r="M76" s="66" t="n">
        <f aca="false">-M54</f>
        <v>-0</v>
      </c>
      <c r="N76" s="66" t="n">
        <f aca="false">-N54</f>
        <v>-0</v>
      </c>
      <c r="O76" s="66" t="n">
        <f aca="false">-O54</f>
        <v>-0</v>
      </c>
      <c r="P76" s="66" t="n">
        <f aca="false">-P54</f>
        <v>-0</v>
      </c>
      <c r="Q76" s="66" t="n">
        <f aca="false">-Q54</f>
        <v>-0</v>
      </c>
      <c r="R76" s="66" t="n">
        <f aca="false">-R54</f>
        <v>-0</v>
      </c>
      <c r="S76" s="66" t="n">
        <f aca="false">-S54</f>
        <v>-0</v>
      </c>
      <c r="T76" s="66" t="n">
        <f aca="false">-T54</f>
        <v>-0</v>
      </c>
      <c r="U76" s="66" t="n">
        <f aca="false">-U54</f>
        <v>-0</v>
      </c>
      <c r="V76" s="66" t="n">
        <f aca="false">-V54</f>
        <v>-0</v>
      </c>
      <c r="W76" s="66" t="n">
        <f aca="false">-W54</f>
        <v>-0</v>
      </c>
      <c r="X76" s="66" t="n">
        <f aca="false">-X54</f>
        <v>-0</v>
      </c>
      <c r="Y76" s="66" t="n">
        <f aca="false">-Y54</f>
        <v>-0</v>
      </c>
      <c r="Z76" s="66" t="n">
        <f aca="false">-Z54</f>
        <v>-0</v>
      </c>
      <c r="AA76" s="66" t="n">
        <f aca="false">-AA54</f>
        <v>-0</v>
      </c>
      <c r="AB76" s="66" t="n">
        <f aca="false">-AB54</f>
        <v>-0</v>
      </c>
      <c r="AC76" s="66" t="n">
        <f aca="false">-AC54</f>
        <v>-0</v>
      </c>
      <c r="AD76" s="66" t="n">
        <f aca="false">-AD54</f>
        <v>-0</v>
      </c>
      <c r="AE76" s="66" t="n">
        <f aca="false">-AE54</f>
        <v>-0</v>
      </c>
      <c r="AF76" s="66" t="n">
        <f aca="false">-AF54</f>
        <v>-0</v>
      </c>
      <c r="AG76" s="66" t="n">
        <f aca="false">-AG54</f>
        <v>-0</v>
      </c>
      <c r="AH76" s="66" t="n">
        <f aca="false">-AH54</f>
        <v>-0</v>
      </c>
      <c r="AI76" s="66" t="n">
        <f aca="false">-AI54</f>
        <v>-0</v>
      </c>
      <c r="AJ76" s="66" t="n">
        <f aca="false">-AJ54</f>
        <v>-0</v>
      </c>
      <c r="AK76" s="66" t="n">
        <f aca="false">-AK54</f>
        <v>-0</v>
      </c>
      <c r="AL76" s="66" t="n">
        <f aca="false">-AL54</f>
        <v>-0</v>
      </c>
    </row>
    <row r="77" customFormat="false" ht="15" hidden="false" customHeight="false" outlineLevel="0" collapsed="false">
      <c r="A77" s="6" t="s">
        <v>63</v>
      </c>
      <c r="C77" s="66" t="n">
        <f aca="false">IF(C$4=1,Inputs!$E$54,0)</f>
        <v>330000</v>
      </c>
      <c r="D77" s="66" t="n">
        <f aca="false">IF(D$4=1,Inputs!$E$54,0)</f>
        <v>0</v>
      </c>
      <c r="E77" s="66" t="n">
        <f aca="false">IF(E$4=1,Inputs!$E$54,0)</f>
        <v>0</v>
      </c>
      <c r="F77" s="66" t="n">
        <f aca="false">IF(F$4=1,Inputs!$E$54,0)</f>
        <v>0</v>
      </c>
      <c r="G77" s="66" t="n">
        <f aca="false">IF(G$4=1,Inputs!$E$54,0)</f>
        <v>0</v>
      </c>
      <c r="H77" s="66" t="n">
        <f aca="false">IF(H$4=1,Inputs!$E$54,0)</f>
        <v>0</v>
      </c>
      <c r="I77" s="66" t="n">
        <f aca="false">IF(I$4=1,Inputs!$E$54,0)</f>
        <v>0</v>
      </c>
      <c r="J77" s="66" t="n">
        <f aca="false">IF(J$4=1,Inputs!$E$54,0)</f>
        <v>0</v>
      </c>
      <c r="K77" s="66" t="n">
        <f aca="false">IF(K$4=1,Inputs!$E$54,0)</f>
        <v>0</v>
      </c>
      <c r="L77" s="66" t="n">
        <f aca="false">IF(L$4=1,Inputs!$E$54,0)</f>
        <v>0</v>
      </c>
      <c r="M77" s="66" t="n">
        <f aca="false">IF(M$4=1,Inputs!$E$54,0)</f>
        <v>0</v>
      </c>
      <c r="N77" s="66" t="n">
        <f aca="false">IF(N$4=1,Inputs!$E$54,0)</f>
        <v>0</v>
      </c>
      <c r="O77" s="66" t="n">
        <f aca="false">IF(O$4=1,Inputs!$E$54,0)</f>
        <v>0</v>
      </c>
      <c r="P77" s="66" t="n">
        <f aca="false">IF(P$4=1,Inputs!$E$54,0)</f>
        <v>0</v>
      </c>
      <c r="Q77" s="66" t="n">
        <f aca="false">IF(Q$4=1,Inputs!$E$54,0)</f>
        <v>0</v>
      </c>
      <c r="R77" s="66" t="n">
        <f aca="false">IF(R$4=1,Inputs!$E$54,0)</f>
        <v>0</v>
      </c>
      <c r="S77" s="66" t="n">
        <f aca="false">IF(S$4=1,Inputs!$E$54,0)</f>
        <v>0</v>
      </c>
      <c r="T77" s="66" t="n">
        <f aca="false">IF(T$4=1,Inputs!$E$54,0)</f>
        <v>0</v>
      </c>
      <c r="U77" s="66" t="n">
        <f aca="false">IF(U$4=1,Inputs!$E$54,0)</f>
        <v>0</v>
      </c>
      <c r="V77" s="66" t="n">
        <f aca="false">IF(V$4=1,Inputs!$E$54,0)</f>
        <v>0</v>
      </c>
      <c r="W77" s="66" t="n">
        <f aca="false">IF(W$4=1,Inputs!$E$54,0)</f>
        <v>0</v>
      </c>
      <c r="X77" s="66" t="n">
        <f aca="false">IF(X$4=1,Inputs!$E$54,0)</f>
        <v>0</v>
      </c>
      <c r="Y77" s="66" t="n">
        <f aca="false">IF(Y$4=1,Inputs!$E$54,0)</f>
        <v>0</v>
      </c>
      <c r="Z77" s="66" t="n">
        <f aca="false">IF(Z$4=1,Inputs!$E$54,0)</f>
        <v>0</v>
      </c>
      <c r="AA77" s="66" t="n">
        <f aca="false">IF(AA$4=1,Inputs!$E$54,0)</f>
        <v>0</v>
      </c>
      <c r="AB77" s="66" t="n">
        <f aca="false">IF(AB$4=1,Inputs!$E$54,0)</f>
        <v>0</v>
      </c>
      <c r="AC77" s="66" t="n">
        <f aca="false">IF(AC$4=1,Inputs!$E$54,0)</f>
        <v>0</v>
      </c>
      <c r="AD77" s="66" t="n">
        <f aca="false">IF(AD$4=1,Inputs!$E$54,0)</f>
        <v>0</v>
      </c>
      <c r="AE77" s="66" t="n">
        <f aca="false">IF(AE$4=1,Inputs!$E$54,0)</f>
        <v>0</v>
      </c>
      <c r="AF77" s="66" t="n">
        <f aca="false">IF(AF$4=1,Inputs!$E$54,0)</f>
        <v>0</v>
      </c>
      <c r="AG77" s="66" t="n">
        <f aca="false">IF(AG$4=1,Inputs!$E$54,0)</f>
        <v>0</v>
      </c>
      <c r="AH77" s="66" t="n">
        <f aca="false">IF(AH$4=1,Inputs!$E$54,0)</f>
        <v>0</v>
      </c>
      <c r="AI77" s="66" t="n">
        <f aca="false">IF(AI$4=1,Inputs!$E$54,0)</f>
        <v>0</v>
      </c>
      <c r="AJ77" s="66" t="n">
        <f aca="false">IF(AJ$4=1,Inputs!$E$54,0)</f>
        <v>0</v>
      </c>
      <c r="AK77" s="66" t="n">
        <f aca="false">IF(AK$4=1,Inputs!$E$54,0)</f>
        <v>0</v>
      </c>
      <c r="AL77" s="66" t="n">
        <f aca="false">IF(AL$4=1,Inputs!$E$54,0)</f>
        <v>0</v>
      </c>
    </row>
    <row r="78" customFormat="false" ht="15" hidden="false" customHeight="false" outlineLevel="0" collapsed="false">
      <c r="A78" s="6" t="s">
        <v>54</v>
      </c>
      <c r="C78" s="66" t="n">
        <f aca="false">C77+C62+C63</f>
        <v>480000</v>
      </c>
      <c r="D78" s="66" t="n">
        <f aca="false">D77+D62+D63</f>
        <v>-1785.71428571429</v>
      </c>
      <c r="E78" s="66" t="n">
        <f aca="false">E77+E62+E63</f>
        <v>-1785.71428571429</v>
      </c>
      <c r="F78" s="66" t="n">
        <f aca="false">F77+F62+F63</f>
        <v>-1785.71428571429</v>
      </c>
      <c r="G78" s="66" t="n">
        <f aca="false">G77+G62+G63</f>
        <v>-1785.71428571429</v>
      </c>
      <c r="H78" s="66" t="n">
        <f aca="false">H77+H62+H63</f>
        <v>-1785.71428571429</v>
      </c>
      <c r="I78" s="66" t="n">
        <f aca="false">I77+I62+I63</f>
        <v>-1785.71428571429</v>
      </c>
      <c r="J78" s="66" t="n">
        <f aca="false">J77+J62+J63</f>
        <v>-1785.71428571429</v>
      </c>
      <c r="K78" s="66" t="n">
        <f aca="false">K77+K62+K63</f>
        <v>-1785.71428571429</v>
      </c>
      <c r="L78" s="66" t="n">
        <f aca="false">L77+L62+L63</f>
        <v>-1785.71428571429</v>
      </c>
      <c r="M78" s="66" t="n">
        <f aca="false">M77+M62+M63</f>
        <v>-1785.71428571429</v>
      </c>
      <c r="N78" s="66" t="n">
        <f aca="false">N77+N62+N63</f>
        <v>-1785.71428571429</v>
      </c>
      <c r="O78" s="66" t="n">
        <f aca="false">O77+O62+O63</f>
        <v>-1785.71428571429</v>
      </c>
      <c r="P78" s="66" t="n">
        <f aca="false">P77+P62+P63</f>
        <v>-1785.71428571429</v>
      </c>
      <c r="Q78" s="66" t="n">
        <f aca="false">Q77+Q62+Q63</f>
        <v>-1785.71428571429</v>
      </c>
      <c r="R78" s="66" t="n">
        <f aca="false">R77+R62+R63</f>
        <v>-1785.71428571429</v>
      </c>
      <c r="S78" s="66" t="n">
        <f aca="false">S77+S62+S63</f>
        <v>-1785.71428571429</v>
      </c>
      <c r="T78" s="66" t="n">
        <f aca="false">T77+T62+T63</f>
        <v>-1785.71428571429</v>
      </c>
      <c r="U78" s="66" t="n">
        <f aca="false">U77+U62+U63</f>
        <v>-1785.71428571429</v>
      </c>
      <c r="V78" s="66" t="n">
        <f aca="false">V77+V62+V63</f>
        <v>-1785.71428571429</v>
      </c>
      <c r="W78" s="66" t="n">
        <f aca="false">W77+W62+W63</f>
        <v>-1785.71428571429</v>
      </c>
      <c r="X78" s="66" t="n">
        <f aca="false">X77+X62+X63</f>
        <v>-1785.71428571429</v>
      </c>
      <c r="Y78" s="66" t="n">
        <f aca="false">Y77+Y62+Y63</f>
        <v>-1785.71428571429</v>
      </c>
      <c r="Z78" s="66" t="n">
        <f aca="false">Z77+Z62+Z63</f>
        <v>-1785.71428571429</v>
      </c>
      <c r="AA78" s="66" t="n">
        <f aca="false">AA77+AA62+AA63</f>
        <v>-1785.71428571429</v>
      </c>
      <c r="AB78" s="66" t="n">
        <f aca="false">AB77+AB62+AB63</f>
        <v>-1785.71428571429</v>
      </c>
      <c r="AC78" s="66" t="n">
        <f aca="false">AC77+AC62+AC63</f>
        <v>-1785.71428571429</v>
      </c>
      <c r="AD78" s="66" t="n">
        <f aca="false">AD77+AD62+AD63</f>
        <v>-1785.71428571429</v>
      </c>
      <c r="AE78" s="66" t="n">
        <f aca="false">AE77+AE62+AE63</f>
        <v>-1785.71428571429</v>
      </c>
      <c r="AF78" s="66" t="n">
        <f aca="false">AF77+AF62+AF63</f>
        <v>-1785.71428571429</v>
      </c>
      <c r="AG78" s="66" t="n">
        <f aca="false">AG77+AG62+AG63</f>
        <v>-1785.71428571429</v>
      </c>
      <c r="AH78" s="66" t="n">
        <f aca="false">AH77+AH62+AH63</f>
        <v>-1785.71428571429</v>
      </c>
      <c r="AI78" s="66" t="n">
        <f aca="false">AI77+AI62+AI63</f>
        <v>-1785.71428571429</v>
      </c>
      <c r="AJ78" s="66" t="n">
        <f aca="false">AJ77+AJ62+AJ63</f>
        <v>-1785.71428571429</v>
      </c>
      <c r="AK78" s="66" t="n">
        <f aca="false">AK77+AK62+AK63</f>
        <v>-1785.71428571429</v>
      </c>
      <c r="AL78" s="66" t="n">
        <f aca="false">AL77+AL62+AL63</f>
        <v>-1785.71428571429</v>
      </c>
    </row>
    <row r="79" customFormat="false" ht="15" hidden="false" customHeight="false" outlineLevel="0" collapsed="false">
      <c r="A79" s="110" t="s">
        <v>400</v>
      </c>
      <c r="C79" s="67" t="n">
        <f aca="false">C75+C76+C78</f>
        <v>204279.513333333</v>
      </c>
      <c r="D79" s="67" t="n">
        <f aca="false">D75+D76+D78</f>
        <v>-27752.4208914286</v>
      </c>
      <c r="E79" s="67" t="n">
        <f aca="false">E75+E76+E78</f>
        <v>-25133.0481103238</v>
      </c>
      <c r="F79" s="67" t="n">
        <f aca="false">F75+F76+F78</f>
        <v>-22670.1234103711</v>
      </c>
      <c r="G79" s="67" t="n">
        <f aca="false">G75+G76+G78</f>
        <v>-20354.2599067012</v>
      </c>
      <c r="H79" s="67" t="n">
        <f aca="false">H75+H76+H78</f>
        <v>-18176.6339275372</v>
      </c>
      <c r="I79" s="67" t="n">
        <f aca="false">I75+I76+I78</f>
        <v>-16128.9512214088</v>
      </c>
      <c r="J79" s="67" t="n">
        <f aca="false">J75+J76+J78</f>
        <v>-14203.4151919338</v>
      </c>
      <c r="K79" s="67" t="n">
        <f aca="false">K75+K76+K78</f>
        <v>-12392.697038513</v>
      </c>
      <c r="L79" s="67" t="n">
        <f aca="false">L75+L76+L78</f>
        <v>-10689.9076885832</v>
      </c>
      <c r="M79" s="67" t="n">
        <f aca="false">M75+M76+M78</f>
        <v>-9088.57141393485</v>
      </c>
      <c r="N79" s="67" t="n">
        <f aca="false">N75+N76+N78</f>
        <v>-7582.60103005114</v>
      </c>
      <c r="O79" s="67" t="n">
        <f aca="false">O75+O76+O78</f>
        <v>-5432.76034573965</v>
      </c>
      <c r="P79" s="67" t="n">
        <f aca="false">P75+P76+P78</f>
        <v>-3915.57231409169</v>
      </c>
      <c r="Q79" s="67" t="n">
        <f aca="false">Q75+Q76+Q78</f>
        <v>-2380.79575393573</v>
      </c>
      <c r="R79" s="67" t="n">
        <f aca="false">R75+R76+R78</f>
        <v>-937.391501674834</v>
      </c>
      <c r="S79" s="67" t="n">
        <f aca="false">S75+S76+S78</f>
        <v>420.122781164714</v>
      </c>
      <c r="T79" s="67" t="n">
        <f aca="false">T75+T76+T78</f>
        <v>1696.90049274817</v>
      </c>
      <c r="U79" s="67" t="n">
        <f aca="false">U75+U76+U78</f>
        <v>2897.78582735089</v>
      </c>
      <c r="V79" s="67" t="n">
        <f aca="false">V75+V76+V78</f>
        <v>3452.91660060829</v>
      </c>
      <c r="W79" s="67" t="n">
        <f aca="false">W75+W76+W78</f>
        <v>3483.69756050165</v>
      </c>
      <c r="X79" s="67" t="n">
        <f aca="false">X75+X76+X78</f>
        <v>3486.32106666666</v>
      </c>
      <c r="Y79" s="67" t="n">
        <f aca="false">Y75+Y76+Y78</f>
        <v>3498.22582857142</v>
      </c>
      <c r="Z79" s="67" t="n">
        <f aca="false">Z75+Z76+Z78</f>
        <v>3510.13059047619</v>
      </c>
      <c r="AA79" s="67" t="n">
        <f aca="false">AA75+AA76+AA78</f>
        <v>4295.29848438096</v>
      </c>
      <c r="AB79" s="67" t="n">
        <f aca="false">AB75+AB76+AB78</f>
        <v>4170.77974628572</v>
      </c>
      <c r="AC79" s="67" t="n">
        <f aca="false">AC75+AC76+AC78</f>
        <v>4182.68450819048</v>
      </c>
      <c r="AD79" s="67" t="n">
        <f aca="false">AD75+AD76+AD78</f>
        <v>4194.58927009524</v>
      </c>
      <c r="AE79" s="67" t="n">
        <f aca="false">AE75+AE76+AE78</f>
        <v>4206.49403200001</v>
      </c>
      <c r="AF79" s="67" t="n">
        <f aca="false">AF75+AF76+AF78</f>
        <v>4218.39879390477</v>
      </c>
      <c r="AG79" s="67" t="n">
        <f aca="false">AG75+AG76+AG78</f>
        <v>4230.30355580953</v>
      </c>
      <c r="AH79" s="67" t="n">
        <f aca="false">AH75+AH76+AH78</f>
        <v>4242.20831771429</v>
      </c>
      <c r="AI79" s="67" t="n">
        <f aca="false">AI75+AI76+AI78</f>
        <v>4254.11307961905</v>
      </c>
      <c r="AJ79" s="67" t="n">
        <f aca="false">AJ75+AJ76+AJ78</f>
        <v>4266.01784152382</v>
      </c>
      <c r="AK79" s="67" t="n">
        <f aca="false">AK75+AK76+AK78</f>
        <v>4277.92260342858</v>
      </c>
      <c r="AL79" s="67" t="n">
        <f aca="false">AL75+AL76+AL78</f>
        <v>4289.82736533334</v>
      </c>
    </row>
    <row r="80" customFormat="false" ht="15" hidden="false" customHeight="false" outlineLevel="0" collapsed="false">
      <c r="A80" s="6" t="s">
        <v>331</v>
      </c>
      <c r="C80" s="66" t="n">
        <f aca="false">0</f>
        <v>0</v>
      </c>
      <c r="D80" s="66" t="n">
        <f aca="false">C81</f>
        <v>204279.513333333</v>
      </c>
      <c r="E80" s="66" t="n">
        <f aca="false">D81</f>
        <v>176527.092441905</v>
      </c>
      <c r="F80" s="66" t="n">
        <f aca="false">E81</f>
        <v>151394.044331581</v>
      </c>
      <c r="G80" s="66" t="n">
        <f aca="false">F81</f>
        <v>128723.92092121</v>
      </c>
      <c r="H80" s="66" t="n">
        <f aca="false">G81</f>
        <v>108369.661014509</v>
      </c>
      <c r="I80" s="66" t="n">
        <f aca="false">H81</f>
        <v>90193.0270869715</v>
      </c>
      <c r="J80" s="66" t="n">
        <f aca="false">I81</f>
        <v>74064.0758655627</v>
      </c>
      <c r="K80" s="66" t="n">
        <f aca="false">J81</f>
        <v>59860.6606736289</v>
      </c>
      <c r="L80" s="66" t="n">
        <f aca="false">K81</f>
        <v>47467.9636351159</v>
      </c>
      <c r="M80" s="66" t="n">
        <f aca="false">L81</f>
        <v>36778.0559465327</v>
      </c>
      <c r="N80" s="66" t="n">
        <f aca="false">M81</f>
        <v>27689.4845325979</v>
      </c>
      <c r="O80" s="66" t="n">
        <f aca="false">N81</f>
        <v>20106.8835025468</v>
      </c>
      <c r="P80" s="66" t="n">
        <f aca="false">O81</f>
        <v>14674.1231568071</v>
      </c>
      <c r="Q80" s="66" t="n">
        <f aca="false">P81</f>
        <v>10758.5508427154</v>
      </c>
      <c r="R80" s="66" t="n">
        <f aca="false">Q81</f>
        <v>8377.75508877968</v>
      </c>
      <c r="S80" s="66" t="n">
        <f aca="false">R81</f>
        <v>7440.36358710485</v>
      </c>
      <c r="T80" s="66" t="n">
        <f aca="false">S81</f>
        <v>7860.48636826956</v>
      </c>
      <c r="U80" s="66" t="n">
        <f aca="false">T81</f>
        <v>9557.38686101773</v>
      </c>
      <c r="V80" s="66" t="n">
        <f aca="false">U81</f>
        <v>12455.1726883686</v>
      </c>
      <c r="W80" s="66" t="n">
        <f aca="false">V81</f>
        <v>15908.0892889769</v>
      </c>
      <c r="X80" s="66" t="n">
        <f aca="false">W81</f>
        <v>19391.7868494786</v>
      </c>
      <c r="Y80" s="66" t="n">
        <f aca="false">X81</f>
        <v>22878.1079161452</v>
      </c>
      <c r="Z80" s="66" t="n">
        <f aca="false">Y81</f>
        <v>26376.3337447166</v>
      </c>
      <c r="AA80" s="66" t="n">
        <f aca="false">Z81</f>
        <v>29886.4643351928</v>
      </c>
      <c r="AB80" s="66" t="n">
        <f aca="false">AA81</f>
        <v>34181.7628195738</v>
      </c>
      <c r="AC80" s="66" t="n">
        <f aca="false">AB81</f>
        <v>38352.5425658595</v>
      </c>
      <c r="AD80" s="66" t="n">
        <f aca="false">AC81</f>
        <v>42535.22707405</v>
      </c>
      <c r="AE80" s="66" t="n">
        <f aca="false">AD81</f>
        <v>46729.8163441452</v>
      </c>
      <c r="AF80" s="66" t="n">
        <f aca="false">AE81</f>
        <v>50936.3103761452</v>
      </c>
      <c r="AG80" s="66" t="n">
        <f aca="false">AF81</f>
        <v>55154.70917005</v>
      </c>
      <c r="AH80" s="66" t="n">
        <f aca="false">AG81</f>
        <v>59385.0127258595</v>
      </c>
      <c r="AI80" s="66" t="n">
        <f aca="false">AH81</f>
        <v>63627.2210435738</v>
      </c>
      <c r="AJ80" s="66" t="n">
        <f aca="false">AI81</f>
        <v>67881.3341231929</v>
      </c>
      <c r="AK80" s="66" t="n">
        <f aca="false">AJ81</f>
        <v>72147.3519647167</v>
      </c>
      <c r="AL80" s="66" t="n">
        <f aca="false">AK81</f>
        <v>76425.2745681453</v>
      </c>
    </row>
    <row r="81" customFormat="false" ht="15" hidden="false" customHeight="false" outlineLevel="0" collapsed="false">
      <c r="A81" s="110" t="s">
        <v>86</v>
      </c>
      <c r="C81" s="67" t="n">
        <f aca="false">C80+C79</f>
        <v>204279.513333333</v>
      </c>
      <c r="D81" s="67" t="n">
        <f aca="false">D80+D79</f>
        <v>176527.092441905</v>
      </c>
      <c r="E81" s="67" t="n">
        <f aca="false">E80+E79</f>
        <v>151394.044331581</v>
      </c>
      <c r="F81" s="67" t="n">
        <f aca="false">F80+F79</f>
        <v>128723.92092121</v>
      </c>
      <c r="G81" s="67" t="n">
        <f aca="false">G80+G79</f>
        <v>108369.661014509</v>
      </c>
      <c r="H81" s="67" t="n">
        <f aca="false">H80+H79</f>
        <v>90193.0270869715</v>
      </c>
      <c r="I81" s="67" t="n">
        <f aca="false">I80+I79</f>
        <v>74064.0758655627</v>
      </c>
      <c r="J81" s="67" t="n">
        <f aca="false">J80+J79</f>
        <v>59860.6606736289</v>
      </c>
      <c r="K81" s="67" t="n">
        <f aca="false">K80+K79</f>
        <v>47467.9636351159</v>
      </c>
      <c r="L81" s="67" t="n">
        <f aca="false">L80+L79</f>
        <v>36778.0559465327</v>
      </c>
      <c r="M81" s="67" t="n">
        <f aca="false">M80+M79</f>
        <v>27689.4845325979</v>
      </c>
      <c r="N81" s="67" t="n">
        <f aca="false">N80+N79</f>
        <v>20106.8835025468</v>
      </c>
      <c r="O81" s="67" t="n">
        <f aca="false">O80+O79</f>
        <v>14674.1231568071</v>
      </c>
      <c r="P81" s="67" t="n">
        <f aca="false">P80+P79</f>
        <v>10758.5508427154</v>
      </c>
      <c r="Q81" s="67" t="n">
        <f aca="false">Q80+Q79</f>
        <v>8377.75508877968</v>
      </c>
      <c r="R81" s="67" t="n">
        <f aca="false">R80+R79</f>
        <v>7440.36358710485</v>
      </c>
      <c r="S81" s="67" t="n">
        <f aca="false">S80+S79</f>
        <v>7860.48636826956</v>
      </c>
      <c r="T81" s="67" t="n">
        <f aca="false">T80+T79</f>
        <v>9557.38686101773</v>
      </c>
      <c r="U81" s="67" t="n">
        <f aca="false">U80+U79</f>
        <v>12455.1726883686</v>
      </c>
      <c r="V81" s="67" t="n">
        <f aca="false">V80+V79</f>
        <v>15908.0892889769</v>
      </c>
      <c r="W81" s="67" t="n">
        <f aca="false">W80+W79</f>
        <v>19391.7868494786</v>
      </c>
      <c r="X81" s="67" t="n">
        <f aca="false">X80+X79</f>
        <v>22878.1079161452</v>
      </c>
      <c r="Y81" s="67" t="n">
        <f aca="false">Y80+Y79</f>
        <v>26376.3337447166</v>
      </c>
      <c r="Z81" s="67" t="n">
        <f aca="false">Z80+Z79</f>
        <v>29886.4643351928</v>
      </c>
      <c r="AA81" s="67" t="n">
        <f aca="false">AA80+AA79</f>
        <v>34181.7628195738</v>
      </c>
      <c r="AB81" s="67" t="n">
        <f aca="false">AB80+AB79</f>
        <v>38352.5425658595</v>
      </c>
      <c r="AC81" s="67" t="n">
        <f aca="false">AC80+AC79</f>
        <v>42535.22707405</v>
      </c>
      <c r="AD81" s="67" t="n">
        <f aca="false">AD80+AD79</f>
        <v>46729.8163441452</v>
      </c>
      <c r="AE81" s="67" t="n">
        <f aca="false">AE80+AE79</f>
        <v>50936.3103761452</v>
      </c>
      <c r="AF81" s="67" t="n">
        <f aca="false">AF80+AF79</f>
        <v>55154.70917005</v>
      </c>
      <c r="AG81" s="67" t="n">
        <f aca="false">AG80+AG79</f>
        <v>59385.0127258595</v>
      </c>
      <c r="AH81" s="67" t="n">
        <f aca="false">AH80+AH79</f>
        <v>63627.2210435738</v>
      </c>
      <c r="AI81" s="67" t="n">
        <f aca="false">AI80+AI79</f>
        <v>67881.3341231929</v>
      </c>
      <c r="AJ81" s="67" t="n">
        <f aca="false">AJ80+AJ79</f>
        <v>72147.3519647167</v>
      </c>
      <c r="AK81" s="67" t="n">
        <f aca="false">AK80+AK79</f>
        <v>76425.2745681453</v>
      </c>
      <c r="AL81" s="67" t="n">
        <f aca="false">AL80+AL79</f>
        <v>80715.1019334786</v>
      </c>
    </row>
    <row r="82" customFormat="false" ht="15" hidden="false" customHeight="false" outlineLevel="0" collapsed="false">
      <c r="A82" s="116" t="s">
        <v>401</v>
      </c>
      <c r="C82" s="118" t="n">
        <f aca="false">IF(C42&gt;0,1,0)</f>
        <v>0</v>
      </c>
      <c r="D82" s="118" t="n">
        <f aca="false">IF(D42&gt;0,1,0)</f>
        <v>0</v>
      </c>
      <c r="E82" s="118" t="n">
        <f aca="false">IF(E42&gt;0,1,0)</f>
        <v>0</v>
      </c>
      <c r="F82" s="118" t="n">
        <f aca="false">IF(F42&gt;0,1,0)</f>
        <v>0</v>
      </c>
      <c r="G82" s="118" t="n">
        <f aca="false">IF(G42&gt;0,1,0)</f>
        <v>0</v>
      </c>
      <c r="H82" s="118" t="n">
        <f aca="false">IF(H42&gt;0,1,0)</f>
        <v>0</v>
      </c>
      <c r="I82" s="118" t="n">
        <f aca="false">IF(I42&gt;0,1,0)</f>
        <v>0</v>
      </c>
      <c r="J82" s="118" t="n">
        <f aca="false">IF(J42&gt;0,1,0)</f>
        <v>0</v>
      </c>
      <c r="K82" s="118" t="n">
        <f aca="false">IF(K42&gt;0,1,0)</f>
        <v>0</v>
      </c>
      <c r="L82" s="118" t="n">
        <f aca="false">IF(L42&gt;0,1,0)</f>
        <v>0</v>
      </c>
      <c r="M82" s="118" t="n">
        <f aca="false">IF(M42&gt;0,1,0)</f>
        <v>0</v>
      </c>
      <c r="N82" s="118" t="n">
        <f aca="false">IF(N42&gt;0,1,0)</f>
        <v>0</v>
      </c>
      <c r="O82" s="118" t="n">
        <f aca="false">IF(O42&gt;0,1,0)</f>
        <v>0</v>
      </c>
      <c r="P82" s="118" t="n">
        <f aca="false">IF(P42&gt;0,1,0)</f>
        <v>0</v>
      </c>
      <c r="Q82" s="118" t="n">
        <f aca="false">IF(Q42&gt;0,1,0)</f>
        <v>1</v>
      </c>
      <c r="R82" s="118" t="n">
        <f aca="false">IF(R42&gt;0,1,0)</f>
        <v>1</v>
      </c>
      <c r="S82" s="118" t="n">
        <f aca="false">IF(S42&gt;0,1,0)</f>
        <v>1</v>
      </c>
      <c r="T82" s="118" t="n">
        <f aca="false">IF(T42&gt;0,1,0)</f>
        <v>1</v>
      </c>
      <c r="U82" s="118" t="n">
        <f aca="false">IF(U42&gt;0,1,0)</f>
        <v>1</v>
      </c>
      <c r="V82" s="118" t="n">
        <f aca="false">IF(V42&gt;0,1,0)</f>
        <v>1</v>
      </c>
      <c r="W82" s="118" t="n">
        <f aca="false">IF(W42&gt;0,1,0)</f>
        <v>1</v>
      </c>
      <c r="X82" s="118" t="n">
        <f aca="false">IF(X42&gt;0,1,0)</f>
        <v>1</v>
      </c>
      <c r="Y82" s="118" t="n">
        <f aca="false">IF(Y42&gt;0,1,0)</f>
        <v>1</v>
      </c>
      <c r="Z82" s="118" t="n">
        <f aca="false">IF(Z42&gt;0,1,0)</f>
        <v>1</v>
      </c>
      <c r="AA82" s="118" t="n">
        <f aca="false">IF(AA42&gt;0,1,0)</f>
        <v>1</v>
      </c>
      <c r="AB82" s="118" t="n">
        <f aca="false">IF(AB42&gt;0,1,0)</f>
        <v>1</v>
      </c>
      <c r="AC82" s="118" t="n">
        <f aca="false">IF(AC42&gt;0,1,0)</f>
        <v>1</v>
      </c>
      <c r="AD82" s="118" t="n">
        <f aca="false">IF(AD42&gt;0,1,0)</f>
        <v>1</v>
      </c>
      <c r="AE82" s="118" t="n">
        <f aca="false">IF(AE42&gt;0,1,0)</f>
        <v>1</v>
      </c>
      <c r="AF82" s="118" t="n">
        <f aca="false">IF(AF42&gt;0,1,0)</f>
        <v>1</v>
      </c>
      <c r="AG82" s="118" t="n">
        <f aca="false">IF(AG42&gt;0,1,0)</f>
        <v>1</v>
      </c>
      <c r="AH82" s="118" t="n">
        <f aca="false">IF(AH42&gt;0,1,0)</f>
        <v>1</v>
      </c>
      <c r="AI82" s="118" t="n">
        <f aca="false">IF(AI42&gt;0,1,0)</f>
        <v>1</v>
      </c>
      <c r="AJ82" s="118" t="n">
        <f aca="false">IF(AJ42&gt;0,1,0)</f>
        <v>1</v>
      </c>
      <c r="AK82" s="118" t="n">
        <f aca="false">IF(AK42&gt;0,1,0)</f>
        <v>1</v>
      </c>
      <c r="AL82" s="118" t="n">
        <f aca="false">IF(AL42&gt;0,1,0)</f>
        <v>1</v>
      </c>
    </row>
    <row r="84" customFormat="false" ht="15.75" hidden="false" customHeight="true" outlineLevel="0" collapsed="false">
      <c r="A84" s="7" t="s">
        <v>402</v>
      </c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</row>
    <row r="85" customFormat="false" ht="15" hidden="false" customHeight="false" outlineLevel="0" collapsed="false">
      <c r="A85" s="116" t="s">
        <v>403</v>
      </c>
      <c r="C85" s="118" t="n">
        <f aca="false">IF(C51&gt;0,1,0)</f>
        <v>0</v>
      </c>
      <c r="D85" s="118" t="n">
        <f aca="false">IF(D51&gt;0,1,0)</f>
        <v>0</v>
      </c>
      <c r="E85" s="118" t="n">
        <f aca="false">IF(E51&gt;0,1,0)</f>
        <v>0</v>
      </c>
      <c r="F85" s="118" t="n">
        <f aca="false">IF(F51&gt;0,1,0)</f>
        <v>0</v>
      </c>
      <c r="G85" s="118" t="n">
        <f aca="false">IF(G51&gt;0,1,0)</f>
        <v>0</v>
      </c>
      <c r="H85" s="118" t="n">
        <f aca="false">IF(H51&gt;0,1,0)</f>
        <v>0</v>
      </c>
      <c r="I85" s="118" t="n">
        <f aca="false">IF(I51&gt;0,1,0)</f>
        <v>0</v>
      </c>
      <c r="J85" s="118" t="n">
        <f aca="false">IF(J51&gt;0,1,0)</f>
        <v>0</v>
      </c>
      <c r="K85" s="118" t="n">
        <f aca="false">IF(K51&gt;0,1,0)</f>
        <v>0</v>
      </c>
      <c r="L85" s="118" t="n">
        <f aca="false">IF(L51&gt;0,1,0)</f>
        <v>0</v>
      </c>
      <c r="M85" s="118" t="n">
        <f aca="false">IF(M51&gt;0,1,0)</f>
        <v>0</v>
      </c>
      <c r="N85" s="118" t="n">
        <f aca="false">IF(N51&gt;0,1,0)</f>
        <v>0</v>
      </c>
      <c r="O85" s="118" t="n">
        <f aca="false">IF(O51&gt;0,1,0)</f>
        <v>0</v>
      </c>
      <c r="P85" s="118" t="n">
        <f aca="false">IF(P51&gt;0,1,0)</f>
        <v>0</v>
      </c>
      <c r="Q85" s="118" t="n">
        <f aca="false">IF(Q51&gt;0,1,0)</f>
        <v>0</v>
      </c>
      <c r="R85" s="118" t="n">
        <f aca="false">IF(R51&gt;0,1,0)</f>
        <v>0</v>
      </c>
      <c r="S85" s="118" t="n">
        <f aca="false">IF(S51&gt;0,1,0)</f>
        <v>0</v>
      </c>
      <c r="T85" s="118" t="n">
        <f aca="false">IF(T51&gt;0,1,0)</f>
        <v>1</v>
      </c>
      <c r="U85" s="118" t="n">
        <f aca="false">IF(U51&gt;0,1,0)</f>
        <v>1</v>
      </c>
      <c r="V85" s="118" t="n">
        <f aca="false">IF(V51&gt;0,1,0)</f>
        <v>1</v>
      </c>
      <c r="W85" s="118" t="n">
        <f aca="false">IF(W51&gt;0,1,0)</f>
        <v>1</v>
      </c>
      <c r="X85" s="118" t="n">
        <f aca="false">IF(X51&gt;0,1,0)</f>
        <v>1</v>
      </c>
      <c r="Y85" s="118" t="n">
        <f aca="false">IF(Y51&gt;0,1,0)</f>
        <v>1</v>
      </c>
      <c r="Z85" s="118" t="n">
        <f aca="false">IF(Z51&gt;0,1,0)</f>
        <v>1</v>
      </c>
      <c r="AA85" s="118" t="n">
        <f aca="false">IF(AA51&gt;0,1,0)</f>
        <v>1</v>
      </c>
      <c r="AB85" s="118" t="n">
        <f aca="false">IF(AB51&gt;0,1,0)</f>
        <v>1</v>
      </c>
      <c r="AC85" s="118" t="n">
        <f aca="false">IF(AC51&gt;0,1,0)</f>
        <v>1</v>
      </c>
      <c r="AD85" s="118" t="n">
        <f aca="false">IF(AD51&gt;0,1,0)</f>
        <v>1</v>
      </c>
      <c r="AE85" s="118" t="n">
        <f aca="false">IF(AE51&gt;0,1,0)</f>
        <v>1</v>
      </c>
      <c r="AF85" s="118" t="n">
        <f aca="false">IF(AF51&gt;0,1,0)</f>
        <v>1</v>
      </c>
      <c r="AG85" s="118" t="n">
        <f aca="false">IF(AG51&gt;0,1,0)</f>
        <v>1</v>
      </c>
      <c r="AH85" s="118" t="n">
        <f aca="false">IF(AH51&gt;0,1,0)</f>
        <v>1</v>
      </c>
      <c r="AI85" s="118" t="n">
        <f aca="false">IF(AI51&gt;0,1,0)</f>
        <v>1</v>
      </c>
      <c r="AJ85" s="118" t="n">
        <f aca="false">IF(AJ51&gt;0,1,0)</f>
        <v>1</v>
      </c>
      <c r="AK85" s="118" t="n">
        <f aca="false">IF(AK51&gt;0,1,0)</f>
        <v>1</v>
      </c>
      <c r="AL85" s="118" t="n">
        <f aca="false">IF(AL51&gt;0,1,0)</f>
        <v>1</v>
      </c>
    </row>
    <row r="86" customFormat="false" ht="15" hidden="false" customHeight="false" outlineLevel="0" collapsed="false">
      <c r="A86" s="6" t="s">
        <v>404</v>
      </c>
      <c r="C86" s="66" t="n">
        <f aca="false">C75+C76</f>
        <v>-275720.486666667</v>
      </c>
      <c r="D86" s="66" t="n">
        <f aca="false">D75+D76</f>
        <v>-25966.7066057143</v>
      </c>
      <c r="E86" s="66" t="n">
        <f aca="false">E75+E76</f>
        <v>-23347.3338246095</v>
      </c>
      <c r="F86" s="66" t="n">
        <f aca="false">F75+F76</f>
        <v>-20884.4091246568</v>
      </c>
      <c r="G86" s="66" t="n">
        <f aca="false">G75+G76</f>
        <v>-18568.5456209869</v>
      </c>
      <c r="H86" s="66" t="n">
        <f aca="false">H75+H76</f>
        <v>-16390.9196418229</v>
      </c>
      <c r="I86" s="66" t="n">
        <f aca="false">I75+I76</f>
        <v>-14343.2369356945</v>
      </c>
      <c r="J86" s="66" t="n">
        <f aca="false">J75+J76</f>
        <v>-12417.7009062195</v>
      </c>
      <c r="K86" s="66" t="n">
        <f aca="false">K75+K76</f>
        <v>-10606.9827527987</v>
      </c>
      <c r="L86" s="66" t="n">
        <f aca="false">L75+L76</f>
        <v>-8904.19340286889</v>
      </c>
      <c r="M86" s="66" t="n">
        <f aca="false">M75+M76</f>
        <v>-7302.85712822056</v>
      </c>
      <c r="N86" s="66" t="n">
        <f aca="false">N75+N76</f>
        <v>-5796.88674433685</v>
      </c>
      <c r="O86" s="66" t="n">
        <f aca="false">O75+O76</f>
        <v>-3647.04606002537</v>
      </c>
      <c r="P86" s="66" t="n">
        <f aca="false">P75+P76</f>
        <v>-2129.85802837741</v>
      </c>
      <c r="Q86" s="66" t="n">
        <f aca="false">Q75+Q76</f>
        <v>-595.081468221445</v>
      </c>
      <c r="R86" s="66" t="n">
        <f aca="false">R75+R76</f>
        <v>848.322784039452</v>
      </c>
      <c r="S86" s="66" t="n">
        <f aca="false">S75+S76</f>
        <v>2205.837066879</v>
      </c>
      <c r="T86" s="66" t="n">
        <f aca="false">T75+T76</f>
        <v>3482.61477846245</v>
      </c>
      <c r="U86" s="66" t="n">
        <f aca="false">U75+U76</f>
        <v>4683.50011306518</v>
      </c>
      <c r="V86" s="66" t="n">
        <f aca="false">V75+V76</f>
        <v>5238.63088632258</v>
      </c>
      <c r="W86" s="66" t="n">
        <f aca="false">W75+W76</f>
        <v>5269.41184621593</v>
      </c>
      <c r="X86" s="66" t="n">
        <f aca="false">X75+X76</f>
        <v>5272.03535238095</v>
      </c>
      <c r="Y86" s="66" t="n">
        <f aca="false">Y75+Y76</f>
        <v>5283.94011428571</v>
      </c>
      <c r="Z86" s="66" t="n">
        <f aca="false">Z75+Z76</f>
        <v>5295.84487619047</v>
      </c>
      <c r="AA86" s="66" t="n">
        <f aca="false">AA75+AA76</f>
        <v>6081.01277009524</v>
      </c>
      <c r="AB86" s="66" t="n">
        <f aca="false">AB75+AB76</f>
        <v>5956.49403200001</v>
      </c>
      <c r="AC86" s="66" t="n">
        <f aca="false">AC75+AC76</f>
        <v>5968.39879390477</v>
      </c>
      <c r="AD86" s="66" t="n">
        <f aca="false">AD75+AD76</f>
        <v>5980.30355580953</v>
      </c>
      <c r="AE86" s="66" t="n">
        <f aca="false">AE75+AE76</f>
        <v>5992.20831771429</v>
      </c>
      <c r="AF86" s="66" t="n">
        <f aca="false">AF75+AF76</f>
        <v>6004.11307961905</v>
      </c>
      <c r="AG86" s="66" t="n">
        <f aca="false">AG75+AG76</f>
        <v>6016.01784152382</v>
      </c>
      <c r="AH86" s="66" t="n">
        <f aca="false">AH75+AH76</f>
        <v>6027.92260342858</v>
      </c>
      <c r="AI86" s="66" t="n">
        <f aca="false">AI75+AI76</f>
        <v>6039.82736533334</v>
      </c>
      <c r="AJ86" s="66" t="n">
        <f aca="false">AJ75+AJ76</f>
        <v>6051.7321272381</v>
      </c>
      <c r="AK86" s="66" t="n">
        <f aca="false">AK75+AK76</f>
        <v>6063.63688914286</v>
      </c>
      <c r="AL86" s="66" t="n">
        <f aca="false">AL75+AL76</f>
        <v>6075.54165104762</v>
      </c>
    </row>
    <row r="87" customFormat="false" ht="15" hidden="false" customHeight="false" outlineLevel="0" collapsed="false">
      <c r="A87" s="6" t="s">
        <v>405</v>
      </c>
      <c r="C87" s="66" t="n">
        <f aca="false">C86</f>
        <v>-275720.486666667</v>
      </c>
      <c r="D87" s="66" t="n">
        <f aca="false">C87+D86</f>
        <v>-301687.193272381</v>
      </c>
      <c r="E87" s="66" t="n">
        <f aca="false">D87+E86</f>
        <v>-325034.527096991</v>
      </c>
      <c r="F87" s="66" t="n">
        <f aca="false">E87+F86</f>
        <v>-345918.936221647</v>
      </c>
      <c r="G87" s="66" t="n">
        <f aca="false">F87+G86</f>
        <v>-364487.481842634</v>
      </c>
      <c r="H87" s="66" t="n">
        <f aca="false">G87+H86</f>
        <v>-380878.401484457</v>
      </c>
      <c r="I87" s="66" t="n">
        <f aca="false">H87+I86</f>
        <v>-395221.638420152</v>
      </c>
      <c r="J87" s="66" t="n">
        <f aca="false">I87+J86</f>
        <v>-407639.339326371</v>
      </c>
      <c r="K87" s="66" t="n">
        <f aca="false">J87+K86</f>
        <v>-418246.32207917</v>
      </c>
      <c r="L87" s="66" t="n">
        <f aca="false">K87+L86</f>
        <v>-427150.515482039</v>
      </c>
      <c r="M87" s="66" t="n">
        <f aca="false">L87+M86</f>
        <v>-434453.372610259</v>
      </c>
      <c r="N87" s="66" t="n">
        <f aca="false">M87+N86</f>
        <v>-440250.259354596</v>
      </c>
      <c r="O87" s="66" t="n">
        <f aca="false">N87+O86</f>
        <v>-443897.305414621</v>
      </c>
      <c r="P87" s="66" t="n">
        <f aca="false">O87+P86</f>
        <v>-446027.163442999</v>
      </c>
      <c r="Q87" s="66" t="n">
        <f aca="false">P87+Q86</f>
        <v>-446622.24491122</v>
      </c>
      <c r="R87" s="66" t="n">
        <f aca="false">Q87+R86</f>
        <v>-445773.922127181</v>
      </c>
      <c r="S87" s="66" t="n">
        <f aca="false">R87+S86</f>
        <v>-443568.085060302</v>
      </c>
      <c r="T87" s="66" t="n">
        <f aca="false">S87+T86</f>
        <v>-440085.470281839</v>
      </c>
      <c r="U87" s="66" t="n">
        <f aca="false">T87+U86</f>
        <v>-435401.970168774</v>
      </c>
      <c r="V87" s="66" t="n">
        <f aca="false">U87+V86</f>
        <v>-430163.339282452</v>
      </c>
      <c r="W87" s="66" t="n">
        <f aca="false">V87+W86</f>
        <v>-424893.927436236</v>
      </c>
      <c r="X87" s="66" t="n">
        <f aca="false">W87+X86</f>
        <v>-419621.892083855</v>
      </c>
      <c r="Y87" s="66" t="n">
        <f aca="false">X87+Y86</f>
        <v>-414337.951969569</v>
      </c>
      <c r="Z87" s="66" t="n">
        <f aca="false">Y87+Z86</f>
        <v>-409042.107093379</v>
      </c>
      <c r="AA87" s="66" t="n">
        <f aca="false">Z87+AA86</f>
        <v>-402961.094323283</v>
      </c>
      <c r="AB87" s="66" t="n">
        <f aca="false">AA87+AB86</f>
        <v>-397004.600291283</v>
      </c>
      <c r="AC87" s="66" t="n">
        <f aca="false">AB87+AC86</f>
        <v>-391036.201497378</v>
      </c>
      <c r="AD87" s="66" t="n">
        <f aca="false">AC87+AD86</f>
        <v>-385055.897941569</v>
      </c>
      <c r="AE87" s="66" t="n">
        <f aca="false">AD87+AE86</f>
        <v>-379063.689623855</v>
      </c>
      <c r="AF87" s="66" t="n">
        <f aca="false">AE87+AF86</f>
        <v>-373059.576544236</v>
      </c>
      <c r="AG87" s="66" t="n">
        <f aca="false">AF87+AG86</f>
        <v>-367043.558702712</v>
      </c>
      <c r="AH87" s="66" t="n">
        <f aca="false">AG87+AH86</f>
        <v>-361015.636099283</v>
      </c>
      <c r="AI87" s="66" t="n">
        <f aca="false">AH87+AI86</f>
        <v>-354975.80873395</v>
      </c>
      <c r="AJ87" s="66" t="n">
        <f aca="false">AI87+AJ86</f>
        <v>-348924.076606712</v>
      </c>
      <c r="AK87" s="66" t="n">
        <f aca="false">AJ87+AK86</f>
        <v>-342860.439717569</v>
      </c>
      <c r="AL87" s="66" t="n">
        <f aca="false">AK87+AL86</f>
        <v>-336784.898066521</v>
      </c>
    </row>
    <row r="88" customFormat="false" ht="15" hidden="false" customHeight="false" outlineLevel="0" collapsed="false">
      <c r="A88" s="116" t="s">
        <v>406</v>
      </c>
      <c r="C88" s="66" t="n">
        <f aca="false">C87</f>
        <v>-275720.486666667</v>
      </c>
      <c r="D88" s="66" t="n">
        <f aca="false">MIN(C88,D87)</f>
        <v>-301687.193272381</v>
      </c>
      <c r="E88" s="66" t="n">
        <f aca="false">MIN(D88,E87)</f>
        <v>-325034.527096991</v>
      </c>
      <c r="F88" s="66" t="n">
        <f aca="false">MIN(E88,F87)</f>
        <v>-345918.936221647</v>
      </c>
      <c r="G88" s="66" t="n">
        <f aca="false">MIN(F88,G87)</f>
        <v>-364487.481842634</v>
      </c>
      <c r="H88" s="66" t="n">
        <f aca="false">MIN(G88,H87)</f>
        <v>-380878.401484457</v>
      </c>
      <c r="I88" s="66" t="n">
        <f aca="false">MIN(H88,I87)</f>
        <v>-395221.638420152</v>
      </c>
      <c r="J88" s="66" t="n">
        <f aca="false">MIN(I88,J87)</f>
        <v>-407639.339326371</v>
      </c>
      <c r="K88" s="66" t="n">
        <f aca="false">MIN(J88,K87)</f>
        <v>-418246.32207917</v>
      </c>
      <c r="L88" s="66" t="n">
        <f aca="false">MIN(K88,L87)</f>
        <v>-427150.515482039</v>
      </c>
      <c r="M88" s="66" t="n">
        <f aca="false">MIN(L88,M87)</f>
        <v>-434453.372610259</v>
      </c>
      <c r="N88" s="66" t="n">
        <f aca="false">MIN(M88,N87)</f>
        <v>-440250.259354596</v>
      </c>
      <c r="O88" s="66" t="n">
        <f aca="false">MIN(N88,O87)</f>
        <v>-443897.305414621</v>
      </c>
      <c r="P88" s="66" t="n">
        <f aca="false">MIN(O88,P87)</f>
        <v>-446027.163442999</v>
      </c>
      <c r="Q88" s="66" t="n">
        <f aca="false">MIN(P88,Q87)</f>
        <v>-446622.24491122</v>
      </c>
      <c r="R88" s="66" t="n">
        <f aca="false">MIN(Q88,R87)</f>
        <v>-446622.24491122</v>
      </c>
      <c r="S88" s="66" t="n">
        <f aca="false">MIN(R88,S87)</f>
        <v>-446622.24491122</v>
      </c>
      <c r="T88" s="66" t="n">
        <f aca="false">MIN(S88,T87)</f>
        <v>-446622.24491122</v>
      </c>
      <c r="U88" s="66" t="n">
        <f aca="false">MIN(T88,U87)</f>
        <v>-446622.24491122</v>
      </c>
      <c r="V88" s="66" t="n">
        <f aca="false">MIN(U88,V87)</f>
        <v>-446622.24491122</v>
      </c>
      <c r="W88" s="66" t="n">
        <f aca="false">MIN(V88,W87)</f>
        <v>-446622.24491122</v>
      </c>
      <c r="X88" s="66" t="n">
        <f aca="false">MIN(W88,X87)</f>
        <v>-446622.24491122</v>
      </c>
      <c r="Y88" s="66" t="n">
        <f aca="false">MIN(X88,Y87)</f>
        <v>-446622.24491122</v>
      </c>
      <c r="Z88" s="66" t="n">
        <f aca="false">MIN(Y88,Z87)</f>
        <v>-446622.24491122</v>
      </c>
      <c r="AA88" s="66" t="n">
        <f aca="false">MIN(Z88,AA87)</f>
        <v>-446622.24491122</v>
      </c>
      <c r="AB88" s="66" t="n">
        <f aca="false">MIN(AA88,AB87)</f>
        <v>-446622.24491122</v>
      </c>
      <c r="AC88" s="66" t="n">
        <f aca="false">MIN(AB88,AC87)</f>
        <v>-446622.24491122</v>
      </c>
      <c r="AD88" s="66" t="n">
        <f aca="false">MIN(AC88,AD87)</f>
        <v>-446622.24491122</v>
      </c>
      <c r="AE88" s="66" t="n">
        <f aca="false">MIN(AD88,AE87)</f>
        <v>-446622.24491122</v>
      </c>
      <c r="AF88" s="66" t="n">
        <f aca="false">MIN(AE88,AF87)</f>
        <v>-446622.24491122</v>
      </c>
      <c r="AG88" s="66" t="n">
        <f aca="false">MIN(AF88,AG87)</f>
        <v>-446622.24491122</v>
      </c>
      <c r="AH88" s="66" t="n">
        <f aca="false">MIN(AG88,AH87)</f>
        <v>-446622.24491122</v>
      </c>
      <c r="AI88" s="66" t="n">
        <f aca="false">MIN(AH88,AI87)</f>
        <v>-446622.24491122</v>
      </c>
      <c r="AJ88" s="66" t="n">
        <f aca="false">MIN(AI88,AJ87)</f>
        <v>-446622.24491122</v>
      </c>
      <c r="AK88" s="66" t="n">
        <f aca="false">MIN(AJ88,AK87)</f>
        <v>-446622.24491122</v>
      </c>
      <c r="AL88" s="66" t="n">
        <f aca="false">MIN(AK88,AL87)</f>
        <v>-446622.24491122</v>
      </c>
    </row>
    <row r="89" customFormat="false" ht="15" hidden="false" customHeight="false" outlineLevel="0" collapsed="false">
      <c r="A89" s="116" t="s">
        <v>407</v>
      </c>
      <c r="C89" s="118" t="n">
        <f aca="false">IF(AND(C87&gt;=0,C88&lt;0),1,0)</f>
        <v>0</v>
      </c>
      <c r="D89" s="118" t="n">
        <f aca="false">IF(AND(D87&gt;=0,D88&lt;0),1,0)</f>
        <v>0</v>
      </c>
      <c r="E89" s="118" t="n">
        <f aca="false">IF(AND(E87&gt;=0,E88&lt;0),1,0)</f>
        <v>0</v>
      </c>
      <c r="F89" s="118" t="n">
        <f aca="false">IF(AND(F87&gt;=0,F88&lt;0),1,0)</f>
        <v>0</v>
      </c>
      <c r="G89" s="118" t="n">
        <f aca="false">IF(AND(G87&gt;=0,G88&lt;0),1,0)</f>
        <v>0</v>
      </c>
      <c r="H89" s="118" t="n">
        <f aca="false">IF(AND(H87&gt;=0,H88&lt;0),1,0)</f>
        <v>0</v>
      </c>
      <c r="I89" s="118" t="n">
        <f aca="false">IF(AND(I87&gt;=0,I88&lt;0),1,0)</f>
        <v>0</v>
      </c>
      <c r="J89" s="118" t="n">
        <f aca="false">IF(AND(J87&gt;=0,J88&lt;0),1,0)</f>
        <v>0</v>
      </c>
      <c r="K89" s="118" t="n">
        <f aca="false">IF(AND(K87&gt;=0,K88&lt;0),1,0)</f>
        <v>0</v>
      </c>
      <c r="L89" s="118" t="n">
        <f aca="false">IF(AND(L87&gt;=0,L88&lt;0),1,0)</f>
        <v>0</v>
      </c>
      <c r="M89" s="118" t="n">
        <f aca="false">IF(AND(M87&gt;=0,M88&lt;0),1,0)</f>
        <v>0</v>
      </c>
      <c r="N89" s="118" t="n">
        <f aca="false">IF(AND(N87&gt;=0,N88&lt;0),1,0)</f>
        <v>0</v>
      </c>
      <c r="O89" s="118" t="n">
        <f aca="false">IF(AND(O87&gt;=0,O88&lt;0),1,0)</f>
        <v>0</v>
      </c>
      <c r="P89" s="118" t="n">
        <f aca="false">IF(AND(P87&gt;=0,P88&lt;0),1,0)</f>
        <v>0</v>
      </c>
      <c r="Q89" s="118" t="n">
        <f aca="false">IF(AND(Q87&gt;=0,Q88&lt;0),1,0)</f>
        <v>0</v>
      </c>
      <c r="R89" s="118" t="n">
        <f aca="false">IF(AND(R87&gt;=0,R88&lt;0),1,0)</f>
        <v>0</v>
      </c>
      <c r="S89" s="118" t="n">
        <f aca="false">IF(AND(S87&gt;=0,S88&lt;0),1,0)</f>
        <v>0</v>
      </c>
      <c r="T89" s="118" t="n">
        <f aca="false">IF(AND(T87&gt;=0,T88&lt;0),1,0)</f>
        <v>0</v>
      </c>
      <c r="U89" s="118" t="n">
        <f aca="false">IF(AND(U87&gt;=0,U88&lt;0),1,0)</f>
        <v>0</v>
      </c>
      <c r="V89" s="118" t="n">
        <f aca="false">IF(AND(V87&gt;=0,V88&lt;0),1,0)</f>
        <v>0</v>
      </c>
      <c r="W89" s="118" t="n">
        <f aca="false">IF(AND(W87&gt;=0,W88&lt;0),1,0)</f>
        <v>0</v>
      </c>
      <c r="X89" s="118" t="n">
        <f aca="false">IF(AND(X87&gt;=0,X88&lt;0),1,0)</f>
        <v>0</v>
      </c>
      <c r="Y89" s="118" t="n">
        <f aca="false">IF(AND(Y87&gt;=0,Y88&lt;0),1,0)</f>
        <v>0</v>
      </c>
      <c r="Z89" s="118" t="n">
        <f aca="false">IF(AND(Z87&gt;=0,Z88&lt;0),1,0)</f>
        <v>0</v>
      </c>
      <c r="AA89" s="118" t="n">
        <f aca="false">IF(AND(AA87&gt;=0,AA88&lt;0),1,0)</f>
        <v>0</v>
      </c>
      <c r="AB89" s="118" t="n">
        <f aca="false">IF(AND(AB87&gt;=0,AB88&lt;0),1,0)</f>
        <v>0</v>
      </c>
      <c r="AC89" s="118" t="n">
        <f aca="false">IF(AND(AC87&gt;=0,AC88&lt;0),1,0)</f>
        <v>0</v>
      </c>
      <c r="AD89" s="118" t="n">
        <f aca="false">IF(AND(AD87&gt;=0,AD88&lt;0),1,0)</f>
        <v>0</v>
      </c>
      <c r="AE89" s="118" t="n">
        <f aca="false">IF(AND(AE87&gt;=0,AE88&lt;0),1,0)</f>
        <v>0</v>
      </c>
      <c r="AF89" s="118" t="n">
        <f aca="false">IF(AND(AF87&gt;=0,AF88&lt;0),1,0)</f>
        <v>0</v>
      </c>
      <c r="AG89" s="118" t="n">
        <f aca="false">IF(AND(AG87&gt;=0,AG88&lt;0),1,0)</f>
        <v>0</v>
      </c>
      <c r="AH89" s="118" t="n">
        <f aca="false">IF(AND(AH87&gt;=0,AH88&lt;0),1,0)</f>
        <v>0</v>
      </c>
      <c r="AI89" s="118" t="n">
        <f aca="false">IF(AND(AI87&gt;=0,AI88&lt;0),1,0)</f>
        <v>0</v>
      </c>
      <c r="AJ89" s="118" t="n">
        <f aca="false">IF(AND(AJ87&gt;=0,AJ88&lt;0),1,0)</f>
        <v>0</v>
      </c>
      <c r="AK89" s="118" t="n">
        <f aca="false">IF(AND(AK87&gt;=0,AK88&lt;0),1,0)</f>
        <v>0</v>
      </c>
      <c r="AL89" s="118" t="n">
        <f aca="false">IF(AND(AL87&gt;=0,AL88&lt;0),1,0)</f>
        <v>0</v>
      </c>
    </row>
    <row r="90" customFormat="false" ht="15" hidden="false" customHeight="false" outlineLevel="0" collapsed="false">
      <c r="A90" s="6" t="s">
        <v>408</v>
      </c>
      <c r="C90" s="66" t="n">
        <f aca="false">C75-C46*(1-Inputs!$E$66)+C76</f>
        <v>-274930.486666667</v>
      </c>
      <c r="D90" s="66" t="n">
        <f aca="false">D75-D46*(1-Inputs!$E$66)+D76</f>
        <v>-25181.4089866667</v>
      </c>
      <c r="E90" s="66" t="n">
        <f aca="false">E75-E46*(1-Inputs!$E$66)+E76</f>
        <v>-22571.4409674667</v>
      </c>
      <c r="F90" s="66" t="n">
        <f aca="false">F75-F46*(1-Inputs!$E$66)+F76</f>
        <v>-20117.9210294187</v>
      </c>
      <c r="G90" s="66" t="n">
        <f aca="false">G75-G46*(1-Inputs!$E$66)+G76</f>
        <v>-17811.4622876536</v>
      </c>
      <c r="H90" s="66" t="n">
        <f aca="false">H75-H46*(1-Inputs!$E$66)+H76</f>
        <v>-15643.2410703943</v>
      </c>
      <c r="I90" s="66" t="n">
        <f aca="false">I75-I46*(1-Inputs!$E$66)+I76</f>
        <v>-13604.9631261707</v>
      </c>
      <c r="J90" s="66" t="n">
        <f aca="false">J75-J46*(1-Inputs!$E$66)+J76</f>
        <v>-11688.8318586005</v>
      </c>
      <c r="K90" s="66" t="n">
        <f aca="false">K75-K46*(1-Inputs!$E$66)+K76</f>
        <v>-9887.51846708443</v>
      </c>
      <c r="L90" s="66" t="n">
        <f aca="false">L75-L46*(1-Inputs!$E$66)+L76</f>
        <v>-8194.13387905936</v>
      </c>
      <c r="M90" s="66" t="n">
        <f aca="false">M75-M46*(1-Inputs!$E$66)+M76</f>
        <v>-6602.2023663158</v>
      </c>
      <c r="N90" s="66" t="n">
        <f aca="false">N75-N46*(1-Inputs!$E$66)+N76</f>
        <v>-5105.63674433685</v>
      </c>
      <c r="O90" s="66" t="n">
        <f aca="false">O75-O46*(1-Inputs!$E$66)+O76</f>
        <v>-2965.20082193013</v>
      </c>
      <c r="P90" s="66" t="n">
        <f aca="false">P75-P46*(1-Inputs!$E$66)+P76</f>
        <v>-1457.41755218693</v>
      </c>
      <c r="Q90" s="66" t="n">
        <f aca="false">Q75-Q46*(1-Inputs!$E$66)+Q76</f>
        <v>67.954246064269</v>
      </c>
      <c r="R90" s="66" t="n">
        <f aca="false">R75-R46*(1-Inputs!$E$66)+R76</f>
        <v>1501.9537364204</v>
      </c>
      <c r="S90" s="66" t="n">
        <f aca="false">S75-S46*(1-Inputs!$E$66)+S76</f>
        <v>2850.06325735519</v>
      </c>
      <c r="T90" s="66" t="n">
        <f aca="false">T75-T46*(1-Inputs!$E$66)+T76</f>
        <v>4117.43620703388</v>
      </c>
      <c r="U90" s="66" t="n">
        <f aca="false">U75-U46*(1-Inputs!$E$66)+U76</f>
        <v>5308.91677973184</v>
      </c>
      <c r="V90" s="66" t="n">
        <f aca="false">V75-V46*(1-Inputs!$E$66)+V76</f>
        <v>5854.64279108448</v>
      </c>
      <c r="W90" s="66" t="n">
        <f aca="false">W75-W46*(1-Inputs!$E$66)+W76</f>
        <v>5876.01898907307</v>
      </c>
      <c r="X90" s="66" t="n">
        <f aca="false">X75-X46*(1-Inputs!$E$66)+X76</f>
        <v>5869.23773333333</v>
      </c>
      <c r="Y90" s="66" t="n">
        <f aca="false">Y75-Y46*(1-Inputs!$E$66)+Y76</f>
        <v>5871.73773333333</v>
      </c>
      <c r="Z90" s="66" t="n">
        <f aca="false">Z75-Z46*(1-Inputs!$E$66)+Z76</f>
        <v>5874.23773333333</v>
      </c>
      <c r="AA90" s="66" t="n">
        <f aca="false">AA75-AA46*(1-Inputs!$E$66)+AA76</f>
        <v>6650.00086533334</v>
      </c>
      <c r="AB90" s="66" t="n">
        <f aca="false">AB75-AB46*(1-Inputs!$E$66)+AB76</f>
        <v>6516.07736533334</v>
      </c>
      <c r="AC90" s="66" t="n">
        <f aca="false">AC75-AC46*(1-Inputs!$E$66)+AC76</f>
        <v>6518.57736533334</v>
      </c>
      <c r="AD90" s="66" t="n">
        <f aca="false">AD75-AD46*(1-Inputs!$E$66)+AD76</f>
        <v>6521.07736533334</v>
      </c>
      <c r="AE90" s="66" t="n">
        <f aca="false">AE75-AE46*(1-Inputs!$E$66)+AE76</f>
        <v>6523.57736533334</v>
      </c>
      <c r="AF90" s="66" t="n">
        <f aca="false">AF75-AF46*(1-Inputs!$E$66)+AF76</f>
        <v>6526.07736533334</v>
      </c>
      <c r="AG90" s="66" t="n">
        <f aca="false">AG75-AG46*(1-Inputs!$E$66)+AG76</f>
        <v>6528.57736533334</v>
      </c>
      <c r="AH90" s="66" t="n">
        <f aca="false">AH75-AH46*(1-Inputs!$E$66)+AH76</f>
        <v>6531.07736533334</v>
      </c>
      <c r="AI90" s="66" t="n">
        <f aca="false">AI75-AI46*(1-Inputs!$E$66)+AI76</f>
        <v>6533.57736533334</v>
      </c>
      <c r="AJ90" s="66" t="n">
        <f aca="false">AJ75-AJ46*(1-Inputs!$E$66)+AJ76</f>
        <v>6536.07736533334</v>
      </c>
      <c r="AK90" s="66" t="n">
        <f aca="false">AK75-AK46*(1-Inputs!$E$66)+AK76</f>
        <v>6538.57736533334</v>
      </c>
      <c r="AL90" s="66" t="n">
        <f aca="false">AL75-AL46*(1-Inputs!$E$66)+AL76</f>
        <v>6541.07736533334</v>
      </c>
    </row>
    <row r="92" customFormat="false" ht="15.75" hidden="false" customHeight="true" outlineLevel="0" collapsed="false">
      <c r="A92" s="7" t="s">
        <v>409</v>
      </c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</row>
    <row r="93" customFormat="false" ht="15" hidden="false" customHeight="false" outlineLevel="0" collapsed="false">
      <c r="A93" s="6" t="s">
        <v>96</v>
      </c>
      <c r="C93" s="66" t="n">
        <f aca="false">C77</f>
        <v>330000</v>
      </c>
      <c r="D93" s="66" t="n">
        <f aca="false">C93+D77</f>
        <v>330000</v>
      </c>
      <c r="E93" s="66" t="n">
        <f aca="false">D93+E77</f>
        <v>330000</v>
      </c>
      <c r="F93" s="66" t="n">
        <f aca="false">E93+F77</f>
        <v>330000</v>
      </c>
      <c r="G93" s="66" t="n">
        <f aca="false">F93+G77</f>
        <v>330000</v>
      </c>
      <c r="H93" s="66" t="n">
        <f aca="false">G93+H77</f>
        <v>330000</v>
      </c>
      <c r="I93" s="66" t="n">
        <f aca="false">H93+I77</f>
        <v>330000</v>
      </c>
      <c r="J93" s="66" t="n">
        <f aca="false">I93+J77</f>
        <v>330000</v>
      </c>
      <c r="K93" s="66" t="n">
        <f aca="false">J93+K77</f>
        <v>330000</v>
      </c>
      <c r="L93" s="66" t="n">
        <f aca="false">K93+L77</f>
        <v>330000</v>
      </c>
      <c r="M93" s="66" t="n">
        <f aca="false">L93+M77</f>
        <v>330000</v>
      </c>
      <c r="N93" s="66" t="n">
        <f aca="false">M93+N77</f>
        <v>330000</v>
      </c>
      <c r="O93" s="66" t="n">
        <f aca="false">N93+O77</f>
        <v>330000</v>
      </c>
      <c r="P93" s="66" t="n">
        <f aca="false">O93+P77</f>
        <v>330000</v>
      </c>
      <c r="Q93" s="66" t="n">
        <f aca="false">P93+Q77</f>
        <v>330000</v>
      </c>
      <c r="R93" s="66" t="n">
        <f aca="false">Q93+R77</f>
        <v>330000</v>
      </c>
      <c r="S93" s="66" t="n">
        <f aca="false">R93+S77</f>
        <v>330000</v>
      </c>
      <c r="T93" s="66" t="n">
        <f aca="false">S93+T77</f>
        <v>330000</v>
      </c>
      <c r="U93" s="66" t="n">
        <f aca="false">T93+U77</f>
        <v>330000</v>
      </c>
      <c r="V93" s="66" t="n">
        <f aca="false">U93+V77</f>
        <v>330000</v>
      </c>
      <c r="W93" s="66" t="n">
        <f aca="false">V93+W77</f>
        <v>330000</v>
      </c>
      <c r="X93" s="66" t="n">
        <f aca="false">W93+X77</f>
        <v>330000</v>
      </c>
      <c r="Y93" s="66" t="n">
        <f aca="false">X93+Y77</f>
        <v>330000</v>
      </c>
      <c r="Z93" s="66" t="n">
        <f aca="false">Y93+Z77</f>
        <v>330000</v>
      </c>
      <c r="AA93" s="66" t="n">
        <f aca="false">Z93+AA77</f>
        <v>330000</v>
      </c>
      <c r="AB93" s="66" t="n">
        <f aca="false">AA93+AB77</f>
        <v>330000</v>
      </c>
      <c r="AC93" s="66" t="n">
        <f aca="false">AB93+AC77</f>
        <v>330000</v>
      </c>
      <c r="AD93" s="66" t="n">
        <f aca="false">AC93+AD77</f>
        <v>330000</v>
      </c>
      <c r="AE93" s="66" t="n">
        <f aca="false">AD93+AE77</f>
        <v>330000</v>
      </c>
      <c r="AF93" s="66" t="n">
        <f aca="false">AE93+AF77</f>
        <v>330000</v>
      </c>
      <c r="AG93" s="66" t="n">
        <f aca="false">AF93+AG77</f>
        <v>330000</v>
      </c>
      <c r="AH93" s="66" t="n">
        <f aca="false">AG93+AH77</f>
        <v>330000</v>
      </c>
      <c r="AI93" s="66" t="n">
        <f aca="false">AH93+AI77</f>
        <v>330000</v>
      </c>
      <c r="AJ93" s="66" t="n">
        <f aca="false">AI93+AJ77</f>
        <v>330000</v>
      </c>
      <c r="AK93" s="66" t="n">
        <f aca="false">AJ93+AK77</f>
        <v>330000</v>
      </c>
      <c r="AL93" s="66" t="n">
        <f aca="false">AK93+AL77</f>
        <v>330000</v>
      </c>
    </row>
    <row r="94" customFormat="false" ht="15" hidden="false" customHeight="false" outlineLevel="0" collapsed="false">
      <c r="A94" s="6" t="s">
        <v>97</v>
      </c>
      <c r="C94" s="66" t="n">
        <f aca="false">C51</f>
        <v>-31835.1271428571</v>
      </c>
      <c r="D94" s="66" t="n">
        <f aca="false">C94+D51</f>
        <v>-60883.6572247619</v>
      </c>
      <c r="E94" s="66" t="n">
        <f aca="false">D94+E51</f>
        <v>-87306.4765455619</v>
      </c>
      <c r="F94" s="66" t="n">
        <f aca="false">E94+F51</f>
        <v>-111260.413465209</v>
      </c>
      <c r="G94" s="66" t="n">
        <f aca="false">F94+G51</f>
        <v>-132892.886642059</v>
      </c>
      <c r="H94" s="66" t="n">
        <f aca="false">G94+H51</f>
        <v>-152342.469614964</v>
      </c>
      <c r="I94" s="66" t="n">
        <f aca="false">H94+I51</f>
        <v>-169739.421510447</v>
      </c>
      <c r="J94" s="66" t="n">
        <f aca="false">I94+J51</f>
        <v>-185206.185907439</v>
      </c>
      <c r="K94" s="66" t="n">
        <f aca="false">J94+K51</f>
        <v>-198857.859770136</v>
      </c>
      <c r="L94" s="66" t="n">
        <f aca="false">K94+L51</f>
        <v>-210802.63424488</v>
      </c>
      <c r="M94" s="66" t="n">
        <f aca="false">L94+M51</f>
        <v>-221142.209009235</v>
      </c>
      <c r="N94" s="66" t="n">
        <f aca="false">M94+N51</f>
        <v>-229972.181760109</v>
      </c>
      <c r="O94" s="66" t="n">
        <f aca="false">N94+O51</f>
        <v>-236775.843479544</v>
      </c>
      <c r="P94" s="66" t="n">
        <f aca="false">O94+P51</f>
        <v>-241943.586131645</v>
      </c>
      <c r="Q94" s="66" t="n">
        <f aca="false">P94+Q51</f>
        <v>-245572.850574738</v>
      </c>
      <c r="R94" s="66" t="n">
        <f aca="false">Q94+R51</f>
        <v>-247755.23121565</v>
      </c>
      <c r="S94" s="66" t="n">
        <f aca="false">R94+S51</f>
        <v>-248576.826796796</v>
      </c>
      <c r="T94" s="66" t="n">
        <f aca="false">S94+T51</f>
        <v>-248118.570136049</v>
      </c>
      <c r="U94" s="66" t="n">
        <f aca="false">T94+U51</f>
        <v>-246456.538082207</v>
      </c>
      <c r="V94" s="66" t="n">
        <f aca="false">U94+V51</f>
        <v>-244225.317550521</v>
      </c>
      <c r="W94" s="66" t="n">
        <f aca="false">V94+W51</f>
        <v>-241941.377436236</v>
      </c>
      <c r="X94" s="66" t="n">
        <f aca="false">W94+X51</f>
        <v>-239645.532560045</v>
      </c>
      <c r="Y94" s="66" t="n">
        <f aca="false">X94+Y51</f>
        <v>-237337.78292195</v>
      </c>
      <c r="Z94" s="66" t="n">
        <f aca="false">Y94+Z51</f>
        <v>-235018.12852195</v>
      </c>
      <c r="AA94" s="66" t="n">
        <f aca="false">Z94+AA51</f>
        <v>-232049.729728045</v>
      </c>
      <c r="AB94" s="66" t="n">
        <f aca="false">AA94+AB51</f>
        <v>-229069.426172236</v>
      </c>
      <c r="AC94" s="66" t="n">
        <f aca="false">AB94+AC51</f>
        <v>-226077.217854521</v>
      </c>
      <c r="AD94" s="66" t="n">
        <f aca="false">AC94+AD51</f>
        <v>-223073.104774902</v>
      </c>
      <c r="AE94" s="66" t="n">
        <f aca="false">AD94+AE51</f>
        <v>-220057.086933379</v>
      </c>
      <c r="AF94" s="66" t="n">
        <f aca="false">AE94+AF51</f>
        <v>-217029.16432995</v>
      </c>
      <c r="AG94" s="66" t="n">
        <f aca="false">AF94+AG51</f>
        <v>-213989.336964617</v>
      </c>
      <c r="AH94" s="66" t="n">
        <f aca="false">AG94+AH51</f>
        <v>-210937.604837379</v>
      </c>
      <c r="AI94" s="66" t="n">
        <f aca="false">AH94+AI51</f>
        <v>-207873.967948236</v>
      </c>
      <c r="AJ94" s="66" t="n">
        <f aca="false">AI94+AJ51</f>
        <v>-204798.426297188</v>
      </c>
      <c r="AK94" s="66" t="n">
        <f aca="false">AJ94+AK51</f>
        <v>-201710.979884236</v>
      </c>
      <c r="AL94" s="66" t="n">
        <f aca="false">AK94+AL51</f>
        <v>-198611.628709379</v>
      </c>
    </row>
    <row r="95" customFormat="false" ht="15" hidden="false" customHeight="false" outlineLevel="0" collapsed="false">
      <c r="A95" s="4" t="s">
        <v>92</v>
      </c>
      <c r="C95" s="72" t="n">
        <f aca="false">C81+C67+C68+C58</f>
        <v>454441.772857143</v>
      </c>
      <c r="D95" s="72" t="n">
        <f aca="false">D81+D67+D68+D58</f>
        <v>423818.794489524</v>
      </c>
      <c r="E95" s="72" t="n">
        <f aca="false">E81+E67+E68+E58</f>
        <v>395808.85092301</v>
      </c>
      <c r="F95" s="72" t="n">
        <f aca="false">F81+F67+F68+F58</f>
        <v>370255.874355248</v>
      </c>
      <c r="G95" s="72" t="n">
        <f aca="false">G81+G67+G68+G58</f>
        <v>347013.161052028</v>
      </c>
      <c r="H95" s="72" t="n">
        <f aca="false">H81+H67+H68+H58</f>
        <v>325942.809503192</v>
      </c>
      <c r="I95" s="72" t="n">
        <f aca="false">I81+I67+I68+I58</f>
        <v>306915.192289191</v>
      </c>
      <c r="J95" s="72" t="n">
        <f aca="false">J81+J67+J68+J58</f>
        <v>289808.459635649</v>
      </c>
      <c r="K95" s="72" t="n">
        <f aca="false">K81+K67+K68+K58</f>
        <v>274508.072754653</v>
      </c>
      <c r="L95" s="72" t="n">
        <f aca="false">L81+L67+L68+L58</f>
        <v>260906.365185564</v>
      </c>
      <c r="M95" s="72" t="n">
        <f aca="false">M81+M67+M68+M58</f>
        <v>248902.130455383</v>
      </c>
      <c r="N95" s="72" t="n">
        <f aca="false">N81+N67+N68+N58</f>
        <v>238400.234479488</v>
      </c>
      <c r="O95" s="72" t="n">
        <f aca="false">O81+O67+O68+O58</f>
        <v>230171.708840777</v>
      </c>
      <c r="P95" s="72" t="n">
        <f aca="false">P81+P67+P68+P58</f>
        <v>223341.640198028</v>
      </c>
      <c r="Q95" s="72" t="n">
        <f aca="false">Q81+Q67+Q68+Q58</f>
        <v>218042.646466583</v>
      </c>
      <c r="R95" s="72" t="n">
        <f aca="false">R81+R67+R68+R58</f>
        <v>214183.577437478</v>
      </c>
      <c r="S95" s="72" t="n">
        <f aca="false">S81+S67+S68+S58</f>
        <v>211678.751914287</v>
      </c>
      <c r="T95" s="72" t="n">
        <f aca="false">T81+T67+T68+T58</f>
        <v>210447.62957237</v>
      </c>
      <c r="U95" s="72" t="n">
        <f aca="false">U81+U67+U68+U58</f>
        <v>210414.502506563</v>
      </c>
      <c r="V95" s="72" t="n">
        <f aca="false">V81+V67+V68+V58</f>
        <v>210922.448509428</v>
      </c>
      <c r="W95" s="72" t="n">
        <f aca="false">W81+W67+W68+W58</f>
        <v>211439.236849479</v>
      </c>
      <c r="X95" s="72" t="n">
        <f aca="false">X81+X67+X68+X58</f>
        <v>211949.367439955</v>
      </c>
      <c r="Y95" s="72" t="n">
        <f aca="false">Y81+Y67+Y68+Y58</f>
        <v>212471.402792336</v>
      </c>
      <c r="Z95" s="72" t="n">
        <f aca="false">Z81+Z67+Z68+Z58</f>
        <v>213005.342906621</v>
      </c>
      <c r="AA95" s="72" t="n">
        <f aca="false">AA81+AA67+AA68+AA58</f>
        <v>214460.874414812</v>
      </c>
      <c r="AB95" s="72" t="n">
        <f aca="false">AB81+AB67+AB68+AB58</f>
        <v>215655.463684907</v>
      </c>
      <c r="AC95" s="72" t="n">
        <f aca="false">AC81+AC67+AC68+AC58</f>
        <v>216861.957716907</v>
      </c>
      <c r="AD95" s="72" t="n">
        <f aca="false">AD81+AD67+AD68+AD58</f>
        <v>218080.356510812</v>
      </c>
      <c r="AE95" s="72" t="n">
        <f aca="false">AE81+AE67+AE68+AE58</f>
        <v>219310.660066621</v>
      </c>
      <c r="AF95" s="72" t="n">
        <f aca="false">AF81+AF67+AF68+AF58</f>
        <v>220552.868384336</v>
      </c>
      <c r="AG95" s="72" t="n">
        <f aca="false">AG81+AG67+AG68+AG58</f>
        <v>221806.981463955</v>
      </c>
      <c r="AH95" s="72" t="n">
        <f aca="false">AH81+AH67+AH68+AH58</f>
        <v>223072.999305479</v>
      </c>
      <c r="AI95" s="72" t="n">
        <f aca="false">AI81+AI67+AI68+AI58</f>
        <v>224350.921908907</v>
      </c>
      <c r="AJ95" s="72" t="n">
        <f aca="false">AJ81+AJ67+AJ68+AJ58</f>
        <v>225640.749274241</v>
      </c>
      <c r="AK95" s="72" t="n">
        <f aca="false">AK81+AK67+AK68+AK58</f>
        <v>226942.481401479</v>
      </c>
      <c r="AL95" s="72" t="n">
        <f aca="false">AL81+AL67+AL68+AL58</f>
        <v>228256.118290622</v>
      </c>
    </row>
    <row r="96" customFormat="false" ht="15" hidden="false" customHeight="false" outlineLevel="0" collapsed="false">
      <c r="A96" s="6" t="s">
        <v>95</v>
      </c>
      <c r="C96" s="66" t="n">
        <f aca="false">C69+C64</f>
        <v>156276.9</v>
      </c>
      <c r="D96" s="66" t="n">
        <f aca="false">D69+D64</f>
        <v>154702.451714286</v>
      </c>
      <c r="E96" s="66" t="n">
        <f aca="false">E69+E64</f>
        <v>153115.327468571</v>
      </c>
      <c r="F96" s="66" t="n">
        <f aca="false">F69+F64</f>
        <v>151516.287820457</v>
      </c>
      <c r="G96" s="66" t="n">
        <f aca="false">G69+G64</f>
        <v>149906.047694087</v>
      </c>
      <c r="H96" s="66" t="n">
        <f aca="false">H69+H64</f>
        <v>148285.279118156</v>
      </c>
      <c r="I96" s="66" t="n">
        <f aca="false">I69+I64</f>
        <v>146654.613799638</v>
      </c>
      <c r="J96" s="66" t="n">
        <f aca="false">J69+J64</f>
        <v>145014.645543088</v>
      </c>
      <c r="K96" s="66" t="n">
        <f aca="false">K69+K64</f>
        <v>143365.932524789</v>
      </c>
      <c r="L96" s="66" t="n">
        <f aca="false">L69+L64</f>
        <v>141708.999430444</v>
      </c>
      <c r="M96" s="66" t="n">
        <f aca="false">M69+M64</f>
        <v>140044.339464618</v>
      </c>
      <c r="N96" s="66" t="n">
        <f aca="false">N69+N64</f>
        <v>138372.416239598</v>
      </c>
      <c r="O96" s="66" t="n">
        <f aca="false">O69+O64</f>
        <v>136947.552320321</v>
      </c>
      <c r="P96" s="66" t="n">
        <f aca="false">P69+P64</f>
        <v>135285.226329673</v>
      </c>
      <c r="Q96" s="66" t="n">
        <f aca="false">Q69+Q64</f>
        <v>133615.497041322</v>
      </c>
      <c r="R96" s="66" t="n">
        <f aca="false">R69+R64</f>
        <v>131938.808653128</v>
      </c>
      <c r="S96" s="66" t="n">
        <f aca="false">S69+S64</f>
        <v>130255.578711083</v>
      </c>
      <c r="T96" s="66" t="n">
        <f aca="false">T69+T64</f>
        <v>128566.199708418</v>
      </c>
      <c r="U96" s="66" t="n">
        <f aca="false">U69+U64</f>
        <v>126871.04058877</v>
      </c>
      <c r="V96" s="66" t="n">
        <f aca="false">V69+V64</f>
        <v>125147.766059949</v>
      </c>
      <c r="W96" s="66" t="n">
        <f aca="false">W69+W64</f>
        <v>123380.614285714</v>
      </c>
      <c r="X96" s="66" t="n">
        <f aca="false">X69+X64</f>
        <v>121594.9</v>
      </c>
      <c r="Y96" s="66" t="n">
        <f aca="false">Y69+Y64</f>
        <v>119809.185714286</v>
      </c>
      <c r="Z96" s="66" t="n">
        <f aca="false">Z69+Z64</f>
        <v>118023.471428571</v>
      </c>
      <c r="AA96" s="66" t="n">
        <f aca="false">AA69+AA64</f>
        <v>116510.604142857</v>
      </c>
      <c r="AB96" s="66" t="n">
        <f aca="false">AB69+AB64</f>
        <v>114724.889857143</v>
      </c>
      <c r="AC96" s="66" t="n">
        <f aca="false">AC69+AC64</f>
        <v>112939.175571428</v>
      </c>
      <c r="AD96" s="66" t="n">
        <f aca="false">AD69+AD64</f>
        <v>111153.461285714</v>
      </c>
      <c r="AE96" s="66" t="n">
        <f aca="false">AE69+AE64</f>
        <v>109367.747</v>
      </c>
      <c r="AF96" s="66" t="n">
        <f aca="false">AF69+AF64</f>
        <v>107582.032714286</v>
      </c>
      <c r="AG96" s="66" t="n">
        <f aca="false">AG69+AG64</f>
        <v>105796.318428571</v>
      </c>
      <c r="AH96" s="66" t="n">
        <f aca="false">AH69+AH64</f>
        <v>104010.604142857</v>
      </c>
      <c r="AI96" s="66" t="n">
        <f aca="false">AI69+AI64</f>
        <v>102224.889857143</v>
      </c>
      <c r="AJ96" s="66" t="n">
        <f aca="false">AJ69+AJ64</f>
        <v>100439.175571428</v>
      </c>
      <c r="AK96" s="66" t="n">
        <f aca="false">AK69+AK64</f>
        <v>98653.4612857142</v>
      </c>
      <c r="AL96" s="66" t="n">
        <f aca="false">AL69+AL64</f>
        <v>96867.7469999999</v>
      </c>
    </row>
    <row r="97" customFormat="false" ht="15" hidden="false" customHeight="false" outlineLevel="0" collapsed="false">
      <c r="A97" s="6" t="s">
        <v>98</v>
      </c>
      <c r="C97" s="66" t="n">
        <f aca="false">C93+C94</f>
        <v>298164.872857143</v>
      </c>
      <c r="D97" s="66" t="n">
        <f aca="false">D93+D94</f>
        <v>269116.342775238</v>
      </c>
      <c r="E97" s="66" t="n">
        <f aca="false">E93+E94</f>
        <v>242693.523454438</v>
      </c>
      <c r="F97" s="66" t="n">
        <f aca="false">F93+F94</f>
        <v>218739.586534791</v>
      </c>
      <c r="G97" s="66" t="n">
        <f aca="false">G93+G94</f>
        <v>197107.113357941</v>
      </c>
      <c r="H97" s="66" t="n">
        <f aca="false">H93+H94</f>
        <v>177657.530385036</v>
      </c>
      <c r="I97" s="66" t="n">
        <f aca="false">I93+I94</f>
        <v>160260.578489553</v>
      </c>
      <c r="J97" s="66" t="n">
        <f aca="false">J93+J94</f>
        <v>144793.814092561</v>
      </c>
      <c r="K97" s="66" t="n">
        <f aca="false">K93+K94</f>
        <v>131142.140229864</v>
      </c>
      <c r="L97" s="66" t="n">
        <f aca="false">L93+L94</f>
        <v>119197.36575512</v>
      </c>
      <c r="M97" s="66" t="n">
        <f aca="false">M93+M94</f>
        <v>108857.790990765</v>
      </c>
      <c r="N97" s="66" t="n">
        <f aca="false">N93+N94</f>
        <v>100027.818239891</v>
      </c>
      <c r="O97" s="66" t="n">
        <f aca="false">O93+O94</f>
        <v>93224.156520456</v>
      </c>
      <c r="P97" s="66" t="n">
        <f aca="false">P93+P94</f>
        <v>88056.4138683549</v>
      </c>
      <c r="Q97" s="66" t="n">
        <f aca="false">Q93+Q94</f>
        <v>84427.1494252617</v>
      </c>
      <c r="R97" s="66" t="n">
        <f aca="false">R93+R94</f>
        <v>82244.7687843503</v>
      </c>
      <c r="S97" s="66" t="n">
        <f aca="false">S93+S94</f>
        <v>81423.1732032041</v>
      </c>
      <c r="T97" s="66" t="n">
        <f aca="false">T93+T94</f>
        <v>81881.4298639515</v>
      </c>
      <c r="U97" s="66" t="n">
        <f aca="false">U93+U94</f>
        <v>83543.461917793</v>
      </c>
      <c r="V97" s="66" t="n">
        <f aca="false">V93+V94</f>
        <v>85774.6824494786</v>
      </c>
      <c r="W97" s="66" t="n">
        <f aca="false">W93+W94</f>
        <v>88058.6225637643</v>
      </c>
      <c r="X97" s="66" t="n">
        <f aca="false">X93+X94</f>
        <v>90354.4674399548</v>
      </c>
      <c r="Y97" s="66" t="n">
        <f aca="false">Y93+Y94</f>
        <v>92662.21707805</v>
      </c>
      <c r="Z97" s="66" t="n">
        <f aca="false">Z93+Z94</f>
        <v>94981.87147805</v>
      </c>
      <c r="AA97" s="66" t="n">
        <f aca="false">AA93+AA94</f>
        <v>97950.2702719548</v>
      </c>
      <c r="AB97" s="66" t="n">
        <f aca="false">AB93+AB94</f>
        <v>100930.573827764</v>
      </c>
      <c r="AC97" s="66" t="n">
        <f aca="false">AC93+AC94</f>
        <v>103922.782145479</v>
      </c>
      <c r="AD97" s="66" t="n">
        <f aca="false">AD93+AD94</f>
        <v>106926.895225098</v>
      </c>
      <c r="AE97" s="66" t="n">
        <f aca="false">AE93+AE94</f>
        <v>109942.913066621</v>
      </c>
      <c r="AF97" s="66" t="n">
        <f aca="false">AF93+AF94</f>
        <v>112970.83567005</v>
      </c>
      <c r="AG97" s="66" t="n">
        <f aca="false">AG93+AG94</f>
        <v>116010.663035383</v>
      </c>
      <c r="AH97" s="66" t="n">
        <f aca="false">AH93+AH94</f>
        <v>119062.395162621</v>
      </c>
      <c r="AI97" s="66" t="n">
        <f aca="false">AI93+AI94</f>
        <v>122126.032051764</v>
      </c>
      <c r="AJ97" s="66" t="n">
        <f aca="false">AJ93+AJ94</f>
        <v>125201.573702812</v>
      </c>
      <c r="AK97" s="66" t="n">
        <f aca="false">AK93+AK94</f>
        <v>128289.020115764</v>
      </c>
      <c r="AL97" s="66" t="n">
        <f aca="false">AL93+AL94</f>
        <v>131388.371290621</v>
      </c>
    </row>
    <row r="98" customFormat="false" ht="15" hidden="false" customHeight="false" outlineLevel="0" collapsed="false">
      <c r="A98" s="4" t="s">
        <v>99</v>
      </c>
      <c r="C98" s="72" t="n">
        <f aca="false">C96+C97</f>
        <v>454441.772857143</v>
      </c>
      <c r="D98" s="72" t="n">
        <f aca="false">D96+D97</f>
        <v>423818.794489524</v>
      </c>
      <c r="E98" s="72" t="n">
        <f aca="false">E96+E97</f>
        <v>395808.85092301</v>
      </c>
      <c r="F98" s="72" t="n">
        <f aca="false">F96+F97</f>
        <v>370255.874355248</v>
      </c>
      <c r="G98" s="72" t="n">
        <f aca="false">G96+G97</f>
        <v>347013.161052028</v>
      </c>
      <c r="H98" s="72" t="n">
        <f aca="false">H96+H97</f>
        <v>325942.809503192</v>
      </c>
      <c r="I98" s="72" t="n">
        <f aca="false">I96+I97</f>
        <v>306915.192289191</v>
      </c>
      <c r="J98" s="72" t="n">
        <f aca="false">J96+J97</f>
        <v>289808.459635649</v>
      </c>
      <c r="K98" s="72" t="n">
        <f aca="false">K96+K97</f>
        <v>274508.072754653</v>
      </c>
      <c r="L98" s="72" t="n">
        <f aca="false">L96+L97</f>
        <v>260906.365185564</v>
      </c>
      <c r="M98" s="72" t="n">
        <f aca="false">M96+M97</f>
        <v>248902.130455383</v>
      </c>
      <c r="N98" s="72" t="n">
        <f aca="false">N96+N97</f>
        <v>238400.234479488</v>
      </c>
      <c r="O98" s="72" t="n">
        <f aca="false">O96+O97</f>
        <v>230171.708840777</v>
      </c>
      <c r="P98" s="72" t="n">
        <f aca="false">P96+P97</f>
        <v>223341.640198028</v>
      </c>
      <c r="Q98" s="72" t="n">
        <f aca="false">Q96+Q97</f>
        <v>218042.646466583</v>
      </c>
      <c r="R98" s="72" t="n">
        <f aca="false">R96+R97</f>
        <v>214183.577437478</v>
      </c>
      <c r="S98" s="72" t="n">
        <f aca="false">S96+S97</f>
        <v>211678.751914287</v>
      </c>
      <c r="T98" s="72" t="n">
        <f aca="false">T96+T97</f>
        <v>210447.62957237</v>
      </c>
      <c r="U98" s="72" t="n">
        <f aca="false">U96+U97</f>
        <v>210414.502506563</v>
      </c>
      <c r="V98" s="72" t="n">
        <f aca="false">V96+V97</f>
        <v>210922.448509428</v>
      </c>
      <c r="W98" s="72" t="n">
        <f aca="false">W96+W97</f>
        <v>211439.236849478</v>
      </c>
      <c r="X98" s="72" t="n">
        <f aca="false">X96+X97</f>
        <v>211949.367439955</v>
      </c>
      <c r="Y98" s="72" t="n">
        <f aca="false">Y96+Y97</f>
        <v>212471.402792336</v>
      </c>
      <c r="Z98" s="72" t="n">
        <f aca="false">Z96+Z97</f>
        <v>213005.342906621</v>
      </c>
      <c r="AA98" s="72" t="n">
        <f aca="false">AA96+AA97</f>
        <v>214460.874414812</v>
      </c>
      <c r="AB98" s="72" t="n">
        <f aca="false">AB96+AB97</f>
        <v>215655.463684907</v>
      </c>
      <c r="AC98" s="72" t="n">
        <f aca="false">AC96+AC97</f>
        <v>216861.957716907</v>
      </c>
      <c r="AD98" s="72" t="n">
        <f aca="false">AD96+AD97</f>
        <v>218080.356510812</v>
      </c>
      <c r="AE98" s="72" t="n">
        <f aca="false">AE96+AE97</f>
        <v>219310.660066621</v>
      </c>
      <c r="AF98" s="72" t="n">
        <f aca="false">AF96+AF97</f>
        <v>220552.868384336</v>
      </c>
      <c r="AG98" s="72" t="n">
        <f aca="false">AG96+AG97</f>
        <v>221806.981463955</v>
      </c>
      <c r="AH98" s="72" t="n">
        <f aca="false">AH96+AH97</f>
        <v>223072.999305478</v>
      </c>
      <c r="AI98" s="72" t="n">
        <f aca="false">AI96+AI97</f>
        <v>224350.921908907</v>
      </c>
      <c r="AJ98" s="72" t="n">
        <f aca="false">AJ96+AJ97</f>
        <v>225640.74927424</v>
      </c>
      <c r="AK98" s="72" t="n">
        <f aca="false">AK96+AK97</f>
        <v>226942.481401478</v>
      </c>
      <c r="AL98" s="72" t="n">
        <f aca="false">AL96+AL97</f>
        <v>228256.118290621</v>
      </c>
    </row>
    <row r="99" customFormat="false" ht="15" hidden="false" customHeight="false" outlineLevel="0" collapsed="false">
      <c r="A99" s="6" t="s">
        <v>410</v>
      </c>
      <c r="C99" s="66" t="n">
        <f aca="false">C95-C98</f>
        <v>0</v>
      </c>
      <c r="D99" s="66" t="n">
        <f aca="false">D95-D98</f>
        <v>0</v>
      </c>
      <c r="E99" s="66" t="n">
        <f aca="false">E95-E98</f>
        <v>0</v>
      </c>
      <c r="F99" s="66" t="n">
        <f aca="false">F95-F98</f>
        <v>0</v>
      </c>
      <c r="G99" s="66" t="n">
        <f aca="false">G95-G98</f>
        <v>0</v>
      </c>
      <c r="H99" s="66" t="n">
        <f aca="false">H95-H98</f>
        <v>0</v>
      </c>
      <c r="I99" s="66" t="n">
        <f aca="false">I95-I98</f>
        <v>0</v>
      </c>
      <c r="J99" s="66" t="n">
        <f aca="false">J95-J98</f>
        <v>0</v>
      </c>
      <c r="K99" s="66" t="n">
        <f aca="false">K95-K98</f>
        <v>0</v>
      </c>
      <c r="L99" s="66" t="n">
        <f aca="false">L95-L98</f>
        <v>0</v>
      </c>
      <c r="M99" s="66" t="n">
        <f aca="false">M95-M98</f>
        <v>0</v>
      </c>
      <c r="N99" s="66" t="n">
        <f aca="false">N95-N98</f>
        <v>0</v>
      </c>
      <c r="O99" s="66" t="n">
        <f aca="false">O95-O98</f>
        <v>0</v>
      </c>
      <c r="P99" s="66" t="n">
        <f aca="false">P95-P98</f>
        <v>0</v>
      </c>
      <c r="Q99" s="66" t="n">
        <f aca="false">Q95-Q98</f>
        <v>0</v>
      </c>
      <c r="R99" s="66" t="n">
        <f aca="false">R95-R98</f>
        <v>0</v>
      </c>
      <c r="S99" s="66" t="n">
        <f aca="false">S95-S98</f>
        <v>0</v>
      </c>
      <c r="T99" s="66" t="n">
        <f aca="false">T95-T98</f>
        <v>0</v>
      </c>
      <c r="U99" s="66" t="n">
        <f aca="false">U95-U98</f>
        <v>0</v>
      </c>
      <c r="V99" s="66" t="n">
        <f aca="false">V95-V98</f>
        <v>0</v>
      </c>
      <c r="W99" s="66" t="n">
        <f aca="false">W95-W98</f>
        <v>0</v>
      </c>
      <c r="X99" s="66" t="n">
        <f aca="false">X95-X98</f>
        <v>0</v>
      </c>
      <c r="Y99" s="66" t="n">
        <f aca="false">Y95-Y98</f>
        <v>0</v>
      </c>
      <c r="Z99" s="66" t="n">
        <f aca="false">Z95-Z98</f>
        <v>0</v>
      </c>
      <c r="AA99" s="66" t="n">
        <f aca="false">AA95-AA98</f>
        <v>0</v>
      </c>
      <c r="AB99" s="66" t="n">
        <f aca="false">AB95-AB98</f>
        <v>0</v>
      </c>
      <c r="AC99" s="66" t="n">
        <f aca="false">AC95-AC98</f>
        <v>0</v>
      </c>
      <c r="AD99" s="66" t="n">
        <f aca="false">AD95-AD98</f>
        <v>0</v>
      </c>
      <c r="AE99" s="66" t="n">
        <f aca="false">AE95-AE98</f>
        <v>0</v>
      </c>
      <c r="AF99" s="66" t="n">
        <f aca="false">AF95-AF98</f>
        <v>0</v>
      </c>
      <c r="AG99" s="66" t="n">
        <f aca="false">AG95-AG98</f>
        <v>0</v>
      </c>
      <c r="AH99" s="66" t="n">
        <f aca="false">AH95-AH98</f>
        <v>0</v>
      </c>
      <c r="AI99" s="66" t="n">
        <f aca="false">AI95-AI98</f>
        <v>0</v>
      </c>
      <c r="AJ99" s="66" t="n">
        <f aca="false">AJ95-AJ98</f>
        <v>0</v>
      </c>
      <c r="AK99" s="66" t="n">
        <f aca="false">AK95-AK98</f>
        <v>0</v>
      </c>
      <c r="AL99" s="66" t="n">
        <f aca="false">AL95-AL98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ABA8"/>
    <pageSetUpPr fitToPage="true"/>
  </sheetPr>
  <dimension ref="A1:AL1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38" min="3" style="0" width="11"/>
  </cols>
  <sheetData>
    <row r="1" customFormat="false" ht="21.75" hidden="false" customHeight="true" outlineLevel="0" collapsed="false">
      <c r="A1" s="16" t="s">
        <v>411</v>
      </c>
      <c r="D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334</v>
      </c>
    </row>
    <row r="3" customFormat="false" ht="15" hidden="false" customHeight="false" outlineLevel="0" collapsed="false">
      <c r="A3" s="33" t="s">
        <v>335</v>
      </c>
      <c r="C3" s="35" t="s">
        <v>336</v>
      </c>
      <c r="D3" s="35" t="s">
        <v>337</v>
      </c>
      <c r="E3" s="35" t="s">
        <v>338</v>
      </c>
      <c r="F3" s="35" t="s">
        <v>339</v>
      </c>
      <c r="G3" s="35" t="s">
        <v>340</v>
      </c>
      <c r="H3" s="35" t="s">
        <v>341</v>
      </c>
      <c r="I3" s="35" t="s">
        <v>342</v>
      </c>
      <c r="J3" s="35" t="s">
        <v>343</v>
      </c>
      <c r="K3" s="35" t="s">
        <v>344</v>
      </c>
      <c r="L3" s="35" t="s">
        <v>345</v>
      </c>
      <c r="M3" s="35" t="s">
        <v>346</v>
      </c>
      <c r="N3" s="35" t="s">
        <v>347</v>
      </c>
      <c r="O3" s="35" t="s">
        <v>348</v>
      </c>
      <c r="P3" s="35" t="s">
        <v>349</v>
      </c>
      <c r="Q3" s="35" t="s">
        <v>350</v>
      </c>
      <c r="R3" s="35" t="s">
        <v>351</v>
      </c>
      <c r="S3" s="35" t="s">
        <v>352</v>
      </c>
      <c r="T3" s="35" t="s">
        <v>353</v>
      </c>
      <c r="U3" s="35" t="s">
        <v>354</v>
      </c>
      <c r="V3" s="35" t="s">
        <v>355</v>
      </c>
      <c r="W3" s="35" t="s">
        <v>356</v>
      </c>
      <c r="X3" s="35" t="s">
        <v>357</v>
      </c>
      <c r="Y3" s="35" t="s">
        <v>358</v>
      </c>
      <c r="Z3" s="35" t="s">
        <v>359</v>
      </c>
      <c r="AA3" s="35" t="s">
        <v>360</v>
      </c>
      <c r="AB3" s="35" t="s">
        <v>361</v>
      </c>
      <c r="AC3" s="35" t="s">
        <v>362</v>
      </c>
      <c r="AD3" s="35" t="s">
        <v>363</v>
      </c>
      <c r="AE3" s="35" t="s">
        <v>364</v>
      </c>
      <c r="AF3" s="35" t="s">
        <v>365</v>
      </c>
      <c r="AG3" s="35" t="s">
        <v>366</v>
      </c>
      <c r="AH3" s="35" t="s">
        <v>367</v>
      </c>
      <c r="AI3" s="35" t="s">
        <v>368</v>
      </c>
      <c r="AJ3" s="35" t="s">
        <v>369</v>
      </c>
      <c r="AK3" s="35" t="s">
        <v>370</v>
      </c>
      <c r="AL3" s="35" t="s">
        <v>371</v>
      </c>
    </row>
    <row r="4" customFormat="false" ht="15" hidden="false" customHeight="false" outlineLevel="0" collapsed="false">
      <c r="A4" s="71" t="s">
        <v>372</v>
      </c>
      <c r="C4" s="71" t="n">
        <v>1</v>
      </c>
      <c r="D4" s="71" t="n">
        <v>2</v>
      </c>
      <c r="E4" s="71" t="n">
        <v>3</v>
      </c>
      <c r="F4" s="71" t="n">
        <v>4</v>
      </c>
      <c r="G4" s="71" t="n">
        <v>5</v>
      </c>
      <c r="H4" s="71" t="n">
        <v>6</v>
      </c>
      <c r="I4" s="71" t="n">
        <v>7</v>
      </c>
      <c r="J4" s="71" t="n">
        <v>8</v>
      </c>
      <c r="K4" s="71" t="n">
        <v>9</v>
      </c>
      <c r="L4" s="71" t="n">
        <v>10</v>
      </c>
      <c r="M4" s="71" t="n">
        <v>11</v>
      </c>
      <c r="N4" s="71" t="n">
        <v>12</v>
      </c>
      <c r="O4" s="71" t="n">
        <v>13</v>
      </c>
      <c r="P4" s="71" t="n">
        <v>14</v>
      </c>
      <c r="Q4" s="71" t="n">
        <v>15</v>
      </c>
      <c r="R4" s="71" t="n">
        <v>16</v>
      </c>
      <c r="S4" s="71" t="n">
        <v>17</v>
      </c>
      <c r="T4" s="71" t="n">
        <v>18</v>
      </c>
      <c r="U4" s="71" t="n">
        <v>19</v>
      </c>
      <c r="V4" s="71" t="n">
        <v>20</v>
      </c>
      <c r="W4" s="71" t="n">
        <v>21</v>
      </c>
      <c r="X4" s="71" t="n">
        <v>22</v>
      </c>
      <c r="Y4" s="71" t="n">
        <v>23</v>
      </c>
      <c r="Z4" s="71" t="n">
        <v>24</v>
      </c>
      <c r="AA4" s="71" t="n">
        <v>25</v>
      </c>
      <c r="AB4" s="71" t="n">
        <v>26</v>
      </c>
      <c r="AC4" s="71" t="n">
        <v>27</v>
      </c>
      <c r="AD4" s="71" t="n">
        <v>28</v>
      </c>
      <c r="AE4" s="71" t="n">
        <v>29</v>
      </c>
      <c r="AF4" s="71" t="n">
        <v>30</v>
      </c>
      <c r="AG4" s="71" t="n">
        <v>31</v>
      </c>
      <c r="AH4" s="71" t="n">
        <v>32</v>
      </c>
      <c r="AI4" s="71" t="n">
        <v>33</v>
      </c>
      <c r="AJ4" s="71" t="n">
        <v>34</v>
      </c>
      <c r="AK4" s="71" t="n">
        <v>35</v>
      </c>
      <c r="AL4" s="71" t="n">
        <v>36</v>
      </c>
    </row>
    <row r="5" customFormat="false" ht="15" hidden="false" customHeight="false" outlineLevel="0" collapsed="false">
      <c r="A5" s="71" t="s">
        <v>153</v>
      </c>
      <c r="C5" s="71" t="n">
        <f aca="false">ROUNDUP(C4*1/12,0)</f>
        <v>1</v>
      </c>
      <c r="D5" s="71" t="n">
        <f aca="false">ROUNDUP(D4*1/12,0)</f>
        <v>1</v>
      </c>
      <c r="E5" s="71" t="n">
        <f aca="false">ROUNDUP(E4*1/12,0)</f>
        <v>1</v>
      </c>
      <c r="F5" s="71" t="n">
        <f aca="false">ROUNDUP(F4*1/12,0)</f>
        <v>1</v>
      </c>
      <c r="G5" s="71" t="n">
        <f aca="false">ROUNDUP(G4*1/12,0)</f>
        <v>1</v>
      </c>
      <c r="H5" s="71" t="n">
        <f aca="false">ROUNDUP(H4*1/12,0)</f>
        <v>1</v>
      </c>
      <c r="I5" s="71" t="n">
        <f aca="false">ROUNDUP(I4*1/12,0)</f>
        <v>1</v>
      </c>
      <c r="J5" s="71" t="n">
        <f aca="false">ROUNDUP(J4*1/12,0)</f>
        <v>1</v>
      </c>
      <c r="K5" s="71" t="n">
        <f aca="false">ROUNDUP(K4*1/12,0)</f>
        <v>1</v>
      </c>
      <c r="L5" s="71" t="n">
        <f aca="false">ROUNDUP(L4*1/12,0)</f>
        <v>1</v>
      </c>
      <c r="M5" s="71" t="n">
        <f aca="false">ROUNDUP(M4*1/12,0)</f>
        <v>1</v>
      </c>
      <c r="N5" s="71" t="n">
        <f aca="false">ROUNDUP(N4*1/12,0)</f>
        <v>1</v>
      </c>
      <c r="O5" s="71" t="n">
        <f aca="false">ROUNDUP(O4*1/12,0)</f>
        <v>2</v>
      </c>
      <c r="P5" s="71" t="n">
        <f aca="false">ROUNDUP(P4*1/12,0)</f>
        <v>2</v>
      </c>
      <c r="Q5" s="71" t="n">
        <f aca="false">ROUNDUP(Q4*1/12,0)</f>
        <v>2</v>
      </c>
      <c r="R5" s="71" t="n">
        <f aca="false">ROUNDUP(R4*1/12,0)</f>
        <v>2</v>
      </c>
      <c r="S5" s="71" t="n">
        <f aca="false">ROUNDUP(S4*1/12,0)</f>
        <v>2</v>
      </c>
      <c r="T5" s="71" t="n">
        <f aca="false">ROUNDUP(T4*1/12,0)</f>
        <v>2</v>
      </c>
      <c r="U5" s="71" t="n">
        <f aca="false">ROUNDUP(U4*1/12,0)</f>
        <v>2</v>
      </c>
      <c r="V5" s="71" t="n">
        <f aca="false">ROUNDUP(V4*1/12,0)</f>
        <v>2</v>
      </c>
      <c r="W5" s="71" t="n">
        <f aca="false">ROUNDUP(W4*1/12,0)</f>
        <v>2</v>
      </c>
      <c r="X5" s="71" t="n">
        <f aca="false">ROUNDUP(X4*1/12,0)</f>
        <v>2</v>
      </c>
      <c r="Y5" s="71" t="n">
        <f aca="false">ROUNDUP(Y4*1/12,0)</f>
        <v>2</v>
      </c>
      <c r="Z5" s="71" t="n">
        <f aca="false">ROUNDUP(Z4*1/12,0)</f>
        <v>2</v>
      </c>
      <c r="AA5" s="71" t="n">
        <f aca="false">ROUNDUP(AA4*1/12,0)</f>
        <v>3</v>
      </c>
      <c r="AB5" s="71" t="n">
        <f aca="false">ROUNDUP(AB4*1/12,0)</f>
        <v>3</v>
      </c>
      <c r="AC5" s="71" t="n">
        <f aca="false">ROUNDUP(AC4*1/12,0)</f>
        <v>3</v>
      </c>
      <c r="AD5" s="71" t="n">
        <f aca="false">ROUNDUP(AD4*1/12,0)</f>
        <v>3</v>
      </c>
      <c r="AE5" s="71" t="n">
        <f aca="false">ROUNDUP(AE4*1/12,0)</f>
        <v>3</v>
      </c>
      <c r="AF5" s="71" t="n">
        <f aca="false">ROUNDUP(AF4*1/12,0)</f>
        <v>3</v>
      </c>
      <c r="AG5" s="71" t="n">
        <f aca="false">ROUNDUP(AG4*1/12,0)</f>
        <v>3</v>
      </c>
      <c r="AH5" s="71" t="n">
        <f aca="false">ROUNDUP(AH4*1/12,0)</f>
        <v>3</v>
      </c>
      <c r="AI5" s="71" t="n">
        <f aca="false">ROUNDUP(AI4*1/12,0)</f>
        <v>3</v>
      </c>
      <c r="AJ5" s="71" t="n">
        <f aca="false">ROUNDUP(AJ4*1/12,0)</f>
        <v>3</v>
      </c>
      <c r="AK5" s="71" t="n">
        <f aca="false">ROUNDUP(AK4*1/12,0)</f>
        <v>3</v>
      </c>
      <c r="AL5" s="71" t="n">
        <f aca="false">ROUNDUP(AL4*1/12,0)</f>
        <v>3</v>
      </c>
    </row>
    <row r="7" customFormat="false" ht="15.75" hidden="false" customHeight="true" outlineLevel="0" collapsed="false">
      <c r="A7" s="7" t="s">
        <v>412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customFormat="false" ht="15" hidden="false" customHeight="false" outlineLevel="0" collapsed="false">
      <c r="A8" s="6" t="s">
        <v>413</v>
      </c>
      <c r="C8" s="113" t="n">
        <f aca="false">Inputs!$E$42*(1+Inputs!$E$44)^(C$5-1)*MAX(0,MIN(1,C$4*1-Inputs!$E$45+1))/1</f>
        <v>1</v>
      </c>
      <c r="D8" s="113" t="n">
        <f aca="false">Inputs!$E$42*(1+Inputs!$E$44)^(D$5-1)*MAX(0,MIN(1,D$4*1-Inputs!$E$45+1))/1</f>
        <v>1</v>
      </c>
      <c r="E8" s="113" t="n">
        <f aca="false">Inputs!$E$42*(1+Inputs!$E$44)^(E$5-1)*MAX(0,MIN(1,E$4*1-Inputs!$E$45+1))/1</f>
        <v>1</v>
      </c>
      <c r="F8" s="113" t="n">
        <f aca="false">Inputs!$E$42*(1+Inputs!$E$44)^(F$5-1)*MAX(0,MIN(1,F$4*1-Inputs!$E$45+1))/1</f>
        <v>1</v>
      </c>
      <c r="G8" s="113" t="n">
        <f aca="false">Inputs!$E$42*(1+Inputs!$E$44)^(G$5-1)*MAX(0,MIN(1,G$4*1-Inputs!$E$45+1))/1</f>
        <v>1</v>
      </c>
      <c r="H8" s="113" t="n">
        <f aca="false">Inputs!$E$42*(1+Inputs!$E$44)^(H$5-1)*MAX(0,MIN(1,H$4*1-Inputs!$E$45+1))/1</f>
        <v>1</v>
      </c>
      <c r="I8" s="113" t="n">
        <f aca="false">Inputs!$E$42*(1+Inputs!$E$44)^(I$5-1)*MAX(0,MIN(1,I$4*1-Inputs!$E$45+1))/1</f>
        <v>1</v>
      </c>
      <c r="J8" s="113" t="n">
        <f aca="false">Inputs!$E$42*(1+Inputs!$E$44)^(J$5-1)*MAX(0,MIN(1,J$4*1-Inputs!$E$45+1))/1</f>
        <v>1</v>
      </c>
      <c r="K8" s="113" t="n">
        <f aca="false">Inputs!$E$42*(1+Inputs!$E$44)^(K$5-1)*MAX(0,MIN(1,K$4*1-Inputs!$E$45+1))/1</f>
        <v>1</v>
      </c>
      <c r="L8" s="113" t="n">
        <f aca="false">Inputs!$E$42*(1+Inputs!$E$44)^(L$5-1)*MAX(0,MIN(1,L$4*1-Inputs!$E$45+1))/1</f>
        <v>1</v>
      </c>
      <c r="M8" s="113" t="n">
        <f aca="false">Inputs!$E$42*(1+Inputs!$E$44)^(M$5-1)*MAX(0,MIN(1,M$4*1-Inputs!$E$45+1))/1</f>
        <v>1</v>
      </c>
      <c r="N8" s="113" t="n">
        <f aca="false">Inputs!$E$42*(1+Inputs!$E$44)^(N$5-1)*MAX(0,MIN(1,N$4*1-Inputs!$E$45+1))/1</f>
        <v>1</v>
      </c>
      <c r="O8" s="113" t="n">
        <f aca="false">Inputs!$E$42*(1+Inputs!$E$44)^(O$5-1)*MAX(0,MIN(1,O$4*1-Inputs!$E$45+1))/1</f>
        <v>1</v>
      </c>
      <c r="P8" s="113" t="n">
        <f aca="false">Inputs!$E$42*(1+Inputs!$E$44)^(P$5-1)*MAX(0,MIN(1,P$4*1-Inputs!$E$45+1))/1</f>
        <v>1</v>
      </c>
      <c r="Q8" s="113" t="n">
        <f aca="false">Inputs!$E$42*(1+Inputs!$E$44)^(Q$5-1)*MAX(0,MIN(1,Q$4*1-Inputs!$E$45+1))/1</f>
        <v>1</v>
      </c>
      <c r="R8" s="113" t="n">
        <f aca="false">Inputs!$E$42*(1+Inputs!$E$44)^(R$5-1)*MAX(0,MIN(1,R$4*1-Inputs!$E$45+1))/1</f>
        <v>1</v>
      </c>
      <c r="S8" s="113" t="n">
        <f aca="false">Inputs!$E$42*(1+Inputs!$E$44)^(S$5-1)*MAX(0,MIN(1,S$4*1-Inputs!$E$45+1))/1</f>
        <v>1</v>
      </c>
      <c r="T8" s="113" t="n">
        <f aca="false">Inputs!$E$42*(1+Inputs!$E$44)^(T$5-1)*MAX(0,MIN(1,T$4*1-Inputs!$E$45+1))/1</f>
        <v>1</v>
      </c>
      <c r="U8" s="113" t="n">
        <f aca="false">Inputs!$E$42*(1+Inputs!$E$44)^(U$5-1)*MAX(0,MIN(1,U$4*1-Inputs!$E$45+1))/1</f>
        <v>1</v>
      </c>
      <c r="V8" s="113" t="n">
        <f aca="false">Inputs!$E$42*(1+Inputs!$E$44)^(V$5-1)*MAX(0,MIN(1,V$4*1-Inputs!$E$45+1))/1</f>
        <v>1</v>
      </c>
      <c r="W8" s="113" t="n">
        <f aca="false">Inputs!$E$42*(1+Inputs!$E$44)^(W$5-1)*MAX(0,MIN(1,W$4*1-Inputs!$E$45+1))/1</f>
        <v>1</v>
      </c>
      <c r="X8" s="113" t="n">
        <f aca="false">Inputs!$E$42*(1+Inputs!$E$44)^(X$5-1)*MAX(0,MIN(1,X$4*1-Inputs!$E$45+1))/1</f>
        <v>1</v>
      </c>
      <c r="Y8" s="113" t="n">
        <f aca="false">Inputs!$E$42*(1+Inputs!$E$44)^(Y$5-1)*MAX(0,MIN(1,Y$4*1-Inputs!$E$45+1))/1</f>
        <v>1</v>
      </c>
      <c r="Z8" s="113" t="n">
        <f aca="false">Inputs!$E$42*(1+Inputs!$E$44)^(Z$5-1)*MAX(0,MIN(1,Z$4*1-Inputs!$E$45+1))/1</f>
        <v>1</v>
      </c>
      <c r="AA8" s="113" t="n">
        <f aca="false">Inputs!$E$42*(1+Inputs!$E$44)^(AA$5-1)*MAX(0,MIN(1,AA$4*1-Inputs!$E$45+1))/1</f>
        <v>1</v>
      </c>
      <c r="AB8" s="113" t="n">
        <f aca="false">Inputs!$E$42*(1+Inputs!$E$44)^(AB$5-1)*MAX(0,MIN(1,AB$4*1-Inputs!$E$45+1))/1</f>
        <v>1</v>
      </c>
      <c r="AC8" s="113" t="n">
        <f aca="false">Inputs!$E$42*(1+Inputs!$E$44)^(AC$5-1)*MAX(0,MIN(1,AC$4*1-Inputs!$E$45+1))/1</f>
        <v>1</v>
      </c>
      <c r="AD8" s="113" t="n">
        <f aca="false">Inputs!$E$42*(1+Inputs!$E$44)^(AD$5-1)*MAX(0,MIN(1,AD$4*1-Inputs!$E$45+1))/1</f>
        <v>1</v>
      </c>
      <c r="AE8" s="113" t="n">
        <f aca="false">Inputs!$E$42*(1+Inputs!$E$44)^(AE$5-1)*MAX(0,MIN(1,AE$4*1-Inputs!$E$45+1))/1</f>
        <v>1</v>
      </c>
      <c r="AF8" s="113" t="n">
        <f aca="false">Inputs!$E$42*(1+Inputs!$E$44)^(AF$5-1)*MAX(0,MIN(1,AF$4*1-Inputs!$E$45+1))/1</f>
        <v>1</v>
      </c>
      <c r="AG8" s="113" t="n">
        <f aca="false">Inputs!$E$42*(1+Inputs!$E$44)^(AG$5-1)*MAX(0,MIN(1,AG$4*1-Inputs!$E$45+1))/1</f>
        <v>1</v>
      </c>
      <c r="AH8" s="113" t="n">
        <f aca="false">Inputs!$E$42*(1+Inputs!$E$44)^(AH$5-1)*MAX(0,MIN(1,AH$4*1-Inputs!$E$45+1))/1</f>
        <v>1</v>
      </c>
      <c r="AI8" s="113" t="n">
        <f aca="false">Inputs!$E$42*(1+Inputs!$E$44)^(AI$5-1)*MAX(0,MIN(1,AI$4*1-Inputs!$E$45+1))/1</f>
        <v>1</v>
      </c>
      <c r="AJ8" s="113" t="n">
        <f aca="false">Inputs!$E$42*(1+Inputs!$E$44)^(AJ$5-1)*MAX(0,MIN(1,AJ$4*1-Inputs!$E$45+1))/1</f>
        <v>1</v>
      </c>
      <c r="AK8" s="113" t="n">
        <f aca="false">Inputs!$E$42*(1+Inputs!$E$44)^(AK$5-1)*MAX(0,MIN(1,AK$4*1-Inputs!$E$45+1))/1</f>
        <v>1</v>
      </c>
      <c r="AL8" s="113" t="n">
        <f aca="false">Inputs!$E$42*(1+Inputs!$E$44)^(AL$5-1)*MAX(0,MIN(1,AL$4*1-Inputs!$E$45+1))/1</f>
        <v>1</v>
      </c>
    </row>
    <row r="9" customFormat="false" ht="15" hidden="false" customHeight="false" outlineLevel="0" collapsed="false">
      <c r="A9" s="6" t="s">
        <v>414</v>
      </c>
      <c r="C9" s="113" t="n">
        <f aca="false">Inputs!$E$46*(1+Inputs!$E$48)^(C$5-1)*MAX(0,MIN(1,C$4*1-Inputs!$E$49+1))/1</f>
        <v>3</v>
      </c>
      <c r="D9" s="113" t="n">
        <f aca="false">Inputs!$E$46*(1+Inputs!$E$48)^(D$5-1)*MAX(0,MIN(1,D$4*1-Inputs!$E$49+1))/1</f>
        <v>3</v>
      </c>
      <c r="E9" s="113" t="n">
        <f aca="false">Inputs!$E$46*(1+Inputs!$E$48)^(E$5-1)*MAX(0,MIN(1,E$4*1-Inputs!$E$49+1))/1</f>
        <v>3</v>
      </c>
      <c r="F9" s="113" t="n">
        <f aca="false">Inputs!$E$46*(1+Inputs!$E$48)^(F$5-1)*MAX(0,MIN(1,F$4*1-Inputs!$E$49+1))/1</f>
        <v>3</v>
      </c>
      <c r="G9" s="113" t="n">
        <f aca="false">Inputs!$E$46*(1+Inputs!$E$48)^(G$5-1)*MAX(0,MIN(1,G$4*1-Inputs!$E$49+1))/1</f>
        <v>3</v>
      </c>
      <c r="H9" s="113" t="n">
        <f aca="false">Inputs!$E$46*(1+Inputs!$E$48)^(H$5-1)*MAX(0,MIN(1,H$4*1-Inputs!$E$49+1))/1</f>
        <v>3</v>
      </c>
      <c r="I9" s="113" t="n">
        <f aca="false">Inputs!$E$46*(1+Inputs!$E$48)^(I$5-1)*MAX(0,MIN(1,I$4*1-Inputs!$E$49+1))/1</f>
        <v>3</v>
      </c>
      <c r="J9" s="113" t="n">
        <f aca="false">Inputs!$E$46*(1+Inputs!$E$48)^(J$5-1)*MAX(0,MIN(1,J$4*1-Inputs!$E$49+1))/1</f>
        <v>3</v>
      </c>
      <c r="K9" s="113" t="n">
        <f aca="false">Inputs!$E$46*(1+Inputs!$E$48)^(K$5-1)*MAX(0,MIN(1,K$4*1-Inputs!$E$49+1))/1</f>
        <v>3</v>
      </c>
      <c r="L9" s="113" t="n">
        <f aca="false">Inputs!$E$46*(1+Inputs!$E$48)^(L$5-1)*MAX(0,MIN(1,L$4*1-Inputs!$E$49+1))/1</f>
        <v>3</v>
      </c>
      <c r="M9" s="113" t="n">
        <f aca="false">Inputs!$E$46*(1+Inputs!$E$48)^(M$5-1)*MAX(0,MIN(1,M$4*1-Inputs!$E$49+1))/1</f>
        <v>3</v>
      </c>
      <c r="N9" s="113" t="n">
        <f aca="false">Inputs!$E$46*(1+Inputs!$E$48)^(N$5-1)*MAX(0,MIN(1,N$4*1-Inputs!$E$49+1))/1</f>
        <v>3</v>
      </c>
      <c r="O9" s="113" t="n">
        <f aca="false">Inputs!$E$46*(1+Inputs!$E$48)^(O$5-1)*MAX(0,MIN(1,O$4*1-Inputs!$E$49+1))/1</f>
        <v>3</v>
      </c>
      <c r="P9" s="113" t="n">
        <f aca="false">Inputs!$E$46*(1+Inputs!$E$48)^(P$5-1)*MAX(0,MIN(1,P$4*1-Inputs!$E$49+1))/1</f>
        <v>3</v>
      </c>
      <c r="Q9" s="113" t="n">
        <f aca="false">Inputs!$E$46*(1+Inputs!$E$48)^(Q$5-1)*MAX(0,MIN(1,Q$4*1-Inputs!$E$49+1))/1</f>
        <v>3</v>
      </c>
      <c r="R9" s="113" t="n">
        <f aca="false">Inputs!$E$46*(1+Inputs!$E$48)^(R$5-1)*MAX(0,MIN(1,R$4*1-Inputs!$E$49+1))/1</f>
        <v>3</v>
      </c>
      <c r="S9" s="113" t="n">
        <f aca="false">Inputs!$E$46*(1+Inputs!$E$48)^(S$5-1)*MAX(0,MIN(1,S$4*1-Inputs!$E$49+1))/1</f>
        <v>3</v>
      </c>
      <c r="T9" s="113" t="n">
        <f aca="false">Inputs!$E$46*(1+Inputs!$E$48)^(T$5-1)*MAX(0,MIN(1,T$4*1-Inputs!$E$49+1))/1</f>
        <v>3</v>
      </c>
      <c r="U9" s="113" t="n">
        <f aca="false">Inputs!$E$46*(1+Inputs!$E$48)^(U$5-1)*MAX(0,MIN(1,U$4*1-Inputs!$E$49+1))/1</f>
        <v>3</v>
      </c>
      <c r="V9" s="113" t="n">
        <f aca="false">Inputs!$E$46*(1+Inputs!$E$48)^(V$5-1)*MAX(0,MIN(1,V$4*1-Inputs!$E$49+1))/1</f>
        <v>3</v>
      </c>
      <c r="W9" s="113" t="n">
        <f aca="false">Inputs!$E$46*(1+Inputs!$E$48)^(W$5-1)*MAX(0,MIN(1,W$4*1-Inputs!$E$49+1))/1</f>
        <v>3</v>
      </c>
      <c r="X9" s="113" t="n">
        <f aca="false">Inputs!$E$46*(1+Inputs!$E$48)^(X$5-1)*MAX(0,MIN(1,X$4*1-Inputs!$E$49+1))/1</f>
        <v>3</v>
      </c>
      <c r="Y9" s="113" t="n">
        <f aca="false">Inputs!$E$46*(1+Inputs!$E$48)^(Y$5-1)*MAX(0,MIN(1,Y$4*1-Inputs!$E$49+1))/1</f>
        <v>3</v>
      </c>
      <c r="Z9" s="113" t="n">
        <f aca="false">Inputs!$E$46*(1+Inputs!$E$48)^(Z$5-1)*MAX(0,MIN(1,Z$4*1-Inputs!$E$49+1))/1</f>
        <v>3</v>
      </c>
      <c r="AA9" s="113" t="n">
        <f aca="false">Inputs!$E$46*(1+Inputs!$E$48)^(AA$5-1)*MAX(0,MIN(1,AA$4*1-Inputs!$E$49+1))/1</f>
        <v>3</v>
      </c>
      <c r="AB9" s="113" t="n">
        <f aca="false">Inputs!$E$46*(1+Inputs!$E$48)^(AB$5-1)*MAX(0,MIN(1,AB$4*1-Inputs!$E$49+1))/1</f>
        <v>3</v>
      </c>
      <c r="AC9" s="113" t="n">
        <f aca="false">Inputs!$E$46*(1+Inputs!$E$48)^(AC$5-1)*MAX(0,MIN(1,AC$4*1-Inputs!$E$49+1))/1</f>
        <v>3</v>
      </c>
      <c r="AD9" s="113" t="n">
        <f aca="false">Inputs!$E$46*(1+Inputs!$E$48)^(AD$5-1)*MAX(0,MIN(1,AD$4*1-Inputs!$E$49+1))/1</f>
        <v>3</v>
      </c>
      <c r="AE9" s="113" t="n">
        <f aca="false">Inputs!$E$46*(1+Inputs!$E$48)^(AE$5-1)*MAX(0,MIN(1,AE$4*1-Inputs!$E$49+1))/1</f>
        <v>3</v>
      </c>
      <c r="AF9" s="113" t="n">
        <f aca="false">Inputs!$E$46*(1+Inputs!$E$48)^(AF$5-1)*MAX(0,MIN(1,AF$4*1-Inputs!$E$49+1))/1</f>
        <v>3</v>
      </c>
      <c r="AG9" s="113" t="n">
        <f aca="false">Inputs!$E$46*(1+Inputs!$E$48)^(AG$5-1)*MAX(0,MIN(1,AG$4*1-Inputs!$E$49+1))/1</f>
        <v>3</v>
      </c>
      <c r="AH9" s="113" t="n">
        <f aca="false">Inputs!$E$46*(1+Inputs!$E$48)^(AH$5-1)*MAX(0,MIN(1,AH$4*1-Inputs!$E$49+1))/1</f>
        <v>3</v>
      </c>
      <c r="AI9" s="113" t="n">
        <f aca="false">Inputs!$E$46*(1+Inputs!$E$48)^(AI$5-1)*MAX(0,MIN(1,AI$4*1-Inputs!$E$49+1))/1</f>
        <v>3</v>
      </c>
      <c r="AJ9" s="113" t="n">
        <f aca="false">Inputs!$E$46*(1+Inputs!$E$48)^(AJ$5-1)*MAX(0,MIN(1,AJ$4*1-Inputs!$E$49+1))/1</f>
        <v>3</v>
      </c>
      <c r="AK9" s="113" t="n">
        <f aca="false">Inputs!$E$46*(1+Inputs!$E$48)^(AK$5-1)*MAX(0,MIN(1,AK$4*1-Inputs!$E$49+1))/1</f>
        <v>3</v>
      </c>
      <c r="AL9" s="113" t="n">
        <f aca="false">Inputs!$E$46*(1+Inputs!$E$48)^(AL$5-1)*MAX(0,MIN(1,AL$4*1-Inputs!$E$49+1))/1</f>
        <v>3</v>
      </c>
    </row>
    <row r="10" customFormat="false" ht="15" hidden="false" customHeight="false" outlineLevel="0" collapsed="false">
      <c r="A10" s="110" t="s">
        <v>415</v>
      </c>
      <c r="C10" s="119" t="n">
        <f aca="false">C8+C9</f>
        <v>4</v>
      </c>
      <c r="D10" s="119" t="n">
        <f aca="false">D8+D9</f>
        <v>4</v>
      </c>
      <c r="E10" s="119" t="n">
        <f aca="false">E8+E9</f>
        <v>4</v>
      </c>
      <c r="F10" s="119" t="n">
        <f aca="false">F8+F9</f>
        <v>4</v>
      </c>
      <c r="G10" s="119" t="n">
        <f aca="false">G8+G9</f>
        <v>4</v>
      </c>
      <c r="H10" s="119" t="n">
        <f aca="false">H8+H9</f>
        <v>4</v>
      </c>
      <c r="I10" s="119" t="n">
        <f aca="false">I8+I9</f>
        <v>4</v>
      </c>
      <c r="J10" s="119" t="n">
        <f aca="false">J8+J9</f>
        <v>4</v>
      </c>
      <c r="K10" s="119" t="n">
        <f aca="false">K8+K9</f>
        <v>4</v>
      </c>
      <c r="L10" s="119" t="n">
        <f aca="false">L8+L9</f>
        <v>4</v>
      </c>
      <c r="M10" s="119" t="n">
        <f aca="false">M8+M9</f>
        <v>4</v>
      </c>
      <c r="N10" s="119" t="n">
        <f aca="false">N8+N9</f>
        <v>4</v>
      </c>
      <c r="O10" s="119" t="n">
        <f aca="false">O8+O9</f>
        <v>4</v>
      </c>
      <c r="P10" s="119" t="n">
        <f aca="false">P8+P9</f>
        <v>4</v>
      </c>
      <c r="Q10" s="119" t="n">
        <f aca="false">Q8+Q9</f>
        <v>4</v>
      </c>
      <c r="R10" s="119" t="n">
        <f aca="false">R8+R9</f>
        <v>4</v>
      </c>
      <c r="S10" s="119" t="n">
        <f aca="false">S8+S9</f>
        <v>4</v>
      </c>
      <c r="T10" s="119" t="n">
        <f aca="false">T8+T9</f>
        <v>4</v>
      </c>
      <c r="U10" s="119" t="n">
        <f aca="false">U8+U9</f>
        <v>4</v>
      </c>
      <c r="V10" s="119" t="n">
        <f aca="false">V8+V9</f>
        <v>4</v>
      </c>
      <c r="W10" s="119" t="n">
        <f aca="false">W8+W9</f>
        <v>4</v>
      </c>
      <c r="X10" s="119" t="n">
        <f aca="false">X8+X9</f>
        <v>4</v>
      </c>
      <c r="Y10" s="119" t="n">
        <f aca="false">Y8+Y9</f>
        <v>4</v>
      </c>
      <c r="Z10" s="119" t="n">
        <f aca="false">Z8+Z9</f>
        <v>4</v>
      </c>
      <c r="AA10" s="119" t="n">
        <f aca="false">AA8+AA9</f>
        <v>4</v>
      </c>
      <c r="AB10" s="119" t="n">
        <f aca="false">AB8+AB9</f>
        <v>4</v>
      </c>
      <c r="AC10" s="119" t="n">
        <f aca="false">AC8+AC9</f>
        <v>4</v>
      </c>
      <c r="AD10" s="119" t="n">
        <f aca="false">AD8+AD9</f>
        <v>4</v>
      </c>
      <c r="AE10" s="119" t="n">
        <f aca="false">AE8+AE9</f>
        <v>4</v>
      </c>
      <c r="AF10" s="119" t="n">
        <f aca="false">AF8+AF9</f>
        <v>4</v>
      </c>
      <c r="AG10" s="119" t="n">
        <f aca="false">AG8+AG9</f>
        <v>4</v>
      </c>
      <c r="AH10" s="119" t="n">
        <f aca="false">AH8+AH9</f>
        <v>4</v>
      </c>
      <c r="AI10" s="119" t="n">
        <f aca="false">AI8+AI9</f>
        <v>4</v>
      </c>
      <c r="AJ10" s="119" t="n">
        <f aca="false">AJ8+AJ9</f>
        <v>4</v>
      </c>
      <c r="AK10" s="119" t="n">
        <f aca="false">AK8+AK9</f>
        <v>4</v>
      </c>
      <c r="AL10" s="119" t="n">
        <f aca="false">AL8+AL9</f>
        <v>4</v>
      </c>
    </row>
    <row r="12" customFormat="false" ht="15.75" hidden="false" customHeight="true" outlineLevel="0" collapsed="false">
      <c r="A12" s="7" t="s">
        <v>416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customFormat="false" ht="15" hidden="false" customHeight="false" outlineLevel="0" collapsed="false">
      <c r="A13" s="6" t="s">
        <v>417</v>
      </c>
      <c r="C13" s="66" t="n">
        <f aca="false">-C8*Inputs!$E$43/12*1*(1+Inputs!$E$50)*(1+Inputs!$E$51)^(C$5-1)</f>
        <v>-5041.66666666667</v>
      </c>
      <c r="D13" s="66" t="n">
        <f aca="false">-D8*Inputs!$E$43/12*1*(1+Inputs!$E$50)*(1+Inputs!$E$51)^(D$5-1)</f>
        <v>-5041.66666666667</v>
      </c>
      <c r="E13" s="66" t="n">
        <f aca="false">-E8*Inputs!$E$43/12*1*(1+Inputs!$E$50)*(1+Inputs!$E$51)^(E$5-1)</f>
        <v>-5041.66666666667</v>
      </c>
      <c r="F13" s="66" t="n">
        <f aca="false">-F8*Inputs!$E$43/12*1*(1+Inputs!$E$50)*(1+Inputs!$E$51)^(F$5-1)</f>
        <v>-5041.66666666667</v>
      </c>
      <c r="G13" s="66" t="n">
        <f aca="false">-G8*Inputs!$E$43/12*1*(1+Inputs!$E$50)*(1+Inputs!$E$51)^(G$5-1)</f>
        <v>-5041.66666666667</v>
      </c>
      <c r="H13" s="66" t="n">
        <f aca="false">-H8*Inputs!$E$43/12*1*(1+Inputs!$E$50)*(1+Inputs!$E$51)^(H$5-1)</f>
        <v>-5041.66666666667</v>
      </c>
      <c r="I13" s="66" t="n">
        <f aca="false">-I8*Inputs!$E$43/12*1*(1+Inputs!$E$50)*(1+Inputs!$E$51)^(I$5-1)</f>
        <v>-5041.66666666667</v>
      </c>
      <c r="J13" s="66" t="n">
        <f aca="false">-J8*Inputs!$E$43/12*1*(1+Inputs!$E$50)*(1+Inputs!$E$51)^(J$5-1)</f>
        <v>-5041.66666666667</v>
      </c>
      <c r="K13" s="66" t="n">
        <f aca="false">-K8*Inputs!$E$43/12*1*(1+Inputs!$E$50)*(1+Inputs!$E$51)^(K$5-1)</f>
        <v>-5041.66666666667</v>
      </c>
      <c r="L13" s="66" t="n">
        <f aca="false">-L8*Inputs!$E$43/12*1*(1+Inputs!$E$50)*(1+Inputs!$E$51)^(L$5-1)</f>
        <v>-5041.66666666667</v>
      </c>
      <c r="M13" s="66" t="n">
        <f aca="false">-M8*Inputs!$E$43/12*1*(1+Inputs!$E$50)*(1+Inputs!$E$51)^(M$5-1)</f>
        <v>-5041.66666666667</v>
      </c>
      <c r="N13" s="66" t="n">
        <f aca="false">-N8*Inputs!$E$43/12*1*(1+Inputs!$E$50)*(1+Inputs!$E$51)^(N$5-1)</f>
        <v>-5041.66666666667</v>
      </c>
      <c r="O13" s="66" t="n">
        <f aca="false">-O8*Inputs!$E$43/12*1*(1+Inputs!$E$50)*(1+Inputs!$E$51)^(O$5-1)</f>
        <v>-5192.91666666667</v>
      </c>
      <c r="P13" s="66" t="n">
        <f aca="false">-P8*Inputs!$E$43/12*1*(1+Inputs!$E$50)*(1+Inputs!$E$51)^(P$5-1)</f>
        <v>-5192.91666666667</v>
      </c>
      <c r="Q13" s="66" t="n">
        <f aca="false">-Q8*Inputs!$E$43/12*1*(1+Inputs!$E$50)*(1+Inputs!$E$51)^(Q$5-1)</f>
        <v>-5192.91666666667</v>
      </c>
      <c r="R13" s="66" t="n">
        <f aca="false">-R8*Inputs!$E$43/12*1*(1+Inputs!$E$50)*(1+Inputs!$E$51)^(R$5-1)</f>
        <v>-5192.91666666667</v>
      </c>
      <c r="S13" s="66" t="n">
        <f aca="false">-S8*Inputs!$E$43/12*1*(1+Inputs!$E$50)*(1+Inputs!$E$51)^(S$5-1)</f>
        <v>-5192.91666666667</v>
      </c>
      <c r="T13" s="66" t="n">
        <f aca="false">-T8*Inputs!$E$43/12*1*(1+Inputs!$E$50)*(1+Inputs!$E$51)^(T$5-1)</f>
        <v>-5192.91666666667</v>
      </c>
      <c r="U13" s="66" t="n">
        <f aca="false">-U8*Inputs!$E$43/12*1*(1+Inputs!$E$50)*(1+Inputs!$E$51)^(U$5-1)</f>
        <v>-5192.91666666667</v>
      </c>
      <c r="V13" s="66" t="n">
        <f aca="false">-V8*Inputs!$E$43/12*1*(1+Inputs!$E$50)*(1+Inputs!$E$51)^(V$5-1)</f>
        <v>-5192.91666666667</v>
      </c>
      <c r="W13" s="66" t="n">
        <f aca="false">-W8*Inputs!$E$43/12*1*(1+Inputs!$E$50)*(1+Inputs!$E$51)^(W$5-1)</f>
        <v>-5192.91666666667</v>
      </c>
      <c r="X13" s="66" t="n">
        <f aca="false">-X8*Inputs!$E$43/12*1*(1+Inputs!$E$50)*(1+Inputs!$E$51)^(X$5-1)</f>
        <v>-5192.91666666667</v>
      </c>
      <c r="Y13" s="66" t="n">
        <f aca="false">-Y8*Inputs!$E$43/12*1*(1+Inputs!$E$50)*(1+Inputs!$E$51)^(Y$5-1)</f>
        <v>-5192.91666666667</v>
      </c>
      <c r="Z13" s="66" t="n">
        <f aca="false">-Z8*Inputs!$E$43/12*1*(1+Inputs!$E$50)*(1+Inputs!$E$51)^(Z$5-1)</f>
        <v>-5192.91666666667</v>
      </c>
      <c r="AA13" s="66" t="n">
        <f aca="false">-AA8*Inputs!$E$43/12*1*(1+Inputs!$E$50)*(1+Inputs!$E$51)^(AA$5-1)</f>
        <v>-5348.70416666667</v>
      </c>
      <c r="AB13" s="66" t="n">
        <f aca="false">-AB8*Inputs!$E$43/12*1*(1+Inputs!$E$50)*(1+Inputs!$E$51)^(AB$5-1)</f>
        <v>-5348.70416666667</v>
      </c>
      <c r="AC13" s="66" t="n">
        <f aca="false">-AC8*Inputs!$E$43/12*1*(1+Inputs!$E$50)*(1+Inputs!$E$51)^(AC$5-1)</f>
        <v>-5348.70416666667</v>
      </c>
      <c r="AD13" s="66" t="n">
        <f aca="false">-AD8*Inputs!$E$43/12*1*(1+Inputs!$E$50)*(1+Inputs!$E$51)^(AD$5-1)</f>
        <v>-5348.70416666667</v>
      </c>
      <c r="AE13" s="66" t="n">
        <f aca="false">-AE8*Inputs!$E$43/12*1*(1+Inputs!$E$50)*(1+Inputs!$E$51)^(AE$5-1)</f>
        <v>-5348.70416666667</v>
      </c>
      <c r="AF13" s="66" t="n">
        <f aca="false">-AF8*Inputs!$E$43/12*1*(1+Inputs!$E$50)*(1+Inputs!$E$51)^(AF$5-1)</f>
        <v>-5348.70416666667</v>
      </c>
      <c r="AG13" s="66" t="n">
        <f aca="false">-AG8*Inputs!$E$43/12*1*(1+Inputs!$E$50)*(1+Inputs!$E$51)^(AG$5-1)</f>
        <v>-5348.70416666667</v>
      </c>
      <c r="AH13" s="66" t="n">
        <f aca="false">-AH8*Inputs!$E$43/12*1*(1+Inputs!$E$50)*(1+Inputs!$E$51)^(AH$5-1)</f>
        <v>-5348.70416666667</v>
      </c>
      <c r="AI13" s="66" t="n">
        <f aca="false">-AI8*Inputs!$E$43/12*1*(1+Inputs!$E$50)*(1+Inputs!$E$51)^(AI$5-1)</f>
        <v>-5348.70416666667</v>
      </c>
      <c r="AJ13" s="66" t="n">
        <f aca="false">-AJ8*Inputs!$E$43/12*1*(1+Inputs!$E$50)*(1+Inputs!$E$51)^(AJ$5-1)</f>
        <v>-5348.70416666667</v>
      </c>
      <c r="AK13" s="66" t="n">
        <f aca="false">-AK8*Inputs!$E$43/12*1*(1+Inputs!$E$50)*(1+Inputs!$E$51)^(AK$5-1)</f>
        <v>-5348.70416666667</v>
      </c>
      <c r="AL13" s="66" t="n">
        <f aca="false">-AL8*Inputs!$E$43/12*1*(1+Inputs!$E$50)*(1+Inputs!$E$51)^(AL$5-1)</f>
        <v>-5348.70416666667</v>
      </c>
    </row>
    <row r="14" customFormat="false" ht="15" hidden="false" customHeight="false" outlineLevel="0" collapsed="false">
      <c r="A14" s="6" t="s">
        <v>418</v>
      </c>
      <c r="C14" s="66" t="n">
        <f aca="false">-C9*Inputs!$E$47/12*1*(1+Inputs!$E$50)*(1+Inputs!$E$51)^(C$5-1)</f>
        <v>-8800</v>
      </c>
      <c r="D14" s="66" t="n">
        <f aca="false">-D9*Inputs!$E$47/12*1*(1+Inputs!$E$50)*(1+Inputs!$E$51)^(D$5-1)</f>
        <v>-8800</v>
      </c>
      <c r="E14" s="66" t="n">
        <f aca="false">-E9*Inputs!$E$47/12*1*(1+Inputs!$E$50)*(1+Inputs!$E$51)^(E$5-1)</f>
        <v>-8800</v>
      </c>
      <c r="F14" s="66" t="n">
        <f aca="false">-F9*Inputs!$E$47/12*1*(1+Inputs!$E$50)*(1+Inputs!$E$51)^(F$5-1)</f>
        <v>-8800</v>
      </c>
      <c r="G14" s="66" t="n">
        <f aca="false">-G9*Inputs!$E$47/12*1*(1+Inputs!$E$50)*(1+Inputs!$E$51)^(G$5-1)</f>
        <v>-8800</v>
      </c>
      <c r="H14" s="66" t="n">
        <f aca="false">-H9*Inputs!$E$47/12*1*(1+Inputs!$E$50)*(1+Inputs!$E$51)^(H$5-1)</f>
        <v>-8800</v>
      </c>
      <c r="I14" s="66" t="n">
        <f aca="false">-I9*Inputs!$E$47/12*1*(1+Inputs!$E$50)*(1+Inputs!$E$51)^(I$5-1)</f>
        <v>-8800</v>
      </c>
      <c r="J14" s="66" t="n">
        <f aca="false">-J9*Inputs!$E$47/12*1*(1+Inputs!$E$50)*(1+Inputs!$E$51)^(J$5-1)</f>
        <v>-8800</v>
      </c>
      <c r="K14" s="66" t="n">
        <f aca="false">-K9*Inputs!$E$47/12*1*(1+Inputs!$E$50)*(1+Inputs!$E$51)^(K$5-1)</f>
        <v>-8800</v>
      </c>
      <c r="L14" s="66" t="n">
        <f aca="false">-L9*Inputs!$E$47/12*1*(1+Inputs!$E$50)*(1+Inputs!$E$51)^(L$5-1)</f>
        <v>-8800</v>
      </c>
      <c r="M14" s="66" t="n">
        <f aca="false">-M9*Inputs!$E$47/12*1*(1+Inputs!$E$50)*(1+Inputs!$E$51)^(M$5-1)</f>
        <v>-8800</v>
      </c>
      <c r="N14" s="66" t="n">
        <f aca="false">-N9*Inputs!$E$47/12*1*(1+Inputs!$E$50)*(1+Inputs!$E$51)^(N$5-1)</f>
        <v>-8800</v>
      </c>
      <c r="O14" s="66" t="n">
        <f aca="false">-O9*Inputs!$E$47/12*1*(1+Inputs!$E$50)*(1+Inputs!$E$51)^(O$5-1)</f>
        <v>-9064</v>
      </c>
      <c r="P14" s="66" t="n">
        <f aca="false">-P9*Inputs!$E$47/12*1*(1+Inputs!$E$50)*(1+Inputs!$E$51)^(P$5-1)</f>
        <v>-9064</v>
      </c>
      <c r="Q14" s="66" t="n">
        <f aca="false">-Q9*Inputs!$E$47/12*1*(1+Inputs!$E$50)*(1+Inputs!$E$51)^(Q$5-1)</f>
        <v>-9064</v>
      </c>
      <c r="R14" s="66" t="n">
        <f aca="false">-R9*Inputs!$E$47/12*1*(1+Inputs!$E$50)*(1+Inputs!$E$51)^(R$5-1)</f>
        <v>-9064</v>
      </c>
      <c r="S14" s="66" t="n">
        <f aca="false">-S9*Inputs!$E$47/12*1*(1+Inputs!$E$50)*(1+Inputs!$E$51)^(S$5-1)</f>
        <v>-9064</v>
      </c>
      <c r="T14" s="66" t="n">
        <f aca="false">-T9*Inputs!$E$47/12*1*(1+Inputs!$E$50)*(1+Inputs!$E$51)^(T$5-1)</f>
        <v>-9064</v>
      </c>
      <c r="U14" s="66" t="n">
        <f aca="false">-U9*Inputs!$E$47/12*1*(1+Inputs!$E$50)*(1+Inputs!$E$51)^(U$5-1)</f>
        <v>-9064</v>
      </c>
      <c r="V14" s="66" t="n">
        <f aca="false">-V9*Inputs!$E$47/12*1*(1+Inputs!$E$50)*(1+Inputs!$E$51)^(V$5-1)</f>
        <v>-9064</v>
      </c>
      <c r="W14" s="66" t="n">
        <f aca="false">-W9*Inputs!$E$47/12*1*(1+Inputs!$E$50)*(1+Inputs!$E$51)^(W$5-1)</f>
        <v>-9064</v>
      </c>
      <c r="X14" s="66" t="n">
        <f aca="false">-X9*Inputs!$E$47/12*1*(1+Inputs!$E$50)*(1+Inputs!$E$51)^(X$5-1)</f>
        <v>-9064</v>
      </c>
      <c r="Y14" s="66" t="n">
        <f aca="false">-Y9*Inputs!$E$47/12*1*(1+Inputs!$E$50)*(1+Inputs!$E$51)^(Y$5-1)</f>
        <v>-9064</v>
      </c>
      <c r="Z14" s="66" t="n">
        <f aca="false">-Z9*Inputs!$E$47/12*1*(1+Inputs!$E$50)*(1+Inputs!$E$51)^(Z$5-1)</f>
        <v>-9064</v>
      </c>
      <c r="AA14" s="66" t="n">
        <f aca="false">-AA9*Inputs!$E$47/12*1*(1+Inputs!$E$50)*(1+Inputs!$E$51)^(AA$5-1)</f>
        <v>-9335.92</v>
      </c>
      <c r="AB14" s="66" t="n">
        <f aca="false">-AB9*Inputs!$E$47/12*1*(1+Inputs!$E$50)*(1+Inputs!$E$51)^(AB$5-1)</f>
        <v>-9335.92</v>
      </c>
      <c r="AC14" s="66" t="n">
        <f aca="false">-AC9*Inputs!$E$47/12*1*(1+Inputs!$E$50)*(1+Inputs!$E$51)^(AC$5-1)</f>
        <v>-9335.92</v>
      </c>
      <c r="AD14" s="66" t="n">
        <f aca="false">-AD9*Inputs!$E$47/12*1*(1+Inputs!$E$50)*(1+Inputs!$E$51)^(AD$5-1)</f>
        <v>-9335.92</v>
      </c>
      <c r="AE14" s="66" t="n">
        <f aca="false">-AE9*Inputs!$E$47/12*1*(1+Inputs!$E$50)*(1+Inputs!$E$51)^(AE$5-1)</f>
        <v>-9335.92</v>
      </c>
      <c r="AF14" s="66" t="n">
        <f aca="false">-AF9*Inputs!$E$47/12*1*(1+Inputs!$E$50)*(1+Inputs!$E$51)^(AF$5-1)</f>
        <v>-9335.92</v>
      </c>
      <c r="AG14" s="66" t="n">
        <f aca="false">-AG9*Inputs!$E$47/12*1*(1+Inputs!$E$50)*(1+Inputs!$E$51)^(AG$5-1)</f>
        <v>-9335.92</v>
      </c>
      <c r="AH14" s="66" t="n">
        <f aca="false">-AH9*Inputs!$E$47/12*1*(1+Inputs!$E$50)*(1+Inputs!$E$51)^(AH$5-1)</f>
        <v>-9335.92</v>
      </c>
      <c r="AI14" s="66" t="n">
        <f aca="false">-AI9*Inputs!$E$47/12*1*(1+Inputs!$E$50)*(1+Inputs!$E$51)^(AI$5-1)</f>
        <v>-9335.92</v>
      </c>
      <c r="AJ14" s="66" t="n">
        <f aca="false">-AJ9*Inputs!$E$47/12*1*(1+Inputs!$E$50)*(1+Inputs!$E$51)^(AJ$5-1)</f>
        <v>-9335.92</v>
      </c>
      <c r="AK14" s="66" t="n">
        <f aca="false">-AK9*Inputs!$E$47/12*1*(1+Inputs!$E$50)*(1+Inputs!$E$51)^(AK$5-1)</f>
        <v>-9335.92</v>
      </c>
      <c r="AL14" s="66" t="n">
        <f aca="false">-AL9*Inputs!$E$47/12*1*(1+Inputs!$E$50)*(1+Inputs!$E$51)^(AL$5-1)</f>
        <v>-9335.92</v>
      </c>
    </row>
    <row r="15" customFormat="false" ht="15" hidden="false" customHeight="false" outlineLevel="0" collapsed="false">
      <c r="A15" s="110" t="s">
        <v>419</v>
      </c>
      <c r="C15" s="67" t="n">
        <f aca="false">C13+C14</f>
        <v>-13841.6666666667</v>
      </c>
      <c r="D15" s="67" t="n">
        <f aca="false">D13+D14</f>
        <v>-13841.6666666667</v>
      </c>
      <c r="E15" s="67" t="n">
        <f aca="false">E13+E14</f>
        <v>-13841.6666666667</v>
      </c>
      <c r="F15" s="67" t="n">
        <f aca="false">F13+F14</f>
        <v>-13841.6666666667</v>
      </c>
      <c r="G15" s="67" t="n">
        <f aca="false">G13+G14</f>
        <v>-13841.6666666667</v>
      </c>
      <c r="H15" s="67" t="n">
        <f aca="false">H13+H14</f>
        <v>-13841.6666666667</v>
      </c>
      <c r="I15" s="67" t="n">
        <f aca="false">I13+I14</f>
        <v>-13841.6666666667</v>
      </c>
      <c r="J15" s="67" t="n">
        <f aca="false">J13+J14</f>
        <v>-13841.6666666667</v>
      </c>
      <c r="K15" s="67" t="n">
        <f aca="false">K13+K14</f>
        <v>-13841.6666666667</v>
      </c>
      <c r="L15" s="67" t="n">
        <f aca="false">L13+L14</f>
        <v>-13841.6666666667</v>
      </c>
      <c r="M15" s="67" t="n">
        <f aca="false">M13+M14</f>
        <v>-13841.6666666667</v>
      </c>
      <c r="N15" s="67" t="n">
        <f aca="false">N13+N14</f>
        <v>-13841.6666666667</v>
      </c>
      <c r="O15" s="67" t="n">
        <f aca="false">O13+O14</f>
        <v>-14256.9166666667</v>
      </c>
      <c r="P15" s="67" t="n">
        <f aca="false">P13+P14</f>
        <v>-14256.9166666667</v>
      </c>
      <c r="Q15" s="67" t="n">
        <f aca="false">Q13+Q14</f>
        <v>-14256.9166666667</v>
      </c>
      <c r="R15" s="67" t="n">
        <f aca="false">R13+R14</f>
        <v>-14256.9166666667</v>
      </c>
      <c r="S15" s="67" t="n">
        <f aca="false">S13+S14</f>
        <v>-14256.9166666667</v>
      </c>
      <c r="T15" s="67" t="n">
        <f aca="false">T13+T14</f>
        <v>-14256.9166666667</v>
      </c>
      <c r="U15" s="67" t="n">
        <f aca="false">U13+U14</f>
        <v>-14256.9166666667</v>
      </c>
      <c r="V15" s="67" t="n">
        <f aca="false">V13+V14</f>
        <v>-14256.9166666667</v>
      </c>
      <c r="W15" s="67" t="n">
        <f aca="false">W13+W14</f>
        <v>-14256.9166666667</v>
      </c>
      <c r="X15" s="67" t="n">
        <f aca="false">X13+X14</f>
        <v>-14256.9166666667</v>
      </c>
      <c r="Y15" s="67" t="n">
        <f aca="false">Y13+Y14</f>
        <v>-14256.9166666667</v>
      </c>
      <c r="Z15" s="67" t="n">
        <f aca="false">Z13+Z14</f>
        <v>-14256.9166666667</v>
      </c>
      <c r="AA15" s="67" t="n">
        <f aca="false">AA13+AA14</f>
        <v>-14684.6241666667</v>
      </c>
      <c r="AB15" s="67" t="n">
        <f aca="false">AB13+AB14</f>
        <v>-14684.6241666667</v>
      </c>
      <c r="AC15" s="67" t="n">
        <f aca="false">AC13+AC14</f>
        <v>-14684.6241666667</v>
      </c>
      <c r="AD15" s="67" t="n">
        <f aca="false">AD13+AD14</f>
        <v>-14684.6241666667</v>
      </c>
      <c r="AE15" s="67" t="n">
        <f aca="false">AE13+AE14</f>
        <v>-14684.6241666667</v>
      </c>
      <c r="AF15" s="67" t="n">
        <f aca="false">AF13+AF14</f>
        <v>-14684.6241666667</v>
      </c>
      <c r="AG15" s="67" t="n">
        <f aca="false">AG13+AG14</f>
        <v>-14684.6241666667</v>
      </c>
      <c r="AH15" s="67" t="n">
        <f aca="false">AH13+AH14</f>
        <v>-14684.6241666667</v>
      </c>
      <c r="AI15" s="67" t="n">
        <f aca="false">AI13+AI14</f>
        <v>-14684.6241666667</v>
      </c>
      <c r="AJ15" s="67" t="n">
        <f aca="false">AJ13+AJ14</f>
        <v>-14684.6241666667</v>
      </c>
      <c r="AK15" s="67" t="n">
        <f aca="false">AK13+AK14</f>
        <v>-14684.6241666667</v>
      </c>
      <c r="AL15" s="67" t="n">
        <f aca="false">AL13+AL14</f>
        <v>-14684.6241666667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ABA8"/>
    <pageSetUpPr fitToPage="true"/>
  </sheetPr>
  <dimension ref="A1:AL33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38" min="3" style="0" width="11"/>
  </cols>
  <sheetData>
    <row r="1" customFormat="false" ht="21.75" hidden="false" customHeight="true" outlineLevel="0" collapsed="false">
      <c r="A1" s="16" t="s">
        <v>420</v>
      </c>
      <c r="D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421</v>
      </c>
    </row>
    <row r="4" customFormat="false" ht="15.75" hidden="false" customHeight="true" outlineLevel="0" collapsed="false">
      <c r="A4" s="7" t="s">
        <v>422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customFormat="false" ht="15" hidden="false" customHeight="false" outlineLevel="0" collapsed="false">
      <c r="A5" s="33" t="s">
        <v>335</v>
      </c>
      <c r="C5" s="35" t="s">
        <v>336</v>
      </c>
      <c r="D5" s="35" t="s">
        <v>337</v>
      </c>
      <c r="E5" s="35" t="s">
        <v>338</v>
      </c>
      <c r="F5" s="35" t="s">
        <v>339</v>
      </c>
      <c r="G5" s="35" t="s">
        <v>340</v>
      </c>
      <c r="H5" s="35" t="s">
        <v>341</v>
      </c>
      <c r="I5" s="35" t="s">
        <v>342</v>
      </c>
      <c r="J5" s="35" t="s">
        <v>343</v>
      </c>
      <c r="K5" s="35" t="s">
        <v>344</v>
      </c>
      <c r="L5" s="35" t="s">
        <v>345</v>
      </c>
      <c r="M5" s="35" t="s">
        <v>346</v>
      </c>
      <c r="N5" s="35" t="s">
        <v>347</v>
      </c>
      <c r="O5" s="35" t="s">
        <v>348</v>
      </c>
      <c r="P5" s="35" t="s">
        <v>349</v>
      </c>
      <c r="Q5" s="35" t="s">
        <v>350</v>
      </c>
      <c r="R5" s="35" t="s">
        <v>351</v>
      </c>
      <c r="S5" s="35" t="s">
        <v>352</v>
      </c>
      <c r="T5" s="35" t="s">
        <v>353</v>
      </c>
      <c r="U5" s="35" t="s">
        <v>354</v>
      </c>
      <c r="V5" s="35" t="s">
        <v>355</v>
      </c>
      <c r="W5" s="35" t="s">
        <v>356</v>
      </c>
      <c r="X5" s="35" t="s">
        <v>357</v>
      </c>
      <c r="Y5" s="35" t="s">
        <v>358</v>
      </c>
      <c r="Z5" s="35" t="s">
        <v>359</v>
      </c>
      <c r="AA5" s="35" t="s">
        <v>360</v>
      </c>
      <c r="AB5" s="35" t="s">
        <v>361</v>
      </c>
      <c r="AC5" s="35" t="s">
        <v>362</v>
      </c>
      <c r="AD5" s="35" t="s">
        <v>363</v>
      </c>
      <c r="AE5" s="35" t="s">
        <v>364</v>
      </c>
      <c r="AF5" s="35" t="s">
        <v>365</v>
      </c>
      <c r="AG5" s="35" t="s">
        <v>366</v>
      </c>
      <c r="AH5" s="35" t="s">
        <v>367</v>
      </c>
      <c r="AI5" s="35" t="s">
        <v>368</v>
      </c>
      <c r="AJ5" s="35" t="s">
        <v>369</v>
      </c>
      <c r="AK5" s="35" t="s">
        <v>370</v>
      </c>
      <c r="AL5" s="35" t="s">
        <v>371</v>
      </c>
    </row>
    <row r="6" customFormat="false" ht="15" hidden="false" customHeight="false" outlineLevel="0" collapsed="false">
      <c r="A6" s="71" t="s">
        <v>372</v>
      </c>
      <c r="C6" s="71" t="n">
        <v>1</v>
      </c>
      <c r="D6" s="71" t="n">
        <v>2</v>
      </c>
      <c r="E6" s="71" t="n">
        <v>3</v>
      </c>
      <c r="F6" s="71" t="n">
        <v>4</v>
      </c>
      <c r="G6" s="71" t="n">
        <v>5</v>
      </c>
      <c r="H6" s="71" t="n">
        <v>6</v>
      </c>
      <c r="I6" s="71" t="n">
        <v>7</v>
      </c>
      <c r="J6" s="71" t="n">
        <v>8</v>
      </c>
      <c r="K6" s="71" t="n">
        <v>9</v>
      </c>
      <c r="L6" s="71" t="n">
        <v>10</v>
      </c>
      <c r="M6" s="71" t="n">
        <v>11</v>
      </c>
      <c r="N6" s="71" t="n">
        <v>12</v>
      </c>
      <c r="O6" s="71" t="n">
        <v>13</v>
      </c>
      <c r="P6" s="71" t="n">
        <v>14</v>
      </c>
      <c r="Q6" s="71" t="n">
        <v>15</v>
      </c>
      <c r="R6" s="71" t="n">
        <v>16</v>
      </c>
      <c r="S6" s="71" t="n">
        <v>17</v>
      </c>
      <c r="T6" s="71" t="n">
        <v>18</v>
      </c>
      <c r="U6" s="71" t="n">
        <v>19</v>
      </c>
      <c r="V6" s="71" t="n">
        <v>20</v>
      </c>
      <c r="W6" s="71" t="n">
        <v>21</v>
      </c>
      <c r="X6" s="71" t="n">
        <v>22</v>
      </c>
      <c r="Y6" s="71" t="n">
        <v>23</v>
      </c>
      <c r="Z6" s="71" t="n">
        <v>24</v>
      </c>
      <c r="AA6" s="71" t="n">
        <v>25</v>
      </c>
      <c r="AB6" s="71" t="n">
        <v>26</v>
      </c>
      <c r="AC6" s="71" t="n">
        <v>27</v>
      </c>
      <c r="AD6" s="71" t="n">
        <v>28</v>
      </c>
      <c r="AE6" s="71" t="n">
        <v>29</v>
      </c>
      <c r="AF6" s="71" t="n">
        <v>30</v>
      </c>
      <c r="AG6" s="71" t="n">
        <v>31</v>
      </c>
      <c r="AH6" s="71" t="n">
        <v>32</v>
      </c>
      <c r="AI6" s="71" t="n">
        <v>33</v>
      </c>
      <c r="AJ6" s="71" t="n">
        <v>34</v>
      </c>
      <c r="AK6" s="71" t="n">
        <v>35</v>
      </c>
      <c r="AL6" s="71" t="n">
        <v>36</v>
      </c>
    </row>
    <row r="7" customFormat="false" ht="15" hidden="false" customHeight="false" outlineLevel="0" collapsed="false">
      <c r="A7" s="71" t="s">
        <v>153</v>
      </c>
      <c r="C7" s="71" t="n">
        <f aca="false">ROUNDUP(C6*1/12,0)</f>
        <v>1</v>
      </c>
      <c r="D7" s="71" t="n">
        <f aca="false">ROUNDUP(D6*1/12,0)</f>
        <v>1</v>
      </c>
      <c r="E7" s="71" t="n">
        <f aca="false">ROUNDUP(E6*1/12,0)</f>
        <v>1</v>
      </c>
      <c r="F7" s="71" t="n">
        <f aca="false">ROUNDUP(F6*1/12,0)</f>
        <v>1</v>
      </c>
      <c r="G7" s="71" t="n">
        <f aca="false">ROUNDUP(G6*1/12,0)</f>
        <v>1</v>
      </c>
      <c r="H7" s="71" t="n">
        <f aca="false">ROUNDUP(H6*1/12,0)</f>
        <v>1</v>
      </c>
      <c r="I7" s="71" t="n">
        <f aca="false">ROUNDUP(I6*1/12,0)</f>
        <v>1</v>
      </c>
      <c r="J7" s="71" t="n">
        <f aca="false">ROUNDUP(J6*1/12,0)</f>
        <v>1</v>
      </c>
      <c r="K7" s="71" t="n">
        <f aca="false">ROUNDUP(K6*1/12,0)</f>
        <v>1</v>
      </c>
      <c r="L7" s="71" t="n">
        <f aca="false">ROUNDUP(L6*1/12,0)</f>
        <v>1</v>
      </c>
      <c r="M7" s="71" t="n">
        <f aca="false">ROUNDUP(M6*1/12,0)</f>
        <v>1</v>
      </c>
      <c r="N7" s="71" t="n">
        <f aca="false">ROUNDUP(N6*1/12,0)</f>
        <v>1</v>
      </c>
      <c r="O7" s="71" t="n">
        <f aca="false">ROUNDUP(O6*1/12,0)</f>
        <v>2</v>
      </c>
      <c r="P7" s="71" t="n">
        <f aca="false">ROUNDUP(P6*1/12,0)</f>
        <v>2</v>
      </c>
      <c r="Q7" s="71" t="n">
        <f aca="false">ROUNDUP(Q6*1/12,0)</f>
        <v>2</v>
      </c>
      <c r="R7" s="71" t="n">
        <f aca="false">ROUNDUP(R6*1/12,0)</f>
        <v>2</v>
      </c>
      <c r="S7" s="71" t="n">
        <f aca="false">ROUNDUP(S6*1/12,0)</f>
        <v>2</v>
      </c>
      <c r="T7" s="71" t="n">
        <f aca="false">ROUNDUP(T6*1/12,0)</f>
        <v>2</v>
      </c>
      <c r="U7" s="71" t="n">
        <f aca="false">ROUNDUP(U6*1/12,0)</f>
        <v>2</v>
      </c>
      <c r="V7" s="71" t="n">
        <f aca="false">ROUNDUP(V6*1/12,0)</f>
        <v>2</v>
      </c>
      <c r="W7" s="71" t="n">
        <f aca="false">ROUNDUP(W6*1/12,0)</f>
        <v>2</v>
      </c>
      <c r="X7" s="71" t="n">
        <f aca="false">ROUNDUP(X6*1/12,0)</f>
        <v>2</v>
      </c>
      <c r="Y7" s="71" t="n">
        <f aca="false">ROUNDUP(Y6*1/12,0)</f>
        <v>2</v>
      </c>
      <c r="Z7" s="71" t="n">
        <f aca="false">ROUNDUP(Z6*1/12,0)</f>
        <v>2</v>
      </c>
      <c r="AA7" s="71" t="n">
        <f aca="false">ROUNDUP(AA6*1/12,0)</f>
        <v>3</v>
      </c>
      <c r="AB7" s="71" t="n">
        <f aca="false">ROUNDUP(AB6*1/12,0)</f>
        <v>3</v>
      </c>
      <c r="AC7" s="71" t="n">
        <f aca="false">ROUNDUP(AC6*1/12,0)</f>
        <v>3</v>
      </c>
      <c r="AD7" s="71" t="n">
        <f aca="false">ROUNDUP(AD6*1/12,0)</f>
        <v>3</v>
      </c>
      <c r="AE7" s="71" t="n">
        <f aca="false">ROUNDUP(AE6*1/12,0)</f>
        <v>3</v>
      </c>
      <c r="AF7" s="71" t="n">
        <f aca="false">ROUNDUP(AF6*1/12,0)</f>
        <v>3</v>
      </c>
      <c r="AG7" s="71" t="n">
        <f aca="false">ROUNDUP(AG6*1/12,0)</f>
        <v>3</v>
      </c>
      <c r="AH7" s="71" t="n">
        <f aca="false">ROUNDUP(AH6*1/12,0)</f>
        <v>3</v>
      </c>
      <c r="AI7" s="71" t="n">
        <f aca="false">ROUNDUP(AI6*1/12,0)</f>
        <v>3</v>
      </c>
      <c r="AJ7" s="71" t="n">
        <f aca="false">ROUNDUP(AJ6*1/12,0)</f>
        <v>3</v>
      </c>
      <c r="AK7" s="71" t="n">
        <f aca="false">ROUNDUP(AK6*1/12,0)</f>
        <v>3</v>
      </c>
      <c r="AL7" s="71" t="n">
        <f aca="false">ROUNDUP(AL6*1/12,0)</f>
        <v>3</v>
      </c>
    </row>
    <row r="9" customFormat="false" ht="15.75" hidden="false" customHeight="true" outlineLevel="0" collapsed="false">
      <c r="A9" s="7" t="s">
        <v>248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customFormat="false" ht="15" hidden="false" customHeight="false" outlineLevel="0" collapsed="false">
      <c r="A10" s="6" t="s">
        <v>239</v>
      </c>
      <c r="C10" s="113" t="n">
        <f aca="false">-C37/MAX(1,Inputs!$B$13)*Inputs!$B$14</f>
        <v>15.7142857142857</v>
      </c>
      <c r="D10" s="113" t="n">
        <f aca="false">-D37/MAX(1,Inputs!$B$13)*Inputs!$B$14</f>
        <v>15.7142857142857</v>
      </c>
      <c r="E10" s="113" t="n">
        <f aca="false">-E37/MAX(1,Inputs!$B$13)*Inputs!$B$14</f>
        <v>15.7142857142857</v>
      </c>
      <c r="F10" s="113" t="n">
        <f aca="false">-F37/MAX(1,Inputs!$B$13)*Inputs!$B$14</f>
        <v>15.7142857142857</v>
      </c>
      <c r="G10" s="113" t="n">
        <f aca="false">-G37/MAX(1,Inputs!$B$13)*Inputs!$B$14</f>
        <v>15.7142857142857</v>
      </c>
      <c r="H10" s="113" t="n">
        <f aca="false">-H37/MAX(1,Inputs!$B$13)*Inputs!$B$14</f>
        <v>15.7142857142857</v>
      </c>
      <c r="I10" s="113" t="n">
        <f aca="false">-I37/MAX(1,Inputs!$B$13)*Inputs!$B$14</f>
        <v>15.7142857142857</v>
      </c>
      <c r="J10" s="113" t="n">
        <f aca="false">-J37/MAX(1,Inputs!$B$13)*Inputs!$B$14</f>
        <v>15.7142857142857</v>
      </c>
      <c r="K10" s="113" t="n">
        <f aca="false">-K37/MAX(1,Inputs!$B$13)*Inputs!$B$14</f>
        <v>15.7142857142857</v>
      </c>
      <c r="L10" s="113" t="n">
        <f aca="false">-L37/MAX(1,Inputs!$B$13)*Inputs!$B$14</f>
        <v>15.7142857142857</v>
      </c>
      <c r="M10" s="113" t="n">
        <f aca="false">-M37/MAX(1,Inputs!$B$13)*Inputs!$B$14</f>
        <v>15.7142857142857</v>
      </c>
      <c r="N10" s="113" t="n">
        <f aca="false">-N37/MAX(1,Inputs!$B$13)*Inputs!$B$14</f>
        <v>15.7142857142857</v>
      </c>
      <c r="O10" s="113" t="n">
        <f aca="false">-O37/MAX(1,Inputs!$B$13)*Inputs!$B$14</f>
        <v>15.7142857142857</v>
      </c>
      <c r="P10" s="113" t="n">
        <f aca="false">-P37/MAX(1,Inputs!$B$13)*Inputs!$B$14</f>
        <v>15.7142857142857</v>
      </c>
      <c r="Q10" s="113" t="n">
        <f aca="false">-Q37/MAX(1,Inputs!$B$13)*Inputs!$B$14</f>
        <v>15.7142857142857</v>
      </c>
      <c r="R10" s="113" t="n">
        <f aca="false">-R37/MAX(1,Inputs!$B$13)*Inputs!$B$14</f>
        <v>15.7142857142857</v>
      </c>
      <c r="S10" s="113" t="n">
        <f aca="false">-S37/MAX(1,Inputs!$B$13)*Inputs!$B$14</f>
        <v>15.7142857142857</v>
      </c>
      <c r="T10" s="113" t="n">
        <f aca="false">-T37/MAX(1,Inputs!$B$13)*Inputs!$B$14</f>
        <v>15.7142857142857</v>
      </c>
      <c r="U10" s="113" t="n">
        <f aca="false">-U37/MAX(1,Inputs!$B$13)*Inputs!$B$14</f>
        <v>15.7142857142857</v>
      </c>
      <c r="V10" s="113" t="n">
        <f aca="false">-V37/MAX(1,Inputs!$B$13)*Inputs!$B$14</f>
        <v>15.7142857142857</v>
      </c>
      <c r="W10" s="113" t="n">
        <f aca="false">-W37/MAX(1,Inputs!$B$13)*Inputs!$B$14</f>
        <v>15.7142857142857</v>
      </c>
      <c r="X10" s="113" t="n">
        <f aca="false">-X37/MAX(1,Inputs!$B$13)*Inputs!$B$14</f>
        <v>15.7142857142857</v>
      </c>
      <c r="Y10" s="113" t="n">
        <f aca="false">-Y37/MAX(1,Inputs!$B$13)*Inputs!$B$14</f>
        <v>15.7142857142857</v>
      </c>
      <c r="Z10" s="113" t="n">
        <f aca="false">-Z37/MAX(1,Inputs!$B$13)*Inputs!$B$14</f>
        <v>15.7142857142857</v>
      </c>
      <c r="AA10" s="113" t="n">
        <f aca="false">-AA37/MAX(1,Inputs!$B$13)*Inputs!$B$14</f>
        <v>15.7142857142857</v>
      </c>
      <c r="AB10" s="113" t="n">
        <f aca="false">-AB37/MAX(1,Inputs!$B$13)*Inputs!$B$14</f>
        <v>15.7142857142857</v>
      </c>
      <c r="AC10" s="113" t="n">
        <f aca="false">-AC37/MAX(1,Inputs!$B$13)*Inputs!$B$14</f>
        <v>15.7142857142857</v>
      </c>
      <c r="AD10" s="113" t="n">
        <f aca="false">-AD37/MAX(1,Inputs!$B$13)*Inputs!$B$14</f>
        <v>15.7142857142857</v>
      </c>
      <c r="AE10" s="113" t="n">
        <f aca="false">-AE37/MAX(1,Inputs!$B$13)*Inputs!$B$14</f>
        <v>15.7142857142857</v>
      </c>
      <c r="AF10" s="113" t="n">
        <f aca="false">-AF37/MAX(1,Inputs!$B$13)*Inputs!$B$14</f>
        <v>15.7142857142857</v>
      </c>
      <c r="AG10" s="113" t="n">
        <f aca="false">-AG37/MAX(1,Inputs!$B$13)*Inputs!$B$14</f>
        <v>15.7142857142857</v>
      </c>
      <c r="AH10" s="113" t="n">
        <f aca="false">-AH37/MAX(1,Inputs!$B$13)*Inputs!$B$14</f>
        <v>15.7142857142857</v>
      </c>
      <c r="AI10" s="113" t="n">
        <f aca="false">-AI37/MAX(1,Inputs!$B$13)*Inputs!$B$14</f>
        <v>15.7142857142857</v>
      </c>
      <c r="AJ10" s="113" t="n">
        <f aca="false">-AJ37/MAX(1,Inputs!$B$13)*Inputs!$B$14</f>
        <v>15.7142857142857</v>
      </c>
      <c r="AK10" s="113" t="n">
        <f aca="false">-AK37/MAX(1,Inputs!$B$13)*Inputs!$B$14</f>
        <v>15.7142857142857</v>
      </c>
      <c r="AL10" s="113" t="n">
        <f aca="false">-AL37/MAX(1,Inputs!$B$13)*Inputs!$B$14</f>
        <v>15.7142857142857</v>
      </c>
    </row>
    <row r="11" customFormat="false" ht="15" hidden="false" customHeight="false" outlineLevel="0" collapsed="false">
      <c r="A11" s="6" t="s">
        <v>373</v>
      </c>
      <c r="C11" s="113" t="n">
        <f aca="false">Inputs!$B$9*(1+Inputs!$B$10)^(C$7-1)*1</f>
        <v>12</v>
      </c>
      <c r="D11" s="113" t="n">
        <f aca="false">Inputs!$B$9*(1+Inputs!$B$10)^(D$7-1)*1</f>
        <v>12</v>
      </c>
      <c r="E11" s="113" t="n">
        <f aca="false">Inputs!$B$9*(1+Inputs!$B$10)^(E$7-1)*1</f>
        <v>12</v>
      </c>
      <c r="F11" s="113" t="n">
        <f aca="false">Inputs!$B$9*(1+Inputs!$B$10)^(F$7-1)*1</f>
        <v>12</v>
      </c>
      <c r="G11" s="113" t="n">
        <f aca="false">Inputs!$B$9*(1+Inputs!$B$10)^(G$7-1)*1</f>
        <v>12</v>
      </c>
      <c r="H11" s="113" t="n">
        <f aca="false">Inputs!$B$9*(1+Inputs!$B$10)^(H$7-1)*1</f>
        <v>12</v>
      </c>
      <c r="I11" s="113" t="n">
        <f aca="false">Inputs!$B$9*(1+Inputs!$B$10)^(I$7-1)*1</f>
        <v>12</v>
      </c>
      <c r="J11" s="113" t="n">
        <f aca="false">Inputs!$B$9*(1+Inputs!$B$10)^(J$7-1)*1</f>
        <v>12</v>
      </c>
      <c r="K11" s="113" t="n">
        <f aca="false">Inputs!$B$9*(1+Inputs!$B$10)^(K$7-1)*1</f>
        <v>12</v>
      </c>
      <c r="L11" s="113" t="n">
        <f aca="false">Inputs!$B$9*(1+Inputs!$B$10)^(L$7-1)*1</f>
        <v>12</v>
      </c>
      <c r="M11" s="113" t="n">
        <f aca="false">Inputs!$B$9*(1+Inputs!$B$10)^(M$7-1)*1</f>
        <v>12</v>
      </c>
      <c r="N11" s="113" t="n">
        <f aca="false">Inputs!$B$9*(1+Inputs!$B$10)^(N$7-1)*1</f>
        <v>12</v>
      </c>
      <c r="O11" s="113" t="n">
        <f aca="false">Inputs!$B$9*(1+Inputs!$B$10)^(O$7-1)*1</f>
        <v>12.6</v>
      </c>
      <c r="P11" s="113" t="n">
        <f aca="false">Inputs!$B$9*(1+Inputs!$B$10)^(P$7-1)*1</f>
        <v>12.6</v>
      </c>
      <c r="Q11" s="113" t="n">
        <f aca="false">Inputs!$B$9*(1+Inputs!$B$10)^(Q$7-1)*1</f>
        <v>12.6</v>
      </c>
      <c r="R11" s="113" t="n">
        <f aca="false">Inputs!$B$9*(1+Inputs!$B$10)^(R$7-1)*1</f>
        <v>12.6</v>
      </c>
      <c r="S11" s="113" t="n">
        <f aca="false">Inputs!$B$9*(1+Inputs!$B$10)^(S$7-1)*1</f>
        <v>12.6</v>
      </c>
      <c r="T11" s="113" t="n">
        <f aca="false">Inputs!$B$9*(1+Inputs!$B$10)^(T$7-1)*1</f>
        <v>12.6</v>
      </c>
      <c r="U11" s="113" t="n">
        <f aca="false">Inputs!$B$9*(1+Inputs!$B$10)^(U$7-1)*1</f>
        <v>12.6</v>
      </c>
      <c r="V11" s="113" t="n">
        <f aca="false">Inputs!$B$9*(1+Inputs!$B$10)^(V$7-1)*1</f>
        <v>12.6</v>
      </c>
      <c r="W11" s="113" t="n">
        <f aca="false">Inputs!$B$9*(1+Inputs!$B$10)^(W$7-1)*1</f>
        <v>12.6</v>
      </c>
      <c r="X11" s="113" t="n">
        <f aca="false">Inputs!$B$9*(1+Inputs!$B$10)^(X$7-1)*1</f>
        <v>12.6</v>
      </c>
      <c r="Y11" s="113" t="n">
        <f aca="false">Inputs!$B$9*(1+Inputs!$B$10)^(Y$7-1)*1</f>
        <v>12.6</v>
      </c>
      <c r="Z11" s="113" t="n">
        <f aca="false">Inputs!$B$9*(1+Inputs!$B$10)^(Z$7-1)*1</f>
        <v>12.6</v>
      </c>
      <c r="AA11" s="113" t="n">
        <f aca="false">Inputs!$B$9*(1+Inputs!$B$10)^(AA$7-1)*1</f>
        <v>13.23</v>
      </c>
      <c r="AB11" s="113" t="n">
        <f aca="false">Inputs!$B$9*(1+Inputs!$B$10)^(AB$7-1)*1</f>
        <v>13.23</v>
      </c>
      <c r="AC11" s="113" t="n">
        <f aca="false">Inputs!$B$9*(1+Inputs!$B$10)^(AC$7-1)*1</f>
        <v>13.23</v>
      </c>
      <c r="AD11" s="113" t="n">
        <f aca="false">Inputs!$B$9*(1+Inputs!$B$10)^(AD$7-1)*1</f>
        <v>13.23</v>
      </c>
      <c r="AE11" s="113" t="n">
        <f aca="false">Inputs!$B$9*(1+Inputs!$B$10)^(AE$7-1)*1</f>
        <v>13.23</v>
      </c>
      <c r="AF11" s="113" t="n">
        <f aca="false">Inputs!$B$9*(1+Inputs!$B$10)^(AF$7-1)*1</f>
        <v>13.23</v>
      </c>
      <c r="AG11" s="113" t="n">
        <f aca="false">Inputs!$B$9*(1+Inputs!$B$10)^(AG$7-1)*1</f>
        <v>13.23</v>
      </c>
      <c r="AH11" s="113" t="n">
        <f aca="false">Inputs!$B$9*(1+Inputs!$B$10)^(AH$7-1)*1</f>
        <v>13.23</v>
      </c>
      <c r="AI11" s="113" t="n">
        <f aca="false">Inputs!$B$9*(1+Inputs!$B$10)^(AI$7-1)*1</f>
        <v>13.23</v>
      </c>
      <c r="AJ11" s="113" t="n">
        <f aca="false">Inputs!$B$9*(1+Inputs!$B$10)^(AJ$7-1)*1</f>
        <v>13.23</v>
      </c>
      <c r="AK11" s="113" t="n">
        <f aca="false">Inputs!$B$9*(1+Inputs!$B$10)^(AK$7-1)*1</f>
        <v>13.23</v>
      </c>
      <c r="AL11" s="113" t="n">
        <f aca="false">Inputs!$B$9*(1+Inputs!$B$10)^(AL$7-1)*1</f>
        <v>13.23</v>
      </c>
    </row>
    <row r="12" customFormat="false" ht="15" hidden="false" customHeight="false" outlineLevel="0" collapsed="false">
      <c r="A12" s="4" t="s">
        <v>374</v>
      </c>
      <c r="C12" s="114" t="n">
        <f aca="false">C10+C11</f>
        <v>27.7142857142857</v>
      </c>
      <c r="D12" s="114" t="n">
        <f aca="false">D10+D11</f>
        <v>27.7142857142857</v>
      </c>
      <c r="E12" s="114" t="n">
        <f aca="false">E10+E11</f>
        <v>27.7142857142857</v>
      </c>
      <c r="F12" s="114" t="n">
        <f aca="false">F10+F11</f>
        <v>27.7142857142857</v>
      </c>
      <c r="G12" s="114" t="n">
        <f aca="false">G10+G11</f>
        <v>27.7142857142857</v>
      </c>
      <c r="H12" s="114" t="n">
        <f aca="false">H10+H11</f>
        <v>27.7142857142857</v>
      </c>
      <c r="I12" s="114" t="n">
        <f aca="false">I10+I11</f>
        <v>27.7142857142857</v>
      </c>
      <c r="J12" s="114" t="n">
        <f aca="false">J10+J11</f>
        <v>27.7142857142857</v>
      </c>
      <c r="K12" s="114" t="n">
        <f aca="false">K10+K11</f>
        <v>27.7142857142857</v>
      </c>
      <c r="L12" s="114" t="n">
        <f aca="false">L10+L11</f>
        <v>27.7142857142857</v>
      </c>
      <c r="M12" s="114" t="n">
        <f aca="false">M10+M11</f>
        <v>27.7142857142857</v>
      </c>
      <c r="N12" s="114" t="n">
        <f aca="false">N10+N11</f>
        <v>27.7142857142857</v>
      </c>
      <c r="O12" s="114" t="n">
        <f aca="false">O10+O11</f>
        <v>28.3142857142857</v>
      </c>
      <c r="P12" s="114" t="n">
        <f aca="false">P10+P11</f>
        <v>28.3142857142857</v>
      </c>
      <c r="Q12" s="114" t="n">
        <f aca="false">Q10+Q11</f>
        <v>28.3142857142857</v>
      </c>
      <c r="R12" s="114" t="n">
        <f aca="false">R10+R11</f>
        <v>28.3142857142857</v>
      </c>
      <c r="S12" s="114" t="n">
        <f aca="false">S10+S11</f>
        <v>28.3142857142857</v>
      </c>
      <c r="T12" s="114" t="n">
        <f aca="false">T10+T11</f>
        <v>28.3142857142857</v>
      </c>
      <c r="U12" s="114" t="n">
        <f aca="false">U10+U11</f>
        <v>28.3142857142857</v>
      </c>
      <c r="V12" s="114" t="n">
        <f aca="false">V10+V11</f>
        <v>28.3142857142857</v>
      </c>
      <c r="W12" s="114" t="n">
        <f aca="false">W10+W11</f>
        <v>28.3142857142857</v>
      </c>
      <c r="X12" s="114" t="n">
        <f aca="false">X10+X11</f>
        <v>28.3142857142857</v>
      </c>
      <c r="Y12" s="114" t="n">
        <f aca="false">Y10+Y11</f>
        <v>28.3142857142857</v>
      </c>
      <c r="Z12" s="114" t="n">
        <f aca="false">Z10+Z11</f>
        <v>28.3142857142857</v>
      </c>
      <c r="AA12" s="114" t="n">
        <f aca="false">AA10+AA11</f>
        <v>28.9442857142857</v>
      </c>
      <c r="AB12" s="114" t="n">
        <f aca="false">AB10+AB11</f>
        <v>28.9442857142857</v>
      </c>
      <c r="AC12" s="114" t="n">
        <f aca="false">AC10+AC11</f>
        <v>28.9442857142857</v>
      </c>
      <c r="AD12" s="114" t="n">
        <f aca="false">AD10+AD11</f>
        <v>28.9442857142857</v>
      </c>
      <c r="AE12" s="114" t="n">
        <f aca="false">AE10+AE11</f>
        <v>28.9442857142857</v>
      </c>
      <c r="AF12" s="114" t="n">
        <f aca="false">AF10+AF11</f>
        <v>28.9442857142857</v>
      </c>
      <c r="AG12" s="114" t="n">
        <f aca="false">AG10+AG11</f>
        <v>28.9442857142857</v>
      </c>
      <c r="AH12" s="114" t="n">
        <f aca="false">AH10+AH11</f>
        <v>28.9442857142857</v>
      </c>
      <c r="AI12" s="114" t="n">
        <f aca="false">AI10+AI11</f>
        <v>28.9442857142857</v>
      </c>
      <c r="AJ12" s="114" t="n">
        <f aca="false">AJ10+AJ11</f>
        <v>28.9442857142857</v>
      </c>
      <c r="AK12" s="114" t="n">
        <f aca="false">AK10+AK11</f>
        <v>28.9442857142857</v>
      </c>
      <c r="AL12" s="114" t="n">
        <f aca="false">AL10+AL11</f>
        <v>28.9442857142857</v>
      </c>
    </row>
    <row r="13" customFormat="false" ht="15" hidden="false" customHeight="false" outlineLevel="0" collapsed="false">
      <c r="A13" s="6" t="s">
        <v>375</v>
      </c>
      <c r="C13" s="115" t="n">
        <f aca="false">Inputs!$B$7</f>
        <v>80</v>
      </c>
      <c r="D13" s="113" t="n">
        <f aca="false">C16</f>
        <v>102.114285714286</v>
      </c>
      <c r="E13" s="113" t="n">
        <f aca="false">D16</f>
        <v>122.680571428571</v>
      </c>
      <c r="F13" s="113" t="n">
        <f aca="false">E16</f>
        <v>141.807217142857</v>
      </c>
      <c r="G13" s="113" t="n">
        <f aca="false">F16</f>
        <v>159.594997657143</v>
      </c>
      <c r="H13" s="113" t="n">
        <f aca="false">G16</f>
        <v>176.137633535429</v>
      </c>
      <c r="I13" s="113" t="n">
        <f aca="false">H16</f>
        <v>191.522284902234</v>
      </c>
      <c r="J13" s="113" t="n">
        <f aca="false">I16</f>
        <v>205.830010673364</v>
      </c>
      <c r="K13" s="113" t="n">
        <f aca="false">J16</f>
        <v>219.136195640514</v>
      </c>
      <c r="L13" s="113" t="n">
        <f aca="false">K16</f>
        <v>231.510947659964</v>
      </c>
      <c r="M13" s="113" t="n">
        <f aca="false">L16</f>
        <v>243.019467038052</v>
      </c>
      <c r="N13" s="113" t="n">
        <f aca="false">M16</f>
        <v>253.722390059674</v>
      </c>
      <c r="O13" s="113" t="n">
        <f aca="false">N16</f>
        <v>263.676108469782</v>
      </c>
      <c r="P13" s="113" t="n">
        <f aca="false">O16</f>
        <v>273.533066591183</v>
      </c>
      <c r="Q13" s="113" t="n">
        <f aca="false">P16</f>
        <v>282.700037644086</v>
      </c>
      <c r="R13" s="113" t="n">
        <f aca="false">Q16</f>
        <v>291.225320723286</v>
      </c>
      <c r="S13" s="113" t="n">
        <f aca="false">R16</f>
        <v>299.153833986942</v>
      </c>
      <c r="T13" s="113" t="n">
        <f aca="false">S16</f>
        <v>306.527351322141</v>
      </c>
      <c r="U13" s="113" t="n">
        <f aca="false">T16</f>
        <v>313.384722443877</v>
      </c>
      <c r="V13" s="113" t="n">
        <f aca="false">U16</f>
        <v>319.762077587092</v>
      </c>
      <c r="W13" s="113" t="n">
        <f aca="false">V16</f>
        <v>325.693017870281</v>
      </c>
      <c r="X13" s="113" t="n">
        <f aca="false">W16</f>
        <v>331.208792333647</v>
      </c>
      <c r="Y13" s="113" t="n">
        <f aca="false">X16</f>
        <v>336.338462584577</v>
      </c>
      <c r="Z13" s="113" t="n">
        <f aca="false">Y16</f>
        <v>341.109055917943</v>
      </c>
      <c r="AA13" s="113" t="n">
        <f aca="false">Z16</f>
        <v>345.545707717972</v>
      </c>
      <c r="AB13" s="113" t="n">
        <f aca="false">AA16</f>
        <v>350.301793892</v>
      </c>
      <c r="AC13" s="113" t="n">
        <f aca="false">AB16</f>
        <v>354.724954033846</v>
      </c>
      <c r="AD13" s="113" t="n">
        <f aca="false">AC16</f>
        <v>358.838492965762</v>
      </c>
      <c r="AE13" s="113" t="n">
        <f aca="false">AD16</f>
        <v>362.664084172445</v>
      </c>
      <c r="AF13" s="113" t="n">
        <f aca="false">AE16</f>
        <v>366.221883994659</v>
      </c>
      <c r="AG13" s="113" t="n">
        <f aca="false">AF16</f>
        <v>369.530637829319</v>
      </c>
      <c r="AH13" s="113" t="n">
        <f aca="false">AG16</f>
        <v>372.607778895552</v>
      </c>
      <c r="AI13" s="113" t="n">
        <f aca="false">AH16</f>
        <v>375.469520087149</v>
      </c>
      <c r="AJ13" s="113" t="n">
        <f aca="false">AI16</f>
        <v>378.130939395334</v>
      </c>
      <c r="AK13" s="113" t="n">
        <f aca="false">AJ16</f>
        <v>380.606059351947</v>
      </c>
      <c r="AL13" s="113" t="n">
        <f aca="false">AK16</f>
        <v>382.907920911596</v>
      </c>
    </row>
    <row r="14" customFormat="false" ht="15" hidden="false" customHeight="false" outlineLevel="0" collapsed="false">
      <c r="A14" s="6" t="s">
        <v>376</v>
      </c>
      <c r="C14" s="113" t="n">
        <f aca="false">-C13*Inputs!$B$15</f>
        <v>-5.6</v>
      </c>
      <c r="D14" s="113" t="n">
        <f aca="false">-D13*Inputs!$B$15</f>
        <v>-7.148</v>
      </c>
      <c r="E14" s="113" t="n">
        <f aca="false">-E13*Inputs!$B$15</f>
        <v>-8.58764</v>
      </c>
      <c r="F14" s="113" t="n">
        <f aca="false">-F13*Inputs!$B$15</f>
        <v>-9.9265052</v>
      </c>
      <c r="G14" s="113" t="n">
        <f aca="false">-G13*Inputs!$B$15</f>
        <v>-11.171649836</v>
      </c>
      <c r="H14" s="113" t="n">
        <f aca="false">-H13*Inputs!$B$15</f>
        <v>-12.32963434748</v>
      </c>
      <c r="I14" s="113" t="n">
        <f aca="false">-I13*Inputs!$B$15</f>
        <v>-13.4065599431564</v>
      </c>
      <c r="J14" s="113" t="n">
        <f aca="false">-J13*Inputs!$B$15</f>
        <v>-14.4081007471355</v>
      </c>
      <c r="K14" s="113" t="n">
        <f aca="false">-K13*Inputs!$B$15</f>
        <v>-15.339533694836</v>
      </c>
      <c r="L14" s="113" t="n">
        <f aca="false">-L13*Inputs!$B$15</f>
        <v>-16.2057663361975</v>
      </c>
      <c r="M14" s="113" t="n">
        <f aca="false">-M13*Inputs!$B$15</f>
        <v>-17.0113626926636</v>
      </c>
      <c r="N14" s="113" t="n">
        <f aca="false">-N13*Inputs!$B$15</f>
        <v>-17.7605673041772</v>
      </c>
      <c r="O14" s="113" t="n">
        <f aca="false">-O13*Inputs!$B$15</f>
        <v>-18.4573275928848</v>
      </c>
      <c r="P14" s="113" t="n">
        <f aca="false">-P13*Inputs!$B$15</f>
        <v>-19.1473146613828</v>
      </c>
      <c r="Q14" s="113" t="n">
        <f aca="false">-Q13*Inputs!$B$15</f>
        <v>-19.789002635086</v>
      </c>
      <c r="R14" s="113" t="n">
        <f aca="false">-R13*Inputs!$B$15</f>
        <v>-20.38577245063</v>
      </c>
      <c r="S14" s="113" t="n">
        <f aca="false">-S13*Inputs!$B$15</f>
        <v>-20.9407683790859</v>
      </c>
      <c r="T14" s="113" t="n">
        <f aca="false">-T13*Inputs!$B$15</f>
        <v>-21.4569145925499</v>
      </c>
      <c r="U14" s="113" t="n">
        <f aca="false">-U13*Inputs!$B$15</f>
        <v>-21.9369305710714</v>
      </c>
      <c r="V14" s="113" t="n">
        <f aca="false">-V13*Inputs!$B$15</f>
        <v>-22.3833454310964</v>
      </c>
      <c r="W14" s="113" t="n">
        <f aca="false">-W13*Inputs!$B$15</f>
        <v>-22.7985112509197</v>
      </c>
      <c r="X14" s="113" t="n">
        <f aca="false">-X13*Inputs!$B$15</f>
        <v>-23.1846154633553</v>
      </c>
      <c r="Y14" s="113" t="n">
        <f aca="false">-Y13*Inputs!$B$15</f>
        <v>-23.5436923809204</v>
      </c>
      <c r="Z14" s="113" t="n">
        <f aca="false">-Z13*Inputs!$B$15</f>
        <v>-23.877633914256</v>
      </c>
      <c r="AA14" s="113" t="n">
        <f aca="false">-AA13*Inputs!$B$15</f>
        <v>-24.1881995402581</v>
      </c>
      <c r="AB14" s="113" t="n">
        <f aca="false">-AB13*Inputs!$B$15</f>
        <v>-24.52112557244</v>
      </c>
      <c r="AC14" s="113" t="n">
        <f aca="false">-AC13*Inputs!$B$15</f>
        <v>-24.8307467823692</v>
      </c>
      <c r="AD14" s="113" t="n">
        <f aca="false">-AD13*Inputs!$B$15</f>
        <v>-25.1186945076034</v>
      </c>
      <c r="AE14" s="113" t="n">
        <f aca="false">-AE13*Inputs!$B$15</f>
        <v>-25.3864858920711</v>
      </c>
      <c r="AF14" s="113" t="n">
        <f aca="false">-AF13*Inputs!$B$15</f>
        <v>-25.6355318796261</v>
      </c>
      <c r="AG14" s="113" t="n">
        <f aca="false">-AG13*Inputs!$B$15</f>
        <v>-25.8671446480523</v>
      </c>
      <c r="AH14" s="113" t="n">
        <f aca="false">-AH13*Inputs!$B$15</f>
        <v>-26.0825445226887</v>
      </c>
      <c r="AI14" s="113" t="n">
        <f aca="false">-AI13*Inputs!$B$15</f>
        <v>-26.2828664061004</v>
      </c>
      <c r="AJ14" s="113" t="n">
        <f aca="false">-AJ13*Inputs!$B$15</f>
        <v>-26.4691657576734</v>
      </c>
      <c r="AK14" s="113" t="n">
        <f aca="false">-AK13*Inputs!$B$15</f>
        <v>-26.6424241546363</v>
      </c>
      <c r="AL14" s="113" t="n">
        <f aca="false">-AL13*Inputs!$B$15</f>
        <v>-26.8035544638117</v>
      </c>
    </row>
    <row r="15" customFormat="false" ht="15" hidden="false" customHeight="false" outlineLevel="0" collapsed="false">
      <c r="A15" s="116" t="s">
        <v>377</v>
      </c>
      <c r="C15" s="113" t="n">
        <f aca="false">C13*(1-Inputs!$B$15)+C12</f>
        <v>102.114285714286</v>
      </c>
      <c r="D15" s="113" t="n">
        <f aca="false">D13*(1-Inputs!$B$15)+D12</f>
        <v>122.680571428571</v>
      </c>
      <c r="E15" s="113" t="n">
        <f aca="false">E13*(1-Inputs!$B$15)+E12</f>
        <v>141.807217142857</v>
      </c>
      <c r="F15" s="113" t="n">
        <f aca="false">F13*(1-Inputs!$B$15)+F12</f>
        <v>159.594997657143</v>
      </c>
      <c r="G15" s="113" t="n">
        <f aca="false">G13*(1-Inputs!$B$15)+G12</f>
        <v>176.137633535429</v>
      </c>
      <c r="H15" s="113" t="n">
        <f aca="false">H13*(1-Inputs!$B$15)+H12</f>
        <v>191.522284902234</v>
      </c>
      <c r="I15" s="113" t="n">
        <f aca="false">I13*(1-Inputs!$B$15)+I12</f>
        <v>205.830010673364</v>
      </c>
      <c r="J15" s="113" t="n">
        <f aca="false">J13*(1-Inputs!$B$15)+J12</f>
        <v>219.136195640514</v>
      </c>
      <c r="K15" s="113" t="n">
        <f aca="false">K13*(1-Inputs!$B$15)+K12</f>
        <v>231.510947659964</v>
      </c>
      <c r="L15" s="113" t="n">
        <f aca="false">L13*(1-Inputs!$B$15)+L12</f>
        <v>243.019467038052</v>
      </c>
      <c r="M15" s="113" t="n">
        <f aca="false">M13*(1-Inputs!$B$15)+M12</f>
        <v>253.722390059674</v>
      </c>
      <c r="N15" s="113" t="n">
        <f aca="false">N13*(1-Inputs!$B$15)+N12</f>
        <v>263.676108469782</v>
      </c>
      <c r="O15" s="113" t="n">
        <f aca="false">O13*(1-Inputs!$B$15)+O12</f>
        <v>273.533066591183</v>
      </c>
      <c r="P15" s="113" t="n">
        <f aca="false">P13*(1-Inputs!$B$15)+P12</f>
        <v>282.700037644086</v>
      </c>
      <c r="Q15" s="113" t="n">
        <f aca="false">Q13*(1-Inputs!$B$15)+Q12</f>
        <v>291.225320723286</v>
      </c>
      <c r="R15" s="113" t="n">
        <f aca="false">R13*(1-Inputs!$B$15)+R12</f>
        <v>299.153833986942</v>
      </c>
      <c r="S15" s="113" t="n">
        <f aca="false">S13*(1-Inputs!$B$15)+S12</f>
        <v>306.527351322141</v>
      </c>
      <c r="T15" s="113" t="n">
        <f aca="false">T13*(1-Inputs!$B$15)+T12</f>
        <v>313.384722443877</v>
      </c>
      <c r="U15" s="113" t="n">
        <f aca="false">U13*(1-Inputs!$B$15)+U12</f>
        <v>319.762077587092</v>
      </c>
      <c r="V15" s="113" t="n">
        <f aca="false">V13*(1-Inputs!$B$15)+V12</f>
        <v>325.693017870281</v>
      </c>
      <c r="W15" s="113" t="n">
        <f aca="false">W13*(1-Inputs!$B$15)+W12</f>
        <v>331.208792333647</v>
      </c>
      <c r="X15" s="113" t="n">
        <f aca="false">X13*(1-Inputs!$B$15)+X12</f>
        <v>336.338462584577</v>
      </c>
      <c r="Y15" s="113" t="n">
        <f aca="false">Y13*(1-Inputs!$B$15)+Y12</f>
        <v>341.109055917943</v>
      </c>
      <c r="Z15" s="113" t="n">
        <f aca="false">Z13*(1-Inputs!$B$15)+Z12</f>
        <v>345.545707717972</v>
      </c>
      <c r="AA15" s="113" t="n">
        <f aca="false">AA13*(1-Inputs!$B$15)+AA12</f>
        <v>350.301793892</v>
      </c>
      <c r="AB15" s="113" t="n">
        <f aca="false">AB13*(1-Inputs!$B$15)+AB12</f>
        <v>354.724954033846</v>
      </c>
      <c r="AC15" s="113" t="n">
        <f aca="false">AC13*(1-Inputs!$B$15)+AC12</f>
        <v>358.838492965762</v>
      </c>
      <c r="AD15" s="113" t="n">
        <f aca="false">AD13*(1-Inputs!$B$15)+AD12</f>
        <v>362.664084172445</v>
      </c>
      <c r="AE15" s="113" t="n">
        <f aca="false">AE13*(1-Inputs!$B$15)+AE12</f>
        <v>366.221883994659</v>
      </c>
      <c r="AF15" s="113" t="n">
        <f aca="false">AF13*(1-Inputs!$B$15)+AF12</f>
        <v>369.530637829319</v>
      </c>
      <c r="AG15" s="113" t="n">
        <f aca="false">AG13*(1-Inputs!$B$15)+AG12</f>
        <v>372.607778895552</v>
      </c>
      <c r="AH15" s="113" t="n">
        <f aca="false">AH13*(1-Inputs!$B$15)+AH12</f>
        <v>375.469520087149</v>
      </c>
      <c r="AI15" s="113" t="n">
        <f aca="false">AI13*(1-Inputs!$B$15)+AI12</f>
        <v>378.130939395334</v>
      </c>
      <c r="AJ15" s="113" t="n">
        <f aca="false">AJ13*(1-Inputs!$B$15)+AJ12</f>
        <v>380.606059351947</v>
      </c>
      <c r="AK15" s="113" t="n">
        <f aca="false">AK13*(1-Inputs!$B$15)+AK12</f>
        <v>382.907920911596</v>
      </c>
      <c r="AL15" s="113" t="n">
        <f aca="false">AL13*(1-Inputs!$B$15)+AL12</f>
        <v>385.04865216207</v>
      </c>
    </row>
    <row r="16" customFormat="false" ht="15" hidden="false" customHeight="false" outlineLevel="0" collapsed="false">
      <c r="A16" s="4" t="s">
        <v>378</v>
      </c>
      <c r="C16" s="114" t="n">
        <f aca="false">MIN(Inputs!$B$8,C15)</f>
        <v>102.114285714286</v>
      </c>
      <c r="D16" s="114" t="n">
        <f aca="false">MIN(Inputs!$B$8,D15)</f>
        <v>122.680571428571</v>
      </c>
      <c r="E16" s="114" t="n">
        <f aca="false">MIN(Inputs!$B$8,E15)</f>
        <v>141.807217142857</v>
      </c>
      <c r="F16" s="114" t="n">
        <f aca="false">MIN(Inputs!$B$8,F15)</f>
        <v>159.594997657143</v>
      </c>
      <c r="G16" s="114" t="n">
        <f aca="false">MIN(Inputs!$B$8,G15)</f>
        <v>176.137633535429</v>
      </c>
      <c r="H16" s="114" t="n">
        <f aca="false">MIN(Inputs!$B$8,H15)</f>
        <v>191.522284902234</v>
      </c>
      <c r="I16" s="114" t="n">
        <f aca="false">MIN(Inputs!$B$8,I15)</f>
        <v>205.830010673364</v>
      </c>
      <c r="J16" s="114" t="n">
        <f aca="false">MIN(Inputs!$B$8,J15)</f>
        <v>219.136195640514</v>
      </c>
      <c r="K16" s="114" t="n">
        <f aca="false">MIN(Inputs!$B$8,K15)</f>
        <v>231.510947659964</v>
      </c>
      <c r="L16" s="114" t="n">
        <f aca="false">MIN(Inputs!$B$8,L15)</f>
        <v>243.019467038052</v>
      </c>
      <c r="M16" s="114" t="n">
        <f aca="false">MIN(Inputs!$B$8,M15)</f>
        <v>253.722390059674</v>
      </c>
      <c r="N16" s="114" t="n">
        <f aca="false">MIN(Inputs!$B$8,N15)</f>
        <v>263.676108469782</v>
      </c>
      <c r="O16" s="114" t="n">
        <f aca="false">MIN(Inputs!$B$8,O15)</f>
        <v>273.533066591183</v>
      </c>
      <c r="P16" s="114" t="n">
        <f aca="false">MIN(Inputs!$B$8,P15)</f>
        <v>282.700037644086</v>
      </c>
      <c r="Q16" s="114" t="n">
        <f aca="false">MIN(Inputs!$B$8,Q15)</f>
        <v>291.225320723286</v>
      </c>
      <c r="R16" s="114" t="n">
        <f aca="false">MIN(Inputs!$B$8,R15)</f>
        <v>299.153833986942</v>
      </c>
      <c r="S16" s="114" t="n">
        <f aca="false">MIN(Inputs!$B$8,S15)</f>
        <v>306.527351322141</v>
      </c>
      <c r="T16" s="114" t="n">
        <f aca="false">MIN(Inputs!$B$8,T15)</f>
        <v>313.384722443877</v>
      </c>
      <c r="U16" s="114" t="n">
        <f aca="false">MIN(Inputs!$B$8,U15)</f>
        <v>319.762077587092</v>
      </c>
      <c r="V16" s="114" t="n">
        <f aca="false">MIN(Inputs!$B$8,V15)</f>
        <v>325.693017870281</v>
      </c>
      <c r="W16" s="114" t="n">
        <f aca="false">MIN(Inputs!$B$8,W15)</f>
        <v>331.208792333647</v>
      </c>
      <c r="X16" s="114" t="n">
        <f aca="false">MIN(Inputs!$B$8,X15)</f>
        <v>336.338462584577</v>
      </c>
      <c r="Y16" s="114" t="n">
        <f aca="false">MIN(Inputs!$B$8,Y15)</f>
        <v>341.109055917943</v>
      </c>
      <c r="Z16" s="114" t="n">
        <f aca="false">MIN(Inputs!$B$8,Z15)</f>
        <v>345.545707717972</v>
      </c>
      <c r="AA16" s="114" t="n">
        <f aca="false">MIN(Inputs!$B$8,AA15)</f>
        <v>350.301793892</v>
      </c>
      <c r="AB16" s="114" t="n">
        <f aca="false">MIN(Inputs!$B$8,AB15)</f>
        <v>354.724954033846</v>
      </c>
      <c r="AC16" s="114" t="n">
        <f aca="false">MIN(Inputs!$B$8,AC15)</f>
        <v>358.838492965762</v>
      </c>
      <c r="AD16" s="114" t="n">
        <f aca="false">MIN(Inputs!$B$8,AD15)</f>
        <v>362.664084172445</v>
      </c>
      <c r="AE16" s="114" t="n">
        <f aca="false">MIN(Inputs!$B$8,AE15)</f>
        <v>366.221883994659</v>
      </c>
      <c r="AF16" s="114" t="n">
        <f aca="false">MIN(Inputs!$B$8,AF15)</f>
        <v>369.530637829319</v>
      </c>
      <c r="AG16" s="114" t="n">
        <f aca="false">MIN(Inputs!$B$8,AG15)</f>
        <v>372.607778895552</v>
      </c>
      <c r="AH16" s="114" t="n">
        <f aca="false">MIN(Inputs!$B$8,AH15)</f>
        <v>375.469520087149</v>
      </c>
      <c r="AI16" s="114" t="n">
        <f aca="false">MIN(Inputs!$B$8,AI15)</f>
        <v>378.130939395334</v>
      </c>
      <c r="AJ16" s="114" t="n">
        <f aca="false">MIN(Inputs!$B$8,AJ15)</f>
        <v>380.606059351947</v>
      </c>
      <c r="AK16" s="114" t="n">
        <f aca="false">MIN(Inputs!$B$8,AK15)</f>
        <v>382.907920911596</v>
      </c>
      <c r="AL16" s="114" t="n">
        <f aca="false">MIN(Inputs!$B$8,AL15)</f>
        <v>385.04865216207</v>
      </c>
    </row>
    <row r="17" customFormat="false" ht="15" hidden="false" customHeight="false" outlineLevel="0" collapsed="false">
      <c r="A17" s="6" t="s">
        <v>232</v>
      </c>
      <c r="C17" s="113" t="n">
        <f aca="false">C15-C16</f>
        <v>0</v>
      </c>
      <c r="D17" s="113" t="n">
        <f aca="false">D15-D16</f>
        <v>0</v>
      </c>
      <c r="E17" s="113" t="n">
        <f aca="false">E15-E16</f>
        <v>0</v>
      </c>
      <c r="F17" s="113" t="n">
        <f aca="false">F15-F16</f>
        <v>0</v>
      </c>
      <c r="G17" s="113" t="n">
        <f aca="false">G15-G16</f>
        <v>0</v>
      </c>
      <c r="H17" s="113" t="n">
        <f aca="false">H15-H16</f>
        <v>0</v>
      </c>
      <c r="I17" s="113" t="n">
        <f aca="false">I15-I16</f>
        <v>0</v>
      </c>
      <c r="J17" s="113" t="n">
        <f aca="false">J15-J16</f>
        <v>0</v>
      </c>
      <c r="K17" s="113" t="n">
        <f aca="false">K15-K16</f>
        <v>0</v>
      </c>
      <c r="L17" s="113" t="n">
        <f aca="false">L15-L16</f>
        <v>0</v>
      </c>
      <c r="M17" s="113" t="n">
        <f aca="false">M15-M16</f>
        <v>0</v>
      </c>
      <c r="N17" s="113" t="n">
        <f aca="false">N15-N16</f>
        <v>0</v>
      </c>
      <c r="O17" s="113" t="n">
        <f aca="false">O15-O16</f>
        <v>0</v>
      </c>
      <c r="P17" s="113" t="n">
        <f aca="false">P15-P16</f>
        <v>0</v>
      </c>
      <c r="Q17" s="113" t="n">
        <f aca="false">Q15-Q16</f>
        <v>0</v>
      </c>
      <c r="R17" s="113" t="n">
        <f aca="false">R15-R16</f>
        <v>0</v>
      </c>
      <c r="S17" s="113" t="n">
        <f aca="false">S15-S16</f>
        <v>0</v>
      </c>
      <c r="T17" s="113" t="n">
        <f aca="false">T15-T16</f>
        <v>0</v>
      </c>
      <c r="U17" s="113" t="n">
        <f aca="false">U15-U16</f>
        <v>0</v>
      </c>
      <c r="V17" s="113" t="n">
        <f aca="false">V15-V16</f>
        <v>0</v>
      </c>
      <c r="W17" s="113" t="n">
        <f aca="false">W15-W16</f>
        <v>0</v>
      </c>
      <c r="X17" s="113" t="n">
        <f aca="false">X15-X16</f>
        <v>0</v>
      </c>
      <c r="Y17" s="113" t="n">
        <f aca="false">Y15-Y16</f>
        <v>0</v>
      </c>
      <c r="Z17" s="113" t="n">
        <f aca="false">Z15-Z16</f>
        <v>0</v>
      </c>
      <c r="AA17" s="113" t="n">
        <f aca="false">AA15-AA16</f>
        <v>0</v>
      </c>
      <c r="AB17" s="113" t="n">
        <f aca="false">AB15-AB16</f>
        <v>0</v>
      </c>
      <c r="AC17" s="113" t="n">
        <f aca="false">AC15-AC16</f>
        <v>0</v>
      </c>
      <c r="AD17" s="113" t="n">
        <f aca="false">AD15-AD16</f>
        <v>0</v>
      </c>
      <c r="AE17" s="113" t="n">
        <f aca="false">AE15-AE16</f>
        <v>0</v>
      </c>
      <c r="AF17" s="113" t="n">
        <f aca="false">AF15-AF16</f>
        <v>0</v>
      </c>
      <c r="AG17" s="113" t="n">
        <f aca="false">AG15-AG16</f>
        <v>0</v>
      </c>
      <c r="AH17" s="113" t="n">
        <f aca="false">AH15-AH16</f>
        <v>0</v>
      </c>
      <c r="AI17" s="113" t="n">
        <f aca="false">AI15-AI16</f>
        <v>0</v>
      </c>
      <c r="AJ17" s="113" t="n">
        <f aca="false">AJ15-AJ16</f>
        <v>0</v>
      </c>
      <c r="AK17" s="113" t="n">
        <f aca="false">AK15-AK16</f>
        <v>0</v>
      </c>
      <c r="AL17" s="113" t="n">
        <f aca="false">AL15-AL16</f>
        <v>0</v>
      </c>
    </row>
    <row r="18" customFormat="false" ht="15" hidden="false" customHeight="false" outlineLevel="0" collapsed="false">
      <c r="A18" s="6" t="s">
        <v>379</v>
      </c>
      <c r="C18" s="113" t="n">
        <f aca="false">(C13+C16)/2</f>
        <v>91.0571428571429</v>
      </c>
      <c r="D18" s="113" t="n">
        <f aca="false">(D13+D16)/2</f>
        <v>112.397428571429</v>
      </c>
      <c r="E18" s="113" t="n">
        <f aca="false">(E13+E16)/2</f>
        <v>132.243894285714</v>
      </c>
      <c r="F18" s="113" t="n">
        <f aca="false">(F13+F16)/2</f>
        <v>150.7011074</v>
      </c>
      <c r="G18" s="113" t="n">
        <f aca="false">(G13+G16)/2</f>
        <v>167.866315596286</v>
      </c>
      <c r="H18" s="113" t="n">
        <f aca="false">(H13+H16)/2</f>
        <v>183.829959218831</v>
      </c>
      <c r="I18" s="113" t="n">
        <f aca="false">(I13+I16)/2</f>
        <v>198.676147787799</v>
      </c>
      <c r="J18" s="113" t="n">
        <f aca="false">(J13+J16)/2</f>
        <v>212.483103156939</v>
      </c>
      <c r="K18" s="113" t="n">
        <f aca="false">(K13+K16)/2</f>
        <v>225.323571650239</v>
      </c>
      <c r="L18" s="113" t="n">
        <f aca="false">(L13+L16)/2</f>
        <v>237.265207349008</v>
      </c>
      <c r="M18" s="113" t="n">
        <f aca="false">(M13+M16)/2</f>
        <v>248.370928548863</v>
      </c>
      <c r="N18" s="113" t="n">
        <f aca="false">(N13+N16)/2</f>
        <v>258.699249264728</v>
      </c>
      <c r="O18" s="113" t="n">
        <f aca="false">(O13+O16)/2</f>
        <v>268.604587530483</v>
      </c>
      <c r="P18" s="113" t="n">
        <f aca="false">(P13+P16)/2</f>
        <v>278.116552117635</v>
      </c>
      <c r="Q18" s="113" t="n">
        <f aca="false">(Q13+Q16)/2</f>
        <v>286.962679183686</v>
      </c>
      <c r="R18" s="113" t="n">
        <f aca="false">(R13+R16)/2</f>
        <v>295.189577355114</v>
      </c>
      <c r="S18" s="113" t="n">
        <f aca="false">(S13+S16)/2</f>
        <v>302.840592654541</v>
      </c>
      <c r="T18" s="113" t="n">
        <f aca="false">(T13+T16)/2</f>
        <v>309.956036883009</v>
      </c>
      <c r="U18" s="113" t="n">
        <f aca="false">(U13+U16)/2</f>
        <v>316.573400015484</v>
      </c>
      <c r="V18" s="113" t="n">
        <f aca="false">(V13+V16)/2</f>
        <v>322.727547728686</v>
      </c>
      <c r="W18" s="113" t="n">
        <f aca="false">(W13+W16)/2</f>
        <v>328.450905101964</v>
      </c>
      <c r="X18" s="113" t="n">
        <f aca="false">(X13+X16)/2</f>
        <v>333.773627459112</v>
      </c>
      <c r="Y18" s="113" t="n">
        <f aca="false">(Y13+Y16)/2</f>
        <v>338.72375925126</v>
      </c>
      <c r="Z18" s="113" t="n">
        <f aca="false">(Z13+Z16)/2</f>
        <v>343.327381817957</v>
      </c>
      <c r="AA18" s="113" t="n">
        <f aca="false">(AA13+AA16)/2</f>
        <v>347.923750804986</v>
      </c>
      <c r="AB18" s="113" t="n">
        <f aca="false">(AB13+AB16)/2</f>
        <v>352.513373962923</v>
      </c>
      <c r="AC18" s="113" t="n">
        <f aca="false">(AC13+AC16)/2</f>
        <v>356.781723499804</v>
      </c>
      <c r="AD18" s="113" t="n">
        <f aca="false">(AD13+AD16)/2</f>
        <v>360.751288569103</v>
      </c>
      <c r="AE18" s="113" t="n">
        <f aca="false">(AE13+AE16)/2</f>
        <v>364.442984083552</v>
      </c>
      <c r="AF18" s="113" t="n">
        <f aca="false">(AF13+AF16)/2</f>
        <v>367.876260911989</v>
      </c>
      <c r="AG18" s="113" t="n">
        <f aca="false">(AG13+AG16)/2</f>
        <v>371.069208362435</v>
      </c>
      <c r="AH18" s="113" t="n">
        <f aca="false">(AH13+AH16)/2</f>
        <v>374.038649491351</v>
      </c>
      <c r="AI18" s="113" t="n">
        <f aca="false">(AI13+AI16)/2</f>
        <v>376.800229741242</v>
      </c>
      <c r="AJ18" s="113" t="n">
        <f aca="false">(AJ13+AJ16)/2</f>
        <v>379.368499373641</v>
      </c>
      <c r="AK18" s="113" t="n">
        <f aca="false">(AK13+AK16)/2</f>
        <v>381.756990131771</v>
      </c>
      <c r="AL18" s="113" t="n">
        <f aca="false">(AL13+AL16)/2</f>
        <v>383.978286536833</v>
      </c>
    </row>
    <row r="20" customFormat="false" ht="15.75" hidden="false" customHeight="true" outlineLevel="0" collapsed="false">
      <c r="A20" s="7" t="s">
        <v>44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customFormat="false" ht="15" hidden="false" customHeight="false" outlineLevel="0" collapsed="false">
      <c r="A21" s="6" t="s">
        <v>380</v>
      </c>
      <c r="C21" s="117" t="n">
        <f aca="false">Inputs!$B$18*(1+Inputs!$B$19)^(C$7-1)</f>
        <v>89</v>
      </c>
      <c r="D21" s="117" t="n">
        <f aca="false">Inputs!$B$18*(1+Inputs!$B$19)^(D$7-1)</f>
        <v>89</v>
      </c>
      <c r="E21" s="117" t="n">
        <f aca="false">Inputs!$B$18*(1+Inputs!$B$19)^(E$7-1)</f>
        <v>89</v>
      </c>
      <c r="F21" s="117" t="n">
        <f aca="false">Inputs!$B$18*(1+Inputs!$B$19)^(F$7-1)</f>
        <v>89</v>
      </c>
      <c r="G21" s="117" t="n">
        <f aca="false">Inputs!$B$18*(1+Inputs!$B$19)^(G$7-1)</f>
        <v>89</v>
      </c>
      <c r="H21" s="117" t="n">
        <f aca="false">Inputs!$B$18*(1+Inputs!$B$19)^(H$7-1)</f>
        <v>89</v>
      </c>
      <c r="I21" s="117" t="n">
        <f aca="false">Inputs!$B$18*(1+Inputs!$B$19)^(I$7-1)</f>
        <v>89</v>
      </c>
      <c r="J21" s="117" t="n">
        <f aca="false">Inputs!$B$18*(1+Inputs!$B$19)^(J$7-1)</f>
        <v>89</v>
      </c>
      <c r="K21" s="117" t="n">
        <f aca="false">Inputs!$B$18*(1+Inputs!$B$19)^(K$7-1)</f>
        <v>89</v>
      </c>
      <c r="L21" s="117" t="n">
        <f aca="false">Inputs!$B$18*(1+Inputs!$B$19)^(L$7-1)</f>
        <v>89</v>
      </c>
      <c r="M21" s="117" t="n">
        <f aca="false">Inputs!$B$18*(1+Inputs!$B$19)^(M$7-1)</f>
        <v>89</v>
      </c>
      <c r="N21" s="117" t="n">
        <f aca="false">Inputs!$B$18*(1+Inputs!$B$19)^(N$7-1)</f>
        <v>89</v>
      </c>
      <c r="O21" s="117" t="n">
        <f aca="false">Inputs!$B$18*(1+Inputs!$B$19)^(O$7-1)</f>
        <v>90.78</v>
      </c>
      <c r="P21" s="117" t="n">
        <f aca="false">Inputs!$B$18*(1+Inputs!$B$19)^(P$7-1)</f>
        <v>90.78</v>
      </c>
      <c r="Q21" s="117" t="n">
        <f aca="false">Inputs!$B$18*(1+Inputs!$B$19)^(Q$7-1)</f>
        <v>90.78</v>
      </c>
      <c r="R21" s="117" t="n">
        <f aca="false">Inputs!$B$18*(1+Inputs!$B$19)^(R$7-1)</f>
        <v>90.78</v>
      </c>
      <c r="S21" s="117" t="n">
        <f aca="false">Inputs!$B$18*(1+Inputs!$B$19)^(S$7-1)</f>
        <v>90.78</v>
      </c>
      <c r="T21" s="117" t="n">
        <f aca="false">Inputs!$B$18*(1+Inputs!$B$19)^(T$7-1)</f>
        <v>90.78</v>
      </c>
      <c r="U21" s="117" t="n">
        <f aca="false">Inputs!$B$18*(1+Inputs!$B$19)^(U$7-1)</f>
        <v>90.78</v>
      </c>
      <c r="V21" s="117" t="n">
        <f aca="false">Inputs!$B$18*(1+Inputs!$B$19)^(V$7-1)</f>
        <v>90.78</v>
      </c>
      <c r="W21" s="117" t="n">
        <f aca="false">Inputs!$B$18*(1+Inputs!$B$19)^(W$7-1)</f>
        <v>90.78</v>
      </c>
      <c r="X21" s="117" t="n">
        <f aca="false">Inputs!$B$18*(1+Inputs!$B$19)^(X$7-1)</f>
        <v>90.78</v>
      </c>
      <c r="Y21" s="117" t="n">
        <f aca="false">Inputs!$B$18*(1+Inputs!$B$19)^(Y$7-1)</f>
        <v>90.78</v>
      </c>
      <c r="Z21" s="117" t="n">
        <f aca="false">Inputs!$B$18*(1+Inputs!$B$19)^(Z$7-1)</f>
        <v>90.78</v>
      </c>
      <c r="AA21" s="117" t="n">
        <f aca="false">Inputs!$B$18*(1+Inputs!$B$19)^(AA$7-1)</f>
        <v>92.5956</v>
      </c>
      <c r="AB21" s="117" t="n">
        <f aca="false">Inputs!$B$18*(1+Inputs!$B$19)^(AB$7-1)</f>
        <v>92.5956</v>
      </c>
      <c r="AC21" s="117" t="n">
        <f aca="false">Inputs!$B$18*(1+Inputs!$B$19)^(AC$7-1)</f>
        <v>92.5956</v>
      </c>
      <c r="AD21" s="117" t="n">
        <f aca="false">Inputs!$B$18*(1+Inputs!$B$19)^(AD$7-1)</f>
        <v>92.5956</v>
      </c>
      <c r="AE21" s="117" t="n">
        <f aca="false">Inputs!$B$18*(1+Inputs!$B$19)^(AE$7-1)</f>
        <v>92.5956</v>
      </c>
      <c r="AF21" s="117" t="n">
        <f aca="false">Inputs!$B$18*(1+Inputs!$B$19)^(AF$7-1)</f>
        <v>92.5956</v>
      </c>
      <c r="AG21" s="117" t="n">
        <f aca="false">Inputs!$B$18*(1+Inputs!$B$19)^(AG$7-1)</f>
        <v>92.5956</v>
      </c>
      <c r="AH21" s="117" t="n">
        <f aca="false">Inputs!$B$18*(1+Inputs!$B$19)^(AH$7-1)</f>
        <v>92.5956</v>
      </c>
      <c r="AI21" s="117" t="n">
        <f aca="false">Inputs!$B$18*(1+Inputs!$B$19)^(AI$7-1)</f>
        <v>92.5956</v>
      </c>
      <c r="AJ21" s="117" t="n">
        <f aca="false">Inputs!$B$18*(1+Inputs!$B$19)^(AJ$7-1)</f>
        <v>92.5956</v>
      </c>
      <c r="AK21" s="117" t="n">
        <f aca="false">Inputs!$B$18*(1+Inputs!$B$19)^(AK$7-1)</f>
        <v>92.5956</v>
      </c>
      <c r="AL21" s="117" t="n">
        <f aca="false">Inputs!$B$18*(1+Inputs!$B$19)^(AL$7-1)</f>
        <v>92.5956</v>
      </c>
    </row>
    <row r="22" customFormat="false" ht="15" hidden="false" customHeight="false" outlineLevel="0" collapsed="false">
      <c r="A22" s="6" t="s">
        <v>236</v>
      </c>
      <c r="C22" s="66" t="n">
        <f aca="false">C18*C21*1</f>
        <v>8104.08571428571</v>
      </c>
      <c r="D22" s="66" t="n">
        <f aca="false">D18*D21*1</f>
        <v>10003.3711428571</v>
      </c>
      <c r="E22" s="66" t="n">
        <f aca="false">E18*E21*1</f>
        <v>11769.7065914286</v>
      </c>
      <c r="F22" s="66" t="n">
        <f aca="false">F18*F21*1</f>
        <v>13412.3985586</v>
      </c>
      <c r="G22" s="66" t="n">
        <f aca="false">G18*G21*1</f>
        <v>14940.1020880694</v>
      </c>
      <c r="H22" s="66" t="n">
        <f aca="false">H18*H21*1</f>
        <v>16360.866370476</v>
      </c>
      <c r="I22" s="66" t="n">
        <f aca="false">I18*I21*1</f>
        <v>17682.1771531141</v>
      </c>
      <c r="J22" s="66" t="n">
        <f aca="false">J18*J21*1</f>
        <v>18910.9961809675</v>
      </c>
      <c r="K22" s="66" t="n">
        <f aca="false">K18*K21*1</f>
        <v>20053.7978768712</v>
      </c>
      <c r="L22" s="66" t="n">
        <f aca="false">L18*L21*1</f>
        <v>21116.6034540617</v>
      </c>
      <c r="M22" s="66" t="n">
        <f aca="false">M18*M21*1</f>
        <v>22105.0126408488</v>
      </c>
      <c r="N22" s="66" t="n">
        <f aca="false">N18*N21*1</f>
        <v>23024.2331845608</v>
      </c>
      <c r="O22" s="66" t="n">
        <f aca="false">O18*O21*1</f>
        <v>24383.9244560172</v>
      </c>
      <c r="P22" s="66" t="n">
        <f aca="false">P18*P21*1</f>
        <v>25247.4206012389</v>
      </c>
      <c r="Q22" s="66" t="n">
        <f aca="false">Q18*Q21*1</f>
        <v>26050.472016295</v>
      </c>
      <c r="R22" s="66" t="n">
        <f aca="false">R18*R21*1</f>
        <v>26797.3098322972</v>
      </c>
      <c r="S22" s="66" t="n">
        <f aca="false">S18*S21*1</f>
        <v>27491.8690011793</v>
      </c>
      <c r="T22" s="66" t="n">
        <f aca="false">T18*T21*1</f>
        <v>28137.8090282396</v>
      </c>
      <c r="U22" s="66" t="n">
        <f aca="false">U18*U21*1</f>
        <v>28738.5332534057</v>
      </c>
      <c r="V22" s="66" t="n">
        <f aca="false">V18*V21*1</f>
        <v>29297.2067828101</v>
      </c>
      <c r="W22" s="66" t="n">
        <f aca="false">W18*W21*1</f>
        <v>29816.7731651563</v>
      </c>
      <c r="X22" s="66" t="n">
        <f aca="false">X18*X21*1</f>
        <v>30299.9699007382</v>
      </c>
      <c r="Y22" s="66" t="n">
        <f aca="false">Y18*Y21*1</f>
        <v>30749.3428648294</v>
      </c>
      <c r="Z22" s="66" t="n">
        <f aca="false">Z18*Z21*1</f>
        <v>31167.2597214342</v>
      </c>
      <c r="AA22" s="66" t="n">
        <f aca="false">AA18*AA21*1</f>
        <v>32216.2084600382</v>
      </c>
      <c r="AB22" s="66" t="n">
        <f aca="false">AB18*AB21*1</f>
        <v>32641.1873701212</v>
      </c>
      <c r="AC22" s="66" t="n">
        <f aca="false">AC18*AC21*1</f>
        <v>33036.4177564984</v>
      </c>
      <c r="AD22" s="66" t="n">
        <f aca="false">AD18*AD21*1</f>
        <v>33403.9820158293</v>
      </c>
      <c r="AE22" s="66" t="n">
        <f aca="false">AE18*AE21*1</f>
        <v>33745.8167770069</v>
      </c>
      <c r="AF22" s="66" t="n">
        <f aca="false">AF18*AF21*1</f>
        <v>34063.7231049022</v>
      </c>
      <c r="AG22" s="66" t="n">
        <f aca="false">AG18*AG21*1</f>
        <v>34359.3759898447</v>
      </c>
      <c r="AH22" s="66" t="n">
        <f aca="false">AH18*AH21*1</f>
        <v>34634.3331728413</v>
      </c>
      <c r="AI22" s="66" t="n">
        <f aca="false">AI18*AI21*1</f>
        <v>34890.0433530281</v>
      </c>
      <c r="AJ22" s="66" t="n">
        <f aca="false">AJ18*AJ21*1</f>
        <v>35127.8538206019</v>
      </c>
      <c r="AK22" s="66" t="n">
        <f aca="false">AK18*AK21*1</f>
        <v>35349.0175554455</v>
      </c>
      <c r="AL22" s="66" t="n">
        <f aca="false">AL18*AL21*1</f>
        <v>35554.69982885</v>
      </c>
    </row>
    <row r="23" customFormat="false" ht="15" hidden="false" customHeight="false" outlineLevel="0" collapsed="false">
      <c r="A23" s="6" t="s">
        <v>381</v>
      </c>
      <c r="C23" s="66" t="n">
        <f aca="false">(C12-C17)*Inputs!$B$20*(1+Inputs!$B$19)^(C$7-1)</f>
        <v>1358</v>
      </c>
      <c r="D23" s="66" t="n">
        <f aca="false">(D12-D17)*Inputs!$B$20*(1+Inputs!$B$19)^(D$7-1)</f>
        <v>1358</v>
      </c>
      <c r="E23" s="66" t="n">
        <f aca="false">(E12-E17)*Inputs!$B$20*(1+Inputs!$B$19)^(E$7-1)</f>
        <v>1358</v>
      </c>
      <c r="F23" s="66" t="n">
        <f aca="false">(F12-F17)*Inputs!$B$20*(1+Inputs!$B$19)^(F$7-1)</f>
        <v>1358</v>
      </c>
      <c r="G23" s="66" t="n">
        <f aca="false">(G12-G17)*Inputs!$B$20*(1+Inputs!$B$19)^(G$7-1)</f>
        <v>1358</v>
      </c>
      <c r="H23" s="66" t="n">
        <f aca="false">(H12-H17)*Inputs!$B$20*(1+Inputs!$B$19)^(H$7-1)</f>
        <v>1358</v>
      </c>
      <c r="I23" s="66" t="n">
        <f aca="false">(I12-I17)*Inputs!$B$20*(1+Inputs!$B$19)^(I$7-1)</f>
        <v>1358</v>
      </c>
      <c r="J23" s="66" t="n">
        <f aca="false">(J12-J17)*Inputs!$B$20*(1+Inputs!$B$19)^(J$7-1)</f>
        <v>1358</v>
      </c>
      <c r="K23" s="66" t="n">
        <f aca="false">(K12-K17)*Inputs!$B$20*(1+Inputs!$B$19)^(K$7-1)</f>
        <v>1358</v>
      </c>
      <c r="L23" s="66" t="n">
        <f aca="false">(L12-L17)*Inputs!$B$20*(1+Inputs!$B$19)^(L$7-1)</f>
        <v>1358</v>
      </c>
      <c r="M23" s="66" t="n">
        <f aca="false">(M12-M17)*Inputs!$B$20*(1+Inputs!$B$19)^(M$7-1)</f>
        <v>1358</v>
      </c>
      <c r="N23" s="66" t="n">
        <f aca="false">(N12-N17)*Inputs!$B$20*(1+Inputs!$B$19)^(N$7-1)</f>
        <v>1358</v>
      </c>
      <c r="O23" s="66" t="n">
        <f aca="false">(O12-O17)*Inputs!$B$20*(1+Inputs!$B$19)^(O$7-1)</f>
        <v>1415.148</v>
      </c>
      <c r="P23" s="66" t="n">
        <f aca="false">(P12-P17)*Inputs!$B$20*(1+Inputs!$B$19)^(P$7-1)</f>
        <v>1415.148</v>
      </c>
      <c r="Q23" s="66" t="n">
        <f aca="false">(Q12-Q17)*Inputs!$B$20*(1+Inputs!$B$19)^(Q$7-1)</f>
        <v>1415.148</v>
      </c>
      <c r="R23" s="66" t="n">
        <f aca="false">(R12-R17)*Inputs!$B$20*(1+Inputs!$B$19)^(R$7-1)</f>
        <v>1415.148</v>
      </c>
      <c r="S23" s="66" t="n">
        <f aca="false">(S12-S17)*Inputs!$B$20*(1+Inputs!$B$19)^(S$7-1)</f>
        <v>1415.148</v>
      </c>
      <c r="T23" s="66" t="n">
        <f aca="false">(T12-T17)*Inputs!$B$20*(1+Inputs!$B$19)^(T$7-1)</f>
        <v>1415.148</v>
      </c>
      <c r="U23" s="66" t="n">
        <f aca="false">(U12-U17)*Inputs!$B$20*(1+Inputs!$B$19)^(U$7-1)</f>
        <v>1415.148</v>
      </c>
      <c r="V23" s="66" t="n">
        <f aca="false">(V12-V17)*Inputs!$B$20*(1+Inputs!$B$19)^(V$7-1)</f>
        <v>1415.148</v>
      </c>
      <c r="W23" s="66" t="n">
        <f aca="false">(W12-W17)*Inputs!$B$20*(1+Inputs!$B$19)^(W$7-1)</f>
        <v>1415.148</v>
      </c>
      <c r="X23" s="66" t="n">
        <f aca="false">(X12-X17)*Inputs!$B$20*(1+Inputs!$B$19)^(X$7-1)</f>
        <v>1415.148</v>
      </c>
      <c r="Y23" s="66" t="n">
        <f aca="false">(Y12-Y17)*Inputs!$B$20*(1+Inputs!$B$19)^(Y$7-1)</f>
        <v>1415.148</v>
      </c>
      <c r="Z23" s="66" t="n">
        <f aca="false">(Z12-Z17)*Inputs!$B$20*(1+Inputs!$B$19)^(Z$7-1)</f>
        <v>1415.148</v>
      </c>
      <c r="AA23" s="66" t="n">
        <f aca="false">(AA12-AA17)*Inputs!$B$20*(1+Inputs!$B$19)^(AA$7-1)</f>
        <v>1475.568108</v>
      </c>
      <c r="AB23" s="66" t="n">
        <f aca="false">(AB12-AB17)*Inputs!$B$20*(1+Inputs!$B$19)^(AB$7-1)</f>
        <v>1475.568108</v>
      </c>
      <c r="AC23" s="66" t="n">
        <f aca="false">(AC12-AC17)*Inputs!$B$20*(1+Inputs!$B$19)^(AC$7-1)</f>
        <v>1475.568108</v>
      </c>
      <c r="AD23" s="66" t="n">
        <f aca="false">(AD12-AD17)*Inputs!$B$20*(1+Inputs!$B$19)^(AD$7-1)</f>
        <v>1475.568108</v>
      </c>
      <c r="AE23" s="66" t="n">
        <f aca="false">(AE12-AE17)*Inputs!$B$20*(1+Inputs!$B$19)^(AE$7-1)</f>
        <v>1475.568108</v>
      </c>
      <c r="AF23" s="66" t="n">
        <f aca="false">(AF12-AF17)*Inputs!$B$20*(1+Inputs!$B$19)^(AF$7-1)</f>
        <v>1475.568108</v>
      </c>
      <c r="AG23" s="66" t="n">
        <f aca="false">(AG12-AG17)*Inputs!$B$20*(1+Inputs!$B$19)^(AG$7-1)</f>
        <v>1475.568108</v>
      </c>
      <c r="AH23" s="66" t="n">
        <f aca="false">(AH12-AH17)*Inputs!$B$20*(1+Inputs!$B$19)^(AH$7-1)</f>
        <v>1475.568108</v>
      </c>
      <c r="AI23" s="66" t="n">
        <f aca="false">(AI12-AI17)*Inputs!$B$20*(1+Inputs!$B$19)^(AI$7-1)</f>
        <v>1475.568108</v>
      </c>
      <c r="AJ23" s="66" t="n">
        <f aca="false">(AJ12-AJ17)*Inputs!$B$20*(1+Inputs!$B$19)^(AJ$7-1)</f>
        <v>1475.568108</v>
      </c>
      <c r="AK23" s="66" t="n">
        <f aca="false">(AK12-AK17)*Inputs!$B$20*(1+Inputs!$B$19)^(AK$7-1)</f>
        <v>1475.568108</v>
      </c>
      <c r="AL23" s="66" t="n">
        <f aca="false">(AL12-AL17)*Inputs!$B$20*(1+Inputs!$B$19)^(AL$7-1)</f>
        <v>1475.568108</v>
      </c>
    </row>
    <row r="24" customFormat="false" ht="15" hidden="false" customHeight="false" outlineLevel="0" collapsed="false">
      <c r="A24" s="6" t="s">
        <v>382</v>
      </c>
      <c r="C24" s="66" t="n">
        <f aca="false">C18*Inputs!$B$23*Inputs!$B$24*Inputs!$B$25*(1+Inputs!$B$19)^(C$7-1)*1</f>
        <v>1402.28</v>
      </c>
      <c r="D24" s="66" t="n">
        <f aca="false">D18*Inputs!$B$23*Inputs!$B$24*Inputs!$B$25*(1+Inputs!$B$19)^(D$7-1)*1</f>
        <v>1730.9204</v>
      </c>
      <c r="E24" s="66" t="n">
        <f aca="false">E18*Inputs!$B$23*Inputs!$B$24*Inputs!$B$25*(1+Inputs!$B$19)^(E$7-1)*1</f>
        <v>2036.555972</v>
      </c>
      <c r="F24" s="66" t="n">
        <f aca="false">F18*Inputs!$B$23*Inputs!$B$24*Inputs!$B$25*(1+Inputs!$B$19)^(F$7-1)*1</f>
        <v>2320.79705396</v>
      </c>
      <c r="G24" s="66" t="n">
        <f aca="false">G18*Inputs!$B$23*Inputs!$B$24*Inputs!$B$25*(1+Inputs!$B$19)^(G$7-1)*1</f>
        <v>2585.1412601828</v>
      </c>
      <c r="H24" s="66" t="n">
        <f aca="false">H18*Inputs!$B$23*Inputs!$B$24*Inputs!$B$25*(1+Inputs!$B$19)^(H$7-1)*1</f>
        <v>2830.98137197</v>
      </c>
      <c r="I24" s="66" t="n">
        <f aca="false">I18*Inputs!$B$23*Inputs!$B$24*Inputs!$B$25*(1+Inputs!$B$19)^(I$7-1)*1</f>
        <v>3059.6126759321</v>
      </c>
      <c r="J24" s="66" t="n">
        <f aca="false">J18*Inputs!$B$23*Inputs!$B$24*Inputs!$B$25*(1+Inputs!$B$19)^(J$7-1)*1</f>
        <v>3272.23978861686</v>
      </c>
      <c r="K24" s="66" t="n">
        <f aca="false">K18*Inputs!$B$23*Inputs!$B$24*Inputs!$B$25*(1+Inputs!$B$19)^(K$7-1)*1</f>
        <v>3469.98300341368</v>
      </c>
      <c r="L24" s="66" t="n">
        <f aca="false">L18*Inputs!$B$23*Inputs!$B$24*Inputs!$B$25*(1+Inputs!$B$19)^(L$7-1)*1</f>
        <v>3653.88419317472</v>
      </c>
      <c r="M24" s="66" t="n">
        <f aca="false">M18*Inputs!$B$23*Inputs!$B$24*Inputs!$B$25*(1+Inputs!$B$19)^(M$7-1)*1</f>
        <v>3824.91229965249</v>
      </c>
      <c r="N24" s="66" t="n">
        <f aca="false">N18*Inputs!$B$23*Inputs!$B$24*Inputs!$B$25*(1+Inputs!$B$19)^(N$7-1)*1</f>
        <v>3983.96843867681</v>
      </c>
      <c r="O24" s="66" t="n">
        <f aca="false">O18*Inputs!$B$23*Inputs!$B$24*Inputs!$B$25*(1+Inputs!$B$19)^(O$7-1)*1</f>
        <v>4219.24086092883</v>
      </c>
      <c r="P24" s="66" t="n">
        <f aca="false">P18*Inputs!$B$23*Inputs!$B$24*Inputs!$B$25*(1+Inputs!$B$19)^(P$7-1)*1</f>
        <v>4368.65480066381</v>
      </c>
      <c r="Q24" s="66" t="n">
        <f aca="false">Q18*Inputs!$B$23*Inputs!$B$24*Inputs!$B$25*(1+Inputs!$B$19)^(Q$7-1)*1</f>
        <v>4507.60976461734</v>
      </c>
      <c r="R24" s="66" t="n">
        <f aca="false">R18*Inputs!$B$23*Inputs!$B$24*Inputs!$B$25*(1+Inputs!$B$19)^(R$7-1)*1</f>
        <v>4636.83788109413</v>
      </c>
      <c r="S24" s="66" t="n">
        <f aca="false">S18*Inputs!$B$23*Inputs!$B$24*Inputs!$B$25*(1+Inputs!$B$19)^(S$7-1)*1</f>
        <v>4757.02002941754</v>
      </c>
      <c r="T24" s="66" t="n">
        <f aca="false">T18*Inputs!$B$23*Inputs!$B$24*Inputs!$B$25*(1+Inputs!$B$19)^(T$7-1)*1</f>
        <v>4868.78942735831</v>
      </c>
      <c r="U24" s="66" t="n">
        <f aca="false">U18*Inputs!$B$23*Inputs!$B$24*Inputs!$B$25*(1+Inputs!$B$19)^(U$7-1)*1</f>
        <v>4972.73496744323</v>
      </c>
      <c r="V24" s="66" t="n">
        <f aca="false">V18*Inputs!$B$23*Inputs!$B$24*Inputs!$B$25*(1+Inputs!$B$19)^(V$7-1)*1</f>
        <v>5069.4043197222</v>
      </c>
      <c r="W24" s="66" t="n">
        <f aca="false">W18*Inputs!$B$23*Inputs!$B$24*Inputs!$B$25*(1+Inputs!$B$19)^(W$7-1)*1</f>
        <v>5159.30681734165</v>
      </c>
      <c r="X24" s="66" t="n">
        <f aca="false">X18*Inputs!$B$23*Inputs!$B$24*Inputs!$B$25*(1+Inputs!$B$19)^(X$7-1)*1</f>
        <v>5242.91614012773</v>
      </c>
      <c r="Y24" s="66" t="n">
        <f aca="false">Y18*Inputs!$B$23*Inputs!$B$24*Inputs!$B$25*(1+Inputs!$B$19)^(Y$7-1)*1</f>
        <v>5320.67281031879</v>
      </c>
      <c r="Z24" s="66" t="n">
        <f aca="false">Z18*Inputs!$B$23*Inputs!$B$24*Inputs!$B$25*(1+Inputs!$B$19)^(Z$7-1)*1</f>
        <v>5392.98651359648</v>
      </c>
      <c r="AA24" s="66" t="n">
        <f aca="false">AA18*Inputs!$B$23*Inputs!$B$24*Inputs!$B$25*(1+Inputs!$B$19)^(AA$7-1)*1</f>
        <v>5574.49000319762</v>
      </c>
      <c r="AB24" s="66" t="n">
        <f aca="false">AB18*Inputs!$B$23*Inputs!$B$24*Inputs!$B$25*(1+Inputs!$B$19)^(AB$7-1)*1</f>
        <v>5648.02567977378</v>
      </c>
      <c r="AC24" s="66" t="n">
        <f aca="false">AC18*Inputs!$B$23*Inputs!$B$24*Inputs!$B$25*(1+Inputs!$B$19)^(AC$7-1)*1</f>
        <v>5716.41385898962</v>
      </c>
      <c r="AD24" s="66" t="n">
        <f aca="false">AD18*Inputs!$B$23*Inputs!$B$24*Inputs!$B$25*(1+Inputs!$B$19)^(AD$7-1)*1</f>
        <v>5780.01486566035</v>
      </c>
      <c r="AE24" s="66" t="n">
        <f aca="false">AE18*Inputs!$B$23*Inputs!$B$24*Inputs!$B$25*(1+Inputs!$B$19)^(AE$7-1)*1</f>
        <v>5839.16380186412</v>
      </c>
      <c r="AF24" s="66" t="n">
        <f aca="false">AF18*Inputs!$B$23*Inputs!$B$24*Inputs!$B$25*(1+Inputs!$B$19)^(AF$7-1)*1</f>
        <v>5894.17231253363</v>
      </c>
      <c r="AG24" s="66" t="n">
        <f aca="false">AG18*Inputs!$B$23*Inputs!$B$24*Inputs!$B$25*(1+Inputs!$B$19)^(AG$7-1)*1</f>
        <v>5945.33022745628</v>
      </c>
      <c r="AH24" s="66" t="n">
        <f aca="false">AH18*Inputs!$B$23*Inputs!$B$24*Inputs!$B$25*(1+Inputs!$B$19)^(AH$7-1)*1</f>
        <v>5992.90708833434</v>
      </c>
      <c r="AI24" s="66" t="n">
        <f aca="false">AI18*Inputs!$B$23*Inputs!$B$24*Inputs!$B$25*(1+Inputs!$B$19)^(AI$7-1)*1</f>
        <v>6037.15356895094</v>
      </c>
      <c r="AJ24" s="66" t="n">
        <f aca="false">AJ18*Inputs!$B$23*Inputs!$B$24*Inputs!$B$25*(1+Inputs!$B$19)^(AJ$7-1)*1</f>
        <v>6078.30279592437</v>
      </c>
      <c r="AK24" s="66" t="n">
        <f aca="false">AK18*Inputs!$B$23*Inputs!$B$24*Inputs!$B$25*(1+Inputs!$B$19)^(AK$7-1)*1</f>
        <v>6116.57157700966</v>
      </c>
      <c r="AL24" s="66" t="n">
        <f aca="false">AL18*Inputs!$B$23*Inputs!$B$24*Inputs!$B$25*(1+Inputs!$B$19)^(AL$7-1)*1</f>
        <v>6152.16154341899</v>
      </c>
    </row>
    <row r="25" customFormat="false" ht="15" hidden="false" customHeight="false" outlineLevel="0" collapsed="false">
      <c r="A25" s="6" t="s">
        <v>383</v>
      </c>
      <c r="C25" s="66" t="n">
        <f aca="false">C18*Inputs!$B$27*(1+Inputs!$B$19)^(C$7-1)*1</f>
        <v>364.228571428571</v>
      </c>
      <c r="D25" s="66" t="n">
        <f aca="false">D18*Inputs!$B$27*(1+Inputs!$B$19)^(D$7-1)*1</f>
        <v>449.589714285714</v>
      </c>
      <c r="E25" s="66" t="n">
        <f aca="false">E18*Inputs!$B$27*(1+Inputs!$B$19)^(E$7-1)*1</f>
        <v>528.975577142857</v>
      </c>
      <c r="F25" s="66" t="n">
        <f aca="false">F18*Inputs!$B$27*(1+Inputs!$B$19)^(F$7-1)*1</f>
        <v>602.8044296</v>
      </c>
      <c r="G25" s="66" t="n">
        <f aca="false">G18*Inputs!$B$27*(1+Inputs!$B$19)^(G$7-1)*1</f>
        <v>671.465262385143</v>
      </c>
      <c r="H25" s="66" t="n">
        <f aca="false">H18*Inputs!$B$27*(1+Inputs!$B$19)^(H$7-1)*1</f>
        <v>735.319836875326</v>
      </c>
      <c r="I25" s="66" t="n">
        <f aca="false">I18*Inputs!$B$27*(1+Inputs!$B$19)^(I$7-1)*1</f>
        <v>794.704591151196</v>
      </c>
      <c r="J25" s="66" t="n">
        <f aca="false">J18*Inputs!$B$27*(1+Inputs!$B$19)^(J$7-1)*1</f>
        <v>849.932412627755</v>
      </c>
      <c r="K25" s="66" t="n">
        <f aca="false">K18*Inputs!$B$27*(1+Inputs!$B$19)^(K$7-1)*1</f>
        <v>901.294286600955</v>
      </c>
      <c r="L25" s="66" t="n">
        <f aca="false">L18*Inputs!$B$27*(1+Inputs!$B$19)^(L$7-1)*1</f>
        <v>949.060829396031</v>
      </c>
      <c r="M25" s="66" t="n">
        <f aca="false">M18*Inputs!$B$27*(1+Inputs!$B$19)^(M$7-1)*1</f>
        <v>993.483714195452</v>
      </c>
      <c r="N25" s="66" t="n">
        <f aca="false">N18*Inputs!$B$27*(1+Inputs!$B$19)^(N$7-1)*1</f>
        <v>1034.79699705891</v>
      </c>
      <c r="O25" s="66" t="n">
        <f aca="false">O18*Inputs!$B$27*(1+Inputs!$B$19)^(O$7-1)*1</f>
        <v>1095.90671712437</v>
      </c>
      <c r="P25" s="66" t="n">
        <f aca="false">P18*Inputs!$B$27*(1+Inputs!$B$19)^(P$7-1)*1</f>
        <v>1134.71553263995</v>
      </c>
      <c r="Q25" s="66" t="n">
        <f aca="false">Q18*Inputs!$B$27*(1+Inputs!$B$19)^(Q$7-1)*1</f>
        <v>1170.80773106944</v>
      </c>
      <c r="R25" s="66" t="n">
        <f aca="false">R18*Inputs!$B$27*(1+Inputs!$B$19)^(R$7-1)*1</f>
        <v>1204.37347560886</v>
      </c>
      <c r="S25" s="66" t="n">
        <f aca="false">S18*Inputs!$B$27*(1+Inputs!$B$19)^(S$7-1)*1</f>
        <v>1235.58961803053</v>
      </c>
      <c r="T25" s="66" t="n">
        <f aca="false">T18*Inputs!$B$27*(1+Inputs!$B$19)^(T$7-1)*1</f>
        <v>1264.62063048268</v>
      </c>
      <c r="U25" s="66" t="n">
        <f aca="false">U18*Inputs!$B$27*(1+Inputs!$B$19)^(U$7-1)*1</f>
        <v>1291.61947206318</v>
      </c>
      <c r="V25" s="66" t="n">
        <f aca="false">V18*Inputs!$B$27*(1+Inputs!$B$19)^(V$7-1)*1</f>
        <v>1316.72839473304</v>
      </c>
      <c r="W25" s="66" t="n">
        <f aca="false">W18*Inputs!$B$27*(1+Inputs!$B$19)^(W$7-1)*1</f>
        <v>1340.07969281601</v>
      </c>
      <c r="X25" s="66" t="n">
        <f aca="false">X18*Inputs!$B$27*(1+Inputs!$B$19)^(X$7-1)*1</f>
        <v>1361.79640003318</v>
      </c>
      <c r="Y25" s="66" t="n">
        <f aca="false">Y18*Inputs!$B$27*(1+Inputs!$B$19)^(Y$7-1)*1</f>
        <v>1381.99293774514</v>
      </c>
      <c r="Z25" s="66" t="n">
        <f aca="false">Z18*Inputs!$B$27*(1+Inputs!$B$19)^(Z$7-1)*1</f>
        <v>1400.77571781727</v>
      </c>
      <c r="AA25" s="66" t="n">
        <f aca="false">AA18*Inputs!$B$27*(1+Inputs!$B$19)^(AA$7-1)*1</f>
        <v>1447.91948135003</v>
      </c>
      <c r="AB25" s="66" t="n">
        <f aca="false">AB18*Inputs!$B$27*(1+Inputs!$B$19)^(AB$7-1)*1</f>
        <v>1467.0196570841</v>
      </c>
      <c r="AC25" s="66" t="n">
        <f aca="false">AC18*Inputs!$B$27*(1+Inputs!$B$19)^(AC$7-1)*1</f>
        <v>1484.78282051678</v>
      </c>
      <c r="AD25" s="66" t="n">
        <f aca="false">AD18*Inputs!$B$27*(1+Inputs!$B$19)^(AD$7-1)*1</f>
        <v>1501.30256250918</v>
      </c>
      <c r="AE25" s="66" t="n">
        <f aca="false">AE18*Inputs!$B$27*(1+Inputs!$B$19)^(AE$7-1)*1</f>
        <v>1516.66592256211</v>
      </c>
      <c r="AF25" s="66" t="n">
        <f aca="false">AF18*Inputs!$B$27*(1+Inputs!$B$19)^(AF$7-1)*1</f>
        <v>1530.95384741133</v>
      </c>
      <c r="AG25" s="66" t="n">
        <f aca="false">AG18*Inputs!$B$27*(1+Inputs!$B$19)^(AG$7-1)*1</f>
        <v>1544.24161752111</v>
      </c>
      <c r="AH25" s="66" t="n">
        <f aca="false">AH18*Inputs!$B$27*(1+Inputs!$B$19)^(AH$7-1)*1</f>
        <v>1556.5992437232</v>
      </c>
      <c r="AI25" s="66" t="n">
        <f aca="false">AI18*Inputs!$B$27*(1+Inputs!$B$19)^(AI$7-1)*1</f>
        <v>1568.09183609115</v>
      </c>
      <c r="AJ25" s="66" t="n">
        <f aca="false">AJ18*Inputs!$B$27*(1+Inputs!$B$19)^(AJ$7-1)*1</f>
        <v>1578.77994699334</v>
      </c>
      <c r="AK25" s="66" t="n">
        <f aca="false">AK18*Inputs!$B$27*(1+Inputs!$B$19)^(AK$7-1)*1</f>
        <v>1588.71989013238</v>
      </c>
      <c r="AL25" s="66" t="n">
        <f aca="false">AL18*Inputs!$B$27*(1+Inputs!$B$19)^(AL$7-1)*1</f>
        <v>1597.96403725169</v>
      </c>
    </row>
    <row r="26" customFormat="false" ht="15" hidden="false" customHeight="false" outlineLevel="0" collapsed="false">
      <c r="A26" s="110" t="s">
        <v>44</v>
      </c>
      <c r="C26" s="67" t="n">
        <f aca="false">C22+C23+C24+C25</f>
        <v>11228.5942857143</v>
      </c>
      <c r="D26" s="67" t="n">
        <f aca="false">D22+D23+D24+D25</f>
        <v>13541.8812571429</v>
      </c>
      <c r="E26" s="67" t="n">
        <f aca="false">E22+E23+E24+E25</f>
        <v>15693.2381405714</v>
      </c>
      <c r="F26" s="67" t="n">
        <f aca="false">F22+F23+F24+F25</f>
        <v>17694.00004216</v>
      </c>
      <c r="G26" s="67" t="n">
        <f aca="false">G22+G23+G24+G25</f>
        <v>19554.7086106374</v>
      </c>
      <c r="H26" s="67" t="n">
        <f aca="false">H22+H23+H24+H25</f>
        <v>21285.1675793213</v>
      </c>
      <c r="I26" s="67" t="n">
        <f aca="false">I22+I23+I24+I25</f>
        <v>22894.4944201974</v>
      </c>
      <c r="J26" s="67" t="n">
        <f aca="false">J22+J23+J24+J25</f>
        <v>24391.1683822122</v>
      </c>
      <c r="K26" s="67" t="n">
        <f aca="false">K22+K23+K24+K25</f>
        <v>25783.0751668859</v>
      </c>
      <c r="L26" s="67" t="n">
        <f aca="false">L22+L23+L24+L25</f>
        <v>27077.5484766324</v>
      </c>
      <c r="M26" s="67" t="n">
        <f aca="false">M22+M23+M24+M25</f>
        <v>28281.4086546967</v>
      </c>
      <c r="N26" s="67" t="n">
        <f aca="false">N22+N23+N24+N25</f>
        <v>29400.9986202965</v>
      </c>
      <c r="O26" s="67" t="n">
        <f aca="false">O22+O23+O24+O25</f>
        <v>31114.2200340704</v>
      </c>
      <c r="P26" s="67" t="n">
        <f aca="false">P22+P23+P24+P25</f>
        <v>32165.9389345426</v>
      </c>
      <c r="Q26" s="67" t="n">
        <f aca="false">Q22+Q23+Q24+Q25</f>
        <v>33144.0375119818</v>
      </c>
      <c r="R26" s="67" t="n">
        <f aca="false">R22+R23+R24+R25</f>
        <v>34053.6691890002</v>
      </c>
      <c r="S26" s="67" t="n">
        <f aca="false">S22+S23+S24+S25</f>
        <v>34899.6266486273</v>
      </c>
      <c r="T26" s="67" t="n">
        <f aca="false">T22+T23+T24+T25</f>
        <v>35686.3670860806</v>
      </c>
      <c r="U26" s="67" t="n">
        <f aca="false">U22+U23+U24+U25</f>
        <v>36418.0356929121</v>
      </c>
      <c r="V26" s="67" t="n">
        <f aca="false">V22+V23+V24+V25</f>
        <v>37098.4874972654</v>
      </c>
      <c r="W26" s="67" t="n">
        <f aca="false">W22+W23+W24+W25</f>
        <v>37731.307675314</v>
      </c>
      <c r="X26" s="67" t="n">
        <f aca="false">X22+X23+X24+X25</f>
        <v>38319.8304408991</v>
      </c>
      <c r="Y26" s="67" t="n">
        <f aca="false">Y22+Y23+Y24+Y25</f>
        <v>38867.1566128933</v>
      </c>
      <c r="Z26" s="67" t="n">
        <f aca="false">Z22+Z23+Z24+Z25</f>
        <v>39376.1699528479</v>
      </c>
      <c r="AA26" s="67" t="n">
        <f aca="false">AA22+AA23+AA24+AA25</f>
        <v>40714.1860525858</v>
      </c>
      <c r="AB26" s="67" t="n">
        <f aca="false">AB22+AB23+AB24+AB25</f>
        <v>41231.8008149791</v>
      </c>
      <c r="AC26" s="67" t="n">
        <f aca="false">AC22+AC23+AC24+AC25</f>
        <v>41713.1825440048</v>
      </c>
      <c r="AD26" s="67" t="n">
        <f aca="false">AD22+AD23+AD24+AD25</f>
        <v>42160.8675519988</v>
      </c>
      <c r="AE26" s="67" t="n">
        <f aca="false">AE22+AE23+AE24+AE25</f>
        <v>42577.2146094332</v>
      </c>
      <c r="AF26" s="67" t="n">
        <f aca="false">AF22+AF23+AF24+AF25</f>
        <v>42964.4173728471</v>
      </c>
      <c r="AG26" s="67" t="n">
        <f aca="false">AG22+AG23+AG24+AG25</f>
        <v>43324.5159428221</v>
      </c>
      <c r="AH26" s="67" t="n">
        <f aca="false">AH22+AH23+AH24+AH25</f>
        <v>43659.4076128988</v>
      </c>
      <c r="AI26" s="67" t="n">
        <f aca="false">AI22+AI23+AI24+AI25</f>
        <v>43970.8568660702</v>
      </c>
      <c r="AJ26" s="67" t="n">
        <f aca="false">AJ22+AJ23+AJ24+AJ25</f>
        <v>44260.5046715196</v>
      </c>
      <c r="AK26" s="67" t="n">
        <f aca="false">AK22+AK23+AK24+AK25</f>
        <v>44529.8771305875</v>
      </c>
      <c r="AL26" s="67" t="n">
        <f aca="false">AL22+AL23+AL24+AL25</f>
        <v>44780.3935175207</v>
      </c>
    </row>
    <row r="28" customFormat="false" ht="15.75" hidden="false" customHeight="true" outlineLevel="0" collapsed="false">
      <c r="A28" s="7" t="s">
        <v>75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</row>
    <row r="29" customFormat="false" ht="15" hidden="false" customHeight="false" outlineLevel="0" collapsed="false">
      <c r="A29" s="6" t="s">
        <v>384</v>
      </c>
      <c r="C29" s="66" t="n">
        <f aca="false">-Inputs!$B$31*52/12*Inputs!$B$32*(1+Inputs!$B$51)^(C$7-1)*1</f>
        <v>-8666.66666666667</v>
      </c>
      <c r="D29" s="66" t="n">
        <f aca="false">-Inputs!$B$31*52/12*Inputs!$B$32*(1+Inputs!$B$51)^(D$7-1)*1</f>
        <v>-8666.66666666667</v>
      </c>
      <c r="E29" s="66" t="n">
        <f aca="false">-Inputs!$B$31*52/12*Inputs!$B$32*(1+Inputs!$B$51)^(E$7-1)*1</f>
        <v>-8666.66666666667</v>
      </c>
      <c r="F29" s="66" t="n">
        <f aca="false">-Inputs!$B$31*52/12*Inputs!$B$32*(1+Inputs!$B$51)^(F$7-1)*1</f>
        <v>-8666.66666666667</v>
      </c>
      <c r="G29" s="66" t="n">
        <f aca="false">-Inputs!$B$31*52/12*Inputs!$B$32*(1+Inputs!$B$51)^(G$7-1)*1</f>
        <v>-8666.66666666667</v>
      </c>
      <c r="H29" s="66" t="n">
        <f aca="false">-Inputs!$B$31*52/12*Inputs!$B$32*(1+Inputs!$B$51)^(H$7-1)*1</f>
        <v>-8666.66666666667</v>
      </c>
      <c r="I29" s="66" t="n">
        <f aca="false">-Inputs!$B$31*52/12*Inputs!$B$32*(1+Inputs!$B$51)^(I$7-1)*1</f>
        <v>-8666.66666666667</v>
      </c>
      <c r="J29" s="66" t="n">
        <f aca="false">-Inputs!$B$31*52/12*Inputs!$B$32*(1+Inputs!$B$51)^(J$7-1)*1</f>
        <v>-8666.66666666667</v>
      </c>
      <c r="K29" s="66" t="n">
        <f aca="false">-Inputs!$B$31*52/12*Inputs!$B$32*(1+Inputs!$B$51)^(K$7-1)*1</f>
        <v>-8666.66666666667</v>
      </c>
      <c r="L29" s="66" t="n">
        <f aca="false">-Inputs!$B$31*52/12*Inputs!$B$32*(1+Inputs!$B$51)^(L$7-1)*1</f>
        <v>-8666.66666666667</v>
      </c>
      <c r="M29" s="66" t="n">
        <f aca="false">-Inputs!$B$31*52/12*Inputs!$B$32*(1+Inputs!$B$51)^(M$7-1)*1</f>
        <v>-8666.66666666667</v>
      </c>
      <c r="N29" s="66" t="n">
        <f aca="false">-Inputs!$B$31*52/12*Inputs!$B$32*(1+Inputs!$B$51)^(N$7-1)*1</f>
        <v>-8666.66666666667</v>
      </c>
      <c r="O29" s="66" t="n">
        <f aca="false">-Inputs!$B$31*52/12*Inputs!$B$32*(1+Inputs!$B$51)^(O$7-1)*1</f>
        <v>-8926.66666666667</v>
      </c>
      <c r="P29" s="66" t="n">
        <f aca="false">-Inputs!$B$31*52/12*Inputs!$B$32*(1+Inputs!$B$51)^(P$7-1)*1</f>
        <v>-8926.66666666667</v>
      </c>
      <c r="Q29" s="66" t="n">
        <f aca="false">-Inputs!$B$31*52/12*Inputs!$B$32*(1+Inputs!$B$51)^(Q$7-1)*1</f>
        <v>-8926.66666666667</v>
      </c>
      <c r="R29" s="66" t="n">
        <f aca="false">-Inputs!$B$31*52/12*Inputs!$B$32*(1+Inputs!$B$51)^(R$7-1)*1</f>
        <v>-8926.66666666667</v>
      </c>
      <c r="S29" s="66" t="n">
        <f aca="false">-Inputs!$B$31*52/12*Inputs!$B$32*(1+Inputs!$B$51)^(S$7-1)*1</f>
        <v>-8926.66666666667</v>
      </c>
      <c r="T29" s="66" t="n">
        <f aca="false">-Inputs!$B$31*52/12*Inputs!$B$32*(1+Inputs!$B$51)^(T$7-1)*1</f>
        <v>-8926.66666666667</v>
      </c>
      <c r="U29" s="66" t="n">
        <f aca="false">-Inputs!$B$31*52/12*Inputs!$B$32*(1+Inputs!$B$51)^(U$7-1)*1</f>
        <v>-8926.66666666667</v>
      </c>
      <c r="V29" s="66" t="n">
        <f aca="false">-Inputs!$B$31*52/12*Inputs!$B$32*(1+Inputs!$B$51)^(V$7-1)*1</f>
        <v>-8926.66666666667</v>
      </c>
      <c r="W29" s="66" t="n">
        <f aca="false">-Inputs!$B$31*52/12*Inputs!$B$32*(1+Inputs!$B$51)^(W$7-1)*1</f>
        <v>-8926.66666666667</v>
      </c>
      <c r="X29" s="66" t="n">
        <f aca="false">-Inputs!$B$31*52/12*Inputs!$B$32*(1+Inputs!$B$51)^(X$7-1)*1</f>
        <v>-8926.66666666667</v>
      </c>
      <c r="Y29" s="66" t="n">
        <f aca="false">-Inputs!$B$31*52/12*Inputs!$B$32*(1+Inputs!$B$51)^(Y$7-1)*1</f>
        <v>-8926.66666666667</v>
      </c>
      <c r="Z29" s="66" t="n">
        <f aca="false">-Inputs!$B$31*52/12*Inputs!$B$32*(1+Inputs!$B$51)^(Z$7-1)*1</f>
        <v>-8926.66666666667</v>
      </c>
      <c r="AA29" s="66" t="n">
        <f aca="false">-Inputs!$B$31*52/12*Inputs!$B$32*(1+Inputs!$B$51)^(AA$7-1)*1</f>
        <v>-9194.46666666667</v>
      </c>
      <c r="AB29" s="66" t="n">
        <f aca="false">-Inputs!$B$31*52/12*Inputs!$B$32*(1+Inputs!$B$51)^(AB$7-1)*1</f>
        <v>-9194.46666666667</v>
      </c>
      <c r="AC29" s="66" t="n">
        <f aca="false">-Inputs!$B$31*52/12*Inputs!$B$32*(1+Inputs!$B$51)^(AC$7-1)*1</f>
        <v>-9194.46666666667</v>
      </c>
      <c r="AD29" s="66" t="n">
        <f aca="false">-Inputs!$B$31*52/12*Inputs!$B$32*(1+Inputs!$B$51)^(AD$7-1)*1</f>
        <v>-9194.46666666667</v>
      </c>
      <c r="AE29" s="66" t="n">
        <f aca="false">-Inputs!$B$31*52/12*Inputs!$B$32*(1+Inputs!$B$51)^(AE$7-1)*1</f>
        <v>-9194.46666666667</v>
      </c>
      <c r="AF29" s="66" t="n">
        <f aca="false">-Inputs!$B$31*52/12*Inputs!$B$32*(1+Inputs!$B$51)^(AF$7-1)*1</f>
        <v>-9194.46666666667</v>
      </c>
      <c r="AG29" s="66" t="n">
        <f aca="false">-Inputs!$B$31*52/12*Inputs!$B$32*(1+Inputs!$B$51)^(AG$7-1)*1</f>
        <v>-9194.46666666667</v>
      </c>
      <c r="AH29" s="66" t="n">
        <f aca="false">-Inputs!$B$31*52/12*Inputs!$B$32*(1+Inputs!$B$51)^(AH$7-1)*1</f>
        <v>-9194.46666666667</v>
      </c>
      <c r="AI29" s="66" t="n">
        <f aca="false">-Inputs!$B$31*52/12*Inputs!$B$32*(1+Inputs!$B$51)^(AI$7-1)*1</f>
        <v>-9194.46666666667</v>
      </c>
      <c r="AJ29" s="66" t="n">
        <f aca="false">-Inputs!$B$31*52/12*Inputs!$B$32*(1+Inputs!$B$51)^(AJ$7-1)*1</f>
        <v>-9194.46666666667</v>
      </c>
      <c r="AK29" s="66" t="n">
        <f aca="false">-Inputs!$B$31*52/12*Inputs!$B$32*(1+Inputs!$B$51)^(AK$7-1)*1</f>
        <v>-9194.46666666667</v>
      </c>
      <c r="AL29" s="66" t="n">
        <f aca="false">-Inputs!$B$31*52/12*Inputs!$B$32*(1+Inputs!$B$51)^(AL$7-1)*1</f>
        <v>-9194.46666666667</v>
      </c>
    </row>
    <row r="30" customFormat="false" ht="15" hidden="false" customHeight="false" outlineLevel="0" collapsed="false">
      <c r="A30" s="6" t="s">
        <v>385</v>
      </c>
      <c r="C30" s="66" t="n">
        <f aca="false">-C24*Inputs!$B$26</f>
        <v>-771.254</v>
      </c>
      <c r="D30" s="66" t="n">
        <f aca="false">-D24*Inputs!$B$26</f>
        <v>-952.00622</v>
      </c>
      <c r="E30" s="66" t="n">
        <f aca="false">-E24*Inputs!$B$26</f>
        <v>-1120.1057846</v>
      </c>
      <c r="F30" s="66" t="n">
        <f aca="false">-F24*Inputs!$B$26</f>
        <v>-1276.438379678</v>
      </c>
      <c r="G30" s="66" t="n">
        <f aca="false">-G24*Inputs!$B$26</f>
        <v>-1421.82769310054</v>
      </c>
      <c r="H30" s="66" t="n">
        <f aca="false">-H24*Inputs!$B$26</f>
        <v>-1557.0397545835</v>
      </c>
      <c r="I30" s="66" t="n">
        <f aca="false">-I24*Inputs!$B$26</f>
        <v>-1682.78697176266</v>
      </c>
      <c r="J30" s="66" t="n">
        <f aca="false">-J24*Inputs!$B$26</f>
        <v>-1799.73188373927</v>
      </c>
      <c r="K30" s="66" t="n">
        <f aca="false">-K24*Inputs!$B$26</f>
        <v>-1908.49065187752</v>
      </c>
      <c r="L30" s="66" t="n">
        <f aca="false">-L24*Inputs!$B$26</f>
        <v>-2009.6363062461</v>
      </c>
      <c r="M30" s="66" t="n">
        <f aca="false">-M24*Inputs!$B$26</f>
        <v>-2103.70176480887</v>
      </c>
      <c r="N30" s="66" t="n">
        <f aca="false">-N24*Inputs!$B$26</f>
        <v>-2191.18264127225</v>
      </c>
      <c r="O30" s="66" t="n">
        <f aca="false">-O24*Inputs!$B$26</f>
        <v>-2320.58247351085</v>
      </c>
      <c r="P30" s="66" t="n">
        <f aca="false">-P24*Inputs!$B$26</f>
        <v>-2402.76014036509</v>
      </c>
      <c r="Q30" s="66" t="n">
        <f aca="false">-Q24*Inputs!$B$26</f>
        <v>-2479.18537053954</v>
      </c>
      <c r="R30" s="66" t="n">
        <f aca="false">-R24*Inputs!$B$26</f>
        <v>-2550.26083460177</v>
      </c>
      <c r="S30" s="66" t="n">
        <f aca="false">-S24*Inputs!$B$26</f>
        <v>-2616.36101617965</v>
      </c>
      <c r="T30" s="66" t="n">
        <f aca="false">-T24*Inputs!$B$26</f>
        <v>-2677.83418504707</v>
      </c>
      <c r="U30" s="66" t="n">
        <f aca="false">-U24*Inputs!$B$26</f>
        <v>-2735.00423209378</v>
      </c>
      <c r="V30" s="66" t="n">
        <f aca="false">-V24*Inputs!$B$26</f>
        <v>-2788.17237584721</v>
      </c>
      <c r="W30" s="66" t="n">
        <f aca="false">-W24*Inputs!$B$26</f>
        <v>-2837.61874953791</v>
      </c>
      <c r="X30" s="66" t="n">
        <f aca="false">-X24*Inputs!$B$26</f>
        <v>-2883.60387707025</v>
      </c>
      <c r="Y30" s="66" t="n">
        <f aca="false">-Y24*Inputs!$B$26</f>
        <v>-2926.37004567534</v>
      </c>
      <c r="Z30" s="66" t="n">
        <f aca="false">-Z24*Inputs!$B$26</f>
        <v>-2966.14258247806</v>
      </c>
      <c r="AA30" s="66" t="n">
        <f aca="false">-AA24*Inputs!$B$26</f>
        <v>-3065.96950175869</v>
      </c>
      <c r="AB30" s="66" t="n">
        <f aca="false">-AB24*Inputs!$B$26</f>
        <v>-3106.41412387558</v>
      </c>
      <c r="AC30" s="66" t="n">
        <f aca="false">-AC24*Inputs!$B$26</f>
        <v>-3144.02762244429</v>
      </c>
      <c r="AD30" s="66" t="n">
        <f aca="false">-AD24*Inputs!$B$26</f>
        <v>-3179.00817611319</v>
      </c>
      <c r="AE30" s="66" t="n">
        <f aca="false">-AE24*Inputs!$B$26</f>
        <v>-3211.54009102527</v>
      </c>
      <c r="AF30" s="66" t="n">
        <f aca="false">-AF24*Inputs!$B$26</f>
        <v>-3241.7947718935</v>
      </c>
      <c r="AG30" s="66" t="n">
        <f aca="false">-AG24*Inputs!$B$26</f>
        <v>-3269.93162510095</v>
      </c>
      <c r="AH30" s="66" t="n">
        <f aca="false">-AH24*Inputs!$B$26</f>
        <v>-3296.09889858389</v>
      </c>
      <c r="AI30" s="66" t="n">
        <f aca="false">-AI24*Inputs!$B$26</f>
        <v>-3320.43446292302</v>
      </c>
      <c r="AJ30" s="66" t="n">
        <f aca="false">-AJ24*Inputs!$B$26</f>
        <v>-3343.0665377584</v>
      </c>
      <c r="AK30" s="66" t="n">
        <f aca="false">-AK24*Inputs!$B$26</f>
        <v>-3364.11436735532</v>
      </c>
      <c r="AL30" s="66" t="n">
        <f aca="false">-AL24*Inputs!$B$26</f>
        <v>-3383.68884888044</v>
      </c>
    </row>
    <row r="31" customFormat="false" ht="15" hidden="false" customHeight="false" outlineLevel="0" collapsed="false">
      <c r="A31" s="6" t="s">
        <v>386</v>
      </c>
      <c r="C31" s="66" t="n">
        <f aca="false">-C25*Inputs!$B$28</f>
        <v>-200.325714285714</v>
      </c>
      <c r="D31" s="66" t="n">
        <f aca="false">-D25*Inputs!$B$28</f>
        <v>-247.274342857143</v>
      </c>
      <c r="E31" s="66" t="n">
        <f aca="false">-E25*Inputs!$B$28</f>
        <v>-290.936567428571</v>
      </c>
      <c r="F31" s="66" t="n">
        <f aca="false">-F25*Inputs!$B$28</f>
        <v>-331.54243628</v>
      </c>
      <c r="G31" s="66" t="n">
        <f aca="false">-G25*Inputs!$B$28</f>
        <v>-369.305894311829</v>
      </c>
      <c r="H31" s="66" t="n">
        <f aca="false">-H25*Inputs!$B$28</f>
        <v>-404.425910281429</v>
      </c>
      <c r="I31" s="66" t="n">
        <f aca="false">-I25*Inputs!$B$28</f>
        <v>-437.087525133158</v>
      </c>
      <c r="J31" s="66" t="n">
        <f aca="false">-J25*Inputs!$B$28</f>
        <v>-467.462826945265</v>
      </c>
      <c r="K31" s="66" t="n">
        <f aca="false">-K25*Inputs!$B$28</f>
        <v>-495.711857630525</v>
      </c>
      <c r="L31" s="66" t="n">
        <f aca="false">-L25*Inputs!$B$28</f>
        <v>-521.983456167817</v>
      </c>
      <c r="M31" s="66" t="n">
        <f aca="false">-M25*Inputs!$B$28</f>
        <v>-546.416042807498</v>
      </c>
      <c r="N31" s="66" t="n">
        <f aca="false">-N25*Inputs!$B$28</f>
        <v>-569.138348382402</v>
      </c>
      <c r="O31" s="66" t="n">
        <f aca="false">-O25*Inputs!$B$28</f>
        <v>-602.748694418404</v>
      </c>
      <c r="P31" s="66" t="n">
        <f aca="false">-P25*Inputs!$B$28</f>
        <v>-624.093542951973</v>
      </c>
      <c r="Q31" s="66" t="n">
        <f aca="false">-Q25*Inputs!$B$28</f>
        <v>-643.944252088192</v>
      </c>
      <c r="R31" s="66" t="n">
        <f aca="false">-R25*Inputs!$B$28</f>
        <v>-662.405411584875</v>
      </c>
      <c r="S31" s="66" t="n">
        <f aca="false">-S25*Inputs!$B$28</f>
        <v>-679.574289916791</v>
      </c>
      <c r="T31" s="66" t="n">
        <f aca="false">-T25*Inputs!$B$28</f>
        <v>-695.541346765473</v>
      </c>
      <c r="U31" s="66" t="n">
        <f aca="false">-U25*Inputs!$B$28</f>
        <v>-710.390709634747</v>
      </c>
      <c r="V31" s="66" t="n">
        <f aca="false">-V25*Inputs!$B$28</f>
        <v>-724.200617103172</v>
      </c>
      <c r="W31" s="66" t="n">
        <f aca="false">-W25*Inputs!$B$28</f>
        <v>-737.043831048807</v>
      </c>
      <c r="X31" s="66" t="n">
        <f aca="false">-X25*Inputs!$B$28</f>
        <v>-748.988020018248</v>
      </c>
      <c r="Y31" s="66" t="n">
        <f aca="false">-Y25*Inputs!$B$28</f>
        <v>-760.096115759827</v>
      </c>
      <c r="Z31" s="66" t="n">
        <f aca="false">-Z25*Inputs!$B$28</f>
        <v>-770.426644799496</v>
      </c>
      <c r="AA31" s="66" t="n">
        <f aca="false">-AA25*Inputs!$B$28</f>
        <v>-796.355714742517</v>
      </c>
      <c r="AB31" s="66" t="n">
        <f aca="false">-AB25*Inputs!$B$28</f>
        <v>-806.860811396255</v>
      </c>
      <c r="AC31" s="66" t="n">
        <f aca="false">-AC25*Inputs!$B$28</f>
        <v>-816.630551284231</v>
      </c>
      <c r="AD31" s="66" t="n">
        <f aca="false">-AD25*Inputs!$B$28</f>
        <v>-825.716409380049</v>
      </c>
      <c r="AE31" s="66" t="n">
        <f aca="false">-AE25*Inputs!$B$28</f>
        <v>-834.16625740916</v>
      </c>
      <c r="AF31" s="66" t="n">
        <f aca="false">-AF25*Inputs!$B$28</f>
        <v>-842.024616076233</v>
      </c>
      <c r="AG31" s="66" t="n">
        <f aca="false">-AG25*Inputs!$B$28</f>
        <v>-849.332889636611</v>
      </c>
      <c r="AH31" s="66" t="n">
        <f aca="false">-AH25*Inputs!$B$28</f>
        <v>-856.129584047763</v>
      </c>
      <c r="AI31" s="66" t="n">
        <f aca="false">-AI25*Inputs!$B$28</f>
        <v>-862.450509850134</v>
      </c>
      <c r="AJ31" s="66" t="n">
        <f aca="false">-AJ25*Inputs!$B$28</f>
        <v>-868.328970846339</v>
      </c>
      <c r="AK31" s="66" t="n">
        <f aca="false">-AK25*Inputs!$B$28</f>
        <v>-873.795939572809</v>
      </c>
      <c r="AL31" s="66" t="n">
        <f aca="false">-AL25*Inputs!$B$28</f>
        <v>-878.880220488427</v>
      </c>
    </row>
    <row r="32" customFormat="false" ht="15" hidden="false" customHeight="false" outlineLevel="0" collapsed="false">
      <c r="A32" s="4" t="s">
        <v>75</v>
      </c>
      <c r="C32" s="72" t="n">
        <f aca="false">C29+C30+C31</f>
        <v>-9638.24638095238</v>
      </c>
      <c r="D32" s="72" t="n">
        <f aca="false">D29+D30+D31</f>
        <v>-9865.94722952381</v>
      </c>
      <c r="E32" s="72" t="n">
        <f aca="false">E29+E30+E31</f>
        <v>-10077.7090186952</v>
      </c>
      <c r="F32" s="72" t="n">
        <f aca="false">F29+F30+F31</f>
        <v>-10274.6474826247</v>
      </c>
      <c r="G32" s="72" t="n">
        <f aca="false">G29+G30+G31</f>
        <v>-10457.800254079</v>
      </c>
      <c r="H32" s="72" t="n">
        <f aca="false">H29+H30+H31</f>
        <v>-10628.1323315316</v>
      </c>
      <c r="I32" s="72" t="n">
        <f aca="false">I29+I30+I31</f>
        <v>-10786.5411635625</v>
      </c>
      <c r="J32" s="72" t="n">
        <f aca="false">J29+J30+J31</f>
        <v>-10933.8613773512</v>
      </c>
      <c r="K32" s="72" t="n">
        <f aca="false">K29+K30+K31</f>
        <v>-11070.8691761747</v>
      </c>
      <c r="L32" s="72" t="n">
        <f aca="false">L29+L30+L31</f>
        <v>-11198.2864290806</v>
      </c>
      <c r="M32" s="72" t="n">
        <f aca="false">M29+M30+M31</f>
        <v>-11316.784474283</v>
      </c>
      <c r="N32" s="72" t="n">
        <f aca="false">N29+N30+N31</f>
        <v>-11426.9876563213</v>
      </c>
      <c r="O32" s="72" t="n">
        <f aca="false">O29+O30+O31</f>
        <v>-11849.9978345959</v>
      </c>
      <c r="P32" s="72" t="n">
        <f aca="false">P29+P30+P31</f>
        <v>-11953.5203499837</v>
      </c>
      <c r="Q32" s="72" t="n">
        <f aca="false">Q29+Q30+Q31</f>
        <v>-12049.7962892944</v>
      </c>
      <c r="R32" s="72" t="n">
        <f aca="false">R29+R30+R31</f>
        <v>-12139.3329128533</v>
      </c>
      <c r="S32" s="72" t="n">
        <f aca="false">S29+S30+S31</f>
        <v>-12222.6019727631</v>
      </c>
      <c r="T32" s="72" t="n">
        <f aca="false">T29+T30+T31</f>
        <v>-12300.0421984792</v>
      </c>
      <c r="U32" s="72" t="n">
        <f aca="false">U29+U30+U31</f>
        <v>-12372.0616083952</v>
      </c>
      <c r="V32" s="72" t="n">
        <f aca="false">V29+V30+V31</f>
        <v>-12439.0396596171</v>
      </c>
      <c r="W32" s="72" t="n">
        <f aca="false">W29+W30+W31</f>
        <v>-12501.3292472534</v>
      </c>
      <c r="X32" s="72" t="n">
        <f aca="false">X29+X30+X31</f>
        <v>-12559.2585637552</v>
      </c>
      <c r="Y32" s="72" t="n">
        <f aca="false">Y29+Y30+Y31</f>
        <v>-12613.1328281018</v>
      </c>
      <c r="Z32" s="72" t="n">
        <f aca="false">Z29+Z30+Z31</f>
        <v>-12663.2358939442</v>
      </c>
      <c r="AA32" s="72" t="n">
        <f aca="false">AA29+AA30+AA31</f>
        <v>-13056.7918831679</v>
      </c>
      <c r="AB32" s="72" t="n">
        <f aca="false">AB29+AB30+AB31</f>
        <v>-13107.7416019385</v>
      </c>
      <c r="AC32" s="72" t="n">
        <f aca="false">AC29+AC30+AC31</f>
        <v>-13155.1248403952</v>
      </c>
      <c r="AD32" s="72" t="n">
        <f aca="false">AD29+AD30+AD31</f>
        <v>-13199.1912521599</v>
      </c>
      <c r="AE32" s="72" t="n">
        <f aca="false">AE29+AE30+AE31</f>
        <v>-13240.1730151011</v>
      </c>
      <c r="AF32" s="72" t="n">
        <f aca="false">AF29+AF30+AF31</f>
        <v>-13278.2860546364</v>
      </c>
      <c r="AG32" s="72" t="n">
        <f aca="false">AG29+AG30+AG31</f>
        <v>-13313.7311814042</v>
      </c>
      <c r="AH32" s="72" t="n">
        <f aca="false">AH29+AH30+AH31</f>
        <v>-13346.6951492983</v>
      </c>
      <c r="AI32" s="72" t="n">
        <f aca="false">AI29+AI30+AI31</f>
        <v>-13377.3516394398</v>
      </c>
      <c r="AJ32" s="72" t="n">
        <f aca="false">AJ29+AJ30+AJ31</f>
        <v>-13405.8621752714</v>
      </c>
      <c r="AK32" s="72" t="n">
        <f aca="false">AK29+AK30+AK31</f>
        <v>-13432.3769735948</v>
      </c>
      <c r="AL32" s="72" t="n">
        <f aca="false">AL29+AL30+AL31</f>
        <v>-13457.0357360355</v>
      </c>
    </row>
    <row r="33" customFormat="false" ht="15" hidden="false" customHeight="false" outlineLevel="0" collapsed="false">
      <c r="A33" s="110" t="s">
        <v>45</v>
      </c>
      <c r="C33" s="67" t="n">
        <f aca="false">C26+C32</f>
        <v>1590.3479047619</v>
      </c>
      <c r="D33" s="67" t="n">
        <f aca="false">D26+D32</f>
        <v>3675.93402761904</v>
      </c>
      <c r="E33" s="67" t="n">
        <f aca="false">E26+E32</f>
        <v>5615.52912187619</v>
      </c>
      <c r="F33" s="67" t="n">
        <f aca="false">F26+F32</f>
        <v>7419.35255953533</v>
      </c>
      <c r="G33" s="67" t="n">
        <f aca="false">G26+G32</f>
        <v>9096.90835655834</v>
      </c>
      <c r="H33" s="67" t="n">
        <f aca="false">H26+H32</f>
        <v>10657.0352477897</v>
      </c>
      <c r="I33" s="67" t="n">
        <f aca="false">I26+I32</f>
        <v>12107.9532566349</v>
      </c>
      <c r="J33" s="67" t="n">
        <f aca="false">J26+J32</f>
        <v>13457.3070048609</v>
      </c>
      <c r="K33" s="67" t="n">
        <f aca="false">K26+K32</f>
        <v>14712.2059907112</v>
      </c>
      <c r="L33" s="67" t="n">
        <f aca="false">L26+L32</f>
        <v>15879.2620475519</v>
      </c>
      <c r="M33" s="67" t="n">
        <f aca="false">M26+M32</f>
        <v>16964.6241804137</v>
      </c>
      <c r="N33" s="67" t="n">
        <f aca="false">N26+N32</f>
        <v>17974.0109639752</v>
      </c>
      <c r="O33" s="67" t="n">
        <f aca="false">O26+O32</f>
        <v>19264.2221994745</v>
      </c>
      <c r="P33" s="67" t="n">
        <f aca="false">P26+P32</f>
        <v>20212.4185845589</v>
      </c>
      <c r="Q33" s="67" t="n">
        <f aca="false">Q26+Q32</f>
        <v>21094.2412226874</v>
      </c>
      <c r="R33" s="67" t="n">
        <f aca="false">R26+R32</f>
        <v>21914.3362761469</v>
      </c>
      <c r="S33" s="67" t="n">
        <f aca="false">S26+S32</f>
        <v>22677.0246758642</v>
      </c>
      <c r="T33" s="67" t="n">
        <f aca="false">T26+T32</f>
        <v>23386.3248876014</v>
      </c>
      <c r="U33" s="67" t="n">
        <f aca="false">U26+U32</f>
        <v>24045.9740845169</v>
      </c>
      <c r="V33" s="67" t="n">
        <f aca="false">V26+V32</f>
        <v>24659.4478376483</v>
      </c>
      <c r="W33" s="67" t="n">
        <f aca="false">W26+W32</f>
        <v>25229.9784280606</v>
      </c>
      <c r="X33" s="67" t="n">
        <f aca="false">X26+X32</f>
        <v>25760.5718771439</v>
      </c>
      <c r="Y33" s="67" t="n">
        <f aca="false">Y26+Y32</f>
        <v>26254.0237847915</v>
      </c>
      <c r="Z33" s="67" t="n">
        <f aca="false">Z26+Z32</f>
        <v>26712.9340589037</v>
      </c>
      <c r="AA33" s="67" t="n">
        <f aca="false">AA26+AA32</f>
        <v>27657.3941694179</v>
      </c>
      <c r="AB33" s="67" t="n">
        <f aca="false">AB26+AB32</f>
        <v>28124.0592130406</v>
      </c>
      <c r="AC33" s="67" t="n">
        <f aca="false">AC26+AC32</f>
        <v>28558.0577036097</v>
      </c>
      <c r="AD33" s="67" t="n">
        <f aca="false">AD26+AD32</f>
        <v>28961.6762998389</v>
      </c>
      <c r="AE33" s="67" t="n">
        <f aca="false">AE26+AE32</f>
        <v>29337.0415943321</v>
      </c>
      <c r="AF33" s="67" t="n">
        <f aca="false">AF26+AF32</f>
        <v>29686.1313182107</v>
      </c>
      <c r="AG33" s="67" t="n">
        <f aca="false">AG26+AG32</f>
        <v>30010.7847614179</v>
      </c>
      <c r="AH33" s="67" t="n">
        <f aca="false">AH26+AH32</f>
        <v>30312.7124636005</v>
      </c>
      <c r="AI33" s="67" t="n">
        <f aca="false">AI26+AI32</f>
        <v>30593.5052266304</v>
      </c>
      <c r="AJ33" s="67" t="n">
        <f aca="false">AJ26+AJ32</f>
        <v>30854.6424962482</v>
      </c>
      <c r="AK33" s="67" t="n">
        <f aca="false">AK26+AK32</f>
        <v>31097.5001569927</v>
      </c>
      <c r="AL33" s="67" t="n">
        <f aca="false">AL26+AL32</f>
        <v>31323.3577814851</v>
      </c>
    </row>
    <row r="35" customFormat="false" ht="15.75" hidden="false" customHeight="true" outlineLevel="0" collapsed="false">
      <c r="A35" s="7" t="s">
        <v>47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</row>
    <row r="36" customFormat="false" ht="15" hidden="false" customHeight="false" outlineLevel="0" collapsed="false">
      <c r="A36" s="6" t="s">
        <v>320</v>
      </c>
      <c r="C36" s="66" t="n">
        <f aca="false">C111</f>
        <v>-13841.6666666667</v>
      </c>
      <c r="D36" s="66" t="n">
        <f aca="false">D111</f>
        <v>-13841.6666666667</v>
      </c>
      <c r="E36" s="66" t="n">
        <f aca="false">E111</f>
        <v>-13841.6666666667</v>
      </c>
      <c r="F36" s="66" t="n">
        <f aca="false">F111</f>
        <v>-13841.6666666667</v>
      </c>
      <c r="G36" s="66" t="n">
        <f aca="false">G111</f>
        <v>-13841.6666666667</v>
      </c>
      <c r="H36" s="66" t="n">
        <f aca="false">H111</f>
        <v>-13841.6666666667</v>
      </c>
      <c r="I36" s="66" t="n">
        <f aca="false">I111</f>
        <v>-13841.6666666667</v>
      </c>
      <c r="J36" s="66" t="n">
        <f aca="false">J111</f>
        <v>-13841.6666666667</v>
      </c>
      <c r="K36" s="66" t="n">
        <f aca="false">K111</f>
        <v>-13841.6666666667</v>
      </c>
      <c r="L36" s="66" t="n">
        <f aca="false">L111</f>
        <v>-13841.6666666667</v>
      </c>
      <c r="M36" s="66" t="n">
        <f aca="false">M111</f>
        <v>-13841.6666666667</v>
      </c>
      <c r="N36" s="66" t="n">
        <f aca="false">N111</f>
        <v>-13841.6666666667</v>
      </c>
      <c r="O36" s="66" t="n">
        <f aca="false">O111</f>
        <v>-14256.9166666667</v>
      </c>
      <c r="P36" s="66" t="n">
        <f aca="false">P111</f>
        <v>-14256.9166666667</v>
      </c>
      <c r="Q36" s="66" t="n">
        <f aca="false">Q111</f>
        <v>-14256.9166666667</v>
      </c>
      <c r="R36" s="66" t="n">
        <f aca="false">R111</f>
        <v>-14256.9166666667</v>
      </c>
      <c r="S36" s="66" t="n">
        <f aca="false">S111</f>
        <v>-14256.9166666667</v>
      </c>
      <c r="T36" s="66" t="n">
        <f aca="false">T111</f>
        <v>-14256.9166666667</v>
      </c>
      <c r="U36" s="66" t="n">
        <f aca="false">U111</f>
        <v>-14256.9166666667</v>
      </c>
      <c r="V36" s="66" t="n">
        <f aca="false">V111</f>
        <v>-14256.9166666667</v>
      </c>
      <c r="W36" s="66" t="n">
        <f aca="false">W111</f>
        <v>-14256.9166666667</v>
      </c>
      <c r="X36" s="66" t="n">
        <f aca="false">X111</f>
        <v>-14256.9166666667</v>
      </c>
      <c r="Y36" s="66" t="n">
        <f aca="false">Y111</f>
        <v>-14256.9166666667</v>
      </c>
      <c r="Z36" s="66" t="n">
        <f aca="false">Z111</f>
        <v>-14256.9166666667</v>
      </c>
      <c r="AA36" s="66" t="n">
        <f aca="false">AA111</f>
        <v>-14684.6241666667</v>
      </c>
      <c r="AB36" s="66" t="n">
        <f aca="false">AB111</f>
        <v>-14684.6241666667</v>
      </c>
      <c r="AC36" s="66" t="n">
        <f aca="false">AC111</f>
        <v>-14684.6241666667</v>
      </c>
      <c r="AD36" s="66" t="n">
        <f aca="false">AD111</f>
        <v>-14684.6241666667</v>
      </c>
      <c r="AE36" s="66" t="n">
        <f aca="false">AE111</f>
        <v>-14684.6241666667</v>
      </c>
      <c r="AF36" s="66" t="n">
        <f aca="false">AF111</f>
        <v>-14684.6241666667</v>
      </c>
      <c r="AG36" s="66" t="n">
        <f aca="false">AG111</f>
        <v>-14684.6241666667</v>
      </c>
      <c r="AH36" s="66" t="n">
        <f aca="false">AH111</f>
        <v>-14684.6241666667</v>
      </c>
      <c r="AI36" s="66" t="n">
        <f aca="false">AI111</f>
        <v>-14684.6241666667</v>
      </c>
      <c r="AJ36" s="66" t="n">
        <f aca="false">AJ111</f>
        <v>-14684.6241666667</v>
      </c>
      <c r="AK36" s="66" t="n">
        <f aca="false">AK111</f>
        <v>-14684.6241666667</v>
      </c>
      <c r="AL36" s="66" t="n">
        <f aca="false">AL111</f>
        <v>-14684.6241666667</v>
      </c>
    </row>
    <row r="37" customFormat="false" ht="15" hidden="false" customHeight="false" outlineLevel="0" collapsed="false">
      <c r="A37" s="6" t="s">
        <v>321</v>
      </c>
      <c r="C37" s="66" t="n">
        <f aca="false">-Inputs!$B$11*(1+Inputs!$B$12)^(C$7-1)*1</f>
        <v>-4000</v>
      </c>
      <c r="D37" s="66" t="n">
        <f aca="false">-Inputs!$B$11*(1+Inputs!$B$12)^(D$7-1)*1</f>
        <v>-4000</v>
      </c>
      <c r="E37" s="66" t="n">
        <f aca="false">-Inputs!$B$11*(1+Inputs!$B$12)^(E$7-1)*1</f>
        <v>-4000</v>
      </c>
      <c r="F37" s="66" t="n">
        <f aca="false">-Inputs!$B$11*(1+Inputs!$B$12)^(F$7-1)*1</f>
        <v>-4000</v>
      </c>
      <c r="G37" s="66" t="n">
        <f aca="false">-Inputs!$B$11*(1+Inputs!$B$12)^(G$7-1)*1</f>
        <v>-4000</v>
      </c>
      <c r="H37" s="66" t="n">
        <f aca="false">-Inputs!$B$11*(1+Inputs!$B$12)^(H$7-1)*1</f>
        <v>-4000</v>
      </c>
      <c r="I37" s="66" t="n">
        <f aca="false">-Inputs!$B$11*(1+Inputs!$B$12)^(I$7-1)*1</f>
        <v>-4000</v>
      </c>
      <c r="J37" s="66" t="n">
        <f aca="false">-Inputs!$B$11*(1+Inputs!$B$12)^(J$7-1)*1</f>
        <v>-4000</v>
      </c>
      <c r="K37" s="66" t="n">
        <f aca="false">-Inputs!$B$11*(1+Inputs!$B$12)^(K$7-1)*1</f>
        <v>-4000</v>
      </c>
      <c r="L37" s="66" t="n">
        <f aca="false">-Inputs!$B$11*(1+Inputs!$B$12)^(L$7-1)*1</f>
        <v>-4000</v>
      </c>
      <c r="M37" s="66" t="n">
        <f aca="false">-Inputs!$B$11*(1+Inputs!$B$12)^(M$7-1)*1</f>
        <v>-4000</v>
      </c>
      <c r="N37" s="66" t="n">
        <f aca="false">-Inputs!$B$11*(1+Inputs!$B$12)^(N$7-1)*1</f>
        <v>-4000</v>
      </c>
      <c r="O37" s="66" t="n">
        <f aca="false">-Inputs!$B$11*(1+Inputs!$B$12)^(O$7-1)*1</f>
        <v>-4000</v>
      </c>
      <c r="P37" s="66" t="n">
        <f aca="false">-Inputs!$B$11*(1+Inputs!$B$12)^(P$7-1)*1</f>
        <v>-4000</v>
      </c>
      <c r="Q37" s="66" t="n">
        <f aca="false">-Inputs!$B$11*(1+Inputs!$B$12)^(Q$7-1)*1</f>
        <v>-4000</v>
      </c>
      <c r="R37" s="66" t="n">
        <f aca="false">-Inputs!$B$11*(1+Inputs!$B$12)^(R$7-1)*1</f>
        <v>-4000</v>
      </c>
      <c r="S37" s="66" t="n">
        <f aca="false">-Inputs!$B$11*(1+Inputs!$B$12)^(S$7-1)*1</f>
        <v>-4000</v>
      </c>
      <c r="T37" s="66" t="n">
        <f aca="false">-Inputs!$B$11*(1+Inputs!$B$12)^(T$7-1)*1</f>
        <v>-4000</v>
      </c>
      <c r="U37" s="66" t="n">
        <f aca="false">-Inputs!$B$11*(1+Inputs!$B$12)^(U$7-1)*1</f>
        <v>-4000</v>
      </c>
      <c r="V37" s="66" t="n">
        <f aca="false">-Inputs!$B$11*(1+Inputs!$B$12)^(V$7-1)*1</f>
        <v>-4000</v>
      </c>
      <c r="W37" s="66" t="n">
        <f aca="false">-Inputs!$B$11*(1+Inputs!$B$12)^(W$7-1)*1</f>
        <v>-4000</v>
      </c>
      <c r="X37" s="66" t="n">
        <f aca="false">-Inputs!$B$11*(1+Inputs!$B$12)^(X$7-1)*1</f>
        <v>-4000</v>
      </c>
      <c r="Y37" s="66" t="n">
        <f aca="false">-Inputs!$B$11*(1+Inputs!$B$12)^(Y$7-1)*1</f>
        <v>-4000</v>
      </c>
      <c r="Z37" s="66" t="n">
        <f aca="false">-Inputs!$B$11*(1+Inputs!$B$12)^(Z$7-1)*1</f>
        <v>-4000</v>
      </c>
      <c r="AA37" s="66" t="n">
        <f aca="false">-Inputs!$B$11*(1+Inputs!$B$12)^(AA$7-1)*1</f>
        <v>-4000</v>
      </c>
      <c r="AB37" s="66" t="n">
        <f aca="false">-Inputs!$B$11*(1+Inputs!$B$12)^(AB$7-1)*1</f>
        <v>-4000</v>
      </c>
      <c r="AC37" s="66" t="n">
        <f aca="false">-Inputs!$B$11*(1+Inputs!$B$12)^(AC$7-1)*1</f>
        <v>-4000</v>
      </c>
      <c r="AD37" s="66" t="n">
        <f aca="false">-Inputs!$B$11*(1+Inputs!$B$12)^(AD$7-1)*1</f>
        <v>-4000</v>
      </c>
      <c r="AE37" s="66" t="n">
        <f aca="false">-Inputs!$B$11*(1+Inputs!$B$12)^(AE$7-1)*1</f>
        <v>-4000</v>
      </c>
      <c r="AF37" s="66" t="n">
        <f aca="false">-Inputs!$B$11*(1+Inputs!$B$12)^(AF$7-1)*1</f>
        <v>-4000</v>
      </c>
      <c r="AG37" s="66" t="n">
        <f aca="false">-Inputs!$B$11*(1+Inputs!$B$12)^(AG$7-1)*1</f>
        <v>-4000</v>
      </c>
      <c r="AH37" s="66" t="n">
        <f aca="false">-Inputs!$B$11*(1+Inputs!$B$12)^(AH$7-1)*1</f>
        <v>-4000</v>
      </c>
      <c r="AI37" s="66" t="n">
        <f aca="false">-Inputs!$B$11*(1+Inputs!$B$12)^(AI$7-1)*1</f>
        <v>-4000</v>
      </c>
      <c r="AJ37" s="66" t="n">
        <f aca="false">-Inputs!$B$11*(1+Inputs!$B$12)^(AJ$7-1)*1</f>
        <v>-4000</v>
      </c>
      <c r="AK37" s="66" t="n">
        <f aca="false">-Inputs!$B$11*(1+Inputs!$B$12)^(AK$7-1)*1</f>
        <v>-4000</v>
      </c>
      <c r="AL37" s="66" t="n">
        <f aca="false">-Inputs!$B$11*(1+Inputs!$B$12)^(AL$7-1)*1</f>
        <v>-4000</v>
      </c>
    </row>
    <row r="38" customFormat="false" ht="15" hidden="false" customHeight="false" outlineLevel="0" collapsed="false">
      <c r="A38" s="6" t="s">
        <v>322</v>
      </c>
      <c r="C38" s="66" t="n">
        <f aca="false">-Inputs!$B$33*1</f>
        <v>-12000</v>
      </c>
      <c r="D38" s="66" t="n">
        <f aca="false">-Inputs!$B$33*1</f>
        <v>-12000</v>
      </c>
      <c r="E38" s="66" t="n">
        <f aca="false">-Inputs!$B$33*1</f>
        <v>-12000</v>
      </c>
      <c r="F38" s="66" t="n">
        <f aca="false">-Inputs!$B$33*1</f>
        <v>-12000</v>
      </c>
      <c r="G38" s="66" t="n">
        <f aca="false">-Inputs!$B$33*1</f>
        <v>-12000</v>
      </c>
      <c r="H38" s="66" t="n">
        <f aca="false">-Inputs!$B$33*1</f>
        <v>-12000</v>
      </c>
      <c r="I38" s="66" t="n">
        <f aca="false">-Inputs!$B$33*1</f>
        <v>-12000</v>
      </c>
      <c r="J38" s="66" t="n">
        <f aca="false">-Inputs!$B$33*1</f>
        <v>-12000</v>
      </c>
      <c r="K38" s="66" t="n">
        <f aca="false">-Inputs!$B$33*1</f>
        <v>-12000</v>
      </c>
      <c r="L38" s="66" t="n">
        <f aca="false">-Inputs!$B$33*1</f>
        <v>-12000</v>
      </c>
      <c r="M38" s="66" t="n">
        <f aca="false">-Inputs!$B$33*1</f>
        <v>-12000</v>
      </c>
      <c r="N38" s="66" t="n">
        <f aca="false">-Inputs!$B$33*1</f>
        <v>-12000</v>
      </c>
      <c r="O38" s="66" t="n">
        <f aca="false">-Inputs!$B$33*1</f>
        <v>-12000</v>
      </c>
      <c r="P38" s="66" t="n">
        <f aca="false">-Inputs!$B$33*1</f>
        <v>-12000</v>
      </c>
      <c r="Q38" s="66" t="n">
        <f aca="false">-Inputs!$B$33*1</f>
        <v>-12000</v>
      </c>
      <c r="R38" s="66" t="n">
        <f aca="false">-Inputs!$B$33*1</f>
        <v>-12000</v>
      </c>
      <c r="S38" s="66" t="n">
        <f aca="false">-Inputs!$B$33*1</f>
        <v>-12000</v>
      </c>
      <c r="T38" s="66" t="n">
        <f aca="false">-Inputs!$B$33*1</f>
        <v>-12000</v>
      </c>
      <c r="U38" s="66" t="n">
        <f aca="false">-Inputs!$B$33*1</f>
        <v>-12000</v>
      </c>
      <c r="V38" s="66" t="n">
        <f aca="false">-Inputs!$B$33*1</f>
        <v>-12000</v>
      </c>
      <c r="W38" s="66" t="n">
        <f aca="false">-Inputs!$B$33*1</f>
        <v>-12000</v>
      </c>
      <c r="X38" s="66" t="n">
        <f aca="false">-Inputs!$B$33*1</f>
        <v>-12000</v>
      </c>
      <c r="Y38" s="66" t="n">
        <f aca="false">-Inputs!$B$33*1</f>
        <v>-12000</v>
      </c>
      <c r="Z38" s="66" t="n">
        <f aca="false">-Inputs!$B$33*1</f>
        <v>-12000</v>
      </c>
      <c r="AA38" s="66" t="n">
        <f aca="false">-Inputs!$B$33*1</f>
        <v>-12000</v>
      </c>
      <c r="AB38" s="66" t="n">
        <f aca="false">-Inputs!$B$33*1</f>
        <v>-12000</v>
      </c>
      <c r="AC38" s="66" t="n">
        <f aca="false">-Inputs!$B$33*1</f>
        <v>-12000</v>
      </c>
      <c r="AD38" s="66" t="n">
        <f aca="false">-Inputs!$B$33*1</f>
        <v>-12000</v>
      </c>
      <c r="AE38" s="66" t="n">
        <f aca="false">-Inputs!$B$33*1</f>
        <v>-12000</v>
      </c>
      <c r="AF38" s="66" t="n">
        <f aca="false">-Inputs!$B$33*1</f>
        <v>-12000</v>
      </c>
      <c r="AG38" s="66" t="n">
        <f aca="false">-Inputs!$B$33*1</f>
        <v>-12000</v>
      </c>
      <c r="AH38" s="66" t="n">
        <f aca="false">-Inputs!$B$33*1</f>
        <v>-12000</v>
      </c>
      <c r="AI38" s="66" t="n">
        <f aca="false">-Inputs!$B$33*1</f>
        <v>-12000</v>
      </c>
      <c r="AJ38" s="66" t="n">
        <f aca="false">-Inputs!$B$33*1</f>
        <v>-12000</v>
      </c>
      <c r="AK38" s="66" t="n">
        <f aca="false">-Inputs!$B$33*1</f>
        <v>-12000</v>
      </c>
      <c r="AL38" s="66" t="n">
        <f aca="false">-Inputs!$B$33*1</f>
        <v>-12000</v>
      </c>
    </row>
    <row r="39" customFormat="false" ht="15" hidden="false" customHeight="false" outlineLevel="0" collapsed="false">
      <c r="A39" s="6" t="s">
        <v>323</v>
      </c>
      <c r="C39" s="66" t="n">
        <f aca="false">-Inputs!$B$34*1</f>
        <v>-2200</v>
      </c>
      <c r="D39" s="66" t="n">
        <f aca="false">-Inputs!$B$34*1</f>
        <v>-2200</v>
      </c>
      <c r="E39" s="66" t="n">
        <f aca="false">-Inputs!$B$34*1</f>
        <v>-2200</v>
      </c>
      <c r="F39" s="66" t="n">
        <f aca="false">-Inputs!$B$34*1</f>
        <v>-2200</v>
      </c>
      <c r="G39" s="66" t="n">
        <f aca="false">-Inputs!$B$34*1</f>
        <v>-2200</v>
      </c>
      <c r="H39" s="66" t="n">
        <f aca="false">-Inputs!$B$34*1</f>
        <v>-2200</v>
      </c>
      <c r="I39" s="66" t="n">
        <f aca="false">-Inputs!$B$34*1</f>
        <v>-2200</v>
      </c>
      <c r="J39" s="66" t="n">
        <f aca="false">-Inputs!$B$34*1</f>
        <v>-2200</v>
      </c>
      <c r="K39" s="66" t="n">
        <f aca="false">-Inputs!$B$34*1</f>
        <v>-2200</v>
      </c>
      <c r="L39" s="66" t="n">
        <f aca="false">-Inputs!$B$34*1</f>
        <v>-2200</v>
      </c>
      <c r="M39" s="66" t="n">
        <f aca="false">-Inputs!$B$34*1</f>
        <v>-2200</v>
      </c>
      <c r="N39" s="66" t="n">
        <f aca="false">-Inputs!$B$34*1</f>
        <v>-2200</v>
      </c>
      <c r="O39" s="66" t="n">
        <f aca="false">-Inputs!$B$34*1</f>
        <v>-2200</v>
      </c>
      <c r="P39" s="66" t="n">
        <f aca="false">-Inputs!$B$34*1</f>
        <v>-2200</v>
      </c>
      <c r="Q39" s="66" t="n">
        <f aca="false">-Inputs!$B$34*1</f>
        <v>-2200</v>
      </c>
      <c r="R39" s="66" t="n">
        <f aca="false">-Inputs!$B$34*1</f>
        <v>-2200</v>
      </c>
      <c r="S39" s="66" t="n">
        <f aca="false">-Inputs!$B$34*1</f>
        <v>-2200</v>
      </c>
      <c r="T39" s="66" t="n">
        <f aca="false">-Inputs!$B$34*1</f>
        <v>-2200</v>
      </c>
      <c r="U39" s="66" t="n">
        <f aca="false">-Inputs!$B$34*1</f>
        <v>-2200</v>
      </c>
      <c r="V39" s="66" t="n">
        <f aca="false">-Inputs!$B$34*1</f>
        <v>-2200</v>
      </c>
      <c r="W39" s="66" t="n">
        <f aca="false">-Inputs!$B$34*1</f>
        <v>-2200</v>
      </c>
      <c r="X39" s="66" t="n">
        <f aca="false">-Inputs!$B$34*1</f>
        <v>-2200</v>
      </c>
      <c r="Y39" s="66" t="n">
        <f aca="false">-Inputs!$B$34*1</f>
        <v>-2200</v>
      </c>
      <c r="Z39" s="66" t="n">
        <f aca="false">-Inputs!$B$34*1</f>
        <v>-2200</v>
      </c>
      <c r="AA39" s="66" t="n">
        <f aca="false">-Inputs!$B$34*1</f>
        <v>-2200</v>
      </c>
      <c r="AB39" s="66" t="n">
        <f aca="false">-Inputs!$B$34*1</f>
        <v>-2200</v>
      </c>
      <c r="AC39" s="66" t="n">
        <f aca="false">-Inputs!$B$34*1</f>
        <v>-2200</v>
      </c>
      <c r="AD39" s="66" t="n">
        <f aca="false">-Inputs!$B$34*1</f>
        <v>-2200</v>
      </c>
      <c r="AE39" s="66" t="n">
        <f aca="false">-Inputs!$B$34*1</f>
        <v>-2200</v>
      </c>
      <c r="AF39" s="66" t="n">
        <f aca="false">-Inputs!$B$34*1</f>
        <v>-2200</v>
      </c>
      <c r="AG39" s="66" t="n">
        <f aca="false">-Inputs!$B$34*1</f>
        <v>-2200</v>
      </c>
      <c r="AH39" s="66" t="n">
        <f aca="false">-Inputs!$B$34*1</f>
        <v>-2200</v>
      </c>
      <c r="AI39" s="66" t="n">
        <f aca="false">-Inputs!$B$34*1</f>
        <v>-2200</v>
      </c>
      <c r="AJ39" s="66" t="n">
        <f aca="false">-Inputs!$B$34*1</f>
        <v>-2200</v>
      </c>
      <c r="AK39" s="66" t="n">
        <f aca="false">-Inputs!$B$34*1</f>
        <v>-2200</v>
      </c>
      <c r="AL39" s="66" t="n">
        <f aca="false">-Inputs!$B$34*1</f>
        <v>-2200</v>
      </c>
    </row>
    <row r="40" customFormat="false" ht="15" hidden="false" customHeight="false" outlineLevel="0" collapsed="false">
      <c r="A40" s="6" t="s">
        <v>324</v>
      </c>
      <c r="C40" s="66" t="n">
        <f aca="false">-Inputs!$B$35*1</f>
        <v>-1800</v>
      </c>
      <c r="D40" s="66" t="n">
        <f aca="false">-Inputs!$B$35*1</f>
        <v>-1800</v>
      </c>
      <c r="E40" s="66" t="n">
        <f aca="false">-Inputs!$B$35*1</f>
        <v>-1800</v>
      </c>
      <c r="F40" s="66" t="n">
        <f aca="false">-Inputs!$B$35*1</f>
        <v>-1800</v>
      </c>
      <c r="G40" s="66" t="n">
        <f aca="false">-Inputs!$B$35*1</f>
        <v>-1800</v>
      </c>
      <c r="H40" s="66" t="n">
        <f aca="false">-Inputs!$B$35*1</f>
        <v>-1800</v>
      </c>
      <c r="I40" s="66" t="n">
        <f aca="false">-Inputs!$B$35*1</f>
        <v>-1800</v>
      </c>
      <c r="J40" s="66" t="n">
        <f aca="false">-Inputs!$B$35*1</f>
        <v>-1800</v>
      </c>
      <c r="K40" s="66" t="n">
        <f aca="false">-Inputs!$B$35*1</f>
        <v>-1800</v>
      </c>
      <c r="L40" s="66" t="n">
        <f aca="false">-Inputs!$B$35*1</f>
        <v>-1800</v>
      </c>
      <c r="M40" s="66" t="n">
        <f aca="false">-Inputs!$B$35*1</f>
        <v>-1800</v>
      </c>
      <c r="N40" s="66" t="n">
        <f aca="false">-Inputs!$B$35*1</f>
        <v>-1800</v>
      </c>
      <c r="O40" s="66" t="n">
        <f aca="false">-Inputs!$B$35*1</f>
        <v>-1800</v>
      </c>
      <c r="P40" s="66" t="n">
        <f aca="false">-Inputs!$B$35*1</f>
        <v>-1800</v>
      </c>
      <c r="Q40" s="66" t="n">
        <f aca="false">-Inputs!$B$35*1</f>
        <v>-1800</v>
      </c>
      <c r="R40" s="66" t="n">
        <f aca="false">-Inputs!$B$35*1</f>
        <v>-1800</v>
      </c>
      <c r="S40" s="66" t="n">
        <f aca="false">-Inputs!$B$35*1</f>
        <v>-1800</v>
      </c>
      <c r="T40" s="66" t="n">
        <f aca="false">-Inputs!$B$35*1</f>
        <v>-1800</v>
      </c>
      <c r="U40" s="66" t="n">
        <f aca="false">-Inputs!$B$35*1</f>
        <v>-1800</v>
      </c>
      <c r="V40" s="66" t="n">
        <f aca="false">-Inputs!$B$35*1</f>
        <v>-1800</v>
      </c>
      <c r="W40" s="66" t="n">
        <f aca="false">-Inputs!$B$35*1</f>
        <v>-1800</v>
      </c>
      <c r="X40" s="66" t="n">
        <f aca="false">-Inputs!$B$35*1</f>
        <v>-1800</v>
      </c>
      <c r="Y40" s="66" t="n">
        <f aca="false">-Inputs!$B$35*1</f>
        <v>-1800</v>
      </c>
      <c r="Z40" s="66" t="n">
        <f aca="false">-Inputs!$B$35*1</f>
        <v>-1800</v>
      </c>
      <c r="AA40" s="66" t="n">
        <f aca="false">-Inputs!$B$35*1</f>
        <v>-1800</v>
      </c>
      <c r="AB40" s="66" t="n">
        <f aca="false">-Inputs!$B$35*1</f>
        <v>-1800</v>
      </c>
      <c r="AC40" s="66" t="n">
        <f aca="false">-Inputs!$B$35*1</f>
        <v>-1800</v>
      </c>
      <c r="AD40" s="66" t="n">
        <f aca="false">-Inputs!$B$35*1</f>
        <v>-1800</v>
      </c>
      <c r="AE40" s="66" t="n">
        <f aca="false">-Inputs!$B$35*1</f>
        <v>-1800</v>
      </c>
      <c r="AF40" s="66" t="n">
        <f aca="false">-Inputs!$B$35*1</f>
        <v>-1800</v>
      </c>
      <c r="AG40" s="66" t="n">
        <f aca="false">-Inputs!$B$35*1</f>
        <v>-1800</v>
      </c>
      <c r="AH40" s="66" t="n">
        <f aca="false">-Inputs!$B$35*1</f>
        <v>-1800</v>
      </c>
      <c r="AI40" s="66" t="n">
        <f aca="false">-Inputs!$B$35*1</f>
        <v>-1800</v>
      </c>
      <c r="AJ40" s="66" t="n">
        <f aca="false">-Inputs!$B$35*1</f>
        <v>-1800</v>
      </c>
      <c r="AK40" s="66" t="n">
        <f aca="false">-Inputs!$B$35*1</f>
        <v>-1800</v>
      </c>
      <c r="AL40" s="66" t="n">
        <f aca="false">-Inputs!$B$35*1</f>
        <v>-1800</v>
      </c>
    </row>
    <row r="41" customFormat="false" ht="15" hidden="false" customHeight="false" outlineLevel="0" collapsed="false">
      <c r="A41" s="6" t="s">
        <v>325</v>
      </c>
      <c r="C41" s="66" t="n">
        <f aca="false">-C26*Inputs!$B$36</f>
        <v>-505.286742857143</v>
      </c>
      <c r="D41" s="66" t="n">
        <f aca="false">-D26*Inputs!$B$36</f>
        <v>-609.384656571428</v>
      </c>
      <c r="E41" s="66" t="n">
        <f aca="false">-E26*Inputs!$B$36</f>
        <v>-706.195716325714</v>
      </c>
      <c r="F41" s="66" t="n">
        <f aca="false">-F26*Inputs!$B$36</f>
        <v>-796.2300018972</v>
      </c>
      <c r="G41" s="66" t="n">
        <f aca="false">-G26*Inputs!$B$36</f>
        <v>-879.961887478682</v>
      </c>
      <c r="H41" s="66" t="n">
        <f aca="false">-H26*Inputs!$B$36</f>
        <v>-957.83254106946</v>
      </c>
      <c r="I41" s="66" t="n">
        <f aca="false">-I26*Inputs!$B$36</f>
        <v>-1030.25224890888</v>
      </c>
      <c r="J41" s="66" t="n">
        <f aca="false">-J26*Inputs!$B$36</f>
        <v>-1097.60257719955</v>
      </c>
      <c r="K41" s="66" t="n">
        <f aca="false">-K26*Inputs!$B$36</f>
        <v>-1160.23838250986</v>
      </c>
      <c r="L41" s="66" t="n">
        <f aca="false">-L26*Inputs!$B$36</f>
        <v>-1218.48968144846</v>
      </c>
      <c r="M41" s="66" t="n">
        <f aca="false">-M26*Inputs!$B$36</f>
        <v>-1272.66338946135</v>
      </c>
      <c r="N41" s="66" t="n">
        <f aca="false">-N26*Inputs!$B$36</f>
        <v>-1323.04493791334</v>
      </c>
      <c r="O41" s="66" t="n">
        <f aca="false">-O26*Inputs!$B$36</f>
        <v>-1400.13990153317</v>
      </c>
      <c r="P41" s="66" t="n">
        <f aca="false">-P26*Inputs!$B$36</f>
        <v>-1447.46725205442</v>
      </c>
      <c r="Q41" s="66" t="n">
        <f aca="false">-Q26*Inputs!$B$36</f>
        <v>-1491.48168803918</v>
      </c>
      <c r="R41" s="66" t="n">
        <f aca="false">-R26*Inputs!$B$36</f>
        <v>-1532.41511350501</v>
      </c>
      <c r="S41" s="66" t="n">
        <f aca="false">-S26*Inputs!$B$36</f>
        <v>-1570.48319918823</v>
      </c>
      <c r="T41" s="66" t="n">
        <f aca="false">-T26*Inputs!$B$36</f>
        <v>-1605.88651887363</v>
      </c>
      <c r="U41" s="66" t="n">
        <f aca="false">-U26*Inputs!$B$36</f>
        <v>-1638.81160618104</v>
      </c>
      <c r="V41" s="66" t="n">
        <f aca="false">-V26*Inputs!$B$36</f>
        <v>-1669.43193737694</v>
      </c>
      <c r="W41" s="66" t="n">
        <f aca="false">-W26*Inputs!$B$36</f>
        <v>-1697.90884538913</v>
      </c>
      <c r="X41" s="66" t="n">
        <f aca="false">-X26*Inputs!$B$36</f>
        <v>-1724.39236984046</v>
      </c>
      <c r="Y41" s="66" t="n">
        <f aca="false">-Y26*Inputs!$B$36</f>
        <v>-1749.0220475802</v>
      </c>
      <c r="Z41" s="66" t="n">
        <f aca="false">-Z26*Inputs!$B$36</f>
        <v>-1771.92764787816</v>
      </c>
      <c r="AA41" s="66" t="n">
        <f aca="false">-AA26*Inputs!$B$36</f>
        <v>-1832.13837236636</v>
      </c>
      <c r="AB41" s="66" t="n">
        <f aca="false">-AB26*Inputs!$B$36</f>
        <v>-1855.43103667406</v>
      </c>
      <c r="AC41" s="66" t="n">
        <f aca="false">-AC26*Inputs!$B$36</f>
        <v>-1877.09321448022</v>
      </c>
      <c r="AD41" s="66" t="n">
        <f aca="false">-AD26*Inputs!$B$36</f>
        <v>-1897.23903983995</v>
      </c>
      <c r="AE41" s="66" t="n">
        <f aca="false">-AE26*Inputs!$B$36</f>
        <v>-1915.97465742449</v>
      </c>
      <c r="AF41" s="66" t="n">
        <f aca="false">-AF26*Inputs!$B$36</f>
        <v>-1933.39878177812</v>
      </c>
      <c r="AG41" s="66" t="n">
        <f aca="false">-AG26*Inputs!$B$36</f>
        <v>-1949.603217427</v>
      </c>
      <c r="AH41" s="66" t="n">
        <f aca="false">-AH26*Inputs!$B$36</f>
        <v>-1964.67334258045</v>
      </c>
      <c r="AI41" s="66" t="n">
        <f aca="false">-AI26*Inputs!$B$36</f>
        <v>-1978.68855897316</v>
      </c>
      <c r="AJ41" s="66" t="n">
        <f aca="false">-AJ26*Inputs!$B$36</f>
        <v>-1991.72271021838</v>
      </c>
      <c r="AK41" s="66" t="n">
        <f aca="false">-AK26*Inputs!$B$36</f>
        <v>-2003.84447087644</v>
      </c>
      <c r="AL41" s="66" t="n">
        <f aca="false">-AL26*Inputs!$B$36</f>
        <v>-2015.11770828843</v>
      </c>
    </row>
    <row r="42" customFormat="false" ht="15" hidden="false" customHeight="false" outlineLevel="0" collapsed="false">
      <c r="A42" s="6" t="s">
        <v>326</v>
      </c>
      <c r="C42" s="66" t="n">
        <f aca="false">-Inputs!$B$37*1</f>
        <v>-2000</v>
      </c>
      <c r="D42" s="66" t="n">
        <f aca="false">-Inputs!$B$37*1</f>
        <v>-2000</v>
      </c>
      <c r="E42" s="66" t="n">
        <f aca="false">-Inputs!$B$37*1</f>
        <v>-2000</v>
      </c>
      <c r="F42" s="66" t="n">
        <f aca="false">-Inputs!$B$37*1</f>
        <v>-2000</v>
      </c>
      <c r="G42" s="66" t="n">
        <f aca="false">-Inputs!$B$37*1</f>
        <v>-2000</v>
      </c>
      <c r="H42" s="66" t="n">
        <f aca="false">-Inputs!$B$37*1</f>
        <v>-2000</v>
      </c>
      <c r="I42" s="66" t="n">
        <f aca="false">-Inputs!$B$37*1</f>
        <v>-2000</v>
      </c>
      <c r="J42" s="66" t="n">
        <f aca="false">-Inputs!$B$37*1</f>
        <v>-2000</v>
      </c>
      <c r="K42" s="66" t="n">
        <f aca="false">-Inputs!$B$37*1</f>
        <v>-2000</v>
      </c>
      <c r="L42" s="66" t="n">
        <f aca="false">-Inputs!$B$37*1</f>
        <v>-2000</v>
      </c>
      <c r="M42" s="66" t="n">
        <f aca="false">-Inputs!$B$37*1</f>
        <v>-2000</v>
      </c>
      <c r="N42" s="66" t="n">
        <f aca="false">-Inputs!$B$37*1</f>
        <v>-2000</v>
      </c>
      <c r="O42" s="66" t="n">
        <f aca="false">-Inputs!$B$37*1</f>
        <v>-2000</v>
      </c>
      <c r="P42" s="66" t="n">
        <f aca="false">-Inputs!$B$37*1</f>
        <v>-2000</v>
      </c>
      <c r="Q42" s="66" t="n">
        <f aca="false">-Inputs!$B$37*1</f>
        <v>-2000</v>
      </c>
      <c r="R42" s="66" t="n">
        <f aca="false">-Inputs!$B$37*1</f>
        <v>-2000</v>
      </c>
      <c r="S42" s="66" t="n">
        <f aca="false">-Inputs!$B$37*1</f>
        <v>-2000</v>
      </c>
      <c r="T42" s="66" t="n">
        <f aca="false">-Inputs!$B$37*1</f>
        <v>-2000</v>
      </c>
      <c r="U42" s="66" t="n">
        <f aca="false">-Inputs!$B$37*1</f>
        <v>-2000</v>
      </c>
      <c r="V42" s="66" t="n">
        <f aca="false">-Inputs!$B$37*1</f>
        <v>-2000</v>
      </c>
      <c r="W42" s="66" t="n">
        <f aca="false">-Inputs!$B$37*1</f>
        <v>-2000</v>
      </c>
      <c r="X42" s="66" t="n">
        <f aca="false">-Inputs!$B$37*1</f>
        <v>-2000</v>
      </c>
      <c r="Y42" s="66" t="n">
        <f aca="false">-Inputs!$B$37*1</f>
        <v>-2000</v>
      </c>
      <c r="Z42" s="66" t="n">
        <f aca="false">-Inputs!$B$37*1</f>
        <v>-2000</v>
      </c>
      <c r="AA42" s="66" t="n">
        <f aca="false">-Inputs!$B$37*1</f>
        <v>-2000</v>
      </c>
      <c r="AB42" s="66" t="n">
        <f aca="false">-Inputs!$B$37*1</f>
        <v>-2000</v>
      </c>
      <c r="AC42" s="66" t="n">
        <f aca="false">-Inputs!$B$37*1</f>
        <v>-2000</v>
      </c>
      <c r="AD42" s="66" t="n">
        <f aca="false">-Inputs!$B$37*1</f>
        <v>-2000</v>
      </c>
      <c r="AE42" s="66" t="n">
        <f aca="false">-Inputs!$B$37*1</f>
        <v>-2000</v>
      </c>
      <c r="AF42" s="66" t="n">
        <f aca="false">-Inputs!$B$37*1</f>
        <v>-2000</v>
      </c>
      <c r="AG42" s="66" t="n">
        <f aca="false">-Inputs!$B$37*1</f>
        <v>-2000</v>
      </c>
      <c r="AH42" s="66" t="n">
        <f aca="false">-Inputs!$B$37*1</f>
        <v>-2000</v>
      </c>
      <c r="AI42" s="66" t="n">
        <f aca="false">-Inputs!$B$37*1</f>
        <v>-2000</v>
      </c>
      <c r="AJ42" s="66" t="n">
        <f aca="false">-Inputs!$B$37*1</f>
        <v>-2000</v>
      </c>
      <c r="AK42" s="66" t="n">
        <f aca="false">-Inputs!$B$37*1</f>
        <v>-2000</v>
      </c>
      <c r="AL42" s="66" t="n">
        <f aca="false">-Inputs!$B$37*1</f>
        <v>-2000</v>
      </c>
    </row>
    <row r="43" customFormat="false" ht="15" hidden="false" customHeight="false" outlineLevel="0" collapsed="false">
      <c r="A43" s="110" t="s">
        <v>76</v>
      </c>
      <c r="C43" s="67" t="n">
        <f aca="false">C36+C37+C38+C39+C40+C41+C42</f>
        <v>-36346.9534095238</v>
      </c>
      <c r="D43" s="67" t="n">
        <f aca="false">D36+D37+D38+D39+D40+D41+D42</f>
        <v>-36451.0513232381</v>
      </c>
      <c r="E43" s="67" t="n">
        <f aca="false">E36+E37+E38+E39+E40+E41+E42</f>
        <v>-36547.8623829924</v>
      </c>
      <c r="F43" s="67" t="n">
        <f aca="false">F36+F37+F38+F39+F40+F41+F42</f>
        <v>-36637.8966685639</v>
      </c>
      <c r="G43" s="67" t="n">
        <f aca="false">G36+G37+G38+G39+G40+G41+G42</f>
        <v>-36721.6285541454</v>
      </c>
      <c r="H43" s="67" t="n">
        <f aca="false">H36+H37+H38+H39+H40+H41+H42</f>
        <v>-36799.4992077361</v>
      </c>
      <c r="I43" s="67" t="n">
        <f aca="false">I36+I37+I38+I39+I40+I41+I42</f>
        <v>-36871.9189155756</v>
      </c>
      <c r="J43" s="67" t="n">
        <f aca="false">J36+J37+J38+J39+J40+J41+J42</f>
        <v>-36939.2692438662</v>
      </c>
      <c r="K43" s="67" t="n">
        <f aca="false">K36+K37+K38+K39+K40+K41+K42</f>
        <v>-37001.9050491765</v>
      </c>
      <c r="L43" s="67" t="n">
        <f aca="false">L36+L37+L38+L39+L40+L41+L42</f>
        <v>-37060.1563481151</v>
      </c>
      <c r="M43" s="67" t="n">
        <f aca="false">M36+M37+M38+M39+M40+M41+M42</f>
        <v>-37114.330056128</v>
      </c>
      <c r="N43" s="67" t="n">
        <f aca="false">N36+N37+N38+N39+N40+N41+N42</f>
        <v>-37164.71160458</v>
      </c>
      <c r="O43" s="67" t="n">
        <f aca="false">O36+O37+O38+O39+O40+O41+O42</f>
        <v>-37657.0565681998</v>
      </c>
      <c r="P43" s="67" t="n">
        <f aca="false">P36+P37+P38+P39+P40+P41+P42</f>
        <v>-37704.3839187211</v>
      </c>
      <c r="Q43" s="67" t="n">
        <f aca="false">Q36+Q37+Q38+Q39+Q40+Q41+Q42</f>
        <v>-37748.3983547059</v>
      </c>
      <c r="R43" s="67" t="n">
        <f aca="false">R36+R37+R38+R39+R40+R41+R42</f>
        <v>-37789.3317801717</v>
      </c>
      <c r="S43" s="67" t="n">
        <f aca="false">S36+S37+S38+S39+S40+S41+S42</f>
        <v>-37827.3998658549</v>
      </c>
      <c r="T43" s="67" t="n">
        <f aca="false">T36+T37+T38+T39+T40+T41+T42</f>
        <v>-37862.8031855403</v>
      </c>
      <c r="U43" s="67" t="n">
        <f aca="false">U36+U37+U38+U39+U40+U41+U42</f>
        <v>-37895.7282728477</v>
      </c>
      <c r="V43" s="67" t="n">
        <f aca="false">V36+V37+V38+V39+V40+V41+V42</f>
        <v>-37926.3486040436</v>
      </c>
      <c r="W43" s="67" t="n">
        <f aca="false">W36+W37+W38+W39+W40+W41+W42</f>
        <v>-37954.8255120558</v>
      </c>
      <c r="X43" s="67" t="n">
        <f aca="false">X36+X37+X38+X39+X40+X41+X42</f>
        <v>-37981.3090365071</v>
      </c>
      <c r="Y43" s="67" t="n">
        <f aca="false">Y36+Y37+Y38+Y39+Y40+Y41+Y42</f>
        <v>-38005.9387142469</v>
      </c>
      <c r="Z43" s="67" t="n">
        <f aca="false">Z36+Z37+Z38+Z39+Z40+Z41+Z42</f>
        <v>-38028.8443145448</v>
      </c>
      <c r="AA43" s="67" t="n">
        <f aca="false">AA36+AA37+AA38+AA39+AA40+AA41+AA42</f>
        <v>-38516.762539033</v>
      </c>
      <c r="AB43" s="67" t="n">
        <f aca="false">AB36+AB37+AB38+AB39+AB40+AB41+AB42</f>
        <v>-38540.0552033407</v>
      </c>
      <c r="AC43" s="67" t="n">
        <f aca="false">AC36+AC37+AC38+AC39+AC40+AC41+AC42</f>
        <v>-38561.7173811469</v>
      </c>
      <c r="AD43" s="67" t="n">
        <f aca="false">AD36+AD37+AD38+AD39+AD40+AD41+AD42</f>
        <v>-38581.8632065066</v>
      </c>
      <c r="AE43" s="67" t="n">
        <f aca="false">AE36+AE37+AE38+AE39+AE40+AE41+AE42</f>
        <v>-38600.5988240912</v>
      </c>
      <c r="AF43" s="67" t="n">
        <f aca="false">AF36+AF37+AF38+AF39+AF40+AF41+AF42</f>
        <v>-38618.0229484448</v>
      </c>
      <c r="AG43" s="67" t="n">
        <f aca="false">AG36+AG37+AG38+AG39+AG40+AG41+AG42</f>
        <v>-38634.2273840937</v>
      </c>
      <c r="AH43" s="67" t="n">
        <f aca="false">AH36+AH37+AH38+AH39+AH40+AH41+AH42</f>
        <v>-38649.2975092471</v>
      </c>
      <c r="AI43" s="67" t="n">
        <f aca="false">AI36+AI37+AI38+AI39+AI40+AI41+AI42</f>
        <v>-38663.3127256398</v>
      </c>
      <c r="AJ43" s="67" t="n">
        <f aca="false">AJ36+AJ37+AJ38+AJ39+AJ40+AJ41+AJ42</f>
        <v>-38676.3468768851</v>
      </c>
      <c r="AK43" s="67" t="n">
        <f aca="false">AK36+AK37+AK38+AK39+AK40+AK41+AK42</f>
        <v>-38688.4686375431</v>
      </c>
      <c r="AL43" s="67" t="n">
        <f aca="false">AL36+AL37+AL38+AL39+AL40+AL41+AL42</f>
        <v>-38699.7418749551</v>
      </c>
    </row>
    <row r="44" customFormat="false" ht="15" hidden="false" customHeight="false" outlineLevel="0" collapsed="false">
      <c r="A44" s="110" t="s">
        <v>48</v>
      </c>
      <c r="C44" s="67" t="n">
        <f aca="false">C33+C43</f>
        <v>-34756.6055047619</v>
      </c>
      <c r="D44" s="67" t="n">
        <f aca="false">D33+D43</f>
        <v>-32775.1172956191</v>
      </c>
      <c r="E44" s="67" t="n">
        <f aca="false">E33+E43</f>
        <v>-30932.3332611162</v>
      </c>
      <c r="F44" s="67" t="n">
        <f aca="false">F33+F43</f>
        <v>-29218.5441090285</v>
      </c>
      <c r="G44" s="67" t="n">
        <f aca="false">G33+G43</f>
        <v>-27624.720197587</v>
      </c>
      <c r="H44" s="67" t="n">
        <f aca="false">H33+H43</f>
        <v>-26142.4639599464</v>
      </c>
      <c r="I44" s="67" t="n">
        <f aca="false">I33+I43</f>
        <v>-24763.9656589406</v>
      </c>
      <c r="J44" s="67" t="n">
        <f aca="false">J33+J43</f>
        <v>-23481.9622390053</v>
      </c>
      <c r="K44" s="67" t="n">
        <f aca="false">K33+K43</f>
        <v>-22289.6990584654</v>
      </c>
      <c r="L44" s="67" t="n">
        <f aca="false">L33+L43</f>
        <v>-21180.8943005633</v>
      </c>
      <c r="M44" s="67" t="n">
        <f aca="false">M33+M43</f>
        <v>-20149.7058757143</v>
      </c>
      <c r="N44" s="67" t="n">
        <f aca="false">N33+N43</f>
        <v>-19190.7006406048</v>
      </c>
      <c r="O44" s="67" t="n">
        <f aca="false">O33+O43</f>
        <v>-18392.8343687253</v>
      </c>
      <c r="P44" s="67" t="n">
        <f aca="false">P33+P43</f>
        <v>-17491.9653341622</v>
      </c>
      <c r="Q44" s="67" t="n">
        <f aca="false">Q33+Q43</f>
        <v>-16654.1571320184</v>
      </c>
      <c r="R44" s="67" t="n">
        <f aca="false">R33+R43</f>
        <v>-15874.9955040248</v>
      </c>
      <c r="S44" s="67" t="n">
        <f aca="false">S33+S43</f>
        <v>-15150.3751899907</v>
      </c>
      <c r="T44" s="67" t="n">
        <f aca="false">T33+T43</f>
        <v>-14476.4782979389</v>
      </c>
      <c r="U44" s="67" t="n">
        <f aca="false">U33+U43</f>
        <v>-13849.7541883308</v>
      </c>
      <c r="V44" s="67" t="n">
        <f aca="false">V33+V43</f>
        <v>-13266.9007663953</v>
      </c>
      <c r="W44" s="67" t="n">
        <f aca="false">W33+W43</f>
        <v>-12724.8470839952</v>
      </c>
      <c r="X44" s="67" t="n">
        <f aca="false">X33+X43</f>
        <v>-12220.7371593632</v>
      </c>
      <c r="Y44" s="67" t="n">
        <f aca="false">Y33+Y43</f>
        <v>-11751.9149294554</v>
      </c>
      <c r="Z44" s="67" t="n">
        <f aca="false">Z33+Z43</f>
        <v>-11315.9102556411</v>
      </c>
      <c r="AA44" s="67" t="n">
        <f aca="false">AA33+AA43</f>
        <v>-10859.3683696151</v>
      </c>
      <c r="AB44" s="67" t="n">
        <f aca="false">AB33+AB43</f>
        <v>-10415.9959903001</v>
      </c>
      <c r="AC44" s="67" t="n">
        <f aca="false">AC33+AC43</f>
        <v>-10003.6596775372</v>
      </c>
      <c r="AD44" s="67" t="n">
        <f aca="false">AD33+AD43</f>
        <v>-9620.18690666773</v>
      </c>
      <c r="AE44" s="67" t="n">
        <f aca="false">AE33+AE43</f>
        <v>-9263.55722975909</v>
      </c>
      <c r="AF44" s="67" t="n">
        <f aca="false">AF33+AF43</f>
        <v>-8931.89163023407</v>
      </c>
      <c r="AG44" s="67" t="n">
        <f aca="false">AG33+AG43</f>
        <v>-8623.44262267579</v>
      </c>
      <c r="AH44" s="67" t="n">
        <f aca="false">AH33+AH43</f>
        <v>-8336.58504564659</v>
      </c>
      <c r="AI44" s="67" t="n">
        <f aca="false">AI33+AI43</f>
        <v>-8069.80749900943</v>
      </c>
      <c r="AJ44" s="67" t="n">
        <f aca="false">AJ33+AJ43</f>
        <v>-7821.70438063687</v>
      </c>
      <c r="AK44" s="67" t="n">
        <f aca="false">AK33+AK43</f>
        <v>-7590.9684805504</v>
      </c>
      <c r="AL44" s="67" t="n">
        <f aca="false">AL33+AL43</f>
        <v>-7376.38409346997</v>
      </c>
    </row>
    <row r="46" customFormat="false" ht="15.75" hidden="false" customHeight="true" outlineLevel="0" collapsed="false">
      <c r="A46" s="7" t="s">
        <v>387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</row>
    <row r="47" customFormat="false" ht="15" hidden="false" customHeight="false" outlineLevel="0" collapsed="false">
      <c r="A47" s="4" t="s">
        <v>78</v>
      </c>
      <c r="C47" s="72" t="n">
        <f aca="false">C44+C58</f>
        <v>-37732.7959809524</v>
      </c>
      <c r="D47" s="72" t="n">
        <f aca="false">D44+D58</f>
        <v>-35751.3077718095</v>
      </c>
      <c r="E47" s="72" t="n">
        <f aca="false">E44+E58</f>
        <v>-33908.5237373067</v>
      </c>
      <c r="F47" s="72" t="n">
        <f aca="false">F44+F58</f>
        <v>-32194.734585219</v>
      </c>
      <c r="G47" s="72" t="n">
        <f aca="false">G44+G58</f>
        <v>-30600.9106737775</v>
      </c>
      <c r="H47" s="72" t="n">
        <f aca="false">H44+H58</f>
        <v>-29118.6544361369</v>
      </c>
      <c r="I47" s="72" t="n">
        <f aca="false">I44+I58</f>
        <v>-27740.1561351311</v>
      </c>
      <c r="J47" s="72" t="n">
        <f aca="false">J44+J58</f>
        <v>-26458.1527151958</v>
      </c>
      <c r="K47" s="72" t="n">
        <f aca="false">K44+K58</f>
        <v>-25265.8895346559</v>
      </c>
      <c r="L47" s="72" t="n">
        <f aca="false">L44+L58</f>
        <v>-24157.0847767538</v>
      </c>
      <c r="M47" s="72" t="n">
        <f aca="false">M44+M58</f>
        <v>-23125.8963519048</v>
      </c>
      <c r="N47" s="72" t="n">
        <f aca="false">N44+N58</f>
        <v>-22166.8911167953</v>
      </c>
      <c r="O47" s="72" t="n">
        <f aca="false">O44+O58</f>
        <v>-21369.0248449158</v>
      </c>
      <c r="P47" s="72" t="n">
        <f aca="false">P44+P58</f>
        <v>-20468.1558103527</v>
      </c>
      <c r="Q47" s="72" t="n">
        <f aca="false">Q44+Q58</f>
        <v>-19630.3476082089</v>
      </c>
      <c r="R47" s="72" t="n">
        <f aca="false">R44+R58</f>
        <v>-18851.1859802153</v>
      </c>
      <c r="S47" s="72" t="n">
        <f aca="false">S44+S58</f>
        <v>-18126.5656661811</v>
      </c>
      <c r="T47" s="72" t="n">
        <f aca="false">T44+T58</f>
        <v>-17452.6687741294</v>
      </c>
      <c r="U47" s="72" t="n">
        <f aca="false">U44+U58</f>
        <v>-16825.9446645213</v>
      </c>
      <c r="V47" s="72" t="n">
        <f aca="false">V44+V58</f>
        <v>-16243.0912425858</v>
      </c>
      <c r="W47" s="72" t="n">
        <f aca="false">W44+W58</f>
        <v>-15701.0375601857</v>
      </c>
      <c r="X47" s="72" t="n">
        <f aca="false">X44+X58</f>
        <v>-15196.9276355537</v>
      </c>
      <c r="Y47" s="72" t="n">
        <f aca="false">Y44+Y58</f>
        <v>-14728.1054056459</v>
      </c>
      <c r="Z47" s="72" t="n">
        <f aca="false">Z44+Z58</f>
        <v>-14292.1007318316</v>
      </c>
      <c r="AA47" s="72" t="n">
        <f aca="false">AA44+AA58</f>
        <v>-13835.5588458056</v>
      </c>
      <c r="AB47" s="72" t="n">
        <f aca="false">AB44+AB58</f>
        <v>-13392.1864664906</v>
      </c>
      <c r="AC47" s="72" t="n">
        <f aca="false">AC44+AC58</f>
        <v>-12979.8501537277</v>
      </c>
      <c r="AD47" s="72" t="n">
        <f aca="false">AD44+AD58</f>
        <v>-12596.3773828582</v>
      </c>
      <c r="AE47" s="72" t="n">
        <f aca="false">AE44+AE58</f>
        <v>-12239.7477059496</v>
      </c>
      <c r="AF47" s="72" t="n">
        <f aca="false">AF44+AF58</f>
        <v>-11908.0821064245</v>
      </c>
      <c r="AG47" s="72" t="n">
        <f aca="false">AG44+AG58</f>
        <v>-11599.6330988663</v>
      </c>
      <c r="AH47" s="72" t="n">
        <f aca="false">AH44+AH58</f>
        <v>-11312.7755218371</v>
      </c>
      <c r="AI47" s="72" t="n">
        <f aca="false">AI44+AI58</f>
        <v>-11045.9979751999</v>
      </c>
      <c r="AJ47" s="72" t="n">
        <f aca="false">AJ44+AJ58</f>
        <v>-10797.8948568273</v>
      </c>
      <c r="AK47" s="72" t="n">
        <f aca="false">AK44+AK58</f>
        <v>-10567.1589567409</v>
      </c>
      <c r="AL47" s="72" t="n">
        <f aca="false">AL44+AL58</f>
        <v>-10352.5745696604</v>
      </c>
    </row>
    <row r="48" customFormat="false" ht="15" hidden="false" customHeight="false" outlineLevel="0" collapsed="false">
      <c r="A48" s="6" t="s">
        <v>388</v>
      </c>
      <c r="C48" s="66" t="n">
        <f aca="false">-(C63+C64+C66)/2*Inputs!$B$56/12</f>
        <v>-1000</v>
      </c>
      <c r="D48" s="66" t="n">
        <f aca="false">-(D63+D64+D66)/2*Inputs!$B$56/12</f>
        <v>-994.047619047619</v>
      </c>
      <c r="E48" s="66" t="n">
        <f aca="false">-(E63+E64+E66)/2*Inputs!$B$56/12</f>
        <v>-982.142857142857</v>
      </c>
      <c r="F48" s="66" t="n">
        <f aca="false">-(F63+F64+F66)/2*Inputs!$B$56/12</f>
        <v>-970.238095238095</v>
      </c>
      <c r="G48" s="66" t="n">
        <f aca="false">-(G63+G64+G66)/2*Inputs!$B$56/12</f>
        <v>-958.333333333333</v>
      </c>
      <c r="H48" s="66" t="n">
        <f aca="false">-(H63+H64+H66)/2*Inputs!$B$56/12</f>
        <v>-946.428571428571</v>
      </c>
      <c r="I48" s="66" t="n">
        <f aca="false">-(I63+I64+I66)/2*Inputs!$B$56/12</f>
        <v>-934.52380952381</v>
      </c>
      <c r="J48" s="66" t="n">
        <f aca="false">-(J63+J64+J66)/2*Inputs!$B$56/12</f>
        <v>-922.619047619047</v>
      </c>
      <c r="K48" s="66" t="n">
        <f aca="false">-(K63+K64+K66)/2*Inputs!$B$56/12</f>
        <v>-910.714285714286</v>
      </c>
      <c r="L48" s="66" t="n">
        <f aca="false">-(L63+L64+L66)/2*Inputs!$B$56/12</f>
        <v>-898.809523809524</v>
      </c>
      <c r="M48" s="66" t="n">
        <f aca="false">-(M63+M64+M66)/2*Inputs!$B$56/12</f>
        <v>-886.904761904762</v>
      </c>
      <c r="N48" s="66" t="n">
        <f aca="false">-(N63+N64+N66)/2*Inputs!$B$56/12</f>
        <v>-875</v>
      </c>
      <c r="O48" s="66" t="n">
        <f aca="false">-(O63+O64+O66)/2*Inputs!$B$56/12</f>
        <v>-863.095238095238</v>
      </c>
      <c r="P48" s="66" t="n">
        <f aca="false">-(P63+P64+P66)/2*Inputs!$B$56/12</f>
        <v>-851.190476190476</v>
      </c>
      <c r="Q48" s="66" t="n">
        <f aca="false">-(Q63+Q64+Q66)/2*Inputs!$B$56/12</f>
        <v>-839.285714285714</v>
      </c>
      <c r="R48" s="66" t="n">
        <f aca="false">-(R63+R64+R66)/2*Inputs!$B$56/12</f>
        <v>-827.380952380952</v>
      </c>
      <c r="S48" s="66" t="n">
        <f aca="false">-(S63+S64+S66)/2*Inputs!$B$56/12</f>
        <v>-815.47619047619</v>
      </c>
      <c r="T48" s="66" t="n">
        <f aca="false">-(T63+T64+T66)/2*Inputs!$B$56/12</f>
        <v>-803.571428571428</v>
      </c>
      <c r="U48" s="66" t="n">
        <f aca="false">-(U63+U64+U66)/2*Inputs!$B$56/12</f>
        <v>-791.666666666666</v>
      </c>
      <c r="V48" s="66" t="n">
        <f aca="false">-(V63+V64+V66)/2*Inputs!$B$56/12</f>
        <v>-779.761904761904</v>
      </c>
      <c r="W48" s="66" t="n">
        <f aca="false">-(W63+W64+W66)/2*Inputs!$B$56/12</f>
        <v>-767.857142857142</v>
      </c>
      <c r="X48" s="66" t="n">
        <f aca="false">-(X63+X64+X66)/2*Inputs!$B$56/12</f>
        <v>-755.95238095238</v>
      </c>
      <c r="Y48" s="66" t="n">
        <f aca="false">-(Y63+Y64+Y66)/2*Inputs!$B$56/12</f>
        <v>-744.047619047619</v>
      </c>
      <c r="Z48" s="66" t="n">
        <f aca="false">-(Z63+Z64+Z66)/2*Inputs!$B$56/12</f>
        <v>-732.142857142857</v>
      </c>
      <c r="AA48" s="66" t="n">
        <f aca="false">-(AA63+AA64+AA66)/2*Inputs!$B$56/12</f>
        <v>-720.238095238095</v>
      </c>
      <c r="AB48" s="66" t="n">
        <f aca="false">-(AB63+AB64+AB66)/2*Inputs!$B$56/12</f>
        <v>-708.333333333333</v>
      </c>
      <c r="AC48" s="66" t="n">
        <f aca="false">-(AC63+AC64+AC66)/2*Inputs!$B$56/12</f>
        <v>-696.428571428571</v>
      </c>
      <c r="AD48" s="66" t="n">
        <f aca="false">-(AD63+AD64+AD66)/2*Inputs!$B$56/12</f>
        <v>-684.523809523809</v>
      </c>
      <c r="AE48" s="66" t="n">
        <f aca="false">-(AE63+AE64+AE66)/2*Inputs!$B$56/12</f>
        <v>-672.619047619047</v>
      </c>
      <c r="AF48" s="66" t="n">
        <f aca="false">-(AF63+AF64+AF66)/2*Inputs!$B$56/12</f>
        <v>-660.714285714285</v>
      </c>
      <c r="AG48" s="66" t="n">
        <f aca="false">-(AG63+AG64+AG66)/2*Inputs!$B$56/12</f>
        <v>-648.809523809523</v>
      </c>
      <c r="AH48" s="66" t="n">
        <f aca="false">-(AH63+AH64+AH66)/2*Inputs!$B$56/12</f>
        <v>-636.904761904761</v>
      </c>
      <c r="AI48" s="66" t="n">
        <f aca="false">-(AI63+AI64+AI66)/2*Inputs!$B$56/12</f>
        <v>-624.999999999999</v>
      </c>
      <c r="AJ48" s="66" t="n">
        <f aca="false">-(AJ63+AJ64+AJ66)/2*Inputs!$B$56/12</f>
        <v>-613.095238095237</v>
      </c>
      <c r="AK48" s="66" t="n">
        <f aca="false">-(AK63+AK64+AK66)/2*Inputs!$B$56/12</f>
        <v>-601.190476190475</v>
      </c>
      <c r="AL48" s="66" t="n">
        <f aca="false">-(AL63+AL64+AL66)/2*Inputs!$B$56/12</f>
        <v>-589.285714285713</v>
      </c>
    </row>
    <row r="49" customFormat="false" ht="15" hidden="false" customHeight="false" outlineLevel="0" collapsed="false">
      <c r="A49" s="110" t="s">
        <v>80</v>
      </c>
      <c r="C49" s="67" t="n">
        <f aca="false">C47+C48</f>
        <v>-38732.7959809524</v>
      </c>
      <c r="D49" s="67" t="n">
        <f aca="false">D47+D48</f>
        <v>-36745.3553908572</v>
      </c>
      <c r="E49" s="67" t="n">
        <f aca="false">E47+E48</f>
        <v>-34890.6665944495</v>
      </c>
      <c r="F49" s="67" t="n">
        <f aca="false">F47+F48</f>
        <v>-33164.9726804571</v>
      </c>
      <c r="G49" s="67" t="n">
        <f aca="false">G47+G48</f>
        <v>-31559.2440071108</v>
      </c>
      <c r="H49" s="67" t="n">
        <f aca="false">H47+H48</f>
        <v>-30065.0830075655</v>
      </c>
      <c r="I49" s="67" t="n">
        <f aca="false">I47+I48</f>
        <v>-28674.6799446549</v>
      </c>
      <c r="J49" s="67" t="n">
        <f aca="false">J47+J48</f>
        <v>-27380.7717628148</v>
      </c>
      <c r="K49" s="67" t="n">
        <f aca="false">K47+K48</f>
        <v>-26176.6038203701</v>
      </c>
      <c r="L49" s="67" t="n">
        <f aca="false">L47+L48</f>
        <v>-25055.8943005633</v>
      </c>
      <c r="M49" s="67" t="n">
        <f aca="false">M47+M48</f>
        <v>-24012.8011138096</v>
      </c>
      <c r="N49" s="67" t="n">
        <f aca="false">N47+N48</f>
        <v>-23041.8911167953</v>
      </c>
      <c r="O49" s="67" t="n">
        <f aca="false">O47+O48</f>
        <v>-22232.1200830111</v>
      </c>
      <c r="P49" s="67" t="n">
        <f aca="false">P47+P48</f>
        <v>-21319.3462865431</v>
      </c>
      <c r="Q49" s="67" t="n">
        <f aca="false">Q47+Q48</f>
        <v>-20469.6333224946</v>
      </c>
      <c r="R49" s="67" t="n">
        <f aca="false">R47+R48</f>
        <v>-19678.5669325962</v>
      </c>
      <c r="S49" s="67" t="n">
        <f aca="false">S47+S48</f>
        <v>-18942.0418566573</v>
      </c>
      <c r="T49" s="67" t="n">
        <f aca="false">T47+T48</f>
        <v>-18256.2402027008</v>
      </c>
      <c r="U49" s="67" t="n">
        <f aca="false">U47+U48</f>
        <v>-17617.611331188</v>
      </c>
      <c r="V49" s="67" t="n">
        <f aca="false">V47+V48</f>
        <v>-17022.8531473477</v>
      </c>
      <c r="W49" s="67" t="n">
        <f aca="false">W47+W48</f>
        <v>-16468.8947030429</v>
      </c>
      <c r="X49" s="67" t="n">
        <f aca="false">X47+X48</f>
        <v>-15952.880016506</v>
      </c>
      <c r="Y49" s="67" t="n">
        <f aca="false">Y47+Y48</f>
        <v>-15472.1530246935</v>
      </c>
      <c r="Z49" s="67" t="n">
        <f aca="false">Z47+Z48</f>
        <v>-15024.2435889745</v>
      </c>
      <c r="AA49" s="67" t="n">
        <f aca="false">AA47+AA48</f>
        <v>-14555.7969410437</v>
      </c>
      <c r="AB49" s="67" t="n">
        <f aca="false">AB47+AB48</f>
        <v>-14100.519799824</v>
      </c>
      <c r="AC49" s="67" t="n">
        <f aca="false">AC47+AC48</f>
        <v>-13676.2787251563</v>
      </c>
      <c r="AD49" s="67" t="n">
        <f aca="false">AD47+AD48</f>
        <v>-13280.901192382</v>
      </c>
      <c r="AE49" s="67" t="n">
        <f aca="false">AE47+AE48</f>
        <v>-12912.3667535686</v>
      </c>
      <c r="AF49" s="67" t="n">
        <f aca="false">AF47+AF48</f>
        <v>-12568.7963921388</v>
      </c>
      <c r="AG49" s="67" t="n">
        <f aca="false">AG47+AG48</f>
        <v>-12248.4426226758</v>
      </c>
      <c r="AH49" s="67" t="n">
        <f aca="false">AH47+AH48</f>
        <v>-11949.6802837418</v>
      </c>
      <c r="AI49" s="67" t="n">
        <f aca="false">AI47+AI48</f>
        <v>-11670.9979751999</v>
      </c>
      <c r="AJ49" s="67" t="n">
        <f aca="false">AJ47+AJ48</f>
        <v>-11410.9900949226</v>
      </c>
      <c r="AK49" s="67" t="n">
        <f aca="false">AK47+AK48</f>
        <v>-11168.3494329314</v>
      </c>
      <c r="AL49" s="67" t="n">
        <f aca="false">AL47+AL48</f>
        <v>-10941.8602839462</v>
      </c>
    </row>
    <row r="50" customFormat="false" ht="15" hidden="false" customHeight="false" outlineLevel="0" collapsed="false">
      <c r="A50" s="116" t="s">
        <v>389</v>
      </c>
      <c r="C50" s="66" t="n">
        <f aca="false">C49</f>
        <v>-38732.7959809524</v>
      </c>
      <c r="D50" s="66" t="n">
        <f aca="false">C50+D49</f>
        <v>-75478.1513718095</v>
      </c>
      <c r="E50" s="66" t="n">
        <f aca="false">D50+E49</f>
        <v>-110368.817966259</v>
      </c>
      <c r="F50" s="66" t="n">
        <f aca="false">E50+F49</f>
        <v>-143533.790646716</v>
      </c>
      <c r="G50" s="66" t="n">
        <f aca="false">F50+G49</f>
        <v>-175093.034653827</v>
      </c>
      <c r="H50" s="66" t="n">
        <f aca="false">G50+H49</f>
        <v>-205158.117661393</v>
      </c>
      <c r="I50" s="66" t="n">
        <f aca="false">H50+I49</f>
        <v>-233832.797606047</v>
      </c>
      <c r="J50" s="66" t="n">
        <f aca="false">I50+J49</f>
        <v>-261213.569368862</v>
      </c>
      <c r="K50" s="66" t="n">
        <f aca="false">J50+K49</f>
        <v>-287390.173189232</v>
      </c>
      <c r="L50" s="66" t="n">
        <f aca="false">K50+L49</f>
        <v>-312446.067489796</v>
      </c>
      <c r="M50" s="66" t="n">
        <f aca="false">L50+M49</f>
        <v>-336458.868603605</v>
      </c>
      <c r="N50" s="66" t="n">
        <f aca="false">M50+N49</f>
        <v>-359500.759720401</v>
      </c>
      <c r="O50" s="66" t="n">
        <f aca="false">N50+O49</f>
        <v>-381732.879803412</v>
      </c>
      <c r="P50" s="66" t="n">
        <f aca="false">O50+P49</f>
        <v>-403052.226089955</v>
      </c>
      <c r="Q50" s="66" t="n">
        <f aca="false">P50+Q49</f>
        <v>-423521.859412449</v>
      </c>
      <c r="R50" s="66" t="n">
        <f aca="false">Q50+R49</f>
        <v>-443200.426345046</v>
      </c>
      <c r="S50" s="66" t="n">
        <f aca="false">R50+S49</f>
        <v>-462142.468201703</v>
      </c>
      <c r="T50" s="66" t="n">
        <f aca="false">S50+T49</f>
        <v>-480398.708404404</v>
      </c>
      <c r="U50" s="66" t="n">
        <f aca="false">T50+U49</f>
        <v>-498016.319735592</v>
      </c>
      <c r="V50" s="66" t="n">
        <f aca="false">U50+V49</f>
        <v>-515039.172882939</v>
      </c>
      <c r="W50" s="66" t="n">
        <f aca="false">V50+W49</f>
        <v>-531508.067585982</v>
      </c>
      <c r="X50" s="66" t="n">
        <f aca="false">W50+X49</f>
        <v>-547460.947602488</v>
      </c>
      <c r="Y50" s="66" t="n">
        <f aca="false">X50+Y49</f>
        <v>-562933.100627182</v>
      </c>
      <c r="Z50" s="66" t="n">
        <f aca="false">Y50+Z49</f>
        <v>-577957.344216156</v>
      </c>
      <c r="AA50" s="66" t="n">
        <f aca="false">Z50+AA49</f>
        <v>-592513.1411572</v>
      </c>
      <c r="AB50" s="66" t="n">
        <f aca="false">AA50+AB49</f>
        <v>-606613.660957024</v>
      </c>
      <c r="AC50" s="66" t="n">
        <f aca="false">AB50+AC49</f>
        <v>-620289.93968218</v>
      </c>
      <c r="AD50" s="66" t="n">
        <f aca="false">AC50+AD49</f>
        <v>-633570.840874562</v>
      </c>
      <c r="AE50" s="66" t="n">
        <f aca="false">AD50+AE49</f>
        <v>-646483.207628131</v>
      </c>
      <c r="AF50" s="66" t="n">
        <f aca="false">AE50+AF49</f>
        <v>-659052.00402027</v>
      </c>
      <c r="AG50" s="66" t="n">
        <f aca="false">AF50+AG49</f>
        <v>-671300.446642945</v>
      </c>
      <c r="AH50" s="66" t="n">
        <f aca="false">AG50+AH49</f>
        <v>-683250.126926687</v>
      </c>
      <c r="AI50" s="66" t="n">
        <f aca="false">AH50+AI49</f>
        <v>-694921.124901887</v>
      </c>
      <c r="AJ50" s="66" t="n">
        <f aca="false">AI50+AJ49</f>
        <v>-706332.11499681</v>
      </c>
      <c r="AK50" s="66" t="n">
        <f aca="false">AJ50+AK49</f>
        <v>-717500.464429741</v>
      </c>
      <c r="AL50" s="66" t="n">
        <f aca="false">AK50+AL49</f>
        <v>-728442.324713687</v>
      </c>
    </row>
    <row r="51" customFormat="false" ht="15" hidden="false" customHeight="false" outlineLevel="0" collapsed="false">
      <c r="A51" s="116" t="s">
        <v>390</v>
      </c>
      <c r="C51" s="66" t="n">
        <f aca="false">MAX(0,C50)</f>
        <v>0</v>
      </c>
      <c r="D51" s="66" t="n">
        <f aca="false">MAX(C51,D50)</f>
        <v>0</v>
      </c>
      <c r="E51" s="66" t="n">
        <f aca="false">MAX(D51,E50)</f>
        <v>0</v>
      </c>
      <c r="F51" s="66" t="n">
        <f aca="false">MAX(E51,F50)</f>
        <v>0</v>
      </c>
      <c r="G51" s="66" t="n">
        <f aca="false">MAX(F51,G50)</f>
        <v>0</v>
      </c>
      <c r="H51" s="66" t="n">
        <f aca="false">MAX(G51,H50)</f>
        <v>0</v>
      </c>
      <c r="I51" s="66" t="n">
        <f aca="false">MAX(H51,I50)</f>
        <v>0</v>
      </c>
      <c r="J51" s="66" t="n">
        <f aca="false">MAX(I51,J50)</f>
        <v>0</v>
      </c>
      <c r="K51" s="66" t="n">
        <f aca="false">MAX(J51,K50)</f>
        <v>0</v>
      </c>
      <c r="L51" s="66" t="n">
        <f aca="false">MAX(K51,L50)</f>
        <v>0</v>
      </c>
      <c r="M51" s="66" t="n">
        <f aca="false">MAX(L51,M50)</f>
        <v>0</v>
      </c>
      <c r="N51" s="66" t="n">
        <f aca="false">MAX(M51,N50)</f>
        <v>0</v>
      </c>
      <c r="O51" s="66" t="n">
        <f aca="false">MAX(N51,O50)</f>
        <v>0</v>
      </c>
      <c r="P51" s="66" t="n">
        <f aca="false">MAX(O51,P50)</f>
        <v>0</v>
      </c>
      <c r="Q51" s="66" t="n">
        <f aca="false">MAX(P51,Q50)</f>
        <v>0</v>
      </c>
      <c r="R51" s="66" t="n">
        <f aca="false">MAX(Q51,R50)</f>
        <v>0</v>
      </c>
      <c r="S51" s="66" t="n">
        <f aca="false">MAX(R51,S50)</f>
        <v>0</v>
      </c>
      <c r="T51" s="66" t="n">
        <f aca="false">MAX(S51,T50)</f>
        <v>0</v>
      </c>
      <c r="U51" s="66" t="n">
        <f aca="false">MAX(T51,U50)</f>
        <v>0</v>
      </c>
      <c r="V51" s="66" t="n">
        <f aca="false">MAX(U51,V50)</f>
        <v>0</v>
      </c>
      <c r="W51" s="66" t="n">
        <f aca="false">MAX(V51,W50)</f>
        <v>0</v>
      </c>
      <c r="X51" s="66" t="n">
        <f aca="false">MAX(W51,X50)</f>
        <v>0</v>
      </c>
      <c r="Y51" s="66" t="n">
        <f aca="false">MAX(X51,Y50)</f>
        <v>0</v>
      </c>
      <c r="Z51" s="66" t="n">
        <f aca="false">MAX(Y51,Z50)</f>
        <v>0</v>
      </c>
      <c r="AA51" s="66" t="n">
        <f aca="false">MAX(Z51,AA50)</f>
        <v>0</v>
      </c>
      <c r="AB51" s="66" t="n">
        <f aca="false">MAX(AA51,AB50)</f>
        <v>0</v>
      </c>
      <c r="AC51" s="66" t="n">
        <f aca="false">MAX(AB51,AC50)</f>
        <v>0</v>
      </c>
      <c r="AD51" s="66" t="n">
        <f aca="false">MAX(AC51,AD50)</f>
        <v>0</v>
      </c>
      <c r="AE51" s="66" t="n">
        <f aca="false">MAX(AD51,AE50)</f>
        <v>0</v>
      </c>
      <c r="AF51" s="66" t="n">
        <f aca="false">MAX(AE51,AF50)</f>
        <v>0</v>
      </c>
      <c r="AG51" s="66" t="n">
        <f aca="false">MAX(AF51,AG50)</f>
        <v>0</v>
      </c>
      <c r="AH51" s="66" t="n">
        <f aca="false">MAX(AG51,AH50)</f>
        <v>0</v>
      </c>
      <c r="AI51" s="66" t="n">
        <f aca="false">MAX(AH51,AI50)</f>
        <v>0</v>
      </c>
      <c r="AJ51" s="66" t="n">
        <f aca="false">MAX(AI51,AJ50)</f>
        <v>0</v>
      </c>
      <c r="AK51" s="66" t="n">
        <f aca="false">MAX(AJ51,AK50)</f>
        <v>0</v>
      </c>
      <c r="AL51" s="66" t="n">
        <f aca="false">MAX(AK51,AL50)</f>
        <v>0</v>
      </c>
    </row>
    <row r="52" customFormat="false" ht="15" hidden="false" customHeight="false" outlineLevel="0" collapsed="false">
      <c r="A52" s="6" t="s">
        <v>81</v>
      </c>
      <c r="C52" s="66" t="n">
        <f aca="false">-C51*Inputs!$B$66</f>
        <v>-0</v>
      </c>
      <c r="D52" s="66" t="n">
        <f aca="false">-(D51-C51)*Inputs!$B$66</f>
        <v>-0</v>
      </c>
      <c r="E52" s="66" t="n">
        <f aca="false">-(E51-D51)*Inputs!$B$66</f>
        <v>-0</v>
      </c>
      <c r="F52" s="66" t="n">
        <f aca="false">-(F51-E51)*Inputs!$B$66</f>
        <v>-0</v>
      </c>
      <c r="G52" s="66" t="n">
        <f aca="false">-(G51-F51)*Inputs!$B$66</f>
        <v>-0</v>
      </c>
      <c r="H52" s="66" t="n">
        <f aca="false">-(H51-G51)*Inputs!$B$66</f>
        <v>-0</v>
      </c>
      <c r="I52" s="66" t="n">
        <f aca="false">-(I51-H51)*Inputs!$B$66</f>
        <v>-0</v>
      </c>
      <c r="J52" s="66" t="n">
        <f aca="false">-(J51-I51)*Inputs!$B$66</f>
        <v>-0</v>
      </c>
      <c r="K52" s="66" t="n">
        <f aca="false">-(K51-J51)*Inputs!$B$66</f>
        <v>-0</v>
      </c>
      <c r="L52" s="66" t="n">
        <f aca="false">-(L51-K51)*Inputs!$B$66</f>
        <v>-0</v>
      </c>
      <c r="M52" s="66" t="n">
        <f aca="false">-(M51-L51)*Inputs!$B$66</f>
        <v>-0</v>
      </c>
      <c r="N52" s="66" t="n">
        <f aca="false">-(N51-M51)*Inputs!$B$66</f>
        <v>-0</v>
      </c>
      <c r="O52" s="66" t="n">
        <f aca="false">-(O51-N51)*Inputs!$B$66</f>
        <v>-0</v>
      </c>
      <c r="P52" s="66" t="n">
        <f aca="false">-(P51-O51)*Inputs!$B$66</f>
        <v>-0</v>
      </c>
      <c r="Q52" s="66" t="n">
        <f aca="false">-(Q51-P51)*Inputs!$B$66</f>
        <v>-0</v>
      </c>
      <c r="R52" s="66" t="n">
        <f aca="false">-(R51-Q51)*Inputs!$B$66</f>
        <v>-0</v>
      </c>
      <c r="S52" s="66" t="n">
        <f aca="false">-(S51-R51)*Inputs!$B$66</f>
        <v>-0</v>
      </c>
      <c r="T52" s="66" t="n">
        <f aca="false">-(T51-S51)*Inputs!$B$66</f>
        <v>-0</v>
      </c>
      <c r="U52" s="66" t="n">
        <f aca="false">-(U51-T51)*Inputs!$B$66</f>
        <v>-0</v>
      </c>
      <c r="V52" s="66" t="n">
        <f aca="false">-(V51-U51)*Inputs!$B$66</f>
        <v>-0</v>
      </c>
      <c r="W52" s="66" t="n">
        <f aca="false">-(W51-V51)*Inputs!$B$66</f>
        <v>-0</v>
      </c>
      <c r="X52" s="66" t="n">
        <f aca="false">-(X51-W51)*Inputs!$B$66</f>
        <v>-0</v>
      </c>
      <c r="Y52" s="66" t="n">
        <f aca="false">-(Y51-X51)*Inputs!$B$66</f>
        <v>-0</v>
      </c>
      <c r="Z52" s="66" t="n">
        <f aca="false">-(Z51-Y51)*Inputs!$B$66</f>
        <v>-0</v>
      </c>
      <c r="AA52" s="66" t="n">
        <f aca="false">-(AA51-Z51)*Inputs!$B$66</f>
        <v>-0</v>
      </c>
      <c r="AB52" s="66" t="n">
        <f aca="false">-(AB51-AA51)*Inputs!$B$66</f>
        <v>-0</v>
      </c>
      <c r="AC52" s="66" t="n">
        <f aca="false">-(AC51-AB51)*Inputs!$B$66</f>
        <v>-0</v>
      </c>
      <c r="AD52" s="66" t="n">
        <f aca="false">-(AD51-AC51)*Inputs!$B$66</f>
        <v>-0</v>
      </c>
      <c r="AE52" s="66" t="n">
        <f aca="false">-(AE51-AD51)*Inputs!$B$66</f>
        <v>-0</v>
      </c>
      <c r="AF52" s="66" t="n">
        <f aca="false">-(AF51-AE51)*Inputs!$B$66</f>
        <v>-0</v>
      </c>
      <c r="AG52" s="66" t="n">
        <f aca="false">-(AG51-AF51)*Inputs!$B$66</f>
        <v>-0</v>
      </c>
      <c r="AH52" s="66" t="n">
        <f aca="false">-(AH51-AG51)*Inputs!$B$66</f>
        <v>-0</v>
      </c>
      <c r="AI52" s="66" t="n">
        <f aca="false">-(AI51-AH51)*Inputs!$B$66</f>
        <v>-0</v>
      </c>
      <c r="AJ52" s="66" t="n">
        <f aca="false">-(AJ51-AI51)*Inputs!$B$66</f>
        <v>-0</v>
      </c>
      <c r="AK52" s="66" t="n">
        <f aca="false">-(AK51-AJ51)*Inputs!$B$66</f>
        <v>-0</v>
      </c>
      <c r="AL52" s="66" t="n">
        <f aca="false">-(AL51-AK51)*Inputs!$B$66</f>
        <v>-0</v>
      </c>
    </row>
    <row r="53" customFormat="false" ht="15" hidden="false" customHeight="false" outlineLevel="0" collapsed="false">
      <c r="A53" s="110" t="s">
        <v>50</v>
      </c>
      <c r="C53" s="67" t="n">
        <f aca="false">C49+C52</f>
        <v>-38732.7959809524</v>
      </c>
      <c r="D53" s="67" t="n">
        <f aca="false">D49+D52</f>
        <v>-36745.3553908572</v>
      </c>
      <c r="E53" s="67" t="n">
        <f aca="false">E49+E52</f>
        <v>-34890.6665944495</v>
      </c>
      <c r="F53" s="67" t="n">
        <f aca="false">F49+F52</f>
        <v>-33164.9726804571</v>
      </c>
      <c r="G53" s="67" t="n">
        <f aca="false">G49+G52</f>
        <v>-31559.2440071108</v>
      </c>
      <c r="H53" s="67" t="n">
        <f aca="false">H49+H52</f>
        <v>-30065.0830075655</v>
      </c>
      <c r="I53" s="67" t="n">
        <f aca="false">I49+I52</f>
        <v>-28674.6799446549</v>
      </c>
      <c r="J53" s="67" t="n">
        <f aca="false">J49+J52</f>
        <v>-27380.7717628148</v>
      </c>
      <c r="K53" s="67" t="n">
        <f aca="false">K49+K52</f>
        <v>-26176.6038203701</v>
      </c>
      <c r="L53" s="67" t="n">
        <f aca="false">L49+L52</f>
        <v>-25055.8943005633</v>
      </c>
      <c r="M53" s="67" t="n">
        <f aca="false">M49+M52</f>
        <v>-24012.8011138096</v>
      </c>
      <c r="N53" s="67" t="n">
        <f aca="false">N49+N52</f>
        <v>-23041.8911167953</v>
      </c>
      <c r="O53" s="67" t="n">
        <f aca="false">O49+O52</f>
        <v>-22232.1200830111</v>
      </c>
      <c r="P53" s="67" t="n">
        <f aca="false">P49+P52</f>
        <v>-21319.3462865431</v>
      </c>
      <c r="Q53" s="67" t="n">
        <f aca="false">Q49+Q52</f>
        <v>-20469.6333224946</v>
      </c>
      <c r="R53" s="67" t="n">
        <f aca="false">R49+R52</f>
        <v>-19678.5669325962</v>
      </c>
      <c r="S53" s="67" t="n">
        <f aca="false">S49+S52</f>
        <v>-18942.0418566573</v>
      </c>
      <c r="T53" s="67" t="n">
        <f aca="false">T49+T52</f>
        <v>-18256.2402027008</v>
      </c>
      <c r="U53" s="67" t="n">
        <f aca="false">U49+U52</f>
        <v>-17617.611331188</v>
      </c>
      <c r="V53" s="67" t="n">
        <f aca="false">V49+V52</f>
        <v>-17022.8531473477</v>
      </c>
      <c r="W53" s="67" t="n">
        <f aca="false">W49+W52</f>
        <v>-16468.8947030429</v>
      </c>
      <c r="X53" s="67" t="n">
        <f aca="false">X49+X52</f>
        <v>-15952.880016506</v>
      </c>
      <c r="Y53" s="67" t="n">
        <f aca="false">Y49+Y52</f>
        <v>-15472.1530246935</v>
      </c>
      <c r="Z53" s="67" t="n">
        <f aca="false">Z49+Z52</f>
        <v>-15024.2435889745</v>
      </c>
      <c r="AA53" s="67" t="n">
        <f aca="false">AA49+AA52</f>
        <v>-14555.7969410437</v>
      </c>
      <c r="AB53" s="67" t="n">
        <f aca="false">AB49+AB52</f>
        <v>-14100.519799824</v>
      </c>
      <c r="AC53" s="67" t="n">
        <f aca="false">AC49+AC52</f>
        <v>-13676.2787251563</v>
      </c>
      <c r="AD53" s="67" t="n">
        <f aca="false">AD49+AD52</f>
        <v>-13280.901192382</v>
      </c>
      <c r="AE53" s="67" t="n">
        <f aca="false">AE49+AE52</f>
        <v>-12912.3667535686</v>
      </c>
      <c r="AF53" s="67" t="n">
        <f aca="false">AF49+AF52</f>
        <v>-12568.7963921388</v>
      </c>
      <c r="AG53" s="67" t="n">
        <f aca="false">AG49+AG52</f>
        <v>-12248.4426226758</v>
      </c>
      <c r="AH53" s="67" t="n">
        <f aca="false">AH49+AH52</f>
        <v>-11949.6802837418</v>
      </c>
      <c r="AI53" s="67" t="n">
        <f aca="false">AI49+AI52</f>
        <v>-11670.9979751999</v>
      </c>
      <c r="AJ53" s="67" t="n">
        <f aca="false">AJ49+AJ52</f>
        <v>-11410.9900949226</v>
      </c>
      <c r="AK53" s="67" t="n">
        <f aca="false">AK49+AK52</f>
        <v>-11168.3494329314</v>
      </c>
      <c r="AL53" s="67" t="n">
        <f aca="false">AL49+AL52</f>
        <v>-10941.8602839462</v>
      </c>
    </row>
    <row r="55" customFormat="false" ht="15.75" hidden="false" customHeight="true" outlineLevel="0" collapsed="false">
      <c r="A55" s="7" t="s">
        <v>391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</row>
    <row r="56" customFormat="false" ht="15" hidden="false" customHeight="false" outlineLevel="0" collapsed="false">
      <c r="A56" s="6" t="s">
        <v>392</v>
      </c>
      <c r="C56" s="66" t="n">
        <f aca="false">IF(C$6=1,Inputs!$B$39,0)</f>
        <v>250000</v>
      </c>
      <c r="D56" s="66" t="n">
        <f aca="false">IF(D$6=1,Inputs!$B$39,0)</f>
        <v>0</v>
      </c>
      <c r="E56" s="66" t="n">
        <f aca="false">IF(E$6=1,Inputs!$B$39,0)</f>
        <v>0</v>
      </c>
      <c r="F56" s="66" t="n">
        <f aca="false">IF(F$6=1,Inputs!$B$39,0)</f>
        <v>0</v>
      </c>
      <c r="G56" s="66" t="n">
        <f aca="false">IF(G$6=1,Inputs!$B$39,0)</f>
        <v>0</v>
      </c>
      <c r="H56" s="66" t="n">
        <f aca="false">IF(H$6=1,Inputs!$B$39,0)</f>
        <v>0</v>
      </c>
      <c r="I56" s="66" t="n">
        <f aca="false">IF(I$6=1,Inputs!$B$39,0)</f>
        <v>0</v>
      </c>
      <c r="J56" s="66" t="n">
        <f aca="false">IF(J$6=1,Inputs!$B$39,0)</f>
        <v>0</v>
      </c>
      <c r="K56" s="66" t="n">
        <f aca="false">IF(K$6=1,Inputs!$B$39,0)</f>
        <v>0</v>
      </c>
      <c r="L56" s="66" t="n">
        <f aca="false">IF(L$6=1,Inputs!$B$39,0)</f>
        <v>0</v>
      </c>
      <c r="M56" s="66" t="n">
        <f aca="false">IF(M$6=1,Inputs!$B$39,0)</f>
        <v>0</v>
      </c>
      <c r="N56" s="66" t="n">
        <f aca="false">IF(N$6=1,Inputs!$B$39,0)</f>
        <v>0</v>
      </c>
      <c r="O56" s="66" t="n">
        <f aca="false">IF(O$6=1,Inputs!$B$39,0)</f>
        <v>0</v>
      </c>
      <c r="P56" s="66" t="n">
        <f aca="false">IF(P$6=1,Inputs!$B$39,0)</f>
        <v>0</v>
      </c>
      <c r="Q56" s="66" t="n">
        <f aca="false">IF(Q$6=1,Inputs!$B$39,0)</f>
        <v>0</v>
      </c>
      <c r="R56" s="66" t="n">
        <f aca="false">IF(R$6=1,Inputs!$B$39,0)</f>
        <v>0</v>
      </c>
      <c r="S56" s="66" t="n">
        <f aca="false">IF(S$6=1,Inputs!$B$39,0)</f>
        <v>0</v>
      </c>
      <c r="T56" s="66" t="n">
        <f aca="false">IF(T$6=1,Inputs!$B$39,0)</f>
        <v>0</v>
      </c>
      <c r="U56" s="66" t="n">
        <f aca="false">IF(U$6=1,Inputs!$B$39,0)</f>
        <v>0</v>
      </c>
      <c r="V56" s="66" t="n">
        <f aca="false">IF(V$6=1,Inputs!$B$39,0)</f>
        <v>0</v>
      </c>
      <c r="W56" s="66" t="n">
        <f aca="false">IF(W$6=1,Inputs!$B$39,0)</f>
        <v>0</v>
      </c>
      <c r="X56" s="66" t="n">
        <f aca="false">IF(X$6=1,Inputs!$B$39,0)</f>
        <v>0</v>
      </c>
      <c r="Y56" s="66" t="n">
        <f aca="false">IF(Y$6=1,Inputs!$B$39,0)</f>
        <v>0</v>
      </c>
      <c r="Z56" s="66" t="n">
        <f aca="false">IF(Z$6=1,Inputs!$B$39,0)</f>
        <v>0</v>
      </c>
      <c r="AA56" s="66" t="n">
        <f aca="false">IF(AA$6=1,Inputs!$B$39,0)</f>
        <v>0</v>
      </c>
      <c r="AB56" s="66" t="n">
        <f aca="false">IF(AB$6=1,Inputs!$B$39,0)</f>
        <v>0</v>
      </c>
      <c r="AC56" s="66" t="n">
        <f aca="false">IF(AC$6=1,Inputs!$B$39,0)</f>
        <v>0</v>
      </c>
      <c r="AD56" s="66" t="n">
        <f aca="false">IF(AD$6=1,Inputs!$B$39,0)</f>
        <v>0</v>
      </c>
      <c r="AE56" s="66" t="n">
        <f aca="false">IF(AE$6=1,Inputs!$B$39,0)</f>
        <v>0</v>
      </c>
      <c r="AF56" s="66" t="n">
        <f aca="false">IF(AF$6=1,Inputs!$B$39,0)</f>
        <v>0</v>
      </c>
      <c r="AG56" s="66" t="n">
        <f aca="false">IF(AG$6=1,Inputs!$B$39,0)</f>
        <v>0</v>
      </c>
      <c r="AH56" s="66" t="n">
        <f aca="false">IF(AH$6=1,Inputs!$B$39,0)</f>
        <v>0</v>
      </c>
      <c r="AI56" s="66" t="n">
        <f aca="false">IF(AI$6=1,Inputs!$B$39,0)</f>
        <v>0</v>
      </c>
      <c r="AJ56" s="66" t="n">
        <f aca="false">IF(AJ$6=1,Inputs!$B$39,0)</f>
        <v>0</v>
      </c>
      <c r="AK56" s="66" t="n">
        <f aca="false">IF(AK$6=1,Inputs!$B$39,0)</f>
        <v>0</v>
      </c>
      <c r="AL56" s="66" t="n">
        <f aca="false">IF(AL$6=1,Inputs!$B$39,0)</f>
        <v>0</v>
      </c>
    </row>
    <row r="57" customFormat="false" ht="15" hidden="false" customHeight="false" outlineLevel="0" collapsed="false">
      <c r="A57" s="6" t="s">
        <v>393</v>
      </c>
      <c r="C57" s="66" t="n">
        <f aca="false">C56</f>
        <v>250000</v>
      </c>
      <c r="D57" s="66" t="n">
        <f aca="false">C57+D56</f>
        <v>250000</v>
      </c>
      <c r="E57" s="66" t="n">
        <f aca="false">D57+E56</f>
        <v>250000</v>
      </c>
      <c r="F57" s="66" t="n">
        <f aca="false">E57+F56</f>
        <v>250000</v>
      </c>
      <c r="G57" s="66" t="n">
        <f aca="false">F57+G56</f>
        <v>250000</v>
      </c>
      <c r="H57" s="66" t="n">
        <f aca="false">G57+H56</f>
        <v>250000</v>
      </c>
      <c r="I57" s="66" t="n">
        <f aca="false">H57+I56</f>
        <v>250000</v>
      </c>
      <c r="J57" s="66" t="n">
        <f aca="false">I57+J56</f>
        <v>250000</v>
      </c>
      <c r="K57" s="66" t="n">
        <f aca="false">J57+K56</f>
        <v>250000</v>
      </c>
      <c r="L57" s="66" t="n">
        <f aca="false">K57+L56</f>
        <v>250000</v>
      </c>
      <c r="M57" s="66" t="n">
        <f aca="false">L57+M56</f>
        <v>250000</v>
      </c>
      <c r="N57" s="66" t="n">
        <f aca="false">M57+N56</f>
        <v>250000</v>
      </c>
      <c r="O57" s="66" t="n">
        <f aca="false">N57+O56</f>
        <v>250000</v>
      </c>
      <c r="P57" s="66" t="n">
        <f aca="false">O57+P56</f>
        <v>250000</v>
      </c>
      <c r="Q57" s="66" t="n">
        <f aca="false">P57+Q56</f>
        <v>250000</v>
      </c>
      <c r="R57" s="66" t="n">
        <f aca="false">Q57+R56</f>
        <v>250000</v>
      </c>
      <c r="S57" s="66" t="n">
        <f aca="false">R57+S56</f>
        <v>250000</v>
      </c>
      <c r="T57" s="66" t="n">
        <f aca="false">S57+T56</f>
        <v>250000</v>
      </c>
      <c r="U57" s="66" t="n">
        <f aca="false">T57+U56</f>
        <v>250000</v>
      </c>
      <c r="V57" s="66" t="n">
        <f aca="false">U57+V56</f>
        <v>250000</v>
      </c>
      <c r="W57" s="66" t="n">
        <f aca="false">V57+W56</f>
        <v>250000</v>
      </c>
      <c r="X57" s="66" t="n">
        <f aca="false">W57+X56</f>
        <v>250000</v>
      </c>
      <c r="Y57" s="66" t="n">
        <f aca="false">X57+Y56</f>
        <v>250000</v>
      </c>
      <c r="Z57" s="66" t="n">
        <f aca="false">Y57+Z56</f>
        <v>250000</v>
      </c>
      <c r="AA57" s="66" t="n">
        <f aca="false">Z57+AA56</f>
        <v>250000</v>
      </c>
      <c r="AB57" s="66" t="n">
        <f aca="false">AA57+AB56</f>
        <v>250000</v>
      </c>
      <c r="AC57" s="66" t="n">
        <f aca="false">AB57+AC56</f>
        <v>250000</v>
      </c>
      <c r="AD57" s="66" t="n">
        <f aca="false">AC57+AD56</f>
        <v>250000</v>
      </c>
      <c r="AE57" s="66" t="n">
        <f aca="false">AD57+AE56</f>
        <v>250000</v>
      </c>
      <c r="AF57" s="66" t="n">
        <f aca="false">AE57+AF56</f>
        <v>250000</v>
      </c>
      <c r="AG57" s="66" t="n">
        <f aca="false">AF57+AG56</f>
        <v>250000</v>
      </c>
      <c r="AH57" s="66" t="n">
        <f aca="false">AG57+AH56</f>
        <v>250000</v>
      </c>
      <c r="AI57" s="66" t="n">
        <f aca="false">AH57+AI56</f>
        <v>250000</v>
      </c>
      <c r="AJ57" s="66" t="n">
        <f aca="false">AI57+AJ56</f>
        <v>250000</v>
      </c>
      <c r="AK57" s="66" t="n">
        <f aca="false">AJ57+AK56</f>
        <v>250000</v>
      </c>
      <c r="AL57" s="66" t="n">
        <f aca="false">AK57+AL56</f>
        <v>250000</v>
      </c>
    </row>
    <row r="58" customFormat="false" ht="15" hidden="false" customHeight="false" outlineLevel="0" collapsed="false">
      <c r="A58" s="6" t="s">
        <v>77</v>
      </c>
      <c r="C58" s="66" t="n">
        <f aca="false">-MIN(C57/MAX(1,Inputs!$B$65*12),C56)</f>
        <v>-2976.19047619048</v>
      </c>
      <c r="D58" s="66" t="n">
        <f aca="false">-MIN(D57/MAX(1,Inputs!$B$65*12),C60+D56)</f>
        <v>-2976.19047619048</v>
      </c>
      <c r="E58" s="66" t="n">
        <f aca="false">-MIN(E57/MAX(1,Inputs!$B$65*12),D60+E56)</f>
        <v>-2976.19047619048</v>
      </c>
      <c r="F58" s="66" t="n">
        <f aca="false">-MIN(F57/MAX(1,Inputs!$B$65*12),E60+F56)</f>
        <v>-2976.19047619048</v>
      </c>
      <c r="G58" s="66" t="n">
        <f aca="false">-MIN(G57/MAX(1,Inputs!$B$65*12),F60+G56)</f>
        <v>-2976.19047619048</v>
      </c>
      <c r="H58" s="66" t="n">
        <f aca="false">-MIN(H57/MAX(1,Inputs!$B$65*12),G60+H56)</f>
        <v>-2976.19047619048</v>
      </c>
      <c r="I58" s="66" t="n">
        <f aca="false">-MIN(I57/MAX(1,Inputs!$B$65*12),H60+I56)</f>
        <v>-2976.19047619048</v>
      </c>
      <c r="J58" s="66" t="n">
        <f aca="false">-MIN(J57/MAX(1,Inputs!$B$65*12),I60+J56)</f>
        <v>-2976.19047619048</v>
      </c>
      <c r="K58" s="66" t="n">
        <f aca="false">-MIN(K57/MAX(1,Inputs!$B$65*12),J60+K56)</f>
        <v>-2976.19047619048</v>
      </c>
      <c r="L58" s="66" t="n">
        <f aca="false">-MIN(L57/MAX(1,Inputs!$B$65*12),K60+L56)</f>
        <v>-2976.19047619048</v>
      </c>
      <c r="M58" s="66" t="n">
        <f aca="false">-MIN(M57/MAX(1,Inputs!$B$65*12),L60+M56)</f>
        <v>-2976.19047619048</v>
      </c>
      <c r="N58" s="66" t="n">
        <f aca="false">-MIN(N57/MAX(1,Inputs!$B$65*12),M60+N56)</f>
        <v>-2976.19047619048</v>
      </c>
      <c r="O58" s="66" t="n">
        <f aca="false">-MIN(O57/MAX(1,Inputs!$B$65*12),N60+O56)</f>
        <v>-2976.19047619048</v>
      </c>
      <c r="P58" s="66" t="n">
        <f aca="false">-MIN(P57/MAX(1,Inputs!$B$65*12),O60+P56)</f>
        <v>-2976.19047619048</v>
      </c>
      <c r="Q58" s="66" t="n">
        <f aca="false">-MIN(Q57/MAX(1,Inputs!$B$65*12),P60+Q56)</f>
        <v>-2976.19047619048</v>
      </c>
      <c r="R58" s="66" t="n">
        <f aca="false">-MIN(R57/MAX(1,Inputs!$B$65*12),Q60+R56)</f>
        <v>-2976.19047619048</v>
      </c>
      <c r="S58" s="66" t="n">
        <f aca="false">-MIN(S57/MAX(1,Inputs!$B$65*12),R60+S56)</f>
        <v>-2976.19047619048</v>
      </c>
      <c r="T58" s="66" t="n">
        <f aca="false">-MIN(T57/MAX(1,Inputs!$B$65*12),S60+T56)</f>
        <v>-2976.19047619048</v>
      </c>
      <c r="U58" s="66" t="n">
        <f aca="false">-MIN(U57/MAX(1,Inputs!$B$65*12),T60+U56)</f>
        <v>-2976.19047619048</v>
      </c>
      <c r="V58" s="66" t="n">
        <f aca="false">-MIN(V57/MAX(1,Inputs!$B$65*12),U60+V56)</f>
        <v>-2976.19047619048</v>
      </c>
      <c r="W58" s="66" t="n">
        <f aca="false">-MIN(W57/MAX(1,Inputs!$B$65*12),V60+W56)</f>
        <v>-2976.19047619048</v>
      </c>
      <c r="X58" s="66" t="n">
        <f aca="false">-MIN(X57/MAX(1,Inputs!$B$65*12),W60+X56)</f>
        <v>-2976.19047619048</v>
      </c>
      <c r="Y58" s="66" t="n">
        <f aca="false">-MIN(Y57/MAX(1,Inputs!$B$65*12),X60+Y56)</f>
        <v>-2976.19047619048</v>
      </c>
      <c r="Z58" s="66" t="n">
        <f aca="false">-MIN(Z57/MAX(1,Inputs!$B$65*12),Y60+Z56)</f>
        <v>-2976.19047619048</v>
      </c>
      <c r="AA58" s="66" t="n">
        <f aca="false">-MIN(AA57/MAX(1,Inputs!$B$65*12),Z60+AA56)</f>
        <v>-2976.19047619048</v>
      </c>
      <c r="AB58" s="66" t="n">
        <f aca="false">-MIN(AB57/MAX(1,Inputs!$B$65*12),AA60+AB56)</f>
        <v>-2976.19047619048</v>
      </c>
      <c r="AC58" s="66" t="n">
        <f aca="false">-MIN(AC57/MAX(1,Inputs!$B$65*12),AB60+AC56)</f>
        <v>-2976.19047619048</v>
      </c>
      <c r="AD58" s="66" t="n">
        <f aca="false">-MIN(AD57/MAX(1,Inputs!$B$65*12),AC60+AD56)</f>
        <v>-2976.19047619048</v>
      </c>
      <c r="AE58" s="66" t="n">
        <f aca="false">-MIN(AE57/MAX(1,Inputs!$B$65*12),AD60+AE56)</f>
        <v>-2976.19047619048</v>
      </c>
      <c r="AF58" s="66" t="n">
        <f aca="false">-MIN(AF57/MAX(1,Inputs!$B$65*12),AE60+AF56)</f>
        <v>-2976.19047619048</v>
      </c>
      <c r="AG58" s="66" t="n">
        <f aca="false">-MIN(AG57/MAX(1,Inputs!$B$65*12),AF60+AG56)</f>
        <v>-2976.19047619048</v>
      </c>
      <c r="AH58" s="66" t="n">
        <f aca="false">-MIN(AH57/MAX(1,Inputs!$B$65*12),AG60+AH56)</f>
        <v>-2976.19047619048</v>
      </c>
      <c r="AI58" s="66" t="n">
        <f aca="false">-MIN(AI57/MAX(1,Inputs!$B$65*12),AH60+AI56)</f>
        <v>-2976.19047619048</v>
      </c>
      <c r="AJ58" s="66" t="n">
        <f aca="false">-MIN(AJ57/MAX(1,Inputs!$B$65*12),AI60+AJ56)</f>
        <v>-2976.19047619048</v>
      </c>
      <c r="AK58" s="66" t="n">
        <f aca="false">-MIN(AK57/MAX(1,Inputs!$B$65*12),AJ60+AK56)</f>
        <v>-2976.19047619048</v>
      </c>
      <c r="AL58" s="66" t="n">
        <f aca="false">-MIN(AL57/MAX(1,Inputs!$B$65*12),AK60+AL56)</f>
        <v>-2976.19047619048</v>
      </c>
    </row>
    <row r="59" customFormat="false" ht="15" hidden="false" customHeight="false" outlineLevel="0" collapsed="false">
      <c r="A59" s="6" t="s">
        <v>394</v>
      </c>
      <c r="C59" s="66" t="n">
        <f aca="false">C58</f>
        <v>-2976.19047619048</v>
      </c>
      <c r="D59" s="66" t="n">
        <f aca="false">C59+D58</f>
        <v>-5952.38095238095</v>
      </c>
      <c r="E59" s="66" t="n">
        <f aca="false">D59+E58</f>
        <v>-8928.57142857143</v>
      </c>
      <c r="F59" s="66" t="n">
        <f aca="false">E59+F58</f>
        <v>-11904.7619047619</v>
      </c>
      <c r="G59" s="66" t="n">
        <f aca="false">F59+G58</f>
        <v>-14880.9523809524</v>
      </c>
      <c r="H59" s="66" t="n">
        <f aca="false">G59+H58</f>
        <v>-17857.1428571429</v>
      </c>
      <c r="I59" s="66" t="n">
        <f aca="false">H59+I58</f>
        <v>-20833.3333333333</v>
      </c>
      <c r="J59" s="66" t="n">
        <f aca="false">I59+J58</f>
        <v>-23809.5238095238</v>
      </c>
      <c r="K59" s="66" t="n">
        <f aca="false">J59+K58</f>
        <v>-26785.7142857143</v>
      </c>
      <c r="L59" s="66" t="n">
        <f aca="false">K59+L58</f>
        <v>-29761.9047619048</v>
      </c>
      <c r="M59" s="66" t="n">
        <f aca="false">L59+M58</f>
        <v>-32738.0952380952</v>
      </c>
      <c r="N59" s="66" t="n">
        <f aca="false">M59+N58</f>
        <v>-35714.2857142857</v>
      </c>
      <c r="O59" s="66" t="n">
        <f aca="false">N59+O58</f>
        <v>-38690.4761904762</v>
      </c>
      <c r="P59" s="66" t="n">
        <f aca="false">O59+P58</f>
        <v>-41666.6666666667</v>
      </c>
      <c r="Q59" s="66" t="n">
        <f aca="false">P59+Q58</f>
        <v>-44642.8571428571</v>
      </c>
      <c r="R59" s="66" t="n">
        <f aca="false">Q59+R58</f>
        <v>-47619.0476190476</v>
      </c>
      <c r="S59" s="66" t="n">
        <f aca="false">R59+S58</f>
        <v>-50595.2380952381</v>
      </c>
      <c r="T59" s="66" t="n">
        <f aca="false">S59+T58</f>
        <v>-53571.4285714286</v>
      </c>
      <c r="U59" s="66" t="n">
        <f aca="false">T59+U58</f>
        <v>-56547.619047619</v>
      </c>
      <c r="V59" s="66" t="n">
        <f aca="false">U59+V58</f>
        <v>-59523.8095238095</v>
      </c>
      <c r="W59" s="66" t="n">
        <f aca="false">V59+W58</f>
        <v>-62500</v>
      </c>
      <c r="X59" s="66" t="n">
        <f aca="false">W59+X58</f>
        <v>-65476.1904761905</v>
      </c>
      <c r="Y59" s="66" t="n">
        <f aca="false">X59+Y58</f>
        <v>-68452.3809523809</v>
      </c>
      <c r="Z59" s="66" t="n">
        <f aca="false">Y59+Z58</f>
        <v>-71428.5714285714</v>
      </c>
      <c r="AA59" s="66" t="n">
        <f aca="false">Z59+AA58</f>
        <v>-74404.7619047619</v>
      </c>
      <c r="AB59" s="66" t="n">
        <f aca="false">AA59+AB58</f>
        <v>-77380.9523809524</v>
      </c>
      <c r="AC59" s="66" t="n">
        <f aca="false">AB59+AC58</f>
        <v>-80357.1428571428</v>
      </c>
      <c r="AD59" s="66" t="n">
        <f aca="false">AC59+AD58</f>
        <v>-83333.3333333333</v>
      </c>
      <c r="AE59" s="66" t="n">
        <f aca="false">AD59+AE58</f>
        <v>-86309.5238095238</v>
      </c>
      <c r="AF59" s="66" t="n">
        <f aca="false">AE59+AF58</f>
        <v>-89285.7142857143</v>
      </c>
      <c r="AG59" s="66" t="n">
        <f aca="false">AF59+AG58</f>
        <v>-92261.9047619047</v>
      </c>
      <c r="AH59" s="66" t="n">
        <f aca="false">AG59+AH58</f>
        <v>-95238.0952380952</v>
      </c>
      <c r="AI59" s="66" t="n">
        <f aca="false">AH59+AI58</f>
        <v>-98214.2857142857</v>
      </c>
      <c r="AJ59" s="66" t="n">
        <f aca="false">AI59+AJ58</f>
        <v>-101190.476190476</v>
      </c>
      <c r="AK59" s="66" t="n">
        <f aca="false">AJ59+AK58</f>
        <v>-104166.666666667</v>
      </c>
      <c r="AL59" s="66" t="n">
        <f aca="false">AK59+AL58</f>
        <v>-107142.857142857</v>
      </c>
    </row>
    <row r="60" customFormat="false" ht="15" hidden="false" customHeight="false" outlineLevel="0" collapsed="false">
      <c r="A60" s="4" t="s">
        <v>91</v>
      </c>
      <c r="C60" s="72" t="n">
        <f aca="false">C57+C59</f>
        <v>247023.80952381</v>
      </c>
      <c r="D60" s="72" t="n">
        <f aca="false">D57+D59</f>
        <v>244047.619047619</v>
      </c>
      <c r="E60" s="72" t="n">
        <f aca="false">E57+E59</f>
        <v>241071.428571429</v>
      </c>
      <c r="F60" s="72" t="n">
        <f aca="false">F57+F59</f>
        <v>238095.238095238</v>
      </c>
      <c r="G60" s="72" t="n">
        <f aca="false">G57+G59</f>
        <v>235119.047619048</v>
      </c>
      <c r="H60" s="72" t="n">
        <f aca="false">H57+H59</f>
        <v>232142.857142857</v>
      </c>
      <c r="I60" s="72" t="n">
        <f aca="false">I57+I59</f>
        <v>229166.666666667</v>
      </c>
      <c r="J60" s="72" t="n">
        <f aca="false">J57+J59</f>
        <v>226190.476190476</v>
      </c>
      <c r="K60" s="72" t="n">
        <f aca="false">K57+K59</f>
        <v>223214.285714286</v>
      </c>
      <c r="L60" s="72" t="n">
        <f aca="false">L57+L59</f>
        <v>220238.095238095</v>
      </c>
      <c r="M60" s="72" t="n">
        <f aca="false">M57+M59</f>
        <v>217261.904761905</v>
      </c>
      <c r="N60" s="72" t="n">
        <f aca="false">N57+N59</f>
        <v>214285.714285714</v>
      </c>
      <c r="O60" s="72" t="n">
        <f aca="false">O57+O59</f>
        <v>211309.523809524</v>
      </c>
      <c r="P60" s="72" t="n">
        <f aca="false">P57+P59</f>
        <v>208333.333333333</v>
      </c>
      <c r="Q60" s="72" t="n">
        <f aca="false">Q57+Q59</f>
        <v>205357.142857143</v>
      </c>
      <c r="R60" s="72" t="n">
        <f aca="false">R57+R59</f>
        <v>202380.952380952</v>
      </c>
      <c r="S60" s="72" t="n">
        <f aca="false">S57+S59</f>
        <v>199404.761904762</v>
      </c>
      <c r="T60" s="72" t="n">
        <f aca="false">T57+T59</f>
        <v>196428.571428571</v>
      </c>
      <c r="U60" s="72" t="n">
        <f aca="false">U57+U59</f>
        <v>193452.380952381</v>
      </c>
      <c r="V60" s="72" t="n">
        <f aca="false">V57+V59</f>
        <v>190476.190476191</v>
      </c>
      <c r="W60" s="72" t="n">
        <f aca="false">W57+W59</f>
        <v>187500</v>
      </c>
      <c r="X60" s="72" t="n">
        <f aca="false">X57+X59</f>
        <v>184523.80952381</v>
      </c>
      <c r="Y60" s="72" t="n">
        <f aca="false">Y57+Y59</f>
        <v>181547.619047619</v>
      </c>
      <c r="Z60" s="72" t="n">
        <f aca="false">Z57+Z59</f>
        <v>178571.428571429</v>
      </c>
      <c r="AA60" s="72" t="n">
        <f aca="false">AA57+AA59</f>
        <v>175595.238095238</v>
      </c>
      <c r="AB60" s="72" t="n">
        <f aca="false">AB57+AB59</f>
        <v>172619.047619048</v>
      </c>
      <c r="AC60" s="72" t="n">
        <f aca="false">AC57+AC59</f>
        <v>169642.857142857</v>
      </c>
      <c r="AD60" s="72" t="n">
        <f aca="false">AD57+AD59</f>
        <v>166666.666666667</v>
      </c>
      <c r="AE60" s="72" t="n">
        <f aca="false">AE57+AE59</f>
        <v>163690.476190476</v>
      </c>
      <c r="AF60" s="72" t="n">
        <f aca="false">AF57+AF59</f>
        <v>160714.285714286</v>
      </c>
      <c r="AG60" s="72" t="n">
        <f aca="false">AG57+AG59</f>
        <v>157738.095238095</v>
      </c>
      <c r="AH60" s="72" t="n">
        <f aca="false">AH57+AH59</f>
        <v>154761.904761905</v>
      </c>
      <c r="AI60" s="72" t="n">
        <f aca="false">AI57+AI59</f>
        <v>151785.714285714</v>
      </c>
      <c r="AJ60" s="72" t="n">
        <f aca="false">AJ57+AJ59</f>
        <v>148809.523809524</v>
      </c>
      <c r="AK60" s="72" t="n">
        <f aca="false">AK57+AK59</f>
        <v>145833.333333333</v>
      </c>
      <c r="AL60" s="72" t="n">
        <f aca="false">AL57+AL59</f>
        <v>142857.142857143</v>
      </c>
    </row>
    <row r="62" customFormat="false" ht="15.75" hidden="false" customHeight="true" outlineLevel="0" collapsed="false">
      <c r="A62" s="7" t="s">
        <v>395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</row>
    <row r="63" customFormat="false" ht="15" hidden="false" customHeight="false" outlineLevel="0" collapsed="false">
      <c r="A63" s="6" t="s">
        <v>396</v>
      </c>
      <c r="C63" s="66" t="n">
        <f aca="false">0</f>
        <v>0</v>
      </c>
      <c r="D63" s="66" t="n">
        <f aca="false">C66</f>
        <v>150000</v>
      </c>
      <c r="E63" s="66" t="n">
        <f aca="false">D66</f>
        <v>148214.285714286</v>
      </c>
      <c r="F63" s="66" t="n">
        <f aca="false">E66</f>
        <v>146428.571428571</v>
      </c>
      <c r="G63" s="66" t="n">
        <f aca="false">F66</f>
        <v>144642.857142857</v>
      </c>
      <c r="H63" s="66" t="n">
        <f aca="false">G66</f>
        <v>142857.142857143</v>
      </c>
      <c r="I63" s="66" t="n">
        <f aca="false">H66</f>
        <v>141071.428571429</v>
      </c>
      <c r="J63" s="66" t="n">
        <f aca="false">I66</f>
        <v>139285.714285714</v>
      </c>
      <c r="K63" s="66" t="n">
        <f aca="false">J66</f>
        <v>137500</v>
      </c>
      <c r="L63" s="66" t="n">
        <f aca="false">K66</f>
        <v>135714.285714286</v>
      </c>
      <c r="M63" s="66" t="n">
        <f aca="false">L66</f>
        <v>133928.571428571</v>
      </c>
      <c r="N63" s="66" t="n">
        <f aca="false">M66</f>
        <v>132142.857142857</v>
      </c>
      <c r="O63" s="66" t="n">
        <f aca="false">N66</f>
        <v>130357.142857143</v>
      </c>
      <c r="P63" s="66" t="n">
        <f aca="false">O66</f>
        <v>128571.428571429</v>
      </c>
      <c r="Q63" s="66" t="n">
        <f aca="false">P66</f>
        <v>126785.714285714</v>
      </c>
      <c r="R63" s="66" t="n">
        <f aca="false">Q66</f>
        <v>125000</v>
      </c>
      <c r="S63" s="66" t="n">
        <f aca="false">R66</f>
        <v>123214.285714286</v>
      </c>
      <c r="T63" s="66" t="n">
        <f aca="false">S66</f>
        <v>121428.571428571</v>
      </c>
      <c r="U63" s="66" t="n">
        <f aca="false">T66</f>
        <v>119642.857142857</v>
      </c>
      <c r="V63" s="66" t="n">
        <f aca="false">U66</f>
        <v>117857.142857143</v>
      </c>
      <c r="W63" s="66" t="n">
        <f aca="false">V66</f>
        <v>116071.428571428</v>
      </c>
      <c r="X63" s="66" t="n">
        <f aca="false">W66</f>
        <v>114285.714285714</v>
      </c>
      <c r="Y63" s="66" t="n">
        <f aca="false">X66</f>
        <v>112500</v>
      </c>
      <c r="Z63" s="66" t="n">
        <f aca="false">Y66</f>
        <v>110714.285714286</v>
      </c>
      <c r="AA63" s="66" t="n">
        <f aca="false">Z66</f>
        <v>108928.571428571</v>
      </c>
      <c r="AB63" s="66" t="n">
        <f aca="false">AA66</f>
        <v>107142.857142857</v>
      </c>
      <c r="AC63" s="66" t="n">
        <f aca="false">AB66</f>
        <v>105357.142857143</v>
      </c>
      <c r="AD63" s="66" t="n">
        <f aca="false">AC66</f>
        <v>103571.428571428</v>
      </c>
      <c r="AE63" s="66" t="n">
        <f aca="false">AD66</f>
        <v>101785.714285714</v>
      </c>
      <c r="AF63" s="66" t="n">
        <f aca="false">AE66</f>
        <v>99999.9999999999</v>
      </c>
      <c r="AG63" s="66" t="n">
        <f aca="false">AF66</f>
        <v>98214.2857142856</v>
      </c>
      <c r="AH63" s="66" t="n">
        <f aca="false">AG66</f>
        <v>96428.5714285713</v>
      </c>
      <c r="AI63" s="66" t="n">
        <f aca="false">AH66</f>
        <v>94642.857142857</v>
      </c>
      <c r="AJ63" s="66" t="n">
        <f aca="false">AI66</f>
        <v>92857.1428571427</v>
      </c>
      <c r="AK63" s="66" t="n">
        <f aca="false">AJ66</f>
        <v>91071.4285714284</v>
      </c>
      <c r="AL63" s="66" t="n">
        <f aca="false">AK66</f>
        <v>89285.7142857141</v>
      </c>
    </row>
    <row r="64" customFormat="false" ht="15" hidden="false" customHeight="false" outlineLevel="0" collapsed="false">
      <c r="A64" s="6" t="s">
        <v>84</v>
      </c>
      <c r="C64" s="66" t="n">
        <f aca="false">IF(C$6=1,Inputs!$B$55,0)</f>
        <v>150000</v>
      </c>
      <c r="D64" s="66" t="n">
        <f aca="false">IF(D$6=1,Inputs!$B$55,0)</f>
        <v>0</v>
      </c>
      <c r="E64" s="66" t="n">
        <f aca="false">IF(E$6=1,Inputs!$B$55,0)</f>
        <v>0</v>
      </c>
      <c r="F64" s="66" t="n">
        <f aca="false">IF(F$6=1,Inputs!$B$55,0)</f>
        <v>0</v>
      </c>
      <c r="G64" s="66" t="n">
        <f aca="false">IF(G$6=1,Inputs!$B$55,0)</f>
        <v>0</v>
      </c>
      <c r="H64" s="66" t="n">
        <f aca="false">IF(H$6=1,Inputs!$B$55,0)</f>
        <v>0</v>
      </c>
      <c r="I64" s="66" t="n">
        <f aca="false">IF(I$6=1,Inputs!$B$55,0)</f>
        <v>0</v>
      </c>
      <c r="J64" s="66" t="n">
        <f aca="false">IF(J$6=1,Inputs!$B$55,0)</f>
        <v>0</v>
      </c>
      <c r="K64" s="66" t="n">
        <f aca="false">IF(K$6=1,Inputs!$B$55,0)</f>
        <v>0</v>
      </c>
      <c r="L64" s="66" t="n">
        <f aca="false">IF(L$6=1,Inputs!$B$55,0)</f>
        <v>0</v>
      </c>
      <c r="M64" s="66" t="n">
        <f aca="false">IF(M$6=1,Inputs!$B$55,0)</f>
        <v>0</v>
      </c>
      <c r="N64" s="66" t="n">
        <f aca="false">IF(N$6=1,Inputs!$B$55,0)</f>
        <v>0</v>
      </c>
      <c r="O64" s="66" t="n">
        <f aca="false">IF(O$6=1,Inputs!$B$55,0)</f>
        <v>0</v>
      </c>
      <c r="P64" s="66" t="n">
        <f aca="false">IF(P$6=1,Inputs!$B$55,0)</f>
        <v>0</v>
      </c>
      <c r="Q64" s="66" t="n">
        <f aca="false">IF(Q$6=1,Inputs!$B$55,0)</f>
        <v>0</v>
      </c>
      <c r="R64" s="66" t="n">
        <f aca="false">IF(R$6=1,Inputs!$B$55,0)</f>
        <v>0</v>
      </c>
      <c r="S64" s="66" t="n">
        <f aca="false">IF(S$6=1,Inputs!$B$55,0)</f>
        <v>0</v>
      </c>
      <c r="T64" s="66" t="n">
        <f aca="false">IF(T$6=1,Inputs!$B$55,0)</f>
        <v>0</v>
      </c>
      <c r="U64" s="66" t="n">
        <f aca="false">IF(U$6=1,Inputs!$B$55,0)</f>
        <v>0</v>
      </c>
      <c r="V64" s="66" t="n">
        <f aca="false">IF(V$6=1,Inputs!$B$55,0)</f>
        <v>0</v>
      </c>
      <c r="W64" s="66" t="n">
        <f aca="false">IF(W$6=1,Inputs!$B$55,0)</f>
        <v>0</v>
      </c>
      <c r="X64" s="66" t="n">
        <f aca="false">IF(X$6=1,Inputs!$B$55,0)</f>
        <v>0</v>
      </c>
      <c r="Y64" s="66" t="n">
        <f aca="false">IF(Y$6=1,Inputs!$B$55,0)</f>
        <v>0</v>
      </c>
      <c r="Z64" s="66" t="n">
        <f aca="false">IF(Z$6=1,Inputs!$B$55,0)</f>
        <v>0</v>
      </c>
      <c r="AA64" s="66" t="n">
        <f aca="false">IF(AA$6=1,Inputs!$B$55,0)</f>
        <v>0</v>
      </c>
      <c r="AB64" s="66" t="n">
        <f aca="false">IF(AB$6=1,Inputs!$B$55,0)</f>
        <v>0</v>
      </c>
      <c r="AC64" s="66" t="n">
        <f aca="false">IF(AC$6=1,Inputs!$B$55,0)</f>
        <v>0</v>
      </c>
      <c r="AD64" s="66" t="n">
        <f aca="false">IF(AD$6=1,Inputs!$B$55,0)</f>
        <v>0</v>
      </c>
      <c r="AE64" s="66" t="n">
        <f aca="false">IF(AE$6=1,Inputs!$B$55,0)</f>
        <v>0</v>
      </c>
      <c r="AF64" s="66" t="n">
        <f aca="false">IF(AF$6=1,Inputs!$B$55,0)</f>
        <v>0</v>
      </c>
      <c r="AG64" s="66" t="n">
        <f aca="false">IF(AG$6=1,Inputs!$B$55,0)</f>
        <v>0</v>
      </c>
      <c r="AH64" s="66" t="n">
        <f aca="false">IF(AH$6=1,Inputs!$B$55,0)</f>
        <v>0</v>
      </c>
      <c r="AI64" s="66" t="n">
        <f aca="false">IF(AI$6=1,Inputs!$B$55,0)</f>
        <v>0</v>
      </c>
      <c r="AJ64" s="66" t="n">
        <f aca="false">IF(AJ$6=1,Inputs!$B$55,0)</f>
        <v>0</v>
      </c>
      <c r="AK64" s="66" t="n">
        <f aca="false">IF(AK$6=1,Inputs!$B$55,0)</f>
        <v>0</v>
      </c>
      <c r="AL64" s="66" t="n">
        <f aca="false">IF(AL$6=1,Inputs!$B$55,0)</f>
        <v>0</v>
      </c>
    </row>
    <row r="65" customFormat="false" ht="15" hidden="false" customHeight="false" outlineLevel="0" collapsed="false">
      <c r="A65" s="6" t="s">
        <v>85</v>
      </c>
      <c r="C65" s="66" t="n">
        <f aca="false">-MIN(C63,Inputs!$B$55/MAX(1,Inputs!$B$57*12))</f>
        <v>-0</v>
      </c>
      <c r="D65" s="66" t="n">
        <f aca="false">-MIN(D63,Inputs!$B$55/MAX(1,Inputs!$B$57*12))</f>
        <v>-1785.71428571429</v>
      </c>
      <c r="E65" s="66" t="n">
        <f aca="false">-MIN(E63,Inputs!$B$55/MAX(1,Inputs!$B$57*12))</f>
        <v>-1785.71428571429</v>
      </c>
      <c r="F65" s="66" t="n">
        <f aca="false">-MIN(F63,Inputs!$B$55/MAX(1,Inputs!$B$57*12))</f>
        <v>-1785.71428571429</v>
      </c>
      <c r="G65" s="66" t="n">
        <f aca="false">-MIN(G63,Inputs!$B$55/MAX(1,Inputs!$B$57*12))</f>
        <v>-1785.71428571429</v>
      </c>
      <c r="H65" s="66" t="n">
        <f aca="false">-MIN(H63,Inputs!$B$55/MAX(1,Inputs!$B$57*12))</f>
        <v>-1785.71428571429</v>
      </c>
      <c r="I65" s="66" t="n">
        <f aca="false">-MIN(I63,Inputs!$B$55/MAX(1,Inputs!$B$57*12))</f>
        <v>-1785.71428571429</v>
      </c>
      <c r="J65" s="66" t="n">
        <f aca="false">-MIN(J63,Inputs!$B$55/MAX(1,Inputs!$B$57*12))</f>
        <v>-1785.71428571429</v>
      </c>
      <c r="K65" s="66" t="n">
        <f aca="false">-MIN(K63,Inputs!$B$55/MAX(1,Inputs!$B$57*12))</f>
        <v>-1785.71428571429</v>
      </c>
      <c r="L65" s="66" t="n">
        <f aca="false">-MIN(L63,Inputs!$B$55/MAX(1,Inputs!$B$57*12))</f>
        <v>-1785.71428571429</v>
      </c>
      <c r="M65" s="66" t="n">
        <f aca="false">-MIN(M63,Inputs!$B$55/MAX(1,Inputs!$B$57*12))</f>
        <v>-1785.71428571429</v>
      </c>
      <c r="N65" s="66" t="n">
        <f aca="false">-MIN(N63,Inputs!$B$55/MAX(1,Inputs!$B$57*12))</f>
        <v>-1785.71428571429</v>
      </c>
      <c r="O65" s="66" t="n">
        <f aca="false">-MIN(O63,Inputs!$B$55/MAX(1,Inputs!$B$57*12))</f>
        <v>-1785.71428571429</v>
      </c>
      <c r="P65" s="66" t="n">
        <f aca="false">-MIN(P63,Inputs!$B$55/MAX(1,Inputs!$B$57*12))</f>
        <v>-1785.71428571429</v>
      </c>
      <c r="Q65" s="66" t="n">
        <f aca="false">-MIN(Q63,Inputs!$B$55/MAX(1,Inputs!$B$57*12))</f>
        <v>-1785.71428571429</v>
      </c>
      <c r="R65" s="66" t="n">
        <f aca="false">-MIN(R63,Inputs!$B$55/MAX(1,Inputs!$B$57*12))</f>
        <v>-1785.71428571429</v>
      </c>
      <c r="S65" s="66" t="n">
        <f aca="false">-MIN(S63,Inputs!$B$55/MAX(1,Inputs!$B$57*12))</f>
        <v>-1785.71428571429</v>
      </c>
      <c r="T65" s="66" t="n">
        <f aca="false">-MIN(T63,Inputs!$B$55/MAX(1,Inputs!$B$57*12))</f>
        <v>-1785.71428571429</v>
      </c>
      <c r="U65" s="66" t="n">
        <f aca="false">-MIN(U63,Inputs!$B$55/MAX(1,Inputs!$B$57*12))</f>
        <v>-1785.71428571429</v>
      </c>
      <c r="V65" s="66" t="n">
        <f aca="false">-MIN(V63,Inputs!$B$55/MAX(1,Inputs!$B$57*12))</f>
        <v>-1785.71428571429</v>
      </c>
      <c r="W65" s="66" t="n">
        <f aca="false">-MIN(W63,Inputs!$B$55/MAX(1,Inputs!$B$57*12))</f>
        <v>-1785.71428571429</v>
      </c>
      <c r="X65" s="66" t="n">
        <f aca="false">-MIN(X63,Inputs!$B$55/MAX(1,Inputs!$B$57*12))</f>
        <v>-1785.71428571429</v>
      </c>
      <c r="Y65" s="66" t="n">
        <f aca="false">-MIN(Y63,Inputs!$B$55/MAX(1,Inputs!$B$57*12))</f>
        <v>-1785.71428571429</v>
      </c>
      <c r="Z65" s="66" t="n">
        <f aca="false">-MIN(Z63,Inputs!$B$55/MAX(1,Inputs!$B$57*12))</f>
        <v>-1785.71428571429</v>
      </c>
      <c r="AA65" s="66" t="n">
        <f aca="false">-MIN(AA63,Inputs!$B$55/MAX(1,Inputs!$B$57*12))</f>
        <v>-1785.71428571429</v>
      </c>
      <c r="AB65" s="66" t="n">
        <f aca="false">-MIN(AB63,Inputs!$B$55/MAX(1,Inputs!$B$57*12))</f>
        <v>-1785.71428571429</v>
      </c>
      <c r="AC65" s="66" t="n">
        <f aca="false">-MIN(AC63,Inputs!$B$55/MAX(1,Inputs!$B$57*12))</f>
        <v>-1785.71428571429</v>
      </c>
      <c r="AD65" s="66" t="n">
        <f aca="false">-MIN(AD63,Inputs!$B$55/MAX(1,Inputs!$B$57*12))</f>
        <v>-1785.71428571429</v>
      </c>
      <c r="AE65" s="66" t="n">
        <f aca="false">-MIN(AE63,Inputs!$B$55/MAX(1,Inputs!$B$57*12))</f>
        <v>-1785.71428571429</v>
      </c>
      <c r="AF65" s="66" t="n">
        <f aca="false">-MIN(AF63,Inputs!$B$55/MAX(1,Inputs!$B$57*12))</f>
        <v>-1785.71428571429</v>
      </c>
      <c r="AG65" s="66" t="n">
        <f aca="false">-MIN(AG63,Inputs!$B$55/MAX(1,Inputs!$B$57*12))</f>
        <v>-1785.71428571429</v>
      </c>
      <c r="AH65" s="66" t="n">
        <f aca="false">-MIN(AH63,Inputs!$B$55/MAX(1,Inputs!$B$57*12))</f>
        <v>-1785.71428571429</v>
      </c>
      <c r="AI65" s="66" t="n">
        <f aca="false">-MIN(AI63,Inputs!$B$55/MAX(1,Inputs!$B$57*12))</f>
        <v>-1785.71428571429</v>
      </c>
      <c r="AJ65" s="66" t="n">
        <f aca="false">-MIN(AJ63,Inputs!$B$55/MAX(1,Inputs!$B$57*12))</f>
        <v>-1785.71428571429</v>
      </c>
      <c r="AK65" s="66" t="n">
        <f aca="false">-MIN(AK63,Inputs!$B$55/MAX(1,Inputs!$B$57*12))</f>
        <v>-1785.71428571429</v>
      </c>
      <c r="AL65" s="66" t="n">
        <f aca="false">-MIN(AL63,Inputs!$B$55/MAX(1,Inputs!$B$57*12))</f>
        <v>-1785.71428571429</v>
      </c>
    </row>
    <row r="66" customFormat="false" ht="15" hidden="false" customHeight="false" outlineLevel="0" collapsed="false">
      <c r="A66" s="4" t="s">
        <v>397</v>
      </c>
      <c r="C66" s="72" t="n">
        <f aca="false">C63+C64+C65</f>
        <v>150000</v>
      </c>
      <c r="D66" s="72" t="n">
        <f aca="false">D63+D64+D65</f>
        <v>148214.285714286</v>
      </c>
      <c r="E66" s="72" t="n">
        <f aca="false">E63+E64+E65</f>
        <v>146428.571428571</v>
      </c>
      <c r="F66" s="72" t="n">
        <f aca="false">F63+F64+F65</f>
        <v>144642.857142857</v>
      </c>
      <c r="G66" s="72" t="n">
        <f aca="false">G63+G64+G65</f>
        <v>142857.142857143</v>
      </c>
      <c r="H66" s="72" t="n">
        <f aca="false">H63+H64+H65</f>
        <v>141071.428571429</v>
      </c>
      <c r="I66" s="72" t="n">
        <f aca="false">I63+I64+I65</f>
        <v>139285.714285714</v>
      </c>
      <c r="J66" s="72" t="n">
        <f aca="false">J63+J64+J65</f>
        <v>137500</v>
      </c>
      <c r="K66" s="72" t="n">
        <f aca="false">K63+K64+K65</f>
        <v>135714.285714286</v>
      </c>
      <c r="L66" s="72" t="n">
        <f aca="false">L63+L64+L65</f>
        <v>133928.571428571</v>
      </c>
      <c r="M66" s="72" t="n">
        <f aca="false">M63+M64+M65</f>
        <v>132142.857142857</v>
      </c>
      <c r="N66" s="72" t="n">
        <f aca="false">N63+N64+N65</f>
        <v>130357.142857143</v>
      </c>
      <c r="O66" s="72" t="n">
        <f aca="false">O63+O64+O65</f>
        <v>128571.428571429</v>
      </c>
      <c r="P66" s="72" t="n">
        <f aca="false">P63+P64+P65</f>
        <v>126785.714285714</v>
      </c>
      <c r="Q66" s="72" t="n">
        <f aca="false">Q63+Q64+Q65</f>
        <v>125000</v>
      </c>
      <c r="R66" s="72" t="n">
        <f aca="false">R63+R64+R65</f>
        <v>123214.285714286</v>
      </c>
      <c r="S66" s="72" t="n">
        <f aca="false">S63+S64+S65</f>
        <v>121428.571428571</v>
      </c>
      <c r="T66" s="72" t="n">
        <f aca="false">T63+T64+T65</f>
        <v>119642.857142857</v>
      </c>
      <c r="U66" s="72" t="n">
        <f aca="false">U63+U64+U65</f>
        <v>117857.142857143</v>
      </c>
      <c r="V66" s="72" t="n">
        <f aca="false">V63+V64+V65</f>
        <v>116071.428571428</v>
      </c>
      <c r="W66" s="72" t="n">
        <f aca="false">W63+W64+W65</f>
        <v>114285.714285714</v>
      </c>
      <c r="X66" s="72" t="n">
        <f aca="false">X63+X64+X65</f>
        <v>112500</v>
      </c>
      <c r="Y66" s="72" t="n">
        <f aca="false">Y63+Y64+Y65</f>
        <v>110714.285714286</v>
      </c>
      <c r="Z66" s="72" t="n">
        <f aca="false">Z63+Z64+Z65</f>
        <v>108928.571428571</v>
      </c>
      <c r="AA66" s="72" t="n">
        <f aca="false">AA63+AA64+AA65</f>
        <v>107142.857142857</v>
      </c>
      <c r="AB66" s="72" t="n">
        <f aca="false">AB63+AB64+AB65</f>
        <v>105357.142857143</v>
      </c>
      <c r="AC66" s="72" t="n">
        <f aca="false">AC63+AC64+AC65</f>
        <v>103571.428571428</v>
      </c>
      <c r="AD66" s="72" t="n">
        <f aca="false">AD63+AD64+AD65</f>
        <v>101785.714285714</v>
      </c>
      <c r="AE66" s="72" t="n">
        <f aca="false">AE63+AE64+AE65</f>
        <v>99999.9999999999</v>
      </c>
      <c r="AF66" s="72" t="n">
        <f aca="false">AF63+AF64+AF65</f>
        <v>98214.2857142856</v>
      </c>
      <c r="AG66" s="72" t="n">
        <f aca="false">AG63+AG64+AG65</f>
        <v>96428.5714285713</v>
      </c>
      <c r="AH66" s="72" t="n">
        <f aca="false">AH63+AH64+AH65</f>
        <v>94642.857142857</v>
      </c>
      <c r="AI66" s="72" t="n">
        <f aca="false">AI63+AI64+AI65</f>
        <v>92857.1428571427</v>
      </c>
      <c r="AJ66" s="72" t="n">
        <f aca="false">AJ63+AJ64+AJ65</f>
        <v>91071.4285714284</v>
      </c>
      <c r="AK66" s="72" t="n">
        <f aca="false">AK63+AK64+AK65</f>
        <v>89285.7142857141</v>
      </c>
      <c r="AL66" s="72" t="n">
        <f aca="false">AL63+AL64+AL65</f>
        <v>87499.9999999999</v>
      </c>
    </row>
    <row r="68" customFormat="false" ht="15.75" hidden="false" customHeight="true" outlineLevel="0" collapsed="false">
      <c r="A68" s="7" t="s">
        <v>303</v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</row>
    <row r="69" customFormat="false" ht="15" hidden="false" customHeight="false" outlineLevel="0" collapsed="false">
      <c r="A69" s="6" t="s">
        <v>89</v>
      </c>
      <c r="C69" s="66" t="n">
        <f aca="false">C26*Inputs!$B$60/30</f>
        <v>0</v>
      </c>
      <c r="D69" s="66" t="n">
        <f aca="false">D26*Inputs!$B$60/30</f>
        <v>0</v>
      </c>
      <c r="E69" s="66" t="n">
        <f aca="false">E26*Inputs!$B$60/30</f>
        <v>0</v>
      </c>
      <c r="F69" s="66" t="n">
        <f aca="false">F26*Inputs!$B$60/30</f>
        <v>0</v>
      </c>
      <c r="G69" s="66" t="n">
        <f aca="false">G26*Inputs!$B$60/30</f>
        <v>0</v>
      </c>
      <c r="H69" s="66" t="n">
        <f aca="false">H26*Inputs!$B$60/30</f>
        <v>0</v>
      </c>
      <c r="I69" s="66" t="n">
        <f aca="false">I26*Inputs!$B$60/30</f>
        <v>0</v>
      </c>
      <c r="J69" s="66" t="n">
        <f aca="false">J26*Inputs!$B$60/30</f>
        <v>0</v>
      </c>
      <c r="K69" s="66" t="n">
        <f aca="false">K26*Inputs!$B$60/30</f>
        <v>0</v>
      </c>
      <c r="L69" s="66" t="n">
        <f aca="false">L26*Inputs!$B$60/30</f>
        <v>0</v>
      </c>
      <c r="M69" s="66" t="n">
        <f aca="false">M26*Inputs!$B$60/30</f>
        <v>0</v>
      </c>
      <c r="N69" s="66" t="n">
        <f aca="false">N26*Inputs!$B$60/30</f>
        <v>0</v>
      </c>
      <c r="O69" s="66" t="n">
        <f aca="false">O26*Inputs!$B$60/30</f>
        <v>0</v>
      </c>
      <c r="P69" s="66" t="n">
        <f aca="false">P26*Inputs!$B$60/30</f>
        <v>0</v>
      </c>
      <c r="Q69" s="66" t="n">
        <f aca="false">Q26*Inputs!$B$60/30</f>
        <v>0</v>
      </c>
      <c r="R69" s="66" t="n">
        <f aca="false">R26*Inputs!$B$60/30</f>
        <v>0</v>
      </c>
      <c r="S69" s="66" t="n">
        <f aca="false">S26*Inputs!$B$60/30</f>
        <v>0</v>
      </c>
      <c r="T69" s="66" t="n">
        <f aca="false">T26*Inputs!$B$60/30</f>
        <v>0</v>
      </c>
      <c r="U69" s="66" t="n">
        <f aca="false">U26*Inputs!$B$60/30</f>
        <v>0</v>
      </c>
      <c r="V69" s="66" t="n">
        <f aca="false">V26*Inputs!$B$60/30</f>
        <v>0</v>
      </c>
      <c r="W69" s="66" t="n">
        <f aca="false">W26*Inputs!$B$60/30</f>
        <v>0</v>
      </c>
      <c r="X69" s="66" t="n">
        <f aca="false">X26*Inputs!$B$60/30</f>
        <v>0</v>
      </c>
      <c r="Y69" s="66" t="n">
        <f aca="false">Y26*Inputs!$B$60/30</f>
        <v>0</v>
      </c>
      <c r="Z69" s="66" t="n">
        <f aca="false">Z26*Inputs!$B$60/30</f>
        <v>0</v>
      </c>
      <c r="AA69" s="66" t="n">
        <f aca="false">AA26*Inputs!$B$60/30</f>
        <v>0</v>
      </c>
      <c r="AB69" s="66" t="n">
        <f aca="false">AB26*Inputs!$B$60/30</f>
        <v>0</v>
      </c>
      <c r="AC69" s="66" t="n">
        <f aca="false">AC26*Inputs!$B$60/30</f>
        <v>0</v>
      </c>
      <c r="AD69" s="66" t="n">
        <f aca="false">AD26*Inputs!$B$60/30</f>
        <v>0</v>
      </c>
      <c r="AE69" s="66" t="n">
        <f aca="false">AE26*Inputs!$B$60/30</f>
        <v>0</v>
      </c>
      <c r="AF69" s="66" t="n">
        <f aca="false">AF26*Inputs!$B$60/30</f>
        <v>0</v>
      </c>
      <c r="AG69" s="66" t="n">
        <f aca="false">AG26*Inputs!$B$60/30</f>
        <v>0</v>
      </c>
      <c r="AH69" s="66" t="n">
        <f aca="false">AH26*Inputs!$B$60/30</f>
        <v>0</v>
      </c>
      <c r="AI69" s="66" t="n">
        <f aca="false">AI26*Inputs!$B$60/30</f>
        <v>0</v>
      </c>
      <c r="AJ69" s="66" t="n">
        <f aca="false">AJ26*Inputs!$B$60/30</f>
        <v>0</v>
      </c>
      <c r="AK69" s="66" t="n">
        <f aca="false">AK26*Inputs!$B$60/30</f>
        <v>0</v>
      </c>
      <c r="AL69" s="66" t="n">
        <f aca="false">AL26*Inputs!$B$60/30</f>
        <v>0</v>
      </c>
    </row>
    <row r="70" customFormat="false" ht="15" hidden="false" customHeight="false" outlineLevel="0" collapsed="false">
      <c r="A70" s="6" t="s">
        <v>90</v>
      </c>
      <c r="C70" s="66" t="n">
        <f aca="false">-C32*Inputs!$B$61/30</f>
        <v>3212.74879365079</v>
      </c>
      <c r="D70" s="66" t="n">
        <f aca="false">-D32*Inputs!$B$61/30</f>
        <v>3288.64907650794</v>
      </c>
      <c r="E70" s="66" t="n">
        <f aca="false">-E32*Inputs!$B$61/30</f>
        <v>3359.23633956508</v>
      </c>
      <c r="F70" s="66" t="n">
        <f aca="false">-F32*Inputs!$B$61/30</f>
        <v>3424.88249420822</v>
      </c>
      <c r="G70" s="66" t="n">
        <f aca="false">-G32*Inputs!$B$61/30</f>
        <v>3485.93341802635</v>
      </c>
      <c r="H70" s="66" t="n">
        <f aca="false">-H32*Inputs!$B$61/30</f>
        <v>3542.7107771772</v>
      </c>
      <c r="I70" s="66" t="n">
        <f aca="false">-I32*Inputs!$B$61/30</f>
        <v>3595.51372118749</v>
      </c>
      <c r="J70" s="66" t="n">
        <f aca="false">-J32*Inputs!$B$61/30</f>
        <v>3644.62045911707</v>
      </c>
      <c r="K70" s="66" t="n">
        <f aca="false">-K32*Inputs!$B$61/30</f>
        <v>3690.28972539157</v>
      </c>
      <c r="L70" s="66" t="n">
        <f aca="false">-L32*Inputs!$B$61/30</f>
        <v>3732.76214302686</v>
      </c>
      <c r="M70" s="66" t="n">
        <f aca="false">-M32*Inputs!$B$61/30</f>
        <v>3772.26149142768</v>
      </c>
      <c r="N70" s="66" t="n">
        <f aca="false">-N32*Inputs!$B$61/30</f>
        <v>3808.99588544044</v>
      </c>
      <c r="O70" s="66" t="n">
        <f aca="false">-O32*Inputs!$B$61/30</f>
        <v>3949.99927819864</v>
      </c>
      <c r="P70" s="66" t="n">
        <f aca="false">-P32*Inputs!$B$61/30</f>
        <v>3984.50678332791</v>
      </c>
      <c r="Q70" s="66" t="n">
        <f aca="false">-Q32*Inputs!$B$61/30</f>
        <v>4016.59876309813</v>
      </c>
      <c r="R70" s="66" t="n">
        <f aca="false">-R32*Inputs!$B$61/30</f>
        <v>4046.44430428444</v>
      </c>
      <c r="S70" s="66" t="n">
        <f aca="false">-S32*Inputs!$B$61/30</f>
        <v>4074.2006575877</v>
      </c>
      <c r="T70" s="66" t="n">
        <f aca="false">-T32*Inputs!$B$61/30</f>
        <v>4100.01406615974</v>
      </c>
      <c r="U70" s="66" t="n">
        <f aca="false">-U32*Inputs!$B$61/30</f>
        <v>4124.02053613173</v>
      </c>
      <c r="V70" s="66" t="n">
        <f aca="false">-V32*Inputs!$B$61/30</f>
        <v>4146.34655320568</v>
      </c>
      <c r="W70" s="66" t="n">
        <f aca="false">-W32*Inputs!$B$61/30</f>
        <v>4167.10974908446</v>
      </c>
      <c r="X70" s="66" t="n">
        <f aca="false">-X32*Inputs!$B$61/30</f>
        <v>4186.41952125172</v>
      </c>
      <c r="Y70" s="66" t="n">
        <f aca="false">-Y32*Inputs!$B$61/30</f>
        <v>4204.37760936728</v>
      </c>
      <c r="Z70" s="66" t="n">
        <f aca="false">-Z32*Inputs!$B$61/30</f>
        <v>4221.07863131474</v>
      </c>
      <c r="AA70" s="66" t="n">
        <f aca="false">-AA32*Inputs!$B$61/30</f>
        <v>4352.26396105596</v>
      </c>
      <c r="AB70" s="66" t="n">
        <f aca="false">-AB32*Inputs!$B$61/30</f>
        <v>4369.24720064617</v>
      </c>
      <c r="AC70" s="66" t="n">
        <f aca="false">-AC32*Inputs!$B$61/30</f>
        <v>4385.04161346506</v>
      </c>
      <c r="AD70" s="66" t="n">
        <f aca="false">-AD32*Inputs!$B$61/30</f>
        <v>4399.73041738664</v>
      </c>
      <c r="AE70" s="66" t="n">
        <f aca="false">-AE32*Inputs!$B$61/30</f>
        <v>4413.3910050337</v>
      </c>
      <c r="AF70" s="66" t="n">
        <f aca="false">-AF32*Inputs!$B$61/30</f>
        <v>4426.09535154547</v>
      </c>
      <c r="AG70" s="66" t="n">
        <f aca="false">-AG32*Inputs!$B$61/30</f>
        <v>4437.91039380141</v>
      </c>
      <c r="AH70" s="66" t="n">
        <f aca="false">-AH32*Inputs!$B$61/30</f>
        <v>4448.89838309944</v>
      </c>
      <c r="AI70" s="66" t="n">
        <f aca="false">-AI32*Inputs!$B$61/30</f>
        <v>4459.11721314661</v>
      </c>
      <c r="AJ70" s="66" t="n">
        <f aca="false">-AJ32*Inputs!$B$61/30</f>
        <v>4468.62072509047</v>
      </c>
      <c r="AK70" s="66" t="n">
        <f aca="false">-AK32*Inputs!$B$61/30</f>
        <v>4477.45899119826</v>
      </c>
      <c r="AL70" s="66" t="n">
        <f aca="false">-AL32*Inputs!$B$61/30</f>
        <v>4485.67857867851</v>
      </c>
    </row>
    <row r="71" customFormat="false" ht="15" hidden="false" customHeight="false" outlineLevel="0" collapsed="false">
      <c r="A71" s="6" t="s">
        <v>93</v>
      </c>
      <c r="C71" s="66" t="n">
        <f aca="false">-C32*Inputs!$B$62/30</f>
        <v>6425.49758730159</v>
      </c>
      <c r="D71" s="66" t="n">
        <f aca="false">-D32*Inputs!$B$62/30</f>
        <v>6577.29815301587</v>
      </c>
      <c r="E71" s="66" t="n">
        <f aca="false">-E32*Inputs!$B$62/30</f>
        <v>6718.47267913016</v>
      </c>
      <c r="F71" s="66" t="n">
        <f aca="false">-F32*Inputs!$B$62/30</f>
        <v>6849.76498841645</v>
      </c>
      <c r="G71" s="66" t="n">
        <f aca="false">-G32*Inputs!$B$62/30</f>
        <v>6971.86683605269</v>
      </c>
      <c r="H71" s="66" t="n">
        <f aca="false">-H32*Inputs!$B$62/30</f>
        <v>7085.4215543544</v>
      </c>
      <c r="I71" s="66" t="n">
        <f aca="false">-I32*Inputs!$B$62/30</f>
        <v>7191.02744237499</v>
      </c>
      <c r="J71" s="66" t="n">
        <f aca="false">-J32*Inputs!$B$62/30</f>
        <v>7289.24091823414</v>
      </c>
      <c r="K71" s="66" t="n">
        <f aca="false">-K32*Inputs!$B$62/30</f>
        <v>7380.57945078314</v>
      </c>
      <c r="L71" s="66" t="n">
        <f aca="false">-L32*Inputs!$B$62/30</f>
        <v>7465.52428605372</v>
      </c>
      <c r="M71" s="66" t="n">
        <f aca="false">-M32*Inputs!$B$62/30</f>
        <v>7544.52298285536</v>
      </c>
      <c r="N71" s="66" t="n">
        <f aca="false">-N32*Inputs!$B$62/30</f>
        <v>7617.99177088088</v>
      </c>
      <c r="O71" s="66" t="n">
        <f aca="false">-O32*Inputs!$B$62/30</f>
        <v>7899.99855639728</v>
      </c>
      <c r="P71" s="66" t="n">
        <f aca="false">-P32*Inputs!$B$62/30</f>
        <v>7969.01356665582</v>
      </c>
      <c r="Q71" s="66" t="n">
        <f aca="false">-Q32*Inputs!$B$62/30</f>
        <v>8033.19752619627</v>
      </c>
      <c r="R71" s="66" t="n">
        <f aca="false">-R32*Inputs!$B$62/30</f>
        <v>8092.88860856888</v>
      </c>
      <c r="S71" s="66" t="n">
        <f aca="false">-S32*Inputs!$B$62/30</f>
        <v>8148.4013151754</v>
      </c>
      <c r="T71" s="66" t="n">
        <f aca="false">-T32*Inputs!$B$62/30</f>
        <v>8200.02813231947</v>
      </c>
      <c r="U71" s="66" t="n">
        <f aca="false">-U32*Inputs!$B$62/30</f>
        <v>8248.04107226346</v>
      </c>
      <c r="V71" s="66" t="n">
        <f aca="false">-V32*Inputs!$B$62/30</f>
        <v>8292.69310641137</v>
      </c>
      <c r="W71" s="66" t="n">
        <f aca="false">-W32*Inputs!$B$62/30</f>
        <v>8334.21949816892</v>
      </c>
      <c r="X71" s="66" t="n">
        <f aca="false">-X32*Inputs!$B$62/30</f>
        <v>8372.83904250345</v>
      </c>
      <c r="Y71" s="66" t="n">
        <f aca="false">-Y32*Inputs!$B$62/30</f>
        <v>8408.75521873455</v>
      </c>
      <c r="Z71" s="66" t="n">
        <f aca="false">-Z32*Inputs!$B$62/30</f>
        <v>8442.15726262948</v>
      </c>
      <c r="AA71" s="66" t="n">
        <f aca="false">-AA32*Inputs!$B$62/30</f>
        <v>8704.52792211191</v>
      </c>
      <c r="AB71" s="66" t="n">
        <f aca="false">-AB32*Inputs!$B$62/30</f>
        <v>8738.49440129233</v>
      </c>
      <c r="AC71" s="66" t="n">
        <f aca="false">-AC32*Inputs!$B$62/30</f>
        <v>8770.08322693013</v>
      </c>
      <c r="AD71" s="66" t="n">
        <f aca="false">-AD32*Inputs!$B$62/30</f>
        <v>8799.46083477327</v>
      </c>
      <c r="AE71" s="66" t="n">
        <f aca="false">-AE32*Inputs!$B$62/30</f>
        <v>8826.7820100674</v>
      </c>
      <c r="AF71" s="66" t="n">
        <f aca="false">-AF32*Inputs!$B$62/30</f>
        <v>8852.19070309093</v>
      </c>
      <c r="AG71" s="66" t="n">
        <f aca="false">-AG32*Inputs!$B$62/30</f>
        <v>8875.82078760282</v>
      </c>
      <c r="AH71" s="66" t="n">
        <f aca="false">-AH32*Inputs!$B$62/30</f>
        <v>8897.79676619888</v>
      </c>
      <c r="AI71" s="66" t="n">
        <f aca="false">-AI32*Inputs!$B$62/30</f>
        <v>8918.23442629321</v>
      </c>
      <c r="AJ71" s="66" t="n">
        <f aca="false">-AJ32*Inputs!$B$62/30</f>
        <v>8937.24145018094</v>
      </c>
      <c r="AK71" s="66" t="n">
        <f aca="false">-AK32*Inputs!$B$62/30</f>
        <v>8954.91798239653</v>
      </c>
      <c r="AL71" s="66" t="n">
        <f aca="false">-AL32*Inputs!$B$62/30</f>
        <v>8971.35715735703</v>
      </c>
    </row>
    <row r="72" customFormat="false" ht="15" hidden="false" customHeight="false" outlineLevel="0" collapsed="false">
      <c r="A72" s="6" t="s">
        <v>328</v>
      </c>
      <c r="C72" s="66" t="n">
        <f aca="false">-C69</f>
        <v>-0</v>
      </c>
      <c r="D72" s="66" t="n">
        <f aca="false">C69-D69</f>
        <v>0</v>
      </c>
      <c r="E72" s="66" t="n">
        <f aca="false">D69-E69</f>
        <v>0</v>
      </c>
      <c r="F72" s="66" t="n">
        <f aca="false">E69-F69</f>
        <v>0</v>
      </c>
      <c r="G72" s="66" t="n">
        <f aca="false">F69-G69</f>
        <v>0</v>
      </c>
      <c r="H72" s="66" t="n">
        <f aca="false">G69-H69</f>
        <v>0</v>
      </c>
      <c r="I72" s="66" t="n">
        <f aca="false">H69-I69</f>
        <v>0</v>
      </c>
      <c r="J72" s="66" t="n">
        <f aca="false">I69-J69</f>
        <v>0</v>
      </c>
      <c r="K72" s="66" t="n">
        <f aca="false">J69-K69</f>
        <v>0</v>
      </c>
      <c r="L72" s="66" t="n">
        <f aca="false">K69-L69</f>
        <v>0</v>
      </c>
      <c r="M72" s="66" t="n">
        <f aca="false">L69-M69</f>
        <v>0</v>
      </c>
      <c r="N72" s="66" t="n">
        <f aca="false">M69-N69</f>
        <v>0</v>
      </c>
      <c r="O72" s="66" t="n">
        <f aca="false">N69-O69</f>
        <v>0</v>
      </c>
      <c r="P72" s="66" t="n">
        <f aca="false">O69-P69</f>
        <v>0</v>
      </c>
      <c r="Q72" s="66" t="n">
        <f aca="false">P69-Q69</f>
        <v>0</v>
      </c>
      <c r="R72" s="66" t="n">
        <f aca="false">Q69-R69</f>
        <v>0</v>
      </c>
      <c r="S72" s="66" t="n">
        <f aca="false">R69-S69</f>
        <v>0</v>
      </c>
      <c r="T72" s="66" t="n">
        <f aca="false">S69-T69</f>
        <v>0</v>
      </c>
      <c r="U72" s="66" t="n">
        <f aca="false">T69-U69</f>
        <v>0</v>
      </c>
      <c r="V72" s="66" t="n">
        <f aca="false">U69-V69</f>
        <v>0</v>
      </c>
      <c r="W72" s="66" t="n">
        <f aca="false">V69-W69</f>
        <v>0</v>
      </c>
      <c r="X72" s="66" t="n">
        <f aca="false">W69-X69</f>
        <v>0</v>
      </c>
      <c r="Y72" s="66" t="n">
        <f aca="false">X69-Y69</f>
        <v>0</v>
      </c>
      <c r="Z72" s="66" t="n">
        <f aca="false">Y69-Z69</f>
        <v>0</v>
      </c>
      <c r="AA72" s="66" t="n">
        <f aca="false">Z69-AA69</f>
        <v>0</v>
      </c>
      <c r="AB72" s="66" t="n">
        <f aca="false">AA69-AB69</f>
        <v>0</v>
      </c>
      <c r="AC72" s="66" t="n">
        <f aca="false">AB69-AC69</f>
        <v>0</v>
      </c>
      <c r="AD72" s="66" t="n">
        <f aca="false">AC69-AD69</f>
        <v>0</v>
      </c>
      <c r="AE72" s="66" t="n">
        <f aca="false">AD69-AE69</f>
        <v>0</v>
      </c>
      <c r="AF72" s="66" t="n">
        <f aca="false">AE69-AF69</f>
        <v>0</v>
      </c>
      <c r="AG72" s="66" t="n">
        <f aca="false">AF69-AG69</f>
        <v>0</v>
      </c>
      <c r="AH72" s="66" t="n">
        <f aca="false">AG69-AH69</f>
        <v>0</v>
      </c>
      <c r="AI72" s="66" t="n">
        <f aca="false">AH69-AI69</f>
        <v>0</v>
      </c>
      <c r="AJ72" s="66" t="n">
        <f aca="false">AI69-AJ69</f>
        <v>0</v>
      </c>
      <c r="AK72" s="66" t="n">
        <f aca="false">AJ69-AK69</f>
        <v>0</v>
      </c>
      <c r="AL72" s="66" t="n">
        <f aca="false">AK69-AL69</f>
        <v>0</v>
      </c>
    </row>
    <row r="73" customFormat="false" ht="15" hidden="false" customHeight="false" outlineLevel="0" collapsed="false">
      <c r="A73" s="6" t="s">
        <v>329</v>
      </c>
      <c r="C73" s="66" t="n">
        <f aca="false">-C70</f>
        <v>-3212.74879365079</v>
      </c>
      <c r="D73" s="66" t="n">
        <f aca="false">C70-D70</f>
        <v>-75.900282857142</v>
      </c>
      <c r="E73" s="66" t="n">
        <f aca="false">D70-E70</f>
        <v>-70.5872630571435</v>
      </c>
      <c r="F73" s="66" t="n">
        <f aca="false">E70-F70</f>
        <v>-65.6461546431428</v>
      </c>
      <c r="G73" s="66" t="n">
        <f aca="false">F70-G70</f>
        <v>-61.0509238181226</v>
      </c>
      <c r="H73" s="66" t="n">
        <f aca="false">G70-H70</f>
        <v>-56.777359150854</v>
      </c>
      <c r="I73" s="66" t="n">
        <f aca="false">H70-I70</f>
        <v>-52.8029440102951</v>
      </c>
      <c r="J73" s="66" t="n">
        <f aca="false">I70-J70</f>
        <v>-49.1067379295737</v>
      </c>
      <c r="K73" s="66" t="n">
        <f aca="false">J70-K70</f>
        <v>-45.669266274504</v>
      </c>
      <c r="L73" s="66" t="n">
        <f aca="false">K70-L70</f>
        <v>-42.4724176352879</v>
      </c>
      <c r="M73" s="66" t="n">
        <f aca="false">L70-M70</f>
        <v>-39.4993484008182</v>
      </c>
      <c r="N73" s="66" t="n">
        <f aca="false">M70-N70</f>
        <v>-36.7343940127612</v>
      </c>
      <c r="O73" s="66" t="n">
        <f aca="false">N70-O70</f>
        <v>-141.003392758203</v>
      </c>
      <c r="P73" s="66" t="n">
        <f aca="false">O70-P70</f>
        <v>-34.5075051292697</v>
      </c>
      <c r="Q73" s="66" t="n">
        <f aca="false">P70-Q70</f>
        <v>-32.0919797702209</v>
      </c>
      <c r="R73" s="66" t="n">
        <f aca="false">Q70-R70</f>
        <v>-29.8455411863051</v>
      </c>
      <c r="S73" s="66" t="n">
        <f aca="false">R70-S70</f>
        <v>-27.756353303264</v>
      </c>
      <c r="T73" s="66" t="n">
        <f aca="false">S70-T70</f>
        <v>-25.8134085720353</v>
      </c>
      <c r="U73" s="66" t="n">
        <f aca="false">T70-U70</f>
        <v>-24.0064699719933</v>
      </c>
      <c r="V73" s="66" t="n">
        <f aca="false">U70-V70</f>
        <v>-22.3260170739541</v>
      </c>
      <c r="W73" s="66" t="n">
        <f aca="false">V70-W70</f>
        <v>-20.7631958787761</v>
      </c>
      <c r="X73" s="66" t="n">
        <f aca="false">W70-X70</f>
        <v>-19.309772167263</v>
      </c>
      <c r="Y73" s="66" t="n">
        <f aca="false">X70-Y70</f>
        <v>-17.9580881155534</v>
      </c>
      <c r="Z73" s="66" t="n">
        <f aca="false">Y70-Z70</f>
        <v>-16.7010219474651</v>
      </c>
      <c r="AA73" s="66" t="n">
        <f aca="false">Z70-AA70</f>
        <v>-131.185329741215</v>
      </c>
      <c r="AB73" s="66" t="n">
        <f aca="false">AA70-AB70</f>
        <v>-16.9832395902095</v>
      </c>
      <c r="AC73" s="66" t="n">
        <f aca="false">AB70-AC70</f>
        <v>-15.7944128188956</v>
      </c>
      <c r="AD73" s="66" t="n">
        <f aca="false">AC70-AD70</f>
        <v>-14.6888039215728</v>
      </c>
      <c r="AE73" s="66" t="n">
        <f aca="false">AD70-AE70</f>
        <v>-13.660587647063</v>
      </c>
      <c r="AF73" s="66" t="n">
        <f aca="false">AE70-AF70</f>
        <v>-12.7043465117677</v>
      </c>
      <c r="AG73" s="66" t="n">
        <f aca="false">AF70-AG70</f>
        <v>-11.8150422559447</v>
      </c>
      <c r="AH73" s="66" t="n">
        <f aca="false">AG70-AH70</f>
        <v>-10.9879892980289</v>
      </c>
      <c r="AI73" s="66" t="n">
        <f aca="false">AH70-AI70</f>
        <v>-10.2188300471653</v>
      </c>
      <c r="AJ73" s="66" t="n">
        <f aca="false">AI70-AJ70</f>
        <v>-9.50351194386531</v>
      </c>
      <c r="AK73" s="66" t="n">
        <f aca="false">AJ70-AK70</f>
        <v>-8.83826610779397</v>
      </c>
      <c r="AL73" s="66" t="n">
        <f aca="false">AK70-AL70</f>
        <v>-8.21958748024917</v>
      </c>
    </row>
    <row r="74" customFormat="false" ht="15" hidden="false" customHeight="false" outlineLevel="0" collapsed="false">
      <c r="A74" s="6" t="s">
        <v>330</v>
      </c>
      <c r="C74" s="66" t="n">
        <f aca="false">C71</f>
        <v>6425.49758730159</v>
      </c>
      <c r="D74" s="66" t="n">
        <f aca="false">D71-C71</f>
        <v>151.800565714284</v>
      </c>
      <c r="E74" s="66" t="n">
        <f aca="false">E71-D71</f>
        <v>141.174526114287</v>
      </c>
      <c r="F74" s="66" t="n">
        <f aca="false">F71-E71</f>
        <v>131.292309286286</v>
      </c>
      <c r="G74" s="66" t="n">
        <f aca="false">G71-F71</f>
        <v>122.101847636245</v>
      </c>
      <c r="H74" s="66" t="n">
        <f aca="false">H71-G71</f>
        <v>113.554718301708</v>
      </c>
      <c r="I74" s="66" t="n">
        <f aca="false">I71-H71</f>
        <v>105.60588802059</v>
      </c>
      <c r="J74" s="66" t="n">
        <f aca="false">J71-I71</f>
        <v>98.2134758591474</v>
      </c>
      <c r="K74" s="66" t="n">
        <f aca="false">K71-J71</f>
        <v>91.3385325490081</v>
      </c>
      <c r="L74" s="66" t="n">
        <f aca="false">L71-K71</f>
        <v>84.9448352705758</v>
      </c>
      <c r="M74" s="66" t="n">
        <f aca="false">M71-L71</f>
        <v>78.9986968016365</v>
      </c>
      <c r="N74" s="66" t="n">
        <f aca="false">N71-M71</f>
        <v>73.4687880255224</v>
      </c>
      <c r="O74" s="66" t="n">
        <f aca="false">O71-N71</f>
        <v>282.006785516405</v>
      </c>
      <c r="P74" s="66" t="n">
        <f aca="false">P71-O71</f>
        <v>69.0150102585394</v>
      </c>
      <c r="Q74" s="66" t="n">
        <f aca="false">Q71-P71</f>
        <v>64.1839595404417</v>
      </c>
      <c r="R74" s="66" t="n">
        <f aca="false">R71-Q71</f>
        <v>59.6910823726103</v>
      </c>
      <c r="S74" s="66" t="n">
        <f aca="false">S71-R71</f>
        <v>55.5127066065279</v>
      </c>
      <c r="T74" s="66" t="n">
        <f aca="false">T71-S71</f>
        <v>51.6268171440706</v>
      </c>
      <c r="U74" s="66" t="n">
        <f aca="false">U71-T71</f>
        <v>48.0129399439866</v>
      </c>
      <c r="V74" s="66" t="n">
        <f aca="false">V71-U71</f>
        <v>44.6520341479081</v>
      </c>
      <c r="W74" s="66" t="n">
        <f aca="false">W71-V71</f>
        <v>41.5263917575521</v>
      </c>
      <c r="X74" s="66" t="n">
        <f aca="false">X71-W71</f>
        <v>38.6195443345259</v>
      </c>
      <c r="Y74" s="66" t="n">
        <f aca="false">Y71-X71</f>
        <v>35.9161762311069</v>
      </c>
      <c r="Z74" s="66" t="n">
        <f aca="false">Z71-Y71</f>
        <v>33.4020438949301</v>
      </c>
      <c r="AA74" s="66" t="n">
        <f aca="false">AA71-Z71</f>
        <v>262.370659482431</v>
      </c>
      <c r="AB74" s="66" t="n">
        <f aca="false">AB71-AA71</f>
        <v>33.9664791804189</v>
      </c>
      <c r="AC74" s="66" t="n">
        <f aca="false">AC71-AB71</f>
        <v>31.5888256377912</v>
      </c>
      <c r="AD74" s="66" t="n">
        <f aca="false">AD71-AC71</f>
        <v>29.3776078431456</v>
      </c>
      <c r="AE74" s="66" t="n">
        <f aca="false">AE71-AD71</f>
        <v>27.3211752941261</v>
      </c>
      <c r="AF74" s="66" t="n">
        <f aca="false">AF71-AE71</f>
        <v>25.4086930235353</v>
      </c>
      <c r="AG74" s="66" t="n">
        <f aca="false">AG71-AF71</f>
        <v>23.6300845118894</v>
      </c>
      <c r="AH74" s="66" t="n">
        <f aca="false">AH71-AG71</f>
        <v>21.9759785960578</v>
      </c>
      <c r="AI74" s="66" t="n">
        <f aca="false">AI71-AH71</f>
        <v>20.4376600943306</v>
      </c>
      <c r="AJ74" s="66" t="n">
        <f aca="false">AJ71-AI71</f>
        <v>19.0070238877306</v>
      </c>
      <c r="AK74" s="66" t="n">
        <f aca="false">AK71-AJ71</f>
        <v>17.6765322155879</v>
      </c>
      <c r="AL74" s="66" t="n">
        <f aca="false">AL71-AK71</f>
        <v>16.4391749604984</v>
      </c>
    </row>
    <row r="76" customFormat="false" ht="15.75" hidden="false" customHeight="true" outlineLevel="0" collapsed="false">
      <c r="A76" s="7" t="s">
        <v>398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</row>
    <row r="77" customFormat="false" ht="15" hidden="false" customHeight="false" outlineLevel="0" collapsed="false">
      <c r="A77" s="4" t="s">
        <v>52</v>
      </c>
      <c r="C77" s="72" t="n">
        <f aca="false">C53-C58+C72+C73+C74</f>
        <v>-32543.8567111111</v>
      </c>
      <c r="D77" s="72" t="n">
        <f aca="false">D53-D58+D72+D73+D74</f>
        <v>-33693.2646318095</v>
      </c>
      <c r="E77" s="72" t="n">
        <f aca="false">E53-E58+E72+E73+E74</f>
        <v>-31843.8888552019</v>
      </c>
      <c r="F77" s="72" t="n">
        <f aca="false">F53-F58+F72+F73+F74</f>
        <v>-30123.1360496235</v>
      </c>
      <c r="G77" s="72" t="n">
        <f aca="false">G53-G58+G72+G73+G74</f>
        <v>-28522.0026071022</v>
      </c>
      <c r="H77" s="72" t="n">
        <f aca="false">H53-H58+H72+H73+H74</f>
        <v>-27032.1151722241</v>
      </c>
      <c r="I77" s="72" t="n">
        <f aca="false">I53-I58+I72+I73+I74</f>
        <v>-25645.6865244541</v>
      </c>
      <c r="J77" s="72" t="n">
        <f aca="false">J53-J58+J72+J73+J74</f>
        <v>-24355.4745486947</v>
      </c>
      <c r="K77" s="72" t="n">
        <f aca="false">K53-K58+K72+K73+K74</f>
        <v>-23154.7440779052</v>
      </c>
      <c r="L77" s="72" t="n">
        <f aca="false">L53-L58+L72+L73+L74</f>
        <v>-22037.2314067375</v>
      </c>
      <c r="M77" s="72" t="n">
        <f aca="false">M53-M58+M72+M73+M74</f>
        <v>-20997.1112892183</v>
      </c>
      <c r="N77" s="72" t="n">
        <f aca="false">N53-N58+N72+N73+N74</f>
        <v>-20028.966246592</v>
      </c>
      <c r="O77" s="72" t="n">
        <f aca="false">O53-O58+O72+O73+O74</f>
        <v>-19114.9262140624</v>
      </c>
      <c r="P77" s="72" t="n">
        <f aca="false">P53-P58+P72+P73+P74</f>
        <v>-18308.6483052234</v>
      </c>
      <c r="Q77" s="72" t="n">
        <f aca="false">Q53-Q58+Q72+Q73+Q74</f>
        <v>-17461.3508665339</v>
      </c>
      <c r="R77" s="72" t="n">
        <f aca="false">R53-R58+R72+R73+R74</f>
        <v>-16672.5309152194</v>
      </c>
      <c r="S77" s="72" t="n">
        <f aca="false">S53-S58+S72+S73+S74</f>
        <v>-15938.0950271636</v>
      </c>
      <c r="T77" s="72" t="n">
        <f aca="false">T53-T58+T72+T73+T74</f>
        <v>-15254.2363179383</v>
      </c>
      <c r="U77" s="72" t="n">
        <f aca="false">U53-U58+U72+U73+U74</f>
        <v>-14617.4143850255</v>
      </c>
      <c r="V77" s="72" t="n">
        <f aca="false">V53-V58+V72+V73+V74</f>
        <v>-14024.3366540832</v>
      </c>
      <c r="W77" s="72" t="n">
        <f aca="false">W53-W58+W72+W73+W74</f>
        <v>-13471.9410309736</v>
      </c>
      <c r="X77" s="72" t="n">
        <f aca="false">X53-X58+X72+X73+X74</f>
        <v>-12957.3797681483</v>
      </c>
      <c r="Y77" s="72" t="n">
        <f aca="false">Y53-Y58+Y72+Y73+Y74</f>
        <v>-12478.0044603875</v>
      </c>
      <c r="Z77" s="72" t="n">
        <f aca="false">Z53-Z58+Z72+Z73+Z74</f>
        <v>-12031.3520908365</v>
      </c>
      <c r="AA77" s="72" t="n">
        <f aca="false">AA53-AA58+AA72+AA73+AA74</f>
        <v>-11448.421135112</v>
      </c>
      <c r="AB77" s="72" t="n">
        <f aca="false">AB53-AB58+AB72+AB73+AB74</f>
        <v>-11107.3460840433</v>
      </c>
      <c r="AC77" s="72" t="n">
        <f aca="false">AC53-AC58+AC72+AC73+AC74</f>
        <v>-10684.2938361469</v>
      </c>
      <c r="AD77" s="72" t="n">
        <f aca="false">AD53-AD58+AD72+AD73+AD74</f>
        <v>-10290.02191227</v>
      </c>
      <c r="AE77" s="72" t="n">
        <f aca="false">AE53-AE58+AE72+AE73+AE74</f>
        <v>-9922.51568973108</v>
      </c>
      <c r="AF77" s="72" t="n">
        <f aca="false">AF53-AF58+AF72+AF73+AF74</f>
        <v>-9579.90156943658</v>
      </c>
      <c r="AG77" s="72" t="n">
        <f aca="false">AG53-AG58+AG72+AG73+AG74</f>
        <v>-9260.43710422936</v>
      </c>
      <c r="AH77" s="72" t="n">
        <f aca="false">AH53-AH58+AH72+AH73+AH74</f>
        <v>-8962.50181825332</v>
      </c>
      <c r="AI77" s="72" t="n">
        <f aca="false">AI53-AI58+AI72+AI73+AI74</f>
        <v>-8684.58866896227</v>
      </c>
      <c r="AJ77" s="72" t="n">
        <f aca="false">AJ53-AJ58+AJ72+AJ73+AJ74</f>
        <v>-8425.29610678824</v>
      </c>
      <c r="AK77" s="72" t="n">
        <f aca="false">AK53-AK58+AK72+AK73+AK74</f>
        <v>-8183.32069063308</v>
      </c>
      <c r="AL77" s="72" t="n">
        <f aca="false">AL53-AL58+AL72+AL73+AL74</f>
        <v>-7957.45022027543</v>
      </c>
    </row>
    <row r="78" customFormat="false" ht="15" hidden="false" customHeight="false" outlineLevel="0" collapsed="false">
      <c r="A78" s="6" t="s">
        <v>399</v>
      </c>
      <c r="C78" s="66" t="n">
        <f aca="false">-C56</f>
        <v>-250000</v>
      </c>
      <c r="D78" s="66" t="n">
        <f aca="false">-D56</f>
        <v>-0</v>
      </c>
      <c r="E78" s="66" t="n">
        <f aca="false">-E56</f>
        <v>-0</v>
      </c>
      <c r="F78" s="66" t="n">
        <f aca="false">-F56</f>
        <v>-0</v>
      </c>
      <c r="G78" s="66" t="n">
        <f aca="false">-G56</f>
        <v>-0</v>
      </c>
      <c r="H78" s="66" t="n">
        <f aca="false">-H56</f>
        <v>-0</v>
      </c>
      <c r="I78" s="66" t="n">
        <f aca="false">-I56</f>
        <v>-0</v>
      </c>
      <c r="J78" s="66" t="n">
        <f aca="false">-J56</f>
        <v>-0</v>
      </c>
      <c r="K78" s="66" t="n">
        <f aca="false">-K56</f>
        <v>-0</v>
      </c>
      <c r="L78" s="66" t="n">
        <f aca="false">-L56</f>
        <v>-0</v>
      </c>
      <c r="M78" s="66" t="n">
        <f aca="false">-M56</f>
        <v>-0</v>
      </c>
      <c r="N78" s="66" t="n">
        <f aca="false">-N56</f>
        <v>-0</v>
      </c>
      <c r="O78" s="66" t="n">
        <f aca="false">-O56</f>
        <v>-0</v>
      </c>
      <c r="P78" s="66" t="n">
        <f aca="false">-P56</f>
        <v>-0</v>
      </c>
      <c r="Q78" s="66" t="n">
        <f aca="false">-Q56</f>
        <v>-0</v>
      </c>
      <c r="R78" s="66" t="n">
        <f aca="false">-R56</f>
        <v>-0</v>
      </c>
      <c r="S78" s="66" t="n">
        <f aca="false">-S56</f>
        <v>-0</v>
      </c>
      <c r="T78" s="66" t="n">
        <f aca="false">-T56</f>
        <v>-0</v>
      </c>
      <c r="U78" s="66" t="n">
        <f aca="false">-U56</f>
        <v>-0</v>
      </c>
      <c r="V78" s="66" t="n">
        <f aca="false">-V56</f>
        <v>-0</v>
      </c>
      <c r="W78" s="66" t="n">
        <f aca="false">-W56</f>
        <v>-0</v>
      </c>
      <c r="X78" s="66" t="n">
        <f aca="false">-X56</f>
        <v>-0</v>
      </c>
      <c r="Y78" s="66" t="n">
        <f aca="false">-Y56</f>
        <v>-0</v>
      </c>
      <c r="Z78" s="66" t="n">
        <f aca="false">-Z56</f>
        <v>-0</v>
      </c>
      <c r="AA78" s="66" t="n">
        <f aca="false">-AA56</f>
        <v>-0</v>
      </c>
      <c r="AB78" s="66" t="n">
        <f aca="false">-AB56</f>
        <v>-0</v>
      </c>
      <c r="AC78" s="66" t="n">
        <f aca="false">-AC56</f>
        <v>-0</v>
      </c>
      <c r="AD78" s="66" t="n">
        <f aca="false">-AD56</f>
        <v>-0</v>
      </c>
      <c r="AE78" s="66" t="n">
        <f aca="false">-AE56</f>
        <v>-0</v>
      </c>
      <c r="AF78" s="66" t="n">
        <f aca="false">-AF56</f>
        <v>-0</v>
      </c>
      <c r="AG78" s="66" t="n">
        <f aca="false">-AG56</f>
        <v>-0</v>
      </c>
      <c r="AH78" s="66" t="n">
        <f aca="false">-AH56</f>
        <v>-0</v>
      </c>
      <c r="AI78" s="66" t="n">
        <f aca="false">-AI56</f>
        <v>-0</v>
      </c>
      <c r="AJ78" s="66" t="n">
        <f aca="false">-AJ56</f>
        <v>-0</v>
      </c>
      <c r="AK78" s="66" t="n">
        <f aca="false">-AK56</f>
        <v>-0</v>
      </c>
      <c r="AL78" s="66" t="n">
        <f aca="false">-AL56</f>
        <v>-0</v>
      </c>
    </row>
    <row r="79" customFormat="false" ht="15" hidden="false" customHeight="false" outlineLevel="0" collapsed="false">
      <c r="A79" s="6" t="s">
        <v>63</v>
      </c>
      <c r="C79" s="66" t="n">
        <f aca="false">IF(C$6=1,Inputs!$B$54,0)</f>
        <v>330000</v>
      </c>
      <c r="D79" s="66" t="n">
        <f aca="false">IF(D$6=1,Inputs!$B$54,0)</f>
        <v>0</v>
      </c>
      <c r="E79" s="66" t="n">
        <f aca="false">IF(E$6=1,Inputs!$B$54,0)</f>
        <v>0</v>
      </c>
      <c r="F79" s="66" t="n">
        <f aca="false">IF(F$6=1,Inputs!$B$54,0)</f>
        <v>0</v>
      </c>
      <c r="G79" s="66" t="n">
        <f aca="false">IF(G$6=1,Inputs!$B$54,0)</f>
        <v>0</v>
      </c>
      <c r="H79" s="66" t="n">
        <f aca="false">IF(H$6=1,Inputs!$B$54,0)</f>
        <v>0</v>
      </c>
      <c r="I79" s="66" t="n">
        <f aca="false">IF(I$6=1,Inputs!$B$54,0)</f>
        <v>0</v>
      </c>
      <c r="J79" s="66" t="n">
        <f aca="false">IF(J$6=1,Inputs!$B$54,0)</f>
        <v>0</v>
      </c>
      <c r="K79" s="66" t="n">
        <f aca="false">IF(K$6=1,Inputs!$B$54,0)</f>
        <v>0</v>
      </c>
      <c r="L79" s="66" t="n">
        <f aca="false">IF(L$6=1,Inputs!$B$54,0)</f>
        <v>0</v>
      </c>
      <c r="M79" s="66" t="n">
        <f aca="false">IF(M$6=1,Inputs!$B$54,0)</f>
        <v>0</v>
      </c>
      <c r="N79" s="66" t="n">
        <f aca="false">IF(N$6=1,Inputs!$B$54,0)</f>
        <v>0</v>
      </c>
      <c r="O79" s="66" t="n">
        <f aca="false">IF(O$6=1,Inputs!$B$54,0)</f>
        <v>0</v>
      </c>
      <c r="P79" s="66" t="n">
        <f aca="false">IF(P$6=1,Inputs!$B$54,0)</f>
        <v>0</v>
      </c>
      <c r="Q79" s="66" t="n">
        <f aca="false">IF(Q$6=1,Inputs!$B$54,0)</f>
        <v>0</v>
      </c>
      <c r="R79" s="66" t="n">
        <f aca="false">IF(R$6=1,Inputs!$B$54,0)</f>
        <v>0</v>
      </c>
      <c r="S79" s="66" t="n">
        <f aca="false">IF(S$6=1,Inputs!$B$54,0)</f>
        <v>0</v>
      </c>
      <c r="T79" s="66" t="n">
        <f aca="false">IF(T$6=1,Inputs!$B$54,0)</f>
        <v>0</v>
      </c>
      <c r="U79" s="66" t="n">
        <f aca="false">IF(U$6=1,Inputs!$B$54,0)</f>
        <v>0</v>
      </c>
      <c r="V79" s="66" t="n">
        <f aca="false">IF(V$6=1,Inputs!$B$54,0)</f>
        <v>0</v>
      </c>
      <c r="W79" s="66" t="n">
        <f aca="false">IF(W$6=1,Inputs!$B$54,0)</f>
        <v>0</v>
      </c>
      <c r="X79" s="66" t="n">
        <f aca="false">IF(X$6=1,Inputs!$B$54,0)</f>
        <v>0</v>
      </c>
      <c r="Y79" s="66" t="n">
        <f aca="false">IF(Y$6=1,Inputs!$B$54,0)</f>
        <v>0</v>
      </c>
      <c r="Z79" s="66" t="n">
        <f aca="false">IF(Z$6=1,Inputs!$B$54,0)</f>
        <v>0</v>
      </c>
      <c r="AA79" s="66" t="n">
        <f aca="false">IF(AA$6=1,Inputs!$B$54,0)</f>
        <v>0</v>
      </c>
      <c r="AB79" s="66" t="n">
        <f aca="false">IF(AB$6=1,Inputs!$B$54,0)</f>
        <v>0</v>
      </c>
      <c r="AC79" s="66" t="n">
        <f aca="false">IF(AC$6=1,Inputs!$B$54,0)</f>
        <v>0</v>
      </c>
      <c r="AD79" s="66" t="n">
        <f aca="false">IF(AD$6=1,Inputs!$B$54,0)</f>
        <v>0</v>
      </c>
      <c r="AE79" s="66" t="n">
        <f aca="false">IF(AE$6=1,Inputs!$B$54,0)</f>
        <v>0</v>
      </c>
      <c r="AF79" s="66" t="n">
        <f aca="false">IF(AF$6=1,Inputs!$B$54,0)</f>
        <v>0</v>
      </c>
      <c r="AG79" s="66" t="n">
        <f aca="false">IF(AG$6=1,Inputs!$B$54,0)</f>
        <v>0</v>
      </c>
      <c r="AH79" s="66" t="n">
        <f aca="false">IF(AH$6=1,Inputs!$B$54,0)</f>
        <v>0</v>
      </c>
      <c r="AI79" s="66" t="n">
        <f aca="false">IF(AI$6=1,Inputs!$B$54,0)</f>
        <v>0</v>
      </c>
      <c r="AJ79" s="66" t="n">
        <f aca="false">IF(AJ$6=1,Inputs!$B$54,0)</f>
        <v>0</v>
      </c>
      <c r="AK79" s="66" t="n">
        <f aca="false">IF(AK$6=1,Inputs!$B$54,0)</f>
        <v>0</v>
      </c>
      <c r="AL79" s="66" t="n">
        <f aca="false">IF(AL$6=1,Inputs!$B$54,0)</f>
        <v>0</v>
      </c>
    </row>
    <row r="80" customFormat="false" ht="15" hidden="false" customHeight="false" outlineLevel="0" collapsed="false">
      <c r="A80" s="6" t="s">
        <v>54</v>
      </c>
      <c r="C80" s="66" t="n">
        <f aca="false">C79+C64+C65</f>
        <v>480000</v>
      </c>
      <c r="D80" s="66" t="n">
        <f aca="false">D79+D64+D65</f>
        <v>-1785.71428571429</v>
      </c>
      <c r="E80" s="66" t="n">
        <f aca="false">E79+E64+E65</f>
        <v>-1785.71428571429</v>
      </c>
      <c r="F80" s="66" t="n">
        <f aca="false">F79+F64+F65</f>
        <v>-1785.71428571429</v>
      </c>
      <c r="G80" s="66" t="n">
        <f aca="false">G79+G64+G65</f>
        <v>-1785.71428571429</v>
      </c>
      <c r="H80" s="66" t="n">
        <f aca="false">H79+H64+H65</f>
        <v>-1785.71428571429</v>
      </c>
      <c r="I80" s="66" t="n">
        <f aca="false">I79+I64+I65</f>
        <v>-1785.71428571429</v>
      </c>
      <c r="J80" s="66" t="n">
        <f aca="false">J79+J64+J65</f>
        <v>-1785.71428571429</v>
      </c>
      <c r="K80" s="66" t="n">
        <f aca="false">K79+K64+K65</f>
        <v>-1785.71428571429</v>
      </c>
      <c r="L80" s="66" t="n">
        <f aca="false">L79+L64+L65</f>
        <v>-1785.71428571429</v>
      </c>
      <c r="M80" s="66" t="n">
        <f aca="false">M79+M64+M65</f>
        <v>-1785.71428571429</v>
      </c>
      <c r="N80" s="66" t="n">
        <f aca="false">N79+N64+N65</f>
        <v>-1785.71428571429</v>
      </c>
      <c r="O80" s="66" t="n">
        <f aca="false">O79+O64+O65</f>
        <v>-1785.71428571429</v>
      </c>
      <c r="P80" s="66" t="n">
        <f aca="false">P79+P64+P65</f>
        <v>-1785.71428571429</v>
      </c>
      <c r="Q80" s="66" t="n">
        <f aca="false">Q79+Q64+Q65</f>
        <v>-1785.71428571429</v>
      </c>
      <c r="R80" s="66" t="n">
        <f aca="false">R79+R64+R65</f>
        <v>-1785.71428571429</v>
      </c>
      <c r="S80" s="66" t="n">
        <f aca="false">S79+S64+S65</f>
        <v>-1785.71428571429</v>
      </c>
      <c r="T80" s="66" t="n">
        <f aca="false">T79+T64+T65</f>
        <v>-1785.71428571429</v>
      </c>
      <c r="U80" s="66" t="n">
        <f aca="false">U79+U64+U65</f>
        <v>-1785.71428571429</v>
      </c>
      <c r="V80" s="66" t="n">
        <f aca="false">V79+V64+V65</f>
        <v>-1785.71428571429</v>
      </c>
      <c r="W80" s="66" t="n">
        <f aca="false">W79+W64+W65</f>
        <v>-1785.71428571429</v>
      </c>
      <c r="X80" s="66" t="n">
        <f aca="false">X79+X64+X65</f>
        <v>-1785.71428571429</v>
      </c>
      <c r="Y80" s="66" t="n">
        <f aca="false">Y79+Y64+Y65</f>
        <v>-1785.71428571429</v>
      </c>
      <c r="Z80" s="66" t="n">
        <f aca="false">Z79+Z64+Z65</f>
        <v>-1785.71428571429</v>
      </c>
      <c r="AA80" s="66" t="n">
        <f aca="false">AA79+AA64+AA65</f>
        <v>-1785.71428571429</v>
      </c>
      <c r="AB80" s="66" t="n">
        <f aca="false">AB79+AB64+AB65</f>
        <v>-1785.71428571429</v>
      </c>
      <c r="AC80" s="66" t="n">
        <f aca="false">AC79+AC64+AC65</f>
        <v>-1785.71428571429</v>
      </c>
      <c r="AD80" s="66" t="n">
        <f aca="false">AD79+AD64+AD65</f>
        <v>-1785.71428571429</v>
      </c>
      <c r="AE80" s="66" t="n">
        <f aca="false">AE79+AE64+AE65</f>
        <v>-1785.71428571429</v>
      </c>
      <c r="AF80" s="66" t="n">
        <f aca="false">AF79+AF64+AF65</f>
        <v>-1785.71428571429</v>
      </c>
      <c r="AG80" s="66" t="n">
        <f aca="false">AG79+AG64+AG65</f>
        <v>-1785.71428571429</v>
      </c>
      <c r="AH80" s="66" t="n">
        <f aca="false">AH79+AH64+AH65</f>
        <v>-1785.71428571429</v>
      </c>
      <c r="AI80" s="66" t="n">
        <f aca="false">AI79+AI64+AI65</f>
        <v>-1785.71428571429</v>
      </c>
      <c r="AJ80" s="66" t="n">
        <f aca="false">AJ79+AJ64+AJ65</f>
        <v>-1785.71428571429</v>
      </c>
      <c r="AK80" s="66" t="n">
        <f aca="false">AK79+AK64+AK65</f>
        <v>-1785.71428571429</v>
      </c>
      <c r="AL80" s="66" t="n">
        <f aca="false">AL79+AL64+AL65</f>
        <v>-1785.71428571429</v>
      </c>
    </row>
    <row r="81" customFormat="false" ht="15" hidden="false" customHeight="false" outlineLevel="0" collapsed="false">
      <c r="A81" s="110" t="s">
        <v>400</v>
      </c>
      <c r="C81" s="67" t="n">
        <f aca="false">C77+C78+C80</f>
        <v>197456.143288889</v>
      </c>
      <c r="D81" s="67" t="n">
        <f aca="false">D77+D78+D80</f>
        <v>-35478.9789175238</v>
      </c>
      <c r="E81" s="67" t="n">
        <f aca="false">E77+E78+E80</f>
        <v>-33629.6031409162</v>
      </c>
      <c r="F81" s="67" t="n">
        <f aca="false">F77+F78+F80</f>
        <v>-31908.8503353378</v>
      </c>
      <c r="G81" s="67" t="n">
        <f aca="false">G77+G78+G80</f>
        <v>-30307.7168928165</v>
      </c>
      <c r="H81" s="67" t="n">
        <f aca="false">H77+H78+H80</f>
        <v>-28817.8294579384</v>
      </c>
      <c r="I81" s="67" t="n">
        <f aca="false">I77+I78+I80</f>
        <v>-27431.4008101684</v>
      </c>
      <c r="J81" s="67" t="n">
        <f aca="false">J77+J78+J80</f>
        <v>-26141.188834409</v>
      </c>
      <c r="K81" s="67" t="n">
        <f aca="false">K77+K78+K80</f>
        <v>-24940.4583636194</v>
      </c>
      <c r="L81" s="67" t="n">
        <f aca="false">L77+L78+L80</f>
        <v>-23822.9456924518</v>
      </c>
      <c r="M81" s="67" t="n">
        <f aca="false">M77+M78+M80</f>
        <v>-22782.8255749326</v>
      </c>
      <c r="N81" s="67" t="n">
        <f aca="false">N77+N78+N80</f>
        <v>-21814.6805323063</v>
      </c>
      <c r="O81" s="67" t="n">
        <f aca="false">O77+O78+O80</f>
        <v>-20900.6404997767</v>
      </c>
      <c r="P81" s="67" t="n">
        <f aca="false">P77+P78+P80</f>
        <v>-20094.3625909377</v>
      </c>
      <c r="Q81" s="67" t="n">
        <f aca="false">Q77+Q78+Q80</f>
        <v>-19247.0651522482</v>
      </c>
      <c r="R81" s="67" t="n">
        <f aca="false">R77+R78+R80</f>
        <v>-18458.2452009337</v>
      </c>
      <c r="S81" s="67" t="n">
        <f aca="false">S77+S78+S80</f>
        <v>-17723.8093128779</v>
      </c>
      <c r="T81" s="67" t="n">
        <f aca="false">T77+T78+T80</f>
        <v>-17039.9506036526</v>
      </c>
      <c r="U81" s="67" t="n">
        <f aca="false">U77+U78+U80</f>
        <v>-16403.1286707398</v>
      </c>
      <c r="V81" s="67" t="n">
        <f aca="false">V77+V78+V80</f>
        <v>-15810.0509397975</v>
      </c>
      <c r="W81" s="67" t="n">
        <f aca="false">W77+W78+W80</f>
        <v>-15257.6553166879</v>
      </c>
      <c r="X81" s="67" t="n">
        <f aca="false">X77+X78+X80</f>
        <v>-14743.0940538626</v>
      </c>
      <c r="Y81" s="67" t="n">
        <f aca="false">Y77+Y78+Y80</f>
        <v>-14263.7187461017</v>
      </c>
      <c r="Z81" s="67" t="n">
        <f aca="false">Z77+Z78+Z80</f>
        <v>-13817.0663765508</v>
      </c>
      <c r="AA81" s="67" t="n">
        <f aca="false">AA77+AA78+AA80</f>
        <v>-13234.1354208263</v>
      </c>
      <c r="AB81" s="67" t="n">
        <f aca="false">AB77+AB78+AB80</f>
        <v>-12893.0603697575</v>
      </c>
      <c r="AC81" s="67" t="n">
        <f aca="false">AC77+AC78+AC80</f>
        <v>-12470.0081218612</v>
      </c>
      <c r="AD81" s="67" t="n">
        <f aca="false">AD77+AD78+AD80</f>
        <v>-12075.7361979843</v>
      </c>
      <c r="AE81" s="67" t="n">
        <f aca="false">AE77+AE78+AE80</f>
        <v>-11708.2299754454</v>
      </c>
      <c r="AF81" s="67" t="n">
        <f aca="false">AF77+AF78+AF80</f>
        <v>-11365.6158551509</v>
      </c>
      <c r="AG81" s="67" t="n">
        <f aca="false">AG77+AG78+AG80</f>
        <v>-11046.1513899437</v>
      </c>
      <c r="AH81" s="67" t="n">
        <f aca="false">AH77+AH78+AH80</f>
        <v>-10748.2161039676</v>
      </c>
      <c r="AI81" s="67" t="n">
        <f aca="false">AI77+AI78+AI80</f>
        <v>-10470.3029546766</v>
      </c>
      <c r="AJ81" s="67" t="n">
        <f aca="false">AJ77+AJ78+AJ80</f>
        <v>-10211.0103925025</v>
      </c>
      <c r="AK81" s="67" t="n">
        <f aca="false">AK77+AK78+AK80</f>
        <v>-9969.03497634737</v>
      </c>
      <c r="AL81" s="67" t="n">
        <f aca="false">AL77+AL78+AL80</f>
        <v>-9743.16450598972</v>
      </c>
    </row>
    <row r="82" customFormat="false" ht="15" hidden="false" customHeight="false" outlineLevel="0" collapsed="false">
      <c r="A82" s="6" t="s">
        <v>331</v>
      </c>
      <c r="C82" s="66" t="n">
        <f aca="false">0</f>
        <v>0</v>
      </c>
      <c r="D82" s="66" t="n">
        <f aca="false">C83</f>
        <v>197456.143288889</v>
      </c>
      <c r="E82" s="66" t="n">
        <f aca="false">D83</f>
        <v>161977.164371365</v>
      </c>
      <c r="F82" s="66" t="n">
        <f aca="false">E83</f>
        <v>128347.561230449</v>
      </c>
      <c r="G82" s="66" t="n">
        <f aca="false">F83</f>
        <v>96438.7108951111</v>
      </c>
      <c r="H82" s="66" t="n">
        <f aca="false">G83</f>
        <v>66130.9940022946</v>
      </c>
      <c r="I82" s="66" t="n">
        <f aca="false">H83</f>
        <v>37313.1645443562</v>
      </c>
      <c r="J82" s="66" t="n">
        <f aca="false">I83</f>
        <v>9881.76373418776</v>
      </c>
      <c r="K82" s="66" t="n">
        <f aca="false">J83</f>
        <v>-16259.4251002213</v>
      </c>
      <c r="L82" s="66" t="n">
        <f aca="false">K83</f>
        <v>-41199.8834638407</v>
      </c>
      <c r="M82" s="66" t="n">
        <f aca="false">L83</f>
        <v>-65022.8291562925</v>
      </c>
      <c r="N82" s="66" t="n">
        <f aca="false">M83</f>
        <v>-87805.6547312251</v>
      </c>
      <c r="O82" s="66" t="n">
        <f aca="false">N83</f>
        <v>-109620.335263531</v>
      </c>
      <c r="P82" s="66" t="n">
        <f aca="false">O83</f>
        <v>-130520.975763308</v>
      </c>
      <c r="Q82" s="66" t="n">
        <f aca="false">P83</f>
        <v>-150615.338354246</v>
      </c>
      <c r="R82" s="66" t="n">
        <f aca="false">Q83</f>
        <v>-169862.403506494</v>
      </c>
      <c r="S82" s="66" t="n">
        <f aca="false">R83</f>
        <v>-188320.648707428</v>
      </c>
      <c r="T82" s="66" t="n">
        <f aca="false">S83</f>
        <v>-206044.458020306</v>
      </c>
      <c r="U82" s="66" t="n">
        <f aca="false">T83</f>
        <v>-223084.408623958</v>
      </c>
      <c r="V82" s="66" t="n">
        <f aca="false">U83</f>
        <v>-239487.537294698</v>
      </c>
      <c r="W82" s="66" t="n">
        <f aca="false">V83</f>
        <v>-255297.588234496</v>
      </c>
      <c r="X82" s="66" t="n">
        <f aca="false">W83</f>
        <v>-270555.243551183</v>
      </c>
      <c r="Y82" s="66" t="n">
        <f aca="false">X83</f>
        <v>-285298.337605046</v>
      </c>
      <c r="Z82" s="66" t="n">
        <f aca="false">Y83</f>
        <v>-299562.056351148</v>
      </c>
      <c r="AA82" s="66" t="n">
        <f aca="false">Z83</f>
        <v>-313379.122727699</v>
      </c>
      <c r="AB82" s="66" t="n">
        <f aca="false">AA83</f>
        <v>-326613.258148525</v>
      </c>
      <c r="AC82" s="66" t="n">
        <f aca="false">AB83</f>
        <v>-339506.318518282</v>
      </c>
      <c r="AD82" s="66" t="n">
        <f aca="false">AC83</f>
        <v>-351976.326640144</v>
      </c>
      <c r="AE82" s="66" t="n">
        <f aca="false">AD83</f>
        <v>-364052.062838128</v>
      </c>
      <c r="AF82" s="66" t="n">
        <f aca="false">AE83</f>
        <v>-375760.292813573</v>
      </c>
      <c r="AG82" s="66" t="n">
        <f aca="false">AF83</f>
        <v>-387125.908668724</v>
      </c>
      <c r="AH82" s="66" t="n">
        <f aca="false">AG83</f>
        <v>-398172.060058668</v>
      </c>
      <c r="AI82" s="66" t="n">
        <f aca="false">AH83</f>
        <v>-408920.276162635</v>
      </c>
      <c r="AJ82" s="66" t="n">
        <f aca="false">AI83</f>
        <v>-419390.579117312</v>
      </c>
      <c r="AK82" s="66" t="n">
        <f aca="false">AJ83</f>
        <v>-429601.589509814</v>
      </c>
      <c r="AL82" s="66" t="n">
        <f aca="false">AK83</f>
        <v>-439570.624486162</v>
      </c>
    </row>
    <row r="83" customFormat="false" ht="15" hidden="false" customHeight="false" outlineLevel="0" collapsed="false">
      <c r="A83" s="110" t="s">
        <v>86</v>
      </c>
      <c r="C83" s="67" t="n">
        <f aca="false">C82+C81</f>
        <v>197456.143288889</v>
      </c>
      <c r="D83" s="67" t="n">
        <f aca="false">D82+D81</f>
        <v>161977.164371365</v>
      </c>
      <c r="E83" s="67" t="n">
        <f aca="false">E82+E81</f>
        <v>128347.561230449</v>
      </c>
      <c r="F83" s="67" t="n">
        <f aca="false">F82+F81</f>
        <v>96438.7108951111</v>
      </c>
      <c r="G83" s="67" t="n">
        <f aca="false">G82+G81</f>
        <v>66130.9940022946</v>
      </c>
      <c r="H83" s="67" t="n">
        <f aca="false">H82+H81</f>
        <v>37313.1645443562</v>
      </c>
      <c r="I83" s="67" t="n">
        <f aca="false">I82+I81</f>
        <v>9881.76373418776</v>
      </c>
      <c r="J83" s="67" t="n">
        <f aca="false">J82+J81</f>
        <v>-16259.4251002213</v>
      </c>
      <c r="K83" s="67" t="n">
        <f aca="false">K82+K81</f>
        <v>-41199.8834638407</v>
      </c>
      <c r="L83" s="67" t="n">
        <f aca="false">L82+L81</f>
        <v>-65022.8291562925</v>
      </c>
      <c r="M83" s="67" t="n">
        <f aca="false">M82+M81</f>
        <v>-87805.6547312251</v>
      </c>
      <c r="N83" s="67" t="n">
        <f aca="false">N82+N81</f>
        <v>-109620.335263531</v>
      </c>
      <c r="O83" s="67" t="n">
        <f aca="false">O82+O81</f>
        <v>-130520.975763308</v>
      </c>
      <c r="P83" s="67" t="n">
        <f aca="false">P82+P81</f>
        <v>-150615.338354246</v>
      </c>
      <c r="Q83" s="67" t="n">
        <f aca="false">Q82+Q81</f>
        <v>-169862.403506494</v>
      </c>
      <c r="R83" s="67" t="n">
        <f aca="false">R82+R81</f>
        <v>-188320.648707428</v>
      </c>
      <c r="S83" s="67" t="n">
        <f aca="false">S82+S81</f>
        <v>-206044.458020306</v>
      </c>
      <c r="T83" s="67" t="n">
        <f aca="false">T82+T81</f>
        <v>-223084.408623958</v>
      </c>
      <c r="U83" s="67" t="n">
        <f aca="false">U82+U81</f>
        <v>-239487.537294698</v>
      </c>
      <c r="V83" s="67" t="n">
        <f aca="false">V82+V81</f>
        <v>-255297.588234496</v>
      </c>
      <c r="W83" s="67" t="n">
        <f aca="false">W82+W81</f>
        <v>-270555.243551183</v>
      </c>
      <c r="X83" s="67" t="n">
        <f aca="false">X82+X81</f>
        <v>-285298.337605046</v>
      </c>
      <c r="Y83" s="67" t="n">
        <f aca="false">Y82+Y81</f>
        <v>-299562.056351148</v>
      </c>
      <c r="Z83" s="67" t="n">
        <f aca="false">Z82+Z81</f>
        <v>-313379.122727699</v>
      </c>
      <c r="AA83" s="67" t="n">
        <f aca="false">AA82+AA81</f>
        <v>-326613.258148525</v>
      </c>
      <c r="AB83" s="67" t="n">
        <f aca="false">AB82+AB81</f>
        <v>-339506.318518282</v>
      </c>
      <c r="AC83" s="67" t="n">
        <f aca="false">AC82+AC81</f>
        <v>-351976.326640144</v>
      </c>
      <c r="AD83" s="67" t="n">
        <f aca="false">AD82+AD81</f>
        <v>-364052.062838128</v>
      </c>
      <c r="AE83" s="67" t="n">
        <f aca="false">AE82+AE81</f>
        <v>-375760.292813573</v>
      </c>
      <c r="AF83" s="67" t="n">
        <f aca="false">AF82+AF81</f>
        <v>-387125.908668724</v>
      </c>
      <c r="AG83" s="67" t="n">
        <f aca="false">AG82+AG81</f>
        <v>-398172.060058668</v>
      </c>
      <c r="AH83" s="67" t="n">
        <f aca="false">AH82+AH81</f>
        <v>-408920.276162635</v>
      </c>
      <c r="AI83" s="67" t="n">
        <f aca="false">AI82+AI81</f>
        <v>-419390.579117312</v>
      </c>
      <c r="AJ83" s="67" t="n">
        <f aca="false">AJ82+AJ81</f>
        <v>-429601.589509814</v>
      </c>
      <c r="AK83" s="67" t="n">
        <f aca="false">AK82+AK81</f>
        <v>-439570.624486162</v>
      </c>
      <c r="AL83" s="67" t="n">
        <f aca="false">AL82+AL81</f>
        <v>-449313.788992151</v>
      </c>
    </row>
    <row r="84" customFormat="false" ht="15" hidden="false" customHeight="false" outlineLevel="0" collapsed="false">
      <c r="A84" s="116" t="s">
        <v>401</v>
      </c>
      <c r="C84" s="118" t="n">
        <f aca="false">IF(C44&gt;0,1,0)</f>
        <v>0</v>
      </c>
      <c r="D84" s="118" t="n">
        <f aca="false">IF(D44&gt;0,1,0)</f>
        <v>0</v>
      </c>
      <c r="E84" s="118" t="n">
        <f aca="false">IF(E44&gt;0,1,0)</f>
        <v>0</v>
      </c>
      <c r="F84" s="118" t="n">
        <f aca="false">IF(F44&gt;0,1,0)</f>
        <v>0</v>
      </c>
      <c r="G84" s="118" t="n">
        <f aca="false">IF(G44&gt;0,1,0)</f>
        <v>0</v>
      </c>
      <c r="H84" s="118" t="n">
        <f aca="false">IF(H44&gt;0,1,0)</f>
        <v>0</v>
      </c>
      <c r="I84" s="118" t="n">
        <f aca="false">IF(I44&gt;0,1,0)</f>
        <v>0</v>
      </c>
      <c r="J84" s="118" t="n">
        <f aca="false">IF(J44&gt;0,1,0)</f>
        <v>0</v>
      </c>
      <c r="K84" s="118" t="n">
        <f aca="false">IF(K44&gt;0,1,0)</f>
        <v>0</v>
      </c>
      <c r="L84" s="118" t="n">
        <f aca="false">IF(L44&gt;0,1,0)</f>
        <v>0</v>
      </c>
      <c r="M84" s="118" t="n">
        <f aca="false">IF(M44&gt;0,1,0)</f>
        <v>0</v>
      </c>
      <c r="N84" s="118" t="n">
        <f aca="false">IF(N44&gt;0,1,0)</f>
        <v>0</v>
      </c>
      <c r="O84" s="118" t="n">
        <f aca="false">IF(O44&gt;0,1,0)</f>
        <v>0</v>
      </c>
      <c r="P84" s="118" t="n">
        <f aca="false">IF(P44&gt;0,1,0)</f>
        <v>0</v>
      </c>
      <c r="Q84" s="118" t="n">
        <f aca="false">IF(Q44&gt;0,1,0)</f>
        <v>0</v>
      </c>
      <c r="R84" s="118" t="n">
        <f aca="false">IF(R44&gt;0,1,0)</f>
        <v>0</v>
      </c>
      <c r="S84" s="118" t="n">
        <f aca="false">IF(S44&gt;0,1,0)</f>
        <v>0</v>
      </c>
      <c r="T84" s="118" t="n">
        <f aca="false">IF(T44&gt;0,1,0)</f>
        <v>0</v>
      </c>
      <c r="U84" s="118" t="n">
        <f aca="false">IF(U44&gt;0,1,0)</f>
        <v>0</v>
      </c>
      <c r="V84" s="118" t="n">
        <f aca="false">IF(V44&gt;0,1,0)</f>
        <v>0</v>
      </c>
      <c r="W84" s="118" t="n">
        <f aca="false">IF(W44&gt;0,1,0)</f>
        <v>0</v>
      </c>
      <c r="X84" s="118" t="n">
        <f aca="false">IF(X44&gt;0,1,0)</f>
        <v>0</v>
      </c>
      <c r="Y84" s="118" t="n">
        <f aca="false">IF(Y44&gt;0,1,0)</f>
        <v>0</v>
      </c>
      <c r="Z84" s="118" t="n">
        <f aca="false">IF(Z44&gt;0,1,0)</f>
        <v>0</v>
      </c>
      <c r="AA84" s="118" t="n">
        <f aca="false">IF(AA44&gt;0,1,0)</f>
        <v>0</v>
      </c>
      <c r="AB84" s="118" t="n">
        <f aca="false">IF(AB44&gt;0,1,0)</f>
        <v>0</v>
      </c>
      <c r="AC84" s="118" t="n">
        <f aca="false">IF(AC44&gt;0,1,0)</f>
        <v>0</v>
      </c>
      <c r="AD84" s="118" t="n">
        <f aca="false">IF(AD44&gt;0,1,0)</f>
        <v>0</v>
      </c>
      <c r="AE84" s="118" t="n">
        <f aca="false">IF(AE44&gt;0,1,0)</f>
        <v>0</v>
      </c>
      <c r="AF84" s="118" t="n">
        <f aca="false">IF(AF44&gt;0,1,0)</f>
        <v>0</v>
      </c>
      <c r="AG84" s="118" t="n">
        <f aca="false">IF(AG44&gt;0,1,0)</f>
        <v>0</v>
      </c>
      <c r="AH84" s="118" t="n">
        <f aca="false">IF(AH44&gt;0,1,0)</f>
        <v>0</v>
      </c>
      <c r="AI84" s="118" t="n">
        <f aca="false">IF(AI44&gt;0,1,0)</f>
        <v>0</v>
      </c>
      <c r="AJ84" s="118" t="n">
        <f aca="false">IF(AJ44&gt;0,1,0)</f>
        <v>0</v>
      </c>
      <c r="AK84" s="118" t="n">
        <f aca="false">IF(AK44&gt;0,1,0)</f>
        <v>0</v>
      </c>
      <c r="AL84" s="118" t="n">
        <f aca="false">IF(AL44&gt;0,1,0)</f>
        <v>0</v>
      </c>
    </row>
    <row r="86" customFormat="false" ht="15.75" hidden="false" customHeight="true" outlineLevel="0" collapsed="false">
      <c r="A86" s="7" t="s">
        <v>402</v>
      </c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</row>
    <row r="87" customFormat="false" ht="15" hidden="false" customHeight="false" outlineLevel="0" collapsed="false">
      <c r="A87" s="116" t="s">
        <v>403</v>
      </c>
      <c r="C87" s="118" t="n">
        <f aca="false">IF(C53&gt;0,1,0)</f>
        <v>0</v>
      </c>
      <c r="D87" s="118" t="n">
        <f aca="false">IF(D53&gt;0,1,0)</f>
        <v>0</v>
      </c>
      <c r="E87" s="118" t="n">
        <f aca="false">IF(E53&gt;0,1,0)</f>
        <v>0</v>
      </c>
      <c r="F87" s="118" t="n">
        <f aca="false">IF(F53&gt;0,1,0)</f>
        <v>0</v>
      </c>
      <c r="G87" s="118" t="n">
        <f aca="false">IF(G53&gt;0,1,0)</f>
        <v>0</v>
      </c>
      <c r="H87" s="118" t="n">
        <f aca="false">IF(H53&gt;0,1,0)</f>
        <v>0</v>
      </c>
      <c r="I87" s="118" t="n">
        <f aca="false">IF(I53&gt;0,1,0)</f>
        <v>0</v>
      </c>
      <c r="J87" s="118" t="n">
        <f aca="false">IF(J53&gt;0,1,0)</f>
        <v>0</v>
      </c>
      <c r="K87" s="118" t="n">
        <f aca="false">IF(K53&gt;0,1,0)</f>
        <v>0</v>
      </c>
      <c r="L87" s="118" t="n">
        <f aca="false">IF(L53&gt;0,1,0)</f>
        <v>0</v>
      </c>
      <c r="M87" s="118" t="n">
        <f aca="false">IF(M53&gt;0,1,0)</f>
        <v>0</v>
      </c>
      <c r="N87" s="118" t="n">
        <f aca="false">IF(N53&gt;0,1,0)</f>
        <v>0</v>
      </c>
      <c r="O87" s="118" t="n">
        <f aca="false">IF(O53&gt;0,1,0)</f>
        <v>0</v>
      </c>
      <c r="P87" s="118" t="n">
        <f aca="false">IF(P53&gt;0,1,0)</f>
        <v>0</v>
      </c>
      <c r="Q87" s="118" t="n">
        <f aca="false">IF(Q53&gt;0,1,0)</f>
        <v>0</v>
      </c>
      <c r="R87" s="118" t="n">
        <f aca="false">IF(R53&gt;0,1,0)</f>
        <v>0</v>
      </c>
      <c r="S87" s="118" t="n">
        <f aca="false">IF(S53&gt;0,1,0)</f>
        <v>0</v>
      </c>
      <c r="T87" s="118" t="n">
        <f aca="false">IF(T53&gt;0,1,0)</f>
        <v>0</v>
      </c>
      <c r="U87" s="118" t="n">
        <f aca="false">IF(U53&gt;0,1,0)</f>
        <v>0</v>
      </c>
      <c r="V87" s="118" t="n">
        <f aca="false">IF(V53&gt;0,1,0)</f>
        <v>0</v>
      </c>
      <c r="W87" s="118" t="n">
        <f aca="false">IF(W53&gt;0,1,0)</f>
        <v>0</v>
      </c>
      <c r="X87" s="118" t="n">
        <f aca="false">IF(X53&gt;0,1,0)</f>
        <v>0</v>
      </c>
      <c r="Y87" s="118" t="n">
        <f aca="false">IF(Y53&gt;0,1,0)</f>
        <v>0</v>
      </c>
      <c r="Z87" s="118" t="n">
        <f aca="false">IF(Z53&gt;0,1,0)</f>
        <v>0</v>
      </c>
      <c r="AA87" s="118" t="n">
        <f aca="false">IF(AA53&gt;0,1,0)</f>
        <v>0</v>
      </c>
      <c r="AB87" s="118" t="n">
        <f aca="false">IF(AB53&gt;0,1,0)</f>
        <v>0</v>
      </c>
      <c r="AC87" s="118" t="n">
        <f aca="false">IF(AC53&gt;0,1,0)</f>
        <v>0</v>
      </c>
      <c r="AD87" s="118" t="n">
        <f aca="false">IF(AD53&gt;0,1,0)</f>
        <v>0</v>
      </c>
      <c r="AE87" s="118" t="n">
        <f aca="false">IF(AE53&gt;0,1,0)</f>
        <v>0</v>
      </c>
      <c r="AF87" s="118" t="n">
        <f aca="false">IF(AF53&gt;0,1,0)</f>
        <v>0</v>
      </c>
      <c r="AG87" s="118" t="n">
        <f aca="false">IF(AG53&gt;0,1,0)</f>
        <v>0</v>
      </c>
      <c r="AH87" s="118" t="n">
        <f aca="false">IF(AH53&gt;0,1,0)</f>
        <v>0</v>
      </c>
      <c r="AI87" s="118" t="n">
        <f aca="false">IF(AI53&gt;0,1,0)</f>
        <v>0</v>
      </c>
      <c r="AJ87" s="118" t="n">
        <f aca="false">IF(AJ53&gt;0,1,0)</f>
        <v>0</v>
      </c>
      <c r="AK87" s="118" t="n">
        <f aca="false">IF(AK53&gt;0,1,0)</f>
        <v>0</v>
      </c>
      <c r="AL87" s="118" t="n">
        <f aca="false">IF(AL53&gt;0,1,0)</f>
        <v>0</v>
      </c>
    </row>
    <row r="88" customFormat="false" ht="15" hidden="false" customHeight="false" outlineLevel="0" collapsed="false">
      <c r="A88" s="6" t="s">
        <v>404</v>
      </c>
      <c r="C88" s="66" t="n">
        <f aca="false">C77+C78</f>
        <v>-282543.856711111</v>
      </c>
      <c r="D88" s="66" t="n">
        <f aca="false">D77+D78</f>
        <v>-33693.2646318095</v>
      </c>
      <c r="E88" s="66" t="n">
        <f aca="false">E77+E78</f>
        <v>-31843.8888552019</v>
      </c>
      <c r="F88" s="66" t="n">
        <f aca="false">F77+F78</f>
        <v>-30123.1360496235</v>
      </c>
      <c r="G88" s="66" t="n">
        <f aca="false">G77+G78</f>
        <v>-28522.0026071022</v>
      </c>
      <c r="H88" s="66" t="n">
        <f aca="false">H77+H78</f>
        <v>-27032.1151722241</v>
      </c>
      <c r="I88" s="66" t="n">
        <f aca="false">I77+I78</f>
        <v>-25645.6865244541</v>
      </c>
      <c r="J88" s="66" t="n">
        <f aca="false">J77+J78</f>
        <v>-24355.4745486947</v>
      </c>
      <c r="K88" s="66" t="n">
        <f aca="false">K77+K78</f>
        <v>-23154.7440779052</v>
      </c>
      <c r="L88" s="66" t="n">
        <f aca="false">L77+L78</f>
        <v>-22037.2314067375</v>
      </c>
      <c r="M88" s="66" t="n">
        <f aca="false">M77+M78</f>
        <v>-20997.1112892183</v>
      </c>
      <c r="N88" s="66" t="n">
        <f aca="false">N77+N78</f>
        <v>-20028.966246592</v>
      </c>
      <c r="O88" s="66" t="n">
        <f aca="false">O77+O78</f>
        <v>-19114.9262140624</v>
      </c>
      <c r="P88" s="66" t="n">
        <f aca="false">P77+P78</f>
        <v>-18308.6483052234</v>
      </c>
      <c r="Q88" s="66" t="n">
        <f aca="false">Q77+Q78</f>
        <v>-17461.3508665339</v>
      </c>
      <c r="R88" s="66" t="n">
        <f aca="false">R77+R78</f>
        <v>-16672.5309152194</v>
      </c>
      <c r="S88" s="66" t="n">
        <f aca="false">S77+S78</f>
        <v>-15938.0950271636</v>
      </c>
      <c r="T88" s="66" t="n">
        <f aca="false">T77+T78</f>
        <v>-15254.2363179383</v>
      </c>
      <c r="U88" s="66" t="n">
        <f aca="false">U77+U78</f>
        <v>-14617.4143850255</v>
      </c>
      <c r="V88" s="66" t="n">
        <f aca="false">V77+V78</f>
        <v>-14024.3366540832</v>
      </c>
      <c r="W88" s="66" t="n">
        <f aca="false">W77+W78</f>
        <v>-13471.9410309736</v>
      </c>
      <c r="X88" s="66" t="n">
        <f aca="false">X77+X78</f>
        <v>-12957.3797681483</v>
      </c>
      <c r="Y88" s="66" t="n">
        <f aca="false">Y77+Y78</f>
        <v>-12478.0044603875</v>
      </c>
      <c r="Z88" s="66" t="n">
        <f aca="false">Z77+Z78</f>
        <v>-12031.3520908365</v>
      </c>
      <c r="AA88" s="66" t="n">
        <f aca="false">AA77+AA78</f>
        <v>-11448.421135112</v>
      </c>
      <c r="AB88" s="66" t="n">
        <f aca="false">AB77+AB78</f>
        <v>-11107.3460840433</v>
      </c>
      <c r="AC88" s="66" t="n">
        <f aca="false">AC77+AC78</f>
        <v>-10684.2938361469</v>
      </c>
      <c r="AD88" s="66" t="n">
        <f aca="false">AD77+AD78</f>
        <v>-10290.02191227</v>
      </c>
      <c r="AE88" s="66" t="n">
        <f aca="false">AE77+AE78</f>
        <v>-9922.51568973108</v>
      </c>
      <c r="AF88" s="66" t="n">
        <f aca="false">AF77+AF78</f>
        <v>-9579.90156943658</v>
      </c>
      <c r="AG88" s="66" t="n">
        <f aca="false">AG77+AG78</f>
        <v>-9260.43710422936</v>
      </c>
      <c r="AH88" s="66" t="n">
        <f aca="false">AH77+AH78</f>
        <v>-8962.50181825332</v>
      </c>
      <c r="AI88" s="66" t="n">
        <f aca="false">AI77+AI78</f>
        <v>-8684.58866896227</v>
      </c>
      <c r="AJ88" s="66" t="n">
        <f aca="false">AJ77+AJ78</f>
        <v>-8425.29610678824</v>
      </c>
      <c r="AK88" s="66" t="n">
        <f aca="false">AK77+AK78</f>
        <v>-8183.32069063308</v>
      </c>
      <c r="AL88" s="66" t="n">
        <f aca="false">AL77+AL78</f>
        <v>-7957.45022027543</v>
      </c>
    </row>
    <row r="89" customFormat="false" ht="15" hidden="false" customHeight="false" outlineLevel="0" collapsed="false">
      <c r="A89" s="6" t="s">
        <v>405</v>
      </c>
      <c r="C89" s="66" t="n">
        <f aca="false">C88</f>
        <v>-282543.856711111</v>
      </c>
      <c r="D89" s="66" t="n">
        <f aca="false">C89+D88</f>
        <v>-316237.121342921</v>
      </c>
      <c r="E89" s="66" t="n">
        <f aca="false">D89+E88</f>
        <v>-348081.010198123</v>
      </c>
      <c r="F89" s="66" t="n">
        <f aca="false">E89+F88</f>
        <v>-378204.146247746</v>
      </c>
      <c r="G89" s="66" t="n">
        <f aca="false">F89+G88</f>
        <v>-406726.148854848</v>
      </c>
      <c r="H89" s="66" t="n">
        <f aca="false">G89+H88</f>
        <v>-433758.264027072</v>
      </c>
      <c r="I89" s="66" t="n">
        <f aca="false">H89+I88</f>
        <v>-459403.950551527</v>
      </c>
      <c r="J89" s="66" t="n">
        <f aca="false">I89+J88</f>
        <v>-483759.425100221</v>
      </c>
      <c r="K89" s="66" t="n">
        <f aca="false">J89+K88</f>
        <v>-506914.169178126</v>
      </c>
      <c r="L89" s="66" t="n">
        <f aca="false">K89+L88</f>
        <v>-528951.400584864</v>
      </c>
      <c r="M89" s="66" t="n">
        <f aca="false">L89+M88</f>
        <v>-549948.511874082</v>
      </c>
      <c r="N89" s="66" t="n">
        <f aca="false">M89+N88</f>
        <v>-569977.478120674</v>
      </c>
      <c r="O89" s="66" t="n">
        <f aca="false">N89+O88</f>
        <v>-589092.404334737</v>
      </c>
      <c r="P89" s="66" t="n">
        <f aca="false">O89+P88</f>
        <v>-607401.05263996</v>
      </c>
      <c r="Q89" s="66" t="n">
        <f aca="false">P89+Q88</f>
        <v>-624862.403506494</v>
      </c>
      <c r="R89" s="66" t="n">
        <f aca="false">Q89+R88</f>
        <v>-641534.934421713</v>
      </c>
      <c r="S89" s="66" t="n">
        <f aca="false">R89+S88</f>
        <v>-657473.029448877</v>
      </c>
      <c r="T89" s="66" t="n">
        <f aca="false">S89+T88</f>
        <v>-672727.265766815</v>
      </c>
      <c r="U89" s="66" t="n">
        <f aca="false">T89+U88</f>
        <v>-687344.680151841</v>
      </c>
      <c r="V89" s="66" t="n">
        <f aca="false">U89+V88</f>
        <v>-701369.016805924</v>
      </c>
      <c r="W89" s="66" t="n">
        <f aca="false">V89+W88</f>
        <v>-714840.957836898</v>
      </c>
      <c r="X89" s="66" t="n">
        <f aca="false">W89+X88</f>
        <v>-727798.337605046</v>
      </c>
      <c r="Y89" s="66" t="n">
        <f aca="false">X89+Y88</f>
        <v>-740276.342065433</v>
      </c>
      <c r="Z89" s="66" t="n">
        <f aca="false">Y89+Z88</f>
        <v>-752307.69415627</v>
      </c>
      <c r="AA89" s="66" t="n">
        <f aca="false">Z89+AA88</f>
        <v>-763756.115291382</v>
      </c>
      <c r="AB89" s="66" t="n">
        <f aca="false">AA89+AB88</f>
        <v>-774863.461375425</v>
      </c>
      <c r="AC89" s="66" t="n">
        <f aca="false">AB89+AC88</f>
        <v>-785547.755211572</v>
      </c>
      <c r="AD89" s="66" t="n">
        <f aca="false">AC89+AD88</f>
        <v>-795837.777123842</v>
      </c>
      <c r="AE89" s="66" t="n">
        <f aca="false">AD89+AE88</f>
        <v>-805760.292813573</v>
      </c>
      <c r="AF89" s="66" t="n">
        <f aca="false">AE89+AF88</f>
        <v>-815340.19438301</v>
      </c>
      <c r="AG89" s="66" t="n">
        <f aca="false">AF89+AG88</f>
        <v>-824600.631487239</v>
      </c>
      <c r="AH89" s="66" t="n">
        <f aca="false">AG89+AH88</f>
        <v>-833563.133305492</v>
      </c>
      <c r="AI89" s="66" t="n">
        <f aca="false">AH89+AI88</f>
        <v>-842247.721974455</v>
      </c>
      <c r="AJ89" s="66" t="n">
        <f aca="false">AI89+AJ88</f>
        <v>-850673.018081243</v>
      </c>
      <c r="AK89" s="66" t="n">
        <f aca="false">AJ89+AK88</f>
        <v>-858856.338771876</v>
      </c>
      <c r="AL89" s="66" t="n">
        <f aca="false">AK89+AL88</f>
        <v>-866813.788992151</v>
      </c>
    </row>
    <row r="90" customFormat="false" ht="15" hidden="false" customHeight="false" outlineLevel="0" collapsed="false">
      <c r="A90" s="116" t="s">
        <v>406</v>
      </c>
      <c r="C90" s="66" t="n">
        <f aca="false">C89</f>
        <v>-282543.856711111</v>
      </c>
      <c r="D90" s="66" t="n">
        <f aca="false">MIN(C90,D89)</f>
        <v>-316237.121342921</v>
      </c>
      <c r="E90" s="66" t="n">
        <f aca="false">MIN(D90,E89)</f>
        <v>-348081.010198123</v>
      </c>
      <c r="F90" s="66" t="n">
        <f aca="false">MIN(E90,F89)</f>
        <v>-378204.146247746</v>
      </c>
      <c r="G90" s="66" t="n">
        <f aca="false">MIN(F90,G89)</f>
        <v>-406726.148854848</v>
      </c>
      <c r="H90" s="66" t="n">
        <f aca="false">MIN(G90,H89)</f>
        <v>-433758.264027072</v>
      </c>
      <c r="I90" s="66" t="n">
        <f aca="false">MIN(H90,I89)</f>
        <v>-459403.950551527</v>
      </c>
      <c r="J90" s="66" t="n">
        <f aca="false">MIN(I90,J89)</f>
        <v>-483759.425100221</v>
      </c>
      <c r="K90" s="66" t="n">
        <f aca="false">MIN(J90,K89)</f>
        <v>-506914.169178126</v>
      </c>
      <c r="L90" s="66" t="n">
        <f aca="false">MIN(K90,L89)</f>
        <v>-528951.400584864</v>
      </c>
      <c r="M90" s="66" t="n">
        <f aca="false">MIN(L90,M89)</f>
        <v>-549948.511874082</v>
      </c>
      <c r="N90" s="66" t="n">
        <f aca="false">MIN(M90,N89)</f>
        <v>-569977.478120674</v>
      </c>
      <c r="O90" s="66" t="n">
        <f aca="false">MIN(N90,O89)</f>
        <v>-589092.404334737</v>
      </c>
      <c r="P90" s="66" t="n">
        <f aca="false">MIN(O90,P89)</f>
        <v>-607401.05263996</v>
      </c>
      <c r="Q90" s="66" t="n">
        <f aca="false">MIN(P90,Q89)</f>
        <v>-624862.403506494</v>
      </c>
      <c r="R90" s="66" t="n">
        <f aca="false">MIN(Q90,R89)</f>
        <v>-641534.934421713</v>
      </c>
      <c r="S90" s="66" t="n">
        <f aca="false">MIN(R90,S89)</f>
        <v>-657473.029448877</v>
      </c>
      <c r="T90" s="66" t="n">
        <f aca="false">MIN(S90,T89)</f>
        <v>-672727.265766815</v>
      </c>
      <c r="U90" s="66" t="n">
        <f aca="false">MIN(T90,U89)</f>
        <v>-687344.680151841</v>
      </c>
      <c r="V90" s="66" t="n">
        <f aca="false">MIN(U90,V89)</f>
        <v>-701369.016805924</v>
      </c>
      <c r="W90" s="66" t="n">
        <f aca="false">MIN(V90,W89)</f>
        <v>-714840.957836898</v>
      </c>
      <c r="X90" s="66" t="n">
        <f aca="false">MIN(W90,X89)</f>
        <v>-727798.337605046</v>
      </c>
      <c r="Y90" s="66" t="n">
        <f aca="false">MIN(X90,Y89)</f>
        <v>-740276.342065433</v>
      </c>
      <c r="Z90" s="66" t="n">
        <f aca="false">MIN(Y90,Z89)</f>
        <v>-752307.69415627</v>
      </c>
      <c r="AA90" s="66" t="n">
        <f aca="false">MIN(Z90,AA89)</f>
        <v>-763756.115291382</v>
      </c>
      <c r="AB90" s="66" t="n">
        <f aca="false">MIN(AA90,AB89)</f>
        <v>-774863.461375425</v>
      </c>
      <c r="AC90" s="66" t="n">
        <f aca="false">MIN(AB90,AC89)</f>
        <v>-785547.755211572</v>
      </c>
      <c r="AD90" s="66" t="n">
        <f aca="false">MIN(AC90,AD89)</f>
        <v>-795837.777123842</v>
      </c>
      <c r="AE90" s="66" t="n">
        <f aca="false">MIN(AD90,AE89)</f>
        <v>-805760.292813573</v>
      </c>
      <c r="AF90" s="66" t="n">
        <f aca="false">MIN(AE90,AF89)</f>
        <v>-815340.19438301</v>
      </c>
      <c r="AG90" s="66" t="n">
        <f aca="false">MIN(AF90,AG89)</f>
        <v>-824600.631487239</v>
      </c>
      <c r="AH90" s="66" t="n">
        <f aca="false">MIN(AG90,AH89)</f>
        <v>-833563.133305492</v>
      </c>
      <c r="AI90" s="66" t="n">
        <f aca="false">MIN(AH90,AI89)</f>
        <v>-842247.721974455</v>
      </c>
      <c r="AJ90" s="66" t="n">
        <f aca="false">MIN(AI90,AJ89)</f>
        <v>-850673.018081243</v>
      </c>
      <c r="AK90" s="66" t="n">
        <f aca="false">MIN(AJ90,AK89)</f>
        <v>-858856.338771876</v>
      </c>
      <c r="AL90" s="66" t="n">
        <f aca="false">MIN(AK90,AL89)</f>
        <v>-866813.788992151</v>
      </c>
    </row>
    <row r="91" customFormat="false" ht="15" hidden="false" customHeight="false" outlineLevel="0" collapsed="false">
      <c r="A91" s="116" t="s">
        <v>407</v>
      </c>
      <c r="C91" s="118" t="n">
        <f aca="false">IF(AND(C89&gt;=0,C90&lt;0),1,0)</f>
        <v>0</v>
      </c>
      <c r="D91" s="118" t="n">
        <f aca="false">IF(AND(D89&gt;=0,D90&lt;0),1,0)</f>
        <v>0</v>
      </c>
      <c r="E91" s="118" t="n">
        <f aca="false">IF(AND(E89&gt;=0,E90&lt;0),1,0)</f>
        <v>0</v>
      </c>
      <c r="F91" s="118" t="n">
        <f aca="false">IF(AND(F89&gt;=0,F90&lt;0),1,0)</f>
        <v>0</v>
      </c>
      <c r="G91" s="118" t="n">
        <f aca="false">IF(AND(G89&gt;=0,G90&lt;0),1,0)</f>
        <v>0</v>
      </c>
      <c r="H91" s="118" t="n">
        <f aca="false">IF(AND(H89&gt;=0,H90&lt;0),1,0)</f>
        <v>0</v>
      </c>
      <c r="I91" s="118" t="n">
        <f aca="false">IF(AND(I89&gt;=0,I90&lt;0),1,0)</f>
        <v>0</v>
      </c>
      <c r="J91" s="118" t="n">
        <f aca="false">IF(AND(J89&gt;=0,J90&lt;0),1,0)</f>
        <v>0</v>
      </c>
      <c r="K91" s="118" t="n">
        <f aca="false">IF(AND(K89&gt;=0,K90&lt;0),1,0)</f>
        <v>0</v>
      </c>
      <c r="L91" s="118" t="n">
        <f aca="false">IF(AND(L89&gt;=0,L90&lt;0),1,0)</f>
        <v>0</v>
      </c>
      <c r="M91" s="118" t="n">
        <f aca="false">IF(AND(M89&gt;=0,M90&lt;0),1,0)</f>
        <v>0</v>
      </c>
      <c r="N91" s="118" t="n">
        <f aca="false">IF(AND(N89&gt;=0,N90&lt;0),1,0)</f>
        <v>0</v>
      </c>
      <c r="O91" s="118" t="n">
        <f aca="false">IF(AND(O89&gt;=0,O90&lt;0),1,0)</f>
        <v>0</v>
      </c>
      <c r="P91" s="118" t="n">
        <f aca="false">IF(AND(P89&gt;=0,P90&lt;0),1,0)</f>
        <v>0</v>
      </c>
      <c r="Q91" s="118" t="n">
        <f aca="false">IF(AND(Q89&gt;=0,Q90&lt;0),1,0)</f>
        <v>0</v>
      </c>
      <c r="R91" s="118" t="n">
        <f aca="false">IF(AND(R89&gt;=0,R90&lt;0),1,0)</f>
        <v>0</v>
      </c>
      <c r="S91" s="118" t="n">
        <f aca="false">IF(AND(S89&gt;=0,S90&lt;0),1,0)</f>
        <v>0</v>
      </c>
      <c r="T91" s="118" t="n">
        <f aca="false">IF(AND(T89&gt;=0,T90&lt;0),1,0)</f>
        <v>0</v>
      </c>
      <c r="U91" s="118" t="n">
        <f aca="false">IF(AND(U89&gt;=0,U90&lt;0),1,0)</f>
        <v>0</v>
      </c>
      <c r="V91" s="118" t="n">
        <f aca="false">IF(AND(V89&gt;=0,V90&lt;0),1,0)</f>
        <v>0</v>
      </c>
      <c r="W91" s="118" t="n">
        <f aca="false">IF(AND(W89&gt;=0,W90&lt;0),1,0)</f>
        <v>0</v>
      </c>
      <c r="X91" s="118" t="n">
        <f aca="false">IF(AND(X89&gt;=0,X90&lt;0),1,0)</f>
        <v>0</v>
      </c>
      <c r="Y91" s="118" t="n">
        <f aca="false">IF(AND(Y89&gt;=0,Y90&lt;0),1,0)</f>
        <v>0</v>
      </c>
      <c r="Z91" s="118" t="n">
        <f aca="false">IF(AND(Z89&gt;=0,Z90&lt;0),1,0)</f>
        <v>0</v>
      </c>
      <c r="AA91" s="118" t="n">
        <f aca="false">IF(AND(AA89&gt;=0,AA90&lt;0),1,0)</f>
        <v>0</v>
      </c>
      <c r="AB91" s="118" t="n">
        <f aca="false">IF(AND(AB89&gt;=0,AB90&lt;0),1,0)</f>
        <v>0</v>
      </c>
      <c r="AC91" s="118" t="n">
        <f aca="false">IF(AND(AC89&gt;=0,AC90&lt;0),1,0)</f>
        <v>0</v>
      </c>
      <c r="AD91" s="118" t="n">
        <f aca="false">IF(AND(AD89&gt;=0,AD90&lt;0),1,0)</f>
        <v>0</v>
      </c>
      <c r="AE91" s="118" t="n">
        <f aca="false">IF(AND(AE89&gt;=0,AE90&lt;0),1,0)</f>
        <v>0</v>
      </c>
      <c r="AF91" s="118" t="n">
        <f aca="false">IF(AND(AF89&gt;=0,AF90&lt;0),1,0)</f>
        <v>0</v>
      </c>
      <c r="AG91" s="118" t="n">
        <f aca="false">IF(AND(AG89&gt;=0,AG90&lt;0),1,0)</f>
        <v>0</v>
      </c>
      <c r="AH91" s="118" t="n">
        <f aca="false">IF(AND(AH89&gt;=0,AH90&lt;0),1,0)</f>
        <v>0</v>
      </c>
      <c r="AI91" s="118" t="n">
        <f aca="false">IF(AND(AI89&gt;=0,AI90&lt;0),1,0)</f>
        <v>0</v>
      </c>
      <c r="AJ91" s="118" t="n">
        <f aca="false">IF(AND(AJ89&gt;=0,AJ90&lt;0),1,0)</f>
        <v>0</v>
      </c>
      <c r="AK91" s="118" t="n">
        <f aca="false">IF(AND(AK89&gt;=0,AK90&lt;0),1,0)</f>
        <v>0</v>
      </c>
      <c r="AL91" s="118" t="n">
        <f aca="false">IF(AND(AL89&gt;=0,AL90&lt;0),1,0)</f>
        <v>0</v>
      </c>
    </row>
    <row r="92" customFormat="false" ht="15" hidden="false" customHeight="false" outlineLevel="0" collapsed="false">
      <c r="A92" s="6" t="s">
        <v>408</v>
      </c>
      <c r="C92" s="66" t="n">
        <f aca="false">C77-C48*(1-Inputs!$B$66)+C78</f>
        <v>-281753.856711111</v>
      </c>
      <c r="D92" s="66" t="n">
        <f aca="false">D77-D48*(1-Inputs!$B$66)+D78</f>
        <v>-32907.9670127619</v>
      </c>
      <c r="E92" s="66" t="n">
        <f aca="false">E77-E48*(1-Inputs!$B$66)+E78</f>
        <v>-31067.9959980591</v>
      </c>
      <c r="F92" s="66" t="n">
        <f aca="false">F77-F48*(1-Inputs!$B$66)+F78</f>
        <v>-29356.6479543854</v>
      </c>
      <c r="G92" s="66" t="n">
        <f aca="false">G77-G48*(1-Inputs!$B$66)+G78</f>
        <v>-27764.9192737689</v>
      </c>
      <c r="H92" s="66" t="n">
        <f aca="false">H77-H48*(1-Inputs!$B$66)+H78</f>
        <v>-26284.4366007956</v>
      </c>
      <c r="I92" s="66" t="n">
        <f aca="false">I77-I48*(1-Inputs!$B$66)+I78</f>
        <v>-24907.4127149303</v>
      </c>
      <c r="J92" s="66" t="n">
        <f aca="false">J77-J48*(1-Inputs!$B$66)+J78</f>
        <v>-23626.6055010757</v>
      </c>
      <c r="K92" s="66" t="n">
        <f aca="false">K77-K48*(1-Inputs!$B$66)+K78</f>
        <v>-22435.2797921909</v>
      </c>
      <c r="L92" s="66" t="n">
        <f aca="false">L77-L48*(1-Inputs!$B$66)+L78</f>
        <v>-21327.171882928</v>
      </c>
      <c r="M92" s="66" t="n">
        <f aca="false">M77-M48*(1-Inputs!$B$66)+M78</f>
        <v>-20296.4565273135</v>
      </c>
      <c r="N92" s="66" t="n">
        <f aca="false">N77-N48*(1-Inputs!$B$66)+N78</f>
        <v>-19337.716246592</v>
      </c>
      <c r="O92" s="66" t="n">
        <f aca="false">O77-O48*(1-Inputs!$B$66)+O78</f>
        <v>-18433.0809759671</v>
      </c>
      <c r="P92" s="66" t="n">
        <f aca="false">P77-P48*(1-Inputs!$B$66)+P78</f>
        <v>-17636.2078290329</v>
      </c>
      <c r="Q92" s="66" t="n">
        <f aca="false">Q77-Q48*(1-Inputs!$B$66)+Q78</f>
        <v>-16798.3151522482</v>
      </c>
      <c r="R92" s="66" t="n">
        <f aca="false">R77-R48*(1-Inputs!$B$66)+R78</f>
        <v>-16018.8999628385</v>
      </c>
      <c r="S92" s="66" t="n">
        <f aca="false">S77-S48*(1-Inputs!$B$66)+S78</f>
        <v>-15293.8688366874</v>
      </c>
      <c r="T92" s="66" t="n">
        <f aca="false">T77-T48*(1-Inputs!$B$66)+T78</f>
        <v>-14619.4148893669</v>
      </c>
      <c r="U92" s="66" t="n">
        <f aca="false">U77-U48*(1-Inputs!$B$66)+U78</f>
        <v>-13991.9977183588</v>
      </c>
      <c r="V92" s="66" t="n">
        <f aca="false">V77-V48*(1-Inputs!$B$66)+V78</f>
        <v>-13408.3247493213</v>
      </c>
      <c r="W92" s="66" t="n">
        <f aca="false">W77-W48*(1-Inputs!$B$66)+W78</f>
        <v>-12865.3338881165</v>
      </c>
      <c r="X92" s="66" t="n">
        <f aca="false">X77-X48*(1-Inputs!$B$66)+X78</f>
        <v>-12360.1773871959</v>
      </c>
      <c r="Y92" s="66" t="n">
        <f aca="false">Y77-Y48*(1-Inputs!$B$66)+Y78</f>
        <v>-11890.2068413398</v>
      </c>
      <c r="Z92" s="66" t="n">
        <f aca="false">Z77-Z48*(1-Inputs!$B$66)+Z78</f>
        <v>-11452.9592336937</v>
      </c>
      <c r="AA92" s="66" t="n">
        <f aca="false">AA77-AA48*(1-Inputs!$B$66)+AA78</f>
        <v>-10879.4330398739</v>
      </c>
      <c r="AB92" s="66" t="n">
        <f aca="false">AB77-AB48*(1-Inputs!$B$66)+AB78</f>
        <v>-10547.7627507099</v>
      </c>
      <c r="AC92" s="66" t="n">
        <f aca="false">AC77-AC48*(1-Inputs!$B$66)+AC78</f>
        <v>-10134.1152647183</v>
      </c>
      <c r="AD92" s="66" t="n">
        <f aca="false">AD77-AD48*(1-Inputs!$B$66)+AD78</f>
        <v>-9749.24810274616</v>
      </c>
      <c r="AE92" s="66" t="n">
        <f aca="false">AE77-AE48*(1-Inputs!$B$66)+AE78</f>
        <v>-9391.14664211203</v>
      </c>
      <c r="AF92" s="66" t="n">
        <f aca="false">AF77-AF48*(1-Inputs!$B$66)+AF78</f>
        <v>-9057.9372837223</v>
      </c>
      <c r="AG92" s="66" t="n">
        <f aca="false">AG77-AG48*(1-Inputs!$B$66)+AG78</f>
        <v>-8747.87758041984</v>
      </c>
      <c r="AH92" s="66" t="n">
        <f aca="false">AH77-AH48*(1-Inputs!$B$66)+AH78</f>
        <v>-8459.34705634856</v>
      </c>
      <c r="AI92" s="66" t="n">
        <f aca="false">AI77-AI48*(1-Inputs!$B$66)+AI78</f>
        <v>-8190.83866896227</v>
      </c>
      <c r="AJ92" s="66" t="n">
        <f aca="false">AJ77-AJ48*(1-Inputs!$B$66)+AJ78</f>
        <v>-7940.950868693</v>
      </c>
      <c r="AK92" s="66" t="n">
        <f aca="false">AK77-AK48*(1-Inputs!$B$66)+AK78</f>
        <v>-7708.38021444261</v>
      </c>
      <c r="AL92" s="66" t="n">
        <f aca="false">AL77-AL48*(1-Inputs!$B$66)+AL78</f>
        <v>-7491.91450598972</v>
      </c>
    </row>
    <row r="94" customFormat="false" ht="15.75" hidden="false" customHeight="true" outlineLevel="0" collapsed="false">
      <c r="A94" s="7" t="s">
        <v>409</v>
      </c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</row>
    <row r="95" customFormat="false" ht="15" hidden="false" customHeight="false" outlineLevel="0" collapsed="false">
      <c r="A95" s="6" t="s">
        <v>96</v>
      </c>
      <c r="C95" s="66" t="n">
        <f aca="false">C79</f>
        <v>330000</v>
      </c>
      <c r="D95" s="66" t="n">
        <f aca="false">C95+D79</f>
        <v>330000</v>
      </c>
      <c r="E95" s="66" t="n">
        <f aca="false">D95+E79</f>
        <v>330000</v>
      </c>
      <c r="F95" s="66" t="n">
        <f aca="false">E95+F79</f>
        <v>330000</v>
      </c>
      <c r="G95" s="66" t="n">
        <f aca="false">F95+G79</f>
        <v>330000</v>
      </c>
      <c r="H95" s="66" t="n">
        <f aca="false">G95+H79</f>
        <v>330000</v>
      </c>
      <c r="I95" s="66" t="n">
        <f aca="false">H95+I79</f>
        <v>330000</v>
      </c>
      <c r="J95" s="66" t="n">
        <f aca="false">I95+J79</f>
        <v>330000</v>
      </c>
      <c r="K95" s="66" t="n">
        <f aca="false">J95+K79</f>
        <v>330000</v>
      </c>
      <c r="L95" s="66" t="n">
        <f aca="false">K95+L79</f>
        <v>330000</v>
      </c>
      <c r="M95" s="66" t="n">
        <f aca="false">L95+M79</f>
        <v>330000</v>
      </c>
      <c r="N95" s="66" t="n">
        <f aca="false">M95+N79</f>
        <v>330000</v>
      </c>
      <c r="O95" s="66" t="n">
        <f aca="false">N95+O79</f>
        <v>330000</v>
      </c>
      <c r="P95" s="66" t="n">
        <f aca="false">O95+P79</f>
        <v>330000</v>
      </c>
      <c r="Q95" s="66" t="n">
        <f aca="false">P95+Q79</f>
        <v>330000</v>
      </c>
      <c r="R95" s="66" t="n">
        <f aca="false">Q95+R79</f>
        <v>330000</v>
      </c>
      <c r="S95" s="66" t="n">
        <f aca="false">R95+S79</f>
        <v>330000</v>
      </c>
      <c r="T95" s="66" t="n">
        <f aca="false">S95+T79</f>
        <v>330000</v>
      </c>
      <c r="U95" s="66" t="n">
        <f aca="false">T95+U79</f>
        <v>330000</v>
      </c>
      <c r="V95" s="66" t="n">
        <f aca="false">U95+V79</f>
        <v>330000</v>
      </c>
      <c r="W95" s="66" t="n">
        <f aca="false">V95+W79</f>
        <v>330000</v>
      </c>
      <c r="X95" s="66" t="n">
        <f aca="false">W95+X79</f>
        <v>330000</v>
      </c>
      <c r="Y95" s="66" t="n">
        <f aca="false">X95+Y79</f>
        <v>330000</v>
      </c>
      <c r="Z95" s="66" t="n">
        <f aca="false">Y95+Z79</f>
        <v>330000</v>
      </c>
      <c r="AA95" s="66" t="n">
        <f aca="false">Z95+AA79</f>
        <v>330000</v>
      </c>
      <c r="AB95" s="66" t="n">
        <f aca="false">AA95+AB79</f>
        <v>330000</v>
      </c>
      <c r="AC95" s="66" t="n">
        <f aca="false">AB95+AC79</f>
        <v>330000</v>
      </c>
      <c r="AD95" s="66" t="n">
        <f aca="false">AC95+AD79</f>
        <v>330000</v>
      </c>
      <c r="AE95" s="66" t="n">
        <f aca="false">AD95+AE79</f>
        <v>330000</v>
      </c>
      <c r="AF95" s="66" t="n">
        <f aca="false">AE95+AF79</f>
        <v>330000</v>
      </c>
      <c r="AG95" s="66" t="n">
        <f aca="false">AF95+AG79</f>
        <v>330000</v>
      </c>
      <c r="AH95" s="66" t="n">
        <f aca="false">AG95+AH79</f>
        <v>330000</v>
      </c>
      <c r="AI95" s="66" t="n">
        <f aca="false">AH95+AI79</f>
        <v>330000</v>
      </c>
      <c r="AJ95" s="66" t="n">
        <f aca="false">AI95+AJ79</f>
        <v>330000</v>
      </c>
      <c r="AK95" s="66" t="n">
        <f aca="false">AJ95+AK79</f>
        <v>330000</v>
      </c>
      <c r="AL95" s="66" t="n">
        <f aca="false">AK95+AL79</f>
        <v>330000</v>
      </c>
    </row>
    <row r="96" customFormat="false" ht="15" hidden="false" customHeight="false" outlineLevel="0" collapsed="false">
      <c r="A96" s="6" t="s">
        <v>97</v>
      </c>
      <c r="C96" s="66" t="n">
        <f aca="false">C53</f>
        <v>-38732.7959809524</v>
      </c>
      <c r="D96" s="66" t="n">
        <f aca="false">C96+D53</f>
        <v>-75478.1513718095</v>
      </c>
      <c r="E96" s="66" t="n">
        <f aca="false">D96+E53</f>
        <v>-110368.817966259</v>
      </c>
      <c r="F96" s="66" t="n">
        <f aca="false">E96+F53</f>
        <v>-143533.790646716</v>
      </c>
      <c r="G96" s="66" t="n">
        <f aca="false">F96+G53</f>
        <v>-175093.034653827</v>
      </c>
      <c r="H96" s="66" t="n">
        <f aca="false">G96+H53</f>
        <v>-205158.117661393</v>
      </c>
      <c r="I96" s="66" t="n">
        <f aca="false">H96+I53</f>
        <v>-233832.797606047</v>
      </c>
      <c r="J96" s="66" t="n">
        <f aca="false">I96+J53</f>
        <v>-261213.569368862</v>
      </c>
      <c r="K96" s="66" t="n">
        <f aca="false">J96+K53</f>
        <v>-287390.173189232</v>
      </c>
      <c r="L96" s="66" t="n">
        <f aca="false">K96+L53</f>
        <v>-312446.067489796</v>
      </c>
      <c r="M96" s="66" t="n">
        <f aca="false">L96+M53</f>
        <v>-336458.868603605</v>
      </c>
      <c r="N96" s="66" t="n">
        <f aca="false">M96+N53</f>
        <v>-359500.759720401</v>
      </c>
      <c r="O96" s="66" t="n">
        <f aca="false">N96+O53</f>
        <v>-381732.879803412</v>
      </c>
      <c r="P96" s="66" t="n">
        <f aca="false">O96+P53</f>
        <v>-403052.226089955</v>
      </c>
      <c r="Q96" s="66" t="n">
        <f aca="false">P96+Q53</f>
        <v>-423521.859412449</v>
      </c>
      <c r="R96" s="66" t="n">
        <f aca="false">Q96+R53</f>
        <v>-443200.426345046</v>
      </c>
      <c r="S96" s="66" t="n">
        <f aca="false">R96+S53</f>
        <v>-462142.468201703</v>
      </c>
      <c r="T96" s="66" t="n">
        <f aca="false">S96+T53</f>
        <v>-480398.708404404</v>
      </c>
      <c r="U96" s="66" t="n">
        <f aca="false">T96+U53</f>
        <v>-498016.319735592</v>
      </c>
      <c r="V96" s="66" t="n">
        <f aca="false">U96+V53</f>
        <v>-515039.172882939</v>
      </c>
      <c r="W96" s="66" t="n">
        <f aca="false">V96+W53</f>
        <v>-531508.067585982</v>
      </c>
      <c r="X96" s="66" t="n">
        <f aca="false">W96+X53</f>
        <v>-547460.947602488</v>
      </c>
      <c r="Y96" s="66" t="n">
        <f aca="false">X96+Y53</f>
        <v>-562933.100627182</v>
      </c>
      <c r="Z96" s="66" t="n">
        <f aca="false">Y96+Z53</f>
        <v>-577957.344216156</v>
      </c>
      <c r="AA96" s="66" t="n">
        <f aca="false">Z96+AA53</f>
        <v>-592513.1411572</v>
      </c>
      <c r="AB96" s="66" t="n">
        <f aca="false">AA96+AB53</f>
        <v>-606613.660957024</v>
      </c>
      <c r="AC96" s="66" t="n">
        <f aca="false">AB96+AC53</f>
        <v>-620289.93968218</v>
      </c>
      <c r="AD96" s="66" t="n">
        <f aca="false">AC96+AD53</f>
        <v>-633570.840874562</v>
      </c>
      <c r="AE96" s="66" t="n">
        <f aca="false">AD96+AE53</f>
        <v>-646483.207628131</v>
      </c>
      <c r="AF96" s="66" t="n">
        <f aca="false">AE96+AF53</f>
        <v>-659052.00402027</v>
      </c>
      <c r="AG96" s="66" t="n">
        <f aca="false">AF96+AG53</f>
        <v>-671300.446642945</v>
      </c>
      <c r="AH96" s="66" t="n">
        <f aca="false">AG96+AH53</f>
        <v>-683250.126926687</v>
      </c>
      <c r="AI96" s="66" t="n">
        <f aca="false">AH96+AI53</f>
        <v>-694921.124901887</v>
      </c>
      <c r="AJ96" s="66" t="n">
        <f aca="false">AI96+AJ53</f>
        <v>-706332.11499681</v>
      </c>
      <c r="AK96" s="66" t="n">
        <f aca="false">AJ96+AK53</f>
        <v>-717500.464429741</v>
      </c>
      <c r="AL96" s="66" t="n">
        <f aca="false">AK96+AL53</f>
        <v>-728442.324713687</v>
      </c>
    </row>
    <row r="97" customFormat="false" ht="15" hidden="false" customHeight="false" outlineLevel="0" collapsed="false">
      <c r="A97" s="4" t="s">
        <v>92</v>
      </c>
      <c r="C97" s="72" t="n">
        <f aca="false">C83+C69+C70+C60</f>
        <v>447692.701606349</v>
      </c>
      <c r="D97" s="72" t="n">
        <f aca="false">D83+D69+D70+D60</f>
        <v>409313.432495492</v>
      </c>
      <c r="E97" s="72" t="n">
        <f aca="false">E83+E69+E70+E60</f>
        <v>372778.226141443</v>
      </c>
      <c r="F97" s="72" t="n">
        <f aca="false">F83+F69+F70+F60</f>
        <v>337958.831484558</v>
      </c>
      <c r="G97" s="72" t="n">
        <f aca="false">G83+G69+G70+G60</f>
        <v>304735.975039369</v>
      </c>
      <c r="H97" s="72" t="n">
        <f aca="false">H83+H69+H70+H60</f>
        <v>272998.732464391</v>
      </c>
      <c r="I97" s="72" t="n">
        <f aca="false">I83+I69+I70+I60</f>
        <v>242643.944122042</v>
      </c>
      <c r="J97" s="72" t="n">
        <f aca="false">J83+J69+J70+J60</f>
        <v>213575.671549372</v>
      </c>
      <c r="K97" s="72" t="n">
        <f aca="false">K83+K69+K70+K60</f>
        <v>185704.691975837</v>
      </c>
      <c r="L97" s="72" t="n">
        <f aca="false">L83+L69+L70+L60</f>
        <v>158948.02822483</v>
      </c>
      <c r="M97" s="72" t="n">
        <f aca="false">M83+M69+M70+M60</f>
        <v>133228.511522107</v>
      </c>
      <c r="N97" s="72" t="n">
        <f aca="false">N83+N69+N70+N60</f>
        <v>108474.374907623</v>
      </c>
      <c r="O97" s="72" t="n">
        <f aca="false">O83+O69+O70+O60</f>
        <v>84738.5473244144</v>
      </c>
      <c r="P97" s="72" t="n">
        <f aca="false">P83+P69+P70+P60</f>
        <v>61702.5017624155</v>
      </c>
      <c r="Q97" s="72" t="n">
        <f aca="false">Q83+Q69+Q70+Q60</f>
        <v>39511.338113747</v>
      </c>
      <c r="R97" s="72" t="n">
        <f aca="false">R83+R69+R70+R60</f>
        <v>18106.7479778092</v>
      </c>
      <c r="S97" s="72" t="n">
        <f aca="false">S83+S69+S70+S60</f>
        <v>-2565.49545795593</v>
      </c>
      <c r="T97" s="72" t="n">
        <f aca="false">T83+T69+T70+T60</f>
        <v>-22555.823129227</v>
      </c>
      <c r="U97" s="72" t="n">
        <f aca="false">U83+U69+U70+U60</f>
        <v>-41911.1358061853</v>
      </c>
      <c r="V97" s="72" t="n">
        <f aca="false">V83+V69+V70+V60</f>
        <v>-60675.0512050993</v>
      </c>
      <c r="W97" s="72" t="n">
        <f aca="false">W83+W69+W70+W60</f>
        <v>-78888.1338020989</v>
      </c>
      <c r="X97" s="72" t="n">
        <f aca="false">X83+X69+X70+X60</f>
        <v>-96588.1085599847</v>
      </c>
      <c r="Y97" s="72" t="n">
        <f aca="false">Y83+Y69+Y70+Y60</f>
        <v>-113810.059694161</v>
      </c>
      <c r="Z97" s="72" t="n">
        <f aca="false">Z83+Z69+Z70+Z60</f>
        <v>-130586.615524955</v>
      </c>
      <c r="AA97" s="72" t="n">
        <f aca="false">AA83+AA69+AA70+AA60</f>
        <v>-146665.756092231</v>
      </c>
      <c r="AB97" s="72" t="n">
        <f aca="false">AB83+AB69+AB70+AB60</f>
        <v>-162518.023698589</v>
      </c>
      <c r="AC97" s="72" t="n">
        <f aca="false">AC83+AC69+AC70+AC60</f>
        <v>-177948.427883821</v>
      </c>
      <c r="AD97" s="72" t="n">
        <f aca="false">AD83+AD69+AD70+AD60</f>
        <v>-192985.665754074</v>
      </c>
      <c r="AE97" s="72" t="n">
        <f aca="false">AE83+AE69+AE70+AE60</f>
        <v>-207656.425618063</v>
      </c>
      <c r="AF97" s="72" t="n">
        <f aca="false">AF83+AF69+AF70+AF60</f>
        <v>-221985.527602893</v>
      </c>
      <c r="AG97" s="72" t="n">
        <f aca="false">AG83+AG69+AG70+AG60</f>
        <v>-235996.054426771</v>
      </c>
      <c r="AH97" s="72" t="n">
        <f aca="false">AH83+AH69+AH70+AH60</f>
        <v>-249709.473017631</v>
      </c>
      <c r="AI97" s="72" t="n">
        <f aca="false">AI83+AI69+AI70+AI60</f>
        <v>-263145.747618451</v>
      </c>
      <c r="AJ97" s="72" t="n">
        <f aca="false">AJ83+AJ69+AJ70+AJ60</f>
        <v>-276323.4449752</v>
      </c>
      <c r="AK97" s="72" t="n">
        <f aca="false">AK83+AK69+AK70+AK60</f>
        <v>-289259.83216163</v>
      </c>
      <c r="AL97" s="72" t="n">
        <f aca="false">AL83+AL69+AL70+AL60</f>
        <v>-301970.96755633</v>
      </c>
    </row>
    <row r="98" customFormat="false" ht="15" hidden="false" customHeight="false" outlineLevel="0" collapsed="false">
      <c r="A98" s="6" t="s">
        <v>95</v>
      </c>
      <c r="C98" s="66" t="n">
        <f aca="false">C71+C66</f>
        <v>156425.497587302</v>
      </c>
      <c r="D98" s="66" t="n">
        <f aca="false">D71+D66</f>
        <v>154791.583867302</v>
      </c>
      <c r="E98" s="66" t="n">
        <f aca="false">E71+E66</f>
        <v>153147.044107702</v>
      </c>
      <c r="F98" s="66" t="n">
        <f aca="false">F71+F66</f>
        <v>151492.622131274</v>
      </c>
      <c r="G98" s="66" t="n">
        <f aca="false">G71+G66</f>
        <v>149829.009693196</v>
      </c>
      <c r="H98" s="66" t="n">
        <f aca="false">H71+H66</f>
        <v>148156.850125783</v>
      </c>
      <c r="I98" s="66" t="n">
        <f aca="false">I71+I66</f>
        <v>146476.741728089</v>
      </c>
      <c r="J98" s="66" t="n">
        <f aca="false">J71+J66</f>
        <v>144789.240918234</v>
      </c>
      <c r="K98" s="66" t="n">
        <f aca="false">K71+K66</f>
        <v>143094.865165069</v>
      </c>
      <c r="L98" s="66" t="n">
        <f aca="false">L71+L66</f>
        <v>141394.095714625</v>
      </c>
      <c r="M98" s="66" t="n">
        <f aca="false">M71+M66</f>
        <v>139687.380125712</v>
      </c>
      <c r="N98" s="66" t="n">
        <f aca="false">N71+N66</f>
        <v>137975.134628024</v>
      </c>
      <c r="O98" s="66" t="n">
        <f aca="false">O71+O66</f>
        <v>136471.427127826</v>
      </c>
      <c r="P98" s="66" t="n">
        <f aca="false">P71+P66</f>
        <v>134754.72785237</v>
      </c>
      <c r="Q98" s="66" t="n">
        <f aca="false">Q71+Q66</f>
        <v>133033.197526196</v>
      </c>
      <c r="R98" s="66" t="n">
        <f aca="false">R71+R66</f>
        <v>131307.174322855</v>
      </c>
      <c r="S98" s="66" t="n">
        <f aca="false">S71+S66</f>
        <v>129576.972743747</v>
      </c>
      <c r="T98" s="66" t="n">
        <f aca="false">T71+T66</f>
        <v>127842.885275177</v>
      </c>
      <c r="U98" s="66" t="n">
        <f aca="false">U71+U66</f>
        <v>126105.183929406</v>
      </c>
      <c r="V98" s="66" t="n">
        <f aca="false">V71+V66</f>
        <v>124364.12167784</v>
      </c>
      <c r="W98" s="66" t="n">
        <f aca="false">W71+W66</f>
        <v>122619.933783883</v>
      </c>
      <c r="X98" s="66" t="n">
        <f aca="false">X71+X66</f>
        <v>120872.839042503</v>
      </c>
      <c r="Y98" s="66" t="n">
        <f aca="false">Y71+Y66</f>
        <v>119123.04093302</v>
      </c>
      <c r="Z98" s="66" t="n">
        <f aca="false">Z71+Z66</f>
        <v>117370.728691201</v>
      </c>
      <c r="AA98" s="66" t="n">
        <f aca="false">AA71+AA66</f>
        <v>115847.385064969</v>
      </c>
      <c r="AB98" s="66" t="n">
        <f aca="false">AB71+AB66</f>
        <v>114095.637258435</v>
      </c>
      <c r="AC98" s="66" t="n">
        <f aca="false">AC71+AC66</f>
        <v>112341.511798359</v>
      </c>
      <c r="AD98" s="66" t="n">
        <f aca="false">AD71+AD66</f>
        <v>110585.175120487</v>
      </c>
      <c r="AE98" s="66" t="n">
        <f aca="false">AE71+AE66</f>
        <v>108826.782010067</v>
      </c>
      <c r="AF98" s="66" t="n">
        <f aca="false">AF71+AF66</f>
        <v>107066.476417377</v>
      </c>
      <c r="AG98" s="66" t="n">
        <f aca="false">AG71+AG66</f>
        <v>105304.392216174</v>
      </c>
      <c r="AH98" s="66" t="n">
        <f aca="false">AH71+AH66</f>
        <v>103540.653909056</v>
      </c>
      <c r="AI98" s="66" t="n">
        <f aca="false">AI71+AI66</f>
        <v>101775.377283436</v>
      </c>
      <c r="AJ98" s="66" t="n">
        <f aca="false">AJ71+AJ66</f>
        <v>100008.670021609</v>
      </c>
      <c r="AK98" s="66" t="n">
        <f aca="false">AK71+AK66</f>
        <v>98240.6322681107</v>
      </c>
      <c r="AL98" s="66" t="n">
        <f aca="false">AL71+AL66</f>
        <v>96471.3571573569</v>
      </c>
    </row>
    <row r="99" customFormat="false" ht="15" hidden="false" customHeight="false" outlineLevel="0" collapsed="false">
      <c r="A99" s="6" t="s">
        <v>98</v>
      </c>
      <c r="C99" s="66" t="n">
        <f aca="false">C95+C96</f>
        <v>291267.204019048</v>
      </c>
      <c r="D99" s="66" t="n">
        <f aca="false">D95+D96</f>
        <v>254521.84862819</v>
      </c>
      <c r="E99" s="66" t="n">
        <f aca="false">E95+E96</f>
        <v>219631.182033741</v>
      </c>
      <c r="F99" s="66" t="n">
        <f aca="false">F95+F96</f>
        <v>186466.209353284</v>
      </c>
      <c r="G99" s="66" t="n">
        <f aca="false">G95+G96</f>
        <v>154906.965346173</v>
      </c>
      <c r="H99" s="66" t="n">
        <f aca="false">H95+H96</f>
        <v>124841.882338608</v>
      </c>
      <c r="I99" s="66" t="n">
        <f aca="false">I95+I96</f>
        <v>96167.2023939526</v>
      </c>
      <c r="J99" s="66" t="n">
        <f aca="false">J95+J96</f>
        <v>68786.4306311378</v>
      </c>
      <c r="K99" s="66" t="n">
        <f aca="false">K95+K96</f>
        <v>42609.8268107676</v>
      </c>
      <c r="L99" s="66" t="n">
        <f aca="false">L95+L96</f>
        <v>17553.9325102044</v>
      </c>
      <c r="M99" s="66" t="n">
        <f aca="false">M95+M96</f>
        <v>-6458.8686036052</v>
      </c>
      <c r="N99" s="66" t="n">
        <f aca="false">N95+N96</f>
        <v>-29500.7597204005</v>
      </c>
      <c r="O99" s="66" t="n">
        <f aca="false">O95+O96</f>
        <v>-51732.8798034115</v>
      </c>
      <c r="P99" s="66" t="n">
        <f aca="false">P95+P96</f>
        <v>-73052.2260899547</v>
      </c>
      <c r="Q99" s="66" t="n">
        <f aca="false">Q95+Q96</f>
        <v>-93521.8594124493</v>
      </c>
      <c r="R99" s="66" t="n">
        <f aca="false">R95+R96</f>
        <v>-113200.426345046</v>
      </c>
      <c r="S99" s="66" t="n">
        <f aca="false">S95+S96</f>
        <v>-132142.468201703</v>
      </c>
      <c r="T99" s="66" t="n">
        <f aca="false">T95+T96</f>
        <v>-150398.708404404</v>
      </c>
      <c r="U99" s="66" t="n">
        <f aca="false">U95+U96</f>
        <v>-168016.319735592</v>
      </c>
      <c r="V99" s="66" t="n">
        <f aca="false">V95+V96</f>
        <v>-185039.172882939</v>
      </c>
      <c r="W99" s="66" t="n">
        <f aca="false">W95+W96</f>
        <v>-201508.067585982</v>
      </c>
      <c r="X99" s="66" t="n">
        <f aca="false">X95+X96</f>
        <v>-217460.947602488</v>
      </c>
      <c r="Y99" s="66" t="n">
        <f aca="false">Y95+Y96</f>
        <v>-232933.100627182</v>
      </c>
      <c r="Z99" s="66" t="n">
        <f aca="false">Z95+Z96</f>
        <v>-247957.344216156</v>
      </c>
      <c r="AA99" s="66" t="n">
        <f aca="false">AA95+AA96</f>
        <v>-262513.1411572</v>
      </c>
      <c r="AB99" s="66" t="n">
        <f aca="false">AB95+AB96</f>
        <v>-276613.660957024</v>
      </c>
      <c r="AC99" s="66" t="n">
        <f aca="false">AC95+AC96</f>
        <v>-290289.93968218</v>
      </c>
      <c r="AD99" s="66" t="n">
        <f aca="false">AD95+AD96</f>
        <v>-303570.840874562</v>
      </c>
      <c r="AE99" s="66" t="n">
        <f aca="false">AE95+AE96</f>
        <v>-316483.207628131</v>
      </c>
      <c r="AF99" s="66" t="n">
        <f aca="false">AF95+AF96</f>
        <v>-329052.00402027</v>
      </c>
      <c r="AG99" s="66" t="n">
        <f aca="false">AG95+AG96</f>
        <v>-341300.446642945</v>
      </c>
      <c r="AH99" s="66" t="n">
        <f aca="false">AH95+AH96</f>
        <v>-353250.126926687</v>
      </c>
      <c r="AI99" s="66" t="n">
        <f aca="false">AI95+AI96</f>
        <v>-364921.124901887</v>
      </c>
      <c r="AJ99" s="66" t="n">
        <f aca="false">AJ95+AJ96</f>
        <v>-376332.11499681</v>
      </c>
      <c r="AK99" s="66" t="n">
        <f aca="false">AK95+AK96</f>
        <v>-387500.464429741</v>
      </c>
      <c r="AL99" s="66" t="n">
        <f aca="false">AL95+AL96</f>
        <v>-398442.324713687</v>
      </c>
    </row>
    <row r="100" customFormat="false" ht="15" hidden="false" customHeight="false" outlineLevel="0" collapsed="false">
      <c r="A100" s="4" t="s">
        <v>99</v>
      </c>
      <c r="C100" s="72" t="n">
        <f aca="false">C98+C99</f>
        <v>447692.701606349</v>
      </c>
      <c r="D100" s="72" t="n">
        <f aca="false">D98+D99</f>
        <v>409313.432495492</v>
      </c>
      <c r="E100" s="72" t="n">
        <f aca="false">E98+E99</f>
        <v>372778.226141443</v>
      </c>
      <c r="F100" s="72" t="n">
        <f aca="false">F98+F99</f>
        <v>337958.831484557</v>
      </c>
      <c r="G100" s="72" t="n">
        <f aca="false">G98+G99</f>
        <v>304735.975039369</v>
      </c>
      <c r="H100" s="72" t="n">
        <f aca="false">H98+H99</f>
        <v>272998.73246439</v>
      </c>
      <c r="I100" s="72" t="n">
        <f aca="false">I98+I99</f>
        <v>242643.944122042</v>
      </c>
      <c r="J100" s="72" t="n">
        <f aca="false">J98+J99</f>
        <v>213575.671549372</v>
      </c>
      <c r="K100" s="72" t="n">
        <f aca="false">K98+K99</f>
        <v>185704.691975836</v>
      </c>
      <c r="L100" s="72" t="n">
        <f aca="false">L98+L99</f>
        <v>158948.02822483</v>
      </c>
      <c r="M100" s="72" t="n">
        <f aca="false">M98+M99</f>
        <v>133228.511522107</v>
      </c>
      <c r="N100" s="72" t="n">
        <f aca="false">N98+N99</f>
        <v>108474.374907623</v>
      </c>
      <c r="O100" s="72" t="n">
        <f aca="false">O98+O99</f>
        <v>84738.5473244143</v>
      </c>
      <c r="P100" s="72" t="n">
        <f aca="false">P98+P99</f>
        <v>61702.5017624154</v>
      </c>
      <c r="Q100" s="72" t="n">
        <f aca="false">Q98+Q99</f>
        <v>39511.3381137469</v>
      </c>
      <c r="R100" s="72" t="n">
        <f aca="false">R98+R99</f>
        <v>18106.747977809</v>
      </c>
      <c r="S100" s="72" t="n">
        <f aca="false">S98+S99</f>
        <v>-2565.4954579561</v>
      </c>
      <c r="T100" s="72" t="n">
        <f aca="false">T98+T99</f>
        <v>-22555.8231292272</v>
      </c>
      <c r="U100" s="72" t="n">
        <f aca="false">U98+U99</f>
        <v>-41911.1358061854</v>
      </c>
      <c r="V100" s="72" t="n">
        <f aca="false">V98+V99</f>
        <v>-60675.0512050995</v>
      </c>
      <c r="W100" s="72" t="n">
        <f aca="false">W98+W99</f>
        <v>-78888.133802099</v>
      </c>
      <c r="X100" s="72" t="n">
        <f aca="false">X98+X99</f>
        <v>-96588.1085599849</v>
      </c>
      <c r="Y100" s="72" t="n">
        <f aca="false">Y98+Y99</f>
        <v>-113810.059694162</v>
      </c>
      <c r="Z100" s="72" t="n">
        <f aca="false">Z98+Z99</f>
        <v>-130586.615524955</v>
      </c>
      <c r="AA100" s="72" t="n">
        <f aca="false">AA98+AA99</f>
        <v>-146665.756092231</v>
      </c>
      <c r="AB100" s="72" t="n">
        <f aca="false">AB98+AB99</f>
        <v>-162518.023698589</v>
      </c>
      <c r="AC100" s="72" t="n">
        <f aca="false">AC98+AC99</f>
        <v>-177948.427883822</v>
      </c>
      <c r="AD100" s="72" t="n">
        <f aca="false">AD98+AD99</f>
        <v>-192985.665754075</v>
      </c>
      <c r="AE100" s="72" t="n">
        <f aca="false">AE98+AE99</f>
        <v>-207656.425618064</v>
      </c>
      <c r="AF100" s="72" t="n">
        <f aca="false">AF98+AF99</f>
        <v>-221985.527602893</v>
      </c>
      <c r="AG100" s="72" t="n">
        <f aca="false">AG98+AG99</f>
        <v>-235996.054426771</v>
      </c>
      <c r="AH100" s="72" t="n">
        <f aca="false">AH98+AH99</f>
        <v>-249709.473017631</v>
      </c>
      <c r="AI100" s="72" t="n">
        <f aca="false">AI98+AI99</f>
        <v>-263145.747618451</v>
      </c>
      <c r="AJ100" s="72" t="n">
        <f aca="false">AJ98+AJ99</f>
        <v>-276323.4449752</v>
      </c>
      <c r="AK100" s="72" t="n">
        <f aca="false">AK98+AK99</f>
        <v>-289259.832161631</v>
      </c>
      <c r="AL100" s="72" t="n">
        <f aca="false">AL98+AL99</f>
        <v>-301970.96755633</v>
      </c>
    </row>
    <row r="101" customFormat="false" ht="15" hidden="false" customHeight="false" outlineLevel="0" collapsed="false">
      <c r="A101" s="6" t="s">
        <v>410</v>
      </c>
      <c r="C101" s="66" t="n">
        <f aca="false">C97-C100</f>
        <v>0</v>
      </c>
      <c r="D101" s="66" t="n">
        <f aca="false">D97-D100</f>
        <v>0</v>
      </c>
      <c r="E101" s="66" t="n">
        <f aca="false">E97-E100</f>
        <v>0</v>
      </c>
      <c r="F101" s="66" t="n">
        <f aca="false">F97-F100</f>
        <v>0</v>
      </c>
      <c r="G101" s="66" t="n">
        <f aca="false">G97-G100</f>
        <v>0</v>
      </c>
      <c r="H101" s="66" t="n">
        <f aca="false">H97-H100</f>
        <v>0</v>
      </c>
      <c r="I101" s="66" t="n">
        <f aca="false">I97-I100</f>
        <v>0</v>
      </c>
      <c r="J101" s="66" t="n">
        <f aca="false">J97-J100</f>
        <v>0</v>
      </c>
      <c r="K101" s="66" t="n">
        <f aca="false">K97-K100</f>
        <v>0</v>
      </c>
      <c r="L101" s="66" t="n">
        <f aca="false">L97-L100</f>
        <v>0</v>
      </c>
      <c r="M101" s="66" t="n">
        <f aca="false">M97-M100</f>
        <v>0</v>
      </c>
      <c r="N101" s="66" t="n">
        <f aca="false">N97-N100</f>
        <v>0</v>
      </c>
      <c r="O101" s="66" t="n">
        <f aca="false">O97-O100</f>
        <v>0</v>
      </c>
      <c r="P101" s="66" t="n">
        <f aca="false">P97-P100</f>
        <v>0</v>
      </c>
      <c r="Q101" s="66" t="n">
        <f aca="false">Q97-Q100</f>
        <v>1.45519152283669E-010</v>
      </c>
      <c r="R101" s="66" t="n">
        <f aca="false">R97-R100</f>
        <v>1.45519152283669E-010</v>
      </c>
      <c r="S101" s="66" t="n">
        <f aca="false">S97-S100</f>
        <v>1.74622982740402E-010</v>
      </c>
      <c r="T101" s="66" t="n">
        <f aca="false">T97-T100</f>
        <v>1.45519152283669E-010</v>
      </c>
      <c r="U101" s="66" t="n">
        <f aca="false">U97-U100</f>
        <v>0</v>
      </c>
      <c r="V101" s="66" t="n">
        <f aca="false">V97-V100</f>
        <v>0</v>
      </c>
      <c r="W101" s="66" t="n">
        <f aca="false">W97-W100</f>
        <v>0</v>
      </c>
      <c r="X101" s="66" t="n">
        <f aca="false">X97-X100</f>
        <v>0</v>
      </c>
      <c r="Y101" s="66" t="n">
        <f aca="false">Y97-Y100</f>
        <v>0</v>
      </c>
      <c r="Z101" s="66" t="n">
        <f aca="false">Z97-Z100</f>
        <v>0</v>
      </c>
      <c r="AA101" s="66" t="n">
        <f aca="false">AA97-AA100</f>
        <v>0</v>
      </c>
      <c r="AB101" s="66" t="n">
        <f aca="false">AB97-AB100</f>
        <v>0</v>
      </c>
      <c r="AC101" s="66" t="n">
        <f aca="false">AC97-AC100</f>
        <v>0</v>
      </c>
      <c r="AD101" s="66" t="n">
        <f aca="false">AD97-AD100</f>
        <v>0</v>
      </c>
      <c r="AE101" s="66" t="n">
        <f aca="false">AE97-AE100</f>
        <v>0</v>
      </c>
      <c r="AF101" s="66" t="n">
        <f aca="false">AF97-AF100</f>
        <v>0</v>
      </c>
      <c r="AG101" s="66" t="n">
        <f aca="false">AG97-AG100</f>
        <v>0</v>
      </c>
      <c r="AH101" s="66" t="n">
        <f aca="false">AH97-AH100</f>
        <v>0</v>
      </c>
      <c r="AI101" s="66" t="n">
        <f aca="false">AI97-AI100</f>
        <v>0</v>
      </c>
      <c r="AJ101" s="66" t="n">
        <f aca="false">AJ97-AJ100</f>
        <v>0</v>
      </c>
      <c r="AK101" s="66" t="n">
        <f aca="false">AK97-AK100</f>
        <v>0</v>
      </c>
      <c r="AL101" s="66" t="n">
        <f aca="false">AL97-AL100</f>
        <v>0</v>
      </c>
    </row>
    <row r="103" customFormat="false" ht="15.75" hidden="false" customHeight="true" outlineLevel="0" collapsed="false">
      <c r="A103" s="7" t="s">
        <v>412</v>
      </c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</row>
    <row r="104" customFormat="false" ht="15" hidden="false" customHeight="false" outlineLevel="0" collapsed="false">
      <c r="A104" s="6" t="s">
        <v>413</v>
      </c>
      <c r="C104" s="113" t="n">
        <f aca="false">Inputs!$B$42*(1+Inputs!$B$44)^(C$7-1)*MAX(0,MIN(1,C$6*1-Inputs!$B$45+1))/1</f>
        <v>1</v>
      </c>
      <c r="D104" s="113" t="n">
        <f aca="false">Inputs!$B$42*(1+Inputs!$B$44)^(D$7-1)*MAX(0,MIN(1,D$6*1-Inputs!$B$45+1))/1</f>
        <v>1</v>
      </c>
      <c r="E104" s="113" t="n">
        <f aca="false">Inputs!$B$42*(1+Inputs!$B$44)^(E$7-1)*MAX(0,MIN(1,E$6*1-Inputs!$B$45+1))/1</f>
        <v>1</v>
      </c>
      <c r="F104" s="113" t="n">
        <f aca="false">Inputs!$B$42*(1+Inputs!$B$44)^(F$7-1)*MAX(0,MIN(1,F$6*1-Inputs!$B$45+1))/1</f>
        <v>1</v>
      </c>
      <c r="G104" s="113" t="n">
        <f aca="false">Inputs!$B$42*(1+Inputs!$B$44)^(G$7-1)*MAX(0,MIN(1,G$6*1-Inputs!$B$45+1))/1</f>
        <v>1</v>
      </c>
      <c r="H104" s="113" t="n">
        <f aca="false">Inputs!$B$42*(1+Inputs!$B$44)^(H$7-1)*MAX(0,MIN(1,H$6*1-Inputs!$B$45+1))/1</f>
        <v>1</v>
      </c>
      <c r="I104" s="113" t="n">
        <f aca="false">Inputs!$B$42*(1+Inputs!$B$44)^(I$7-1)*MAX(0,MIN(1,I$6*1-Inputs!$B$45+1))/1</f>
        <v>1</v>
      </c>
      <c r="J104" s="113" t="n">
        <f aca="false">Inputs!$B$42*(1+Inputs!$B$44)^(J$7-1)*MAX(0,MIN(1,J$6*1-Inputs!$B$45+1))/1</f>
        <v>1</v>
      </c>
      <c r="K104" s="113" t="n">
        <f aca="false">Inputs!$B$42*(1+Inputs!$B$44)^(K$7-1)*MAX(0,MIN(1,K$6*1-Inputs!$B$45+1))/1</f>
        <v>1</v>
      </c>
      <c r="L104" s="113" t="n">
        <f aca="false">Inputs!$B$42*(1+Inputs!$B$44)^(L$7-1)*MAX(0,MIN(1,L$6*1-Inputs!$B$45+1))/1</f>
        <v>1</v>
      </c>
      <c r="M104" s="113" t="n">
        <f aca="false">Inputs!$B$42*(1+Inputs!$B$44)^(M$7-1)*MAX(0,MIN(1,M$6*1-Inputs!$B$45+1))/1</f>
        <v>1</v>
      </c>
      <c r="N104" s="113" t="n">
        <f aca="false">Inputs!$B$42*(1+Inputs!$B$44)^(N$7-1)*MAX(0,MIN(1,N$6*1-Inputs!$B$45+1))/1</f>
        <v>1</v>
      </c>
      <c r="O104" s="113" t="n">
        <f aca="false">Inputs!$B$42*(1+Inputs!$B$44)^(O$7-1)*MAX(0,MIN(1,O$6*1-Inputs!$B$45+1))/1</f>
        <v>1</v>
      </c>
      <c r="P104" s="113" t="n">
        <f aca="false">Inputs!$B$42*(1+Inputs!$B$44)^(P$7-1)*MAX(0,MIN(1,P$6*1-Inputs!$B$45+1))/1</f>
        <v>1</v>
      </c>
      <c r="Q104" s="113" t="n">
        <f aca="false">Inputs!$B$42*(1+Inputs!$B$44)^(Q$7-1)*MAX(0,MIN(1,Q$6*1-Inputs!$B$45+1))/1</f>
        <v>1</v>
      </c>
      <c r="R104" s="113" t="n">
        <f aca="false">Inputs!$B$42*(1+Inputs!$B$44)^(R$7-1)*MAX(0,MIN(1,R$6*1-Inputs!$B$45+1))/1</f>
        <v>1</v>
      </c>
      <c r="S104" s="113" t="n">
        <f aca="false">Inputs!$B$42*(1+Inputs!$B$44)^(S$7-1)*MAX(0,MIN(1,S$6*1-Inputs!$B$45+1))/1</f>
        <v>1</v>
      </c>
      <c r="T104" s="113" t="n">
        <f aca="false">Inputs!$B$42*(1+Inputs!$B$44)^(T$7-1)*MAX(0,MIN(1,T$6*1-Inputs!$B$45+1))/1</f>
        <v>1</v>
      </c>
      <c r="U104" s="113" t="n">
        <f aca="false">Inputs!$B$42*(1+Inputs!$B$44)^(U$7-1)*MAX(0,MIN(1,U$6*1-Inputs!$B$45+1))/1</f>
        <v>1</v>
      </c>
      <c r="V104" s="113" t="n">
        <f aca="false">Inputs!$B$42*(1+Inputs!$B$44)^(V$7-1)*MAX(0,MIN(1,V$6*1-Inputs!$B$45+1))/1</f>
        <v>1</v>
      </c>
      <c r="W104" s="113" t="n">
        <f aca="false">Inputs!$B$42*(1+Inputs!$B$44)^(W$7-1)*MAX(0,MIN(1,W$6*1-Inputs!$B$45+1))/1</f>
        <v>1</v>
      </c>
      <c r="X104" s="113" t="n">
        <f aca="false">Inputs!$B$42*(1+Inputs!$B$44)^(X$7-1)*MAX(0,MIN(1,X$6*1-Inputs!$B$45+1))/1</f>
        <v>1</v>
      </c>
      <c r="Y104" s="113" t="n">
        <f aca="false">Inputs!$B$42*(1+Inputs!$B$44)^(Y$7-1)*MAX(0,MIN(1,Y$6*1-Inputs!$B$45+1))/1</f>
        <v>1</v>
      </c>
      <c r="Z104" s="113" t="n">
        <f aca="false">Inputs!$B$42*(1+Inputs!$B$44)^(Z$7-1)*MAX(0,MIN(1,Z$6*1-Inputs!$B$45+1))/1</f>
        <v>1</v>
      </c>
      <c r="AA104" s="113" t="n">
        <f aca="false">Inputs!$B$42*(1+Inputs!$B$44)^(AA$7-1)*MAX(0,MIN(1,AA$6*1-Inputs!$B$45+1))/1</f>
        <v>1</v>
      </c>
      <c r="AB104" s="113" t="n">
        <f aca="false">Inputs!$B$42*(1+Inputs!$B$44)^(AB$7-1)*MAX(0,MIN(1,AB$6*1-Inputs!$B$45+1))/1</f>
        <v>1</v>
      </c>
      <c r="AC104" s="113" t="n">
        <f aca="false">Inputs!$B$42*(1+Inputs!$B$44)^(AC$7-1)*MAX(0,MIN(1,AC$6*1-Inputs!$B$45+1))/1</f>
        <v>1</v>
      </c>
      <c r="AD104" s="113" t="n">
        <f aca="false">Inputs!$B$42*(1+Inputs!$B$44)^(AD$7-1)*MAX(0,MIN(1,AD$6*1-Inputs!$B$45+1))/1</f>
        <v>1</v>
      </c>
      <c r="AE104" s="113" t="n">
        <f aca="false">Inputs!$B$42*(1+Inputs!$B$44)^(AE$7-1)*MAX(0,MIN(1,AE$6*1-Inputs!$B$45+1))/1</f>
        <v>1</v>
      </c>
      <c r="AF104" s="113" t="n">
        <f aca="false">Inputs!$B$42*(1+Inputs!$B$44)^(AF$7-1)*MAX(0,MIN(1,AF$6*1-Inputs!$B$45+1))/1</f>
        <v>1</v>
      </c>
      <c r="AG104" s="113" t="n">
        <f aca="false">Inputs!$B$42*(1+Inputs!$B$44)^(AG$7-1)*MAX(0,MIN(1,AG$6*1-Inputs!$B$45+1))/1</f>
        <v>1</v>
      </c>
      <c r="AH104" s="113" t="n">
        <f aca="false">Inputs!$B$42*(1+Inputs!$B$44)^(AH$7-1)*MAX(0,MIN(1,AH$6*1-Inputs!$B$45+1))/1</f>
        <v>1</v>
      </c>
      <c r="AI104" s="113" t="n">
        <f aca="false">Inputs!$B$42*(1+Inputs!$B$44)^(AI$7-1)*MAX(0,MIN(1,AI$6*1-Inputs!$B$45+1))/1</f>
        <v>1</v>
      </c>
      <c r="AJ104" s="113" t="n">
        <f aca="false">Inputs!$B$42*(1+Inputs!$B$44)^(AJ$7-1)*MAX(0,MIN(1,AJ$6*1-Inputs!$B$45+1))/1</f>
        <v>1</v>
      </c>
      <c r="AK104" s="113" t="n">
        <f aca="false">Inputs!$B$42*(1+Inputs!$B$44)^(AK$7-1)*MAX(0,MIN(1,AK$6*1-Inputs!$B$45+1))/1</f>
        <v>1</v>
      </c>
      <c r="AL104" s="113" t="n">
        <f aca="false">Inputs!$B$42*(1+Inputs!$B$44)^(AL$7-1)*MAX(0,MIN(1,AL$6*1-Inputs!$B$45+1))/1</f>
        <v>1</v>
      </c>
    </row>
    <row r="105" customFormat="false" ht="15" hidden="false" customHeight="false" outlineLevel="0" collapsed="false">
      <c r="A105" s="6" t="s">
        <v>414</v>
      </c>
      <c r="C105" s="113" t="n">
        <f aca="false">Inputs!$B$46*(1+Inputs!$B$48)^(C$7-1)*MAX(0,MIN(1,C$6*1-Inputs!$B$49+1))/1</f>
        <v>3</v>
      </c>
      <c r="D105" s="113" t="n">
        <f aca="false">Inputs!$B$46*(1+Inputs!$B$48)^(D$7-1)*MAX(0,MIN(1,D$6*1-Inputs!$B$49+1))/1</f>
        <v>3</v>
      </c>
      <c r="E105" s="113" t="n">
        <f aca="false">Inputs!$B$46*(1+Inputs!$B$48)^(E$7-1)*MAX(0,MIN(1,E$6*1-Inputs!$B$49+1))/1</f>
        <v>3</v>
      </c>
      <c r="F105" s="113" t="n">
        <f aca="false">Inputs!$B$46*(1+Inputs!$B$48)^(F$7-1)*MAX(0,MIN(1,F$6*1-Inputs!$B$49+1))/1</f>
        <v>3</v>
      </c>
      <c r="G105" s="113" t="n">
        <f aca="false">Inputs!$B$46*(1+Inputs!$B$48)^(G$7-1)*MAX(0,MIN(1,G$6*1-Inputs!$B$49+1))/1</f>
        <v>3</v>
      </c>
      <c r="H105" s="113" t="n">
        <f aca="false">Inputs!$B$46*(1+Inputs!$B$48)^(H$7-1)*MAX(0,MIN(1,H$6*1-Inputs!$B$49+1))/1</f>
        <v>3</v>
      </c>
      <c r="I105" s="113" t="n">
        <f aca="false">Inputs!$B$46*(1+Inputs!$B$48)^(I$7-1)*MAX(0,MIN(1,I$6*1-Inputs!$B$49+1))/1</f>
        <v>3</v>
      </c>
      <c r="J105" s="113" t="n">
        <f aca="false">Inputs!$B$46*(1+Inputs!$B$48)^(J$7-1)*MAX(0,MIN(1,J$6*1-Inputs!$B$49+1))/1</f>
        <v>3</v>
      </c>
      <c r="K105" s="113" t="n">
        <f aca="false">Inputs!$B$46*(1+Inputs!$B$48)^(K$7-1)*MAX(0,MIN(1,K$6*1-Inputs!$B$49+1))/1</f>
        <v>3</v>
      </c>
      <c r="L105" s="113" t="n">
        <f aca="false">Inputs!$B$46*(1+Inputs!$B$48)^(L$7-1)*MAX(0,MIN(1,L$6*1-Inputs!$B$49+1))/1</f>
        <v>3</v>
      </c>
      <c r="M105" s="113" t="n">
        <f aca="false">Inputs!$B$46*(1+Inputs!$B$48)^(M$7-1)*MAX(0,MIN(1,M$6*1-Inputs!$B$49+1))/1</f>
        <v>3</v>
      </c>
      <c r="N105" s="113" t="n">
        <f aca="false">Inputs!$B$46*(1+Inputs!$B$48)^(N$7-1)*MAX(0,MIN(1,N$6*1-Inputs!$B$49+1))/1</f>
        <v>3</v>
      </c>
      <c r="O105" s="113" t="n">
        <f aca="false">Inputs!$B$46*(1+Inputs!$B$48)^(O$7-1)*MAX(0,MIN(1,O$6*1-Inputs!$B$49+1))/1</f>
        <v>3</v>
      </c>
      <c r="P105" s="113" t="n">
        <f aca="false">Inputs!$B$46*(1+Inputs!$B$48)^(P$7-1)*MAX(0,MIN(1,P$6*1-Inputs!$B$49+1))/1</f>
        <v>3</v>
      </c>
      <c r="Q105" s="113" t="n">
        <f aca="false">Inputs!$B$46*(1+Inputs!$B$48)^(Q$7-1)*MAX(0,MIN(1,Q$6*1-Inputs!$B$49+1))/1</f>
        <v>3</v>
      </c>
      <c r="R105" s="113" t="n">
        <f aca="false">Inputs!$B$46*(1+Inputs!$B$48)^(R$7-1)*MAX(0,MIN(1,R$6*1-Inputs!$B$49+1))/1</f>
        <v>3</v>
      </c>
      <c r="S105" s="113" t="n">
        <f aca="false">Inputs!$B$46*(1+Inputs!$B$48)^(S$7-1)*MAX(0,MIN(1,S$6*1-Inputs!$B$49+1))/1</f>
        <v>3</v>
      </c>
      <c r="T105" s="113" t="n">
        <f aca="false">Inputs!$B$46*(1+Inputs!$B$48)^(T$7-1)*MAX(0,MIN(1,T$6*1-Inputs!$B$49+1))/1</f>
        <v>3</v>
      </c>
      <c r="U105" s="113" t="n">
        <f aca="false">Inputs!$B$46*(1+Inputs!$B$48)^(U$7-1)*MAX(0,MIN(1,U$6*1-Inputs!$B$49+1))/1</f>
        <v>3</v>
      </c>
      <c r="V105" s="113" t="n">
        <f aca="false">Inputs!$B$46*(1+Inputs!$B$48)^(V$7-1)*MAX(0,MIN(1,V$6*1-Inputs!$B$49+1))/1</f>
        <v>3</v>
      </c>
      <c r="W105" s="113" t="n">
        <f aca="false">Inputs!$B$46*(1+Inputs!$B$48)^(W$7-1)*MAX(0,MIN(1,W$6*1-Inputs!$B$49+1))/1</f>
        <v>3</v>
      </c>
      <c r="X105" s="113" t="n">
        <f aca="false">Inputs!$B$46*(1+Inputs!$B$48)^(X$7-1)*MAX(0,MIN(1,X$6*1-Inputs!$B$49+1))/1</f>
        <v>3</v>
      </c>
      <c r="Y105" s="113" t="n">
        <f aca="false">Inputs!$B$46*(1+Inputs!$B$48)^(Y$7-1)*MAX(0,MIN(1,Y$6*1-Inputs!$B$49+1))/1</f>
        <v>3</v>
      </c>
      <c r="Z105" s="113" t="n">
        <f aca="false">Inputs!$B$46*(1+Inputs!$B$48)^(Z$7-1)*MAX(0,MIN(1,Z$6*1-Inputs!$B$49+1))/1</f>
        <v>3</v>
      </c>
      <c r="AA105" s="113" t="n">
        <f aca="false">Inputs!$B$46*(1+Inputs!$B$48)^(AA$7-1)*MAX(0,MIN(1,AA$6*1-Inputs!$B$49+1))/1</f>
        <v>3</v>
      </c>
      <c r="AB105" s="113" t="n">
        <f aca="false">Inputs!$B$46*(1+Inputs!$B$48)^(AB$7-1)*MAX(0,MIN(1,AB$6*1-Inputs!$B$49+1))/1</f>
        <v>3</v>
      </c>
      <c r="AC105" s="113" t="n">
        <f aca="false">Inputs!$B$46*(1+Inputs!$B$48)^(AC$7-1)*MAX(0,MIN(1,AC$6*1-Inputs!$B$49+1))/1</f>
        <v>3</v>
      </c>
      <c r="AD105" s="113" t="n">
        <f aca="false">Inputs!$B$46*(1+Inputs!$B$48)^(AD$7-1)*MAX(0,MIN(1,AD$6*1-Inputs!$B$49+1))/1</f>
        <v>3</v>
      </c>
      <c r="AE105" s="113" t="n">
        <f aca="false">Inputs!$B$46*(1+Inputs!$B$48)^(AE$7-1)*MAX(0,MIN(1,AE$6*1-Inputs!$B$49+1))/1</f>
        <v>3</v>
      </c>
      <c r="AF105" s="113" t="n">
        <f aca="false">Inputs!$B$46*(1+Inputs!$B$48)^(AF$7-1)*MAX(0,MIN(1,AF$6*1-Inputs!$B$49+1))/1</f>
        <v>3</v>
      </c>
      <c r="AG105" s="113" t="n">
        <f aca="false">Inputs!$B$46*(1+Inputs!$B$48)^(AG$7-1)*MAX(0,MIN(1,AG$6*1-Inputs!$B$49+1))/1</f>
        <v>3</v>
      </c>
      <c r="AH105" s="113" t="n">
        <f aca="false">Inputs!$B$46*(1+Inputs!$B$48)^(AH$7-1)*MAX(0,MIN(1,AH$6*1-Inputs!$B$49+1))/1</f>
        <v>3</v>
      </c>
      <c r="AI105" s="113" t="n">
        <f aca="false">Inputs!$B$46*(1+Inputs!$B$48)^(AI$7-1)*MAX(0,MIN(1,AI$6*1-Inputs!$B$49+1))/1</f>
        <v>3</v>
      </c>
      <c r="AJ105" s="113" t="n">
        <f aca="false">Inputs!$B$46*(1+Inputs!$B$48)^(AJ$7-1)*MAX(0,MIN(1,AJ$6*1-Inputs!$B$49+1))/1</f>
        <v>3</v>
      </c>
      <c r="AK105" s="113" t="n">
        <f aca="false">Inputs!$B$46*(1+Inputs!$B$48)^(AK$7-1)*MAX(0,MIN(1,AK$6*1-Inputs!$B$49+1))/1</f>
        <v>3</v>
      </c>
      <c r="AL105" s="113" t="n">
        <f aca="false">Inputs!$B$46*(1+Inputs!$B$48)^(AL$7-1)*MAX(0,MIN(1,AL$6*1-Inputs!$B$49+1))/1</f>
        <v>3</v>
      </c>
    </row>
    <row r="106" customFormat="false" ht="15" hidden="false" customHeight="false" outlineLevel="0" collapsed="false">
      <c r="A106" s="110" t="s">
        <v>415</v>
      </c>
      <c r="C106" s="119" t="n">
        <f aca="false">C104+C105</f>
        <v>4</v>
      </c>
      <c r="D106" s="119" t="n">
        <f aca="false">D104+D105</f>
        <v>4</v>
      </c>
      <c r="E106" s="119" t="n">
        <f aca="false">E104+E105</f>
        <v>4</v>
      </c>
      <c r="F106" s="119" t="n">
        <f aca="false">F104+F105</f>
        <v>4</v>
      </c>
      <c r="G106" s="119" t="n">
        <f aca="false">G104+G105</f>
        <v>4</v>
      </c>
      <c r="H106" s="119" t="n">
        <f aca="false">H104+H105</f>
        <v>4</v>
      </c>
      <c r="I106" s="119" t="n">
        <f aca="false">I104+I105</f>
        <v>4</v>
      </c>
      <c r="J106" s="119" t="n">
        <f aca="false">J104+J105</f>
        <v>4</v>
      </c>
      <c r="K106" s="119" t="n">
        <f aca="false">K104+K105</f>
        <v>4</v>
      </c>
      <c r="L106" s="119" t="n">
        <f aca="false">L104+L105</f>
        <v>4</v>
      </c>
      <c r="M106" s="119" t="n">
        <f aca="false">M104+M105</f>
        <v>4</v>
      </c>
      <c r="N106" s="119" t="n">
        <f aca="false">N104+N105</f>
        <v>4</v>
      </c>
      <c r="O106" s="119" t="n">
        <f aca="false">O104+O105</f>
        <v>4</v>
      </c>
      <c r="P106" s="119" t="n">
        <f aca="false">P104+P105</f>
        <v>4</v>
      </c>
      <c r="Q106" s="119" t="n">
        <f aca="false">Q104+Q105</f>
        <v>4</v>
      </c>
      <c r="R106" s="119" t="n">
        <f aca="false">R104+R105</f>
        <v>4</v>
      </c>
      <c r="S106" s="119" t="n">
        <f aca="false">S104+S105</f>
        <v>4</v>
      </c>
      <c r="T106" s="119" t="n">
        <f aca="false">T104+T105</f>
        <v>4</v>
      </c>
      <c r="U106" s="119" t="n">
        <f aca="false">U104+U105</f>
        <v>4</v>
      </c>
      <c r="V106" s="119" t="n">
        <f aca="false">V104+V105</f>
        <v>4</v>
      </c>
      <c r="W106" s="119" t="n">
        <f aca="false">W104+W105</f>
        <v>4</v>
      </c>
      <c r="X106" s="119" t="n">
        <f aca="false">X104+X105</f>
        <v>4</v>
      </c>
      <c r="Y106" s="119" t="n">
        <f aca="false">Y104+Y105</f>
        <v>4</v>
      </c>
      <c r="Z106" s="119" t="n">
        <f aca="false">Z104+Z105</f>
        <v>4</v>
      </c>
      <c r="AA106" s="119" t="n">
        <f aca="false">AA104+AA105</f>
        <v>4</v>
      </c>
      <c r="AB106" s="119" t="n">
        <f aca="false">AB104+AB105</f>
        <v>4</v>
      </c>
      <c r="AC106" s="119" t="n">
        <f aca="false">AC104+AC105</f>
        <v>4</v>
      </c>
      <c r="AD106" s="119" t="n">
        <f aca="false">AD104+AD105</f>
        <v>4</v>
      </c>
      <c r="AE106" s="119" t="n">
        <f aca="false">AE104+AE105</f>
        <v>4</v>
      </c>
      <c r="AF106" s="119" t="n">
        <f aca="false">AF104+AF105</f>
        <v>4</v>
      </c>
      <c r="AG106" s="119" t="n">
        <f aca="false">AG104+AG105</f>
        <v>4</v>
      </c>
      <c r="AH106" s="119" t="n">
        <f aca="false">AH104+AH105</f>
        <v>4</v>
      </c>
      <c r="AI106" s="119" t="n">
        <f aca="false">AI104+AI105</f>
        <v>4</v>
      </c>
      <c r="AJ106" s="119" t="n">
        <f aca="false">AJ104+AJ105</f>
        <v>4</v>
      </c>
      <c r="AK106" s="119" t="n">
        <f aca="false">AK104+AK105</f>
        <v>4</v>
      </c>
      <c r="AL106" s="119" t="n">
        <f aca="false">AL104+AL105</f>
        <v>4</v>
      </c>
    </row>
    <row r="108" customFormat="false" ht="15.75" hidden="false" customHeight="true" outlineLevel="0" collapsed="false">
      <c r="A108" s="7" t="s">
        <v>416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</row>
    <row r="109" customFormat="false" ht="15" hidden="false" customHeight="false" outlineLevel="0" collapsed="false">
      <c r="A109" s="6" t="s">
        <v>417</v>
      </c>
      <c r="C109" s="66" t="n">
        <f aca="false">-C104*Inputs!$B$43/12*1*(1+Inputs!$B$50)*(1+Inputs!$B$51)^(C$7-1)</f>
        <v>-5041.66666666667</v>
      </c>
      <c r="D109" s="66" t="n">
        <f aca="false">-D104*Inputs!$B$43/12*1*(1+Inputs!$B$50)*(1+Inputs!$B$51)^(D$7-1)</f>
        <v>-5041.66666666667</v>
      </c>
      <c r="E109" s="66" t="n">
        <f aca="false">-E104*Inputs!$B$43/12*1*(1+Inputs!$B$50)*(1+Inputs!$B$51)^(E$7-1)</f>
        <v>-5041.66666666667</v>
      </c>
      <c r="F109" s="66" t="n">
        <f aca="false">-F104*Inputs!$B$43/12*1*(1+Inputs!$B$50)*(1+Inputs!$B$51)^(F$7-1)</f>
        <v>-5041.66666666667</v>
      </c>
      <c r="G109" s="66" t="n">
        <f aca="false">-G104*Inputs!$B$43/12*1*(1+Inputs!$B$50)*(1+Inputs!$B$51)^(G$7-1)</f>
        <v>-5041.66666666667</v>
      </c>
      <c r="H109" s="66" t="n">
        <f aca="false">-H104*Inputs!$B$43/12*1*(1+Inputs!$B$50)*(1+Inputs!$B$51)^(H$7-1)</f>
        <v>-5041.66666666667</v>
      </c>
      <c r="I109" s="66" t="n">
        <f aca="false">-I104*Inputs!$B$43/12*1*(1+Inputs!$B$50)*(1+Inputs!$B$51)^(I$7-1)</f>
        <v>-5041.66666666667</v>
      </c>
      <c r="J109" s="66" t="n">
        <f aca="false">-J104*Inputs!$B$43/12*1*(1+Inputs!$B$50)*(1+Inputs!$B$51)^(J$7-1)</f>
        <v>-5041.66666666667</v>
      </c>
      <c r="K109" s="66" t="n">
        <f aca="false">-K104*Inputs!$B$43/12*1*(1+Inputs!$B$50)*(1+Inputs!$B$51)^(K$7-1)</f>
        <v>-5041.66666666667</v>
      </c>
      <c r="L109" s="66" t="n">
        <f aca="false">-L104*Inputs!$B$43/12*1*(1+Inputs!$B$50)*(1+Inputs!$B$51)^(L$7-1)</f>
        <v>-5041.66666666667</v>
      </c>
      <c r="M109" s="66" t="n">
        <f aca="false">-M104*Inputs!$B$43/12*1*(1+Inputs!$B$50)*(1+Inputs!$B$51)^(M$7-1)</f>
        <v>-5041.66666666667</v>
      </c>
      <c r="N109" s="66" t="n">
        <f aca="false">-N104*Inputs!$B$43/12*1*(1+Inputs!$B$50)*(1+Inputs!$B$51)^(N$7-1)</f>
        <v>-5041.66666666667</v>
      </c>
      <c r="O109" s="66" t="n">
        <f aca="false">-O104*Inputs!$B$43/12*1*(1+Inputs!$B$50)*(1+Inputs!$B$51)^(O$7-1)</f>
        <v>-5192.91666666667</v>
      </c>
      <c r="P109" s="66" t="n">
        <f aca="false">-P104*Inputs!$B$43/12*1*(1+Inputs!$B$50)*(1+Inputs!$B$51)^(P$7-1)</f>
        <v>-5192.91666666667</v>
      </c>
      <c r="Q109" s="66" t="n">
        <f aca="false">-Q104*Inputs!$B$43/12*1*(1+Inputs!$B$50)*(1+Inputs!$B$51)^(Q$7-1)</f>
        <v>-5192.91666666667</v>
      </c>
      <c r="R109" s="66" t="n">
        <f aca="false">-R104*Inputs!$B$43/12*1*(1+Inputs!$B$50)*(1+Inputs!$B$51)^(R$7-1)</f>
        <v>-5192.91666666667</v>
      </c>
      <c r="S109" s="66" t="n">
        <f aca="false">-S104*Inputs!$B$43/12*1*(1+Inputs!$B$50)*(1+Inputs!$B$51)^(S$7-1)</f>
        <v>-5192.91666666667</v>
      </c>
      <c r="T109" s="66" t="n">
        <f aca="false">-T104*Inputs!$B$43/12*1*(1+Inputs!$B$50)*(1+Inputs!$B$51)^(T$7-1)</f>
        <v>-5192.91666666667</v>
      </c>
      <c r="U109" s="66" t="n">
        <f aca="false">-U104*Inputs!$B$43/12*1*(1+Inputs!$B$50)*(1+Inputs!$B$51)^(U$7-1)</f>
        <v>-5192.91666666667</v>
      </c>
      <c r="V109" s="66" t="n">
        <f aca="false">-V104*Inputs!$B$43/12*1*(1+Inputs!$B$50)*(1+Inputs!$B$51)^(V$7-1)</f>
        <v>-5192.91666666667</v>
      </c>
      <c r="W109" s="66" t="n">
        <f aca="false">-W104*Inputs!$B$43/12*1*(1+Inputs!$B$50)*(1+Inputs!$B$51)^(W$7-1)</f>
        <v>-5192.91666666667</v>
      </c>
      <c r="X109" s="66" t="n">
        <f aca="false">-X104*Inputs!$B$43/12*1*(1+Inputs!$B$50)*(1+Inputs!$B$51)^(X$7-1)</f>
        <v>-5192.91666666667</v>
      </c>
      <c r="Y109" s="66" t="n">
        <f aca="false">-Y104*Inputs!$B$43/12*1*(1+Inputs!$B$50)*(1+Inputs!$B$51)^(Y$7-1)</f>
        <v>-5192.91666666667</v>
      </c>
      <c r="Z109" s="66" t="n">
        <f aca="false">-Z104*Inputs!$B$43/12*1*(1+Inputs!$B$50)*(1+Inputs!$B$51)^(Z$7-1)</f>
        <v>-5192.91666666667</v>
      </c>
      <c r="AA109" s="66" t="n">
        <f aca="false">-AA104*Inputs!$B$43/12*1*(1+Inputs!$B$50)*(1+Inputs!$B$51)^(AA$7-1)</f>
        <v>-5348.70416666667</v>
      </c>
      <c r="AB109" s="66" t="n">
        <f aca="false">-AB104*Inputs!$B$43/12*1*(1+Inputs!$B$50)*(1+Inputs!$B$51)^(AB$7-1)</f>
        <v>-5348.70416666667</v>
      </c>
      <c r="AC109" s="66" t="n">
        <f aca="false">-AC104*Inputs!$B$43/12*1*(1+Inputs!$B$50)*(1+Inputs!$B$51)^(AC$7-1)</f>
        <v>-5348.70416666667</v>
      </c>
      <c r="AD109" s="66" t="n">
        <f aca="false">-AD104*Inputs!$B$43/12*1*(1+Inputs!$B$50)*(1+Inputs!$B$51)^(AD$7-1)</f>
        <v>-5348.70416666667</v>
      </c>
      <c r="AE109" s="66" t="n">
        <f aca="false">-AE104*Inputs!$B$43/12*1*(1+Inputs!$B$50)*(1+Inputs!$B$51)^(AE$7-1)</f>
        <v>-5348.70416666667</v>
      </c>
      <c r="AF109" s="66" t="n">
        <f aca="false">-AF104*Inputs!$B$43/12*1*(1+Inputs!$B$50)*(1+Inputs!$B$51)^(AF$7-1)</f>
        <v>-5348.70416666667</v>
      </c>
      <c r="AG109" s="66" t="n">
        <f aca="false">-AG104*Inputs!$B$43/12*1*(1+Inputs!$B$50)*(1+Inputs!$B$51)^(AG$7-1)</f>
        <v>-5348.70416666667</v>
      </c>
      <c r="AH109" s="66" t="n">
        <f aca="false">-AH104*Inputs!$B$43/12*1*(1+Inputs!$B$50)*(1+Inputs!$B$51)^(AH$7-1)</f>
        <v>-5348.70416666667</v>
      </c>
      <c r="AI109" s="66" t="n">
        <f aca="false">-AI104*Inputs!$B$43/12*1*(1+Inputs!$B$50)*(1+Inputs!$B$51)^(AI$7-1)</f>
        <v>-5348.70416666667</v>
      </c>
      <c r="AJ109" s="66" t="n">
        <f aca="false">-AJ104*Inputs!$B$43/12*1*(1+Inputs!$B$50)*(1+Inputs!$B$51)^(AJ$7-1)</f>
        <v>-5348.70416666667</v>
      </c>
      <c r="AK109" s="66" t="n">
        <f aca="false">-AK104*Inputs!$B$43/12*1*(1+Inputs!$B$50)*(1+Inputs!$B$51)^(AK$7-1)</f>
        <v>-5348.70416666667</v>
      </c>
      <c r="AL109" s="66" t="n">
        <f aca="false">-AL104*Inputs!$B$43/12*1*(1+Inputs!$B$50)*(1+Inputs!$B$51)^(AL$7-1)</f>
        <v>-5348.70416666667</v>
      </c>
    </row>
    <row r="110" customFormat="false" ht="15" hidden="false" customHeight="false" outlineLevel="0" collapsed="false">
      <c r="A110" s="6" t="s">
        <v>418</v>
      </c>
      <c r="C110" s="66" t="n">
        <f aca="false">-C105*Inputs!$B$47/12*1*(1+Inputs!$B$50)*(1+Inputs!$B$51)^(C$7-1)</f>
        <v>-8800</v>
      </c>
      <c r="D110" s="66" t="n">
        <f aca="false">-D105*Inputs!$B$47/12*1*(1+Inputs!$B$50)*(1+Inputs!$B$51)^(D$7-1)</f>
        <v>-8800</v>
      </c>
      <c r="E110" s="66" t="n">
        <f aca="false">-E105*Inputs!$B$47/12*1*(1+Inputs!$B$50)*(1+Inputs!$B$51)^(E$7-1)</f>
        <v>-8800</v>
      </c>
      <c r="F110" s="66" t="n">
        <f aca="false">-F105*Inputs!$B$47/12*1*(1+Inputs!$B$50)*(1+Inputs!$B$51)^(F$7-1)</f>
        <v>-8800</v>
      </c>
      <c r="G110" s="66" t="n">
        <f aca="false">-G105*Inputs!$B$47/12*1*(1+Inputs!$B$50)*(1+Inputs!$B$51)^(G$7-1)</f>
        <v>-8800</v>
      </c>
      <c r="H110" s="66" t="n">
        <f aca="false">-H105*Inputs!$B$47/12*1*(1+Inputs!$B$50)*(1+Inputs!$B$51)^(H$7-1)</f>
        <v>-8800</v>
      </c>
      <c r="I110" s="66" t="n">
        <f aca="false">-I105*Inputs!$B$47/12*1*(1+Inputs!$B$50)*(1+Inputs!$B$51)^(I$7-1)</f>
        <v>-8800</v>
      </c>
      <c r="J110" s="66" t="n">
        <f aca="false">-J105*Inputs!$B$47/12*1*(1+Inputs!$B$50)*(1+Inputs!$B$51)^(J$7-1)</f>
        <v>-8800</v>
      </c>
      <c r="K110" s="66" t="n">
        <f aca="false">-K105*Inputs!$B$47/12*1*(1+Inputs!$B$50)*(1+Inputs!$B$51)^(K$7-1)</f>
        <v>-8800</v>
      </c>
      <c r="L110" s="66" t="n">
        <f aca="false">-L105*Inputs!$B$47/12*1*(1+Inputs!$B$50)*(1+Inputs!$B$51)^(L$7-1)</f>
        <v>-8800</v>
      </c>
      <c r="M110" s="66" t="n">
        <f aca="false">-M105*Inputs!$B$47/12*1*(1+Inputs!$B$50)*(1+Inputs!$B$51)^(M$7-1)</f>
        <v>-8800</v>
      </c>
      <c r="N110" s="66" t="n">
        <f aca="false">-N105*Inputs!$B$47/12*1*(1+Inputs!$B$50)*(1+Inputs!$B$51)^(N$7-1)</f>
        <v>-8800</v>
      </c>
      <c r="O110" s="66" t="n">
        <f aca="false">-O105*Inputs!$B$47/12*1*(1+Inputs!$B$50)*(1+Inputs!$B$51)^(O$7-1)</f>
        <v>-9064</v>
      </c>
      <c r="P110" s="66" t="n">
        <f aca="false">-P105*Inputs!$B$47/12*1*(1+Inputs!$B$50)*(1+Inputs!$B$51)^(P$7-1)</f>
        <v>-9064</v>
      </c>
      <c r="Q110" s="66" t="n">
        <f aca="false">-Q105*Inputs!$B$47/12*1*(1+Inputs!$B$50)*(1+Inputs!$B$51)^(Q$7-1)</f>
        <v>-9064</v>
      </c>
      <c r="R110" s="66" t="n">
        <f aca="false">-R105*Inputs!$B$47/12*1*(1+Inputs!$B$50)*(1+Inputs!$B$51)^(R$7-1)</f>
        <v>-9064</v>
      </c>
      <c r="S110" s="66" t="n">
        <f aca="false">-S105*Inputs!$B$47/12*1*(1+Inputs!$B$50)*(1+Inputs!$B$51)^(S$7-1)</f>
        <v>-9064</v>
      </c>
      <c r="T110" s="66" t="n">
        <f aca="false">-T105*Inputs!$B$47/12*1*(1+Inputs!$B$50)*(1+Inputs!$B$51)^(T$7-1)</f>
        <v>-9064</v>
      </c>
      <c r="U110" s="66" t="n">
        <f aca="false">-U105*Inputs!$B$47/12*1*(1+Inputs!$B$50)*(1+Inputs!$B$51)^(U$7-1)</f>
        <v>-9064</v>
      </c>
      <c r="V110" s="66" t="n">
        <f aca="false">-V105*Inputs!$B$47/12*1*(1+Inputs!$B$50)*(1+Inputs!$B$51)^(V$7-1)</f>
        <v>-9064</v>
      </c>
      <c r="W110" s="66" t="n">
        <f aca="false">-W105*Inputs!$B$47/12*1*(1+Inputs!$B$50)*(1+Inputs!$B$51)^(W$7-1)</f>
        <v>-9064</v>
      </c>
      <c r="X110" s="66" t="n">
        <f aca="false">-X105*Inputs!$B$47/12*1*(1+Inputs!$B$50)*(1+Inputs!$B$51)^(X$7-1)</f>
        <v>-9064</v>
      </c>
      <c r="Y110" s="66" t="n">
        <f aca="false">-Y105*Inputs!$B$47/12*1*(1+Inputs!$B$50)*(1+Inputs!$B$51)^(Y$7-1)</f>
        <v>-9064</v>
      </c>
      <c r="Z110" s="66" t="n">
        <f aca="false">-Z105*Inputs!$B$47/12*1*(1+Inputs!$B$50)*(1+Inputs!$B$51)^(Z$7-1)</f>
        <v>-9064</v>
      </c>
      <c r="AA110" s="66" t="n">
        <f aca="false">-AA105*Inputs!$B$47/12*1*(1+Inputs!$B$50)*(1+Inputs!$B$51)^(AA$7-1)</f>
        <v>-9335.92</v>
      </c>
      <c r="AB110" s="66" t="n">
        <f aca="false">-AB105*Inputs!$B$47/12*1*(1+Inputs!$B$50)*(1+Inputs!$B$51)^(AB$7-1)</f>
        <v>-9335.92</v>
      </c>
      <c r="AC110" s="66" t="n">
        <f aca="false">-AC105*Inputs!$B$47/12*1*(1+Inputs!$B$50)*(1+Inputs!$B$51)^(AC$7-1)</f>
        <v>-9335.92</v>
      </c>
      <c r="AD110" s="66" t="n">
        <f aca="false">-AD105*Inputs!$B$47/12*1*(1+Inputs!$B$50)*(1+Inputs!$B$51)^(AD$7-1)</f>
        <v>-9335.92</v>
      </c>
      <c r="AE110" s="66" t="n">
        <f aca="false">-AE105*Inputs!$B$47/12*1*(1+Inputs!$B$50)*(1+Inputs!$B$51)^(AE$7-1)</f>
        <v>-9335.92</v>
      </c>
      <c r="AF110" s="66" t="n">
        <f aca="false">-AF105*Inputs!$B$47/12*1*(1+Inputs!$B$50)*(1+Inputs!$B$51)^(AF$7-1)</f>
        <v>-9335.92</v>
      </c>
      <c r="AG110" s="66" t="n">
        <f aca="false">-AG105*Inputs!$B$47/12*1*(1+Inputs!$B$50)*(1+Inputs!$B$51)^(AG$7-1)</f>
        <v>-9335.92</v>
      </c>
      <c r="AH110" s="66" t="n">
        <f aca="false">-AH105*Inputs!$B$47/12*1*(1+Inputs!$B$50)*(1+Inputs!$B$51)^(AH$7-1)</f>
        <v>-9335.92</v>
      </c>
      <c r="AI110" s="66" t="n">
        <f aca="false">-AI105*Inputs!$B$47/12*1*(1+Inputs!$B$50)*(1+Inputs!$B$51)^(AI$7-1)</f>
        <v>-9335.92</v>
      </c>
      <c r="AJ110" s="66" t="n">
        <f aca="false">-AJ105*Inputs!$B$47/12*1*(1+Inputs!$B$50)*(1+Inputs!$B$51)^(AJ$7-1)</f>
        <v>-9335.92</v>
      </c>
      <c r="AK110" s="66" t="n">
        <f aca="false">-AK105*Inputs!$B$47/12*1*(1+Inputs!$B$50)*(1+Inputs!$B$51)^(AK$7-1)</f>
        <v>-9335.92</v>
      </c>
      <c r="AL110" s="66" t="n">
        <f aca="false">-AL105*Inputs!$B$47/12*1*(1+Inputs!$B$50)*(1+Inputs!$B$51)^(AL$7-1)</f>
        <v>-9335.92</v>
      </c>
    </row>
    <row r="111" customFormat="false" ht="15" hidden="false" customHeight="false" outlineLevel="0" collapsed="false">
      <c r="A111" s="110" t="s">
        <v>419</v>
      </c>
      <c r="C111" s="67" t="n">
        <f aca="false">C109+C110</f>
        <v>-13841.6666666667</v>
      </c>
      <c r="D111" s="67" t="n">
        <f aca="false">D109+D110</f>
        <v>-13841.6666666667</v>
      </c>
      <c r="E111" s="67" t="n">
        <f aca="false">E109+E110</f>
        <v>-13841.6666666667</v>
      </c>
      <c r="F111" s="67" t="n">
        <f aca="false">F109+F110</f>
        <v>-13841.6666666667</v>
      </c>
      <c r="G111" s="67" t="n">
        <f aca="false">G109+G110</f>
        <v>-13841.6666666667</v>
      </c>
      <c r="H111" s="67" t="n">
        <f aca="false">H109+H110</f>
        <v>-13841.6666666667</v>
      </c>
      <c r="I111" s="67" t="n">
        <f aca="false">I109+I110</f>
        <v>-13841.6666666667</v>
      </c>
      <c r="J111" s="67" t="n">
        <f aca="false">J109+J110</f>
        <v>-13841.6666666667</v>
      </c>
      <c r="K111" s="67" t="n">
        <f aca="false">K109+K110</f>
        <v>-13841.6666666667</v>
      </c>
      <c r="L111" s="67" t="n">
        <f aca="false">L109+L110</f>
        <v>-13841.6666666667</v>
      </c>
      <c r="M111" s="67" t="n">
        <f aca="false">M109+M110</f>
        <v>-13841.6666666667</v>
      </c>
      <c r="N111" s="67" t="n">
        <f aca="false">N109+N110</f>
        <v>-13841.6666666667</v>
      </c>
      <c r="O111" s="67" t="n">
        <f aca="false">O109+O110</f>
        <v>-14256.9166666667</v>
      </c>
      <c r="P111" s="67" t="n">
        <f aca="false">P109+P110</f>
        <v>-14256.9166666667</v>
      </c>
      <c r="Q111" s="67" t="n">
        <f aca="false">Q109+Q110</f>
        <v>-14256.9166666667</v>
      </c>
      <c r="R111" s="67" t="n">
        <f aca="false">R109+R110</f>
        <v>-14256.9166666667</v>
      </c>
      <c r="S111" s="67" t="n">
        <f aca="false">S109+S110</f>
        <v>-14256.9166666667</v>
      </c>
      <c r="T111" s="67" t="n">
        <f aca="false">T109+T110</f>
        <v>-14256.9166666667</v>
      </c>
      <c r="U111" s="67" t="n">
        <f aca="false">U109+U110</f>
        <v>-14256.9166666667</v>
      </c>
      <c r="V111" s="67" t="n">
        <f aca="false">V109+V110</f>
        <v>-14256.9166666667</v>
      </c>
      <c r="W111" s="67" t="n">
        <f aca="false">W109+W110</f>
        <v>-14256.9166666667</v>
      </c>
      <c r="X111" s="67" t="n">
        <f aca="false">X109+X110</f>
        <v>-14256.9166666667</v>
      </c>
      <c r="Y111" s="67" t="n">
        <f aca="false">Y109+Y110</f>
        <v>-14256.9166666667</v>
      </c>
      <c r="Z111" s="67" t="n">
        <f aca="false">Z109+Z110</f>
        <v>-14256.9166666667</v>
      </c>
      <c r="AA111" s="67" t="n">
        <f aca="false">AA109+AA110</f>
        <v>-14684.6241666667</v>
      </c>
      <c r="AB111" s="67" t="n">
        <f aca="false">AB109+AB110</f>
        <v>-14684.6241666667</v>
      </c>
      <c r="AC111" s="67" t="n">
        <f aca="false">AC109+AC110</f>
        <v>-14684.6241666667</v>
      </c>
      <c r="AD111" s="67" t="n">
        <f aca="false">AD109+AD110</f>
        <v>-14684.6241666667</v>
      </c>
      <c r="AE111" s="67" t="n">
        <f aca="false">AE109+AE110</f>
        <v>-14684.6241666667</v>
      </c>
      <c r="AF111" s="67" t="n">
        <f aca="false">AF109+AF110</f>
        <v>-14684.6241666667</v>
      </c>
      <c r="AG111" s="67" t="n">
        <f aca="false">AG109+AG110</f>
        <v>-14684.6241666667</v>
      </c>
      <c r="AH111" s="67" t="n">
        <f aca="false">AH109+AH110</f>
        <v>-14684.6241666667</v>
      </c>
      <c r="AI111" s="67" t="n">
        <f aca="false">AI109+AI110</f>
        <v>-14684.6241666667</v>
      </c>
      <c r="AJ111" s="67" t="n">
        <f aca="false">AJ109+AJ110</f>
        <v>-14684.6241666667</v>
      </c>
      <c r="AK111" s="67" t="n">
        <f aca="false">AK109+AK110</f>
        <v>-14684.6241666667</v>
      </c>
      <c r="AL111" s="67" t="n">
        <f aca="false">AL109+AL110</f>
        <v>-14684.6241666667</v>
      </c>
    </row>
    <row r="114" customFormat="false" ht="15.75" hidden="false" customHeight="true" outlineLevel="0" collapsed="false">
      <c r="A114" s="7" t="s">
        <v>423</v>
      </c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</row>
    <row r="115" customFormat="false" ht="15" hidden="false" customHeight="false" outlineLevel="0" collapsed="false">
      <c r="A115" s="33" t="s">
        <v>335</v>
      </c>
      <c r="C115" s="35" t="s">
        <v>336</v>
      </c>
      <c r="D115" s="35" t="s">
        <v>337</v>
      </c>
      <c r="E115" s="35" t="s">
        <v>338</v>
      </c>
      <c r="F115" s="35" t="s">
        <v>339</v>
      </c>
      <c r="G115" s="35" t="s">
        <v>340</v>
      </c>
      <c r="H115" s="35" t="s">
        <v>341</v>
      </c>
      <c r="I115" s="35" t="s">
        <v>342</v>
      </c>
      <c r="J115" s="35" t="s">
        <v>343</v>
      </c>
      <c r="K115" s="35" t="s">
        <v>344</v>
      </c>
      <c r="L115" s="35" t="s">
        <v>345</v>
      </c>
      <c r="M115" s="35" t="s">
        <v>346</v>
      </c>
      <c r="N115" s="35" t="s">
        <v>347</v>
      </c>
      <c r="O115" s="35" t="s">
        <v>348</v>
      </c>
      <c r="P115" s="35" t="s">
        <v>349</v>
      </c>
      <c r="Q115" s="35" t="s">
        <v>350</v>
      </c>
      <c r="R115" s="35" t="s">
        <v>351</v>
      </c>
      <c r="S115" s="35" t="s">
        <v>352</v>
      </c>
      <c r="T115" s="35" t="s">
        <v>353</v>
      </c>
      <c r="U115" s="35" t="s">
        <v>354</v>
      </c>
      <c r="V115" s="35" t="s">
        <v>355</v>
      </c>
      <c r="W115" s="35" t="s">
        <v>356</v>
      </c>
      <c r="X115" s="35" t="s">
        <v>357</v>
      </c>
      <c r="Y115" s="35" t="s">
        <v>358</v>
      </c>
      <c r="Z115" s="35" t="s">
        <v>359</v>
      </c>
      <c r="AA115" s="35" t="s">
        <v>360</v>
      </c>
      <c r="AB115" s="35" t="s">
        <v>361</v>
      </c>
      <c r="AC115" s="35" t="s">
        <v>362</v>
      </c>
      <c r="AD115" s="35" t="s">
        <v>363</v>
      </c>
      <c r="AE115" s="35" t="s">
        <v>364</v>
      </c>
      <c r="AF115" s="35" t="s">
        <v>365</v>
      </c>
      <c r="AG115" s="35" t="s">
        <v>366</v>
      </c>
      <c r="AH115" s="35" t="s">
        <v>367</v>
      </c>
      <c r="AI115" s="35" t="s">
        <v>368</v>
      </c>
      <c r="AJ115" s="35" t="s">
        <v>369</v>
      </c>
      <c r="AK115" s="35" t="s">
        <v>370</v>
      </c>
      <c r="AL115" s="35" t="s">
        <v>371</v>
      </c>
    </row>
    <row r="116" customFormat="false" ht="15" hidden="false" customHeight="false" outlineLevel="0" collapsed="false">
      <c r="A116" s="71" t="s">
        <v>372</v>
      </c>
      <c r="C116" s="71" t="n">
        <v>1</v>
      </c>
      <c r="D116" s="71" t="n">
        <v>2</v>
      </c>
      <c r="E116" s="71" t="n">
        <v>3</v>
      </c>
      <c r="F116" s="71" t="n">
        <v>4</v>
      </c>
      <c r="G116" s="71" t="n">
        <v>5</v>
      </c>
      <c r="H116" s="71" t="n">
        <v>6</v>
      </c>
      <c r="I116" s="71" t="n">
        <v>7</v>
      </c>
      <c r="J116" s="71" t="n">
        <v>8</v>
      </c>
      <c r="K116" s="71" t="n">
        <v>9</v>
      </c>
      <c r="L116" s="71" t="n">
        <v>10</v>
      </c>
      <c r="M116" s="71" t="n">
        <v>11</v>
      </c>
      <c r="N116" s="71" t="n">
        <v>12</v>
      </c>
      <c r="O116" s="71" t="n">
        <v>13</v>
      </c>
      <c r="P116" s="71" t="n">
        <v>14</v>
      </c>
      <c r="Q116" s="71" t="n">
        <v>15</v>
      </c>
      <c r="R116" s="71" t="n">
        <v>16</v>
      </c>
      <c r="S116" s="71" t="n">
        <v>17</v>
      </c>
      <c r="T116" s="71" t="n">
        <v>18</v>
      </c>
      <c r="U116" s="71" t="n">
        <v>19</v>
      </c>
      <c r="V116" s="71" t="n">
        <v>20</v>
      </c>
      <c r="W116" s="71" t="n">
        <v>21</v>
      </c>
      <c r="X116" s="71" t="n">
        <v>22</v>
      </c>
      <c r="Y116" s="71" t="n">
        <v>23</v>
      </c>
      <c r="Z116" s="71" t="n">
        <v>24</v>
      </c>
      <c r="AA116" s="71" t="n">
        <v>25</v>
      </c>
      <c r="AB116" s="71" t="n">
        <v>26</v>
      </c>
      <c r="AC116" s="71" t="n">
        <v>27</v>
      </c>
      <c r="AD116" s="71" t="n">
        <v>28</v>
      </c>
      <c r="AE116" s="71" t="n">
        <v>29</v>
      </c>
      <c r="AF116" s="71" t="n">
        <v>30</v>
      </c>
      <c r="AG116" s="71" t="n">
        <v>31</v>
      </c>
      <c r="AH116" s="71" t="n">
        <v>32</v>
      </c>
      <c r="AI116" s="71" t="n">
        <v>33</v>
      </c>
      <c r="AJ116" s="71" t="n">
        <v>34</v>
      </c>
      <c r="AK116" s="71" t="n">
        <v>35</v>
      </c>
      <c r="AL116" s="71" t="n">
        <v>36</v>
      </c>
    </row>
    <row r="117" customFormat="false" ht="15" hidden="false" customHeight="false" outlineLevel="0" collapsed="false">
      <c r="A117" s="71" t="s">
        <v>153</v>
      </c>
      <c r="C117" s="71" t="n">
        <f aca="false">ROUNDUP(C116*1/12,0)</f>
        <v>1</v>
      </c>
      <c r="D117" s="71" t="n">
        <f aca="false">ROUNDUP(D116*1/12,0)</f>
        <v>1</v>
      </c>
      <c r="E117" s="71" t="n">
        <f aca="false">ROUNDUP(E116*1/12,0)</f>
        <v>1</v>
      </c>
      <c r="F117" s="71" t="n">
        <f aca="false">ROUNDUP(F116*1/12,0)</f>
        <v>1</v>
      </c>
      <c r="G117" s="71" t="n">
        <f aca="false">ROUNDUP(G116*1/12,0)</f>
        <v>1</v>
      </c>
      <c r="H117" s="71" t="n">
        <f aca="false">ROUNDUP(H116*1/12,0)</f>
        <v>1</v>
      </c>
      <c r="I117" s="71" t="n">
        <f aca="false">ROUNDUP(I116*1/12,0)</f>
        <v>1</v>
      </c>
      <c r="J117" s="71" t="n">
        <f aca="false">ROUNDUP(J116*1/12,0)</f>
        <v>1</v>
      </c>
      <c r="K117" s="71" t="n">
        <f aca="false">ROUNDUP(K116*1/12,0)</f>
        <v>1</v>
      </c>
      <c r="L117" s="71" t="n">
        <f aca="false">ROUNDUP(L116*1/12,0)</f>
        <v>1</v>
      </c>
      <c r="M117" s="71" t="n">
        <f aca="false">ROUNDUP(M116*1/12,0)</f>
        <v>1</v>
      </c>
      <c r="N117" s="71" t="n">
        <f aca="false">ROUNDUP(N116*1/12,0)</f>
        <v>1</v>
      </c>
      <c r="O117" s="71" t="n">
        <f aca="false">ROUNDUP(O116*1/12,0)</f>
        <v>2</v>
      </c>
      <c r="P117" s="71" t="n">
        <f aca="false">ROUNDUP(P116*1/12,0)</f>
        <v>2</v>
      </c>
      <c r="Q117" s="71" t="n">
        <f aca="false">ROUNDUP(Q116*1/12,0)</f>
        <v>2</v>
      </c>
      <c r="R117" s="71" t="n">
        <f aca="false">ROUNDUP(R116*1/12,0)</f>
        <v>2</v>
      </c>
      <c r="S117" s="71" t="n">
        <f aca="false">ROUNDUP(S116*1/12,0)</f>
        <v>2</v>
      </c>
      <c r="T117" s="71" t="n">
        <f aca="false">ROUNDUP(T116*1/12,0)</f>
        <v>2</v>
      </c>
      <c r="U117" s="71" t="n">
        <f aca="false">ROUNDUP(U116*1/12,0)</f>
        <v>2</v>
      </c>
      <c r="V117" s="71" t="n">
        <f aca="false">ROUNDUP(V116*1/12,0)</f>
        <v>2</v>
      </c>
      <c r="W117" s="71" t="n">
        <f aca="false">ROUNDUP(W116*1/12,0)</f>
        <v>2</v>
      </c>
      <c r="X117" s="71" t="n">
        <f aca="false">ROUNDUP(X116*1/12,0)</f>
        <v>2</v>
      </c>
      <c r="Y117" s="71" t="n">
        <f aca="false">ROUNDUP(Y116*1/12,0)</f>
        <v>2</v>
      </c>
      <c r="Z117" s="71" t="n">
        <f aca="false">ROUNDUP(Z116*1/12,0)</f>
        <v>2</v>
      </c>
      <c r="AA117" s="71" t="n">
        <f aca="false">ROUNDUP(AA116*1/12,0)</f>
        <v>3</v>
      </c>
      <c r="AB117" s="71" t="n">
        <f aca="false">ROUNDUP(AB116*1/12,0)</f>
        <v>3</v>
      </c>
      <c r="AC117" s="71" t="n">
        <f aca="false">ROUNDUP(AC116*1/12,0)</f>
        <v>3</v>
      </c>
      <c r="AD117" s="71" t="n">
        <f aca="false">ROUNDUP(AD116*1/12,0)</f>
        <v>3</v>
      </c>
      <c r="AE117" s="71" t="n">
        <f aca="false">ROUNDUP(AE116*1/12,0)</f>
        <v>3</v>
      </c>
      <c r="AF117" s="71" t="n">
        <f aca="false">ROUNDUP(AF116*1/12,0)</f>
        <v>3</v>
      </c>
      <c r="AG117" s="71" t="n">
        <f aca="false">ROUNDUP(AG116*1/12,0)</f>
        <v>3</v>
      </c>
      <c r="AH117" s="71" t="n">
        <f aca="false">ROUNDUP(AH116*1/12,0)</f>
        <v>3</v>
      </c>
      <c r="AI117" s="71" t="n">
        <f aca="false">ROUNDUP(AI116*1/12,0)</f>
        <v>3</v>
      </c>
      <c r="AJ117" s="71" t="n">
        <f aca="false">ROUNDUP(AJ116*1/12,0)</f>
        <v>3</v>
      </c>
      <c r="AK117" s="71" t="n">
        <f aca="false">ROUNDUP(AK116*1/12,0)</f>
        <v>3</v>
      </c>
      <c r="AL117" s="71" t="n">
        <f aca="false">ROUNDUP(AL116*1/12,0)</f>
        <v>3</v>
      </c>
    </row>
    <row r="119" customFormat="false" ht="15.75" hidden="false" customHeight="true" outlineLevel="0" collapsed="false">
      <c r="A119" s="7" t="s">
        <v>248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</row>
    <row r="120" customFormat="false" ht="15" hidden="false" customHeight="false" outlineLevel="0" collapsed="false">
      <c r="A120" s="6" t="s">
        <v>239</v>
      </c>
      <c r="C120" s="113" t="n">
        <f aca="false">-C147/MAX(1,Inputs!$C$13)*Inputs!$C$14</f>
        <v>19.2</v>
      </c>
      <c r="D120" s="113" t="n">
        <f aca="false">-D147/MAX(1,Inputs!$C$13)*Inputs!$C$14</f>
        <v>19.2</v>
      </c>
      <c r="E120" s="113" t="n">
        <f aca="false">-E147/MAX(1,Inputs!$C$13)*Inputs!$C$14</f>
        <v>19.2</v>
      </c>
      <c r="F120" s="113" t="n">
        <f aca="false">-F147/MAX(1,Inputs!$C$13)*Inputs!$C$14</f>
        <v>19.2</v>
      </c>
      <c r="G120" s="113" t="n">
        <f aca="false">-G147/MAX(1,Inputs!$C$13)*Inputs!$C$14</f>
        <v>19.2</v>
      </c>
      <c r="H120" s="113" t="n">
        <f aca="false">-H147/MAX(1,Inputs!$C$13)*Inputs!$C$14</f>
        <v>19.2</v>
      </c>
      <c r="I120" s="113" t="n">
        <f aca="false">-I147/MAX(1,Inputs!$C$13)*Inputs!$C$14</f>
        <v>19.2</v>
      </c>
      <c r="J120" s="113" t="n">
        <f aca="false">-J147/MAX(1,Inputs!$C$13)*Inputs!$C$14</f>
        <v>19.2</v>
      </c>
      <c r="K120" s="113" t="n">
        <f aca="false">-K147/MAX(1,Inputs!$C$13)*Inputs!$C$14</f>
        <v>19.2</v>
      </c>
      <c r="L120" s="113" t="n">
        <f aca="false">-L147/MAX(1,Inputs!$C$13)*Inputs!$C$14</f>
        <v>19.2</v>
      </c>
      <c r="M120" s="113" t="n">
        <f aca="false">-M147/MAX(1,Inputs!$C$13)*Inputs!$C$14</f>
        <v>19.2</v>
      </c>
      <c r="N120" s="113" t="n">
        <f aca="false">-N147/MAX(1,Inputs!$C$13)*Inputs!$C$14</f>
        <v>19.2</v>
      </c>
      <c r="O120" s="113" t="n">
        <f aca="false">-O147/MAX(1,Inputs!$C$13)*Inputs!$C$14</f>
        <v>20.16</v>
      </c>
      <c r="P120" s="113" t="n">
        <f aca="false">-P147/MAX(1,Inputs!$C$13)*Inputs!$C$14</f>
        <v>20.16</v>
      </c>
      <c r="Q120" s="113" t="n">
        <f aca="false">-Q147/MAX(1,Inputs!$C$13)*Inputs!$C$14</f>
        <v>20.16</v>
      </c>
      <c r="R120" s="113" t="n">
        <f aca="false">-R147/MAX(1,Inputs!$C$13)*Inputs!$C$14</f>
        <v>20.16</v>
      </c>
      <c r="S120" s="113" t="n">
        <f aca="false">-S147/MAX(1,Inputs!$C$13)*Inputs!$C$14</f>
        <v>20.16</v>
      </c>
      <c r="T120" s="113" t="n">
        <f aca="false">-T147/MAX(1,Inputs!$C$13)*Inputs!$C$14</f>
        <v>20.16</v>
      </c>
      <c r="U120" s="113" t="n">
        <f aca="false">-U147/MAX(1,Inputs!$C$13)*Inputs!$C$14</f>
        <v>20.16</v>
      </c>
      <c r="V120" s="113" t="n">
        <f aca="false">-V147/MAX(1,Inputs!$C$13)*Inputs!$C$14</f>
        <v>20.16</v>
      </c>
      <c r="W120" s="113" t="n">
        <f aca="false">-W147/MAX(1,Inputs!$C$13)*Inputs!$C$14</f>
        <v>20.16</v>
      </c>
      <c r="X120" s="113" t="n">
        <f aca="false">-X147/MAX(1,Inputs!$C$13)*Inputs!$C$14</f>
        <v>20.16</v>
      </c>
      <c r="Y120" s="113" t="n">
        <f aca="false">-Y147/MAX(1,Inputs!$C$13)*Inputs!$C$14</f>
        <v>20.16</v>
      </c>
      <c r="Z120" s="113" t="n">
        <f aca="false">-Z147/MAX(1,Inputs!$C$13)*Inputs!$C$14</f>
        <v>20.16</v>
      </c>
      <c r="AA120" s="113" t="n">
        <f aca="false">-AA147/MAX(1,Inputs!$C$13)*Inputs!$C$14</f>
        <v>21.168</v>
      </c>
      <c r="AB120" s="113" t="n">
        <f aca="false">-AB147/MAX(1,Inputs!$C$13)*Inputs!$C$14</f>
        <v>21.168</v>
      </c>
      <c r="AC120" s="113" t="n">
        <f aca="false">-AC147/MAX(1,Inputs!$C$13)*Inputs!$C$14</f>
        <v>21.168</v>
      </c>
      <c r="AD120" s="113" t="n">
        <f aca="false">-AD147/MAX(1,Inputs!$C$13)*Inputs!$C$14</f>
        <v>21.168</v>
      </c>
      <c r="AE120" s="113" t="n">
        <f aca="false">-AE147/MAX(1,Inputs!$C$13)*Inputs!$C$14</f>
        <v>21.168</v>
      </c>
      <c r="AF120" s="113" t="n">
        <f aca="false">-AF147/MAX(1,Inputs!$C$13)*Inputs!$C$14</f>
        <v>21.168</v>
      </c>
      <c r="AG120" s="113" t="n">
        <f aca="false">-AG147/MAX(1,Inputs!$C$13)*Inputs!$C$14</f>
        <v>21.168</v>
      </c>
      <c r="AH120" s="113" t="n">
        <f aca="false">-AH147/MAX(1,Inputs!$C$13)*Inputs!$C$14</f>
        <v>21.168</v>
      </c>
      <c r="AI120" s="113" t="n">
        <f aca="false">-AI147/MAX(1,Inputs!$C$13)*Inputs!$C$14</f>
        <v>21.168</v>
      </c>
      <c r="AJ120" s="113" t="n">
        <f aca="false">-AJ147/MAX(1,Inputs!$C$13)*Inputs!$C$14</f>
        <v>21.168</v>
      </c>
      <c r="AK120" s="113" t="n">
        <f aca="false">-AK147/MAX(1,Inputs!$C$13)*Inputs!$C$14</f>
        <v>21.168</v>
      </c>
      <c r="AL120" s="113" t="n">
        <f aca="false">-AL147/MAX(1,Inputs!$C$13)*Inputs!$C$14</f>
        <v>21.168</v>
      </c>
    </row>
    <row r="121" customFormat="false" ht="15" hidden="false" customHeight="false" outlineLevel="0" collapsed="false">
      <c r="A121" s="6" t="s">
        <v>373</v>
      </c>
      <c r="C121" s="113" t="n">
        <f aca="false">Inputs!$C$9*(1+Inputs!$C$10)^(C$117-1)*1</f>
        <v>15</v>
      </c>
      <c r="D121" s="113" t="n">
        <f aca="false">Inputs!$C$9*(1+Inputs!$C$10)^(D$117-1)*1</f>
        <v>15</v>
      </c>
      <c r="E121" s="113" t="n">
        <f aca="false">Inputs!$C$9*(1+Inputs!$C$10)^(E$117-1)*1</f>
        <v>15</v>
      </c>
      <c r="F121" s="113" t="n">
        <f aca="false">Inputs!$C$9*(1+Inputs!$C$10)^(F$117-1)*1</f>
        <v>15</v>
      </c>
      <c r="G121" s="113" t="n">
        <f aca="false">Inputs!$C$9*(1+Inputs!$C$10)^(G$117-1)*1</f>
        <v>15</v>
      </c>
      <c r="H121" s="113" t="n">
        <f aca="false">Inputs!$C$9*(1+Inputs!$C$10)^(H$117-1)*1</f>
        <v>15</v>
      </c>
      <c r="I121" s="113" t="n">
        <f aca="false">Inputs!$C$9*(1+Inputs!$C$10)^(I$117-1)*1</f>
        <v>15</v>
      </c>
      <c r="J121" s="113" t="n">
        <f aca="false">Inputs!$C$9*(1+Inputs!$C$10)^(J$117-1)*1</f>
        <v>15</v>
      </c>
      <c r="K121" s="113" t="n">
        <f aca="false">Inputs!$C$9*(1+Inputs!$C$10)^(K$117-1)*1</f>
        <v>15</v>
      </c>
      <c r="L121" s="113" t="n">
        <f aca="false">Inputs!$C$9*(1+Inputs!$C$10)^(L$117-1)*1</f>
        <v>15</v>
      </c>
      <c r="M121" s="113" t="n">
        <f aca="false">Inputs!$C$9*(1+Inputs!$C$10)^(M$117-1)*1</f>
        <v>15</v>
      </c>
      <c r="N121" s="113" t="n">
        <f aca="false">Inputs!$C$9*(1+Inputs!$C$10)^(N$117-1)*1</f>
        <v>15</v>
      </c>
      <c r="O121" s="113" t="n">
        <f aca="false">Inputs!$C$9*(1+Inputs!$C$10)^(O$117-1)*1</f>
        <v>16.5</v>
      </c>
      <c r="P121" s="113" t="n">
        <f aca="false">Inputs!$C$9*(1+Inputs!$C$10)^(P$117-1)*1</f>
        <v>16.5</v>
      </c>
      <c r="Q121" s="113" t="n">
        <f aca="false">Inputs!$C$9*(1+Inputs!$C$10)^(Q$117-1)*1</f>
        <v>16.5</v>
      </c>
      <c r="R121" s="113" t="n">
        <f aca="false">Inputs!$C$9*(1+Inputs!$C$10)^(R$117-1)*1</f>
        <v>16.5</v>
      </c>
      <c r="S121" s="113" t="n">
        <f aca="false">Inputs!$C$9*(1+Inputs!$C$10)^(S$117-1)*1</f>
        <v>16.5</v>
      </c>
      <c r="T121" s="113" t="n">
        <f aca="false">Inputs!$C$9*(1+Inputs!$C$10)^(T$117-1)*1</f>
        <v>16.5</v>
      </c>
      <c r="U121" s="113" t="n">
        <f aca="false">Inputs!$C$9*(1+Inputs!$C$10)^(U$117-1)*1</f>
        <v>16.5</v>
      </c>
      <c r="V121" s="113" t="n">
        <f aca="false">Inputs!$C$9*(1+Inputs!$C$10)^(V$117-1)*1</f>
        <v>16.5</v>
      </c>
      <c r="W121" s="113" t="n">
        <f aca="false">Inputs!$C$9*(1+Inputs!$C$10)^(W$117-1)*1</f>
        <v>16.5</v>
      </c>
      <c r="X121" s="113" t="n">
        <f aca="false">Inputs!$C$9*(1+Inputs!$C$10)^(X$117-1)*1</f>
        <v>16.5</v>
      </c>
      <c r="Y121" s="113" t="n">
        <f aca="false">Inputs!$C$9*(1+Inputs!$C$10)^(Y$117-1)*1</f>
        <v>16.5</v>
      </c>
      <c r="Z121" s="113" t="n">
        <f aca="false">Inputs!$C$9*(1+Inputs!$C$10)^(Z$117-1)*1</f>
        <v>16.5</v>
      </c>
      <c r="AA121" s="113" t="n">
        <f aca="false">Inputs!$C$9*(1+Inputs!$C$10)^(AA$117-1)*1</f>
        <v>18.15</v>
      </c>
      <c r="AB121" s="113" t="n">
        <f aca="false">Inputs!$C$9*(1+Inputs!$C$10)^(AB$117-1)*1</f>
        <v>18.15</v>
      </c>
      <c r="AC121" s="113" t="n">
        <f aca="false">Inputs!$C$9*(1+Inputs!$C$10)^(AC$117-1)*1</f>
        <v>18.15</v>
      </c>
      <c r="AD121" s="113" t="n">
        <f aca="false">Inputs!$C$9*(1+Inputs!$C$10)^(AD$117-1)*1</f>
        <v>18.15</v>
      </c>
      <c r="AE121" s="113" t="n">
        <f aca="false">Inputs!$C$9*(1+Inputs!$C$10)^(AE$117-1)*1</f>
        <v>18.15</v>
      </c>
      <c r="AF121" s="113" t="n">
        <f aca="false">Inputs!$C$9*(1+Inputs!$C$10)^(AF$117-1)*1</f>
        <v>18.15</v>
      </c>
      <c r="AG121" s="113" t="n">
        <f aca="false">Inputs!$C$9*(1+Inputs!$C$10)^(AG$117-1)*1</f>
        <v>18.15</v>
      </c>
      <c r="AH121" s="113" t="n">
        <f aca="false">Inputs!$C$9*(1+Inputs!$C$10)^(AH$117-1)*1</f>
        <v>18.15</v>
      </c>
      <c r="AI121" s="113" t="n">
        <f aca="false">Inputs!$C$9*(1+Inputs!$C$10)^(AI$117-1)*1</f>
        <v>18.15</v>
      </c>
      <c r="AJ121" s="113" t="n">
        <f aca="false">Inputs!$C$9*(1+Inputs!$C$10)^(AJ$117-1)*1</f>
        <v>18.15</v>
      </c>
      <c r="AK121" s="113" t="n">
        <f aca="false">Inputs!$C$9*(1+Inputs!$C$10)^(AK$117-1)*1</f>
        <v>18.15</v>
      </c>
      <c r="AL121" s="113" t="n">
        <f aca="false">Inputs!$C$9*(1+Inputs!$C$10)^(AL$117-1)*1</f>
        <v>18.15</v>
      </c>
    </row>
    <row r="122" customFormat="false" ht="15" hidden="false" customHeight="false" outlineLevel="0" collapsed="false">
      <c r="A122" s="4" t="s">
        <v>374</v>
      </c>
      <c r="C122" s="114" t="n">
        <f aca="false">C120+C121</f>
        <v>34.2</v>
      </c>
      <c r="D122" s="114" t="n">
        <f aca="false">D120+D121</f>
        <v>34.2</v>
      </c>
      <c r="E122" s="114" t="n">
        <f aca="false">E120+E121</f>
        <v>34.2</v>
      </c>
      <c r="F122" s="114" t="n">
        <f aca="false">F120+F121</f>
        <v>34.2</v>
      </c>
      <c r="G122" s="114" t="n">
        <f aca="false">G120+G121</f>
        <v>34.2</v>
      </c>
      <c r="H122" s="114" t="n">
        <f aca="false">H120+H121</f>
        <v>34.2</v>
      </c>
      <c r="I122" s="114" t="n">
        <f aca="false">I120+I121</f>
        <v>34.2</v>
      </c>
      <c r="J122" s="114" t="n">
        <f aca="false">J120+J121</f>
        <v>34.2</v>
      </c>
      <c r="K122" s="114" t="n">
        <f aca="false">K120+K121</f>
        <v>34.2</v>
      </c>
      <c r="L122" s="114" t="n">
        <f aca="false">L120+L121</f>
        <v>34.2</v>
      </c>
      <c r="M122" s="114" t="n">
        <f aca="false">M120+M121</f>
        <v>34.2</v>
      </c>
      <c r="N122" s="114" t="n">
        <f aca="false">N120+N121</f>
        <v>34.2</v>
      </c>
      <c r="O122" s="114" t="n">
        <f aca="false">O120+O121</f>
        <v>36.66</v>
      </c>
      <c r="P122" s="114" t="n">
        <f aca="false">P120+P121</f>
        <v>36.66</v>
      </c>
      <c r="Q122" s="114" t="n">
        <f aca="false">Q120+Q121</f>
        <v>36.66</v>
      </c>
      <c r="R122" s="114" t="n">
        <f aca="false">R120+R121</f>
        <v>36.66</v>
      </c>
      <c r="S122" s="114" t="n">
        <f aca="false">S120+S121</f>
        <v>36.66</v>
      </c>
      <c r="T122" s="114" t="n">
        <f aca="false">T120+T121</f>
        <v>36.66</v>
      </c>
      <c r="U122" s="114" t="n">
        <f aca="false">U120+U121</f>
        <v>36.66</v>
      </c>
      <c r="V122" s="114" t="n">
        <f aca="false">V120+V121</f>
        <v>36.66</v>
      </c>
      <c r="W122" s="114" t="n">
        <f aca="false">W120+W121</f>
        <v>36.66</v>
      </c>
      <c r="X122" s="114" t="n">
        <f aca="false">X120+X121</f>
        <v>36.66</v>
      </c>
      <c r="Y122" s="114" t="n">
        <f aca="false">Y120+Y121</f>
        <v>36.66</v>
      </c>
      <c r="Z122" s="114" t="n">
        <f aca="false">Z120+Z121</f>
        <v>36.66</v>
      </c>
      <c r="AA122" s="114" t="n">
        <f aca="false">AA120+AA121</f>
        <v>39.318</v>
      </c>
      <c r="AB122" s="114" t="n">
        <f aca="false">AB120+AB121</f>
        <v>39.318</v>
      </c>
      <c r="AC122" s="114" t="n">
        <f aca="false">AC120+AC121</f>
        <v>39.318</v>
      </c>
      <c r="AD122" s="114" t="n">
        <f aca="false">AD120+AD121</f>
        <v>39.318</v>
      </c>
      <c r="AE122" s="114" t="n">
        <f aca="false">AE120+AE121</f>
        <v>39.318</v>
      </c>
      <c r="AF122" s="114" t="n">
        <f aca="false">AF120+AF121</f>
        <v>39.318</v>
      </c>
      <c r="AG122" s="114" t="n">
        <f aca="false">AG120+AG121</f>
        <v>39.318</v>
      </c>
      <c r="AH122" s="114" t="n">
        <f aca="false">AH120+AH121</f>
        <v>39.318</v>
      </c>
      <c r="AI122" s="114" t="n">
        <f aca="false">AI120+AI121</f>
        <v>39.318</v>
      </c>
      <c r="AJ122" s="114" t="n">
        <f aca="false">AJ120+AJ121</f>
        <v>39.318</v>
      </c>
      <c r="AK122" s="114" t="n">
        <f aca="false">AK120+AK121</f>
        <v>39.318</v>
      </c>
      <c r="AL122" s="114" t="n">
        <f aca="false">AL120+AL121</f>
        <v>39.318</v>
      </c>
    </row>
    <row r="123" customFormat="false" ht="15" hidden="false" customHeight="false" outlineLevel="0" collapsed="false">
      <c r="A123" s="6" t="s">
        <v>375</v>
      </c>
      <c r="C123" s="115" t="n">
        <f aca="false">Inputs!$C$7</f>
        <v>120</v>
      </c>
      <c r="D123" s="113" t="n">
        <f aca="false">C126</f>
        <v>147</v>
      </c>
      <c r="E123" s="113" t="n">
        <f aca="false">D126</f>
        <v>172.38</v>
      </c>
      <c r="F123" s="113" t="n">
        <f aca="false">E126</f>
        <v>196.2372</v>
      </c>
      <c r="G123" s="113" t="n">
        <f aca="false">F126</f>
        <v>218.662968</v>
      </c>
      <c r="H123" s="113" t="n">
        <f aca="false">G126</f>
        <v>239.74318992</v>
      </c>
      <c r="I123" s="113" t="n">
        <f aca="false">H126</f>
        <v>259.5585985248</v>
      </c>
      <c r="J123" s="113" t="n">
        <f aca="false">I126</f>
        <v>278.185082613312</v>
      </c>
      <c r="K123" s="113" t="n">
        <f aca="false">J126</f>
        <v>295.693977656513</v>
      </c>
      <c r="L123" s="113" t="n">
        <f aca="false">K126</f>
        <v>312.152338997122</v>
      </c>
      <c r="M123" s="113" t="n">
        <f aca="false">L126</f>
        <v>327.623198657295</v>
      </c>
      <c r="N123" s="113" t="n">
        <f aca="false">M126</f>
        <v>342.165806737857</v>
      </c>
      <c r="O123" s="113" t="n">
        <f aca="false">N126</f>
        <v>355.835858333586</v>
      </c>
      <c r="P123" s="113" t="n">
        <f aca="false">O126</f>
        <v>371.145706833571</v>
      </c>
      <c r="Q123" s="113" t="n">
        <f aca="false">P126</f>
        <v>385.536964423556</v>
      </c>
      <c r="R123" s="113" t="n">
        <f aca="false">Q126</f>
        <v>399.064746558143</v>
      </c>
      <c r="S123" s="113" t="n">
        <f aca="false">R126</f>
        <v>411.780861764654</v>
      </c>
      <c r="T123" s="113" t="n">
        <f aca="false">S126</f>
        <v>423.734010058775</v>
      </c>
      <c r="U123" s="113" t="n">
        <f aca="false">T126</f>
        <v>434.969969455249</v>
      </c>
      <c r="V123" s="113" t="n">
        <f aca="false">U126</f>
        <v>445.531771287934</v>
      </c>
      <c r="W123" s="113" t="n">
        <f aca="false">V126</f>
        <v>450</v>
      </c>
      <c r="X123" s="113" t="n">
        <f aca="false">W126</f>
        <v>450</v>
      </c>
      <c r="Y123" s="113" t="n">
        <f aca="false">X126</f>
        <v>450</v>
      </c>
      <c r="Z123" s="113" t="n">
        <f aca="false">Y126</f>
        <v>450</v>
      </c>
      <c r="AA123" s="113" t="n">
        <f aca="false">Z126</f>
        <v>450</v>
      </c>
      <c r="AB123" s="113" t="n">
        <f aca="false">AA126</f>
        <v>450</v>
      </c>
      <c r="AC123" s="113" t="n">
        <f aca="false">AB126</f>
        <v>450</v>
      </c>
      <c r="AD123" s="113" t="n">
        <f aca="false">AC126</f>
        <v>450</v>
      </c>
      <c r="AE123" s="113" t="n">
        <f aca="false">AD126</f>
        <v>450</v>
      </c>
      <c r="AF123" s="113" t="n">
        <f aca="false">AE126</f>
        <v>450</v>
      </c>
      <c r="AG123" s="113" t="n">
        <f aca="false">AF126</f>
        <v>450</v>
      </c>
      <c r="AH123" s="113" t="n">
        <f aca="false">AG126</f>
        <v>450</v>
      </c>
      <c r="AI123" s="113" t="n">
        <f aca="false">AH126</f>
        <v>450</v>
      </c>
      <c r="AJ123" s="113" t="n">
        <f aca="false">AI126</f>
        <v>450</v>
      </c>
      <c r="AK123" s="113" t="n">
        <f aca="false">AJ126</f>
        <v>450</v>
      </c>
      <c r="AL123" s="113" t="n">
        <f aca="false">AK126</f>
        <v>450</v>
      </c>
    </row>
    <row r="124" customFormat="false" ht="15" hidden="false" customHeight="false" outlineLevel="0" collapsed="false">
      <c r="A124" s="6" t="s">
        <v>376</v>
      </c>
      <c r="C124" s="113" t="n">
        <f aca="false">-C123*Inputs!$C$15</f>
        <v>-7.2</v>
      </c>
      <c r="D124" s="113" t="n">
        <f aca="false">-D123*Inputs!$C$15</f>
        <v>-8.82</v>
      </c>
      <c r="E124" s="113" t="n">
        <f aca="false">-E123*Inputs!$C$15</f>
        <v>-10.3428</v>
      </c>
      <c r="F124" s="113" t="n">
        <f aca="false">-F123*Inputs!$C$15</f>
        <v>-11.774232</v>
      </c>
      <c r="G124" s="113" t="n">
        <f aca="false">-G123*Inputs!$C$15</f>
        <v>-13.11977808</v>
      </c>
      <c r="H124" s="113" t="n">
        <f aca="false">-H123*Inputs!$C$15</f>
        <v>-14.3845913952</v>
      </c>
      <c r="I124" s="113" t="n">
        <f aca="false">-I123*Inputs!$C$15</f>
        <v>-15.573515911488</v>
      </c>
      <c r="J124" s="113" t="n">
        <f aca="false">-J123*Inputs!$C$15</f>
        <v>-16.6911049567987</v>
      </c>
      <c r="K124" s="113" t="n">
        <f aca="false">-K123*Inputs!$C$15</f>
        <v>-17.7416386593908</v>
      </c>
      <c r="L124" s="113" t="n">
        <f aca="false">-L123*Inputs!$C$15</f>
        <v>-18.7291403398273</v>
      </c>
      <c r="M124" s="113" t="n">
        <f aca="false">-M123*Inputs!$C$15</f>
        <v>-19.6573919194377</v>
      </c>
      <c r="N124" s="113" t="n">
        <f aca="false">-N123*Inputs!$C$15</f>
        <v>-20.5299484042714</v>
      </c>
      <c r="O124" s="113" t="n">
        <f aca="false">-O123*Inputs!$C$15</f>
        <v>-21.3501515000151</v>
      </c>
      <c r="P124" s="113" t="n">
        <f aca="false">-P123*Inputs!$C$15</f>
        <v>-22.2687424100142</v>
      </c>
      <c r="Q124" s="113" t="n">
        <f aca="false">-Q123*Inputs!$C$15</f>
        <v>-23.1322178654134</v>
      </c>
      <c r="R124" s="113" t="n">
        <f aca="false">-R123*Inputs!$C$15</f>
        <v>-23.9438847934886</v>
      </c>
      <c r="S124" s="113" t="n">
        <f aca="false">-S123*Inputs!$C$15</f>
        <v>-24.7068517058793</v>
      </c>
      <c r="T124" s="113" t="n">
        <f aca="false">-T123*Inputs!$C$15</f>
        <v>-25.4240406035265</v>
      </c>
      <c r="U124" s="113" t="n">
        <f aca="false">-U123*Inputs!$C$15</f>
        <v>-26.0981981673149</v>
      </c>
      <c r="V124" s="113" t="n">
        <f aca="false">-V123*Inputs!$C$15</f>
        <v>-26.731906277276</v>
      </c>
      <c r="W124" s="113" t="n">
        <f aca="false">-W123*Inputs!$C$15</f>
        <v>-27</v>
      </c>
      <c r="X124" s="113" t="n">
        <f aca="false">-X123*Inputs!$C$15</f>
        <v>-27</v>
      </c>
      <c r="Y124" s="113" t="n">
        <f aca="false">-Y123*Inputs!$C$15</f>
        <v>-27</v>
      </c>
      <c r="Z124" s="113" t="n">
        <f aca="false">-Z123*Inputs!$C$15</f>
        <v>-27</v>
      </c>
      <c r="AA124" s="113" t="n">
        <f aca="false">-AA123*Inputs!$C$15</f>
        <v>-27</v>
      </c>
      <c r="AB124" s="113" t="n">
        <f aca="false">-AB123*Inputs!$C$15</f>
        <v>-27</v>
      </c>
      <c r="AC124" s="113" t="n">
        <f aca="false">-AC123*Inputs!$C$15</f>
        <v>-27</v>
      </c>
      <c r="AD124" s="113" t="n">
        <f aca="false">-AD123*Inputs!$C$15</f>
        <v>-27</v>
      </c>
      <c r="AE124" s="113" t="n">
        <f aca="false">-AE123*Inputs!$C$15</f>
        <v>-27</v>
      </c>
      <c r="AF124" s="113" t="n">
        <f aca="false">-AF123*Inputs!$C$15</f>
        <v>-27</v>
      </c>
      <c r="AG124" s="113" t="n">
        <f aca="false">-AG123*Inputs!$C$15</f>
        <v>-27</v>
      </c>
      <c r="AH124" s="113" t="n">
        <f aca="false">-AH123*Inputs!$C$15</f>
        <v>-27</v>
      </c>
      <c r="AI124" s="113" t="n">
        <f aca="false">-AI123*Inputs!$C$15</f>
        <v>-27</v>
      </c>
      <c r="AJ124" s="113" t="n">
        <f aca="false">-AJ123*Inputs!$C$15</f>
        <v>-27</v>
      </c>
      <c r="AK124" s="113" t="n">
        <f aca="false">-AK123*Inputs!$C$15</f>
        <v>-27</v>
      </c>
      <c r="AL124" s="113" t="n">
        <f aca="false">-AL123*Inputs!$C$15</f>
        <v>-27</v>
      </c>
    </row>
    <row r="125" customFormat="false" ht="15" hidden="false" customHeight="false" outlineLevel="0" collapsed="false">
      <c r="A125" s="116" t="s">
        <v>377</v>
      </c>
      <c r="C125" s="113" t="n">
        <f aca="false">C123*(1-Inputs!$C$15)+C122</f>
        <v>147</v>
      </c>
      <c r="D125" s="113" t="n">
        <f aca="false">D123*(1-Inputs!$C$15)+D122</f>
        <v>172.38</v>
      </c>
      <c r="E125" s="113" t="n">
        <f aca="false">E123*(1-Inputs!$C$15)+E122</f>
        <v>196.2372</v>
      </c>
      <c r="F125" s="113" t="n">
        <f aca="false">F123*(1-Inputs!$C$15)+F122</f>
        <v>218.662968</v>
      </c>
      <c r="G125" s="113" t="n">
        <f aca="false">G123*(1-Inputs!$C$15)+G122</f>
        <v>239.74318992</v>
      </c>
      <c r="H125" s="113" t="n">
        <f aca="false">H123*(1-Inputs!$C$15)+H122</f>
        <v>259.5585985248</v>
      </c>
      <c r="I125" s="113" t="n">
        <f aca="false">I123*(1-Inputs!$C$15)+I122</f>
        <v>278.185082613312</v>
      </c>
      <c r="J125" s="113" t="n">
        <f aca="false">J123*(1-Inputs!$C$15)+J122</f>
        <v>295.693977656513</v>
      </c>
      <c r="K125" s="113" t="n">
        <f aca="false">K123*(1-Inputs!$C$15)+K122</f>
        <v>312.152338997122</v>
      </c>
      <c r="L125" s="113" t="n">
        <f aca="false">L123*(1-Inputs!$C$15)+L122</f>
        <v>327.623198657295</v>
      </c>
      <c r="M125" s="113" t="n">
        <f aca="false">M123*(1-Inputs!$C$15)+M122</f>
        <v>342.165806737857</v>
      </c>
      <c r="N125" s="113" t="n">
        <f aca="false">N123*(1-Inputs!$C$15)+N122</f>
        <v>355.835858333586</v>
      </c>
      <c r="O125" s="113" t="n">
        <f aca="false">O123*(1-Inputs!$C$15)+O122</f>
        <v>371.145706833571</v>
      </c>
      <c r="P125" s="113" t="n">
        <f aca="false">P123*(1-Inputs!$C$15)+P122</f>
        <v>385.536964423556</v>
      </c>
      <c r="Q125" s="113" t="n">
        <f aca="false">Q123*(1-Inputs!$C$15)+Q122</f>
        <v>399.064746558143</v>
      </c>
      <c r="R125" s="113" t="n">
        <f aca="false">R123*(1-Inputs!$C$15)+R122</f>
        <v>411.780861764654</v>
      </c>
      <c r="S125" s="113" t="n">
        <f aca="false">S123*(1-Inputs!$C$15)+S122</f>
        <v>423.734010058775</v>
      </c>
      <c r="T125" s="113" t="n">
        <f aca="false">T123*(1-Inputs!$C$15)+T122</f>
        <v>434.969969455249</v>
      </c>
      <c r="U125" s="113" t="n">
        <f aca="false">U123*(1-Inputs!$C$15)+U122</f>
        <v>445.531771287934</v>
      </c>
      <c r="V125" s="113" t="n">
        <f aca="false">V123*(1-Inputs!$C$15)+V122</f>
        <v>455.459865010658</v>
      </c>
      <c r="W125" s="113" t="n">
        <f aca="false">W123*(1-Inputs!$C$15)+W122</f>
        <v>459.66</v>
      </c>
      <c r="X125" s="113" t="n">
        <f aca="false">X123*(1-Inputs!$C$15)+X122</f>
        <v>459.66</v>
      </c>
      <c r="Y125" s="113" t="n">
        <f aca="false">Y123*(1-Inputs!$C$15)+Y122</f>
        <v>459.66</v>
      </c>
      <c r="Z125" s="113" t="n">
        <f aca="false">Z123*(1-Inputs!$C$15)+Z122</f>
        <v>459.66</v>
      </c>
      <c r="AA125" s="113" t="n">
        <f aca="false">AA123*(1-Inputs!$C$15)+AA122</f>
        <v>462.318</v>
      </c>
      <c r="AB125" s="113" t="n">
        <f aca="false">AB123*(1-Inputs!$C$15)+AB122</f>
        <v>462.318</v>
      </c>
      <c r="AC125" s="113" t="n">
        <f aca="false">AC123*(1-Inputs!$C$15)+AC122</f>
        <v>462.318</v>
      </c>
      <c r="AD125" s="113" t="n">
        <f aca="false">AD123*(1-Inputs!$C$15)+AD122</f>
        <v>462.318</v>
      </c>
      <c r="AE125" s="113" t="n">
        <f aca="false">AE123*(1-Inputs!$C$15)+AE122</f>
        <v>462.318</v>
      </c>
      <c r="AF125" s="113" t="n">
        <f aca="false">AF123*(1-Inputs!$C$15)+AF122</f>
        <v>462.318</v>
      </c>
      <c r="AG125" s="113" t="n">
        <f aca="false">AG123*(1-Inputs!$C$15)+AG122</f>
        <v>462.318</v>
      </c>
      <c r="AH125" s="113" t="n">
        <f aca="false">AH123*(1-Inputs!$C$15)+AH122</f>
        <v>462.318</v>
      </c>
      <c r="AI125" s="113" t="n">
        <f aca="false">AI123*(1-Inputs!$C$15)+AI122</f>
        <v>462.318</v>
      </c>
      <c r="AJ125" s="113" t="n">
        <f aca="false">AJ123*(1-Inputs!$C$15)+AJ122</f>
        <v>462.318</v>
      </c>
      <c r="AK125" s="113" t="n">
        <f aca="false">AK123*(1-Inputs!$C$15)+AK122</f>
        <v>462.318</v>
      </c>
      <c r="AL125" s="113" t="n">
        <f aca="false">AL123*(1-Inputs!$C$15)+AL122</f>
        <v>462.318</v>
      </c>
    </row>
    <row r="126" customFormat="false" ht="15" hidden="false" customHeight="false" outlineLevel="0" collapsed="false">
      <c r="A126" s="4" t="s">
        <v>378</v>
      </c>
      <c r="C126" s="114" t="n">
        <f aca="false">MIN(Inputs!$C$8,C125)</f>
        <v>147</v>
      </c>
      <c r="D126" s="114" t="n">
        <f aca="false">MIN(Inputs!$C$8,D125)</f>
        <v>172.38</v>
      </c>
      <c r="E126" s="114" t="n">
        <f aca="false">MIN(Inputs!$C$8,E125)</f>
        <v>196.2372</v>
      </c>
      <c r="F126" s="114" t="n">
        <f aca="false">MIN(Inputs!$C$8,F125)</f>
        <v>218.662968</v>
      </c>
      <c r="G126" s="114" t="n">
        <f aca="false">MIN(Inputs!$C$8,G125)</f>
        <v>239.74318992</v>
      </c>
      <c r="H126" s="114" t="n">
        <f aca="false">MIN(Inputs!$C$8,H125)</f>
        <v>259.5585985248</v>
      </c>
      <c r="I126" s="114" t="n">
        <f aca="false">MIN(Inputs!$C$8,I125)</f>
        <v>278.185082613312</v>
      </c>
      <c r="J126" s="114" t="n">
        <f aca="false">MIN(Inputs!$C$8,J125)</f>
        <v>295.693977656513</v>
      </c>
      <c r="K126" s="114" t="n">
        <f aca="false">MIN(Inputs!$C$8,K125)</f>
        <v>312.152338997122</v>
      </c>
      <c r="L126" s="114" t="n">
        <f aca="false">MIN(Inputs!$C$8,L125)</f>
        <v>327.623198657295</v>
      </c>
      <c r="M126" s="114" t="n">
        <f aca="false">MIN(Inputs!$C$8,M125)</f>
        <v>342.165806737857</v>
      </c>
      <c r="N126" s="114" t="n">
        <f aca="false">MIN(Inputs!$C$8,N125)</f>
        <v>355.835858333586</v>
      </c>
      <c r="O126" s="114" t="n">
        <f aca="false">MIN(Inputs!$C$8,O125)</f>
        <v>371.145706833571</v>
      </c>
      <c r="P126" s="114" t="n">
        <f aca="false">MIN(Inputs!$C$8,P125)</f>
        <v>385.536964423556</v>
      </c>
      <c r="Q126" s="114" t="n">
        <f aca="false">MIN(Inputs!$C$8,Q125)</f>
        <v>399.064746558143</v>
      </c>
      <c r="R126" s="114" t="n">
        <f aca="false">MIN(Inputs!$C$8,R125)</f>
        <v>411.780861764654</v>
      </c>
      <c r="S126" s="114" t="n">
        <f aca="false">MIN(Inputs!$C$8,S125)</f>
        <v>423.734010058775</v>
      </c>
      <c r="T126" s="114" t="n">
        <f aca="false">MIN(Inputs!$C$8,T125)</f>
        <v>434.969969455249</v>
      </c>
      <c r="U126" s="114" t="n">
        <f aca="false">MIN(Inputs!$C$8,U125)</f>
        <v>445.531771287934</v>
      </c>
      <c r="V126" s="114" t="n">
        <f aca="false">MIN(Inputs!$C$8,V125)</f>
        <v>450</v>
      </c>
      <c r="W126" s="114" t="n">
        <f aca="false">MIN(Inputs!$C$8,W125)</f>
        <v>450</v>
      </c>
      <c r="X126" s="114" t="n">
        <f aca="false">MIN(Inputs!$C$8,X125)</f>
        <v>450</v>
      </c>
      <c r="Y126" s="114" t="n">
        <f aca="false">MIN(Inputs!$C$8,Y125)</f>
        <v>450</v>
      </c>
      <c r="Z126" s="114" t="n">
        <f aca="false">MIN(Inputs!$C$8,Z125)</f>
        <v>450</v>
      </c>
      <c r="AA126" s="114" t="n">
        <f aca="false">MIN(Inputs!$C$8,AA125)</f>
        <v>450</v>
      </c>
      <c r="AB126" s="114" t="n">
        <f aca="false">MIN(Inputs!$C$8,AB125)</f>
        <v>450</v>
      </c>
      <c r="AC126" s="114" t="n">
        <f aca="false">MIN(Inputs!$C$8,AC125)</f>
        <v>450</v>
      </c>
      <c r="AD126" s="114" t="n">
        <f aca="false">MIN(Inputs!$C$8,AD125)</f>
        <v>450</v>
      </c>
      <c r="AE126" s="114" t="n">
        <f aca="false">MIN(Inputs!$C$8,AE125)</f>
        <v>450</v>
      </c>
      <c r="AF126" s="114" t="n">
        <f aca="false">MIN(Inputs!$C$8,AF125)</f>
        <v>450</v>
      </c>
      <c r="AG126" s="114" t="n">
        <f aca="false">MIN(Inputs!$C$8,AG125)</f>
        <v>450</v>
      </c>
      <c r="AH126" s="114" t="n">
        <f aca="false">MIN(Inputs!$C$8,AH125)</f>
        <v>450</v>
      </c>
      <c r="AI126" s="114" t="n">
        <f aca="false">MIN(Inputs!$C$8,AI125)</f>
        <v>450</v>
      </c>
      <c r="AJ126" s="114" t="n">
        <f aca="false">MIN(Inputs!$C$8,AJ125)</f>
        <v>450</v>
      </c>
      <c r="AK126" s="114" t="n">
        <f aca="false">MIN(Inputs!$C$8,AK125)</f>
        <v>450</v>
      </c>
      <c r="AL126" s="114" t="n">
        <f aca="false">MIN(Inputs!$C$8,AL125)</f>
        <v>450</v>
      </c>
    </row>
    <row r="127" customFormat="false" ht="15" hidden="false" customHeight="false" outlineLevel="0" collapsed="false">
      <c r="A127" s="6" t="s">
        <v>232</v>
      </c>
      <c r="C127" s="113" t="n">
        <f aca="false">C125-C126</f>
        <v>0</v>
      </c>
      <c r="D127" s="113" t="n">
        <f aca="false">D125-D126</f>
        <v>0</v>
      </c>
      <c r="E127" s="113" t="n">
        <f aca="false">E125-E126</f>
        <v>0</v>
      </c>
      <c r="F127" s="113" t="n">
        <f aca="false">F125-F126</f>
        <v>0</v>
      </c>
      <c r="G127" s="113" t="n">
        <f aca="false">G125-G126</f>
        <v>0</v>
      </c>
      <c r="H127" s="113" t="n">
        <f aca="false">H125-H126</f>
        <v>0</v>
      </c>
      <c r="I127" s="113" t="n">
        <f aca="false">I125-I126</f>
        <v>0</v>
      </c>
      <c r="J127" s="113" t="n">
        <f aca="false">J125-J126</f>
        <v>0</v>
      </c>
      <c r="K127" s="113" t="n">
        <f aca="false">K125-K126</f>
        <v>0</v>
      </c>
      <c r="L127" s="113" t="n">
        <f aca="false">L125-L126</f>
        <v>0</v>
      </c>
      <c r="M127" s="113" t="n">
        <f aca="false">M125-M126</f>
        <v>0</v>
      </c>
      <c r="N127" s="113" t="n">
        <f aca="false">N125-N126</f>
        <v>0</v>
      </c>
      <c r="O127" s="113" t="n">
        <f aca="false">O125-O126</f>
        <v>0</v>
      </c>
      <c r="P127" s="113" t="n">
        <f aca="false">P125-P126</f>
        <v>0</v>
      </c>
      <c r="Q127" s="113" t="n">
        <f aca="false">Q125-Q126</f>
        <v>0</v>
      </c>
      <c r="R127" s="113" t="n">
        <f aca="false">R125-R126</f>
        <v>0</v>
      </c>
      <c r="S127" s="113" t="n">
        <f aca="false">S125-S126</f>
        <v>0</v>
      </c>
      <c r="T127" s="113" t="n">
        <f aca="false">T125-T126</f>
        <v>0</v>
      </c>
      <c r="U127" s="113" t="n">
        <f aca="false">U125-U126</f>
        <v>0</v>
      </c>
      <c r="V127" s="113" t="n">
        <f aca="false">V125-V126</f>
        <v>5.45986501065761</v>
      </c>
      <c r="W127" s="113" t="n">
        <f aca="false">W125-W126</f>
        <v>9.65999999999997</v>
      </c>
      <c r="X127" s="113" t="n">
        <f aca="false">X125-X126</f>
        <v>9.65999999999997</v>
      </c>
      <c r="Y127" s="113" t="n">
        <f aca="false">Y125-Y126</f>
        <v>9.65999999999997</v>
      </c>
      <c r="Z127" s="113" t="n">
        <f aca="false">Z125-Z126</f>
        <v>9.65999999999997</v>
      </c>
      <c r="AA127" s="113" t="n">
        <f aca="false">AA125-AA126</f>
        <v>12.318</v>
      </c>
      <c r="AB127" s="113" t="n">
        <f aca="false">AB125-AB126</f>
        <v>12.318</v>
      </c>
      <c r="AC127" s="113" t="n">
        <f aca="false">AC125-AC126</f>
        <v>12.318</v>
      </c>
      <c r="AD127" s="113" t="n">
        <f aca="false">AD125-AD126</f>
        <v>12.318</v>
      </c>
      <c r="AE127" s="113" t="n">
        <f aca="false">AE125-AE126</f>
        <v>12.318</v>
      </c>
      <c r="AF127" s="113" t="n">
        <f aca="false">AF125-AF126</f>
        <v>12.318</v>
      </c>
      <c r="AG127" s="113" t="n">
        <f aca="false">AG125-AG126</f>
        <v>12.318</v>
      </c>
      <c r="AH127" s="113" t="n">
        <f aca="false">AH125-AH126</f>
        <v>12.318</v>
      </c>
      <c r="AI127" s="113" t="n">
        <f aca="false">AI125-AI126</f>
        <v>12.318</v>
      </c>
      <c r="AJ127" s="113" t="n">
        <f aca="false">AJ125-AJ126</f>
        <v>12.318</v>
      </c>
      <c r="AK127" s="113" t="n">
        <f aca="false">AK125-AK126</f>
        <v>12.318</v>
      </c>
      <c r="AL127" s="113" t="n">
        <f aca="false">AL125-AL126</f>
        <v>12.318</v>
      </c>
    </row>
    <row r="128" customFormat="false" ht="15" hidden="false" customHeight="false" outlineLevel="0" collapsed="false">
      <c r="A128" s="6" t="s">
        <v>379</v>
      </c>
      <c r="C128" s="113" t="n">
        <f aca="false">(C123+C126)/2</f>
        <v>133.5</v>
      </c>
      <c r="D128" s="113" t="n">
        <f aca="false">(D123+D126)/2</f>
        <v>159.69</v>
      </c>
      <c r="E128" s="113" t="n">
        <f aca="false">(E123+E126)/2</f>
        <v>184.3086</v>
      </c>
      <c r="F128" s="113" t="n">
        <f aca="false">(F123+F126)/2</f>
        <v>207.450084</v>
      </c>
      <c r="G128" s="113" t="n">
        <f aca="false">(G123+G126)/2</f>
        <v>229.20307896</v>
      </c>
      <c r="H128" s="113" t="n">
        <f aca="false">(H123+H126)/2</f>
        <v>249.6508942224</v>
      </c>
      <c r="I128" s="113" t="n">
        <f aca="false">(I123+I126)/2</f>
        <v>268.871840569056</v>
      </c>
      <c r="J128" s="113" t="n">
        <f aca="false">(J123+J126)/2</f>
        <v>286.939530134913</v>
      </c>
      <c r="K128" s="113" t="n">
        <f aca="false">(K123+K126)/2</f>
        <v>303.923158326818</v>
      </c>
      <c r="L128" s="113" t="n">
        <f aca="false">(L123+L126)/2</f>
        <v>319.887768827209</v>
      </c>
      <c r="M128" s="113" t="n">
        <f aca="false">(M123+M126)/2</f>
        <v>334.894502697576</v>
      </c>
      <c r="N128" s="113" t="n">
        <f aca="false">(N123+N126)/2</f>
        <v>349.000832535722</v>
      </c>
      <c r="O128" s="113" t="n">
        <f aca="false">(O123+O126)/2</f>
        <v>363.490782583578</v>
      </c>
      <c r="P128" s="113" t="n">
        <f aca="false">(P123+P126)/2</f>
        <v>378.341335628564</v>
      </c>
      <c r="Q128" s="113" t="n">
        <f aca="false">(Q123+Q126)/2</f>
        <v>392.30085549085</v>
      </c>
      <c r="R128" s="113" t="n">
        <f aca="false">(R123+R126)/2</f>
        <v>405.422804161399</v>
      </c>
      <c r="S128" s="113" t="n">
        <f aca="false">(S123+S126)/2</f>
        <v>417.757435911715</v>
      </c>
      <c r="T128" s="113" t="n">
        <f aca="false">(T123+T126)/2</f>
        <v>429.351989757012</v>
      </c>
      <c r="U128" s="113" t="n">
        <f aca="false">(U123+U126)/2</f>
        <v>440.250870371591</v>
      </c>
      <c r="V128" s="113" t="n">
        <f aca="false">(V123+V126)/2</f>
        <v>447.765885643967</v>
      </c>
      <c r="W128" s="113" t="n">
        <f aca="false">(W123+W126)/2</f>
        <v>450</v>
      </c>
      <c r="X128" s="113" t="n">
        <f aca="false">(X123+X126)/2</f>
        <v>450</v>
      </c>
      <c r="Y128" s="113" t="n">
        <f aca="false">(Y123+Y126)/2</f>
        <v>450</v>
      </c>
      <c r="Z128" s="113" t="n">
        <f aca="false">(Z123+Z126)/2</f>
        <v>450</v>
      </c>
      <c r="AA128" s="113" t="n">
        <f aca="false">(AA123+AA126)/2</f>
        <v>450</v>
      </c>
      <c r="AB128" s="113" t="n">
        <f aca="false">(AB123+AB126)/2</f>
        <v>450</v>
      </c>
      <c r="AC128" s="113" t="n">
        <f aca="false">(AC123+AC126)/2</f>
        <v>450</v>
      </c>
      <c r="AD128" s="113" t="n">
        <f aca="false">(AD123+AD126)/2</f>
        <v>450</v>
      </c>
      <c r="AE128" s="113" t="n">
        <f aca="false">(AE123+AE126)/2</f>
        <v>450</v>
      </c>
      <c r="AF128" s="113" t="n">
        <f aca="false">(AF123+AF126)/2</f>
        <v>450</v>
      </c>
      <c r="AG128" s="113" t="n">
        <f aca="false">(AG123+AG126)/2</f>
        <v>450</v>
      </c>
      <c r="AH128" s="113" t="n">
        <f aca="false">(AH123+AH126)/2</f>
        <v>450</v>
      </c>
      <c r="AI128" s="113" t="n">
        <f aca="false">(AI123+AI126)/2</f>
        <v>450</v>
      </c>
      <c r="AJ128" s="113" t="n">
        <f aca="false">(AJ123+AJ126)/2</f>
        <v>450</v>
      </c>
      <c r="AK128" s="113" t="n">
        <f aca="false">(AK123+AK126)/2</f>
        <v>450</v>
      </c>
      <c r="AL128" s="113" t="n">
        <f aca="false">(AL123+AL126)/2</f>
        <v>450</v>
      </c>
    </row>
    <row r="130" customFormat="false" ht="15.75" hidden="false" customHeight="true" outlineLevel="0" collapsed="false">
      <c r="A130" s="7" t="s">
        <v>44</v>
      </c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</row>
    <row r="131" customFormat="false" ht="15" hidden="false" customHeight="false" outlineLevel="0" collapsed="false">
      <c r="A131" s="6" t="s">
        <v>380</v>
      </c>
      <c r="C131" s="117" t="n">
        <f aca="false">Inputs!$C$18*(1+Inputs!$C$19)^(C$117-1)</f>
        <v>99</v>
      </c>
      <c r="D131" s="117" t="n">
        <f aca="false">Inputs!$C$18*(1+Inputs!$C$19)^(D$117-1)</f>
        <v>99</v>
      </c>
      <c r="E131" s="117" t="n">
        <f aca="false">Inputs!$C$18*(1+Inputs!$C$19)^(E$117-1)</f>
        <v>99</v>
      </c>
      <c r="F131" s="117" t="n">
        <f aca="false">Inputs!$C$18*(1+Inputs!$C$19)^(F$117-1)</f>
        <v>99</v>
      </c>
      <c r="G131" s="117" t="n">
        <f aca="false">Inputs!$C$18*(1+Inputs!$C$19)^(G$117-1)</f>
        <v>99</v>
      </c>
      <c r="H131" s="117" t="n">
        <f aca="false">Inputs!$C$18*(1+Inputs!$C$19)^(H$117-1)</f>
        <v>99</v>
      </c>
      <c r="I131" s="117" t="n">
        <f aca="false">Inputs!$C$18*(1+Inputs!$C$19)^(I$117-1)</f>
        <v>99</v>
      </c>
      <c r="J131" s="117" t="n">
        <f aca="false">Inputs!$C$18*(1+Inputs!$C$19)^(J$117-1)</f>
        <v>99</v>
      </c>
      <c r="K131" s="117" t="n">
        <f aca="false">Inputs!$C$18*(1+Inputs!$C$19)^(K$117-1)</f>
        <v>99</v>
      </c>
      <c r="L131" s="117" t="n">
        <f aca="false">Inputs!$C$18*(1+Inputs!$C$19)^(L$117-1)</f>
        <v>99</v>
      </c>
      <c r="M131" s="117" t="n">
        <f aca="false">Inputs!$C$18*(1+Inputs!$C$19)^(M$117-1)</f>
        <v>99</v>
      </c>
      <c r="N131" s="117" t="n">
        <f aca="false">Inputs!$C$18*(1+Inputs!$C$19)^(N$117-1)</f>
        <v>99</v>
      </c>
      <c r="O131" s="117" t="n">
        <f aca="false">Inputs!$C$18*(1+Inputs!$C$19)^(O$117-1)</f>
        <v>101.97</v>
      </c>
      <c r="P131" s="117" t="n">
        <f aca="false">Inputs!$C$18*(1+Inputs!$C$19)^(P$117-1)</f>
        <v>101.97</v>
      </c>
      <c r="Q131" s="117" t="n">
        <f aca="false">Inputs!$C$18*(1+Inputs!$C$19)^(Q$117-1)</f>
        <v>101.97</v>
      </c>
      <c r="R131" s="117" t="n">
        <f aca="false">Inputs!$C$18*(1+Inputs!$C$19)^(R$117-1)</f>
        <v>101.97</v>
      </c>
      <c r="S131" s="117" t="n">
        <f aca="false">Inputs!$C$18*(1+Inputs!$C$19)^(S$117-1)</f>
        <v>101.97</v>
      </c>
      <c r="T131" s="117" t="n">
        <f aca="false">Inputs!$C$18*(1+Inputs!$C$19)^(T$117-1)</f>
        <v>101.97</v>
      </c>
      <c r="U131" s="117" t="n">
        <f aca="false">Inputs!$C$18*(1+Inputs!$C$19)^(U$117-1)</f>
        <v>101.97</v>
      </c>
      <c r="V131" s="117" t="n">
        <f aca="false">Inputs!$C$18*(1+Inputs!$C$19)^(V$117-1)</f>
        <v>101.97</v>
      </c>
      <c r="W131" s="117" t="n">
        <f aca="false">Inputs!$C$18*(1+Inputs!$C$19)^(W$117-1)</f>
        <v>101.97</v>
      </c>
      <c r="X131" s="117" t="n">
        <f aca="false">Inputs!$C$18*(1+Inputs!$C$19)^(X$117-1)</f>
        <v>101.97</v>
      </c>
      <c r="Y131" s="117" t="n">
        <f aca="false">Inputs!$C$18*(1+Inputs!$C$19)^(Y$117-1)</f>
        <v>101.97</v>
      </c>
      <c r="Z131" s="117" t="n">
        <f aca="false">Inputs!$C$18*(1+Inputs!$C$19)^(Z$117-1)</f>
        <v>101.97</v>
      </c>
      <c r="AA131" s="117" t="n">
        <f aca="false">Inputs!$C$18*(1+Inputs!$C$19)^(AA$117-1)</f>
        <v>105.0291</v>
      </c>
      <c r="AB131" s="117" t="n">
        <f aca="false">Inputs!$C$18*(1+Inputs!$C$19)^(AB$117-1)</f>
        <v>105.0291</v>
      </c>
      <c r="AC131" s="117" t="n">
        <f aca="false">Inputs!$C$18*(1+Inputs!$C$19)^(AC$117-1)</f>
        <v>105.0291</v>
      </c>
      <c r="AD131" s="117" t="n">
        <f aca="false">Inputs!$C$18*(1+Inputs!$C$19)^(AD$117-1)</f>
        <v>105.0291</v>
      </c>
      <c r="AE131" s="117" t="n">
        <f aca="false">Inputs!$C$18*(1+Inputs!$C$19)^(AE$117-1)</f>
        <v>105.0291</v>
      </c>
      <c r="AF131" s="117" t="n">
        <f aca="false">Inputs!$C$18*(1+Inputs!$C$19)^(AF$117-1)</f>
        <v>105.0291</v>
      </c>
      <c r="AG131" s="117" t="n">
        <f aca="false">Inputs!$C$18*(1+Inputs!$C$19)^(AG$117-1)</f>
        <v>105.0291</v>
      </c>
      <c r="AH131" s="117" t="n">
        <f aca="false">Inputs!$C$18*(1+Inputs!$C$19)^(AH$117-1)</f>
        <v>105.0291</v>
      </c>
      <c r="AI131" s="117" t="n">
        <f aca="false">Inputs!$C$18*(1+Inputs!$C$19)^(AI$117-1)</f>
        <v>105.0291</v>
      </c>
      <c r="AJ131" s="117" t="n">
        <f aca="false">Inputs!$C$18*(1+Inputs!$C$19)^(AJ$117-1)</f>
        <v>105.0291</v>
      </c>
      <c r="AK131" s="117" t="n">
        <f aca="false">Inputs!$C$18*(1+Inputs!$C$19)^(AK$117-1)</f>
        <v>105.0291</v>
      </c>
      <c r="AL131" s="117" t="n">
        <f aca="false">Inputs!$C$18*(1+Inputs!$C$19)^(AL$117-1)</f>
        <v>105.0291</v>
      </c>
    </row>
    <row r="132" customFormat="false" ht="15" hidden="false" customHeight="false" outlineLevel="0" collapsed="false">
      <c r="A132" s="6" t="s">
        <v>236</v>
      </c>
      <c r="C132" s="66" t="n">
        <f aca="false">C128*C131*1</f>
        <v>13216.5</v>
      </c>
      <c r="D132" s="66" t="n">
        <f aca="false">D128*D131*1</f>
        <v>15809.31</v>
      </c>
      <c r="E132" s="66" t="n">
        <f aca="false">E128*E131*1</f>
        <v>18246.5514</v>
      </c>
      <c r="F132" s="66" t="n">
        <f aca="false">F128*F131*1</f>
        <v>20537.558316</v>
      </c>
      <c r="G132" s="66" t="n">
        <f aca="false">G128*G131*1</f>
        <v>22691.10481704</v>
      </c>
      <c r="H132" s="66" t="n">
        <f aca="false">H128*H131*1</f>
        <v>24715.4385280176</v>
      </c>
      <c r="I132" s="66" t="n">
        <f aca="false">I128*I131*1</f>
        <v>26618.3122163365</v>
      </c>
      <c r="J132" s="66" t="n">
        <f aca="false">J128*J131*1</f>
        <v>28407.0134833563</v>
      </c>
      <c r="K132" s="66" t="n">
        <f aca="false">K128*K131*1</f>
        <v>30088.392674355</v>
      </c>
      <c r="L132" s="66" t="n">
        <f aca="false">L128*L131*1</f>
        <v>31668.8891138937</v>
      </c>
      <c r="M132" s="66" t="n">
        <f aca="false">M128*M131*1</f>
        <v>33154.55576706</v>
      </c>
      <c r="N132" s="66" t="n">
        <f aca="false">N128*N131*1</f>
        <v>34551.0824210364</v>
      </c>
      <c r="O132" s="66" t="n">
        <f aca="false">O128*O131*1</f>
        <v>37065.1551000475</v>
      </c>
      <c r="P132" s="66" t="n">
        <f aca="false">P128*P131*1</f>
        <v>38579.4659940446</v>
      </c>
      <c r="Q132" s="66" t="n">
        <f aca="false">Q128*Q131*1</f>
        <v>40002.9182344019</v>
      </c>
      <c r="R132" s="66" t="n">
        <f aca="false">R128*R131*1</f>
        <v>41340.9633403378</v>
      </c>
      <c r="S132" s="66" t="n">
        <f aca="false">S128*S131*1</f>
        <v>42598.7257399176</v>
      </c>
      <c r="T132" s="66" t="n">
        <f aca="false">T128*T131*1</f>
        <v>43781.0223955225</v>
      </c>
      <c r="U132" s="66" t="n">
        <f aca="false">U128*U131*1</f>
        <v>44892.3812517912</v>
      </c>
      <c r="V132" s="66" t="n">
        <f aca="false">V128*V131*1</f>
        <v>45658.6873591153</v>
      </c>
      <c r="W132" s="66" t="n">
        <f aca="false">W128*W131*1</f>
        <v>45886.5</v>
      </c>
      <c r="X132" s="66" t="n">
        <f aca="false">X128*X131*1</f>
        <v>45886.5</v>
      </c>
      <c r="Y132" s="66" t="n">
        <f aca="false">Y128*Y131*1</f>
        <v>45886.5</v>
      </c>
      <c r="Z132" s="66" t="n">
        <f aca="false">Z128*Z131*1</f>
        <v>45886.5</v>
      </c>
      <c r="AA132" s="66" t="n">
        <f aca="false">AA128*AA131*1</f>
        <v>47263.095</v>
      </c>
      <c r="AB132" s="66" t="n">
        <f aca="false">AB128*AB131*1</f>
        <v>47263.095</v>
      </c>
      <c r="AC132" s="66" t="n">
        <f aca="false">AC128*AC131*1</f>
        <v>47263.095</v>
      </c>
      <c r="AD132" s="66" t="n">
        <f aca="false">AD128*AD131*1</f>
        <v>47263.095</v>
      </c>
      <c r="AE132" s="66" t="n">
        <f aca="false">AE128*AE131*1</f>
        <v>47263.095</v>
      </c>
      <c r="AF132" s="66" t="n">
        <f aca="false">AF128*AF131*1</f>
        <v>47263.095</v>
      </c>
      <c r="AG132" s="66" t="n">
        <f aca="false">AG128*AG131*1</f>
        <v>47263.095</v>
      </c>
      <c r="AH132" s="66" t="n">
        <f aca="false">AH128*AH131*1</f>
        <v>47263.095</v>
      </c>
      <c r="AI132" s="66" t="n">
        <f aca="false">AI128*AI131*1</f>
        <v>47263.095</v>
      </c>
      <c r="AJ132" s="66" t="n">
        <f aca="false">AJ128*AJ131*1</f>
        <v>47263.095</v>
      </c>
      <c r="AK132" s="66" t="n">
        <f aca="false">AK128*AK131*1</f>
        <v>47263.095</v>
      </c>
      <c r="AL132" s="66" t="n">
        <f aca="false">AL128*AL131*1</f>
        <v>47263.095</v>
      </c>
    </row>
    <row r="133" customFormat="false" ht="15" hidden="false" customHeight="false" outlineLevel="0" collapsed="false">
      <c r="A133" s="6" t="s">
        <v>381</v>
      </c>
      <c r="C133" s="66" t="n">
        <f aca="false">(C122-C127)*Inputs!$C$20*(1+Inputs!$C$19)^(C$117-1)</f>
        <v>1675.8</v>
      </c>
      <c r="D133" s="66" t="n">
        <f aca="false">(D122-D127)*Inputs!$C$20*(1+Inputs!$C$19)^(D$117-1)</f>
        <v>1675.8</v>
      </c>
      <c r="E133" s="66" t="n">
        <f aca="false">(E122-E127)*Inputs!$C$20*(1+Inputs!$C$19)^(E$117-1)</f>
        <v>1675.8</v>
      </c>
      <c r="F133" s="66" t="n">
        <f aca="false">(F122-F127)*Inputs!$C$20*(1+Inputs!$C$19)^(F$117-1)</f>
        <v>1675.8</v>
      </c>
      <c r="G133" s="66" t="n">
        <f aca="false">(G122-G127)*Inputs!$C$20*(1+Inputs!$C$19)^(G$117-1)</f>
        <v>1675.8</v>
      </c>
      <c r="H133" s="66" t="n">
        <f aca="false">(H122-H127)*Inputs!$C$20*(1+Inputs!$C$19)^(H$117-1)</f>
        <v>1675.8</v>
      </c>
      <c r="I133" s="66" t="n">
        <f aca="false">(I122-I127)*Inputs!$C$20*(1+Inputs!$C$19)^(I$117-1)</f>
        <v>1675.8</v>
      </c>
      <c r="J133" s="66" t="n">
        <f aca="false">(J122-J127)*Inputs!$C$20*(1+Inputs!$C$19)^(J$117-1)</f>
        <v>1675.8</v>
      </c>
      <c r="K133" s="66" t="n">
        <f aca="false">(K122-K127)*Inputs!$C$20*(1+Inputs!$C$19)^(K$117-1)</f>
        <v>1675.8</v>
      </c>
      <c r="L133" s="66" t="n">
        <f aca="false">(L122-L127)*Inputs!$C$20*(1+Inputs!$C$19)^(L$117-1)</f>
        <v>1675.8</v>
      </c>
      <c r="M133" s="66" t="n">
        <f aca="false">(M122-M127)*Inputs!$C$20*(1+Inputs!$C$19)^(M$117-1)</f>
        <v>1675.8</v>
      </c>
      <c r="N133" s="66" t="n">
        <f aca="false">(N122-N127)*Inputs!$C$20*(1+Inputs!$C$19)^(N$117-1)</f>
        <v>1675.8</v>
      </c>
      <c r="O133" s="66" t="n">
        <f aca="false">(O122-O127)*Inputs!$C$20*(1+Inputs!$C$19)^(O$117-1)</f>
        <v>1850.2302</v>
      </c>
      <c r="P133" s="66" t="n">
        <f aca="false">(P122-P127)*Inputs!$C$20*(1+Inputs!$C$19)^(P$117-1)</f>
        <v>1850.2302</v>
      </c>
      <c r="Q133" s="66" t="n">
        <f aca="false">(Q122-Q127)*Inputs!$C$20*(1+Inputs!$C$19)^(Q$117-1)</f>
        <v>1850.2302</v>
      </c>
      <c r="R133" s="66" t="n">
        <f aca="false">(R122-R127)*Inputs!$C$20*(1+Inputs!$C$19)^(R$117-1)</f>
        <v>1850.2302</v>
      </c>
      <c r="S133" s="66" t="n">
        <f aca="false">(S122-S127)*Inputs!$C$20*(1+Inputs!$C$19)^(S$117-1)</f>
        <v>1850.2302</v>
      </c>
      <c r="T133" s="66" t="n">
        <f aca="false">(T122-T127)*Inputs!$C$20*(1+Inputs!$C$19)^(T$117-1)</f>
        <v>1850.2302</v>
      </c>
      <c r="U133" s="66" t="n">
        <f aca="false">(U122-U127)*Inputs!$C$20*(1+Inputs!$C$19)^(U$117-1)</f>
        <v>1850.2302</v>
      </c>
      <c r="V133" s="66" t="n">
        <f aca="false">(V122-V127)*Inputs!$C$20*(1+Inputs!$C$19)^(V$117-1)</f>
        <v>1574.67081291211</v>
      </c>
      <c r="W133" s="66" t="n">
        <f aca="false">(W122-W127)*Inputs!$C$20*(1+Inputs!$C$19)^(W$117-1)</f>
        <v>1362.69</v>
      </c>
      <c r="X133" s="66" t="n">
        <f aca="false">(X122-X127)*Inputs!$C$20*(1+Inputs!$C$19)^(X$117-1)</f>
        <v>1362.69</v>
      </c>
      <c r="Y133" s="66" t="n">
        <f aca="false">(Y122-Y127)*Inputs!$C$20*(1+Inputs!$C$19)^(Y$117-1)</f>
        <v>1362.69</v>
      </c>
      <c r="Z133" s="66" t="n">
        <f aca="false">(Z122-Z127)*Inputs!$C$20*(1+Inputs!$C$19)^(Z$117-1)</f>
        <v>1362.69</v>
      </c>
      <c r="AA133" s="66" t="n">
        <f aca="false">(AA122-AA127)*Inputs!$C$20*(1+Inputs!$C$19)^(AA$117-1)</f>
        <v>1403.5707</v>
      </c>
      <c r="AB133" s="66" t="n">
        <f aca="false">(AB122-AB127)*Inputs!$C$20*(1+Inputs!$C$19)^(AB$117-1)</f>
        <v>1403.5707</v>
      </c>
      <c r="AC133" s="66" t="n">
        <f aca="false">(AC122-AC127)*Inputs!$C$20*(1+Inputs!$C$19)^(AC$117-1)</f>
        <v>1403.5707</v>
      </c>
      <c r="AD133" s="66" t="n">
        <f aca="false">(AD122-AD127)*Inputs!$C$20*(1+Inputs!$C$19)^(AD$117-1)</f>
        <v>1403.5707</v>
      </c>
      <c r="AE133" s="66" t="n">
        <f aca="false">(AE122-AE127)*Inputs!$C$20*(1+Inputs!$C$19)^(AE$117-1)</f>
        <v>1403.5707</v>
      </c>
      <c r="AF133" s="66" t="n">
        <f aca="false">(AF122-AF127)*Inputs!$C$20*(1+Inputs!$C$19)^(AF$117-1)</f>
        <v>1403.5707</v>
      </c>
      <c r="AG133" s="66" t="n">
        <f aca="false">(AG122-AG127)*Inputs!$C$20*(1+Inputs!$C$19)^(AG$117-1)</f>
        <v>1403.5707</v>
      </c>
      <c r="AH133" s="66" t="n">
        <f aca="false">(AH122-AH127)*Inputs!$C$20*(1+Inputs!$C$19)^(AH$117-1)</f>
        <v>1403.5707</v>
      </c>
      <c r="AI133" s="66" t="n">
        <f aca="false">(AI122-AI127)*Inputs!$C$20*(1+Inputs!$C$19)^(AI$117-1)</f>
        <v>1403.5707</v>
      </c>
      <c r="AJ133" s="66" t="n">
        <f aca="false">(AJ122-AJ127)*Inputs!$C$20*(1+Inputs!$C$19)^(AJ$117-1)</f>
        <v>1403.5707</v>
      </c>
      <c r="AK133" s="66" t="n">
        <f aca="false">(AK122-AK127)*Inputs!$C$20*(1+Inputs!$C$19)^(AK$117-1)</f>
        <v>1403.5707</v>
      </c>
      <c r="AL133" s="66" t="n">
        <f aca="false">(AL122-AL127)*Inputs!$C$20*(1+Inputs!$C$19)^(AL$117-1)</f>
        <v>1403.5707</v>
      </c>
    </row>
    <row r="134" customFormat="false" ht="15" hidden="false" customHeight="false" outlineLevel="0" collapsed="false">
      <c r="A134" s="6" t="s">
        <v>382</v>
      </c>
      <c r="C134" s="66" t="n">
        <f aca="false">C128*Inputs!$C$23*Inputs!$C$24*Inputs!$C$25*(1+Inputs!$C$19)^(C$117-1)*1</f>
        <v>2563.2</v>
      </c>
      <c r="D134" s="66" t="n">
        <f aca="false">D128*Inputs!$C$23*Inputs!$C$24*Inputs!$C$25*(1+Inputs!$C$19)^(D$117-1)*1</f>
        <v>3066.048</v>
      </c>
      <c r="E134" s="66" t="n">
        <f aca="false">E128*Inputs!$C$23*Inputs!$C$24*Inputs!$C$25*(1+Inputs!$C$19)^(E$117-1)*1</f>
        <v>3538.72512</v>
      </c>
      <c r="F134" s="66" t="n">
        <f aca="false">F128*Inputs!$C$23*Inputs!$C$24*Inputs!$C$25*(1+Inputs!$C$19)^(F$117-1)*1</f>
        <v>3983.0416128</v>
      </c>
      <c r="G134" s="66" t="n">
        <f aca="false">G128*Inputs!$C$23*Inputs!$C$24*Inputs!$C$25*(1+Inputs!$C$19)^(G$117-1)*1</f>
        <v>4400.699116032</v>
      </c>
      <c r="H134" s="66" t="n">
        <f aca="false">H128*Inputs!$C$23*Inputs!$C$24*Inputs!$C$25*(1+Inputs!$C$19)^(H$117-1)*1</f>
        <v>4793.29716907008</v>
      </c>
      <c r="I134" s="66" t="n">
        <f aca="false">I128*Inputs!$C$23*Inputs!$C$24*Inputs!$C$25*(1+Inputs!$C$19)^(I$117-1)*1</f>
        <v>5162.33933892587</v>
      </c>
      <c r="J134" s="66" t="n">
        <f aca="false">J128*Inputs!$C$23*Inputs!$C$24*Inputs!$C$25*(1+Inputs!$C$19)^(J$117-1)*1</f>
        <v>5509.23897859032</v>
      </c>
      <c r="K134" s="66" t="n">
        <f aca="false">K128*Inputs!$C$23*Inputs!$C$24*Inputs!$C$25*(1+Inputs!$C$19)^(K$117-1)*1</f>
        <v>5835.3246398749</v>
      </c>
      <c r="L134" s="66" t="n">
        <f aca="false">L128*Inputs!$C$23*Inputs!$C$24*Inputs!$C$25*(1+Inputs!$C$19)^(L$117-1)*1</f>
        <v>6141.84516148241</v>
      </c>
      <c r="M134" s="66" t="n">
        <f aca="false">M128*Inputs!$C$23*Inputs!$C$24*Inputs!$C$25*(1+Inputs!$C$19)^(M$117-1)*1</f>
        <v>6429.97445179346</v>
      </c>
      <c r="N134" s="66" t="n">
        <f aca="false">N128*Inputs!$C$23*Inputs!$C$24*Inputs!$C$25*(1+Inputs!$C$19)^(N$117-1)*1</f>
        <v>6700.81598468585</v>
      </c>
      <c r="O134" s="66" t="n">
        <f aca="false">O128*Inputs!$C$23*Inputs!$C$24*Inputs!$C$25*(1+Inputs!$C$19)^(O$117-1)*1</f>
        <v>7188.39371637284</v>
      </c>
      <c r="P134" s="66" t="n">
        <f aca="false">P128*Inputs!$C$23*Inputs!$C$24*Inputs!$C$25*(1+Inputs!$C$19)^(P$117-1)*1</f>
        <v>7482.07825339047</v>
      </c>
      <c r="Q134" s="66" t="n">
        <f aca="false">Q128*Inputs!$C$23*Inputs!$C$24*Inputs!$C$25*(1+Inputs!$C$19)^(Q$117-1)*1</f>
        <v>7758.14171818704</v>
      </c>
      <c r="R134" s="66" t="n">
        <f aca="false">R128*Inputs!$C$23*Inputs!$C$24*Inputs!$C$25*(1+Inputs!$C$19)^(R$117-1)*1</f>
        <v>8017.64137509582</v>
      </c>
      <c r="S134" s="66" t="n">
        <f aca="false">S128*Inputs!$C$23*Inputs!$C$24*Inputs!$C$25*(1+Inputs!$C$19)^(S$117-1)*1</f>
        <v>8261.57105259007</v>
      </c>
      <c r="T134" s="66" t="n">
        <f aca="false">T128*Inputs!$C$23*Inputs!$C$24*Inputs!$C$25*(1+Inputs!$C$19)^(T$117-1)*1</f>
        <v>8490.86494943467</v>
      </c>
      <c r="U134" s="66" t="n">
        <f aca="false">U128*Inputs!$C$23*Inputs!$C$24*Inputs!$C$25*(1+Inputs!$C$19)^(U$117-1)*1</f>
        <v>8706.40121246859</v>
      </c>
      <c r="V134" s="66" t="n">
        <f aca="false">V128*Inputs!$C$23*Inputs!$C$24*Inputs!$C$25*(1+Inputs!$C$19)^(V$117-1)*1</f>
        <v>8855.01815449509</v>
      </c>
      <c r="W134" s="66" t="n">
        <f aca="false">W128*Inputs!$C$23*Inputs!$C$24*Inputs!$C$25*(1+Inputs!$C$19)^(W$117-1)*1</f>
        <v>8899.2</v>
      </c>
      <c r="X134" s="66" t="n">
        <f aca="false">X128*Inputs!$C$23*Inputs!$C$24*Inputs!$C$25*(1+Inputs!$C$19)^(X$117-1)*1</f>
        <v>8899.2</v>
      </c>
      <c r="Y134" s="66" t="n">
        <f aca="false">Y128*Inputs!$C$23*Inputs!$C$24*Inputs!$C$25*(1+Inputs!$C$19)^(Y$117-1)*1</f>
        <v>8899.2</v>
      </c>
      <c r="Z134" s="66" t="n">
        <f aca="false">Z128*Inputs!$C$23*Inputs!$C$24*Inputs!$C$25*(1+Inputs!$C$19)^(Z$117-1)*1</f>
        <v>8899.2</v>
      </c>
      <c r="AA134" s="66" t="n">
        <f aca="false">AA128*Inputs!$C$23*Inputs!$C$24*Inputs!$C$25*(1+Inputs!$C$19)^(AA$117-1)*1</f>
        <v>9166.176</v>
      </c>
      <c r="AB134" s="66" t="n">
        <f aca="false">AB128*Inputs!$C$23*Inputs!$C$24*Inputs!$C$25*(1+Inputs!$C$19)^(AB$117-1)*1</f>
        <v>9166.176</v>
      </c>
      <c r="AC134" s="66" t="n">
        <f aca="false">AC128*Inputs!$C$23*Inputs!$C$24*Inputs!$C$25*(1+Inputs!$C$19)^(AC$117-1)*1</f>
        <v>9166.176</v>
      </c>
      <c r="AD134" s="66" t="n">
        <f aca="false">AD128*Inputs!$C$23*Inputs!$C$24*Inputs!$C$25*(1+Inputs!$C$19)^(AD$117-1)*1</f>
        <v>9166.176</v>
      </c>
      <c r="AE134" s="66" t="n">
        <f aca="false">AE128*Inputs!$C$23*Inputs!$C$24*Inputs!$C$25*(1+Inputs!$C$19)^(AE$117-1)*1</f>
        <v>9166.176</v>
      </c>
      <c r="AF134" s="66" t="n">
        <f aca="false">AF128*Inputs!$C$23*Inputs!$C$24*Inputs!$C$25*(1+Inputs!$C$19)^(AF$117-1)*1</f>
        <v>9166.176</v>
      </c>
      <c r="AG134" s="66" t="n">
        <f aca="false">AG128*Inputs!$C$23*Inputs!$C$24*Inputs!$C$25*(1+Inputs!$C$19)^(AG$117-1)*1</f>
        <v>9166.176</v>
      </c>
      <c r="AH134" s="66" t="n">
        <f aca="false">AH128*Inputs!$C$23*Inputs!$C$24*Inputs!$C$25*(1+Inputs!$C$19)^(AH$117-1)*1</f>
        <v>9166.176</v>
      </c>
      <c r="AI134" s="66" t="n">
        <f aca="false">AI128*Inputs!$C$23*Inputs!$C$24*Inputs!$C$25*(1+Inputs!$C$19)^(AI$117-1)*1</f>
        <v>9166.176</v>
      </c>
      <c r="AJ134" s="66" t="n">
        <f aca="false">AJ128*Inputs!$C$23*Inputs!$C$24*Inputs!$C$25*(1+Inputs!$C$19)^(AJ$117-1)*1</f>
        <v>9166.176</v>
      </c>
      <c r="AK134" s="66" t="n">
        <f aca="false">AK128*Inputs!$C$23*Inputs!$C$24*Inputs!$C$25*(1+Inputs!$C$19)^(AK$117-1)*1</f>
        <v>9166.176</v>
      </c>
      <c r="AL134" s="66" t="n">
        <f aca="false">AL128*Inputs!$C$23*Inputs!$C$24*Inputs!$C$25*(1+Inputs!$C$19)^(AL$117-1)*1</f>
        <v>9166.176</v>
      </c>
    </row>
    <row r="135" customFormat="false" ht="15" hidden="false" customHeight="false" outlineLevel="0" collapsed="false">
      <c r="A135" s="6" t="s">
        <v>383</v>
      </c>
      <c r="C135" s="66" t="n">
        <f aca="false">C128*Inputs!$C$27*(1+Inputs!$C$19)^(C$117-1)*1</f>
        <v>667.5</v>
      </c>
      <c r="D135" s="66" t="n">
        <f aca="false">D128*Inputs!$C$27*(1+Inputs!$C$19)^(D$117-1)*1</f>
        <v>798.45</v>
      </c>
      <c r="E135" s="66" t="n">
        <f aca="false">E128*Inputs!$C$27*(1+Inputs!$C$19)^(E$117-1)*1</f>
        <v>921.543</v>
      </c>
      <c r="F135" s="66" t="n">
        <f aca="false">F128*Inputs!$C$27*(1+Inputs!$C$19)^(F$117-1)*1</f>
        <v>1037.25042</v>
      </c>
      <c r="G135" s="66" t="n">
        <f aca="false">G128*Inputs!$C$27*(1+Inputs!$C$19)^(G$117-1)*1</f>
        <v>1146.0153948</v>
      </c>
      <c r="H135" s="66" t="n">
        <f aca="false">H128*Inputs!$C$27*(1+Inputs!$C$19)^(H$117-1)*1</f>
        <v>1248.254471112</v>
      </c>
      <c r="I135" s="66" t="n">
        <f aca="false">I128*Inputs!$C$27*(1+Inputs!$C$19)^(I$117-1)*1</f>
        <v>1344.35920284528</v>
      </c>
      <c r="J135" s="66" t="n">
        <f aca="false">J128*Inputs!$C$27*(1+Inputs!$C$19)^(J$117-1)*1</f>
        <v>1434.69765067456</v>
      </c>
      <c r="K135" s="66" t="n">
        <f aca="false">K128*Inputs!$C$27*(1+Inputs!$C$19)^(K$117-1)*1</f>
        <v>1519.61579163409</v>
      </c>
      <c r="L135" s="66" t="n">
        <f aca="false">L128*Inputs!$C$27*(1+Inputs!$C$19)^(L$117-1)*1</f>
        <v>1599.43884413604</v>
      </c>
      <c r="M135" s="66" t="n">
        <f aca="false">M128*Inputs!$C$27*(1+Inputs!$C$19)^(M$117-1)*1</f>
        <v>1674.47251348788</v>
      </c>
      <c r="N135" s="66" t="n">
        <f aca="false">N128*Inputs!$C$27*(1+Inputs!$C$19)^(N$117-1)*1</f>
        <v>1745.00416267861</v>
      </c>
      <c r="O135" s="66" t="n">
        <f aca="false">O128*Inputs!$C$27*(1+Inputs!$C$19)^(O$117-1)*1</f>
        <v>1871.97753030543</v>
      </c>
      <c r="P135" s="66" t="n">
        <f aca="false">P128*Inputs!$C$27*(1+Inputs!$C$19)^(P$117-1)*1</f>
        <v>1948.4578784871</v>
      </c>
      <c r="Q135" s="66" t="n">
        <f aca="false">Q128*Inputs!$C$27*(1+Inputs!$C$19)^(Q$117-1)*1</f>
        <v>2020.34940577788</v>
      </c>
      <c r="R135" s="66" t="n">
        <f aca="false">R128*Inputs!$C$27*(1+Inputs!$C$19)^(R$117-1)*1</f>
        <v>2087.9274414312</v>
      </c>
      <c r="S135" s="66" t="n">
        <f aca="false">S128*Inputs!$C$27*(1+Inputs!$C$19)^(S$117-1)*1</f>
        <v>2151.45079494533</v>
      </c>
      <c r="T135" s="66" t="n">
        <f aca="false">T128*Inputs!$C$27*(1+Inputs!$C$19)^(T$117-1)*1</f>
        <v>2211.16274724861</v>
      </c>
      <c r="U135" s="66" t="n">
        <f aca="false">U128*Inputs!$C$27*(1+Inputs!$C$19)^(U$117-1)*1</f>
        <v>2267.29198241369</v>
      </c>
      <c r="V135" s="66" t="n">
        <f aca="false">V128*Inputs!$C$27*(1+Inputs!$C$19)^(V$117-1)*1</f>
        <v>2305.99431106643</v>
      </c>
      <c r="W135" s="66" t="n">
        <f aca="false">W128*Inputs!$C$27*(1+Inputs!$C$19)^(W$117-1)*1</f>
        <v>2317.5</v>
      </c>
      <c r="X135" s="66" t="n">
        <f aca="false">X128*Inputs!$C$27*(1+Inputs!$C$19)^(X$117-1)*1</f>
        <v>2317.5</v>
      </c>
      <c r="Y135" s="66" t="n">
        <f aca="false">Y128*Inputs!$C$27*(1+Inputs!$C$19)^(Y$117-1)*1</f>
        <v>2317.5</v>
      </c>
      <c r="Z135" s="66" t="n">
        <f aca="false">Z128*Inputs!$C$27*(1+Inputs!$C$19)^(Z$117-1)*1</f>
        <v>2317.5</v>
      </c>
      <c r="AA135" s="66" t="n">
        <f aca="false">AA128*Inputs!$C$27*(1+Inputs!$C$19)^(AA$117-1)*1</f>
        <v>2387.025</v>
      </c>
      <c r="AB135" s="66" t="n">
        <f aca="false">AB128*Inputs!$C$27*(1+Inputs!$C$19)^(AB$117-1)*1</f>
        <v>2387.025</v>
      </c>
      <c r="AC135" s="66" t="n">
        <f aca="false">AC128*Inputs!$C$27*(1+Inputs!$C$19)^(AC$117-1)*1</f>
        <v>2387.025</v>
      </c>
      <c r="AD135" s="66" t="n">
        <f aca="false">AD128*Inputs!$C$27*(1+Inputs!$C$19)^(AD$117-1)*1</f>
        <v>2387.025</v>
      </c>
      <c r="AE135" s="66" t="n">
        <f aca="false">AE128*Inputs!$C$27*(1+Inputs!$C$19)^(AE$117-1)*1</f>
        <v>2387.025</v>
      </c>
      <c r="AF135" s="66" t="n">
        <f aca="false">AF128*Inputs!$C$27*(1+Inputs!$C$19)^(AF$117-1)*1</f>
        <v>2387.025</v>
      </c>
      <c r="AG135" s="66" t="n">
        <f aca="false">AG128*Inputs!$C$27*(1+Inputs!$C$19)^(AG$117-1)*1</f>
        <v>2387.025</v>
      </c>
      <c r="AH135" s="66" t="n">
        <f aca="false">AH128*Inputs!$C$27*(1+Inputs!$C$19)^(AH$117-1)*1</f>
        <v>2387.025</v>
      </c>
      <c r="AI135" s="66" t="n">
        <f aca="false">AI128*Inputs!$C$27*(1+Inputs!$C$19)^(AI$117-1)*1</f>
        <v>2387.025</v>
      </c>
      <c r="AJ135" s="66" t="n">
        <f aca="false">AJ128*Inputs!$C$27*(1+Inputs!$C$19)^(AJ$117-1)*1</f>
        <v>2387.025</v>
      </c>
      <c r="AK135" s="66" t="n">
        <f aca="false">AK128*Inputs!$C$27*(1+Inputs!$C$19)^(AK$117-1)*1</f>
        <v>2387.025</v>
      </c>
      <c r="AL135" s="66" t="n">
        <f aca="false">AL128*Inputs!$C$27*(1+Inputs!$C$19)^(AL$117-1)*1</f>
        <v>2387.025</v>
      </c>
    </row>
    <row r="136" customFormat="false" ht="15" hidden="false" customHeight="false" outlineLevel="0" collapsed="false">
      <c r="A136" s="110" t="s">
        <v>44</v>
      </c>
      <c r="C136" s="67" t="n">
        <f aca="false">C132+C133+C134+C135</f>
        <v>18123</v>
      </c>
      <c r="D136" s="67" t="n">
        <f aca="false">D132+D133+D134+D135</f>
        <v>21349.608</v>
      </c>
      <c r="E136" s="67" t="n">
        <f aca="false">E132+E133+E134+E135</f>
        <v>24382.61952</v>
      </c>
      <c r="F136" s="67" t="n">
        <f aca="false">F132+F133+F134+F135</f>
        <v>27233.6503488</v>
      </c>
      <c r="G136" s="67" t="n">
        <f aca="false">G132+G133+G134+G135</f>
        <v>29913.619327872</v>
      </c>
      <c r="H136" s="67" t="n">
        <f aca="false">H132+H133+H134+H135</f>
        <v>32432.7901681997</v>
      </c>
      <c r="I136" s="67" t="n">
        <f aca="false">I132+I133+I134+I135</f>
        <v>34800.8107581077</v>
      </c>
      <c r="J136" s="67" t="n">
        <f aca="false">J132+J133+J134+J135</f>
        <v>37026.7501126212</v>
      </c>
      <c r="K136" s="67" t="n">
        <f aca="false">K132+K133+K134+K135</f>
        <v>39119.133105864</v>
      </c>
      <c r="L136" s="67" t="n">
        <f aca="false">L132+L133+L134+L135</f>
        <v>41085.9731195121</v>
      </c>
      <c r="M136" s="67" t="n">
        <f aca="false">M132+M133+M134+M135</f>
        <v>42934.8027323414</v>
      </c>
      <c r="N136" s="67" t="n">
        <f aca="false">N132+N133+N134+N135</f>
        <v>44672.7025684009</v>
      </c>
      <c r="O136" s="67" t="n">
        <f aca="false">O132+O133+O134+O135</f>
        <v>47975.7565467257</v>
      </c>
      <c r="P136" s="67" t="n">
        <f aca="false">P132+P133+P134+P135</f>
        <v>49860.2323259222</v>
      </c>
      <c r="Q136" s="67" t="n">
        <f aca="false">Q132+Q133+Q134+Q135</f>
        <v>51631.6395583669</v>
      </c>
      <c r="R136" s="67" t="n">
        <f aca="false">R132+R133+R134+R135</f>
        <v>53296.7623568648</v>
      </c>
      <c r="S136" s="67" t="n">
        <f aca="false">S132+S133+S134+S135</f>
        <v>54861.977787453</v>
      </c>
      <c r="T136" s="67" t="n">
        <f aca="false">T132+T133+T134+T135</f>
        <v>56333.2802922058</v>
      </c>
      <c r="U136" s="67" t="n">
        <f aca="false">U132+U133+U134+U135</f>
        <v>57716.3046466734</v>
      </c>
      <c r="V136" s="67" t="n">
        <f aca="false">V132+V133+V134+V135</f>
        <v>58394.3706375889</v>
      </c>
      <c r="W136" s="67" t="n">
        <f aca="false">W132+W133+W134+W135</f>
        <v>58465.89</v>
      </c>
      <c r="X136" s="67" t="n">
        <f aca="false">X132+X133+X134+X135</f>
        <v>58465.89</v>
      </c>
      <c r="Y136" s="67" t="n">
        <f aca="false">Y132+Y133+Y134+Y135</f>
        <v>58465.89</v>
      </c>
      <c r="Z136" s="67" t="n">
        <f aca="false">Z132+Z133+Z134+Z135</f>
        <v>58465.89</v>
      </c>
      <c r="AA136" s="67" t="n">
        <f aca="false">AA132+AA133+AA134+AA135</f>
        <v>60219.8667</v>
      </c>
      <c r="AB136" s="67" t="n">
        <f aca="false">AB132+AB133+AB134+AB135</f>
        <v>60219.8667</v>
      </c>
      <c r="AC136" s="67" t="n">
        <f aca="false">AC132+AC133+AC134+AC135</f>
        <v>60219.8667</v>
      </c>
      <c r="AD136" s="67" t="n">
        <f aca="false">AD132+AD133+AD134+AD135</f>
        <v>60219.8667</v>
      </c>
      <c r="AE136" s="67" t="n">
        <f aca="false">AE132+AE133+AE134+AE135</f>
        <v>60219.8667</v>
      </c>
      <c r="AF136" s="67" t="n">
        <f aca="false">AF132+AF133+AF134+AF135</f>
        <v>60219.8667</v>
      </c>
      <c r="AG136" s="67" t="n">
        <f aca="false">AG132+AG133+AG134+AG135</f>
        <v>60219.8667</v>
      </c>
      <c r="AH136" s="67" t="n">
        <f aca="false">AH132+AH133+AH134+AH135</f>
        <v>60219.8667</v>
      </c>
      <c r="AI136" s="67" t="n">
        <f aca="false">AI132+AI133+AI134+AI135</f>
        <v>60219.8667</v>
      </c>
      <c r="AJ136" s="67" t="n">
        <f aca="false">AJ132+AJ133+AJ134+AJ135</f>
        <v>60219.8667</v>
      </c>
      <c r="AK136" s="67" t="n">
        <f aca="false">AK132+AK133+AK134+AK135</f>
        <v>60219.8667</v>
      </c>
      <c r="AL136" s="67" t="n">
        <f aca="false">AL132+AL133+AL134+AL135</f>
        <v>60219.8667</v>
      </c>
    </row>
    <row r="138" customFormat="false" ht="15.75" hidden="false" customHeight="true" outlineLevel="0" collapsed="false">
      <c r="A138" s="7" t="s">
        <v>75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</row>
    <row r="139" customFormat="false" ht="15" hidden="false" customHeight="false" outlineLevel="0" collapsed="false">
      <c r="A139" s="6" t="s">
        <v>384</v>
      </c>
      <c r="C139" s="66" t="n">
        <f aca="false">-Inputs!$C$31*52/12*Inputs!$C$32*(1+Inputs!$C$51)^(C$117-1)*1</f>
        <v>-7800</v>
      </c>
      <c r="D139" s="66" t="n">
        <f aca="false">-Inputs!$C$31*52/12*Inputs!$C$32*(1+Inputs!$C$51)^(D$117-1)*1</f>
        <v>-7800</v>
      </c>
      <c r="E139" s="66" t="n">
        <f aca="false">-Inputs!$C$31*52/12*Inputs!$C$32*(1+Inputs!$C$51)^(E$117-1)*1</f>
        <v>-7800</v>
      </c>
      <c r="F139" s="66" t="n">
        <f aca="false">-Inputs!$C$31*52/12*Inputs!$C$32*(1+Inputs!$C$51)^(F$117-1)*1</f>
        <v>-7800</v>
      </c>
      <c r="G139" s="66" t="n">
        <f aca="false">-Inputs!$C$31*52/12*Inputs!$C$32*(1+Inputs!$C$51)^(G$117-1)*1</f>
        <v>-7800</v>
      </c>
      <c r="H139" s="66" t="n">
        <f aca="false">-Inputs!$C$31*52/12*Inputs!$C$32*(1+Inputs!$C$51)^(H$117-1)*1</f>
        <v>-7800</v>
      </c>
      <c r="I139" s="66" t="n">
        <f aca="false">-Inputs!$C$31*52/12*Inputs!$C$32*(1+Inputs!$C$51)^(I$117-1)*1</f>
        <v>-7800</v>
      </c>
      <c r="J139" s="66" t="n">
        <f aca="false">-Inputs!$C$31*52/12*Inputs!$C$32*(1+Inputs!$C$51)^(J$117-1)*1</f>
        <v>-7800</v>
      </c>
      <c r="K139" s="66" t="n">
        <f aca="false">-Inputs!$C$31*52/12*Inputs!$C$32*(1+Inputs!$C$51)^(K$117-1)*1</f>
        <v>-7800</v>
      </c>
      <c r="L139" s="66" t="n">
        <f aca="false">-Inputs!$C$31*52/12*Inputs!$C$32*(1+Inputs!$C$51)^(L$117-1)*1</f>
        <v>-7800</v>
      </c>
      <c r="M139" s="66" t="n">
        <f aca="false">-Inputs!$C$31*52/12*Inputs!$C$32*(1+Inputs!$C$51)^(M$117-1)*1</f>
        <v>-7800</v>
      </c>
      <c r="N139" s="66" t="n">
        <f aca="false">-Inputs!$C$31*52/12*Inputs!$C$32*(1+Inputs!$C$51)^(N$117-1)*1</f>
        <v>-7800</v>
      </c>
      <c r="O139" s="66" t="n">
        <f aca="false">-Inputs!$C$31*52/12*Inputs!$C$32*(1+Inputs!$C$51)^(O$117-1)*1</f>
        <v>-8034</v>
      </c>
      <c r="P139" s="66" t="n">
        <f aca="false">-Inputs!$C$31*52/12*Inputs!$C$32*(1+Inputs!$C$51)^(P$117-1)*1</f>
        <v>-8034</v>
      </c>
      <c r="Q139" s="66" t="n">
        <f aca="false">-Inputs!$C$31*52/12*Inputs!$C$32*(1+Inputs!$C$51)^(Q$117-1)*1</f>
        <v>-8034</v>
      </c>
      <c r="R139" s="66" t="n">
        <f aca="false">-Inputs!$C$31*52/12*Inputs!$C$32*(1+Inputs!$C$51)^(R$117-1)*1</f>
        <v>-8034</v>
      </c>
      <c r="S139" s="66" t="n">
        <f aca="false">-Inputs!$C$31*52/12*Inputs!$C$32*(1+Inputs!$C$51)^(S$117-1)*1</f>
        <v>-8034</v>
      </c>
      <c r="T139" s="66" t="n">
        <f aca="false">-Inputs!$C$31*52/12*Inputs!$C$32*(1+Inputs!$C$51)^(T$117-1)*1</f>
        <v>-8034</v>
      </c>
      <c r="U139" s="66" t="n">
        <f aca="false">-Inputs!$C$31*52/12*Inputs!$C$32*(1+Inputs!$C$51)^(U$117-1)*1</f>
        <v>-8034</v>
      </c>
      <c r="V139" s="66" t="n">
        <f aca="false">-Inputs!$C$31*52/12*Inputs!$C$32*(1+Inputs!$C$51)^(V$117-1)*1</f>
        <v>-8034</v>
      </c>
      <c r="W139" s="66" t="n">
        <f aca="false">-Inputs!$C$31*52/12*Inputs!$C$32*(1+Inputs!$C$51)^(W$117-1)*1</f>
        <v>-8034</v>
      </c>
      <c r="X139" s="66" t="n">
        <f aca="false">-Inputs!$C$31*52/12*Inputs!$C$32*(1+Inputs!$C$51)^(X$117-1)*1</f>
        <v>-8034</v>
      </c>
      <c r="Y139" s="66" t="n">
        <f aca="false">-Inputs!$C$31*52/12*Inputs!$C$32*(1+Inputs!$C$51)^(Y$117-1)*1</f>
        <v>-8034</v>
      </c>
      <c r="Z139" s="66" t="n">
        <f aca="false">-Inputs!$C$31*52/12*Inputs!$C$32*(1+Inputs!$C$51)^(Z$117-1)*1</f>
        <v>-8034</v>
      </c>
      <c r="AA139" s="66" t="n">
        <f aca="false">-Inputs!$C$31*52/12*Inputs!$C$32*(1+Inputs!$C$51)^(AA$117-1)*1</f>
        <v>-8275.02</v>
      </c>
      <c r="AB139" s="66" t="n">
        <f aca="false">-Inputs!$C$31*52/12*Inputs!$C$32*(1+Inputs!$C$51)^(AB$117-1)*1</f>
        <v>-8275.02</v>
      </c>
      <c r="AC139" s="66" t="n">
        <f aca="false">-Inputs!$C$31*52/12*Inputs!$C$32*(1+Inputs!$C$51)^(AC$117-1)*1</f>
        <v>-8275.02</v>
      </c>
      <c r="AD139" s="66" t="n">
        <f aca="false">-Inputs!$C$31*52/12*Inputs!$C$32*(1+Inputs!$C$51)^(AD$117-1)*1</f>
        <v>-8275.02</v>
      </c>
      <c r="AE139" s="66" t="n">
        <f aca="false">-Inputs!$C$31*52/12*Inputs!$C$32*(1+Inputs!$C$51)^(AE$117-1)*1</f>
        <v>-8275.02</v>
      </c>
      <c r="AF139" s="66" t="n">
        <f aca="false">-Inputs!$C$31*52/12*Inputs!$C$32*(1+Inputs!$C$51)^(AF$117-1)*1</f>
        <v>-8275.02</v>
      </c>
      <c r="AG139" s="66" t="n">
        <f aca="false">-Inputs!$C$31*52/12*Inputs!$C$32*(1+Inputs!$C$51)^(AG$117-1)*1</f>
        <v>-8275.02</v>
      </c>
      <c r="AH139" s="66" t="n">
        <f aca="false">-Inputs!$C$31*52/12*Inputs!$C$32*(1+Inputs!$C$51)^(AH$117-1)*1</f>
        <v>-8275.02</v>
      </c>
      <c r="AI139" s="66" t="n">
        <f aca="false">-Inputs!$C$31*52/12*Inputs!$C$32*(1+Inputs!$C$51)^(AI$117-1)*1</f>
        <v>-8275.02</v>
      </c>
      <c r="AJ139" s="66" t="n">
        <f aca="false">-Inputs!$C$31*52/12*Inputs!$C$32*(1+Inputs!$C$51)^(AJ$117-1)*1</f>
        <v>-8275.02</v>
      </c>
      <c r="AK139" s="66" t="n">
        <f aca="false">-Inputs!$C$31*52/12*Inputs!$C$32*(1+Inputs!$C$51)^(AK$117-1)*1</f>
        <v>-8275.02</v>
      </c>
      <c r="AL139" s="66" t="n">
        <f aca="false">-Inputs!$C$31*52/12*Inputs!$C$32*(1+Inputs!$C$51)^(AL$117-1)*1</f>
        <v>-8275.02</v>
      </c>
    </row>
    <row r="140" customFormat="false" ht="15" hidden="false" customHeight="false" outlineLevel="0" collapsed="false">
      <c r="A140" s="6" t="s">
        <v>385</v>
      </c>
      <c r="C140" s="66" t="n">
        <f aca="false">-C134*Inputs!$C$26</f>
        <v>-1281.6</v>
      </c>
      <c r="D140" s="66" t="n">
        <f aca="false">-D134*Inputs!$C$26</f>
        <v>-1533.024</v>
      </c>
      <c r="E140" s="66" t="n">
        <f aca="false">-E134*Inputs!$C$26</f>
        <v>-1769.36256</v>
      </c>
      <c r="F140" s="66" t="n">
        <f aca="false">-F134*Inputs!$C$26</f>
        <v>-1991.5208064</v>
      </c>
      <c r="G140" s="66" t="n">
        <f aca="false">-G134*Inputs!$C$26</f>
        <v>-2200.349558016</v>
      </c>
      <c r="H140" s="66" t="n">
        <f aca="false">-H134*Inputs!$C$26</f>
        <v>-2396.64858453504</v>
      </c>
      <c r="I140" s="66" t="n">
        <f aca="false">-I134*Inputs!$C$26</f>
        <v>-2581.16966946294</v>
      </c>
      <c r="J140" s="66" t="n">
        <f aca="false">-J134*Inputs!$C$26</f>
        <v>-2754.61948929516</v>
      </c>
      <c r="K140" s="66" t="n">
        <f aca="false">-K134*Inputs!$C$26</f>
        <v>-2917.66231993745</v>
      </c>
      <c r="L140" s="66" t="n">
        <f aca="false">-L134*Inputs!$C$26</f>
        <v>-3070.9225807412</v>
      </c>
      <c r="M140" s="66" t="n">
        <f aca="false">-M134*Inputs!$C$26</f>
        <v>-3214.98722589673</v>
      </c>
      <c r="N140" s="66" t="n">
        <f aca="false">-N134*Inputs!$C$26</f>
        <v>-3350.40799234293</v>
      </c>
      <c r="O140" s="66" t="n">
        <f aca="false">-O134*Inputs!$C$26</f>
        <v>-3594.19685818642</v>
      </c>
      <c r="P140" s="66" t="n">
        <f aca="false">-P134*Inputs!$C$26</f>
        <v>-3741.03912669524</v>
      </c>
      <c r="Q140" s="66" t="n">
        <f aca="false">-Q134*Inputs!$C$26</f>
        <v>-3879.07085909352</v>
      </c>
      <c r="R140" s="66" t="n">
        <f aca="false">-R134*Inputs!$C$26</f>
        <v>-4008.82068754791</v>
      </c>
      <c r="S140" s="66" t="n">
        <f aca="false">-S134*Inputs!$C$26</f>
        <v>-4130.78552629504</v>
      </c>
      <c r="T140" s="66" t="n">
        <f aca="false">-T134*Inputs!$C$26</f>
        <v>-4245.43247471733</v>
      </c>
      <c r="U140" s="66" t="n">
        <f aca="false">-U134*Inputs!$C$26</f>
        <v>-4353.20060623429</v>
      </c>
      <c r="V140" s="66" t="n">
        <f aca="false">-V134*Inputs!$C$26</f>
        <v>-4427.50907724754</v>
      </c>
      <c r="W140" s="66" t="n">
        <f aca="false">-W134*Inputs!$C$26</f>
        <v>-4449.6</v>
      </c>
      <c r="X140" s="66" t="n">
        <f aca="false">-X134*Inputs!$C$26</f>
        <v>-4449.6</v>
      </c>
      <c r="Y140" s="66" t="n">
        <f aca="false">-Y134*Inputs!$C$26</f>
        <v>-4449.6</v>
      </c>
      <c r="Z140" s="66" t="n">
        <f aca="false">-Z134*Inputs!$C$26</f>
        <v>-4449.6</v>
      </c>
      <c r="AA140" s="66" t="n">
        <f aca="false">-AA134*Inputs!$C$26</f>
        <v>-4583.088</v>
      </c>
      <c r="AB140" s="66" t="n">
        <f aca="false">-AB134*Inputs!$C$26</f>
        <v>-4583.088</v>
      </c>
      <c r="AC140" s="66" t="n">
        <f aca="false">-AC134*Inputs!$C$26</f>
        <v>-4583.088</v>
      </c>
      <c r="AD140" s="66" t="n">
        <f aca="false">-AD134*Inputs!$C$26</f>
        <v>-4583.088</v>
      </c>
      <c r="AE140" s="66" t="n">
        <f aca="false">-AE134*Inputs!$C$26</f>
        <v>-4583.088</v>
      </c>
      <c r="AF140" s="66" t="n">
        <f aca="false">-AF134*Inputs!$C$26</f>
        <v>-4583.088</v>
      </c>
      <c r="AG140" s="66" t="n">
        <f aca="false">-AG134*Inputs!$C$26</f>
        <v>-4583.088</v>
      </c>
      <c r="AH140" s="66" t="n">
        <f aca="false">-AH134*Inputs!$C$26</f>
        <v>-4583.088</v>
      </c>
      <c r="AI140" s="66" t="n">
        <f aca="false">-AI134*Inputs!$C$26</f>
        <v>-4583.088</v>
      </c>
      <c r="AJ140" s="66" t="n">
        <f aca="false">-AJ134*Inputs!$C$26</f>
        <v>-4583.088</v>
      </c>
      <c r="AK140" s="66" t="n">
        <f aca="false">-AK134*Inputs!$C$26</f>
        <v>-4583.088</v>
      </c>
      <c r="AL140" s="66" t="n">
        <f aca="false">-AL134*Inputs!$C$26</f>
        <v>-4583.088</v>
      </c>
    </row>
    <row r="141" customFormat="false" ht="15" hidden="false" customHeight="false" outlineLevel="0" collapsed="false">
      <c r="A141" s="6" t="s">
        <v>386</v>
      </c>
      <c r="C141" s="66" t="n">
        <f aca="false">-C135*Inputs!$C$28</f>
        <v>-333.75</v>
      </c>
      <c r="D141" s="66" t="n">
        <f aca="false">-D135*Inputs!$C$28</f>
        <v>-399.225</v>
      </c>
      <c r="E141" s="66" t="n">
        <f aca="false">-E135*Inputs!$C$28</f>
        <v>-460.7715</v>
      </c>
      <c r="F141" s="66" t="n">
        <f aca="false">-F135*Inputs!$C$28</f>
        <v>-518.62521</v>
      </c>
      <c r="G141" s="66" t="n">
        <f aca="false">-G135*Inputs!$C$28</f>
        <v>-573.0076974</v>
      </c>
      <c r="H141" s="66" t="n">
        <f aca="false">-H135*Inputs!$C$28</f>
        <v>-624.127235556</v>
      </c>
      <c r="I141" s="66" t="n">
        <f aca="false">-I135*Inputs!$C$28</f>
        <v>-672.17960142264</v>
      </c>
      <c r="J141" s="66" t="n">
        <f aca="false">-J135*Inputs!$C$28</f>
        <v>-717.348825337281</v>
      </c>
      <c r="K141" s="66" t="n">
        <f aca="false">-K135*Inputs!$C$28</f>
        <v>-759.807895817045</v>
      </c>
      <c r="L141" s="66" t="n">
        <f aca="false">-L135*Inputs!$C$28</f>
        <v>-799.719422068022</v>
      </c>
      <c r="M141" s="66" t="n">
        <f aca="false">-M135*Inputs!$C$28</f>
        <v>-837.23625674394</v>
      </c>
      <c r="N141" s="66" t="n">
        <f aca="false">-N135*Inputs!$C$28</f>
        <v>-872.502081339304</v>
      </c>
      <c r="O141" s="66" t="n">
        <f aca="false">-O135*Inputs!$C$28</f>
        <v>-935.988765152714</v>
      </c>
      <c r="P141" s="66" t="n">
        <f aca="false">-P135*Inputs!$C$28</f>
        <v>-974.228939243551</v>
      </c>
      <c r="Q141" s="66" t="n">
        <f aca="false">-Q135*Inputs!$C$28</f>
        <v>-1010.17470288894</v>
      </c>
      <c r="R141" s="66" t="n">
        <f aca="false">-R135*Inputs!$C$28</f>
        <v>-1043.9637207156</v>
      </c>
      <c r="S141" s="66" t="n">
        <f aca="false">-S135*Inputs!$C$28</f>
        <v>-1075.72539747267</v>
      </c>
      <c r="T141" s="66" t="n">
        <f aca="false">-T135*Inputs!$C$28</f>
        <v>-1105.58137362431</v>
      </c>
      <c r="U141" s="66" t="n">
        <f aca="false">-U135*Inputs!$C$28</f>
        <v>-1133.64599120685</v>
      </c>
      <c r="V141" s="66" t="n">
        <f aca="false">-V135*Inputs!$C$28</f>
        <v>-1152.99715553321</v>
      </c>
      <c r="W141" s="66" t="n">
        <f aca="false">-W135*Inputs!$C$28</f>
        <v>-1158.75</v>
      </c>
      <c r="X141" s="66" t="n">
        <f aca="false">-X135*Inputs!$C$28</f>
        <v>-1158.75</v>
      </c>
      <c r="Y141" s="66" t="n">
        <f aca="false">-Y135*Inputs!$C$28</f>
        <v>-1158.75</v>
      </c>
      <c r="Z141" s="66" t="n">
        <f aca="false">-Z135*Inputs!$C$28</f>
        <v>-1158.75</v>
      </c>
      <c r="AA141" s="66" t="n">
        <f aca="false">-AA135*Inputs!$C$28</f>
        <v>-1193.5125</v>
      </c>
      <c r="AB141" s="66" t="n">
        <f aca="false">-AB135*Inputs!$C$28</f>
        <v>-1193.5125</v>
      </c>
      <c r="AC141" s="66" t="n">
        <f aca="false">-AC135*Inputs!$C$28</f>
        <v>-1193.5125</v>
      </c>
      <c r="AD141" s="66" t="n">
        <f aca="false">-AD135*Inputs!$C$28</f>
        <v>-1193.5125</v>
      </c>
      <c r="AE141" s="66" t="n">
        <f aca="false">-AE135*Inputs!$C$28</f>
        <v>-1193.5125</v>
      </c>
      <c r="AF141" s="66" t="n">
        <f aca="false">-AF135*Inputs!$C$28</f>
        <v>-1193.5125</v>
      </c>
      <c r="AG141" s="66" t="n">
        <f aca="false">-AG135*Inputs!$C$28</f>
        <v>-1193.5125</v>
      </c>
      <c r="AH141" s="66" t="n">
        <f aca="false">-AH135*Inputs!$C$28</f>
        <v>-1193.5125</v>
      </c>
      <c r="AI141" s="66" t="n">
        <f aca="false">-AI135*Inputs!$C$28</f>
        <v>-1193.5125</v>
      </c>
      <c r="AJ141" s="66" t="n">
        <f aca="false">-AJ135*Inputs!$C$28</f>
        <v>-1193.5125</v>
      </c>
      <c r="AK141" s="66" t="n">
        <f aca="false">-AK135*Inputs!$C$28</f>
        <v>-1193.5125</v>
      </c>
      <c r="AL141" s="66" t="n">
        <f aca="false">-AL135*Inputs!$C$28</f>
        <v>-1193.5125</v>
      </c>
    </row>
    <row r="142" customFormat="false" ht="15" hidden="false" customHeight="false" outlineLevel="0" collapsed="false">
      <c r="A142" s="4" t="s">
        <v>75</v>
      </c>
      <c r="C142" s="72" t="n">
        <f aca="false">C139+C140+C141</f>
        <v>-9415.35</v>
      </c>
      <c r="D142" s="72" t="n">
        <f aca="false">D139+D140+D141</f>
        <v>-9732.249</v>
      </c>
      <c r="E142" s="72" t="n">
        <f aca="false">E139+E140+E141</f>
        <v>-10030.13406</v>
      </c>
      <c r="F142" s="72" t="n">
        <f aca="false">F139+F140+F141</f>
        <v>-10310.1460164</v>
      </c>
      <c r="G142" s="72" t="n">
        <f aca="false">G139+G140+G141</f>
        <v>-10573.357255416</v>
      </c>
      <c r="H142" s="72" t="n">
        <f aca="false">H139+H140+H141</f>
        <v>-10820.775820091</v>
      </c>
      <c r="I142" s="72" t="n">
        <f aca="false">I139+I140+I141</f>
        <v>-11053.3492708856</v>
      </c>
      <c r="J142" s="72" t="n">
        <f aca="false">J139+J140+J141</f>
        <v>-11271.9683146324</v>
      </c>
      <c r="K142" s="72" t="n">
        <f aca="false">K139+K140+K141</f>
        <v>-11477.4702157545</v>
      </c>
      <c r="L142" s="72" t="n">
        <f aca="false">L139+L140+L141</f>
        <v>-11670.6420028092</v>
      </c>
      <c r="M142" s="72" t="n">
        <f aca="false">M139+M140+M141</f>
        <v>-11852.2234826407</v>
      </c>
      <c r="N142" s="72" t="n">
        <f aca="false">N139+N140+N141</f>
        <v>-12022.9100736822</v>
      </c>
      <c r="O142" s="72" t="n">
        <f aca="false">O139+O140+O141</f>
        <v>-12564.1856233391</v>
      </c>
      <c r="P142" s="72" t="n">
        <f aca="false">P139+P140+P141</f>
        <v>-12749.2680659388</v>
      </c>
      <c r="Q142" s="72" t="n">
        <f aca="false">Q139+Q140+Q141</f>
        <v>-12923.2455619825</v>
      </c>
      <c r="R142" s="72" t="n">
        <f aca="false">R139+R140+R141</f>
        <v>-13086.7844082635</v>
      </c>
      <c r="S142" s="72" t="n">
        <f aca="false">S139+S140+S141</f>
        <v>-13240.5109237677</v>
      </c>
      <c r="T142" s="72" t="n">
        <f aca="false">T139+T140+T141</f>
        <v>-13385.0138483416</v>
      </c>
      <c r="U142" s="72" t="n">
        <f aca="false">U139+U140+U141</f>
        <v>-13520.8465974411</v>
      </c>
      <c r="V142" s="72" t="n">
        <f aca="false">V139+V140+V141</f>
        <v>-13614.5062327808</v>
      </c>
      <c r="W142" s="72" t="n">
        <f aca="false">W139+W140+W141</f>
        <v>-13642.35</v>
      </c>
      <c r="X142" s="72" t="n">
        <f aca="false">X139+X140+X141</f>
        <v>-13642.35</v>
      </c>
      <c r="Y142" s="72" t="n">
        <f aca="false">Y139+Y140+Y141</f>
        <v>-13642.35</v>
      </c>
      <c r="Z142" s="72" t="n">
        <f aca="false">Z139+Z140+Z141</f>
        <v>-13642.35</v>
      </c>
      <c r="AA142" s="72" t="n">
        <f aca="false">AA139+AA140+AA141</f>
        <v>-14051.6205</v>
      </c>
      <c r="AB142" s="72" t="n">
        <f aca="false">AB139+AB140+AB141</f>
        <v>-14051.6205</v>
      </c>
      <c r="AC142" s="72" t="n">
        <f aca="false">AC139+AC140+AC141</f>
        <v>-14051.6205</v>
      </c>
      <c r="AD142" s="72" t="n">
        <f aca="false">AD139+AD140+AD141</f>
        <v>-14051.6205</v>
      </c>
      <c r="AE142" s="72" t="n">
        <f aca="false">AE139+AE140+AE141</f>
        <v>-14051.6205</v>
      </c>
      <c r="AF142" s="72" t="n">
        <f aca="false">AF139+AF140+AF141</f>
        <v>-14051.6205</v>
      </c>
      <c r="AG142" s="72" t="n">
        <f aca="false">AG139+AG140+AG141</f>
        <v>-14051.6205</v>
      </c>
      <c r="AH142" s="72" t="n">
        <f aca="false">AH139+AH140+AH141</f>
        <v>-14051.6205</v>
      </c>
      <c r="AI142" s="72" t="n">
        <f aca="false">AI139+AI140+AI141</f>
        <v>-14051.6205</v>
      </c>
      <c r="AJ142" s="72" t="n">
        <f aca="false">AJ139+AJ140+AJ141</f>
        <v>-14051.6205</v>
      </c>
      <c r="AK142" s="72" t="n">
        <f aca="false">AK139+AK140+AK141</f>
        <v>-14051.6205</v>
      </c>
      <c r="AL142" s="72" t="n">
        <f aca="false">AL139+AL140+AL141</f>
        <v>-14051.6205</v>
      </c>
    </row>
    <row r="143" customFormat="false" ht="15" hidden="false" customHeight="false" outlineLevel="0" collapsed="false">
      <c r="A143" s="110" t="s">
        <v>45</v>
      </c>
      <c r="C143" s="67" t="n">
        <f aca="false">C136+C142</f>
        <v>8707.65</v>
      </c>
      <c r="D143" s="67" t="n">
        <f aca="false">D136+D142</f>
        <v>11617.359</v>
      </c>
      <c r="E143" s="67" t="n">
        <f aca="false">E136+E142</f>
        <v>14352.48546</v>
      </c>
      <c r="F143" s="67" t="n">
        <f aca="false">F136+F142</f>
        <v>16923.5043324</v>
      </c>
      <c r="G143" s="67" t="n">
        <f aca="false">G136+G142</f>
        <v>19340.262072456</v>
      </c>
      <c r="H143" s="67" t="n">
        <f aca="false">H136+H142</f>
        <v>21612.0143481086</v>
      </c>
      <c r="I143" s="67" t="n">
        <f aca="false">I136+I142</f>
        <v>23747.4614872221</v>
      </c>
      <c r="J143" s="67" t="n">
        <f aca="false">J136+J142</f>
        <v>25754.7817979888</v>
      </c>
      <c r="K143" s="67" t="n">
        <f aca="false">K136+K142</f>
        <v>27641.6628901095</v>
      </c>
      <c r="L143" s="67" t="n">
        <f aca="false">L136+L142</f>
        <v>29415.3311167029</v>
      </c>
      <c r="M143" s="67" t="n">
        <f aca="false">M136+M142</f>
        <v>31082.5792497007</v>
      </c>
      <c r="N143" s="67" t="n">
        <f aca="false">N136+N142</f>
        <v>32649.7924947187</v>
      </c>
      <c r="O143" s="67" t="n">
        <f aca="false">O136+O142</f>
        <v>35411.5709233866</v>
      </c>
      <c r="P143" s="67" t="n">
        <f aca="false">P136+P142</f>
        <v>37110.9642599834</v>
      </c>
      <c r="Q143" s="67" t="n">
        <f aca="false">Q136+Q142</f>
        <v>38708.3939963844</v>
      </c>
      <c r="R143" s="67" t="n">
        <f aca="false">R136+R142</f>
        <v>40209.9779486013</v>
      </c>
      <c r="S143" s="67" t="n">
        <f aca="false">S136+S142</f>
        <v>41621.4668636853</v>
      </c>
      <c r="T143" s="67" t="n">
        <f aca="false">T136+T142</f>
        <v>42948.2664438641</v>
      </c>
      <c r="U143" s="67" t="n">
        <f aca="false">U136+U142</f>
        <v>44195.4580492323</v>
      </c>
      <c r="V143" s="67" t="n">
        <f aca="false">V136+V142</f>
        <v>44779.8644048082</v>
      </c>
      <c r="W143" s="67" t="n">
        <f aca="false">W136+W142</f>
        <v>44823.54</v>
      </c>
      <c r="X143" s="67" t="n">
        <f aca="false">X136+X142</f>
        <v>44823.54</v>
      </c>
      <c r="Y143" s="67" t="n">
        <f aca="false">Y136+Y142</f>
        <v>44823.54</v>
      </c>
      <c r="Z143" s="67" t="n">
        <f aca="false">Z136+Z142</f>
        <v>44823.54</v>
      </c>
      <c r="AA143" s="67" t="n">
        <f aca="false">AA136+AA142</f>
        <v>46168.2462</v>
      </c>
      <c r="AB143" s="67" t="n">
        <f aca="false">AB136+AB142</f>
        <v>46168.2462</v>
      </c>
      <c r="AC143" s="67" t="n">
        <f aca="false">AC136+AC142</f>
        <v>46168.2462</v>
      </c>
      <c r="AD143" s="67" t="n">
        <f aca="false">AD136+AD142</f>
        <v>46168.2462</v>
      </c>
      <c r="AE143" s="67" t="n">
        <f aca="false">AE136+AE142</f>
        <v>46168.2462</v>
      </c>
      <c r="AF143" s="67" t="n">
        <f aca="false">AF136+AF142</f>
        <v>46168.2462</v>
      </c>
      <c r="AG143" s="67" t="n">
        <f aca="false">AG136+AG142</f>
        <v>46168.2462</v>
      </c>
      <c r="AH143" s="67" t="n">
        <f aca="false">AH136+AH142</f>
        <v>46168.2462</v>
      </c>
      <c r="AI143" s="67" t="n">
        <f aca="false">AI136+AI142</f>
        <v>46168.2462</v>
      </c>
      <c r="AJ143" s="67" t="n">
        <f aca="false">AJ136+AJ142</f>
        <v>46168.2462</v>
      </c>
      <c r="AK143" s="67" t="n">
        <f aca="false">AK136+AK142</f>
        <v>46168.2462</v>
      </c>
      <c r="AL143" s="67" t="n">
        <f aca="false">AL136+AL142</f>
        <v>46168.2462</v>
      </c>
    </row>
    <row r="145" customFormat="false" ht="15.75" hidden="false" customHeight="true" outlineLevel="0" collapsed="false">
      <c r="A145" s="7" t="s">
        <v>47</v>
      </c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</row>
    <row r="146" customFormat="false" ht="15" hidden="false" customHeight="false" outlineLevel="0" collapsed="false">
      <c r="A146" s="6" t="s">
        <v>320</v>
      </c>
      <c r="C146" s="66" t="n">
        <f aca="false">C221</f>
        <v>-13841.6666666667</v>
      </c>
      <c r="D146" s="66" t="n">
        <f aca="false">D221</f>
        <v>-13841.6666666667</v>
      </c>
      <c r="E146" s="66" t="n">
        <f aca="false">E221</f>
        <v>-13841.6666666667</v>
      </c>
      <c r="F146" s="66" t="n">
        <f aca="false">F221</f>
        <v>-13841.6666666667</v>
      </c>
      <c r="G146" s="66" t="n">
        <f aca="false">G221</f>
        <v>-13841.6666666667</v>
      </c>
      <c r="H146" s="66" t="n">
        <f aca="false">H221</f>
        <v>-13841.6666666667</v>
      </c>
      <c r="I146" s="66" t="n">
        <f aca="false">I221</f>
        <v>-13841.6666666667</v>
      </c>
      <c r="J146" s="66" t="n">
        <f aca="false">J221</f>
        <v>-13841.6666666667</v>
      </c>
      <c r="K146" s="66" t="n">
        <f aca="false">K221</f>
        <v>-13841.6666666667</v>
      </c>
      <c r="L146" s="66" t="n">
        <f aca="false">L221</f>
        <v>-13841.6666666667</v>
      </c>
      <c r="M146" s="66" t="n">
        <f aca="false">M221</f>
        <v>-13841.6666666667</v>
      </c>
      <c r="N146" s="66" t="n">
        <f aca="false">N221</f>
        <v>-13841.6666666667</v>
      </c>
      <c r="O146" s="66" t="n">
        <f aca="false">O221</f>
        <v>-14256.9166666667</v>
      </c>
      <c r="P146" s="66" t="n">
        <f aca="false">P221</f>
        <v>-14256.9166666667</v>
      </c>
      <c r="Q146" s="66" t="n">
        <f aca="false">Q221</f>
        <v>-14256.9166666667</v>
      </c>
      <c r="R146" s="66" t="n">
        <f aca="false">R221</f>
        <v>-14256.9166666667</v>
      </c>
      <c r="S146" s="66" t="n">
        <f aca="false">S221</f>
        <v>-14256.9166666667</v>
      </c>
      <c r="T146" s="66" t="n">
        <f aca="false">T221</f>
        <v>-14256.9166666667</v>
      </c>
      <c r="U146" s="66" t="n">
        <f aca="false">U221</f>
        <v>-14256.9166666667</v>
      </c>
      <c r="V146" s="66" t="n">
        <f aca="false">V221</f>
        <v>-14256.9166666667</v>
      </c>
      <c r="W146" s="66" t="n">
        <f aca="false">W221</f>
        <v>-14256.9166666667</v>
      </c>
      <c r="X146" s="66" t="n">
        <f aca="false">X221</f>
        <v>-14256.9166666667</v>
      </c>
      <c r="Y146" s="66" t="n">
        <f aca="false">Y221</f>
        <v>-14256.9166666667</v>
      </c>
      <c r="Z146" s="66" t="n">
        <f aca="false">Z221</f>
        <v>-14256.9166666667</v>
      </c>
      <c r="AA146" s="66" t="n">
        <f aca="false">AA221</f>
        <v>-14684.6241666667</v>
      </c>
      <c r="AB146" s="66" t="n">
        <f aca="false">AB221</f>
        <v>-14684.6241666667</v>
      </c>
      <c r="AC146" s="66" t="n">
        <f aca="false">AC221</f>
        <v>-14684.6241666667</v>
      </c>
      <c r="AD146" s="66" t="n">
        <f aca="false">AD221</f>
        <v>-14684.6241666667</v>
      </c>
      <c r="AE146" s="66" t="n">
        <f aca="false">AE221</f>
        <v>-14684.6241666667</v>
      </c>
      <c r="AF146" s="66" t="n">
        <f aca="false">AF221</f>
        <v>-14684.6241666667</v>
      </c>
      <c r="AG146" s="66" t="n">
        <f aca="false">AG221</f>
        <v>-14684.6241666667</v>
      </c>
      <c r="AH146" s="66" t="n">
        <f aca="false">AH221</f>
        <v>-14684.6241666667</v>
      </c>
      <c r="AI146" s="66" t="n">
        <f aca="false">AI221</f>
        <v>-14684.6241666667</v>
      </c>
      <c r="AJ146" s="66" t="n">
        <f aca="false">AJ221</f>
        <v>-14684.6241666667</v>
      </c>
      <c r="AK146" s="66" t="n">
        <f aca="false">AK221</f>
        <v>-14684.6241666667</v>
      </c>
      <c r="AL146" s="66" t="n">
        <f aca="false">AL221</f>
        <v>-14684.6241666667</v>
      </c>
    </row>
    <row r="147" customFormat="false" ht="15" hidden="false" customHeight="false" outlineLevel="0" collapsed="false">
      <c r="A147" s="6" t="s">
        <v>321</v>
      </c>
      <c r="C147" s="66" t="n">
        <f aca="false">-Inputs!$C$11*(1+Inputs!$C$12)^(C$117-1)*1</f>
        <v>-4000</v>
      </c>
      <c r="D147" s="66" t="n">
        <f aca="false">-Inputs!$C$11*(1+Inputs!$C$12)^(D$117-1)*1</f>
        <v>-4000</v>
      </c>
      <c r="E147" s="66" t="n">
        <f aca="false">-Inputs!$C$11*(1+Inputs!$C$12)^(E$117-1)*1</f>
        <v>-4000</v>
      </c>
      <c r="F147" s="66" t="n">
        <f aca="false">-Inputs!$C$11*(1+Inputs!$C$12)^(F$117-1)*1</f>
        <v>-4000</v>
      </c>
      <c r="G147" s="66" t="n">
        <f aca="false">-Inputs!$C$11*(1+Inputs!$C$12)^(G$117-1)*1</f>
        <v>-4000</v>
      </c>
      <c r="H147" s="66" t="n">
        <f aca="false">-Inputs!$C$11*(1+Inputs!$C$12)^(H$117-1)*1</f>
        <v>-4000</v>
      </c>
      <c r="I147" s="66" t="n">
        <f aca="false">-Inputs!$C$11*(1+Inputs!$C$12)^(I$117-1)*1</f>
        <v>-4000</v>
      </c>
      <c r="J147" s="66" t="n">
        <f aca="false">-Inputs!$C$11*(1+Inputs!$C$12)^(J$117-1)*1</f>
        <v>-4000</v>
      </c>
      <c r="K147" s="66" t="n">
        <f aca="false">-Inputs!$C$11*(1+Inputs!$C$12)^(K$117-1)*1</f>
        <v>-4000</v>
      </c>
      <c r="L147" s="66" t="n">
        <f aca="false">-Inputs!$C$11*(1+Inputs!$C$12)^(L$117-1)*1</f>
        <v>-4000</v>
      </c>
      <c r="M147" s="66" t="n">
        <f aca="false">-Inputs!$C$11*(1+Inputs!$C$12)^(M$117-1)*1</f>
        <v>-4000</v>
      </c>
      <c r="N147" s="66" t="n">
        <f aca="false">-Inputs!$C$11*(1+Inputs!$C$12)^(N$117-1)*1</f>
        <v>-4000</v>
      </c>
      <c r="O147" s="66" t="n">
        <f aca="false">-Inputs!$C$11*(1+Inputs!$C$12)^(O$117-1)*1</f>
        <v>-4200</v>
      </c>
      <c r="P147" s="66" t="n">
        <f aca="false">-Inputs!$C$11*(1+Inputs!$C$12)^(P$117-1)*1</f>
        <v>-4200</v>
      </c>
      <c r="Q147" s="66" t="n">
        <f aca="false">-Inputs!$C$11*(1+Inputs!$C$12)^(Q$117-1)*1</f>
        <v>-4200</v>
      </c>
      <c r="R147" s="66" t="n">
        <f aca="false">-Inputs!$C$11*(1+Inputs!$C$12)^(R$117-1)*1</f>
        <v>-4200</v>
      </c>
      <c r="S147" s="66" t="n">
        <f aca="false">-Inputs!$C$11*(1+Inputs!$C$12)^(S$117-1)*1</f>
        <v>-4200</v>
      </c>
      <c r="T147" s="66" t="n">
        <f aca="false">-Inputs!$C$11*(1+Inputs!$C$12)^(T$117-1)*1</f>
        <v>-4200</v>
      </c>
      <c r="U147" s="66" t="n">
        <f aca="false">-Inputs!$C$11*(1+Inputs!$C$12)^(U$117-1)*1</f>
        <v>-4200</v>
      </c>
      <c r="V147" s="66" t="n">
        <f aca="false">-Inputs!$C$11*(1+Inputs!$C$12)^(V$117-1)*1</f>
        <v>-4200</v>
      </c>
      <c r="W147" s="66" t="n">
        <f aca="false">-Inputs!$C$11*(1+Inputs!$C$12)^(W$117-1)*1</f>
        <v>-4200</v>
      </c>
      <c r="X147" s="66" t="n">
        <f aca="false">-Inputs!$C$11*(1+Inputs!$C$12)^(X$117-1)*1</f>
        <v>-4200</v>
      </c>
      <c r="Y147" s="66" t="n">
        <f aca="false">-Inputs!$C$11*(1+Inputs!$C$12)^(Y$117-1)*1</f>
        <v>-4200</v>
      </c>
      <c r="Z147" s="66" t="n">
        <f aca="false">-Inputs!$C$11*(1+Inputs!$C$12)^(Z$117-1)*1</f>
        <v>-4200</v>
      </c>
      <c r="AA147" s="66" t="n">
        <f aca="false">-Inputs!$C$11*(1+Inputs!$C$12)^(AA$117-1)*1</f>
        <v>-4410</v>
      </c>
      <c r="AB147" s="66" t="n">
        <f aca="false">-Inputs!$C$11*(1+Inputs!$C$12)^(AB$117-1)*1</f>
        <v>-4410</v>
      </c>
      <c r="AC147" s="66" t="n">
        <f aca="false">-Inputs!$C$11*(1+Inputs!$C$12)^(AC$117-1)*1</f>
        <v>-4410</v>
      </c>
      <c r="AD147" s="66" t="n">
        <f aca="false">-Inputs!$C$11*(1+Inputs!$C$12)^(AD$117-1)*1</f>
        <v>-4410</v>
      </c>
      <c r="AE147" s="66" t="n">
        <f aca="false">-Inputs!$C$11*(1+Inputs!$C$12)^(AE$117-1)*1</f>
        <v>-4410</v>
      </c>
      <c r="AF147" s="66" t="n">
        <f aca="false">-Inputs!$C$11*(1+Inputs!$C$12)^(AF$117-1)*1</f>
        <v>-4410</v>
      </c>
      <c r="AG147" s="66" t="n">
        <f aca="false">-Inputs!$C$11*(1+Inputs!$C$12)^(AG$117-1)*1</f>
        <v>-4410</v>
      </c>
      <c r="AH147" s="66" t="n">
        <f aca="false">-Inputs!$C$11*(1+Inputs!$C$12)^(AH$117-1)*1</f>
        <v>-4410</v>
      </c>
      <c r="AI147" s="66" t="n">
        <f aca="false">-Inputs!$C$11*(1+Inputs!$C$12)^(AI$117-1)*1</f>
        <v>-4410</v>
      </c>
      <c r="AJ147" s="66" t="n">
        <f aca="false">-Inputs!$C$11*(1+Inputs!$C$12)^(AJ$117-1)*1</f>
        <v>-4410</v>
      </c>
      <c r="AK147" s="66" t="n">
        <f aca="false">-Inputs!$C$11*(1+Inputs!$C$12)^(AK$117-1)*1</f>
        <v>-4410</v>
      </c>
      <c r="AL147" s="66" t="n">
        <f aca="false">-Inputs!$C$11*(1+Inputs!$C$12)^(AL$117-1)*1</f>
        <v>-4410</v>
      </c>
    </row>
    <row r="148" customFormat="false" ht="15" hidden="false" customHeight="false" outlineLevel="0" collapsed="false">
      <c r="A148" s="6" t="s">
        <v>322</v>
      </c>
      <c r="C148" s="66" t="n">
        <f aca="false">-Inputs!$C$33*1</f>
        <v>-12000</v>
      </c>
      <c r="D148" s="66" t="n">
        <f aca="false">-Inputs!$C$33*1</f>
        <v>-12000</v>
      </c>
      <c r="E148" s="66" t="n">
        <f aca="false">-Inputs!$C$33*1</f>
        <v>-12000</v>
      </c>
      <c r="F148" s="66" t="n">
        <f aca="false">-Inputs!$C$33*1</f>
        <v>-12000</v>
      </c>
      <c r="G148" s="66" t="n">
        <f aca="false">-Inputs!$C$33*1</f>
        <v>-12000</v>
      </c>
      <c r="H148" s="66" t="n">
        <f aca="false">-Inputs!$C$33*1</f>
        <v>-12000</v>
      </c>
      <c r="I148" s="66" t="n">
        <f aca="false">-Inputs!$C$33*1</f>
        <v>-12000</v>
      </c>
      <c r="J148" s="66" t="n">
        <f aca="false">-Inputs!$C$33*1</f>
        <v>-12000</v>
      </c>
      <c r="K148" s="66" t="n">
        <f aca="false">-Inputs!$C$33*1</f>
        <v>-12000</v>
      </c>
      <c r="L148" s="66" t="n">
        <f aca="false">-Inputs!$C$33*1</f>
        <v>-12000</v>
      </c>
      <c r="M148" s="66" t="n">
        <f aca="false">-Inputs!$C$33*1</f>
        <v>-12000</v>
      </c>
      <c r="N148" s="66" t="n">
        <f aca="false">-Inputs!$C$33*1</f>
        <v>-12000</v>
      </c>
      <c r="O148" s="66" t="n">
        <f aca="false">-Inputs!$C$33*1</f>
        <v>-12000</v>
      </c>
      <c r="P148" s="66" t="n">
        <f aca="false">-Inputs!$C$33*1</f>
        <v>-12000</v>
      </c>
      <c r="Q148" s="66" t="n">
        <f aca="false">-Inputs!$C$33*1</f>
        <v>-12000</v>
      </c>
      <c r="R148" s="66" t="n">
        <f aca="false">-Inputs!$C$33*1</f>
        <v>-12000</v>
      </c>
      <c r="S148" s="66" t="n">
        <f aca="false">-Inputs!$C$33*1</f>
        <v>-12000</v>
      </c>
      <c r="T148" s="66" t="n">
        <f aca="false">-Inputs!$C$33*1</f>
        <v>-12000</v>
      </c>
      <c r="U148" s="66" t="n">
        <f aca="false">-Inputs!$C$33*1</f>
        <v>-12000</v>
      </c>
      <c r="V148" s="66" t="n">
        <f aca="false">-Inputs!$C$33*1</f>
        <v>-12000</v>
      </c>
      <c r="W148" s="66" t="n">
        <f aca="false">-Inputs!$C$33*1</f>
        <v>-12000</v>
      </c>
      <c r="X148" s="66" t="n">
        <f aca="false">-Inputs!$C$33*1</f>
        <v>-12000</v>
      </c>
      <c r="Y148" s="66" t="n">
        <f aca="false">-Inputs!$C$33*1</f>
        <v>-12000</v>
      </c>
      <c r="Z148" s="66" t="n">
        <f aca="false">-Inputs!$C$33*1</f>
        <v>-12000</v>
      </c>
      <c r="AA148" s="66" t="n">
        <f aca="false">-Inputs!$C$33*1</f>
        <v>-12000</v>
      </c>
      <c r="AB148" s="66" t="n">
        <f aca="false">-Inputs!$C$33*1</f>
        <v>-12000</v>
      </c>
      <c r="AC148" s="66" t="n">
        <f aca="false">-Inputs!$C$33*1</f>
        <v>-12000</v>
      </c>
      <c r="AD148" s="66" t="n">
        <f aca="false">-Inputs!$C$33*1</f>
        <v>-12000</v>
      </c>
      <c r="AE148" s="66" t="n">
        <f aca="false">-Inputs!$C$33*1</f>
        <v>-12000</v>
      </c>
      <c r="AF148" s="66" t="n">
        <f aca="false">-Inputs!$C$33*1</f>
        <v>-12000</v>
      </c>
      <c r="AG148" s="66" t="n">
        <f aca="false">-Inputs!$C$33*1</f>
        <v>-12000</v>
      </c>
      <c r="AH148" s="66" t="n">
        <f aca="false">-Inputs!$C$33*1</f>
        <v>-12000</v>
      </c>
      <c r="AI148" s="66" t="n">
        <f aca="false">-Inputs!$C$33*1</f>
        <v>-12000</v>
      </c>
      <c r="AJ148" s="66" t="n">
        <f aca="false">-Inputs!$C$33*1</f>
        <v>-12000</v>
      </c>
      <c r="AK148" s="66" t="n">
        <f aca="false">-Inputs!$C$33*1</f>
        <v>-12000</v>
      </c>
      <c r="AL148" s="66" t="n">
        <f aca="false">-Inputs!$C$33*1</f>
        <v>-12000</v>
      </c>
    </row>
    <row r="149" customFormat="false" ht="15" hidden="false" customHeight="false" outlineLevel="0" collapsed="false">
      <c r="A149" s="6" t="s">
        <v>323</v>
      </c>
      <c r="C149" s="66" t="n">
        <f aca="false">-Inputs!$C$34*1</f>
        <v>-2200</v>
      </c>
      <c r="D149" s="66" t="n">
        <f aca="false">-Inputs!$C$34*1</f>
        <v>-2200</v>
      </c>
      <c r="E149" s="66" t="n">
        <f aca="false">-Inputs!$C$34*1</f>
        <v>-2200</v>
      </c>
      <c r="F149" s="66" t="n">
        <f aca="false">-Inputs!$C$34*1</f>
        <v>-2200</v>
      </c>
      <c r="G149" s="66" t="n">
        <f aca="false">-Inputs!$C$34*1</f>
        <v>-2200</v>
      </c>
      <c r="H149" s="66" t="n">
        <f aca="false">-Inputs!$C$34*1</f>
        <v>-2200</v>
      </c>
      <c r="I149" s="66" t="n">
        <f aca="false">-Inputs!$C$34*1</f>
        <v>-2200</v>
      </c>
      <c r="J149" s="66" t="n">
        <f aca="false">-Inputs!$C$34*1</f>
        <v>-2200</v>
      </c>
      <c r="K149" s="66" t="n">
        <f aca="false">-Inputs!$C$34*1</f>
        <v>-2200</v>
      </c>
      <c r="L149" s="66" t="n">
        <f aca="false">-Inputs!$C$34*1</f>
        <v>-2200</v>
      </c>
      <c r="M149" s="66" t="n">
        <f aca="false">-Inputs!$C$34*1</f>
        <v>-2200</v>
      </c>
      <c r="N149" s="66" t="n">
        <f aca="false">-Inputs!$C$34*1</f>
        <v>-2200</v>
      </c>
      <c r="O149" s="66" t="n">
        <f aca="false">-Inputs!$C$34*1</f>
        <v>-2200</v>
      </c>
      <c r="P149" s="66" t="n">
        <f aca="false">-Inputs!$C$34*1</f>
        <v>-2200</v>
      </c>
      <c r="Q149" s="66" t="n">
        <f aca="false">-Inputs!$C$34*1</f>
        <v>-2200</v>
      </c>
      <c r="R149" s="66" t="n">
        <f aca="false">-Inputs!$C$34*1</f>
        <v>-2200</v>
      </c>
      <c r="S149" s="66" t="n">
        <f aca="false">-Inputs!$C$34*1</f>
        <v>-2200</v>
      </c>
      <c r="T149" s="66" t="n">
        <f aca="false">-Inputs!$C$34*1</f>
        <v>-2200</v>
      </c>
      <c r="U149" s="66" t="n">
        <f aca="false">-Inputs!$C$34*1</f>
        <v>-2200</v>
      </c>
      <c r="V149" s="66" t="n">
        <f aca="false">-Inputs!$C$34*1</f>
        <v>-2200</v>
      </c>
      <c r="W149" s="66" t="n">
        <f aca="false">-Inputs!$C$34*1</f>
        <v>-2200</v>
      </c>
      <c r="X149" s="66" t="n">
        <f aca="false">-Inputs!$C$34*1</f>
        <v>-2200</v>
      </c>
      <c r="Y149" s="66" t="n">
        <f aca="false">-Inputs!$C$34*1</f>
        <v>-2200</v>
      </c>
      <c r="Z149" s="66" t="n">
        <f aca="false">-Inputs!$C$34*1</f>
        <v>-2200</v>
      </c>
      <c r="AA149" s="66" t="n">
        <f aca="false">-Inputs!$C$34*1</f>
        <v>-2200</v>
      </c>
      <c r="AB149" s="66" t="n">
        <f aca="false">-Inputs!$C$34*1</f>
        <v>-2200</v>
      </c>
      <c r="AC149" s="66" t="n">
        <f aca="false">-Inputs!$C$34*1</f>
        <v>-2200</v>
      </c>
      <c r="AD149" s="66" t="n">
        <f aca="false">-Inputs!$C$34*1</f>
        <v>-2200</v>
      </c>
      <c r="AE149" s="66" t="n">
        <f aca="false">-Inputs!$C$34*1</f>
        <v>-2200</v>
      </c>
      <c r="AF149" s="66" t="n">
        <f aca="false">-Inputs!$C$34*1</f>
        <v>-2200</v>
      </c>
      <c r="AG149" s="66" t="n">
        <f aca="false">-Inputs!$C$34*1</f>
        <v>-2200</v>
      </c>
      <c r="AH149" s="66" t="n">
        <f aca="false">-Inputs!$C$34*1</f>
        <v>-2200</v>
      </c>
      <c r="AI149" s="66" t="n">
        <f aca="false">-Inputs!$C$34*1</f>
        <v>-2200</v>
      </c>
      <c r="AJ149" s="66" t="n">
        <f aca="false">-Inputs!$C$34*1</f>
        <v>-2200</v>
      </c>
      <c r="AK149" s="66" t="n">
        <f aca="false">-Inputs!$C$34*1</f>
        <v>-2200</v>
      </c>
      <c r="AL149" s="66" t="n">
        <f aca="false">-Inputs!$C$34*1</f>
        <v>-2200</v>
      </c>
    </row>
    <row r="150" customFormat="false" ht="15" hidden="false" customHeight="false" outlineLevel="0" collapsed="false">
      <c r="A150" s="6" t="s">
        <v>324</v>
      </c>
      <c r="C150" s="66" t="n">
        <f aca="false">-Inputs!$C$35*1</f>
        <v>-1800</v>
      </c>
      <c r="D150" s="66" t="n">
        <f aca="false">-Inputs!$C$35*1</f>
        <v>-1800</v>
      </c>
      <c r="E150" s="66" t="n">
        <f aca="false">-Inputs!$C$35*1</f>
        <v>-1800</v>
      </c>
      <c r="F150" s="66" t="n">
        <f aca="false">-Inputs!$C$35*1</f>
        <v>-1800</v>
      </c>
      <c r="G150" s="66" t="n">
        <f aca="false">-Inputs!$C$35*1</f>
        <v>-1800</v>
      </c>
      <c r="H150" s="66" t="n">
        <f aca="false">-Inputs!$C$35*1</f>
        <v>-1800</v>
      </c>
      <c r="I150" s="66" t="n">
        <f aca="false">-Inputs!$C$35*1</f>
        <v>-1800</v>
      </c>
      <c r="J150" s="66" t="n">
        <f aca="false">-Inputs!$C$35*1</f>
        <v>-1800</v>
      </c>
      <c r="K150" s="66" t="n">
        <f aca="false">-Inputs!$C$35*1</f>
        <v>-1800</v>
      </c>
      <c r="L150" s="66" t="n">
        <f aca="false">-Inputs!$C$35*1</f>
        <v>-1800</v>
      </c>
      <c r="M150" s="66" t="n">
        <f aca="false">-Inputs!$C$35*1</f>
        <v>-1800</v>
      </c>
      <c r="N150" s="66" t="n">
        <f aca="false">-Inputs!$C$35*1</f>
        <v>-1800</v>
      </c>
      <c r="O150" s="66" t="n">
        <f aca="false">-Inputs!$C$35*1</f>
        <v>-1800</v>
      </c>
      <c r="P150" s="66" t="n">
        <f aca="false">-Inputs!$C$35*1</f>
        <v>-1800</v>
      </c>
      <c r="Q150" s="66" t="n">
        <f aca="false">-Inputs!$C$35*1</f>
        <v>-1800</v>
      </c>
      <c r="R150" s="66" t="n">
        <f aca="false">-Inputs!$C$35*1</f>
        <v>-1800</v>
      </c>
      <c r="S150" s="66" t="n">
        <f aca="false">-Inputs!$C$35*1</f>
        <v>-1800</v>
      </c>
      <c r="T150" s="66" t="n">
        <f aca="false">-Inputs!$C$35*1</f>
        <v>-1800</v>
      </c>
      <c r="U150" s="66" t="n">
        <f aca="false">-Inputs!$C$35*1</f>
        <v>-1800</v>
      </c>
      <c r="V150" s="66" t="n">
        <f aca="false">-Inputs!$C$35*1</f>
        <v>-1800</v>
      </c>
      <c r="W150" s="66" t="n">
        <f aca="false">-Inputs!$C$35*1</f>
        <v>-1800</v>
      </c>
      <c r="X150" s="66" t="n">
        <f aca="false">-Inputs!$C$35*1</f>
        <v>-1800</v>
      </c>
      <c r="Y150" s="66" t="n">
        <f aca="false">-Inputs!$C$35*1</f>
        <v>-1800</v>
      </c>
      <c r="Z150" s="66" t="n">
        <f aca="false">-Inputs!$C$35*1</f>
        <v>-1800</v>
      </c>
      <c r="AA150" s="66" t="n">
        <f aca="false">-Inputs!$C$35*1</f>
        <v>-1800</v>
      </c>
      <c r="AB150" s="66" t="n">
        <f aca="false">-Inputs!$C$35*1</f>
        <v>-1800</v>
      </c>
      <c r="AC150" s="66" t="n">
        <f aca="false">-Inputs!$C$35*1</f>
        <v>-1800</v>
      </c>
      <c r="AD150" s="66" t="n">
        <f aca="false">-Inputs!$C$35*1</f>
        <v>-1800</v>
      </c>
      <c r="AE150" s="66" t="n">
        <f aca="false">-Inputs!$C$35*1</f>
        <v>-1800</v>
      </c>
      <c r="AF150" s="66" t="n">
        <f aca="false">-Inputs!$C$35*1</f>
        <v>-1800</v>
      </c>
      <c r="AG150" s="66" t="n">
        <f aca="false">-Inputs!$C$35*1</f>
        <v>-1800</v>
      </c>
      <c r="AH150" s="66" t="n">
        <f aca="false">-Inputs!$C$35*1</f>
        <v>-1800</v>
      </c>
      <c r="AI150" s="66" t="n">
        <f aca="false">-Inputs!$C$35*1</f>
        <v>-1800</v>
      </c>
      <c r="AJ150" s="66" t="n">
        <f aca="false">-Inputs!$C$35*1</f>
        <v>-1800</v>
      </c>
      <c r="AK150" s="66" t="n">
        <f aca="false">-Inputs!$C$35*1</f>
        <v>-1800</v>
      </c>
      <c r="AL150" s="66" t="n">
        <f aca="false">-Inputs!$C$35*1</f>
        <v>-1800</v>
      </c>
    </row>
    <row r="151" customFormat="false" ht="15" hidden="false" customHeight="false" outlineLevel="0" collapsed="false">
      <c r="A151" s="6" t="s">
        <v>325</v>
      </c>
      <c r="C151" s="66" t="n">
        <f aca="false">-C136*Inputs!$C$36</f>
        <v>-724.92</v>
      </c>
      <c r="D151" s="66" t="n">
        <f aca="false">-D136*Inputs!$C$36</f>
        <v>-853.98432</v>
      </c>
      <c r="E151" s="66" t="n">
        <f aca="false">-E136*Inputs!$C$36</f>
        <v>-975.3047808</v>
      </c>
      <c r="F151" s="66" t="n">
        <f aca="false">-F136*Inputs!$C$36</f>
        <v>-1089.346013952</v>
      </c>
      <c r="G151" s="66" t="n">
        <f aca="false">-G136*Inputs!$C$36</f>
        <v>-1196.54477311488</v>
      </c>
      <c r="H151" s="66" t="n">
        <f aca="false">-H136*Inputs!$C$36</f>
        <v>-1297.31160672799</v>
      </c>
      <c r="I151" s="66" t="n">
        <f aca="false">-I136*Inputs!$C$36</f>
        <v>-1392.03243032431</v>
      </c>
      <c r="J151" s="66" t="n">
        <f aca="false">-J136*Inputs!$C$36</f>
        <v>-1481.07000450485</v>
      </c>
      <c r="K151" s="66" t="n">
        <f aca="false">-K136*Inputs!$C$36</f>
        <v>-1564.76532423456</v>
      </c>
      <c r="L151" s="66" t="n">
        <f aca="false">-L136*Inputs!$C$36</f>
        <v>-1643.43892478048</v>
      </c>
      <c r="M151" s="66" t="n">
        <f aca="false">-M136*Inputs!$C$36</f>
        <v>-1717.39210929366</v>
      </c>
      <c r="N151" s="66" t="n">
        <f aca="false">-N136*Inputs!$C$36</f>
        <v>-1786.90810273604</v>
      </c>
      <c r="O151" s="66" t="n">
        <f aca="false">-O136*Inputs!$C$36</f>
        <v>-1919.03026186903</v>
      </c>
      <c r="P151" s="66" t="n">
        <f aca="false">-P136*Inputs!$C$36</f>
        <v>-1994.40929303689</v>
      </c>
      <c r="Q151" s="66" t="n">
        <f aca="false">-Q136*Inputs!$C$36</f>
        <v>-2065.26558233467</v>
      </c>
      <c r="R151" s="66" t="n">
        <f aca="false">-R136*Inputs!$C$36</f>
        <v>-2131.87049427459</v>
      </c>
      <c r="S151" s="66" t="n">
        <f aca="false">-S136*Inputs!$C$36</f>
        <v>-2194.47911149812</v>
      </c>
      <c r="T151" s="66" t="n">
        <f aca="false">-T136*Inputs!$C$36</f>
        <v>-2253.33121168823</v>
      </c>
      <c r="U151" s="66" t="n">
        <f aca="false">-U136*Inputs!$C$36</f>
        <v>-2308.65218586694</v>
      </c>
      <c r="V151" s="66" t="n">
        <f aca="false">-V136*Inputs!$C$36</f>
        <v>-2335.77482550356</v>
      </c>
      <c r="W151" s="66" t="n">
        <f aca="false">-W136*Inputs!$C$36</f>
        <v>-2338.6356</v>
      </c>
      <c r="X151" s="66" t="n">
        <f aca="false">-X136*Inputs!$C$36</f>
        <v>-2338.6356</v>
      </c>
      <c r="Y151" s="66" t="n">
        <f aca="false">-Y136*Inputs!$C$36</f>
        <v>-2338.6356</v>
      </c>
      <c r="Z151" s="66" t="n">
        <f aca="false">-Z136*Inputs!$C$36</f>
        <v>-2338.6356</v>
      </c>
      <c r="AA151" s="66" t="n">
        <f aca="false">-AA136*Inputs!$C$36</f>
        <v>-2408.794668</v>
      </c>
      <c r="AB151" s="66" t="n">
        <f aca="false">-AB136*Inputs!$C$36</f>
        <v>-2408.794668</v>
      </c>
      <c r="AC151" s="66" t="n">
        <f aca="false">-AC136*Inputs!$C$36</f>
        <v>-2408.794668</v>
      </c>
      <c r="AD151" s="66" t="n">
        <f aca="false">-AD136*Inputs!$C$36</f>
        <v>-2408.794668</v>
      </c>
      <c r="AE151" s="66" t="n">
        <f aca="false">-AE136*Inputs!$C$36</f>
        <v>-2408.794668</v>
      </c>
      <c r="AF151" s="66" t="n">
        <f aca="false">-AF136*Inputs!$C$36</f>
        <v>-2408.794668</v>
      </c>
      <c r="AG151" s="66" t="n">
        <f aca="false">-AG136*Inputs!$C$36</f>
        <v>-2408.794668</v>
      </c>
      <c r="AH151" s="66" t="n">
        <f aca="false">-AH136*Inputs!$C$36</f>
        <v>-2408.794668</v>
      </c>
      <c r="AI151" s="66" t="n">
        <f aca="false">-AI136*Inputs!$C$36</f>
        <v>-2408.794668</v>
      </c>
      <c r="AJ151" s="66" t="n">
        <f aca="false">-AJ136*Inputs!$C$36</f>
        <v>-2408.794668</v>
      </c>
      <c r="AK151" s="66" t="n">
        <f aca="false">-AK136*Inputs!$C$36</f>
        <v>-2408.794668</v>
      </c>
      <c r="AL151" s="66" t="n">
        <f aca="false">-AL136*Inputs!$C$36</f>
        <v>-2408.794668</v>
      </c>
    </row>
    <row r="152" customFormat="false" ht="15" hidden="false" customHeight="false" outlineLevel="0" collapsed="false">
      <c r="A152" s="6" t="s">
        <v>326</v>
      </c>
      <c r="C152" s="66" t="n">
        <f aca="false">-Inputs!$C$37*1</f>
        <v>-2000</v>
      </c>
      <c r="D152" s="66" t="n">
        <f aca="false">-Inputs!$C$37*1</f>
        <v>-2000</v>
      </c>
      <c r="E152" s="66" t="n">
        <f aca="false">-Inputs!$C$37*1</f>
        <v>-2000</v>
      </c>
      <c r="F152" s="66" t="n">
        <f aca="false">-Inputs!$C$37*1</f>
        <v>-2000</v>
      </c>
      <c r="G152" s="66" t="n">
        <f aca="false">-Inputs!$C$37*1</f>
        <v>-2000</v>
      </c>
      <c r="H152" s="66" t="n">
        <f aca="false">-Inputs!$C$37*1</f>
        <v>-2000</v>
      </c>
      <c r="I152" s="66" t="n">
        <f aca="false">-Inputs!$C$37*1</f>
        <v>-2000</v>
      </c>
      <c r="J152" s="66" t="n">
        <f aca="false">-Inputs!$C$37*1</f>
        <v>-2000</v>
      </c>
      <c r="K152" s="66" t="n">
        <f aca="false">-Inputs!$C$37*1</f>
        <v>-2000</v>
      </c>
      <c r="L152" s="66" t="n">
        <f aca="false">-Inputs!$C$37*1</f>
        <v>-2000</v>
      </c>
      <c r="M152" s="66" t="n">
        <f aca="false">-Inputs!$C$37*1</f>
        <v>-2000</v>
      </c>
      <c r="N152" s="66" t="n">
        <f aca="false">-Inputs!$C$37*1</f>
        <v>-2000</v>
      </c>
      <c r="O152" s="66" t="n">
        <f aca="false">-Inputs!$C$37*1</f>
        <v>-2000</v>
      </c>
      <c r="P152" s="66" t="n">
        <f aca="false">-Inputs!$C$37*1</f>
        <v>-2000</v>
      </c>
      <c r="Q152" s="66" t="n">
        <f aca="false">-Inputs!$C$37*1</f>
        <v>-2000</v>
      </c>
      <c r="R152" s="66" t="n">
        <f aca="false">-Inputs!$C$37*1</f>
        <v>-2000</v>
      </c>
      <c r="S152" s="66" t="n">
        <f aca="false">-Inputs!$C$37*1</f>
        <v>-2000</v>
      </c>
      <c r="T152" s="66" t="n">
        <f aca="false">-Inputs!$C$37*1</f>
        <v>-2000</v>
      </c>
      <c r="U152" s="66" t="n">
        <f aca="false">-Inputs!$C$37*1</f>
        <v>-2000</v>
      </c>
      <c r="V152" s="66" t="n">
        <f aca="false">-Inputs!$C$37*1</f>
        <v>-2000</v>
      </c>
      <c r="W152" s="66" t="n">
        <f aca="false">-Inputs!$C$37*1</f>
        <v>-2000</v>
      </c>
      <c r="X152" s="66" t="n">
        <f aca="false">-Inputs!$C$37*1</f>
        <v>-2000</v>
      </c>
      <c r="Y152" s="66" t="n">
        <f aca="false">-Inputs!$C$37*1</f>
        <v>-2000</v>
      </c>
      <c r="Z152" s="66" t="n">
        <f aca="false">-Inputs!$C$37*1</f>
        <v>-2000</v>
      </c>
      <c r="AA152" s="66" t="n">
        <f aca="false">-Inputs!$C$37*1</f>
        <v>-2000</v>
      </c>
      <c r="AB152" s="66" t="n">
        <f aca="false">-Inputs!$C$37*1</f>
        <v>-2000</v>
      </c>
      <c r="AC152" s="66" t="n">
        <f aca="false">-Inputs!$C$37*1</f>
        <v>-2000</v>
      </c>
      <c r="AD152" s="66" t="n">
        <f aca="false">-Inputs!$C$37*1</f>
        <v>-2000</v>
      </c>
      <c r="AE152" s="66" t="n">
        <f aca="false">-Inputs!$C$37*1</f>
        <v>-2000</v>
      </c>
      <c r="AF152" s="66" t="n">
        <f aca="false">-Inputs!$C$37*1</f>
        <v>-2000</v>
      </c>
      <c r="AG152" s="66" t="n">
        <f aca="false">-Inputs!$C$37*1</f>
        <v>-2000</v>
      </c>
      <c r="AH152" s="66" t="n">
        <f aca="false">-Inputs!$C$37*1</f>
        <v>-2000</v>
      </c>
      <c r="AI152" s="66" t="n">
        <f aca="false">-Inputs!$C$37*1</f>
        <v>-2000</v>
      </c>
      <c r="AJ152" s="66" t="n">
        <f aca="false">-Inputs!$C$37*1</f>
        <v>-2000</v>
      </c>
      <c r="AK152" s="66" t="n">
        <f aca="false">-Inputs!$C$37*1</f>
        <v>-2000</v>
      </c>
      <c r="AL152" s="66" t="n">
        <f aca="false">-Inputs!$C$37*1</f>
        <v>-2000</v>
      </c>
    </row>
    <row r="153" customFormat="false" ht="15" hidden="false" customHeight="false" outlineLevel="0" collapsed="false">
      <c r="A153" s="110" t="s">
        <v>76</v>
      </c>
      <c r="C153" s="67" t="n">
        <f aca="false">C146+C147+C148+C149+C150+C151+C152</f>
        <v>-36566.5866666667</v>
      </c>
      <c r="D153" s="67" t="n">
        <f aca="false">D146+D147+D148+D149+D150+D151+D152</f>
        <v>-36695.6509866667</v>
      </c>
      <c r="E153" s="67" t="n">
        <f aca="false">E146+E147+E148+E149+E150+E151+E152</f>
        <v>-36816.9714474667</v>
      </c>
      <c r="F153" s="67" t="n">
        <f aca="false">F146+F147+F148+F149+F150+F151+F152</f>
        <v>-36931.0126806187</v>
      </c>
      <c r="G153" s="67" t="n">
        <f aca="false">G146+G147+G148+G149+G150+G151+G152</f>
        <v>-37038.2114397816</v>
      </c>
      <c r="H153" s="67" t="n">
        <f aca="false">H146+H147+H148+H149+H150+H151+H152</f>
        <v>-37138.9782733947</v>
      </c>
      <c r="I153" s="67" t="n">
        <f aca="false">I146+I147+I148+I149+I150+I151+I152</f>
        <v>-37233.699096991</v>
      </c>
      <c r="J153" s="67" t="n">
        <f aca="false">J146+J147+J148+J149+J150+J151+J152</f>
        <v>-37322.7366711715</v>
      </c>
      <c r="K153" s="67" t="n">
        <f aca="false">K146+K147+K148+K149+K150+K151+K152</f>
        <v>-37406.4319909012</v>
      </c>
      <c r="L153" s="67" t="n">
        <f aca="false">L146+L147+L148+L149+L150+L151+L152</f>
        <v>-37485.1055914472</v>
      </c>
      <c r="M153" s="67" t="n">
        <f aca="false">M146+M147+M148+M149+M150+M151+M152</f>
        <v>-37559.0587759603</v>
      </c>
      <c r="N153" s="67" t="n">
        <f aca="false">N146+N147+N148+N149+N150+N151+N152</f>
        <v>-37628.5747694027</v>
      </c>
      <c r="O153" s="67" t="n">
        <f aca="false">O146+O147+O148+O149+O150+O151+O152</f>
        <v>-38375.9469285357</v>
      </c>
      <c r="P153" s="67" t="n">
        <f aca="false">P146+P147+P148+P149+P150+P151+P152</f>
        <v>-38451.3259597036</v>
      </c>
      <c r="Q153" s="67" t="n">
        <f aca="false">Q146+Q147+Q148+Q149+Q150+Q151+Q152</f>
        <v>-38522.1822490013</v>
      </c>
      <c r="R153" s="67" t="n">
        <f aca="false">R146+R147+R148+R149+R150+R151+R152</f>
        <v>-38588.7871609413</v>
      </c>
      <c r="S153" s="67" t="n">
        <f aca="false">S146+S147+S148+S149+S150+S151+S152</f>
        <v>-38651.3957781648</v>
      </c>
      <c r="T153" s="67" t="n">
        <f aca="false">T146+T147+T148+T149+T150+T151+T152</f>
        <v>-38710.2478783549</v>
      </c>
      <c r="U153" s="67" t="n">
        <f aca="false">U146+U147+U148+U149+U150+U151+U152</f>
        <v>-38765.5688525336</v>
      </c>
      <c r="V153" s="67" t="n">
        <f aca="false">V146+V147+V148+V149+V150+V151+V152</f>
        <v>-38792.6914921702</v>
      </c>
      <c r="W153" s="67" t="n">
        <f aca="false">W146+W147+W148+W149+W150+W151+W152</f>
        <v>-38795.5522666667</v>
      </c>
      <c r="X153" s="67" t="n">
        <f aca="false">X146+X147+X148+X149+X150+X151+X152</f>
        <v>-38795.5522666667</v>
      </c>
      <c r="Y153" s="67" t="n">
        <f aca="false">Y146+Y147+Y148+Y149+Y150+Y151+Y152</f>
        <v>-38795.5522666667</v>
      </c>
      <c r="Z153" s="67" t="n">
        <f aca="false">Z146+Z147+Z148+Z149+Z150+Z151+Z152</f>
        <v>-38795.5522666667</v>
      </c>
      <c r="AA153" s="67" t="n">
        <f aca="false">AA146+AA147+AA148+AA149+AA150+AA151+AA152</f>
        <v>-39503.4188346667</v>
      </c>
      <c r="AB153" s="67" t="n">
        <f aca="false">AB146+AB147+AB148+AB149+AB150+AB151+AB152</f>
        <v>-39503.4188346667</v>
      </c>
      <c r="AC153" s="67" t="n">
        <f aca="false">AC146+AC147+AC148+AC149+AC150+AC151+AC152</f>
        <v>-39503.4188346667</v>
      </c>
      <c r="AD153" s="67" t="n">
        <f aca="false">AD146+AD147+AD148+AD149+AD150+AD151+AD152</f>
        <v>-39503.4188346667</v>
      </c>
      <c r="AE153" s="67" t="n">
        <f aca="false">AE146+AE147+AE148+AE149+AE150+AE151+AE152</f>
        <v>-39503.4188346667</v>
      </c>
      <c r="AF153" s="67" t="n">
        <f aca="false">AF146+AF147+AF148+AF149+AF150+AF151+AF152</f>
        <v>-39503.4188346667</v>
      </c>
      <c r="AG153" s="67" t="n">
        <f aca="false">AG146+AG147+AG148+AG149+AG150+AG151+AG152</f>
        <v>-39503.4188346667</v>
      </c>
      <c r="AH153" s="67" t="n">
        <f aca="false">AH146+AH147+AH148+AH149+AH150+AH151+AH152</f>
        <v>-39503.4188346667</v>
      </c>
      <c r="AI153" s="67" t="n">
        <f aca="false">AI146+AI147+AI148+AI149+AI150+AI151+AI152</f>
        <v>-39503.4188346667</v>
      </c>
      <c r="AJ153" s="67" t="n">
        <f aca="false">AJ146+AJ147+AJ148+AJ149+AJ150+AJ151+AJ152</f>
        <v>-39503.4188346667</v>
      </c>
      <c r="AK153" s="67" t="n">
        <f aca="false">AK146+AK147+AK148+AK149+AK150+AK151+AK152</f>
        <v>-39503.4188346667</v>
      </c>
      <c r="AL153" s="67" t="n">
        <f aca="false">AL146+AL147+AL148+AL149+AL150+AL151+AL152</f>
        <v>-39503.4188346667</v>
      </c>
    </row>
    <row r="154" customFormat="false" ht="15" hidden="false" customHeight="false" outlineLevel="0" collapsed="false">
      <c r="A154" s="110" t="s">
        <v>48</v>
      </c>
      <c r="C154" s="67" t="n">
        <f aca="false">C143+C153</f>
        <v>-27858.9366666667</v>
      </c>
      <c r="D154" s="67" t="n">
        <f aca="false">D143+D153</f>
        <v>-25078.2919866667</v>
      </c>
      <c r="E154" s="67" t="n">
        <f aca="false">E143+E153</f>
        <v>-22464.4859874667</v>
      </c>
      <c r="F154" s="67" t="n">
        <f aca="false">F143+F153</f>
        <v>-20007.5083482187</v>
      </c>
      <c r="G154" s="67" t="n">
        <f aca="false">G143+G153</f>
        <v>-17697.9493673256</v>
      </c>
      <c r="H154" s="67" t="n">
        <f aca="false">H143+H153</f>
        <v>-15526.963925286</v>
      </c>
      <c r="I154" s="67" t="n">
        <f aca="false">I143+I153</f>
        <v>-13486.2376097689</v>
      </c>
      <c r="J154" s="67" t="n">
        <f aca="false">J143+J153</f>
        <v>-11567.9548731827</v>
      </c>
      <c r="K154" s="67" t="n">
        <f aca="false">K143+K153</f>
        <v>-9764.76910079178</v>
      </c>
      <c r="L154" s="67" t="n">
        <f aca="false">L143+L153</f>
        <v>-8069.77447474427</v>
      </c>
      <c r="M154" s="67" t="n">
        <f aca="false">M143+M153</f>
        <v>-6476.47952625962</v>
      </c>
      <c r="N154" s="67" t="n">
        <f aca="false">N143+N153</f>
        <v>-4978.78227468404</v>
      </c>
      <c r="O154" s="67" t="n">
        <f aca="false">O143+O153</f>
        <v>-2964.3760051491</v>
      </c>
      <c r="P154" s="67" t="n">
        <f aca="false">P143+P153</f>
        <v>-1340.36169972015</v>
      </c>
      <c r="Q154" s="67" t="n">
        <f aca="false">Q143+Q153</f>
        <v>186.211747383044</v>
      </c>
      <c r="R154" s="67" t="n">
        <f aca="false">R143+R153</f>
        <v>1621.19078766005</v>
      </c>
      <c r="S154" s="67" t="n">
        <f aca="false">S143+S153</f>
        <v>2970.07108552046</v>
      </c>
      <c r="T154" s="67" t="n">
        <f aca="false">T143+T153</f>
        <v>4238.01856550924</v>
      </c>
      <c r="U154" s="67" t="n">
        <f aca="false">U143+U153</f>
        <v>5429.88919669868</v>
      </c>
      <c r="V154" s="67" t="n">
        <f aca="false">V143+V153</f>
        <v>5987.17291263794</v>
      </c>
      <c r="W154" s="67" t="n">
        <f aca="false">W143+W153</f>
        <v>6027.98773333333</v>
      </c>
      <c r="X154" s="67" t="n">
        <f aca="false">X143+X153</f>
        <v>6027.98773333333</v>
      </c>
      <c r="Y154" s="67" t="n">
        <f aca="false">Y143+Y153</f>
        <v>6027.98773333333</v>
      </c>
      <c r="Z154" s="67" t="n">
        <f aca="false">Z143+Z153</f>
        <v>6027.98773333333</v>
      </c>
      <c r="AA154" s="67" t="n">
        <f aca="false">AA143+AA153</f>
        <v>6664.82736533334</v>
      </c>
      <c r="AB154" s="67" t="n">
        <f aca="false">AB143+AB153</f>
        <v>6664.82736533334</v>
      </c>
      <c r="AC154" s="67" t="n">
        <f aca="false">AC143+AC153</f>
        <v>6664.82736533334</v>
      </c>
      <c r="AD154" s="67" t="n">
        <f aca="false">AD143+AD153</f>
        <v>6664.82736533334</v>
      </c>
      <c r="AE154" s="67" t="n">
        <f aca="false">AE143+AE153</f>
        <v>6664.82736533334</v>
      </c>
      <c r="AF154" s="67" t="n">
        <f aca="false">AF143+AF153</f>
        <v>6664.82736533334</v>
      </c>
      <c r="AG154" s="67" t="n">
        <f aca="false">AG143+AG153</f>
        <v>6664.82736533334</v>
      </c>
      <c r="AH154" s="67" t="n">
        <f aca="false">AH143+AH153</f>
        <v>6664.82736533334</v>
      </c>
      <c r="AI154" s="67" t="n">
        <f aca="false">AI143+AI153</f>
        <v>6664.82736533334</v>
      </c>
      <c r="AJ154" s="67" t="n">
        <f aca="false">AJ143+AJ153</f>
        <v>6664.82736533334</v>
      </c>
      <c r="AK154" s="67" t="n">
        <f aca="false">AK143+AK153</f>
        <v>6664.82736533334</v>
      </c>
      <c r="AL154" s="67" t="n">
        <f aca="false">AL143+AL153</f>
        <v>6664.82736533334</v>
      </c>
    </row>
    <row r="156" customFormat="false" ht="15.75" hidden="false" customHeight="true" outlineLevel="0" collapsed="false">
      <c r="A156" s="7" t="s">
        <v>387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</row>
    <row r="157" customFormat="false" ht="15" hidden="false" customHeight="false" outlineLevel="0" collapsed="false">
      <c r="A157" s="4" t="s">
        <v>78</v>
      </c>
      <c r="C157" s="72" t="n">
        <f aca="false">C154+C168</f>
        <v>-30835.1271428571</v>
      </c>
      <c r="D157" s="72" t="n">
        <f aca="false">D154+D168</f>
        <v>-28054.4824628572</v>
      </c>
      <c r="E157" s="72" t="n">
        <f aca="false">E154+E168</f>
        <v>-25440.6764636572</v>
      </c>
      <c r="F157" s="72" t="n">
        <f aca="false">F154+F168</f>
        <v>-22983.6988244092</v>
      </c>
      <c r="G157" s="72" t="n">
        <f aca="false">G154+G168</f>
        <v>-20674.139843516</v>
      </c>
      <c r="H157" s="72" t="n">
        <f aca="false">H154+H168</f>
        <v>-18503.1544014765</v>
      </c>
      <c r="I157" s="72" t="n">
        <f aca="false">I154+I168</f>
        <v>-16462.4280859593</v>
      </c>
      <c r="J157" s="72" t="n">
        <f aca="false">J154+J168</f>
        <v>-14544.1453493732</v>
      </c>
      <c r="K157" s="72" t="n">
        <f aca="false">K154+K168</f>
        <v>-12740.9595769823</v>
      </c>
      <c r="L157" s="72" t="n">
        <f aca="false">L154+L168</f>
        <v>-11045.9649509347</v>
      </c>
      <c r="M157" s="72" t="n">
        <f aca="false">M154+M168</f>
        <v>-9452.67000245009</v>
      </c>
      <c r="N157" s="72" t="n">
        <f aca="false">N154+N168</f>
        <v>-7954.97275087452</v>
      </c>
      <c r="O157" s="72" t="n">
        <f aca="false">O154+O168</f>
        <v>-5940.56648133957</v>
      </c>
      <c r="P157" s="72" t="n">
        <f aca="false">P154+P168</f>
        <v>-4316.55217591062</v>
      </c>
      <c r="Q157" s="72" t="n">
        <f aca="false">Q154+Q168</f>
        <v>-2789.97872880743</v>
      </c>
      <c r="R157" s="72" t="n">
        <f aca="false">R154+R168</f>
        <v>-1354.99968853042</v>
      </c>
      <c r="S157" s="72" t="n">
        <f aca="false">S154+S168</f>
        <v>-6.1193906700164</v>
      </c>
      <c r="T157" s="72" t="n">
        <f aca="false">T154+T168</f>
        <v>1261.82808931876</v>
      </c>
      <c r="U157" s="72" t="n">
        <f aca="false">U154+U168</f>
        <v>2453.6987205082</v>
      </c>
      <c r="V157" s="72" t="n">
        <f aca="false">V154+V168</f>
        <v>3010.98243644747</v>
      </c>
      <c r="W157" s="72" t="n">
        <f aca="false">W154+W168</f>
        <v>3051.79725714285</v>
      </c>
      <c r="X157" s="72" t="n">
        <f aca="false">X154+X168</f>
        <v>3051.79725714285</v>
      </c>
      <c r="Y157" s="72" t="n">
        <f aca="false">Y154+Y168</f>
        <v>3051.79725714285</v>
      </c>
      <c r="Z157" s="72" t="n">
        <f aca="false">Z154+Z168</f>
        <v>3051.79725714285</v>
      </c>
      <c r="AA157" s="72" t="n">
        <f aca="false">AA154+AA168</f>
        <v>3688.63688914286</v>
      </c>
      <c r="AB157" s="72" t="n">
        <f aca="false">AB154+AB168</f>
        <v>3688.63688914286</v>
      </c>
      <c r="AC157" s="72" t="n">
        <f aca="false">AC154+AC168</f>
        <v>3688.63688914286</v>
      </c>
      <c r="AD157" s="72" t="n">
        <f aca="false">AD154+AD168</f>
        <v>3688.63688914286</v>
      </c>
      <c r="AE157" s="72" t="n">
        <f aca="false">AE154+AE168</f>
        <v>3688.63688914286</v>
      </c>
      <c r="AF157" s="72" t="n">
        <f aca="false">AF154+AF168</f>
        <v>3688.63688914286</v>
      </c>
      <c r="AG157" s="72" t="n">
        <f aca="false">AG154+AG168</f>
        <v>3688.63688914286</v>
      </c>
      <c r="AH157" s="72" t="n">
        <f aca="false">AH154+AH168</f>
        <v>3688.63688914286</v>
      </c>
      <c r="AI157" s="72" t="n">
        <f aca="false">AI154+AI168</f>
        <v>3688.63688914286</v>
      </c>
      <c r="AJ157" s="72" t="n">
        <f aca="false">AJ154+AJ168</f>
        <v>3688.63688914286</v>
      </c>
      <c r="AK157" s="72" t="n">
        <f aca="false">AK154+AK168</f>
        <v>3688.63688914286</v>
      </c>
      <c r="AL157" s="72" t="n">
        <f aca="false">AL154+AL168</f>
        <v>3688.63688914286</v>
      </c>
    </row>
    <row r="158" customFormat="false" ht="15" hidden="false" customHeight="false" outlineLevel="0" collapsed="false">
      <c r="A158" s="6" t="s">
        <v>388</v>
      </c>
      <c r="C158" s="66" t="n">
        <f aca="false">-(C173+C174+C176)/2*Inputs!$C$56/12</f>
        <v>-1000</v>
      </c>
      <c r="D158" s="66" t="n">
        <f aca="false">-(D173+D174+D176)/2*Inputs!$C$56/12</f>
        <v>-994.047619047619</v>
      </c>
      <c r="E158" s="66" t="n">
        <f aca="false">-(E173+E174+E176)/2*Inputs!$C$56/12</f>
        <v>-982.142857142857</v>
      </c>
      <c r="F158" s="66" t="n">
        <f aca="false">-(F173+F174+F176)/2*Inputs!$C$56/12</f>
        <v>-970.238095238095</v>
      </c>
      <c r="G158" s="66" t="n">
        <f aca="false">-(G173+G174+G176)/2*Inputs!$C$56/12</f>
        <v>-958.333333333333</v>
      </c>
      <c r="H158" s="66" t="n">
        <f aca="false">-(H173+H174+H176)/2*Inputs!$C$56/12</f>
        <v>-946.428571428571</v>
      </c>
      <c r="I158" s="66" t="n">
        <f aca="false">-(I173+I174+I176)/2*Inputs!$C$56/12</f>
        <v>-934.52380952381</v>
      </c>
      <c r="J158" s="66" t="n">
        <f aca="false">-(J173+J174+J176)/2*Inputs!$C$56/12</f>
        <v>-922.619047619047</v>
      </c>
      <c r="K158" s="66" t="n">
        <f aca="false">-(K173+K174+K176)/2*Inputs!$C$56/12</f>
        <v>-910.714285714286</v>
      </c>
      <c r="L158" s="66" t="n">
        <f aca="false">-(L173+L174+L176)/2*Inputs!$C$56/12</f>
        <v>-898.809523809524</v>
      </c>
      <c r="M158" s="66" t="n">
        <f aca="false">-(M173+M174+M176)/2*Inputs!$C$56/12</f>
        <v>-886.904761904762</v>
      </c>
      <c r="N158" s="66" t="n">
        <f aca="false">-(N173+N174+N176)/2*Inputs!$C$56/12</f>
        <v>-875</v>
      </c>
      <c r="O158" s="66" t="n">
        <f aca="false">-(O173+O174+O176)/2*Inputs!$C$56/12</f>
        <v>-863.095238095238</v>
      </c>
      <c r="P158" s="66" t="n">
        <f aca="false">-(P173+P174+P176)/2*Inputs!$C$56/12</f>
        <v>-851.190476190476</v>
      </c>
      <c r="Q158" s="66" t="n">
        <f aca="false">-(Q173+Q174+Q176)/2*Inputs!$C$56/12</f>
        <v>-839.285714285714</v>
      </c>
      <c r="R158" s="66" t="n">
        <f aca="false">-(R173+R174+R176)/2*Inputs!$C$56/12</f>
        <v>-827.380952380952</v>
      </c>
      <c r="S158" s="66" t="n">
        <f aca="false">-(S173+S174+S176)/2*Inputs!$C$56/12</f>
        <v>-815.47619047619</v>
      </c>
      <c r="T158" s="66" t="n">
        <f aca="false">-(T173+T174+T176)/2*Inputs!$C$56/12</f>
        <v>-803.571428571428</v>
      </c>
      <c r="U158" s="66" t="n">
        <f aca="false">-(U173+U174+U176)/2*Inputs!$C$56/12</f>
        <v>-791.666666666666</v>
      </c>
      <c r="V158" s="66" t="n">
        <f aca="false">-(V173+V174+V176)/2*Inputs!$C$56/12</f>
        <v>-779.761904761904</v>
      </c>
      <c r="W158" s="66" t="n">
        <f aca="false">-(W173+W174+W176)/2*Inputs!$C$56/12</f>
        <v>-767.857142857142</v>
      </c>
      <c r="X158" s="66" t="n">
        <f aca="false">-(X173+X174+X176)/2*Inputs!$C$56/12</f>
        <v>-755.95238095238</v>
      </c>
      <c r="Y158" s="66" t="n">
        <f aca="false">-(Y173+Y174+Y176)/2*Inputs!$C$56/12</f>
        <v>-744.047619047619</v>
      </c>
      <c r="Z158" s="66" t="n">
        <f aca="false">-(Z173+Z174+Z176)/2*Inputs!$C$56/12</f>
        <v>-732.142857142857</v>
      </c>
      <c r="AA158" s="66" t="n">
        <f aca="false">-(AA173+AA174+AA176)/2*Inputs!$C$56/12</f>
        <v>-720.238095238095</v>
      </c>
      <c r="AB158" s="66" t="n">
        <f aca="false">-(AB173+AB174+AB176)/2*Inputs!$C$56/12</f>
        <v>-708.333333333333</v>
      </c>
      <c r="AC158" s="66" t="n">
        <f aca="false">-(AC173+AC174+AC176)/2*Inputs!$C$56/12</f>
        <v>-696.428571428571</v>
      </c>
      <c r="AD158" s="66" t="n">
        <f aca="false">-(AD173+AD174+AD176)/2*Inputs!$C$56/12</f>
        <v>-684.523809523809</v>
      </c>
      <c r="AE158" s="66" t="n">
        <f aca="false">-(AE173+AE174+AE176)/2*Inputs!$C$56/12</f>
        <v>-672.619047619047</v>
      </c>
      <c r="AF158" s="66" t="n">
        <f aca="false">-(AF173+AF174+AF176)/2*Inputs!$C$56/12</f>
        <v>-660.714285714285</v>
      </c>
      <c r="AG158" s="66" t="n">
        <f aca="false">-(AG173+AG174+AG176)/2*Inputs!$C$56/12</f>
        <v>-648.809523809523</v>
      </c>
      <c r="AH158" s="66" t="n">
        <f aca="false">-(AH173+AH174+AH176)/2*Inputs!$C$56/12</f>
        <v>-636.904761904761</v>
      </c>
      <c r="AI158" s="66" t="n">
        <f aca="false">-(AI173+AI174+AI176)/2*Inputs!$C$56/12</f>
        <v>-624.999999999999</v>
      </c>
      <c r="AJ158" s="66" t="n">
        <f aca="false">-(AJ173+AJ174+AJ176)/2*Inputs!$C$56/12</f>
        <v>-613.095238095237</v>
      </c>
      <c r="AK158" s="66" t="n">
        <f aca="false">-(AK173+AK174+AK176)/2*Inputs!$C$56/12</f>
        <v>-601.190476190475</v>
      </c>
      <c r="AL158" s="66" t="n">
        <f aca="false">-(AL173+AL174+AL176)/2*Inputs!$C$56/12</f>
        <v>-589.285714285713</v>
      </c>
    </row>
    <row r="159" customFormat="false" ht="15" hidden="false" customHeight="false" outlineLevel="0" collapsed="false">
      <c r="A159" s="110" t="s">
        <v>80</v>
      </c>
      <c r="C159" s="67" t="n">
        <f aca="false">C157+C158</f>
        <v>-31835.1271428571</v>
      </c>
      <c r="D159" s="67" t="n">
        <f aca="false">D157+D158</f>
        <v>-29048.5300819048</v>
      </c>
      <c r="E159" s="67" t="n">
        <f aca="false">E157+E158</f>
        <v>-26422.8193208</v>
      </c>
      <c r="F159" s="67" t="n">
        <f aca="false">F157+F158</f>
        <v>-23953.9369196472</v>
      </c>
      <c r="G159" s="67" t="n">
        <f aca="false">G157+G158</f>
        <v>-21632.4731768494</v>
      </c>
      <c r="H159" s="67" t="n">
        <f aca="false">H157+H158</f>
        <v>-19449.5829729051</v>
      </c>
      <c r="I159" s="67" t="n">
        <f aca="false">I157+I158</f>
        <v>-17396.9518954832</v>
      </c>
      <c r="J159" s="67" t="n">
        <f aca="false">J157+J158</f>
        <v>-15466.7643969923</v>
      </c>
      <c r="K159" s="67" t="n">
        <f aca="false">K157+K158</f>
        <v>-13651.6738626965</v>
      </c>
      <c r="L159" s="67" t="n">
        <f aca="false">L157+L158</f>
        <v>-11944.7744747443</v>
      </c>
      <c r="M159" s="67" t="n">
        <f aca="false">M157+M158</f>
        <v>-10339.5747643549</v>
      </c>
      <c r="N159" s="67" t="n">
        <f aca="false">N157+N158</f>
        <v>-8829.97275087452</v>
      </c>
      <c r="O159" s="67" t="n">
        <f aca="false">O157+O158</f>
        <v>-6803.66171943481</v>
      </c>
      <c r="P159" s="67" t="n">
        <f aca="false">P157+P158</f>
        <v>-5167.7426521011</v>
      </c>
      <c r="Q159" s="67" t="n">
        <f aca="false">Q157+Q158</f>
        <v>-3629.26444309315</v>
      </c>
      <c r="R159" s="67" t="n">
        <f aca="false">R157+R158</f>
        <v>-2182.38064091138</v>
      </c>
      <c r="S159" s="67" t="n">
        <f aca="false">S157+S158</f>
        <v>-821.595581146206</v>
      </c>
      <c r="T159" s="67" t="n">
        <f aca="false">T157+T158</f>
        <v>458.256660747331</v>
      </c>
      <c r="U159" s="67" t="n">
        <f aca="false">U157+U158</f>
        <v>1662.03205384154</v>
      </c>
      <c r="V159" s="67" t="n">
        <f aca="false">V157+V158</f>
        <v>2231.22053168556</v>
      </c>
      <c r="W159" s="67" t="n">
        <f aca="false">W157+W158</f>
        <v>2283.94011428571</v>
      </c>
      <c r="X159" s="67" t="n">
        <f aca="false">X157+X158</f>
        <v>2295.84487619047</v>
      </c>
      <c r="Y159" s="67" t="n">
        <f aca="false">Y157+Y158</f>
        <v>2307.74963809523</v>
      </c>
      <c r="Z159" s="67" t="n">
        <f aca="false">Z157+Z158</f>
        <v>2319.6544</v>
      </c>
      <c r="AA159" s="67" t="n">
        <f aca="false">AA157+AA158</f>
        <v>2968.39879390477</v>
      </c>
      <c r="AB159" s="67" t="n">
        <f aca="false">AB157+AB158</f>
        <v>2980.30355580953</v>
      </c>
      <c r="AC159" s="67" t="n">
        <f aca="false">AC157+AC158</f>
        <v>2992.20831771429</v>
      </c>
      <c r="AD159" s="67" t="n">
        <f aca="false">AD157+AD158</f>
        <v>3004.11307961905</v>
      </c>
      <c r="AE159" s="67" t="n">
        <f aca="false">AE157+AE158</f>
        <v>3016.01784152382</v>
      </c>
      <c r="AF159" s="67" t="n">
        <f aca="false">AF157+AF158</f>
        <v>3027.92260342858</v>
      </c>
      <c r="AG159" s="67" t="n">
        <f aca="false">AG157+AG158</f>
        <v>3039.82736533334</v>
      </c>
      <c r="AH159" s="67" t="n">
        <f aca="false">AH157+AH158</f>
        <v>3051.7321272381</v>
      </c>
      <c r="AI159" s="67" t="n">
        <f aca="false">AI157+AI158</f>
        <v>3063.63688914286</v>
      </c>
      <c r="AJ159" s="67" t="n">
        <f aca="false">AJ157+AJ158</f>
        <v>3075.54165104763</v>
      </c>
      <c r="AK159" s="67" t="n">
        <f aca="false">AK157+AK158</f>
        <v>3087.44641295239</v>
      </c>
      <c r="AL159" s="67" t="n">
        <f aca="false">AL157+AL158</f>
        <v>3099.35117485715</v>
      </c>
    </row>
    <row r="160" customFormat="false" ht="15" hidden="false" customHeight="false" outlineLevel="0" collapsed="false">
      <c r="A160" s="116" t="s">
        <v>389</v>
      </c>
      <c r="C160" s="66" t="n">
        <f aca="false">C159</f>
        <v>-31835.1271428571</v>
      </c>
      <c r="D160" s="66" t="n">
        <f aca="false">C160+D159</f>
        <v>-60883.6572247619</v>
      </c>
      <c r="E160" s="66" t="n">
        <f aca="false">D160+E159</f>
        <v>-87306.4765455619</v>
      </c>
      <c r="F160" s="66" t="n">
        <f aca="false">E160+F159</f>
        <v>-111260.413465209</v>
      </c>
      <c r="G160" s="66" t="n">
        <f aca="false">F160+G159</f>
        <v>-132892.886642059</v>
      </c>
      <c r="H160" s="66" t="n">
        <f aca="false">G160+H159</f>
        <v>-152342.469614964</v>
      </c>
      <c r="I160" s="66" t="n">
        <f aca="false">H160+I159</f>
        <v>-169739.421510447</v>
      </c>
      <c r="J160" s="66" t="n">
        <f aca="false">I160+J159</f>
        <v>-185206.185907439</v>
      </c>
      <c r="K160" s="66" t="n">
        <f aca="false">J160+K159</f>
        <v>-198857.859770136</v>
      </c>
      <c r="L160" s="66" t="n">
        <f aca="false">K160+L159</f>
        <v>-210802.63424488</v>
      </c>
      <c r="M160" s="66" t="n">
        <f aca="false">L160+M159</f>
        <v>-221142.209009235</v>
      </c>
      <c r="N160" s="66" t="n">
        <f aca="false">M160+N159</f>
        <v>-229972.181760109</v>
      </c>
      <c r="O160" s="66" t="n">
        <f aca="false">N160+O159</f>
        <v>-236775.843479544</v>
      </c>
      <c r="P160" s="66" t="n">
        <f aca="false">O160+P159</f>
        <v>-241943.586131645</v>
      </c>
      <c r="Q160" s="66" t="n">
        <f aca="false">P160+Q159</f>
        <v>-245572.850574738</v>
      </c>
      <c r="R160" s="66" t="n">
        <f aca="false">Q160+R159</f>
        <v>-247755.23121565</v>
      </c>
      <c r="S160" s="66" t="n">
        <f aca="false">R160+S159</f>
        <v>-248576.826796796</v>
      </c>
      <c r="T160" s="66" t="n">
        <f aca="false">S160+T159</f>
        <v>-248118.570136049</v>
      </c>
      <c r="U160" s="66" t="n">
        <f aca="false">T160+U159</f>
        <v>-246456.538082207</v>
      </c>
      <c r="V160" s="66" t="n">
        <f aca="false">U160+V159</f>
        <v>-244225.317550521</v>
      </c>
      <c r="W160" s="66" t="n">
        <f aca="false">V160+W159</f>
        <v>-241941.377436236</v>
      </c>
      <c r="X160" s="66" t="n">
        <f aca="false">W160+X159</f>
        <v>-239645.532560045</v>
      </c>
      <c r="Y160" s="66" t="n">
        <f aca="false">X160+Y159</f>
        <v>-237337.78292195</v>
      </c>
      <c r="Z160" s="66" t="n">
        <f aca="false">Y160+Z159</f>
        <v>-235018.12852195</v>
      </c>
      <c r="AA160" s="66" t="n">
        <f aca="false">Z160+AA159</f>
        <v>-232049.729728045</v>
      </c>
      <c r="AB160" s="66" t="n">
        <f aca="false">AA160+AB159</f>
        <v>-229069.426172236</v>
      </c>
      <c r="AC160" s="66" t="n">
        <f aca="false">AB160+AC159</f>
        <v>-226077.217854521</v>
      </c>
      <c r="AD160" s="66" t="n">
        <f aca="false">AC160+AD159</f>
        <v>-223073.104774902</v>
      </c>
      <c r="AE160" s="66" t="n">
        <f aca="false">AD160+AE159</f>
        <v>-220057.086933379</v>
      </c>
      <c r="AF160" s="66" t="n">
        <f aca="false">AE160+AF159</f>
        <v>-217029.16432995</v>
      </c>
      <c r="AG160" s="66" t="n">
        <f aca="false">AF160+AG159</f>
        <v>-213989.336964617</v>
      </c>
      <c r="AH160" s="66" t="n">
        <f aca="false">AG160+AH159</f>
        <v>-210937.604837379</v>
      </c>
      <c r="AI160" s="66" t="n">
        <f aca="false">AH160+AI159</f>
        <v>-207873.967948236</v>
      </c>
      <c r="AJ160" s="66" t="n">
        <f aca="false">AI160+AJ159</f>
        <v>-204798.426297188</v>
      </c>
      <c r="AK160" s="66" t="n">
        <f aca="false">AJ160+AK159</f>
        <v>-201710.979884236</v>
      </c>
      <c r="AL160" s="66" t="n">
        <f aca="false">AK160+AL159</f>
        <v>-198611.628709379</v>
      </c>
    </row>
    <row r="161" customFormat="false" ht="15" hidden="false" customHeight="false" outlineLevel="0" collapsed="false">
      <c r="A161" s="116" t="s">
        <v>390</v>
      </c>
      <c r="C161" s="66" t="n">
        <f aca="false">MAX(0,C160)</f>
        <v>0</v>
      </c>
      <c r="D161" s="66" t="n">
        <f aca="false">MAX(C161,D160)</f>
        <v>0</v>
      </c>
      <c r="E161" s="66" t="n">
        <f aca="false">MAX(D161,E160)</f>
        <v>0</v>
      </c>
      <c r="F161" s="66" t="n">
        <f aca="false">MAX(E161,F160)</f>
        <v>0</v>
      </c>
      <c r="G161" s="66" t="n">
        <f aca="false">MAX(F161,G160)</f>
        <v>0</v>
      </c>
      <c r="H161" s="66" t="n">
        <f aca="false">MAX(G161,H160)</f>
        <v>0</v>
      </c>
      <c r="I161" s="66" t="n">
        <f aca="false">MAX(H161,I160)</f>
        <v>0</v>
      </c>
      <c r="J161" s="66" t="n">
        <f aca="false">MAX(I161,J160)</f>
        <v>0</v>
      </c>
      <c r="K161" s="66" t="n">
        <f aca="false">MAX(J161,K160)</f>
        <v>0</v>
      </c>
      <c r="L161" s="66" t="n">
        <f aca="false">MAX(K161,L160)</f>
        <v>0</v>
      </c>
      <c r="M161" s="66" t="n">
        <f aca="false">MAX(L161,M160)</f>
        <v>0</v>
      </c>
      <c r="N161" s="66" t="n">
        <f aca="false">MAX(M161,N160)</f>
        <v>0</v>
      </c>
      <c r="O161" s="66" t="n">
        <f aca="false">MAX(N161,O160)</f>
        <v>0</v>
      </c>
      <c r="P161" s="66" t="n">
        <f aca="false">MAX(O161,P160)</f>
        <v>0</v>
      </c>
      <c r="Q161" s="66" t="n">
        <f aca="false">MAX(P161,Q160)</f>
        <v>0</v>
      </c>
      <c r="R161" s="66" t="n">
        <f aca="false">MAX(Q161,R160)</f>
        <v>0</v>
      </c>
      <c r="S161" s="66" t="n">
        <f aca="false">MAX(R161,S160)</f>
        <v>0</v>
      </c>
      <c r="T161" s="66" t="n">
        <f aca="false">MAX(S161,T160)</f>
        <v>0</v>
      </c>
      <c r="U161" s="66" t="n">
        <f aca="false">MAX(T161,U160)</f>
        <v>0</v>
      </c>
      <c r="V161" s="66" t="n">
        <f aca="false">MAX(U161,V160)</f>
        <v>0</v>
      </c>
      <c r="W161" s="66" t="n">
        <f aca="false">MAX(V161,W160)</f>
        <v>0</v>
      </c>
      <c r="X161" s="66" t="n">
        <f aca="false">MAX(W161,X160)</f>
        <v>0</v>
      </c>
      <c r="Y161" s="66" t="n">
        <f aca="false">MAX(X161,Y160)</f>
        <v>0</v>
      </c>
      <c r="Z161" s="66" t="n">
        <f aca="false">MAX(Y161,Z160)</f>
        <v>0</v>
      </c>
      <c r="AA161" s="66" t="n">
        <f aca="false">MAX(Z161,AA160)</f>
        <v>0</v>
      </c>
      <c r="AB161" s="66" t="n">
        <f aca="false">MAX(AA161,AB160)</f>
        <v>0</v>
      </c>
      <c r="AC161" s="66" t="n">
        <f aca="false">MAX(AB161,AC160)</f>
        <v>0</v>
      </c>
      <c r="AD161" s="66" t="n">
        <f aca="false">MAX(AC161,AD160)</f>
        <v>0</v>
      </c>
      <c r="AE161" s="66" t="n">
        <f aca="false">MAX(AD161,AE160)</f>
        <v>0</v>
      </c>
      <c r="AF161" s="66" t="n">
        <f aca="false">MAX(AE161,AF160)</f>
        <v>0</v>
      </c>
      <c r="AG161" s="66" t="n">
        <f aca="false">MAX(AF161,AG160)</f>
        <v>0</v>
      </c>
      <c r="AH161" s="66" t="n">
        <f aca="false">MAX(AG161,AH160)</f>
        <v>0</v>
      </c>
      <c r="AI161" s="66" t="n">
        <f aca="false">MAX(AH161,AI160)</f>
        <v>0</v>
      </c>
      <c r="AJ161" s="66" t="n">
        <f aca="false">MAX(AI161,AJ160)</f>
        <v>0</v>
      </c>
      <c r="AK161" s="66" t="n">
        <f aca="false">MAX(AJ161,AK160)</f>
        <v>0</v>
      </c>
      <c r="AL161" s="66" t="n">
        <f aca="false">MAX(AK161,AL160)</f>
        <v>0</v>
      </c>
    </row>
    <row r="162" customFormat="false" ht="15" hidden="false" customHeight="false" outlineLevel="0" collapsed="false">
      <c r="A162" s="6" t="s">
        <v>81</v>
      </c>
      <c r="C162" s="66" t="n">
        <f aca="false">-C161*Inputs!$C$66</f>
        <v>-0</v>
      </c>
      <c r="D162" s="66" t="n">
        <f aca="false">-(D161-C161)*Inputs!$C$66</f>
        <v>-0</v>
      </c>
      <c r="E162" s="66" t="n">
        <f aca="false">-(E161-D161)*Inputs!$C$66</f>
        <v>-0</v>
      </c>
      <c r="F162" s="66" t="n">
        <f aca="false">-(F161-E161)*Inputs!$C$66</f>
        <v>-0</v>
      </c>
      <c r="G162" s="66" t="n">
        <f aca="false">-(G161-F161)*Inputs!$C$66</f>
        <v>-0</v>
      </c>
      <c r="H162" s="66" t="n">
        <f aca="false">-(H161-G161)*Inputs!$C$66</f>
        <v>-0</v>
      </c>
      <c r="I162" s="66" t="n">
        <f aca="false">-(I161-H161)*Inputs!$C$66</f>
        <v>-0</v>
      </c>
      <c r="J162" s="66" t="n">
        <f aca="false">-(J161-I161)*Inputs!$C$66</f>
        <v>-0</v>
      </c>
      <c r="K162" s="66" t="n">
        <f aca="false">-(K161-J161)*Inputs!$C$66</f>
        <v>-0</v>
      </c>
      <c r="L162" s="66" t="n">
        <f aca="false">-(L161-K161)*Inputs!$C$66</f>
        <v>-0</v>
      </c>
      <c r="M162" s="66" t="n">
        <f aca="false">-(M161-L161)*Inputs!$C$66</f>
        <v>-0</v>
      </c>
      <c r="N162" s="66" t="n">
        <f aca="false">-(N161-M161)*Inputs!$C$66</f>
        <v>-0</v>
      </c>
      <c r="O162" s="66" t="n">
        <f aca="false">-(O161-N161)*Inputs!$C$66</f>
        <v>-0</v>
      </c>
      <c r="P162" s="66" t="n">
        <f aca="false">-(P161-O161)*Inputs!$C$66</f>
        <v>-0</v>
      </c>
      <c r="Q162" s="66" t="n">
        <f aca="false">-(Q161-P161)*Inputs!$C$66</f>
        <v>-0</v>
      </c>
      <c r="R162" s="66" t="n">
        <f aca="false">-(R161-Q161)*Inputs!$C$66</f>
        <v>-0</v>
      </c>
      <c r="S162" s="66" t="n">
        <f aca="false">-(S161-R161)*Inputs!$C$66</f>
        <v>-0</v>
      </c>
      <c r="T162" s="66" t="n">
        <f aca="false">-(T161-S161)*Inputs!$C$66</f>
        <v>-0</v>
      </c>
      <c r="U162" s="66" t="n">
        <f aca="false">-(U161-T161)*Inputs!$C$66</f>
        <v>-0</v>
      </c>
      <c r="V162" s="66" t="n">
        <f aca="false">-(V161-U161)*Inputs!$C$66</f>
        <v>-0</v>
      </c>
      <c r="W162" s="66" t="n">
        <f aca="false">-(W161-V161)*Inputs!$C$66</f>
        <v>-0</v>
      </c>
      <c r="X162" s="66" t="n">
        <f aca="false">-(X161-W161)*Inputs!$C$66</f>
        <v>-0</v>
      </c>
      <c r="Y162" s="66" t="n">
        <f aca="false">-(Y161-X161)*Inputs!$C$66</f>
        <v>-0</v>
      </c>
      <c r="Z162" s="66" t="n">
        <f aca="false">-(Z161-Y161)*Inputs!$C$66</f>
        <v>-0</v>
      </c>
      <c r="AA162" s="66" t="n">
        <f aca="false">-(AA161-Z161)*Inputs!$C$66</f>
        <v>-0</v>
      </c>
      <c r="AB162" s="66" t="n">
        <f aca="false">-(AB161-AA161)*Inputs!$C$66</f>
        <v>-0</v>
      </c>
      <c r="AC162" s="66" t="n">
        <f aca="false">-(AC161-AB161)*Inputs!$C$66</f>
        <v>-0</v>
      </c>
      <c r="AD162" s="66" t="n">
        <f aca="false">-(AD161-AC161)*Inputs!$C$66</f>
        <v>-0</v>
      </c>
      <c r="AE162" s="66" t="n">
        <f aca="false">-(AE161-AD161)*Inputs!$C$66</f>
        <v>-0</v>
      </c>
      <c r="AF162" s="66" t="n">
        <f aca="false">-(AF161-AE161)*Inputs!$C$66</f>
        <v>-0</v>
      </c>
      <c r="AG162" s="66" t="n">
        <f aca="false">-(AG161-AF161)*Inputs!$C$66</f>
        <v>-0</v>
      </c>
      <c r="AH162" s="66" t="n">
        <f aca="false">-(AH161-AG161)*Inputs!$C$66</f>
        <v>-0</v>
      </c>
      <c r="AI162" s="66" t="n">
        <f aca="false">-(AI161-AH161)*Inputs!$C$66</f>
        <v>-0</v>
      </c>
      <c r="AJ162" s="66" t="n">
        <f aca="false">-(AJ161-AI161)*Inputs!$C$66</f>
        <v>-0</v>
      </c>
      <c r="AK162" s="66" t="n">
        <f aca="false">-(AK161-AJ161)*Inputs!$C$66</f>
        <v>-0</v>
      </c>
      <c r="AL162" s="66" t="n">
        <f aca="false">-(AL161-AK161)*Inputs!$C$66</f>
        <v>-0</v>
      </c>
    </row>
    <row r="163" customFormat="false" ht="15" hidden="false" customHeight="false" outlineLevel="0" collapsed="false">
      <c r="A163" s="110" t="s">
        <v>50</v>
      </c>
      <c r="C163" s="67" t="n">
        <f aca="false">C159+C162</f>
        <v>-31835.1271428571</v>
      </c>
      <c r="D163" s="67" t="n">
        <f aca="false">D159+D162</f>
        <v>-29048.5300819048</v>
      </c>
      <c r="E163" s="67" t="n">
        <f aca="false">E159+E162</f>
        <v>-26422.8193208</v>
      </c>
      <c r="F163" s="67" t="n">
        <f aca="false">F159+F162</f>
        <v>-23953.9369196472</v>
      </c>
      <c r="G163" s="67" t="n">
        <f aca="false">G159+G162</f>
        <v>-21632.4731768494</v>
      </c>
      <c r="H163" s="67" t="n">
        <f aca="false">H159+H162</f>
        <v>-19449.5829729051</v>
      </c>
      <c r="I163" s="67" t="n">
        <f aca="false">I159+I162</f>
        <v>-17396.9518954832</v>
      </c>
      <c r="J163" s="67" t="n">
        <f aca="false">J159+J162</f>
        <v>-15466.7643969923</v>
      </c>
      <c r="K163" s="67" t="n">
        <f aca="false">K159+K162</f>
        <v>-13651.6738626965</v>
      </c>
      <c r="L163" s="67" t="n">
        <f aca="false">L159+L162</f>
        <v>-11944.7744747443</v>
      </c>
      <c r="M163" s="67" t="n">
        <f aca="false">M159+M162</f>
        <v>-10339.5747643549</v>
      </c>
      <c r="N163" s="67" t="n">
        <f aca="false">N159+N162</f>
        <v>-8829.97275087452</v>
      </c>
      <c r="O163" s="67" t="n">
        <f aca="false">O159+O162</f>
        <v>-6803.66171943481</v>
      </c>
      <c r="P163" s="67" t="n">
        <f aca="false">P159+P162</f>
        <v>-5167.7426521011</v>
      </c>
      <c r="Q163" s="67" t="n">
        <f aca="false">Q159+Q162</f>
        <v>-3629.26444309315</v>
      </c>
      <c r="R163" s="67" t="n">
        <f aca="false">R159+R162</f>
        <v>-2182.38064091138</v>
      </c>
      <c r="S163" s="67" t="n">
        <f aca="false">S159+S162</f>
        <v>-821.595581146206</v>
      </c>
      <c r="T163" s="67" t="n">
        <f aca="false">T159+T162</f>
        <v>458.256660747331</v>
      </c>
      <c r="U163" s="67" t="n">
        <f aca="false">U159+U162</f>
        <v>1662.03205384154</v>
      </c>
      <c r="V163" s="67" t="n">
        <f aca="false">V159+V162</f>
        <v>2231.22053168556</v>
      </c>
      <c r="W163" s="67" t="n">
        <f aca="false">W159+W162</f>
        <v>2283.94011428571</v>
      </c>
      <c r="X163" s="67" t="n">
        <f aca="false">X159+X162</f>
        <v>2295.84487619047</v>
      </c>
      <c r="Y163" s="67" t="n">
        <f aca="false">Y159+Y162</f>
        <v>2307.74963809523</v>
      </c>
      <c r="Z163" s="67" t="n">
        <f aca="false">Z159+Z162</f>
        <v>2319.6544</v>
      </c>
      <c r="AA163" s="67" t="n">
        <f aca="false">AA159+AA162</f>
        <v>2968.39879390477</v>
      </c>
      <c r="AB163" s="67" t="n">
        <f aca="false">AB159+AB162</f>
        <v>2980.30355580953</v>
      </c>
      <c r="AC163" s="67" t="n">
        <f aca="false">AC159+AC162</f>
        <v>2992.20831771429</v>
      </c>
      <c r="AD163" s="67" t="n">
        <f aca="false">AD159+AD162</f>
        <v>3004.11307961905</v>
      </c>
      <c r="AE163" s="67" t="n">
        <f aca="false">AE159+AE162</f>
        <v>3016.01784152382</v>
      </c>
      <c r="AF163" s="67" t="n">
        <f aca="false">AF159+AF162</f>
        <v>3027.92260342858</v>
      </c>
      <c r="AG163" s="67" t="n">
        <f aca="false">AG159+AG162</f>
        <v>3039.82736533334</v>
      </c>
      <c r="AH163" s="67" t="n">
        <f aca="false">AH159+AH162</f>
        <v>3051.7321272381</v>
      </c>
      <c r="AI163" s="67" t="n">
        <f aca="false">AI159+AI162</f>
        <v>3063.63688914286</v>
      </c>
      <c r="AJ163" s="67" t="n">
        <f aca="false">AJ159+AJ162</f>
        <v>3075.54165104763</v>
      </c>
      <c r="AK163" s="67" t="n">
        <f aca="false">AK159+AK162</f>
        <v>3087.44641295239</v>
      </c>
      <c r="AL163" s="67" t="n">
        <f aca="false">AL159+AL162</f>
        <v>3099.35117485715</v>
      </c>
    </row>
    <row r="165" customFormat="false" ht="15.75" hidden="false" customHeight="true" outlineLevel="0" collapsed="false">
      <c r="A165" s="7" t="s">
        <v>391</v>
      </c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</row>
    <row r="166" customFormat="false" ht="15" hidden="false" customHeight="false" outlineLevel="0" collapsed="false">
      <c r="A166" s="6" t="s">
        <v>392</v>
      </c>
      <c r="C166" s="66" t="n">
        <f aca="false">IF(C$116=1,Inputs!$C$39,0)</f>
        <v>250000</v>
      </c>
      <c r="D166" s="66" t="n">
        <f aca="false">IF(D$116=1,Inputs!$C$39,0)</f>
        <v>0</v>
      </c>
      <c r="E166" s="66" t="n">
        <f aca="false">IF(E$116=1,Inputs!$C$39,0)</f>
        <v>0</v>
      </c>
      <c r="F166" s="66" t="n">
        <f aca="false">IF(F$116=1,Inputs!$C$39,0)</f>
        <v>0</v>
      </c>
      <c r="G166" s="66" t="n">
        <f aca="false">IF(G$116=1,Inputs!$C$39,0)</f>
        <v>0</v>
      </c>
      <c r="H166" s="66" t="n">
        <f aca="false">IF(H$116=1,Inputs!$C$39,0)</f>
        <v>0</v>
      </c>
      <c r="I166" s="66" t="n">
        <f aca="false">IF(I$116=1,Inputs!$C$39,0)</f>
        <v>0</v>
      </c>
      <c r="J166" s="66" t="n">
        <f aca="false">IF(J$116=1,Inputs!$C$39,0)</f>
        <v>0</v>
      </c>
      <c r="K166" s="66" t="n">
        <f aca="false">IF(K$116=1,Inputs!$C$39,0)</f>
        <v>0</v>
      </c>
      <c r="L166" s="66" t="n">
        <f aca="false">IF(L$116=1,Inputs!$C$39,0)</f>
        <v>0</v>
      </c>
      <c r="M166" s="66" t="n">
        <f aca="false">IF(M$116=1,Inputs!$C$39,0)</f>
        <v>0</v>
      </c>
      <c r="N166" s="66" t="n">
        <f aca="false">IF(N$116=1,Inputs!$C$39,0)</f>
        <v>0</v>
      </c>
      <c r="O166" s="66" t="n">
        <f aca="false">IF(O$116=1,Inputs!$C$39,0)</f>
        <v>0</v>
      </c>
      <c r="P166" s="66" t="n">
        <f aca="false">IF(P$116=1,Inputs!$C$39,0)</f>
        <v>0</v>
      </c>
      <c r="Q166" s="66" t="n">
        <f aca="false">IF(Q$116=1,Inputs!$C$39,0)</f>
        <v>0</v>
      </c>
      <c r="R166" s="66" t="n">
        <f aca="false">IF(R$116=1,Inputs!$C$39,0)</f>
        <v>0</v>
      </c>
      <c r="S166" s="66" t="n">
        <f aca="false">IF(S$116=1,Inputs!$C$39,0)</f>
        <v>0</v>
      </c>
      <c r="T166" s="66" t="n">
        <f aca="false">IF(T$116=1,Inputs!$C$39,0)</f>
        <v>0</v>
      </c>
      <c r="U166" s="66" t="n">
        <f aca="false">IF(U$116=1,Inputs!$C$39,0)</f>
        <v>0</v>
      </c>
      <c r="V166" s="66" t="n">
        <f aca="false">IF(V$116=1,Inputs!$C$39,0)</f>
        <v>0</v>
      </c>
      <c r="W166" s="66" t="n">
        <f aca="false">IF(W$116=1,Inputs!$C$39,0)</f>
        <v>0</v>
      </c>
      <c r="X166" s="66" t="n">
        <f aca="false">IF(X$116=1,Inputs!$C$39,0)</f>
        <v>0</v>
      </c>
      <c r="Y166" s="66" t="n">
        <f aca="false">IF(Y$116=1,Inputs!$C$39,0)</f>
        <v>0</v>
      </c>
      <c r="Z166" s="66" t="n">
        <f aca="false">IF(Z$116=1,Inputs!$C$39,0)</f>
        <v>0</v>
      </c>
      <c r="AA166" s="66" t="n">
        <f aca="false">IF(AA$116=1,Inputs!$C$39,0)</f>
        <v>0</v>
      </c>
      <c r="AB166" s="66" t="n">
        <f aca="false">IF(AB$116=1,Inputs!$C$39,0)</f>
        <v>0</v>
      </c>
      <c r="AC166" s="66" t="n">
        <f aca="false">IF(AC$116=1,Inputs!$C$39,0)</f>
        <v>0</v>
      </c>
      <c r="AD166" s="66" t="n">
        <f aca="false">IF(AD$116=1,Inputs!$C$39,0)</f>
        <v>0</v>
      </c>
      <c r="AE166" s="66" t="n">
        <f aca="false">IF(AE$116=1,Inputs!$C$39,0)</f>
        <v>0</v>
      </c>
      <c r="AF166" s="66" t="n">
        <f aca="false">IF(AF$116=1,Inputs!$C$39,0)</f>
        <v>0</v>
      </c>
      <c r="AG166" s="66" t="n">
        <f aca="false">IF(AG$116=1,Inputs!$C$39,0)</f>
        <v>0</v>
      </c>
      <c r="AH166" s="66" t="n">
        <f aca="false">IF(AH$116=1,Inputs!$C$39,0)</f>
        <v>0</v>
      </c>
      <c r="AI166" s="66" t="n">
        <f aca="false">IF(AI$116=1,Inputs!$C$39,0)</f>
        <v>0</v>
      </c>
      <c r="AJ166" s="66" t="n">
        <f aca="false">IF(AJ$116=1,Inputs!$C$39,0)</f>
        <v>0</v>
      </c>
      <c r="AK166" s="66" t="n">
        <f aca="false">IF(AK$116=1,Inputs!$C$39,0)</f>
        <v>0</v>
      </c>
      <c r="AL166" s="66" t="n">
        <f aca="false">IF(AL$116=1,Inputs!$C$39,0)</f>
        <v>0</v>
      </c>
    </row>
    <row r="167" customFormat="false" ht="15" hidden="false" customHeight="false" outlineLevel="0" collapsed="false">
      <c r="A167" s="6" t="s">
        <v>393</v>
      </c>
      <c r="C167" s="66" t="n">
        <f aca="false">C166</f>
        <v>250000</v>
      </c>
      <c r="D167" s="66" t="n">
        <f aca="false">C167+D166</f>
        <v>250000</v>
      </c>
      <c r="E167" s="66" t="n">
        <f aca="false">D167+E166</f>
        <v>250000</v>
      </c>
      <c r="F167" s="66" t="n">
        <f aca="false">E167+F166</f>
        <v>250000</v>
      </c>
      <c r="G167" s="66" t="n">
        <f aca="false">F167+G166</f>
        <v>250000</v>
      </c>
      <c r="H167" s="66" t="n">
        <f aca="false">G167+H166</f>
        <v>250000</v>
      </c>
      <c r="I167" s="66" t="n">
        <f aca="false">H167+I166</f>
        <v>250000</v>
      </c>
      <c r="J167" s="66" t="n">
        <f aca="false">I167+J166</f>
        <v>250000</v>
      </c>
      <c r="K167" s="66" t="n">
        <f aca="false">J167+K166</f>
        <v>250000</v>
      </c>
      <c r="L167" s="66" t="n">
        <f aca="false">K167+L166</f>
        <v>250000</v>
      </c>
      <c r="M167" s="66" t="n">
        <f aca="false">L167+M166</f>
        <v>250000</v>
      </c>
      <c r="N167" s="66" t="n">
        <f aca="false">M167+N166</f>
        <v>250000</v>
      </c>
      <c r="O167" s="66" t="n">
        <f aca="false">N167+O166</f>
        <v>250000</v>
      </c>
      <c r="P167" s="66" t="n">
        <f aca="false">O167+P166</f>
        <v>250000</v>
      </c>
      <c r="Q167" s="66" t="n">
        <f aca="false">P167+Q166</f>
        <v>250000</v>
      </c>
      <c r="R167" s="66" t="n">
        <f aca="false">Q167+R166</f>
        <v>250000</v>
      </c>
      <c r="S167" s="66" t="n">
        <f aca="false">R167+S166</f>
        <v>250000</v>
      </c>
      <c r="T167" s="66" t="n">
        <f aca="false">S167+T166</f>
        <v>250000</v>
      </c>
      <c r="U167" s="66" t="n">
        <f aca="false">T167+U166</f>
        <v>250000</v>
      </c>
      <c r="V167" s="66" t="n">
        <f aca="false">U167+V166</f>
        <v>250000</v>
      </c>
      <c r="W167" s="66" t="n">
        <f aca="false">V167+W166</f>
        <v>250000</v>
      </c>
      <c r="X167" s="66" t="n">
        <f aca="false">W167+X166</f>
        <v>250000</v>
      </c>
      <c r="Y167" s="66" t="n">
        <f aca="false">X167+Y166</f>
        <v>250000</v>
      </c>
      <c r="Z167" s="66" t="n">
        <f aca="false">Y167+Z166</f>
        <v>250000</v>
      </c>
      <c r="AA167" s="66" t="n">
        <f aca="false">Z167+AA166</f>
        <v>250000</v>
      </c>
      <c r="AB167" s="66" t="n">
        <f aca="false">AA167+AB166</f>
        <v>250000</v>
      </c>
      <c r="AC167" s="66" t="n">
        <f aca="false">AB167+AC166</f>
        <v>250000</v>
      </c>
      <c r="AD167" s="66" t="n">
        <f aca="false">AC167+AD166</f>
        <v>250000</v>
      </c>
      <c r="AE167" s="66" t="n">
        <f aca="false">AD167+AE166</f>
        <v>250000</v>
      </c>
      <c r="AF167" s="66" t="n">
        <f aca="false">AE167+AF166</f>
        <v>250000</v>
      </c>
      <c r="AG167" s="66" t="n">
        <f aca="false">AF167+AG166</f>
        <v>250000</v>
      </c>
      <c r="AH167" s="66" t="n">
        <f aca="false">AG167+AH166</f>
        <v>250000</v>
      </c>
      <c r="AI167" s="66" t="n">
        <f aca="false">AH167+AI166</f>
        <v>250000</v>
      </c>
      <c r="AJ167" s="66" t="n">
        <f aca="false">AI167+AJ166</f>
        <v>250000</v>
      </c>
      <c r="AK167" s="66" t="n">
        <f aca="false">AJ167+AK166</f>
        <v>250000</v>
      </c>
      <c r="AL167" s="66" t="n">
        <f aca="false">AK167+AL166</f>
        <v>250000</v>
      </c>
    </row>
    <row r="168" customFormat="false" ht="15" hidden="false" customHeight="false" outlineLevel="0" collapsed="false">
      <c r="A168" s="6" t="s">
        <v>77</v>
      </c>
      <c r="C168" s="66" t="n">
        <f aca="false">-MIN(C167/MAX(1,Inputs!$C$65*12),C166)</f>
        <v>-2976.19047619048</v>
      </c>
      <c r="D168" s="66" t="n">
        <f aca="false">-MIN(D167/MAX(1,Inputs!$C$65*12),C170+D166)</f>
        <v>-2976.19047619048</v>
      </c>
      <c r="E168" s="66" t="n">
        <f aca="false">-MIN(E167/MAX(1,Inputs!$C$65*12),D170+E166)</f>
        <v>-2976.19047619048</v>
      </c>
      <c r="F168" s="66" t="n">
        <f aca="false">-MIN(F167/MAX(1,Inputs!$C$65*12),E170+F166)</f>
        <v>-2976.19047619048</v>
      </c>
      <c r="G168" s="66" t="n">
        <f aca="false">-MIN(G167/MAX(1,Inputs!$C$65*12),F170+G166)</f>
        <v>-2976.19047619048</v>
      </c>
      <c r="H168" s="66" t="n">
        <f aca="false">-MIN(H167/MAX(1,Inputs!$C$65*12),G170+H166)</f>
        <v>-2976.19047619048</v>
      </c>
      <c r="I168" s="66" t="n">
        <f aca="false">-MIN(I167/MAX(1,Inputs!$C$65*12),H170+I166)</f>
        <v>-2976.19047619048</v>
      </c>
      <c r="J168" s="66" t="n">
        <f aca="false">-MIN(J167/MAX(1,Inputs!$C$65*12),I170+J166)</f>
        <v>-2976.19047619048</v>
      </c>
      <c r="K168" s="66" t="n">
        <f aca="false">-MIN(K167/MAX(1,Inputs!$C$65*12),J170+K166)</f>
        <v>-2976.19047619048</v>
      </c>
      <c r="L168" s="66" t="n">
        <f aca="false">-MIN(L167/MAX(1,Inputs!$C$65*12),K170+L166)</f>
        <v>-2976.19047619048</v>
      </c>
      <c r="M168" s="66" t="n">
        <f aca="false">-MIN(M167/MAX(1,Inputs!$C$65*12),L170+M166)</f>
        <v>-2976.19047619048</v>
      </c>
      <c r="N168" s="66" t="n">
        <f aca="false">-MIN(N167/MAX(1,Inputs!$C$65*12),M170+N166)</f>
        <v>-2976.19047619048</v>
      </c>
      <c r="O168" s="66" t="n">
        <f aca="false">-MIN(O167/MAX(1,Inputs!$C$65*12),N170+O166)</f>
        <v>-2976.19047619048</v>
      </c>
      <c r="P168" s="66" t="n">
        <f aca="false">-MIN(P167/MAX(1,Inputs!$C$65*12),O170+P166)</f>
        <v>-2976.19047619048</v>
      </c>
      <c r="Q168" s="66" t="n">
        <f aca="false">-MIN(Q167/MAX(1,Inputs!$C$65*12),P170+Q166)</f>
        <v>-2976.19047619048</v>
      </c>
      <c r="R168" s="66" t="n">
        <f aca="false">-MIN(R167/MAX(1,Inputs!$C$65*12),Q170+R166)</f>
        <v>-2976.19047619048</v>
      </c>
      <c r="S168" s="66" t="n">
        <f aca="false">-MIN(S167/MAX(1,Inputs!$C$65*12),R170+S166)</f>
        <v>-2976.19047619048</v>
      </c>
      <c r="T168" s="66" t="n">
        <f aca="false">-MIN(T167/MAX(1,Inputs!$C$65*12),S170+T166)</f>
        <v>-2976.19047619048</v>
      </c>
      <c r="U168" s="66" t="n">
        <f aca="false">-MIN(U167/MAX(1,Inputs!$C$65*12),T170+U166)</f>
        <v>-2976.19047619048</v>
      </c>
      <c r="V168" s="66" t="n">
        <f aca="false">-MIN(V167/MAX(1,Inputs!$C$65*12),U170+V166)</f>
        <v>-2976.19047619048</v>
      </c>
      <c r="W168" s="66" t="n">
        <f aca="false">-MIN(W167/MAX(1,Inputs!$C$65*12),V170+W166)</f>
        <v>-2976.19047619048</v>
      </c>
      <c r="X168" s="66" t="n">
        <f aca="false">-MIN(X167/MAX(1,Inputs!$C$65*12),W170+X166)</f>
        <v>-2976.19047619048</v>
      </c>
      <c r="Y168" s="66" t="n">
        <f aca="false">-MIN(Y167/MAX(1,Inputs!$C$65*12),X170+Y166)</f>
        <v>-2976.19047619048</v>
      </c>
      <c r="Z168" s="66" t="n">
        <f aca="false">-MIN(Z167/MAX(1,Inputs!$C$65*12),Y170+Z166)</f>
        <v>-2976.19047619048</v>
      </c>
      <c r="AA168" s="66" t="n">
        <f aca="false">-MIN(AA167/MAX(1,Inputs!$C$65*12),Z170+AA166)</f>
        <v>-2976.19047619048</v>
      </c>
      <c r="AB168" s="66" t="n">
        <f aca="false">-MIN(AB167/MAX(1,Inputs!$C$65*12),AA170+AB166)</f>
        <v>-2976.19047619048</v>
      </c>
      <c r="AC168" s="66" t="n">
        <f aca="false">-MIN(AC167/MAX(1,Inputs!$C$65*12),AB170+AC166)</f>
        <v>-2976.19047619048</v>
      </c>
      <c r="AD168" s="66" t="n">
        <f aca="false">-MIN(AD167/MAX(1,Inputs!$C$65*12),AC170+AD166)</f>
        <v>-2976.19047619048</v>
      </c>
      <c r="AE168" s="66" t="n">
        <f aca="false">-MIN(AE167/MAX(1,Inputs!$C$65*12),AD170+AE166)</f>
        <v>-2976.19047619048</v>
      </c>
      <c r="AF168" s="66" t="n">
        <f aca="false">-MIN(AF167/MAX(1,Inputs!$C$65*12),AE170+AF166)</f>
        <v>-2976.19047619048</v>
      </c>
      <c r="AG168" s="66" t="n">
        <f aca="false">-MIN(AG167/MAX(1,Inputs!$C$65*12),AF170+AG166)</f>
        <v>-2976.19047619048</v>
      </c>
      <c r="AH168" s="66" t="n">
        <f aca="false">-MIN(AH167/MAX(1,Inputs!$C$65*12),AG170+AH166)</f>
        <v>-2976.19047619048</v>
      </c>
      <c r="AI168" s="66" t="n">
        <f aca="false">-MIN(AI167/MAX(1,Inputs!$C$65*12),AH170+AI166)</f>
        <v>-2976.19047619048</v>
      </c>
      <c r="AJ168" s="66" t="n">
        <f aca="false">-MIN(AJ167/MAX(1,Inputs!$C$65*12),AI170+AJ166)</f>
        <v>-2976.19047619048</v>
      </c>
      <c r="AK168" s="66" t="n">
        <f aca="false">-MIN(AK167/MAX(1,Inputs!$C$65*12),AJ170+AK166)</f>
        <v>-2976.19047619048</v>
      </c>
      <c r="AL168" s="66" t="n">
        <f aca="false">-MIN(AL167/MAX(1,Inputs!$C$65*12),AK170+AL166)</f>
        <v>-2976.19047619048</v>
      </c>
    </row>
    <row r="169" customFormat="false" ht="15" hidden="false" customHeight="false" outlineLevel="0" collapsed="false">
      <c r="A169" s="6" t="s">
        <v>394</v>
      </c>
      <c r="C169" s="66" t="n">
        <f aca="false">C168</f>
        <v>-2976.19047619048</v>
      </c>
      <c r="D169" s="66" t="n">
        <f aca="false">C169+D168</f>
        <v>-5952.38095238095</v>
      </c>
      <c r="E169" s="66" t="n">
        <f aca="false">D169+E168</f>
        <v>-8928.57142857143</v>
      </c>
      <c r="F169" s="66" t="n">
        <f aca="false">E169+F168</f>
        <v>-11904.7619047619</v>
      </c>
      <c r="G169" s="66" t="n">
        <f aca="false">F169+G168</f>
        <v>-14880.9523809524</v>
      </c>
      <c r="H169" s="66" t="n">
        <f aca="false">G169+H168</f>
        <v>-17857.1428571429</v>
      </c>
      <c r="I169" s="66" t="n">
        <f aca="false">H169+I168</f>
        <v>-20833.3333333333</v>
      </c>
      <c r="J169" s="66" t="n">
        <f aca="false">I169+J168</f>
        <v>-23809.5238095238</v>
      </c>
      <c r="K169" s="66" t="n">
        <f aca="false">J169+K168</f>
        <v>-26785.7142857143</v>
      </c>
      <c r="L169" s="66" t="n">
        <f aca="false">K169+L168</f>
        <v>-29761.9047619048</v>
      </c>
      <c r="M169" s="66" t="n">
        <f aca="false">L169+M168</f>
        <v>-32738.0952380952</v>
      </c>
      <c r="N169" s="66" t="n">
        <f aca="false">M169+N168</f>
        <v>-35714.2857142857</v>
      </c>
      <c r="O169" s="66" t="n">
        <f aca="false">N169+O168</f>
        <v>-38690.4761904762</v>
      </c>
      <c r="P169" s="66" t="n">
        <f aca="false">O169+P168</f>
        <v>-41666.6666666667</v>
      </c>
      <c r="Q169" s="66" t="n">
        <f aca="false">P169+Q168</f>
        <v>-44642.8571428571</v>
      </c>
      <c r="R169" s="66" t="n">
        <f aca="false">Q169+R168</f>
        <v>-47619.0476190476</v>
      </c>
      <c r="S169" s="66" t="n">
        <f aca="false">R169+S168</f>
        <v>-50595.2380952381</v>
      </c>
      <c r="T169" s="66" t="n">
        <f aca="false">S169+T168</f>
        <v>-53571.4285714286</v>
      </c>
      <c r="U169" s="66" t="n">
        <f aca="false">T169+U168</f>
        <v>-56547.619047619</v>
      </c>
      <c r="V169" s="66" t="n">
        <f aca="false">U169+V168</f>
        <v>-59523.8095238095</v>
      </c>
      <c r="W169" s="66" t="n">
        <f aca="false">V169+W168</f>
        <v>-62500</v>
      </c>
      <c r="X169" s="66" t="n">
        <f aca="false">W169+X168</f>
        <v>-65476.1904761905</v>
      </c>
      <c r="Y169" s="66" t="n">
        <f aca="false">X169+Y168</f>
        <v>-68452.3809523809</v>
      </c>
      <c r="Z169" s="66" t="n">
        <f aca="false">Y169+Z168</f>
        <v>-71428.5714285714</v>
      </c>
      <c r="AA169" s="66" t="n">
        <f aca="false">Z169+AA168</f>
        <v>-74404.7619047619</v>
      </c>
      <c r="AB169" s="66" t="n">
        <f aca="false">AA169+AB168</f>
        <v>-77380.9523809524</v>
      </c>
      <c r="AC169" s="66" t="n">
        <f aca="false">AB169+AC168</f>
        <v>-80357.1428571428</v>
      </c>
      <c r="AD169" s="66" t="n">
        <f aca="false">AC169+AD168</f>
        <v>-83333.3333333333</v>
      </c>
      <c r="AE169" s="66" t="n">
        <f aca="false">AD169+AE168</f>
        <v>-86309.5238095238</v>
      </c>
      <c r="AF169" s="66" t="n">
        <f aca="false">AE169+AF168</f>
        <v>-89285.7142857143</v>
      </c>
      <c r="AG169" s="66" t="n">
        <f aca="false">AF169+AG168</f>
        <v>-92261.9047619047</v>
      </c>
      <c r="AH169" s="66" t="n">
        <f aca="false">AG169+AH168</f>
        <v>-95238.0952380952</v>
      </c>
      <c r="AI169" s="66" t="n">
        <f aca="false">AH169+AI168</f>
        <v>-98214.2857142857</v>
      </c>
      <c r="AJ169" s="66" t="n">
        <f aca="false">AI169+AJ168</f>
        <v>-101190.476190476</v>
      </c>
      <c r="AK169" s="66" t="n">
        <f aca="false">AJ169+AK168</f>
        <v>-104166.666666667</v>
      </c>
      <c r="AL169" s="66" t="n">
        <f aca="false">AK169+AL168</f>
        <v>-107142.857142857</v>
      </c>
    </row>
    <row r="170" customFormat="false" ht="15" hidden="false" customHeight="false" outlineLevel="0" collapsed="false">
      <c r="A170" s="4" t="s">
        <v>91</v>
      </c>
      <c r="C170" s="72" t="n">
        <f aca="false">C167+C169</f>
        <v>247023.80952381</v>
      </c>
      <c r="D170" s="72" t="n">
        <f aca="false">D167+D169</f>
        <v>244047.619047619</v>
      </c>
      <c r="E170" s="72" t="n">
        <f aca="false">E167+E169</f>
        <v>241071.428571429</v>
      </c>
      <c r="F170" s="72" t="n">
        <f aca="false">F167+F169</f>
        <v>238095.238095238</v>
      </c>
      <c r="G170" s="72" t="n">
        <f aca="false">G167+G169</f>
        <v>235119.047619048</v>
      </c>
      <c r="H170" s="72" t="n">
        <f aca="false">H167+H169</f>
        <v>232142.857142857</v>
      </c>
      <c r="I170" s="72" t="n">
        <f aca="false">I167+I169</f>
        <v>229166.666666667</v>
      </c>
      <c r="J170" s="72" t="n">
        <f aca="false">J167+J169</f>
        <v>226190.476190476</v>
      </c>
      <c r="K170" s="72" t="n">
        <f aca="false">K167+K169</f>
        <v>223214.285714286</v>
      </c>
      <c r="L170" s="72" t="n">
        <f aca="false">L167+L169</f>
        <v>220238.095238095</v>
      </c>
      <c r="M170" s="72" t="n">
        <f aca="false">M167+M169</f>
        <v>217261.904761905</v>
      </c>
      <c r="N170" s="72" t="n">
        <f aca="false">N167+N169</f>
        <v>214285.714285714</v>
      </c>
      <c r="O170" s="72" t="n">
        <f aca="false">O167+O169</f>
        <v>211309.523809524</v>
      </c>
      <c r="P170" s="72" t="n">
        <f aca="false">P167+P169</f>
        <v>208333.333333333</v>
      </c>
      <c r="Q170" s="72" t="n">
        <f aca="false">Q167+Q169</f>
        <v>205357.142857143</v>
      </c>
      <c r="R170" s="72" t="n">
        <f aca="false">R167+R169</f>
        <v>202380.952380952</v>
      </c>
      <c r="S170" s="72" t="n">
        <f aca="false">S167+S169</f>
        <v>199404.761904762</v>
      </c>
      <c r="T170" s="72" t="n">
        <f aca="false">T167+T169</f>
        <v>196428.571428571</v>
      </c>
      <c r="U170" s="72" t="n">
        <f aca="false">U167+U169</f>
        <v>193452.380952381</v>
      </c>
      <c r="V170" s="72" t="n">
        <f aca="false">V167+V169</f>
        <v>190476.190476191</v>
      </c>
      <c r="W170" s="72" t="n">
        <f aca="false">W167+W169</f>
        <v>187500</v>
      </c>
      <c r="X170" s="72" t="n">
        <f aca="false">X167+X169</f>
        <v>184523.80952381</v>
      </c>
      <c r="Y170" s="72" t="n">
        <f aca="false">Y167+Y169</f>
        <v>181547.619047619</v>
      </c>
      <c r="Z170" s="72" t="n">
        <f aca="false">Z167+Z169</f>
        <v>178571.428571429</v>
      </c>
      <c r="AA170" s="72" t="n">
        <f aca="false">AA167+AA169</f>
        <v>175595.238095238</v>
      </c>
      <c r="AB170" s="72" t="n">
        <f aca="false">AB167+AB169</f>
        <v>172619.047619048</v>
      </c>
      <c r="AC170" s="72" t="n">
        <f aca="false">AC167+AC169</f>
        <v>169642.857142857</v>
      </c>
      <c r="AD170" s="72" t="n">
        <f aca="false">AD167+AD169</f>
        <v>166666.666666667</v>
      </c>
      <c r="AE170" s="72" t="n">
        <f aca="false">AE167+AE169</f>
        <v>163690.476190476</v>
      </c>
      <c r="AF170" s="72" t="n">
        <f aca="false">AF167+AF169</f>
        <v>160714.285714286</v>
      </c>
      <c r="AG170" s="72" t="n">
        <f aca="false">AG167+AG169</f>
        <v>157738.095238095</v>
      </c>
      <c r="AH170" s="72" t="n">
        <f aca="false">AH167+AH169</f>
        <v>154761.904761905</v>
      </c>
      <c r="AI170" s="72" t="n">
        <f aca="false">AI167+AI169</f>
        <v>151785.714285714</v>
      </c>
      <c r="AJ170" s="72" t="n">
        <f aca="false">AJ167+AJ169</f>
        <v>148809.523809524</v>
      </c>
      <c r="AK170" s="72" t="n">
        <f aca="false">AK167+AK169</f>
        <v>145833.333333333</v>
      </c>
      <c r="AL170" s="72" t="n">
        <f aca="false">AL167+AL169</f>
        <v>142857.142857143</v>
      </c>
    </row>
    <row r="172" customFormat="false" ht="15.75" hidden="false" customHeight="true" outlineLevel="0" collapsed="false">
      <c r="A172" s="7" t="s">
        <v>395</v>
      </c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</row>
    <row r="173" customFormat="false" ht="15" hidden="false" customHeight="false" outlineLevel="0" collapsed="false">
      <c r="A173" s="6" t="s">
        <v>396</v>
      </c>
      <c r="C173" s="66" t="n">
        <f aca="false">0</f>
        <v>0</v>
      </c>
      <c r="D173" s="66" t="n">
        <f aca="false">C176</f>
        <v>150000</v>
      </c>
      <c r="E173" s="66" t="n">
        <f aca="false">D176</f>
        <v>148214.285714286</v>
      </c>
      <c r="F173" s="66" t="n">
        <f aca="false">E176</f>
        <v>146428.571428571</v>
      </c>
      <c r="G173" s="66" t="n">
        <f aca="false">F176</f>
        <v>144642.857142857</v>
      </c>
      <c r="H173" s="66" t="n">
        <f aca="false">G176</f>
        <v>142857.142857143</v>
      </c>
      <c r="I173" s="66" t="n">
        <f aca="false">H176</f>
        <v>141071.428571429</v>
      </c>
      <c r="J173" s="66" t="n">
        <f aca="false">I176</f>
        <v>139285.714285714</v>
      </c>
      <c r="K173" s="66" t="n">
        <f aca="false">J176</f>
        <v>137500</v>
      </c>
      <c r="L173" s="66" t="n">
        <f aca="false">K176</f>
        <v>135714.285714286</v>
      </c>
      <c r="M173" s="66" t="n">
        <f aca="false">L176</f>
        <v>133928.571428571</v>
      </c>
      <c r="N173" s="66" t="n">
        <f aca="false">M176</f>
        <v>132142.857142857</v>
      </c>
      <c r="O173" s="66" t="n">
        <f aca="false">N176</f>
        <v>130357.142857143</v>
      </c>
      <c r="P173" s="66" t="n">
        <f aca="false">O176</f>
        <v>128571.428571429</v>
      </c>
      <c r="Q173" s="66" t="n">
        <f aca="false">P176</f>
        <v>126785.714285714</v>
      </c>
      <c r="R173" s="66" t="n">
        <f aca="false">Q176</f>
        <v>125000</v>
      </c>
      <c r="S173" s="66" t="n">
        <f aca="false">R176</f>
        <v>123214.285714286</v>
      </c>
      <c r="T173" s="66" t="n">
        <f aca="false">S176</f>
        <v>121428.571428571</v>
      </c>
      <c r="U173" s="66" t="n">
        <f aca="false">T176</f>
        <v>119642.857142857</v>
      </c>
      <c r="V173" s="66" t="n">
        <f aca="false">U176</f>
        <v>117857.142857143</v>
      </c>
      <c r="W173" s="66" t="n">
        <f aca="false">V176</f>
        <v>116071.428571428</v>
      </c>
      <c r="X173" s="66" t="n">
        <f aca="false">W176</f>
        <v>114285.714285714</v>
      </c>
      <c r="Y173" s="66" t="n">
        <f aca="false">X176</f>
        <v>112500</v>
      </c>
      <c r="Z173" s="66" t="n">
        <f aca="false">Y176</f>
        <v>110714.285714286</v>
      </c>
      <c r="AA173" s="66" t="n">
        <f aca="false">Z176</f>
        <v>108928.571428571</v>
      </c>
      <c r="AB173" s="66" t="n">
        <f aca="false">AA176</f>
        <v>107142.857142857</v>
      </c>
      <c r="AC173" s="66" t="n">
        <f aca="false">AB176</f>
        <v>105357.142857143</v>
      </c>
      <c r="AD173" s="66" t="n">
        <f aca="false">AC176</f>
        <v>103571.428571428</v>
      </c>
      <c r="AE173" s="66" t="n">
        <f aca="false">AD176</f>
        <v>101785.714285714</v>
      </c>
      <c r="AF173" s="66" t="n">
        <f aca="false">AE176</f>
        <v>99999.9999999999</v>
      </c>
      <c r="AG173" s="66" t="n">
        <f aca="false">AF176</f>
        <v>98214.2857142856</v>
      </c>
      <c r="AH173" s="66" t="n">
        <f aca="false">AG176</f>
        <v>96428.5714285713</v>
      </c>
      <c r="AI173" s="66" t="n">
        <f aca="false">AH176</f>
        <v>94642.857142857</v>
      </c>
      <c r="AJ173" s="66" t="n">
        <f aca="false">AI176</f>
        <v>92857.1428571427</v>
      </c>
      <c r="AK173" s="66" t="n">
        <f aca="false">AJ176</f>
        <v>91071.4285714284</v>
      </c>
      <c r="AL173" s="66" t="n">
        <f aca="false">AK176</f>
        <v>89285.7142857141</v>
      </c>
    </row>
    <row r="174" customFormat="false" ht="15" hidden="false" customHeight="false" outlineLevel="0" collapsed="false">
      <c r="A174" s="6" t="s">
        <v>84</v>
      </c>
      <c r="C174" s="66" t="n">
        <f aca="false">IF(C$116=1,Inputs!$C$55,0)</f>
        <v>150000</v>
      </c>
      <c r="D174" s="66" t="n">
        <f aca="false">IF(D$116=1,Inputs!$C$55,0)</f>
        <v>0</v>
      </c>
      <c r="E174" s="66" t="n">
        <f aca="false">IF(E$116=1,Inputs!$C$55,0)</f>
        <v>0</v>
      </c>
      <c r="F174" s="66" t="n">
        <f aca="false">IF(F$116=1,Inputs!$C$55,0)</f>
        <v>0</v>
      </c>
      <c r="G174" s="66" t="n">
        <f aca="false">IF(G$116=1,Inputs!$C$55,0)</f>
        <v>0</v>
      </c>
      <c r="H174" s="66" t="n">
        <f aca="false">IF(H$116=1,Inputs!$C$55,0)</f>
        <v>0</v>
      </c>
      <c r="I174" s="66" t="n">
        <f aca="false">IF(I$116=1,Inputs!$C$55,0)</f>
        <v>0</v>
      </c>
      <c r="J174" s="66" t="n">
        <f aca="false">IF(J$116=1,Inputs!$C$55,0)</f>
        <v>0</v>
      </c>
      <c r="K174" s="66" t="n">
        <f aca="false">IF(K$116=1,Inputs!$C$55,0)</f>
        <v>0</v>
      </c>
      <c r="L174" s="66" t="n">
        <f aca="false">IF(L$116=1,Inputs!$C$55,0)</f>
        <v>0</v>
      </c>
      <c r="M174" s="66" t="n">
        <f aca="false">IF(M$116=1,Inputs!$C$55,0)</f>
        <v>0</v>
      </c>
      <c r="N174" s="66" t="n">
        <f aca="false">IF(N$116=1,Inputs!$C$55,0)</f>
        <v>0</v>
      </c>
      <c r="O174" s="66" t="n">
        <f aca="false">IF(O$116=1,Inputs!$C$55,0)</f>
        <v>0</v>
      </c>
      <c r="P174" s="66" t="n">
        <f aca="false">IF(P$116=1,Inputs!$C$55,0)</f>
        <v>0</v>
      </c>
      <c r="Q174" s="66" t="n">
        <f aca="false">IF(Q$116=1,Inputs!$C$55,0)</f>
        <v>0</v>
      </c>
      <c r="R174" s="66" t="n">
        <f aca="false">IF(R$116=1,Inputs!$C$55,0)</f>
        <v>0</v>
      </c>
      <c r="S174" s="66" t="n">
        <f aca="false">IF(S$116=1,Inputs!$C$55,0)</f>
        <v>0</v>
      </c>
      <c r="T174" s="66" t="n">
        <f aca="false">IF(T$116=1,Inputs!$C$55,0)</f>
        <v>0</v>
      </c>
      <c r="U174" s="66" t="n">
        <f aca="false">IF(U$116=1,Inputs!$C$55,0)</f>
        <v>0</v>
      </c>
      <c r="V174" s="66" t="n">
        <f aca="false">IF(V$116=1,Inputs!$C$55,0)</f>
        <v>0</v>
      </c>
      <c r="W174" s="66" t="n">
        <f aca="false">IF(W$116=1,Inputs!$C$55,0)</f>
        <v>0</v>
      </c>
      <c r="X174" s="66" t="n">
        <f aca="false">IF(X$116=1,Inputs!$C$55,0)</f>
        <v>0</v>
      </c>
      <c r="Y174" s="66" t="n">
        <f aca="false">IF(Y$116=1,Inputs!$C$55,0)</f>
        <v>0</v>
      </c>
      <c r="Z174" s="66" t="n">
        <f aca="false">IF(Z$116=1,Inputs!$C$55,0)</f>
        <v>0</v>
      </c>
      <c r="AA174" s="66" t="n">
        <f aca="false">IF(AA$116=1,Inputs!$C$55,0)</f>
        <v>0</v>
      </c>
      <c r="AB174" s="66" t="n">
        <f aca="false">IF(AB$116=1,Inputs!$C$55,0)</f>
        <v>0</v>
      </c>
      <c r="AC174" s="66" t="n">
        <f aca="false">IF(AC$116=1,Inputs!$C$55,0)</f>
        <v>0</v>
      </c>
      <c r="AD174" s="66" t="n">
        <f aca="false">IF(AD$116=1,Inputs!$C$55,0)</f>
        <v>0</v>
      </c>
      <c r="AE174" s="66" t="n">
        <f aca="false">IF(AE$116=1,Inputs!$C$55,0)</f>
        <v>0</v>
      </c>
      <c r="AF174" s="66" t="n">
        <f aca="false">IF(AF$116=1,Inputs!$C$55,0)</f>
        <v>0</v>
      </c>
      <c r="AG174" s="66" t="n">
        <f aca="false">IF(AG$116=1,Inputs!$C$55,0)</f>
        <v>0</v>
      </c>
      <c r="AH174" s="66" t="n">
        <f aca="false">IF(AH$116=1,Inputs!$C$55,0)</f>
        <v>0</v>
      </c>
      <c r="AI174" s="66" t="n">
        <f aca="false">IF(AI$116=1,Inputs!$C$55,0)</f>
        <v>0</v>
      </c>
      <c r="AJ174" s="66" t="n">
        <f aca="false">IF(AJ$116=1,Inputs!$C$55,0)</f>
        <v>0</v>
      </c>
      <c r="AK174" s="66" t="n">
        <f aca="false">IF(AK$116=1,Inputs!$C$55,0)</f>
        <v>0</v>
      </c>
      <c r="AL174" s="66" t="n">
        <f aca="false">IF(AL$116=1,Inputs!$C$55,0)</f>
        <v>0</v>
      </c>
    </row>
    <row r="175" customFormat="false" ht="15" hidden="false" customHeight="false" outlineLevel="0" collapsed="false">
      <c r="A175" s="6" t="s">
        <v>85</v>
      </c>
      <c r="C175" s="66" t="n">
        <f aca="false">-MIN(C173,Inputs!$C$55/MAX(1,Inputs!$C$57*12))</f>
        <v>-0</v>
      </c>
      <c r="D175" s="66" t="n">
        <f aca="false">-MIN(D173,Inputs!$C$55/MAX(1,Inputs!$C$57*12))</f>
        <v>-1785.71428571429</v>
      </c>
      <c r="E175" s="66" t="n">
        <f aca="false">-MIN(E173,Inputs!$C$55/MAX(1,Inputs!$C$57*12))</f>
        <v>-1785.71428571429</v>
      </c>
      <c r="F175" s="66" t="n">
        <f aca="false">-MIN(F173,Inputs!$C$55/MAX(1,Inputs!$C$57*12))</f>
        <v>-1785.71428571429</v>
      </c>
      <c r="G175" s="66" t="n">
        <f aca="false">-MIN(G173,Inputs!$C$55/MAX(1,Inputs!$C$57*12))</f>
        <v>-1785.71428571429</v>
      </c>
      <c r="H175" s="66" t="n">
        <f aca="false">-MIN(H173,Inputs!$C$55/MAX(1,Inputs!$C$57*12))</f>
        <v>-1785.71428571429</v>
      </c>
      <c r="I175" s="66" t="n">
        <f aca="false">-MIN(I173,Inputs!$C$55/MAX(1,Inputs!$C$57*12))</f>
        <v>-1785.71428571429</v>
      </c>
      <c r="J175" s="66" t="n">
        <f aca="false">-MIN(J173,Inputs!$C$55/MAX(1,Inputs!$C$57*12))</f>
        <v>-1785.71428571429</v>
      </c>
      <c r="K175" s="66" t="n">
        <f aca="false">-MIN(K173,Inputs!$C$55/MAX(1,Inputs!$C$57*12))</f>
        <v>-1785.71428571429</v>
      </c>
      <c r="L175" s="66" t="n">
        <f aca="false">-MIN(L173,Inputs!$C$55/MAX(1,Inputs!$C$57*12))</f>
        <v>-1785.71428571429</v>
      </c>
      <c r="M175" s="66" t="n">
        <f aca="false">-MIN(M173,Inputs!$C$55/MAX(1,Inputs!$C$57*12))</f>
        <v>-1785.71428571429</v>
      </c>
      <c r="N175" s="66" t="n">
        <f aca="false">-MIN(N173,Inputs!$C$55/MAX(1,Inputs!$C$57*12))</f>
        <v>-1785.71428571429</v>
      </c>
      <c r="O175" s="66" t="n">
        <f aca="false">-MIN(O173,Inputs!$C$55/MAX(1,Inputs!$C$57*12))</f>
        <v>-1785.71428571429</v>
      </c>
      <c r="P175" s="66" t="n">
        <f aca="false">-MIN(P173,Inputs!$C$55/MAX(1,Inputs!$C$57*12))</f>
        <v>-1785.71428571429</v>
      </c>
      <c r="Q175" s="66" t="n">
        <f aca="false">-MIN(Q173,Inputs!$C$55/MAX(1,Inputs!$C$57*12))</f>
        <v>-1785.71428571429</v>
      </c>
      <c r="R175" s="66" t="n">
        <f aca="false">-MIN(R173,Inputs!$C$55/MAX(1,Inputs!$C$57*12))</f>
        <v>-1785.71428571429</v>
      </c>
      <c r="S175" s="66" t="n">
        <f aca="false">-MIN(S173,Inputs!$C$55/MAX(1,Inputs!$C$57*12))</f>
        <v>-1785.71428571429</v>
      </c>
      <c r="T175" s="66" t="n">
        <f aca="false">-MIN(T173,Inputs!$C$55/MAX(1,Inputs!$C$57*12))</f>
        <v>-1785.71428571429</v>
      </c>
      <c r="U175" s="66" t="n">
        <f aca="false">-MIN(U173,Inputs!$C$55/MAX(1,Inputs!$C$57*12))</f>
        <v>-1785.71428571429</v>
      </c>
      <c r="V175" s="66" t="n">
        <f aca="false">-MIN(V173,Inputs!$C$55/MAX(1,Inputs!$C$57*12))</f>
        <v>-1785.71428571429</v>
      </c>
      <c r="W175" s="66" t="n">
        <f aca="false">-MIN(W173,Inputs!$C$55/MAX(1,Inputs!$C$57*12))</f>
        <v>-1785.71428571429</v>
      </c>
      <c r="X175" s="66" t="n">
        <f aca="false">-MIN(X173,Inputs!$C$55/MAX(1,Inputs!$C$57*12))</f>
        <v>-1785.71428571429</v>
      </c>
      <c r="Y175" s="66" t="n">
        <f aca="false">-MIN(Y173,Inputs!$C$55/MAX(1,Inputs!$C$57*12))</f>
        <v>-1785.71428571429</v>
      </c>
      <c r="Z175" s="66" t="n">
        <f aca="false">-MIN(Z173,Inputs!$C$55/MAX(1,Inputs!$C$57*12))</f>
        <v>-1785.71428571429</v>
      </c>
      <c r="AA175" s="66" t="n">
        <f aca="false">-MIN(AA173,Inputs!$C$55/MAX(1,Inputs!$C$57*12))</f>
        <v>-1785.71428571429</v>
      </c>
      <c r="AB175" s="66" t="n">
        <f aca="false">-MIN(AB173,Inputs!$C$55/MAX(1,Inputs!$C$57*12))</f>
        <v>-1785.71428571429</v>
      </c>
      <c r="AC175" s="66" t="n">
        <f aca="false">-MIN(AC173,Inputs!$C$55/MAX(1,Inputs!$C$57*12))</f>
        <v>-1785.71428571429</v>
      </c>
      <c r="AD175" s="66" t="n">
        <f aca="false">-MIN(AD173,Inputs!$C$55/MAX(1,Inputs!$C$57*12))</f>
        <v>-1785.71428571429</v>
      </c>
      <c r="AE175" s="66" t="n">
        <f aca="false">-MIN(AE173,Inputs!$C$55/MAX(1,Inputs!$C$57*12))</f>
        <v>-1785.71428571429</v>
      </c>
      <c r="AF175" s="66" t="n">
        <f aca="false">-MIN(AF173,Inputs!$C$55/MAX(1,Inputs!$C$57*12))</f>
        <v>-1785.71428571429</v>
      </c>
      <c r="AG175" s="66" t="n">
        <f aca="false">-MIN(AG173,Inputs!$C$55/MAX(1,Inputs!$C$57*12))</f>
        <v>-1785.71428571429</v>
      </c>
      <c r="AH175" s="66" t="n">
        <f aca="false">-MIN(AH173,Inputs!$C$55/MAX(1,Inputs!$C$57*12))</f>
        <v>-1785.71428571429</v>
      </c>
      <c r="AI175" s="66" t="n">
        <f aca="false">-MIN(AI173,Inputs!$C$55/MAX(1,Inputs!$C$57*12))</f>
        <v>-1785.71428571429</v>
      </c>
      <c r="AJ175" s="66" t="n">
        <f aca="false">-MIN(AJ173,Inputs!$C$55/MAX(1,Inputs!$C$57*12))</f>
        <v>-1785.71428571429</v>
      </c>
      <c r="AK175" s="66" t="n">
        <f aca="false">-MIN(AK173,Inputs!$C$55/MAX(1,Inputs!$C$57*12))</f>
        <v>-1785.71428571429</v>
      </c>
      <c r="AL175" s="66" t="n">
        <f aca="false">-MIN(AL173,Inputs!$C$55/MAX(1,Inputs!$C$57*12))</f>
        <v>-1785.71428571429</v>
      </c>
    </row>
    <row r="176" customFormat="false" ht="15" hidden="false" customHeight="false" outlineLevel="0" collapsed="false">
      <c r="A176" s="4" t="s">
        <v>397</v>
      </c>
      <c r="C176" s="72" t="n">
        <f aca="false">C173+C174+C175</f>
        <v>150000</v>
      </c>
      <c r="D176" s="72" t="n">
        <f aca="false">D173+D174+D175</f>
        <v>148214.285714286</v>
      </c>
      <c r="E176" s="72" t="n">
        <f aca="false">E173+E174+E175</f>
        <v>146428.571428571</v>
      </c>
      <c r="F176" s="72" t="n">
        <f aca="false">F173+F174+F175</f>
        <v>144642.857142857</v>
      </c>
      <c r="G176" s="72" t="n">
        <f aca="false">G173+G174+G175</f>
        <v>142857.142857143</v>
      </c>
      <c r="H176" s="72" t="n">
        <f aca="false">H173+H174+H175</f>
        <v>141071.428571429</v>
      </c>
      <c r="I176" s="72" t="n">
        <f aca="false">I173+I174+I175</f>
        <v>139285.714285714</v>
      </c>
      <c r="J176" s="72" t="n">
        <f aca="false">J173+J174+J175</f>
        <v>137500</v>
      </c>
      <c r="K176" s="72" t="n">
        <f aca="false">K173+K174+K175</f>
        <v>135714.285714286</v>
      </c>
      <c r="L176" s="72" t="n">
        <f aca="false">L173+L174+L175</f>
        <v>133928.571428571</v>
      </c>
      <c r="M176" s="72" t="n">
        <f aca="false">M173+M174+M175</f>
        <v>132142.857142857</v>
      </c>
      <c r="N176" s="72" t="n">
        <f aca="false">N173+N174+N175</f>
        <v>130357.142857143</v>
      </c>
      <c r="O176" s="72" t="n">
        <f aca="false">O173+O174+O175</f>
        <v>128571.428571429</v>
      </c>
      <c r="P176" s="72" t="n">
        <f aca="false">P173+P174+P175</f>
        <v>126785.714285714</v>
      </c>
      <c r="Q176" s="72" t="n">
        <f aca="false">Q173+Q174+Q175</f>
        <v>125000</v>
      </c>
      <c r="R176" s="72" t="n">
        <f aca="false">R173+R174+R175</f>
        <v>123214.285714286</v>
      </c>
      <c r="S176" s="72" t="n">
        <f aca="false">S173+S174+S175</f>
        <v>121428.571428571</v>
      </c>
      <c r="T176" s="72" t="n">
        <f aca="false">T173+T174+T175</f>
        <v>119642.857142857</v>
      </c>
      <c r="U176" s="72" t="n">
        <f aca="false">U173+U174+U175</f>
        <v>117857.142857143</v>
      </c>
      <c r="V176" s="72" t="n">
        <f aca="false">V173+V174+V175</f>
        <v>116071.428571428</v>
      </c>
      <c r="W176" s="72" t="n">
        <f aca="false">W173+W174+W175</f>
        <v>114285.714285714</v>
      </c>
      <c r="X176" s="72" t="n">
        <f aca="false">X173+X174+X175</f>
        <v>112500</v>
      </c>
      <c r="Y176" s="72" t="n">
        <f aca="false">Y173+Y174+Y175</f>
        <v>110714.285714286</v>
      </c>
      <c r="Z176" s="72" t="n">
        <f aca="false">Z173+Z174+Z175</f>
        <v>108928.571428571</v>
      </c>
      <c r="AA176" s="72" t="n">
        <f aca="false">AA173+AA174+AA175</f>
        <v>107142.857142857</v>
      </c>
      <c r="AB176" s="72" t="n">
        <f aca="false">AB173+AB174+AB175</f>
        <v>105357.142857143</v>
      </c>
      <c r="AC176" s="72" t="n">
        <f aca="false">AC173+AC174+AC175</f>
        <v>103571.428571428</v>
      </c>
      <c r="AD176" s="72" t="n">
        <f aca="false">AD173+AD174+AD175</f>
        <v>101785.714285714</v>
      </c>
      <c r="AE176" s="72" t="n">
        <f aca="false">AE173+AE174+AE175</f>
        <v>99999.9999999999</v>
      </c>
      <c r="AF176" s="72" t="n">
        <f aca="false">AF173+AF174+AF175</f>
        <v>98214.2857142856</v>
      </c>
      <c r="AG176" s="72" t="n">
        <f aca="false">AG173+AG174+AG175</f>
        <v>96428.5714285713</v>
      </c>
      <c r="AH176" s="72" t="n">
        <f aca="false">AH173+AH174+AH175</f>
        <v>94642.857142857</v>
      </c>
      <c r="AI176" s="72" t="n">
        <f aca="false">AI173+AI174+AI175</f>
        <v>92857.1428571427</v>
      </c>
      <c r="AJ176" s="72" t="n">
        <f aca="false">AJ173+AJ174+AJ175</f>
        <v>91071.4285714284</v>
      </c>
      <c r="AK176" s="72" t="n">
        <f aca="false">AK173+AK174+AK175</f>
        <v>89285.7142857141</v>
      </c>
      <c r="AL176" s="72" t="n">
        <f aca="false">AL173+AL174+AL175</f>
        <v>87499.9999999999</v>
      </c>
    </row>
    <row r="178" customFormat="false" ht="15.75" hidden="false" customHeight="true" outlineLevel="0" collapsed="false">
      <c r="A178" s="7" t="s">
        <v>303</v>
      </c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</row>
    <row r="179" customFormat="false" ht="15" hidden="false" customHeight="false" outlineLevel="0" collapsed="false">
      <c r="A179" s="6" t="s">
        <v>89</v>
      </c>
      <c r="C179" s="66" t="n">
        <f aca="false">C136*Inputs!$C$60/30</f>
        <v>0</v>
      </c>
      <c r="D179" s="66" t="n">
        <f aca="false">D136*Inputs!$C$60/30</f>
        <v>0</v>
      </c>
      <c r="E179" s="66" t="n">
        <f aca="false">E136*Inputs!$C$60/30</f>
        <v>0</v>
      </c>
      <c r="F179" s="66" t="n">
        <f aca="false">F136*Inputs!$C$60/30</f>
        <v>0</v>
      </c>
      <c r="G179" s="66" t="n">
        <f aca="false">G136*Inputs!$C$60/30</f>
        <v>0</v>
      </c>
      <c r="H179" s="66" t="n">
        <f aca="false">H136*Inputs!$C$60/30</f>
        <v>0</v>
      </c>
      <c r="I179" s="66" t="n">
        <f aca="false">I136*Inputs!$C$60/30</f>
        <v>0</v>
      </c>
      <c r="J179" s="66" t="n">
        <f aca="false">J136*Inputs!$C$60/30</f>
        <v>0</v>
      </c>
      <c r="K179" s="66" t="n">
        <f aca="false">K136*Inputs!$C$60/30</f>
        <v>0</v>
      </c>
      <c r="L179" s="66" t="n">
        <f aca="false">L136*Inputs!$C$60/30</f>
        <v>0</v>
      </c>
      <c r="M179" s="66" t="n">
        <f aca="false">M136*Inputs!$C$60/30</f>
        <v>0</v>
      </c>
      <c r="N179" s="66" t="n">
        <f aca="false">N136*Inputs!$C$60/30</f>
        <v>0</v>
      </c>
      <c r="O179" s="66" t="n">
        <f aca="false">O136*Inputs!$C$60/30</f>
        <v>0</v>
      </c>
      <c r="P179" s="66" t="n">
        <f aca="false">P136*Inputs!$C$60/30</f>
        <v>0</v>
      </c>
      <c r="Q179" s="66" t="n">
        <f aca="false">Q136*Inputs!$C$60/30</f>
        <v>0</v>
      </c>
      <c r="R179" s="66" t="n">
        <f aca="false">R136*Inputs!$C$60/30</f>
        <v>0</v>
      </c>
      <c r="S179" s="66" t="n">
        <f aca="false">S136*Inputs!$C$60/30</f>
        <v>0</v>
      </c>
      <c r="T179" s="66" t="n">
        <f aca="false">T136*Inputs!$C$60/30</f>
        <v>0</v>
      </c>
      <c r="U179" s="66" t="n">
        <f aca="false">U136*Inputs!$C$60/30</f>
        <v>0</v>
      </c>
      <c r="V179" s="66" t="n">
        <f aca="false">V136*Inputs!$C$60/30</f>
        <v>0</v>
      </c>
      <c r="W179" s="66" t="n">
        <f aca="false">W136*Inputs!$C$60/30</f>
        <v>0</v>
      </c>
      <c r="X179" s="66" t="n">
        <f aca="false">X136*Inputs!$C$60/30</f>
        <v>0</v>
      </c>
      <c r="Y179" s="66" t="n">
        <f aca="false">Y136*Inputs!$C$60/30</f>
        <v>0</v>
      </c>
      <c r="Z179" s="66" t="n">
        <f aca="false">Z136*Inputs!$C$60/30</f>
        <v>0</v>
      </c>
      <c r="AA179" s="66" t="n">
        <f aca="false">AA136*Inputs!$C$60/30</f>
        <v>0</v>
      </c>
      <c r="AB179" s="66" t="n">
        <f aca="false">AB136*Inputs!$C$60/30</f>
        <v>0</v>
      </c>
      <c r="AC179" s="66" t="n">
        <f aca="false">AC136*Inputs!$C$60/30</f>
        <v>0</v>
      </c>
      <c r="AD179" s="66" t="n">
        <f aca="false">AD136*Inputs!$C$60/30</f>
        <v>0</v>
      </c>
      <c r="AE179" s="66" t="n">
        <f aca="false">AE136*Inputs!$C$60/30</f>
        <v>0</v>
      </c>
      <c r="AF179" s="66" t="n">
        <f aca="false">AF136*Inputs!$C$60/30</f>
        <v>0</v>
      </c>
      <c r="AG179" s="66" t="n">
        <f aca="false">AG136*Inputs!$C$60/30</f>
        <v>0</v>
      </c>
      <c r="AH179" s="66" t="n">
        <f aca="false">AH136*Inputs!$C$60/30</f>
        <v>0</v>
      </c>
      <c r="AI179" s="66" t="n">
        <f aca="false">AI136*Inputs!$C$60/30</f>
        <v>0</v>
      </c>
      <c r="AJ179" s="66" t="n">
        <f aca="false">AJ136*Inputs!$C$60/30</f>
        <v>0</v>
      </c>
      <c r="AK179" s="66" t="n">
        <f aca="false">AK136*Inputs!$C$60/30</f>
        <v>0</v>
      </c>
      <c r="AL179" s="66" t="n">
        <f aca="false">AL136*Inputs!$C$60/30</f>
        <v>0</v>
      </c>
    </row>
    <row r="180" customFormat="false" ht="15" hidden="false" customHeight="false" outlineLevel="0" collapsed="false">
      <c r="A180" s="6" t="s">
        <v>90</v>
      </c>
      <c r="C180" s="66" t="n">
        <f aca="false">-C142*Inputs!$C$61/30</f>
        <v>3138.45</v>
      </c>
      <c r="D180" s="66" t="n">
        <f aca="false">-D142*Inputs!$C$61/30</f>
        <v>3244.083</v>
      </c>
      <c r="E180" s="66" t="n">
        <f aca="false">-E142*Inputs!$C$61/30</f>
        <v>3343.37802</v>
      </c>
      <c r="F180" s="66" t="n">
        <f aca="false">-F142*Inputs!$C$61/30</f>
        <v>3436.7153388</v>
      </c>
      <c r="G180" s="66" t="n">
        <f aca="false">-G142*Inputs!$C$61/30</f>
        <v>3524.452418472</v>
      </c>
      <c r="H180" s="66" t="n">
        <f aca="false">-H142*Inputs!$C$61/30</f>
        <v>3606.92527336368</v>
      </c>
      <c r="I180" s="66" t="n">
        <f aca="false">-I142*Inputs!$C$61/30</f>
        <v>3684.44975696186</v>
      </c>
      <c r="J180" s="66" t="n">
        <f aca="false">-J142*Inputs!$C$61/30</f>
        <v>3757.32277154415</v>
      </c>
      <c r="K180" s="66" t="n">
        <f aca="false">-K142*Inputs!$C$61/30</f>
        <v>3825.8234052515</v>
      </c>
      <c r="L180" s="66" t="n">
        <f aca="false">-L142*Inputs!$C$61/30</f>
        <v>3890.21400093641</v>
      </c>
      <c r="M180" s="66" t="n">
        <f aca="false">-M142*Inputs!$C$61/30</f>
        <v>3950.74116088022</v>
      </c>
      <c r="N180" s="66" t="n">
        <f aca="false">-N142*Inputs!$C$61/30</f>
        <v>4007.63669122741</v>
      </c>
      <c r="O180" s="66" t="n">
        <f aca="false">-O142*Inputs!$C$61/30</f>
        <v>4188.06187444638</v>
      </c>
      <c r="P180" s="66" t="n">
        <f aca="false">-P142*Inputs!$C$61/30</f>
        <v>4249.7560219796</v>
      </c>
      <c r="Q180" s="66" t="n">
        <f aca="false">-Q142*Inputs!$C$61/30</f>
        <v>4307.74852066082</v>
      </c>
      <c r="R180" s="66" t="n">
        <f aca="false">-R142*Inputs!$C$61/30</f>
        <v>4362.26146942117</v>
      </c>
      <c r="S180" s="66" t="n">
        <f aca="false">-S142*Inputs!$C$61/30</f>
        <v>4413.5036412559</v>
      </c>
      <c r="T180" s="66" t="n">
        <f aca="false">-T142*Inputs!$C$61/30</f>
        <v>4461.67128278055</v>
      </c>
      <c r="U180" s="66" t="n">
        <f aca="false">-U142*Inputs!$C$61/30</f>
        <v>4506.94886581371</v>
      </c>
      <c r="V180" s="66" t="n">
        <f aca="false">-V142*Inputs!$C$61/30</f>
        <v>4538.16874426025</v>
      </c>
      <c r="W180" s="66" t="n">
        <f aca="false">-W142*Inputs!$C$61/30</f>
        <v>4547.45</v>
      </c>
      <c r="X180" s="66" t="n">
        <f aca="false">-X142*Inputs!$C$61/30</f>
        <v>4547.45</v>
      </c>
      <c r="Y180" s="66" t="n">
        <f aca="false">-Y142*Inputs!$C$61/30</f>
        <v>4547.45</v>
      </c>
      <c r="Z180" s="66" t="n">
        <f aca="false">-Z142*Inputs!$C$61/30</f>
        <v>4547.45</v>
      </c>
      <c r="AA180" s="66" t="n">
        <f aca="false">-AA142*Inputs!$C$61/30</f>
        <v>4683.8735</v>
      </c>
      <c r="AB180" s="66" t="n">
        <f aca="false">-AB142*Inputs!$C$61/30</f>
        <v>4683.8735</v>
      </c>
      <c r="AC180" s="66" t="n">
        <f aca="false">-AC142*Inputs!$C$61/30</f>
        <v>4683.8735</v>
      </c>
      <c r="AD180" s="66" t="n">
        <f aca="false">-AD142*Inputs!$C$61/30</f>
        <v>4683.8735</v>
      </c>
      <c r="AE180" s="66" t="n">
        <f aca="false">-AE142*Inputs!$C$61/30</f>
        <v>4683.8735</v>
      </c>
      <c r="AF180" s="66" t="n">
        <f aca="false">-AF142*Inputs!$C$61/30</f>
        <v>4683.8735</v>
      </c>
      <c r="AG180" s="66" t="n">
        <f aca="false">-AG142*Inputs!$C$61/30</f>
        <v>4683.8735</v>
      </c>
      <c r="AH180" s="66" t="n">
        <f aca="false">-AH142*Inputs!$C$61/30</f>
        <v>4683.8735</v>
      </c>
      <c r="AI180" s="66" t="n">
        <f aca="false">-AI142*Inputs!$C$61/30</f>
        <v>4683.8735</v>
      </c>
      <c r="AJ180" s="66" t="n">
        <f aca="false">-AJ142*Inputs!$C$61/30</f>
        <v>4683.8735</v>
      </c>
      <c r="AK180" s="66" t="n">
        <f aca="false">-AK142*Inputs!$C$61/30</f>
        <v>4683.8735</v>
      </c>
      <c r="AL180" s="66" t="n">
        <f aca="false">-AL142*Inputs!$C$61/30</f>
        <v>4683.8735</v>
      </c>
    </row>
    <row r="181" customFormat="false" ht="15" hidden="false" customHeight="false" outlineLevel="0" collapsed="false">
      <c r="A181" s="6" t="s">
        <v>93</v>
      </c>
      <c r="C181" s="66" t="n">
        <f aca="false">-C142*Inputs!$C$62/30</f>
        <v>6276.9</v>
      </c>
      <c r="D181" s="66" t="n">
        <f aca="false">-D142*Inputs!$C$62/30</f>
        <v>6488.166</v>
      </c>
      <c r="E181" s="66" t="n">
        <f aca="false">-E142*Inputs!$C$62/30</f>
        <v>6686.75604</v>
      </c>
      <c r="F181" s="66" t="n">
        <f aca="false">-F142*Inputs!$C$62/30</f>
        <v>6873.4306776</v>
      </c>
      <c r="G181" s="66" t="n">
        <f aca="false">-G142*Inputs!$C$62/30</f>
        <v>7048.904836944</v>
      </c>
      <c r="H181" s="66" t="n">
        <f aca="false">-H142*Inputs!$C$62/30</f>
        <v>7213.85054672736</v>
      </c>
      <c r="I181" s="66" t="n">
        <f aca="false">-I142*Inputs!$C$62/30</f>
        <v>7368.89951392372</v>
      </c>
      <c r="J181" s="66" t="n">
        <f aca="false">-J142*Inputs!$C$62/30</f>
        <v>7514.64554308829</v>
      </c>
      <c r="K181" s="66" t="n">
        <f aca="false">-K142*Inputs!$C$62/30</f>
        <v>7651.646810503</v>
      </c>
      <c r="L181" s="66" t="n">
        <f aca="false">-L142*Inputs!$C$62/30</f>
        <v>7780.42800187282</v>
      </c>
      <c r="M181" s="66" t="n">
        <f aca="false">-M142*Inputs!$C$62/30</f>
        <v>7901.48232176045</v>
      </c>
      <c r="N181" s="66" t="n">
        <f aca="false">-N142*Inputs!$C$62/30</f>
        <v>8015.27338245482</v>
      </c>
      <c r="O181" s="66" t="n">
        <f aca="false">-O142*Inputs!$C$62/30</f>
        <v>8376.12374889276</v>
      </c>
      <c r="P181" s="66" t="n">
        <f aca="false">-P142*Inputs!$C$62/30</f>
        <v>8499.51204395919</v>
      </c>
      <c r="Q181" s="66" t="n">
        <f aca="false">-Q142*Inputs!$C$62/30</f>
        <v>8615.49704132164</v>
      </c>
      <c r="R181" s="66" t="n">
        <f aca="false">-R142*Inputs!$C$62/30</f>
        <v>8724.52293884234</v>
      </c>
      <c r="S181" s="66" t="n">
        <f aca="false">-S142*Inputs!$C$62/30</f>
        <v>8827.0072825118</v>
      </c>
      <c r="T181" s="66" t="n">
        <f aca="false">-T142*Inputs!$C$62/30</f>
        <v>8923.34256556109</v>
      </c>
      <c r="U181" s="66" t="n">
        <f aca="false">-U142*Inputs!$C$62/30</f>
        <v>9013.89773162743</v>
      </c>
      <c r="V181" s="66" t="n">
        <f aca="false">-V142*Inputs!$C$62/30</f>
        <v>9076.33748852051</v>
      </c>
      <c r="W181" s="66" t="n">
        <f aca="false">-W142*Inputs!$C$62/30</f>
        <v>9094.9</v>
      </c>
      <c r="X181" s="66" t="n">
        <f aca="false">-X142*Inputs!$C$62/30</f>
        <v>9094.9</v>
      </c>
      <c r="Y181" s="66" t="n">
        <f aca="false">-Y142*Inputs!$C$62/30</f>
        <v>9094.9</v>
      </c>
      <c r="Z181" s="66" t="n">
        <f aca="false">-Z142*Inputs!$C$62/30</f>
        <v>9094.9</v>
      </c>
      <c r="AA181" s="66" t="n">
        <f aca="false">-AA142*Inputs!$C$62/30</f>
        <v>9367.747</v>
      </c>
      <c r="AB181" s="66" t="n">
        <f aca="false">-AB142*Inputs!$C$62/30</f>
        <v>9367.747</v>
      </c>
      <c r="AC181" s="66" t="n">
        <f aca="false">-AC142*Inputs!$C$62/30</f>
        <v>9367.747</v>
      </c>
      <c r="AD181" s="66" t="n">
        <f aca="false">-AD142*Inputs!$C$62/30</f>
        <v>9367.747</v>
      </c>
      <c r="AE181" s="66" t="n">
        <f aca="false">-AE142*Inputs!$C$62/30</f>
        <v>9367.747</v>
      </c>
      <c r="AF181" s="66" t="n">
        <f aca="false">-AF142*Inputs!$C$62/30</f>
        <v>9367.747</v>
      </c>
      <c r="AG181" s="66" t="n">
        <f aca="false">-AG142*Inputs!$C$62/30</f>
        <v>9367.747</v>
      </c>
      <c r="AH181" s="66" t="n">
        <f aca="false">-AH142*Inputs!$C$62/30</f>
        <v>9367.747</v>
      </c>
      <c r="AI181" s="66" t="n">
        <f aca="false">-AI142*Inputs!$C$62/30</f>
        <v>9367.747</v>
      </c>
      <c r="AJ181" s="66" t="n">
        <f aca="false">-AJ142*Inputs!$C$62/30</f>
        <v>9367.747</v>
      </c>
      <c r="AK181" s="66" t="n">
        <f aca="false">-AK142*Inputs!$C$62/30</f>
        <v>9367.747</v>
      </c>
      <c r="AL181" s="66" t="n">
        <f aca="false">-AL142*Inputs!$C$62/30</f>
        <v>9367.747</v>
      </c>
    </row>
    <row r="182" customFormat="false" ht="15" hidden="false" customHeight="false" outlineLevel="0" collapsed="false">
      <c r="A182" s="6" t="s">
        <v>328</v>
      </c>
      <c r="C182" s="66" t="n">
        <f aca="false">-C179</f>
        <v>-0</v>
      </c>
      <c r="D182" s="66" t="n">
        <f aca="false">C179-D179</f>
        <v>0</v>
      </c>
      <c r="E182" s="66" t="n">
        <f aca="false">D179-E179</f>
        <v>0</v>
      </c>
      <c r="F182" s="66" t="n">
        <f aca="false">E179-F179</f>
        <v>0</v>
      </c>
      <c r="G182" s="66" t="n">
        <f aca="false">F179-G179</f>
        <v>0</v>
      </c>
      <c r="H182" s="66" t="n">
        <f aca="false">G179-H179</f>
        <v>0</v>
      </c>
      <c r="I182" s="66" t="n">
        <f aca="false">H179-I179</f>
        <v>0</v>
      </c>
      <c r="J182" s="66" t="n">
        <f aca="false">I179-J179</f>
        <v>0</v>
      </c>
      <c r="K182" s="66" t="n">
        <f aca="false">J179-K179</f>
        <v>0</v>
      </c>
      <c r="L182" s="66" t="n">
        <f aca="false">K179-L179</f>
        <v>0</v>
      </c>
      <c r="M182" s="66" t="n">
        <f aca="false">L179-M179</f>
        <v>0</v>
      </c>
      <c r="N182" s="66" t="n">
        <f aca="false">M179-N179</f>
        <v>0</v>
      </c>
      <c r="O182" s="66" t="n">
        <f aca="false">N179-O179</f>
        <v>0</v>
      </c>
      <c r="P182" s="66" t="n">
        <f aca="false">O179-P179</f>
        <v>0</v>
      </c>
      <c r="Q182" s="66" t="n">
        <f aca="false">P179-Q179</f>
        <v>0</v>
      </c>
      <c r="R182" s="66" t="n">
        <f aca="false">Q179-R179</f>
        <v>0</v>
      </c>
      <c r="S182" s="66" t="n">
        <f aca="false">R179-S179</f>
        <v>0</v>
      </c>
      <c r="T182" s="66" t="n">
        <f aca="false">S179-T179</f>
        <v>0</v>
      </c>
      <c r="U182" s="66" t="n">
        <f aca="false">T179-U179</f>
        <v>0</v>
      </c>
      <c r="V182" s="66" t="n">
        <f aca="false">U179-V179</f>
        <v>0</v>
      </c>
      <c r="W182" s="66" t="n">
        <f aca="false">V179-W179</f>
        <v>0</v>
      </c>
      <c r="X182" s="66" t="n">
        <f aca="false">W179-X179</f>
        <v>0</v>
      </c>
      <c r="Y182" s="66" t="n">
        <f aca="false">X179-Y179</f>
        <v>0</v>
      </c>
      <c r="Z182" s="66" t="n">
        <f aca="false">Y179-Z179</f>
        <v>0</v>
      </c>
      <c r="AA182" s="66" t="n">
        <f aca="false">Z179-AA179</f>
        <v>0</v>
      </c>
      <c r="AB182" s="66" t="n">
        <f aca="false">AA179-AB179</f>
        <v>0</v>
      </c>
      <c r="AC182" s="66" t="n">
        <f aca="false">AB179-AC179</f>
        <v>0</v>
      </c>
      <c r="AD182" s="66" t="n">
        <f aca="false">AC179-AD179</f>
        <v>0</v>
      </c>
      <c r="AE182" s="66" t="n">
        <f aca="false">AD179-AE179</f>
        <v>0</v>
      </c>
      <c r="AF182" s="66" t="n">
        <f aca="false">AE179-AF179</f>
        <v>0</v>
      </c>
      <c r="AG182" s="66" t="n">
        <f aca="false">AF179-AG179</f>
        <v>0</v>
      </c>
      <c r="AH182" s="66" t="n">
        <f aca="false">AG179-AH179</f>
        <v>0</v>
      </c>
      <c r="AI182" s="66" t="n">
        <f aca="false">AH179-AI179</f>
        <v>0</v>
      </c>
      <c r="AJ182" s="66" t="n">
        <f aca="false">AI179-AJ179</f>
        <v>0</v>
      </c>
      <c r="AK182" s="66" t="n">
        <f aca="false">AJ179-AK179</f>
        <v>0</v>
      </c>
      <c r="AL182" s="66" t="n">
        <f aca="false">AK179-AL179</f>
        <v>0</v>
      </c>
    </row>
    <row r="183" customFormat="false" ht="15" hidden="false" customHeight="false" outlineLevel="0" collapsed="false">
      <c r="A183" s="6" t="s">
        <v>329</v>
      </c>
      <c r="C183" s="66" t="n">
        <f aca="false">-C180</f>
        <v>-3138.45</v>
      </c>
      <c r="D183" s="66" t="n">
        <f aca="false">C180-D180</f>
        <v>-105.633</v>
      </c>
      <c r="E183" s="66" t="n">
        <f aca="false">D180-E180</f>
        <v>-99.29502</v>
      </c>
      <c r="F183" s="66" t="n">
        <f aca="false">E180-F180</f>
        <v>-93.3373188000005</v>
      </c>
      <c r="G183" s="66" t="n">
        <f aca="false">F180-G180</f>
        <v>-87.7370796719997</v>
      </c>
      <c r="H183" s="66" t="n">
        <f aca="false">G180-H180</f>
        <v>-82.4728548916801</v>
      </c>
      <c r="I183" s="66" t="n">
        <f aca="false">H180-I180</f>
        <v>-77.5244835981794</v>
      </c>
      <c r="J183" s="66" t="n">
        <f aca="false">I180-J180</f>
        <v>-72.8730145822879</v>
      </c>
      <c r="K183" s="66" t="n">
        <f aca="false">J180-K180</f>
        <v>-68.5006337073514</v>
      </c>
      <c r="L183" s="66" t="n">
        <f aca="false">K180-L180</f>
        <v>-64.3905956849098</v>
      </c>
      <c r="M183" s="66" t="n">
        <f aca="false">L180-M180</f>
        <v>-60.5271599438152</v>
      </c>
      <c r="N183" s="66" t="n">
        <f aca="false">M180-N180</f>
        <v>-56.8955303471867</v>
      </c>
      <c r="O183" s="66" t="n">
        <f aca="false">N180-O180</f>
        <v>-180.425183218968</v>
      </c>
      <c r="P183" s="66" t="n">
        <f aca="false">O180-P180</f>
        <v>-61.6941475332169</v>
      </c>
      <c r="Q183" s="66" t="n">
        <f aca="false">P180-Q180</f>
        <v>-57.9924986812248</v>
      </c>
      <c r="R183" s="66" t="n">
        <f aca="false">Q180-R180</f>
        <v>-54.5129487603508</v>
      </c>
      <c r="S183" s="66" t="n">
        <f aca="false">R180-S180</f>
        <v>-51.2421718347296</v>
      </c>
      <c r="T183" s="66" t="n">
        <f aca="false">S180-T180</f>
        <v>-48.1676415246466</v>
      </c>
      <c r="U183" s="66" t="n">
        <f aca="false">T180-U180</f>
        <v>-45.2775830331666</v>
      </c>
      <c r="V183" s="66" t="n">
        <f aca="false">U180-V180</f>
        <v>-31.21987844654</v>
      </c>
      <c r="W183" s="66" t="n">
        <f aca="false">V180-W180</f>
        <v>-9.28125573974648</v>
      </c>
      <c r="X183" s="66" t="n">
        <f aca="false">W180-X180</f>
        <v>0</v>
      </c>
      <c r="Y183" s="66" t="n">
        <f aca="false">X180-Y180</f>
        <v>0</v>
      </c>
      <c r="Z183" s="66" t="n">
        <f aca="false">Y180-Z180</f>
        <v>0</v>
      </c>
      <c r="AA183" s="66" t="n">
        <f aca="false">Z180-AA180</f>
        <v>-136.423500000001</v>
      </c>
      <c r="AB183" s="66" t="n">
        <f aca="false">AA180-AB180</f>
        <v>0</v>
      </c>
      <c r="AC183" s="66" t="n">
        <f aca="false">AB180-AC180</f>
        <v>0</v>
      </c>
      <c r="AD183" s="66" t="n">
        <f aca="false">AC180-AD180</f>
        <v>0</v>
      </c>
      <c r="AE183" s="66" t="n">
        <f aca="false">AD180-AE180</f>
        <v>0</v>
      </c>
      <c r="AF183" s="66" t="n">
        <f aca="false">AE180-AF180</f>
        <v>0</v>
      </c>
      <c r="AG183" s="66" t="n">
        <f aca="false">AF180-AG180</f>
        <v>0</v>
      </c>
      <c r="AH183" s="66" t="n">
        <f aca="false">AG180-AH180</f>
        <v>0</v>
      </c>
      <c r="AI183" s="66" t="n">
        <f aca="false">AH180-AI180</f>
        <v>0</v>
      </c>
      <c r="AJ183" s="66" t="n">
        <f aca="false">AI180-AJ180</f>
        <v>0</v>
      </c>
      <c r="AK183" s="66" t="n">
        <f aca="false">AJ180-AK180</f>
        <v>0</v>
      </c>
      <c r="AL183" s="66" t="n">
        <f aca="false">AK180-AL180</f>
        <v>0</v>
      </c>
    </row>
    <row r="184" customFormat="false" ht="15" hidden="false" customHeight="false" outlineLevel="0" collapsed="false">
      <c r="A184" s="6" t="s">
        <v>330</v>
      </c>
      <c r="C184" s="66" t="n">
        <f aca="false">C181</f>
        <v>6276.9</v>
      </c>
      <c r="D184" s="66" t="n">
        <f aca="false">D181-C181</f>
        <v>211.266</v>
      </c>
      <c r="E184" s="66" t="n">
        <f aca="false">E181-D181</f>
        <v>198.59004</v>
      </c>
      <c r="F184" s="66" t="n">
        <f aca="false">F181-E181</f>
        <v>186.674637600001</v>
      </c>
      <c r="G184" s="66" t="n">
        <f aca="false">G181-F181</f>
        <v>175.474159343999</v>
      </c>
      <c r="H184" s="66" t="n">
        <f aca="false">H181-G181</f>
        <v>164.94570978336</v>
      </c>
      <c r="I184" s="66" t="n">
        <f aca="false">I181-H181</f>
        <v>155.048967196359</v>
      </c>
      <c r="J184" s="66" t="n">
        <f aca="false">J181-I181</f>
        <v>145.746029164576</v>
      </c>
      <c r="K184" s="66" t="n">
        <f aca="false">K181-J181</f>
        <v>137.001267414703</v>
      </c>
      <c r="L184" s="66" t="n">
        <f aca="false">L181-K181</f>
        <v>128.78119136982</v>
      </c>
      <c r="M184" s="66" t="n">
        <f aca="false">M181-L181</f>
        <v>121.05431988763</v>
      </c>
      <c r="N184" s="66" t="n">
        <f aca="false">N181-M181</f>
        <v>113.791060694373</v>
      </c>
      <c r="O184" s="66" t="n">
        <f aca="false">O181-N181</f>
        <v>360.850366437936</v>
      </c>
      <c r="P184" s="66" t="n">
        <f aca="false">P181-O181</f>
        <v>123.388295066434</v>
      </c>
      <c r="Q184" s="66" t="n">
        <f aca="false">Q181-P181</f>
        <v>115.98499736245</v>
      </c>
      <c r="R184" s="66" t="n">
        <f aca="false">R181-Q181</f>
        <v>109.025897520702</v>
      </c>
      <c r="S184" s="66" t="n">
        <f aca="false">S181-R181</f>
        <v>102.484343669459</v>
      </c>
      <c r="T184" s="66" t="n">
        <f aca="false">T181-S181</f>
        <v>96.3352830492931</v>
      </c>
      <c r="U184" s="66" t="n">
        <f aca="false">U181-T181</f>
        <v>90.5551660663332</v>
      </c>
      <c r="V184" s="66" t="n">
        <f aca="false">V181-U181</f>
        <v>62.4397568930799</v>
      </c>
      <c r="W184" s="66" t="n">
        <f aca="false">W181-V181</f>
        <v>18.562511479493</v>
      </c>
      <c r="X184" s="66" t="n">
        <f aca="false">X181-W181</f>
        <v>0</v>
      </c>
      <c r="Y184" s="66" t="n">
        <f aca="false">Y181-X181</f>
        <v>0</v>
      </c>
      <c r="Z184" s="66" t="n">
        <f aca="false">Z181-Y181</f>
        <v>0</v>
      </c>
      <c r="AA184" s="66" t="n">
        <f aca="false">AA181-Z181</f>
        <v>272.847000000002</v>
      </c>
      <c r="AB184" s="66" t="n">
        <f aca="false">AB181-AA181</f>
        <v>0</v>
      </c>
      <c r="AC184" s="66" t="n">
        <f aca="false">AC181-AB181</f>
        <v>0</v>
      </c>
      <c r="AD184" s="66" t="n">
        <f aca="false">AD181-AC181</f>
        <v>0</v>
      </c>
      <c r="AE184" s="66" t="n">
        <f aca="false">AE181-AD181</f>
        <v>0</v>
      </c>
      <c r="AF184" s="66" t="n">
        <f aca="false">AF181-AE181</f>
        <v>0</v>
      </c>
      <c r="AG184" s="66" t="n">
        <f aca="false">AG181-AF181</f>
        <v>0</v>
      </c>
      <c r="AH184" s="66" t="n">
        <f aca="false">AH181-AG181</f>
        <v>0</v>
      </c>
      <c r="AI184" s="66" t="n">
        <f aca="false">AI181-AH181</f>
        <v>0</v>
      </c>
      <c r="AJ184" s="66" t="n">
        <f aca="false">AJ181-AI181</f>
        <v>0</v>
      </c>
      <c r="AK184" s="66" t="n">
        <f aca="false">AK181-AJ181</f>
        <v>0</v>
      </c>
      <c r="AL184" s="66" t="n">
        <f aca="false">AL181-AK181</f>
        <v>0</v>
      </c>
    </row>
    <row r="186" customFormat="false" ht="15.75" hidden="false" customHeight="true" outlineLevel="0" collapsed="false">
      <c r="A186" s="7" t="s">
        <v>398</v>
      </c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</row>
    <row r="187" customFormat="false" ht="15" hidden="false" customHeight="false" outlineLevel="0" collapsed="false">
      <c r="A187" s="4" t="s">
        <v>52</v>
      </c>
      <c r="C187" s="72" t="n">
        <f aca="false">C163-C168+C182+C183+C184</f>
        <v>-25720.4866666667</v>
      </c>
      <c r="D187" s="72" t="n">
        <f aca="false">D163-D168+D182+D183+D184</f>
        <v>-25966.7066057143</v>
      </c>
      <c r="E187" s="72" t="n">
        <f aca="false">E163-E168+E182+E183+E184</f>
        <v>-23347.3338246095</v>
      </c>
      <c r="F187" s="72" t="n">
        <f aca="false">F163-F168+F182+F183+F184</f>
        <v>-20884.4091246568</v>
      </c>
      <c r="G187" s="72" t="n">
        <f aca="false">G163-G168+G182+G183+G184</f>
        <v>-18568.5456209869</v>
      </c>
      <c r="H187" s="72" t="n">
        <f aca="false">H163-H168+H182+H183+H184</f>
        <v>-16390.9196418229</v>
      </c>
      <c r="I187" s="72" t="n">
        <f aca="false">I163-I168+I182+I183+I184</f>
        <v>-14343.2369356945</v>
      </c>
      <c r="J187" s="72" t="n">
        <f aca="false">J163-J168+J182+J183+J184</f>
        <v>-12417.7009062195</v>
      </c>
      <c r="K187" s="72" t="n">
        <f aca="false">K163-K168+K182+K183+K184</f>
        <v>-10606.9827527987</v>
      </c>
      <c r="L187" s="72" t="n">
        <f aca="false">L163-L168+L182+L183+L184</f>
        <v>-8904.19340286889</v>
      </c>
      <c r="M187" s="72" t="n">
        <f aca="false">M163-M168+M182+M183+M184</f>
        <v>-7302.85712822056</v>
      </c>
      <c r="N187" s="72" t="n">
        <f aca="false">N163-N168+N182+N183+N184</f>
        <v>-5796.88674433685</v>
      </c>
      <c r="O187" s="72" t="n">
        <f aca="false">O163-O168+O182+O183+O184</f>
        <v>-3647.04606002537</v>
      </c>
      <c r="P187" s="72" t="n">
        <f aca="false">P163-P168+P182+P183+P184</f>
        <v>-2129.85802837741</v>
      </c>
      <c r="Q187" s="72" t="n">
        <f aca="false">Q163-Q168+Q182+Q183+Q184</f>
        <v>-595.081468221445</v>
      </c>
      <c r="R187" s="72" t="n">
        <f aca="false">R163-R168+R182+R183+R184</f>
        <v>848.322784039452</v>
      </c>
      <c r="S187" s="72" t="n">
        <f aca="false">S163-S168+S182+S183+S184</f>
        <v>2205.837066879</v>
      </c>
      <c r="T187" s="72" t="n">
        <f aca="false">T163-T168+T182+T183+T184</f>
        <v>3482.61477846245</v>
      </c>
      <c r="U187" s="72" t="n">
        <f aca="false">U163-U168+U182+U183+U184</f>
        <v>4683.50011306518</v>
      </c>
      <c r="V187" s="72" t="n">
        <f aca="false">V163-V168+V182+V183+V184</f>
        <v>5238.63088632258</v>
      </c>
      <c r="W187" s="72" t="n">
        <f aca="false">W163-W168+W182+W183+W184</f>
        <v>5269.41184621593</v>
      </c>
      <c r="X187" s="72" t="n">
        <f aca="false">X163-X168+X182+X183+X184</f>
        <v>5272.03535238095</v>
      </c>
      <c r="Y187" s="72" t="n">
        <f aca="false">Y163-Y168+Y182+Y183+Y184</f>
        <v>5283.94011428571</v>
      </c>
      <c r="Z187" s="72" t="n">
        <f aca="false">Z163-Z168+Z182+Z183+Z184</f>
        <v>5295.84487619047</v>
      </c>
      <c r="AA187" s="72" t="n">
        <f aca="false">AA163-AA168+AA182+AA183+AA184</f>
        <v>6081.01277009524</v>
      </c>
      <c r="AB187" s="72" t="n">
        <f aca="false">AB163-AB168+AB182+AB183+AB184</f>
        <v>5956.49403200001</v>
      </c>
      <c r="AC187" s="72" t="n">
        <f aca="false">AC163-AC168+AC182+AC183+AC184</f>
        <v>5968.39879390477</v>
      </c>
      <c r="AD187" s="72" t="n">
        <f aca="false">AD163-AD168+AD182+AD183+AD184</f>
        <v>5980.30355580953</v>
      </c>
      <c r="AE187" s="72" t="n">
        <f aca="false">AE163-AE168+AE182+AE183+AE184</f>
        <v>5992.20831771429</v>
      </c>
      <c r="AF187" s="72" t="n">
        <f aca="false">AF163-AF168+AF182+AF183+AF184</f>
        <v>6004.11307961905</v>
      </c>
      <c r="AG187" s="72" t="n">
        <f aca="false">AG163-AG168+AG182+AG183+AG184</f>
        <v>6016.01784152382</v>
      </c>
      <c r="AH187" s="72" t="n">
        <f aca="false">AH163-AH168+AH182+AH183+AH184</f>
        <v>6027.92260342858</v>
      </c>
      <c r="AI187" s="72" t="n">
        <f aca="false">AI163-AI168+AI182+AI183+AI184</f>
        <v>6039.82736533334</v>
      </c>
      <c r="AJ187" s="72" t="n">
        <f aca="false">AJ163-AJ168+AJ182+AJ183+AJ184</f>
        <v>6051.7321272381</v>
      </c>
      <c r="AK187" s="72" t="n">
        <f aca="false">AK163-AK168+AK182+AK183+AK184</f>
        <v>6063.63688914286</v>
      </c>
      <c r="AL187" s="72" t="n">
        <f aca="false">AL163-AL168+AL182+AL183+AL184</f>
        <v>6075.54165104762</v>
      </c>
    </row>
    <row r="188" customFormat="false" ht="15" hidden="false" customHeight="false" outlineLevel="0" collapsed="false">
      <c r="A188" s="6" t="s">
        <v>399</v>
      </c>
      <c r="C188" s="66" t="n">
        <f aca="false">-C166</f>
        <v>-250000</v>
      </c>
      <c r="D188" s="66" t="n">
        <f aca="false">-D166</f>
        <v>-0</v>
      </c>
      <c r="E188" s="66" t="n">
        <f aca="false">-E166</f>
        <v>-0</v>
      </c>
      <c r="F188" s="66" t="n">
        <f aca="false">-F166</f>
        <v>-0</v>
      </c>
      <c r="G188" s="66" t="n">
        <f aca="false">-G166</f>
        <v>-0</v>
      </c>
      <c r="H188" s="66" t="n">
        <f aca="false">-H166</f>
        <v>-0</v>
      </c>
      <c r="I188" s="66" t="n">
        <f aca="false">-I166</f>
        <v>-0</v>
      </c>
      <c r="J188" s="66" t="n">
        <f aca="false">-J166</f>
        <v>-0</v>
      </c>
      <c r="K188" s="66" t="n">
        <f aca="false">-K166</f>
        <v>-0</v>
      </c>
      <c r="L188" s="66" t="n">
        <f aca="false">-L166</f>
        <v>-0</v>
      </c>
      <c r="M188" s="66" t="n">
        <f aca="false">-M166</f>
        <v>-0</v>
      </c>
      <c r="N188" s="66" t="n">
        <f aca="false">-N166</f>
        <v>-0</v>
      </c>
      <c r="O188" s="66" t="n">
        <f aca="false">-O166</f>
        <v>-0</v>
      </c>
      <c r="P188" s="66" t="n">
        <f aca="false">-P166</f>
        <v>-0</v>
      </c>
      <c r="Q188" s="66" t="n">
        <f aca="false">-Q166</f>
        <v>-0</v>
      </c>
      <c r="R188" s="66" t="n">
        <f aca="false">-R166</f>
        <v>-0</v>
      </c>
      <c r="S188" s="66" t="n">
        <f aca="false">-S166</f>
        <v>-0</v>
      </c>
      <c r="T188" s="66" t="n">
        <f aca="false">-T166</f>
        <v>-0</v>
      </c>
      <c r="U188" s="66" t="n">
        <f aca="false">-U166</f>
        <v>-0</v>
      </c>
      <c r="V188" s="66" t="n">
        <f aca="false">-V166</f>
        <v>-0</v>
      </c>
      <c r="W188" s="66" t="n">
        <f aca="false">-W166</f>
        <v>-0</v>
      </c>
      <c r="X188" s="66" t="n">
        <f aca="false">-X166</f>
        <v>-0</v>
      </c>
      <c r="Y188" s="66" t="n">
        <f aca="false">-Y166</f>
        <v>-0</v>
      </c>
      <c r="Z188" s="66" t="n">
        <f aca="false">-Z166</f>
        <v>-0</v>
      </c>
      <c r="AA188" s="66" t="n">
        <f aca="false">-AA166</f>
        <v>-0</v>
      </c>
      <c r="AB188" s="66" t="n">
        <f aca="false">-AB166</f>
        <v>-0</v>
      </c>
      <c r="AC188" s="66" t="n">
        <f aca="false">-AC166</f>
        <v>-0</v>
      </c>
      <c r="AD188" s="66" t="n">
        <f aca="false">-AD166</f>
        <v>-0</v>
      </c>
      <c r="AE188" s="66" t="n">
        <f aca="false">-AE166</f>
        <v>-0</v>
      </c>
      <c r="AF188" s="66" t="n">
        <f aca="false">-AF166</f>
        <v>-0</v>
      </c>
      <c r="AG188" s="66" t="n">
        <f aca="false">-AG166</f>
        <v>-0</v>
      </c>
      <c r="AH188" s="66" t="n">
        <f aca="false">-AH166</f>
        <v>-0</v>
      </c>
      <c r="AI188" s="66" t="n">
        <f aca="false">-AI166</f>
        <v>-0</v>
      </c>
      <c r="AJ188" s="66" t="n">
        <f aca="false">-AJ166</f>
        <v>-0</v>
      </c>
      <c r="AK188" s="66" t="n">
        <f aca="false">-AK166</f>
        <v>-0</v>
      </c>
      <c r="AL188" s="66" t="n">
        <f aca="false">-AL166</f>
        <v>-0</v>
      </c>
    </row>
    <row r="189" customFormat="false" ht="15" hidden="false" customHeight="false" outlineLevel="0" collapsed="false">
      <c r="A189" s="6" t="s">
        <v>63</v>
      </c>
      <c r="C189" s="66" t="n">
        <f aca="false">IF(C$116=1,Inputs!$C$54,0)</f>
        <v>330000</v>
      </c>
      <c r="D189" s="66" t="n">
        <f aca="false">IF(D$116=1,Inputs!$C$54,0)</f>
        <v>0</v>
      </c>
      <c r="E189" s="66" t="n">
        <f aca="false">IF(E$116=1,Inputs!$C$54,0)</f>
        <v>0</v>
      </c>
      <c r="F189" s="66" t="n">
        <f aca="false">IF(F$116=1,Inputs!$C$54,0)</f>
        <v>0</v>
      </c>
      <c r="G189" s="66" t="n">
        <f aca="false">IF(G$116=1,Inputs!$C$54,0)</f>
        <v>0</v>
      </c>
      <c r="H189" s="66" t="n">
        <f aca="false">IF(H$116=1,Inputs!$C$54,0)</f>
        <v>0</v>
      </c>
      <c r="I189" s="66" t="n">
        <f aca="false">IF(I$116=1,Inputs!$C$54,0)</f>
        <v>0</v>
      </c>
      <c r="J189" s="66" t="n">
        <f aca="false">IF(J$116=1,Inputs!$C$54,0)</f>
        <v>0</v>
      </c>
      <c r="K189" s="66" t="n">
        <f aca="false">IF(K$116=1,Inputs!$C$54,0)</f>
        <v>0</v>
      </c>
      <c r="L189" s="66" t="n">
        <f aca="false">IF(L$116=1,Inputs!$C$54,0)</f>
        <v>0</v>
      </c>
      <c r="M189" s="66" t="n">
        <f aca="false">IF(M$116=1,Inputs!$C$54,0)</f>
        <v>0</v>
      </c>
      <c r="N189" s="66" t="n">
        <f aca="false">IF(N$116=1,Inputs!$C$54,0)</f>
        <v>0</v>
      </c>
      <c r="O189" s="66" t="n">
        <f aca="false">IF(O$116=1,Inputs!$C$54,0)</f>
        <v>0</v>
      </c>
      <c r="P189" s="66" t="n">
        <f aca="false">IF(P$116=1,Inputs!$C$54,0)</f>
        <v>0</v>
      </c>
      <c r="Q189" s="66" t="n">
        <f aca="false">IF(Q$116=1,Inputs!$C$54,0)</f>
        <v>0</v>
      </c>
      <c r="R189" s="66" t="n">
        <f aca="false">IF(R$116=1,Inputs!$C$54,0)</f>
        <v>0</v>
      </c>
      <c r="S189" s="66" t="n">
        <f aca="false">IF(S$116=1,Inputs!$C$54,0)</f>
        <v>0</v>
      </c>
      <c r="T189" s="66" t="n">
        <f aca="false">IF(T$116=1,Inputs!$C$54,0)</f>
        <v>0</v>
      </c>
      <c r="U189" s="66" t="n">
        <f aca="false">IF(U$116=1,Inputs!$C$54,0)</f>
        <v>0</v>
      </c>
      <c r="V189" s="66" t="n">
        <f aca="false">IF(V$116=1,Inputs!$C$54,0)</f>
        <v>0</v>
      </c>
      <c r="W189" s="66" t="n">
        <f aca="false">IF(W$116=1,Inputs!$C$54,0)</f>
        <v>0</v>
      </c>
      <c r="X189" s="66" t="n">
        <f aca="false">IF(X$116=1,Inputs!$C$54,0)</f>
        <v>0</v>
      </c>
      <c r="Y189" s="66" t="n">
        <f aca="false">IF(Y$116=1,Inputs!$C$54,0)</f>
        <v>0</v>
      </c>
      <c r="Z189" s="66" t="n">
        <f aca="false">IF(Z$116=1,Inputs!$C$54,0)</f>
        <v>0</v>
      </c>
      <c r="AA189" s="66" t="n">
        <f aca="false">IF(AA$116=1,Inputs!$C$54,0)</f>
        <v>0</v>
      </c>
      <c r="AB189" s="66" t="n">
        <f aca="false">IF(AB$116=1,Inputs!$C$54,0)</f>
        <v>0</v>
      </c>
      <c r="AC189" s="66" t="n">
        <f aca="false">IF(AC$116=1,Inputs!$C$54,0)</f>
        <v>0</v>
      </c>
      <c r="AD189" s="66" t="n">
        <f aca="false">IF(AD$116=1,Inputs!$C$54,0)</f>
        <v>0</v>
      </c>
      <c r="AE189" s="66" t="n">
        <f aca="false">IF(AE$116=1,Inputs!$C$54,0)</f>
        <v>0</v>
      </c>
      <c r="AF189" s="66" t="n">
        <f aca="false">IF(AF$116=1,Inputs!$C$54,0)</f>
        <v>0</v>
      </c>
      <c r="AG189" s="66" t="n">
        <f aca="false">IF(AG$116=1,Inputs!$C$54,0)</f>
        <v>0</v>
      </c>
      <c r="AH189" s="66" t="n">
        <f aca="false">IF(AH$116=1,Inputs!$C$54,0)</f>
        <v>0</v>
      </c>
      <c r="AI189" s="66" t="n">
        <f aca="false">IF(AI$116=1,Inputs!$C$54,0)</f>
        <v>0</v>
      </c>
      <c r="AJ189" s="66" t="n">
        <f aca="false">IF(AJ$116=1,Inputs!$C$54,0)</f>
        <v>0</v>
      </c>
      <c r="AK189" s="66" t="n">
        <f aca="false">IF(AK$116=1,Inputs!$C$54,0)</f>
        <v>0</v>
      </c>
      <c r="AL189" s="66" t="n">
        <f aca="false">IF(AL$116=1,Inputs!$C$54,0)</f>
        <v>0</v>
      </c>
    </row>
    <row r="190" customFormat="false" ht="15" hidden="false" customHeight="false" outlineLevel="0" collapsed="false">
      <c r="A190" s="6" t="s">
        <v>54</v>
      </c>
      <c r="C190" s="66" t="n">
        <f aca="false">C189+C174+C175</f>
        <v>480000</v>
      </c>
      <c r="D190" s="66" t="n">
        <f aca="false">D189+D174+D175</f>
        <v>-1785.71428571429</v>
      </c>
      <c r="E190" s="66" t="n">
        <f aca="false">E189+E174+E175</f>
        <v>-1785.71428571429</v>
      </c>
      <c r="F190" s="66" t="n">
        <f aca="false">F189+F174+F175</f>
        <v>-1785.71428571429</v>
      </c>
      <c r="G190" s="66" t="n">
        <f aca="false">G189+G174+G175</f>
        <v>-1785.71428571429</v>
      </c>
      <c r="H190" s="66" t="n">
        <f aca="false">H189+H174+H175</f>
        <v>-1785.71428571429</v>
      </c>
      <c r="I190" s="66" t="n">
        <f aca="false">I189+I174+I175</f>
        <v>-1785.71428571429</v>
      </c>
      <c r="J190" s="66" t="n">
        <f aca="false">J189+J174+J175</f>
        <v>-1785.71428571429</v>
      </c>
      <c r="K190" s="66" t="n">
        <f aca="false">K189+K174+K175</f>
        <v>-1785.71428571429</v>
      </c>
      <c r="L190" s="66" t="n">
        <f aca="false">L189+L174+L175</f>
        <v>-1785.71428571429</v>
      </c>
      <c r="M190" s="66" t="n">
        <f aca="false">M189+M174+M175</f>
        <v>-1785.71428571429</v>
      </c>
      <c r="N190" s="66" t="n">
        <f aca="false">N189+N174+N175</f>
        <v>-1785.71428571429</v>
      </c>
      <c r="O190" s="66" t="n">
        <f aca="false">O189+O174+O175</f>
        <v>-1785.71428571429</v>
      </c>
      <c r="P190" s="66" t="n">
        <f aca="false">P189+P174+P175</f>
        <v>-1785.71428571429</v>
      </c>
      <c r="Q190" s="66" t="n">
        <f aca="false">Q189+Q174+Q175</f>
        <v>-1785.71428571429</v>
      </c>
      <c r="R190" s="66" t="n">
        <f aca="false">R189+R174+R175</f>
        <v>-1785.71428571429</v>
      </c>
      <c r="S190" s="66" t="n">
        <f aca="false">S189+S174+S175</f>
        <v>-1785.71428571429</v>
      </c>
      <c r="T190" s="66" t="n">
        <f aca="false">T189+T174+T175</f>
        <v>-1785.71428571429</v>
      </c>
      <c r="U190" s="66" t="n">
        <f aca="false">U189+U174+U175</f>
        <v>-1785.71428571429</v>
      </c>
      <c r="V190" s="66" t="n">
        <f aca="false">V189+V174+V175</f>
        <v>-1785.71428571429</v>
      </c>
      <c r="W190" s="66" t="n">
        <f aca="false">W189+W174+W175</f>
        <v>-1785.71428571429</v>
      </c>
      <c r="X190" s="66" t="n">
        <f aca="false">X189+X174+X175</f>
        <v>-1785.71428571429</v>
      </c>
      <c r="Y190" s="66" t="n">
        <f aca="false">Y189+Y174+Y175</f>
        <v>-1785.71428571429</v>
      </c>
      <c r="Z190" s="66" t="n">
        <f aca="false">Z189+Z174+Z175</f>
        <v>-1785.71428571429</v>
      </c>
      <c r="AA190" s="66" t="n">
        <f aca="false">AA189+AA174+AA175</f>
        <v>-1785.71428571429</v>
      </c>
      <c r="AB190" s="66" t="n">
        <f aca="false">AB189+AB174+AB175</f>
        <v>-1785.71428571429</v>
      </c>
      <c r="AC190" s="66" t="n">
        <f aca="false">AC189+AC174+AC175</f>
        <v>-1785.71428571429</v>
      </c>
      <c r="AD190" s="66" t="n">
        <f aca="false">AD189+AD174+AD175</f>
        <v>-1785.71428571429</v>
      </c>
      <c r="AE190" s="66" t="n">
        <f aca="false">AE189+AE174+AE175</f>
        <v>-1785.71428571429</v>
      </c>
      <c r="AF190" s="66" t="n">
        <f aca="false">AF189+AF174+AF175</f>
        <v>-1785.71428571429</v>
      </c>
      <c r="AG190" s="66" t="n">
        <f aca="false">AG189+AG174+AG175</f>
        <v>-1785.71428571429</v>
      </c>
      <c r="AH190" s="66" t="n">
        <f aca="false">AH189+AH174+AH175</f>
        <v>-1785.71428571429</v>
      </c>
      <c r="AI190" s="66" t="n">
        <f aca="false">AI189+AI174+AI175</f>
        <v>-1785.71428571429</v>
      </c>
      <c r="AJ190" s="66" t="n">
        <f aca="false">AJ189+AJ174+AJ175</f>
        <v>-1785.71428571429</v>
      </c>
      <c r="AK190" s="66" t="n">
        <f aca="false">AK189+AK174+AK175</f>
        <v>-1785.71428571429</v>
      </c>
      <c r="AL190" s="66" t="n">
        <f aca="false">AL189+AL174+AL175</f>
        <v>-1785.71428571429</v>
      </c>
    </row>
    <row r="191" customFormat="false" ht="15" hidden="false" customHeight="false" outlineLevel="0" collapsed="false">
      <c r="A191" s="110" t="s">
        <v>400</v>
      </c>
      <c r="C191" s="67" t="n">
        <f aca="false">C187+C188+C190</f>
        <v>204279.513333333</v>
      </c>
      <c r="D191" s="67" t="n">
        <f aca="false">D187+D188+D190</f>
        <v>-27752.4208914286</v>
      </c>
      <c r="E191" s="67" t="n">
        <f aca="false">E187+E188+E190</f>
        <v>-25133.0481103238</v>
      </c>
      <c r="F191" s="67" t="n">
        <f aca="false">F187+F188+F190</f>
        <v>-22670.1234103711</v>
      </c>
      <c r="G191" s="67" t="n">
        <f aca="false">G187+G188+G190</f>
        <v>-20354.2599067012</v>
      </c>
      <c r="H191" s="67" t="n">
        <f aca="false">H187+H188+H190</f>
        <v>-18176.6339275372</v>
      </c>
      <c r="I191" s="67" t="n">
        <f aca="false">I187+I188+I190</f>
        <v>-16128.9512214088</v>
      </c>
      <c r="J191" s="67" t="n">
        <f aca="false">J187+J188+J190</f>
        <v>-14203.4151919338</v>
      </c>
      <c r="K191" s="67" t="n">
        <f aca="false">K187+K188+K190</f>
        <v>-12392.697038513</v>
      </c>
      <c r="L191" s="67" t="n">
        <f aca="false">L187+L188+L190</f>
        <v>-10689.9076885832</v>
      </c>
      <c r="M191" s="67" t="n">
        <f aca="false">M187+M188+M190</f>
        <v>-9088.57141393485</v>
      </c>
      <c r="N191" s="67" t="n">
        <f aca="false">N187+N188+N190</f>
        <v>-7582.60103005114</v>
      </c>
      <c r="O191" s="67" t="n">
        <f aca="false">O187+O188+O190</f>
        <v>-5432.76034573965</v>
      </c>
      <c r="P191" s="67" t="n">
        <f aca="false">P187+P188+P190</f>
        <v>-3915.57231409169</v>
      </c>
      <c r="Q191" s="67" t="n">
        <f aca="false">Q187+Q188+Q190</f>
        <v>-2380.79575393573</v>
      </c>
      <c r="R191" s="67" t="n">
        <f aca="false">R187+R188+R190</f>
        <v>-937.391501674834</v>
      </c>
      <c r="S191" s="67" t="n">
        <f aca="false">S187+S188+S190</f>
        <v>420.122781164714</v>
      </c>
      <c r="T191" s="67" t="n">
        <f aca="false">T187+T188+T190</f>
        <v>1696.90049274817</v>
      </c>
      <c r="U191" s="67" t="n">
        <f aca="false">U187+U188+U190</f>
        <v>2897.78582735089</v>
      </c>
      <c r="V191" s="67" t="n">
        <f aca="false">V187+V188+V190</f>
        <v>3452.91660060829</v>
      </c>
      <c r="W191" s="67" t="n">
        <f aca="false">W187+W188+W190</f>
        <v>3483.69756050165</v>
      </c>
      <c r="X191" s="67" t="n">
        <f aca="false">X187+X188+X190</f>
        <v>3486.32106666666</v>
      </c>
      <c r="Y191" s="67" t="n">
        <f aca="false">Y187+Y188+Y190</f>
        <v>3498.22582857142</v>
      </c>
      <c r="Z191" s="67" t="n">
        <f aca="false">Z187+Z188+Z190</f>
        <v>3510.13059047619</v>
      </c>
      <c r="AA191" s="67" t="n">
        <f aca="false">AA187+AA188+AA190</f>
        <v>4295.29848438096</v>
      </c>
      <c r="AB191" s="67" t="n">
        <f aca="false">AB187+AB188+AB190</f>
        <v>4170.77974628572</v>
      </c>
      <c r="AC191" s="67" t="n">
        <f aca="false">AC187+AC188+AC190</f>
        <v>4182.68450819048</v>
      </c>
      <c r="AD191" s="67" t="n">
        <f aca="false">AD187+AD188+AD190</f>
        <v>4194.58927009524</v>
      </c>
      <c r="AE191" s="67" t="n">
        <f aca="false">AE187+AE188+AE190</f>
        <v>4206.49403200001</v>
      </c>
      <c r="AF191" s="67" t="n">
        <f aca="false">AF187+AF188+AF190</f>
        <v>4218.39879390477</v>
      </c>
      <c r="AG191" s="67" t="n">
        <f aca="false">AG187+AG188+AG190</f>
        <v>4230.30355580953</v>
      </c>
      <c r="AH191" s="67" t="n">
        <f aca="false">AH187+AH188+AH190</f>
        <v>4242.20831771429</v>
      </c>
      <c r="AI191" s="67" t="n">
        <f aca="false">AI187+AI188+AI190</f>
        <v>4254.11307961905</v>
      </c>
      <c r="AJ191" s="67" t="n">
        <f aca="false">AJ187+AJ188+AJ190</f>
        <v>4266.01784152382</v>
      </c>
      <c r="AK191" s="67" t="n">
        <f aca="false">AK187+AK188+AK190</f>
        <v>4277.92260342858</v>
      </c>
      <c r="AL191" s="67" t="n">
        <f aca="false">AL187+AL188+AL190</f>
        <v>4289.82736533334</v>
      </c>
    </row>
    <row r="192" customFormat="false" ht="15" hidden="false" customHeight="false" outlineLevel="0" collapsed="false">
      <c r="A192" s="6" t="s">
        <v>331</v>
      </c>
      <c r="C192" s="66" t="n">
        <f aca="false">0</f>
        <v>0</v>
      </c>
      <c r="D192" s="66" t="n">
        <f aca="false">C193</f>
        <v>204279.513333333</v>
      </c>
      <c r="E192" s="66" t="n">
        <f aca="false">D193</f>
        <v>176527.092441905</v>
      </c>
      <c r="F192" s="66" t="n">
        <f aca="false">E193</f>
        <v>151394.044331581</v>
      </c>
      <c r="G192" s="66" t="n">
        <f aca="false">F193</f>
        <v>128723.92092121</v>
      </c>
      <c r="H192" s="66" t="n">
        <f aca="false">G193</f>
        <v>108369.661014509</v>
      </c>
      <c r="I192" s="66" t="n">
        <f aca="false">H193</f>
        <v>90193.0270869715</v>
      </c>
      <c r="J192" s="66" t="n">
        <f aca="false">I193</f>
        <v>74064.0758655627</v>
      </c>
      <c r="K192" s="66" t="n">
        <f aca="false">J193</f>
        <v>59860.6606736289</v>
      </c>
      <c r="L192" s="66" t="n">
        <f aca="false">K193</f>
        <v>47467.9636351159</v>
      </c>
      <c r="M192" s="66" t="n">
        <f aca="false">L193</f>
        <v>36778.0559465327</v>
      </c>
      <c r="N192" s="66" t="n">
        <f aca="false">M193</f>
        <v>27689.4845325979</v>
      </c>
      <c r="O192" s="66" t="n">
        <f aca="false">N193</f>
        <v>20106.8835025468</v>
      </c>
      <c r="P192" s="66" t="n">
        <f aca="false">O193</f>
        <v>14674.1231568071</v>
      </c>
      <c r="Q192" s="66" t="n">
        <f aca="false">P193</f>
        <v>10758.5508427154</v>
      </c>
      <c r="R192" s="66" t="n">
        <f aca="false">Q193</f>
        <v>8377.75508877968</v>
      </c>
      <c r="S192" s="66" t="n">
        <f aca="false">R193</f>
        <v>7440.36358710485</v>
      </c>
      <c r="T192" s="66" t="n">
        <f aca="false">S193</f>
        <v>7860.48636826956</v>
      </c>
      <c r="U192" s="66" t="n">
        <f aca="false">T193</f>
        <v>9557.38686101773</v>
      </c>
      <c r="V192" s="66" t="n">
        <f aca="false">U193</f>
        <v>12455.1726883686</v>
      </c>
      <c r="W192" s="66" t="n">
        <f aca="false">V193</f>
        <v>15908.0892889769</v>
      </c>
      <c r="X192" s="66" t="n">
        <f aca="false">W193</f>
        <v>19391.7868494786</v>
      </c>
      <c r="Y192" s="66" t="n">
        <f aca="false">X193</f>
        <v>22878.1079161452</v>
      </c>
      <c r="Z192" s="66" t="n">
        <f aca="false">Y193</f>
        <v>26376.3337447166</v>
      </c>
      <c r="AA192" s="66" t="n">
        <f aca="false">Z193</f>
        <v>29886.4643351928</v>
      </c>
      <c r="AB192" s="66" t="n">
        <f aca="false">AA193</f>
        <v>34181.7628195738</v>
      </c>
      <c r="AC192" s="66" t="n">
        <f aca="false">AB193</f>
        <v>38352.5425658595</v>
      </c>
      <c r="AD192" s="66" t="n">
        <f aca="false">AC193</f>
        <v>42535.22707405</v>
      </c>
      <c r="AE192" s="66" t="n">
        <f aca="false">AD193</f>
        <v>46729.8163441452</v>
      </c>
      <c r="AF192" s="66" t="n">
        <f aca="false">AE193</f>
        <v>50936.3103761452</v>
      </c>
      <c r="AG192" s="66" t="n">
        <f aca="false">AF193</f>
        <v>55154.70917005</v>
      </c>
      <c r="AH192" s="66" t="n">
        <f aca="false">AG193</f>
        <v>59385.0127258595</v>
      </c>
      <c r="AI192" s="66" t="n">
        <f aca="false">AH193</f>
        <v>63627.2210435738</v>
      </c>
      <c r="AJ192" s="66" t="n">
        <f aca="false">AI193</f>
        <v>67881.3341231929</v>
      </c>
      <c r="AK192" s="66" t="n">
        <f aca="false">AJ193</f>
        <v>72147.3519647167</v>
      </c>
      <c r="AL192" s="66" t="n">
        <f aca="false">AK193</f>
        <v>76425.2745681453</v>
      </c>
    </row>
    <row r="193" customFormat="false" ht="15" hidden="false" customHeight="false" outlineLevel="0" collapsed="false">
      <c r="A193" s="110" t="s">
        <v>86</v>
      </c>
      <c r="C193" s="67" t="n">
        <f aca="false">C192+C191</f>
        <v>204279.513333333</v>
      </c>
      <c r="D193" s="67" t="n">
        <f aca="false">D192+D191</f>
        <v>176527.092441905</v>
      </c>
      <c r="E193" s="67" t="n">
        <f aca="false">E192+E191</f>
        <v>151394.044331581</v>
      </c>
      <c r="F193" s="67" t="n">
        <f aca="false">F192+F191</f>
        <v>128723.92092121</v>
      </c>
      <c r="G193" s="67" t="n">
        <f aca="false">G192+G191</f>
        <v>108369.661014509</v>
      </c>
      <c r="H193" s="67" t="n">
        <f aca="false">H192+H191</f>
        <v>90193.0270869715</v>
      </c>
      <c r="I193" s="67" t="n">
        <f aca="false">I192+I191</f>
        <v>74064.0758655627</v>
      </c>
      <c r="J193" s="67" t="n">
        <f aca="false">J192+J191</f>
        <v>59860.6606736289</v>
      </c>
      <c r="K193" s="67" t="n">
        <f aca="false">K192+K191</f>
        <v>47467.9636351159</v>
      </c>
      <c r="L193" s="67" t="n">
        <f aca="false">L192+L191</f>
        <v>36778.0559465327</v>
      </c>
      <c r="M193" s="67" t="n">
        <f aca="false">M192+M191</f>
        <v>27689.4845325979</v>
      </c>
      <c r="N193" s="67" t="n">
        <f aca="false">N192+N191</f>
        <v>20106.8835025468</v>
      </c>
      <c r="O193" s="67" t="n">
        <f aca="false">O192+O191</f>
        <v>14674.1231568071</v>
      </c>
      <c r="P193" s="67" t="n">
        <f aca="false">P192+P191</f>
        <v>10758.5508427154</v>
      </c>
      <c r="Q193" s="67" t="n">
        <f aca="false">Q192+Q191</f>
        <v>8377.75508877968</v>
      </c>
      <c r="R193" s="67" t="n">
        <f aca="false">R192+R191</f>
        <v>7440.36358710485</v>
      </c>
      <c r="S193" s="67" t="n">
        <f aca="false">S192+S191</f>
        <v>7860.48636826956</v>
      </c>
      <c r="T193" s="67" t="n">
        <f aca="false">T192+T191</f>
        <v>9557.38686101773</v>
      </c>
      <c r="U193" s="67" t="n">
        <f aca="false">U192+U191</f>
        <v>12455.1726883686</v>
      </c>
      <c r="V193" s="67" t="n">
        <f aca="false">V192+V191</f>
        <v>15908.0892889769</v>
      </c>
      <c r="W193" s="67" t="n">
        <f aca="false">W192+W191</f>
        <v>19391.7868494786</v>
      </c>
      <c r="X193" s="67" t="n">
        <f aca="false">X192+X191</f>
        <v>22878.1079161452</v>
      </c>
      <c r="Y193" s="67" t="n">
        <f aca="false">Y192+Y191</f>
        <v>26376.3337447166</v>
      </c>
      <c r="Z193" s="67" t="n">
        <f aca="false">Z192+Z191</f>
        <v>29886.4643351928</v>
      </c>
      <c r="AA193" s="67" t="n">
        <f aca="false">AA192+AA191</f>
        <v>34181.7628195738</v>
      </c>
      <c r="AB193" s="67" t="n">
        <f aca="false">AB192+AB191</f>
        <v>38352.5425658595</v>
      </c>
      <c r="AC193" s="67" t="n">
        <f aca="false">AC192+AC191</f>
        <v>42535.22707405</v>
      </c>
      <c r="AD193" s="67" t="n">
        <f aca="false">AD192+AD191</f>
        <v>46729.8163441452</v>
      </c>
      <c r="AE193" s="67" t="n">
        <f aca="false">AE192+AE191</f>
        <v>50936.3103761452</v>
      </c>
      <c r="AF193" s="67" t="n">
        <f aca="false">AF192+AF191</f>
        <v>55154.70917005</v>
      </c>
      <c r="AG193" s="67" t="n">
        <f aca="false">AG192+AG191</f>
        <v>59385.0127258595</v>
      </c>
      <c r="AH193" s="67" t="n">
        <f aca="false">AH192+AH191</f>
        <v>63627.2210435738</v>
      </c>
      <c r="AI193" s="67" t="n">
        <f aca="false">AI192+AI191</f>
        <v>67881.3341231929</v>
      </c>
      <c r="AJ193" s="67" t="n">
        <f aca="false">AJ192+AJ191</f>
        <v>72147.3519647167</v>
      </c>
      <c r="AK193" s="67" t="n">
        <f aca="false">AK192+AK191</f>
        <v>76425.2745681453</v>
      </c>
      <c r="AL193" s="67" t="n">
        <f aca="false">AL192+AL191</f>
        <v>80715.1019334786</v>
      </c>
    </row>
    <row r="194" customFormat="false" ht="15" hidden="false" customHeight="false" outlineLevel="0" collapsed="false">
      <c r="A194" s="116" t="s">
        <v>401</v>
      </c>
      <c r="C194" s="118" t="n">
        <f aca="false">IF(C154&gt;0,1,0)</f>
        <v>0</v>
      </c>
      <c r="D194" s="118" t="n">
        <f aca="false">IF(D154&gt;0,1,0)</f>
        <v>0</v>
      </c>
      <c r="E194" s="118" t="n">
        <f aca="false">IF(E154&gt;0,1,0)</f>
        <v>0</v>
      </c>
      <c r="F194" s="118" t="n">
        <f aca="false">IF(F154&gt;0,1,0)</f>
        <v>0</v>
      </c>
      <c r="G194" s="118" t="n">
        <f aca="false">IF(G154&gt;0,1,0)</f>
        <v>0</v>
      </c>
      <c r="H194" s="118" t="n">
        <f aca="false">IF(H154&gt;0,1,0)</f>
        <v>0</v>
      </c>
      <c r="I194" s="118" t="n">
        <f aca="false">IF(I154&gt;0,1,0)</f>
        <v>0</v>
      </c>
      <c r="J194" s="118" t="n">
        <f aca="false">IF(J154&gt;0,1,0)</f>
        <v>0</v>
      </c>
      <c r="K194" s="118" t="n">
        <f aca="false">IF(K154&gt;0,1,0)</f>
        <v>0</v>
      </c>
      <c r="L194" s="118" t="n">
        <f aca="false">IF(L154&gt;0,1,0)</f>
        <v>0</v>
      </c>
      <c r="M194" s="118" t="n">
        <f aca="false">IF(M154&gt;0,1,0)</f>
        <v>0</v>
      </c>
      <c r="N194" s="118" t="n">
        <f aca="false">IF(N154&gt;0,1,0)</f>
        <v>0</v>
      </c>
      <c r="O194" s="118" t="n">
        <f aca="false">IF(O154&gt;0,1,0)</f>
        <v>0</v>
      </c>
      <c r="P194" s="118" t="n">
        <f aca="false">IF(P154&gt;0,1,0)</f>
        <v>0</v>
      </c>
      <c r="Q194" s="118" t="n">
        <f aca="false">IF(Q154&gt;0,1,0)</f>
        <v>1</v>
      </c>
      <c r="R194" s="118" t="n">
        <f aca="false">IF(R154&gt;0,1,0)</f>
        <v>1</v>
      </c>
      <c r="S194" s="118" t="n">
        <f aca="false">IF(S154&gt;0,1,0)</f>
        <v>1</v>
      </c>
      <c r="T194" s="118" t="n">
        <f aca="false">IF(T154&gt;0,1,0)</f>
        <v>1</v>
      </c>
      <c r="U194" s="118" t="n">
        <f aca="false">IF(U154&gt;0,1,0)</f>
        <v>1</v>
      </c>
      <c r="V194" s="118" t="n">
        <f aca="false">IF(V154&gt;0,1,0)</f>
        <v>1</v>
      </c>
      <c r="W194" s="118" t="n">
        <f aca="false">IF(W154&gt;0,1,0)</f>
        <v>1</v>
      </c>
      <c r="X194" s="118" t="n">
        <f aca="false">IF(X154&gt;0,1,0)</f>
        <v>1</v>
      </c>
      <c r="Y194" s="118" t="n">
        <f aca="false">IF(Y154&gt;0,1,0)</f>
        <v>1</v>
      </c>
      <c r="Z194" s="118" t="n">
        <f aca="false">IF(Z154&gt;0,1,0)</f>
        <v>1</v>
      </c>
      <c r="AA194" s="118" t="n">
        <f aca="false">IF(AA154&gt;0,1,0)</f>
        <v>1</v>
      </c>
      <c r="AB194" s="118" t="n">
        <f aca="false">IF(AB154&gt;0,1,0)</f>
        <v>1</v>
      </c>
      <c r="AC194" s="118" t="n">
        <f aca="false">IF(AC154&gt;0,1,0)</f>
        <v>1</v>
      </c>
      <c r="AD194" s="118" t="n">
        <f aca="false">IF(AD154&gt;0,1,0)</f>
        <v>1</v>
      </c>
      <c r="AE194" s="118" t="n">
        <f aca="false">IF(AE154&gt;0,1,0)</f>
        <v>1</v>
      </c>
      <c r="AF194" s="118" t="n">
        <f aca="false">IF(AF154&gt;0,1,0)</f>
        <v>1</v>
      </c>
      <c r="AG194" s="118" t="n">
        <f aca="false">IF(AG154&gt;0,1,0)</f>
        <v>1</v>
      </c>
      <c r="AH194" s="118" t="n">
        <f aca="false">IF(AH154&gt;0,1,0)</f>
        <v>1</v>
      </c>
      <c r="AI194" s="118" t="n">
        <f aca="false">IF(AI154&gt;0,1,0)</f>
        <v>1</v>
      </c>
      <c r="AJ194" s="118" t="n">
        <f aca="false">IF(AJ154&gt;0,1,0)</f>
        <v>1</v>
      </c>
      <c r="AK194" s="118" t="n">
        <f aca="false">IF(AK154&gt;0,1,0)</f>
        <v>1</v>
      </c>
      <c r="AL194" s="118" t="n">
        <f aca="false">IF(AL154&gt;0,1,0)</f>
        <v>1</v>
      </c>
    </row>
    <row r="196" customFormat="false" ht="15.75" hidden="false" customHeight="true" outlineLevel="0" collapsed="false">
      <c r="A196" s="7" t="s">
        <v>402</v>
      </c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</row>
    <row r="197" customFormat="false" ht="15" hidden="false" customHeight="false" outlineLevel="0" collapsed="false">
      <c r="A197" s="116" t="s">
        <v>403</v>
      </c>
      <c r="C197" s="118" t="n">
        <f aca="false">IF(C163&gt;0,1,0)</f>
        <v>0</v>
      </c>
      <c r="D197" s="118" t="n">
        <f aca="false">IF(D163&gt;0,1,0)</f>
        <v>0</v>
      </c>
      <c r="E197" s="118" t="n">
        <f aca="false">IF(E163&gt;0,1,0)</f>
        <v>0</v>
      </c>
      <c r="F197" s="118" t="n">
        <f aca="false">IF(F163&gt;0,1,0)</f>
        <v>0</v>
      </c>
      <c r="G197" s="118" t="n">
        <f aca="false">IF(G163&gt;0,1,0)</f>
        <v>0</v>
      </c>
      <c r="H197" s="118" t="n">
        <f aca="false">IF(H163&gt;0,1,0)</f>
        <v>0</v>
      </c>
      <c r="I197" s="118" t="n">
        <f aca="false">IF(I163&gt;0,1,0)</f>
        <v>0</v>
      </c>
      <c r="J197" s="118" t="n">
        <f aca="false">IF(J163&gt;0,1,0)</f>
        <v>0</v>
      </c>
      <c r="K197" s="118" t="n">
        <f aca="false">IF(K163&gt;0,1,0)</f>
        <v>0</v>
      </c>
      <c r="L197" s="118" t="n">
        <f aca="false">IF(L163&gt;0,1,0)</f>
        <v>0</v>
      </c>
      <c r="M197" s="118" t="n">
        <f aca="false">IF(M163&gt;0,1,0)</f>
        <v>0</v>
      </c>
      <c r="N197" s="118" t="n">
        <f aca="false">IF(N163&gt;0,1,0)</f>
        <v>0</v>
      </c>
      <c r="O197" s="118" t="n">
        <f aca="false">IF(O163&gt;0,1,0)</f>
        <v>0</v>
      </c>
      <c r="P197" s="118" t="n">
        <f aca="false">IF(P163&gt;0,1,0)</f>
        <v>0</v>
      </c>
      <c r="Q197" s="118" t="n">
        <f aca="false">IF(Q163&gt;0,1,0)</f>
        <v>0</v>
      </c>
      <c r="R197" s="118" t="n">
        <f aca="false">IF(R163&gt;0,1,0)</f>
        <v>0</v>
      </c>
      <c r="S197" s="118" t="n">
        <f aca="false">IF(S163&gt;0,1,0)</f>
        <v>0</v>
      </c>
      <c r="T197" s="118" t="n">
        <f aca="false">IF(T163&gt;0,1,0)</f>
        <v>1</v>
      </c>
      <c r="U197" s="118" t="n">
        <f aca="false">IF(U163&gt;0,1,0)</f>
        <v>1</v>
      </c>
      <c r="V197" s="118" t="n">
        <f aca="false">IF(V163&gt;0,1,0)</f>
        <v>1</v>
      </c>
      <c r="W197" s="118" t="n">
        <f aca="false">IF(W163&gt;0,1,0)</f>
        <v>1</v>
      </c>
      <c r="X197" s="118" t="n">
        <f aca="false">IF(X163&gt;0,1,0)</f>
        <v>1</v>
      </c>
      <c r="Y197" s="118" t="n">
        <f aca="false">IF(Y163&gt;0,1,0)</f>
        <v>1</v>
      </c>
      <c r="Z197" s="118" t="n">
        <f aca="false">IF(Z163&gt;0,1,0)</f>
        <v>1</v>
      </c>
      <c r="AA197" s="118" t="n">
        <f aca="false">IF(AA163&gt;0,1,0)</f>
        <v>1</v>
      </c>
      <c r="AB197" s="118" t="n">
        <f aca="false">IF(AB163&gt;0,1,0)</f>
        <v>1</v>
      </c>
      <c r="AC197" s="118" t="n">
        <f aca="false">IF(AC163&gt;0,1,0)</f>
        <v>1</v>
      </c>
      <c r="AD197" s="118" t="n">
        <f aca="false">IF(AD163&gt;0,1,0)</f>
        <v>1</v>
      </c>
      <c r="AE197" s="118" t="n">
        <f aca="false">IF(AE163&gt;0,1,0)</f>
        <v>1</v>
      </c>
      <c r="AF197" s="118" t="n">
        <f aca="false">IF(AF163&gt;0,1,0)</f>
        <v>1</v>
      </c>
      <c r="AG197" s="118" t="n">
        <f aca="false">IF(AG163&gt;0,1,0)</f>
        <v>1</v>
      </c>
      <c r="AH197" s="118" t="n">
        <f aca="false">IF(AH163&gt;0,1,0)</f>
        <v>1</v>
      </c>
      <c r="AI197" s="118" t="n">
        <f aca="false">IF(AI163&gt;0,1,0)</f>
        <v>1</v>
      </c>
      <c r="AJ197" s="118" t="n">
        <f aca="false">IF(AJ163&gt;0,1,0)</f>
        <v>1</v>
      </c>
      <c r="AK197" s="118" t="n">
        <f aca="false">IF(AK163&gt;0,1,0)</f>
        <v>1</v>
      </c>
      <c r="AL197" s="118" t="n">
        <f aca="false">IF(AL163&gt;0,1,0)</f>
        <v>1</v>
      </c>
    </row>
    <row r="198" customFormat="false" ht="15" hidden="false" customHeight="false" outlineLevel="0" collapsed="false">
      <c r="A198" s="6" t="s">
        <v>404</v>
      </c>
      <c r="C198" s="66" t="n">
        <f aca="false">C187+C188</f>
        <v>-275720.486666667</v>
      </c>
      <c r="D198" s="66" t="n">
        <f aca="false">D187+D188</f>
        <v>-25966.7066057143</v>
      </c>
      <c r="E198" s="66" t="n">
        <f aca="false">E187+E188</f>
        <v>-23347.3338246095</v>
      </c>
      <c r="F198" s="66" t="n">
        <f aca="false">F187+F188</f>
        <v>-20884.4091246568</v>
      </c>
      <c r="G198" s="66" t="n">
        <f aca="false">G187+G188</f>
        <v>-18568.5456209869</v>
      </c>
      <c r="H198" s="66" t="n">
        <f aca="false">H187+H188</f>
        <v>-16390.9196418229</v>
      </c>
      <c r="I198" s="66" t="n">
        <f aca="false">I187+I188</f>
        <v>-14343.2369356945</v>
      </c>
      <c r="J198" s="66" t="n">
        <f aca="false">J187+J188</f>
        <v>-12417.7009062195</v>
      </c>
      <c r="K198" s="66" t="n">
        <f aca="false">K187+K188</f>
        <v>-10606.9827527987</v>
      </c>
      <c r="L198" s="66" t="n">
        <f aca="false">L187+L188</f>
        <v>-8904.19340286889</v>
      </c>
      <c r="M198" s="66" t="n">
        <f aca="false">M187+M188</f>
        <v>-7302.85712822056</v>
      </c>
      <c r="N198" s="66" t="n">
        <f aca="false">N187+N188</f>
        <v>-5796.88674433685</v>
      </c>
      <c r="O198" s="66" t="n">
        <f aca="false">O187+O188</f>
        <v>-3647.04606002537</v>
      </c>
      <c r="P198" s="66" t="n">
        <f aca="false">P187+P188</f>
        <v>-2129.85802837741</v>
      </c>
      <c r="Q198" s="66" t="n">
        <f aca="false">Q187+Q188</f>
        <v>-595.081468221445</v>
      </c>
      <c r="R198" s="66" t="n">
        <f aca="false">R187+R188</f>
        <v>848.322784039452</v>
      </c>
      <c r="S198" s="66" t="n">
        <f aca="false">S187+S188</f>
        <v>2205.837066879</v>
      </c>
      <c r="T198" s="66" t="n">
        <f aca="false">T187+T188</f>
        <v>3482.61477846245</v>
      </c>
      <c r="U198" s="66" t="n">
        <f aca="false">U187+U188</f>
        <v>4683.50011306518</v>
      </c>
      <c r="V198" s="66" t="n">
        <f aca="false">V187+V188</f>
        <v>5238.63088632258</v>
      </c>
      <c r="W198" s="66" t="n">
        <f aca="false">W187+W188</f>
        <v>5269.41184621593</v>
      </c>
      <c r="X198" s="66" t="n">
        <f aca="false">X187+X188</f>
        <v>5272.03535238095</v>
      </c>
      <c r="Y198" s="66" t="n">
        <f aca="false">Y187+Y188</f>
        <v>5283.94011428571</v>
      </c>
      <c r="Z198" s="66" t="n">
        <f aca="false">Z187+Z188</f>
        <v>5295.84487619047</v>
      </c>
      <c r="AA198" s="66" t="n">
        <f aca="false">AA187+AA188</f>
        <v>6081.01277009524</v>
      </c>
      <c r="AB198" s="66" t="n">
        <f aca="false">AB187+AB188</f>
        <v>5956.49403200001</v>
      </c>
      <c r="AC198" s="66" t="n">
        <f aca="false">AC187+AC188</f>
        <v>5968.39879390477</v>
      </c>
      <c r="AD198" s="66" t="n">
        <f aca="false">AD187+AD188</f>
        <v>5980.30355580953</v>
      </c>
      <c r="AE198" s="66" t="n">
        <f aca="false">AE187+AE188</f>
        <v>5992.20831771429</v>
      </c>
      <c r="AF198" s="66" t="n">
        <f aca="false">AF187+AF188</f>
        <v>6004.11307961905</v>
      </c>
      <c r="AG198" s="66" t="n">
        <f aca="false">AG187+AG188</f>
        <v>6016.01784152382</v>
      </c>
      <c r="AH198" s="66" t="n">
        <f aca="false">AH187+AH188</f>
        <v>6027.92260342858</v>
      </c>
      <c r="AI198" s="66" t="n">
        <f aca="false">AI187+AI188</f>
        <v>6039.82736533334</v>
      </c>
      <c r="AJ198" s="66" t="n">
        <f aca="false">AJ187+AJ188</f>
        <v>6051.7321272381</v>
      </c>
      <c r="AK198" s="66" t="n">
        <f aca="false">AK187+AK188</f>
        <v>6063.63688914286</v>
      </c>
      <c r="AL198" s="66" t="n">
        <f aca="false">AL187+AL188</f>
        <v>6075.54165104762</v>
      </c>
    </row>
    <row r="199" customFormat="false" ht="15" hidden="false" customHeight="false" outlineLevel="0" collapsed="false">
      <c r="A199" s="6" t="s">
        <v>405</v>
      </c>
      <c r="C199" s="66" t="n">
        <f aca="false">C198</f>
        <v>-275720.486666667</v>
      </c>
      <c r="D199" s="66" t="n">
        <f aca="false">C199+D198</f>
        <v>-301687.193272381</v>
      </c>
      <c r="E199" s="66" t="n">
        <f aca="false">D199+E198</f>
        <v>-325034.527096991</v>
      </c>
      <c r="F199" s="66" t="n">
        <f aca="false">E199+F198</f>
        <v>-345918.936221647</v>
      </c>
      <c r="G199" s="66" t="n">
        <f aca="false">F199+G198</f>
        <v>-364487.481842634</v>
      </c>
      <c r="H199" s="66" t="n">
        <f aca="false">G199+H198</f>
        <v>-380878.401484457</v>
      </c>
      <c r="I199" s="66" t="n">
        <f aca="false">H199+I198</f>
        <v>-395221.638420152</v>
      </c>
      <c r="J199" s="66" t="n">
        <f aca="false">I199+J198</f>
        <v>-407639.339326371</v>
      </c>
      <c r="K199" s="66" t="n">
        <f aca="false">J199+K198</f>
        <v>-418246.32207917</v>
      </c>
      <c r="L199" s="66" t="n">
        <f aca="false">K199+L198</f>
        <v>-427150.515482039</v>
      </c>
      <c r="M199" s="66" t="n">
        <f aca="false">L199+M198</f>
        <v>-434453.372610259</v>
      </c>
      <c r="N199" s="66" t="n">
        <f aca="false">M199+N198</f>
        <v>-440250.259354596</v>
      </c>
      <c r="O199" s="66" t="n">
        <f aca="false">N199+O198</f>
        <v>-443897.305414621</v>
      </c>
      <c r="P199" s="66" t="n">
        <f aca="false">O199+P198</f>
        <v>-446027.163442999</v>
      </c>
      <c r="Q199" s="66" t="n">
        <f aca="false">P199+Q198</f>
        <v>-446622.24491122</v>
      </c>
      <c r="R199" s="66" t="n">
        <f aca="false">Q199+R198</f>
        <v>-445773.922127181</v>
      </c>
      <c r="S199" s="66" t="n">
        <f aca="false">R199+S198</f>
        <v>-443568.085060302</v>
      </c>
      <c r="T199" s="66" t="n">
        <f aca="false">S199+T198</f>
        <v>-440085.470281839</v>
      </c>
      <c r="U199" s="66" t="n">
        <f aca="false">T199+U198</f>
        <v>-435401.970168774</v>
      </c>
      <c r="V199" s="66" t="n">
        <f aca="false">U199+V198</f>
        <v>-430163.339282452</v>
      </c>
      <c r="W199" s="66" t="n">
        <f aca="false">V199+W198</f>
        <v>-424893.927436236</v>
      </c>
      <c r="X199" s="66" t="n">
        <f aca="false">W199+X198</f>
        <v>-419621.892083855</v>
      </c>
      <c r="Y199" s="66" t="n">
        <f aca="false">X199+Y198</f>
        <v>-414337.951969569</v>
      </c>
      <c r="Z199" s="66" t="n">
        <f aca="false">Y199+Z198</f>
        <v>-409042.107093379</v>
      </c>
      <c r="AA199" s="66" t="n">
        <f aca="false">Z199+AA198</f>
        <v>-402961.094323283</v>
      </c>
      <c r="AB199" s="66" t="n">
        <f aca="false">AA199+AB198</f>
        <v>-397004.600291283</v>
      </c>
      <c r="AC199" s="66" t="n">
        <f aca="false">AB199+AC198</f>
        <v>-391036.201497378</v>
      </c>
      <c r="AD199" s="66" t="n">
        <f aca="false">AC199+AD198</f>
        <v>-385055.897941569</v>
      </c>
      <c r="AE199" s="66" t="n">
        <f aca="false">AD199+AE198</f>
        <v>-379063.689623855</v>
      </c>
      <c r="AF199" s="66" t="n">
        <f aca="false">AE199+AF198</f>
        <v>-373059.576544236</v>
      </c>
      <c r="AG199" s="66" t="n">
        <f aca="false">AF199+AG198</f>
        <v>-367043.558702712</v>
      </c>
      <c r="AH199" s="66" t="n">
        <f aca="false">AG199+AH198</f>
        <v>-361015.636099283</v>
      </c>
      <c r="AI199" s="66" t="n">
        <f aca="false">AH199+AI198</f>
        <v>-354975.80873395</v>
      </c>
      <c r="AJ199" s="66" t="n">
        <f aca="false">AI199+AJ198</f>
        <v>-348924.076606712</v>
      </c>
      <c r="AK199" s="66" t="n">
        <f aca="false">AJ199+AK198</f>
        <v>-342860.439717569</v>
      </c>
      <c r="AL199" s="66" t="n">
        <f aca="false">AK199+AL198</f>
        <v>-336784.898066521</v>
      </c>
    </row>
    <row r="200" customFormat="false" ht="15" hidden="false" customHeight="false" outlineLevel="0" collapsed="false">
      <c r="A200" s="116" t="s">
        <v>406</v>
      </c>
      <c r="C200" s="66" t="n">
        <f aca="false">C199</f>
        <v>-275720.486666667</v>
      </c>
      <c r="D200" s="66" t="n">
        <f aca="false">MIN(C200,D199)</f>
        <v>-301687.193272381</v>
      </c>
      <c r="E200" s="66" t="n">
        <f aca="false">MIN(D200,E199)</f>
        <v>-325034.527096991</v>
      </c>
      <c r="F200" s="66" t="n">
        <f aca="false">MIN(E200,F199)</f>
        <v>-345918.936221647</v>
      </c>
      <c r="G200" s="66" t="n">
        <f aca="false">MIN(F200,G199)</f>
        <v>-364487.481842634</v>
      </c>
      <c r="H200" s="66" t="n">
        <f aca="false">MIN(G200,H199)</f>
        <v>-380878.401484457</v>
      </c>
      <c r="I200" s="66" t="n">
        <f aca="false">MIN(H200,I199)</f>
        <v>-395221.638420152</v>
      </c>
      <c r="J200" s="66" t="n">
        <f aca="false">MIN(I200,J199)</f>
        <v>-407639.339326371</v>
      </c>
      <c r="K200" s="66" t="n">
        <f aca="false">MIN(J200,K199)</f>
        <v>-418246.32207917</v>
      </c>
      <c r="L200" s="66" t="n">
        <f aca="false">MIN(K200,L199)</f>
        <v>-427150.515482039</v>
      </c>
      <c r="M200" s="66" t="n">
        <f aca="false">MIN(L200,M199)</f>
        <v>-434453.372610259</v>
      </c>
      <c r="N200" s="66" t="n">
        <f aca="false">MIN(M200,N199)</f>
        <v>-440250.259354596</v>
      </c>
      <c r="O200" s="66" t="n">
        <f aca="false">MIN(N200,O199)</f>
        <v>-443897.305414621</v>
      </c>
      <c r="P200" s="66" t="n">
        <f aca="false">MIN(O200,P199)</f>
        <v>-446027.163442999</v>
      </c>
      <c r="Q200" s="66" t="n">
        <f aca="false">MIN(P200,Q199)</f>
        <v>-446622.24491122</v>
      </c>
      <c r="R200" s="66" t="n">
        <f aca="false">MIN(Q200,R199)</f>
        <v>-446622.24491122</v>
      </c>
      <c r="S200" s="66" t="n">
        <f aca="false">MIN(R200,S199)</f>
        <v>-446622.24491122</v>
      </c>
      <c r="T200" s="66" t="n">
        <f aca="false">MIN(S200,T199)</f>
        <v>-446622.24491122</v>
      </c>
      <c r="U200" s="66" t="n">
        <f aca="false">MIN(T200,U199)</f>
        <v>-446622.24491122</v>
      </c>
      <c r="V200" s="66" t="n">
        <f aca="false">MIN(U200,V199)</f>
        <v>-446622.24491122</v>
      </c>
      <c r="W200" s="66" t="n">
        <f aca="false">MIN(V200,W199)</f>
        <v>-446622.24491122</v>
      </c>
      <c r="X200" s="66" t="n">
        <f aca="false">MIN(W200,X199)</f>
        <v>-446622.24491122</v>
      </c>
      <c r="Y200" s="66" t="n">
        <f aca="false">MIN(X200,Y199)</f>
        <v>-446622.24491122</v>
      </c>
      <c r="Z200" s="66" t="n">
        <f aca="false">MIN(Y200,Z199)</f>
        <v>-446622.24491122</v>
      </c>
      <c r="AA200" s="66" t="n">
        <f aca="false">MIN(Z200,AA199)</f>
        <v>-446622.24491122</v>
      </c>
      <c r="AB200" s="66" t="n">
        <f aca="false">MIN(AA200,AB199)</f>
        <v>-446622.24491122</v>
      </c>
      <c r="AC200" s="66" t="n">
        <f aca="false">MIN(AB200,AC199)</f>
        <v>-446622.24491122</v>
      </c>
      <c r="AD200" s="66" t="n">
        <f aca="false">MIN(AC200,AD199)</f>
        <v>-446622.24491122</v>
      </c>
      <c r="AE200" s="66" t="n">
        <f aca="false">MIN(AD200,AE199)</f>
        <v>-446622.24491122</v>
      </c>
      <c r="AF200" s="66" t="n">
        <f aca="false">MIN(AE200,AF199)</f>
        <v>-446622.24491122</v>
      </c>
      <c r="AG200" s="66" t="n">
        <f aca="false">MIN(AF200,AG199)</f>
        <v>-446622.24491122</v>
      </c>
      <c r="AH200" s="66" t="n">
        <f aca="false">MIN(AG200,AH199)</f>
        <v>-446622.24491122</v>
      </c>
      <c r="AI200" s="66" t="n">
        <f aca="false">MIN(AH200,AI199)</f>
        <v>-446622.24491122</v>
      </c>
      <c r="AJ200" s="66" t="n">
        <f aca="false">MIN(AI200,AJ199)</f>
        <v>-446622.24491122</v>
      </c>
      <c r="AK200" s="66" t="n">
        <f aca="false">MIN(AJ200,AK199)</f>
        <v>-446622.24491122</v>
      </c>
      <c r="AL200" s="66" t="n">
        <f aca="false">MIN(AK200,AL199)</f>
        <v>-446622.24491122</v>
      </c>
    </row>
    <row r="201" customFormat="false" ht="15" hidden="false" customHeight="false" outlineLevel="0" collapsed="false">
      <c r="A201" s="116" t="s">
        <v>407</v>
      </c>
      <c r="C201" s="118" t="n">
        <f aca="false">IF(AND(C199&gt;=0,C200&lt;0),1,0)</f>
        <v>0</v>
      </c>
      <c r="D201" s="118" t="n">
        <f aca="false">IF(AND(D199&gt;=0,D200&lt;0),1,0)</f>
        <v>0</v>
      </c>
      <c r="E201" s="118" t="n">
        <f aca="false">IF(AND(E199&gt;=0,E200&lt;0),1,0)</f>
        <v>0</v>
      </c>
      <c r="F201" s="118" t="n">
        <f aca="false">IF(AND(F199&gt;=0,F200&lt;0),1,0)</f>
        <v>0</v>
      </c>
      <c r="G201" s="118" t="n">
        <f aca="false">IF(AND(G199&gt;=0,G200&lt;0),1,0)</f>
        <v>0</v>
      </c>
      <c r="H201" s="118" t="n">
        <f aca="false">IF(AND(H199&gt;=0,H200&lt;0),1,0)</f>
        <v>0</v>
      </c>
      <c r="I201" s="118" t="n">
        <f aca="false">IF(AND(I199&gt;=0,I200&lt;0),1,0)</f>
        <v>0</v>
      </c>
      <c r="J201" s="118" t="n">
        <f aca="false">IF(AND(J199&gt;=0,J200&lt;0),1,0)</f>
        <v>0</v>
      </c>
      <c r="K201" s="118" t="n">
        <f aca="false">IF(AND(K199&gt;=0,K200&lt;0),1,0)</f>
        <v>0</v>
      </c>
      <c r="L201" s="118" t="n">
        <f aca="false">IF(AND(L199&gt;=0,L200&lt;0),1,0)</f>
        <v>0</v>
      </c>
      <c r="M201" s="118" t="n">
        <f aca="false">IF(AND(M199&gt;=0,M200&lt;0),1,0)</f>
        <v>0</v>
      </c>
      <c r="N201" s="118" t="n">
        <f aca="false">IF(AND(N199&gt;=0,N200&lt;0),1,0)</f>
        <v>0</v>
      </c>
      <c r="O201" s="118" t="n">
        <f aca="false">IF(AND(O199&gt;=0,O200&lt;0),1,0)</f>
        <v>0</v>
      </c>
      <c r="P201" s="118" t="n">
        <f aca="false">IF(AND(P199&gt;=0,P200&lt;0),1,0)</f>
        <v>0</v>
      </c>
      <c r="Q201" s="118" t="n">
        <f aca="false">IF(AND(Q199&gt;=0,Q200&lt;0),1,0)</f>
        <v>0</v>
      </c>
      <c r="R201" s="118" t="n">
        <f aca="false">IF(AND(R199&gt;=0,R200&lt;0),1,0)</f>
        <v>0</v>
      </c>
      <c r="S201" s="118" t="n">
        <f aca="false">IF(AND(S199&gt;=0,S200&lt;0),1,0)</f>
        <v>0</v>
      </c>
      <c r="T201" s="118" t="n">
        <f aca="false">IF(AND(T199&gt;=0,T200&lt;0),1,0)</f>
        <v>0</v>
      </c>
      <c r="U201" s="118" t="n">
        <f aca="false">IF(AND(U199&gt;=0,U200&lt;0),1,0)</f>
        <v>0</v>
      </c>
      <c r="V201" s="118" t="n">
        <f aca="false">IF(AND(V199&gt;=0,V200&lt;0),1,0)</f>
        <v>0</v>
      </c>
      <c r="W201" s="118" t="n">
        <f aca="false">IF(AND(W199&gt;=0,W200&lt;0),1,0)</f>
        <v>0</v>
      </c>
      <c r="X201" s="118" t="n">
        <f aca="false">IF(AND(X199&gt;=0,X200&lt;0),1,0)</f>
        <v>0</v>
      </c>
      <c r="Y201" s="118" t="n">
        <f aca="false">IF(AND(Y199&gt;=0,Y200&lt;0),1,0)</f>
        <v>0</v>
      </c>
      <c r="Z201" s="118" t="n">
        <f aca="false">IF(AND(Z199&gt;=0,Z200&lt;0),1,0)</f>
        <v>0</v>
      </c>
      <c r="AA201" s="118" t="n">
        <f aca="false">IF(AND(AA199&gt;=0,AA200&lt;0),1,0)</f>
        <v>0</v>
      </c>
      <c r="AB201" s="118" t="n">
        <f aca="false">IF(AND(AB199&gt;=0,AB200&lt;0),1,0)</f>
        <v>0</v>
      </c>
      <c r="AC201" s="118" t="n">
        <f aca="false">IF(AND(AC199&gt;=0,AC200&lt;0),1,0)</f>
        <v>0</v>
      </c>
      <c r="AD201" s="118" t="n">
        <f aca="false">IF(AND(AD199&gt;=0,AD200&lt;0),1,0)</f>
        <v>0</v>
      </c>
      <c r="AE201" s="118" t="n">
        <f aca="false">IF(AND(AE199&gt;=0,AE200&lt;0),1,0)</f>
        <v>0</v>
      </c>
      <c r="AF201" s="118" t="n">
        <f aca="false">IF(AND(AF199&gt;=0,AF200&lt;0),1,0)</f>
        <v>0</v>
      </c>
      <c r="AG201" s="118" t="n">
        <f aca="false">IF(AND(AG199&gt;=0,AG200&lt;0),1,0)</f>
        <v>0</v>
      </c>
      <c r="AH201" s="118" t="n">
        <f aca="false">IF(AND(AH199&gt;=0,AH200&lt;0),1,0)</f>
        <v>0</v>
      </c>
      <c r="AI201" s="118" t="n">
        <f aca="false">IF(AND(AI199&gt;=0,AI200&lt;0),1,0)</f>
        <v>0</v>
      </c>
      <c r="AJ201" s="118" t="n">
        <f aca="false">IF(AND(AJ199&gt;=0,AJ200&lt;0),1,0)</f>
        <v>0</v>
      </c>
      <c r="AK201" s="118" t="n">
        <f aca="false">IF(AND(AK199&gt;=0,AK200&lt;0),1,0)</f>
        <v>0</v>
      </c>
      <c r="AL201" s="118" t="n">
        <f aca="false">IF(AND(AL199&gt;=0,AL200&lt;0),1,0)</f>
        <v>0</v>
      </c>
    </row>
    <row r="202" customFormat="false" ht="15" hidden="false" customHeight="false" outlineLevel="0" collapsed="false">
      <c r="A202" s="6" t="s">
        <v>408</v>
      </c>
      <c r="C202" s="66" t="n">
        <f aca="false">C187-C158*(1-Inputs!$C$66)+C188</f>
        <v>-274930.486666667</v>
      </c>
      <c r="D202" s="66" t="n">
        <f aca="false">D187-D158*(1-Inputs!$C$66)+D188</f>
        <v>-25181.4089866667</v>
      </c>
      <c r="E202" s="66" t="n">
        <f aca="false">E187-E158*(1-Inputs!$C$66)+E188</f>
        <v>-22571.4409674667</v>
      </c>
      <c r="F202" s="66" t="n">
        <f aca="false">F187-F158*(1-Inputs!$C$66)+F188</f>
        <v>-20117.9210294187</v>
      </c>
      <c r="G202" s="66" t="n">
        <f aca="false">G187-G158*(1-Inputs!$C$66)+G188</f>
        <v>-17811.4622876536</v>
      </c>
      <c r="H202" s="66" t="n">
        <f aca="false">H187-H158*(1-Inputs!$C$66)+H188</f>
        <v>-15643.2410703943</v>
      </c>
      <c r="I202" s="66" t="n">
        <f aca="false">I187-I158*(1-Inputs!$C$66)+I188</f>
        <v>-13604.9631261707</v>
      </c>
      <c r="J202" s="66" t="n">
        <f aca="false">J187-J158*(1-Inputs!$C$66)+J188</f>
        <v>-11688.8318586005</v>
      </c>
      <c r="K202" s="66" t="n">
        <f aca="false">K187-K158*(1-Inputs!$C$66)+K188</f>
        <v>-9887.51846708443</v>
      </c>
      <c r="L202" s="66" t="n">
        <f aca="false">L187-L158*(1-Inputs!$C$66)+L188</f>
        <v>-8194.13387905936</v>
      </c>
      <c r="M202" s="66" t="n">
        <f aca="false">M187-M158*(1-Inputs!$C$66)+M188</f>
        <v>-6602.2023663158</v>
      </c>
      <c r="N202" s="66" t="n">
        <f aca="false">N187-N158*(1-Inputs!$C$66)+N188</f>
        <v>-5105.63674433685</v>
      </c>
      <c r="O202" s="66" t="n">
        <f aca="false">O187-O158*(1-Inputs!$C$66)+O188</f>
        <v>-2965.20082193013</v>
      </c>
      <c r="P202" s="66" t="n">
        <f aca="false">P187-P158*(1-Inputs!$C$66)+P188</f>
        <v>-1457.41755218693</v>
      </c>
      <c r="Q202" s="66" t="n">
        <f aca="false">Q187-Q158*(1-Inputs!$C$66)+Q188</f>
        <v>67.954246064269</v>
      </c>
      <c r="R202" s="66" t="n">
        <f aca="false">R187-R158*(1-Inputs!$C$66)+R188</f>
        <v>1501.9537364204</v>
      </c>
      <c r="S202" s="66" t="n">
        <f aca="false">S187-S158*(1-Inputs!$C$66)+S188</f>
        <v>2850.06325735519</v>
      </c>
      <c r="T202" s="66" t="n">
        <f aca="false">T187-T158*(1-Inputs!$C$66)+T188</f>
        <v>4117.43620703388</v>
      </c>
      <c r="U202" s="66" t="n">
        <f aca="false">U187-U158*(1-Inputs!$C$66)+U188</f>
        <v>5308.91677973184</v>
      </c>
      <c r="V202" s="66" t="n">
        <f aca="false">V187-V158*(1-Inputs!$C$66)+V188</f>
        <v>5854.64279108448</v>
      </c>
      <c r="W202" s="66" t="n">
        <f aca="false">W187-W158*(1-Inputs!$C$66)+W188</f>
        <v>5876.01898907307</v>
      </c>
      <c r="X202" s="66" t="n">
        <f aca="false">X187-X158*(1-Inputs!$C$66)+X188</f>
        <v>5869.23773333333</v>
      </c>
      <c r="Y202" s="66" t="n">
        <f aca="false">Y187-Y158*(1-Inputs!$C$66)+Y188</f>
        <v>5871.73773333333</v>
      </c>
      <c r="Z202" s="66" t="n">
        <f aca="false">Z187-Z158*(1-Inputs!$C$66)+Z188</f>
        <v>5874.23773333333</v>
      </c>
      <c r="AA202" s="66" t="n">
        <f aca="false">AA187-AA158*(1-Inputs!$C$66)+AA188</f>
        <v>6650.00086533334</v>
      </c>
      <c r="AB202" s="66" t="n">
        <f aca="false">AB187-AB158*(1-Inputs!$C$66)+AB188</f>
        <v>6516.07736533334</v>
      </c>
      <c r="AC202" s="66" t="n">
        <f aca="false">AC187-AC158*(1-Inputs!$C$66)+AC188</f>
        <v>6518.57736533334</v>
      </c>
      <c r="AD202" s="66" t="n">
        <f aca="false">AD187-AD158*(1-Inputs!$C$66)+AD188</f>
        <v>6521.07736533334</v>
      </c>
      <c r="AE202" s="66" t="n">
        <f aca="false">AE187-AE158*(1-Inputs!$C$66)+AE188</f>
        <v>6523.57736533334</v>
      </c>
      <c r="AF202" s="66" t="n">
        <f aca="false">AF187-AF158*(1-Inputs!$C$66)+AF188</f>
        <v>6526.07736533334</v>
      </c>
      <c r="AG202" s="66" t="n">
        <f aca="false">AG187-AG158*(1-Inputs!$C$66)+AG188</f>
        <v>6528.57736533334</v>
      </c>
      <c r="AH202" s="66" t="n">
        <f aca="false">AH187-AH158*(1-Inputs!$C$66)+AH188</f>
        <v>6531.07736533334</v>
      </c>
      <c r="AI202" s="66" t="n">
        <f aca="false">AI187-AI158*(1-Inputs!$C$66)+AI188</f>
        <v>6533.57736533334</v>
      </c>
      <c r="AJ202" s="66" t="n">
        <f aca="false">AJ187-AJ158*(1-Inputs!$C$66)+AJ188</f>
        <v>6536.07736533334</v>
      </c>
      <c r="AK202" s="66" t="n">
        <f aca="false">AK187-AK158*(1-Inputs!$C$66)+AK188</f>
        <v>6538.57736533334</v>
      </c>
      <c r="AL202" s="66" t="n">
        <f aca="false">AL187-AL158*(1-Inputs!$C$66)+AL188</f>
        <v>6541.07736533334</v>
      </c>
    </row>
    <row r="204" customFormat="false" ht="15.75" hidden="false" customHeight="true" outlineLevel="0" collapsed="false">
      <c r="A204" s="7" t="s">
        <v>409</v>
      </c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</row>
    <row r="205" customFormat="false" ht="15" hidden="false" customHeight="false" outlineLevel="0" collapsed="false">
      <c r="A205" s="6" t="s">
        <v>96</v>
      </c>
      <c r="C205" s="66" t="n">
        <f aca="false">C189</f>
        <v>330000</v>
      </c>
      <c r="D205" s="66" t="n">
        <f aca="false">C205+D189</f>
        <v>330000</v>
      </c>
      <c r="E205" s="66" t="n">
        <f aca="false">D205+E189</f>
        <v>330000</v>
      </c>
      <c r="F205" s="66" t="n">
        <f aca="false">E205+F189</f>
        <v>330000</v>
      </c>
      <c r="G205" s="66" t="n">
        <f aca="false">F205+G189</f>
        <v>330000</v>
      </c>
      <c r="H205" s="66" t="n">
        <f aca="false">G205+H189</f>
        <v>330000</v>
      </c>
      <c r="I205" s="66" t="n">
        <f aca="false">H205+I189</f>
        <v>330000</v>
      </c>
      <c r="J205" s="66" t="n">
        <f aca="false">I205+J189</f>
        <v>330000</v>
      </c>
      <c r="K205" s="66" t="n">
        <f aca="false">J205+K189</f>
        <v>330000</v>
      </c>
      <c r="L205" s="66" t="n">
        <f aca="false">K205+L189</f>
        <v>330000</v>
      </c>
      <c r="M205" s="66" t="n">
        <f aca="false">L205+M189</f>
        <v>330000</v>
      </c>
      <c r="N205" s="66" t="n">
        <f aca="false">M205+N189</f>
        <v>330000</v>
      </c>
      <c r="O205" s="66" t="n">
        <f aca="false">N205+O189</f>
        <v>330000</v>
      </c>
      <c r="P205" s="66" t="n">
        <f aca="false">O205+P189</f>
        <v>330000</v>
      </c>
      <c r="Q205" s="66" t="n">
        <f aca="false">P205+Q189</f>
        <v>330000</v>
      </c>
      <c r="R205" s="66" t="n">
        <f aca="false">Q205+R189</f>
        <v>330000</v>
      </c>
      <c r="S205" s="66" t="n">
        <f aca="false">R205+S189</f>
        <v>330000</v>
      </c>
      <c r="T205" s="66" t="n">
        <f aca="false">S205+T189</f>
        <v>330000</v>
      </c>
      <c r="U205" s="66" t="n">
        <f aca="false">T205+U189</f>
        <v>330000</v>
      </c>
      <c r="V205" s="66" t="n">
        <f aca="false">U205+V189</f>
        <v>330000</v>
      </c>
      <c r="W205" s="66" t="n">
        <f aca="false">V205+W189</f>
        <v>330000</v>
      </c>
      <c r="X205" s="66" t="n">
        <f aca="false">W205+X189</f>
        <v>330000</v>
      </c>
      <c r="Y205" s="66" t="n">
        <f aca="false">X205+Y189</f>
        <v>330000</v>
      </c>
      <c r="Z205" s="66" t="n">
        <f aca="false">Y205+Z189</f>
        <v>330000</v>
      </c>
      <c r="AA205" s="66" t="n">
        <f aca="false">Z205+AA189</f>
        <v>330000</v>
      </c>
      <c r="AB205" s="66" t="n">
        <f aca="false">AA205+AB189</f>
        <v>330000</v>
      </c>
      <c r="AC205" s="66" t="n">
        <f aca="false">AB205+AC189</f>
        <v>330000</v>
      </c>
      <c r="AD205" s="66" t="n">
        <f aca="false">AC205+AD189</f>
        <v>330000</v>
      </c>
      <c r="AE205" s="66" t="n">
        <f aca="false">AD205+AE189</f>
        <v>330000</v>
      </c>
      <c r="AF205" s="66" t="n">
        <f aca="false">AE205+AF189</f>
        <v>330000</v>
      </c>
      <c r="AG205" s="66" t="n">
        <f aca="false">AF205+AG189</f>
        <v>330000</v>
      </c>
      <c r="AH205" s="66" t="n">
        <f aca="false">AG205+AH189</f>
        <v>330000</v>
      </c>
      <c r="AI205" s="66" t="n">
        <f aca="false">AH205+AI189</f>
        <v>330000</v>
      </c>
      <c r="AJ205" s="66" t="n">
        <f aca="false">AI205+AJ189</f>
        <v>330000</v>
      </c>
      <c r="AK205" s="66" t="n">
        <f aca="false">AJ205+AK189</f>
        <v>330000</v>
      </c>
      <c r="AL205" s="66" t="n">
        <f aca="false">AK205+AL189</f>
        <v>330000</v>
      </c>
    </row>
    <row r="206" customFormat="false" ht="15" hidden="false" customHeight="false" outlineLevel="0" collapsed="false">
      <c r="A206" s="6" t="s">
        <v>97</v>
      </c>
      <c r="C206" s="66" t="n">
        <f aca="false">C163</f>
        <v>-31835.1271428571</v>
      </c>
      <c r="D206" s="66" t="n">
        <f aca="false">C206+D163</f>
        <v>-60883.6572247619</v>
      </c>
      <c r="E206" s="66" t="n">
        <f aca="false">D206+E163</f>
        <v>-87306.4765455619</v>
      </c>
      <c r="F206" s="66" t="n">
        <f aca="false">E206+F163</f>
        <v>-111260.413465209</v>
      </c>
      <c r="G206" s="66" t="n">
        <f aca="false">F206+G163</f>
        <v>-132892.886642059</v>
      </c>
      <c r="H206" s="66" t="n">
        <f aca="false">G206+H163</f>
        <v>-152342.469614964</v>
      </c>
      <c r="I206" s="66" t="n">
        <f aca="false">H206+I163</f>
        <v>-169739.421510447</v>
      </c>
      <c r="J206" s="66" t="n">
        <f aca="false">I206+J163</f>
        <v>-185206.185907439</v>
      </c>
      <c r="K206" s="66" t="n">
        <f aca="false">J206+K163</f>
        <v>-198857.859770136</v>
      </c>
      <c r="L206" s="66" t="n">
        <f aca="false">K206+L163</f>
        <v>-210802.63424488</v>
      </c>
      <c r="M206" s="66" t="n">
        <f aca="false">L206+M163</f>
        <v>-221142.209009235</v>
      </c>
      <c r="N206" s="66" t="n">
        <f aca="false">M206+N163</f>
        <v>-229972.181760109</v>
      </c>
      <c r="O206" s="66" t="n">
        <f aca="false">N206+O163</f>
        <v>-236775.843479544</v>
      </c>
      <c r="P206" s="66" t="n">
        <f aca="false">O206+P163</f>
        <v>-241943.586131645</v>
      </c>
      <c r="Q206" s="66" t="n">
        <f aca="false">P206+Q163</f>
        <v>-245572.850574738</v>
      </c>
      <c r="R206" s="66" t="n">
        <f aca="false">Q206+R163</f>
        <v>-247755.23121565</v>
      </c>
      <c r="S206" s="66" t="n">
        <f aca="false">R206+S163</f>
        <v>-248576.826796796</v>
      </c>
      <c r="T206" s="66" t="n">
        <f aca="false">S206+T163</f>
        <v>-248118.570136049</v>
      </c>
      <c r="U206" s="66" t="n">
        <f aca="false">T206+U163</f>
        <v>-246456.538082207</v>
      </c>
      <c r="V206" s="66" t="n">
        <f aca="false">U206+V163</f>
        <v>-244225.317550521</v>
      </c>
      <c r="W206" s="66" t="n">
        <f aca="false">V206+W163</f>
        <v>-241941.377436236</v>
      </c>
      <c r="X206" s="66" t="n">
        <f aca="false">W206+X163</f>
        <v>-239645.532560045</v>
      </c>
      <c r="Y206" s="66" t="n">
        <f aca="false">X206+Y163</f>
        <v>-237337.78292195</v>
      </c>
      <c r="Z206" s="66" t="n">
        <f aca="false">Y206+Z163</f>
        <v>-235018.12852195</v>
      </c>
      <c r="AA206" s="66" t="n">
        <f aca="false">Z206+AA163</f>
        <v>-232049.729728045</v>
      </c>
      <c r="AB206" s="66" t="n">
        <f aca="false">AA206+AB163</f>
        <v>-229069.426172236</v>
      </c>
      <c r="AC206" s="66" t="n">
        <f aca="false">AB206+AC163</f>
        <v>-226077.217854521</v>
      </c>
      <c r="AD206" s="66" t="n">
        <f aca="false">AC206+AD163</f>
        <v>-223073.104774902</v>
      </c>
      <c r="AE206" s="66" t="n">
        <f aca="false">AD206+AE163</f>
        <v>-220057.086933379</v>
      </c>
      <c r="AF206" s="66" t="n">
        <f aca="false">AE206+AF163</f>
        <v>-217029.16432995</v>
      </c>
      <c r="AG206" s="66" t="n">
        <f aca="false">AF206+AG163</f>
        <v>-213989.336964617</v>
      </c>
      <c r="AH206" s="66" t="n">
        <f aca="false">AG206+AH163</f>
        <v>-210937.604837379</v>
      </c>
      <c r="AI206" s="66" t="n">
        <f aca="false">AH206+AI163</f>
        <v>-207873.967948236</v>
      </c>
      <c r="AJ206" s="66" t="n">
        <f aca="false">AI206+AJ163</f>
        <v>-204798.426297188</v>
      </c>
      <c r="AK206" s="66" t="n">
        <f aca="false">AJ206+AK163</f>
        <v>-201710.979884236</v>
      </c>
      <c r="AL206" s="66" t="n">
        <f aca="false">AK206+AL163</f>
        <v>-198611.628709379</v>
      </c>
    </row>
    <row r="207" customFormat="false" ht="15" hidden="false" customHeight="false" outlineLevel="0" collapsed="false">
      <c r="A207" s="4" t="s">
        <v>92</v>
      </c>
      <c r="C207" s="72" t="n">
        <f aca="false">C193+C179+C180+C170</f>
        <v>454441.772857143</v>
      </c>
      <c r="D207" s="72" t="n">
        <f aca="false">D193+D179+D180+D170</f>
        <v>423818.794489524</v>
      </c>
      <c r="E207" s="72" t="n">
        <f aca="false">E193+E179+E180+E170</f>
        <v>395808.85092301</v>
      </c>
      <c r="F207" s="72" t="n">
        <f aca="false">F193+F179+F180+F170</f>
        <v>370255.874355248</v>
      </c>
      <c r="G207" s="72" t="n">
        <f aca="false">G193+G179+G180+G170</f>
        <v>347013.161052028</v>
      </c>
      <c r="H207" s="72" t="n">
        <f aca="false">H193+H179+H180+H170</f>
        <v>325942.809503192</v>
      </c>
      <c r="I207" s="72" t="n">
        <f aca="false">I193+I179+I180+I170</f>
        <v>306915.192289191</v>
      </c>
      <c r="J207" s="72" t="n">
        <f aca="false">J193+J179+J180+J170</f>
        <v>289808.459635649</v>
      </c>
      <c r="K207" s="72" t="n">
        <f aca="false">K193+K179+K180+K170</f>
        <v>274508.072754653</v>
      </c>
      <c r="L207" s="72" t="n">
        <f aca="false">L193+L179+L180+L170</f>
        <v>260906.365185564</v>
      </c>
      <c r="M207" s="72" t="n">
        <f aca="false">M193+M179+M180+M170</f>
        <v>248902.130455383</v>
      </c>
      <c r="N207" s="72" t="n">
        <f aca="false">N193+N179+N180+N170</f>
        <v>238400.234479488</v>
      </c>
      <c r="O207" s="72" t="n">
        <f aca="false">O193+O179+O180+O170</f>
        <v>230171.708840777</v>
      </c>
      <c r="P207" s="72" t="n">
        <f aca="false">P193+P179+P180+P170</f>
        <v>223341.640198028</v>
      </c>
      <c r="Q207" s="72" t="n">
        <f aca="false">Q193+Q179+Q180+Q170</f>
        <v>218042.646466583</v>
      </c>
      <c r="R207" s="72" t="n">
        <f aca="false">R193+R179+R180+R170</f>
        <v>214183.577437478</v>
      </c>
      <c r="S207" s="72" t="n">
        <f aca="false">S193+S179+S180+S170</f>
        <v>211678.751914287</v>
      </c>
      <c r="T207" s="72" t="n">
        <f aca="false">T193+T179+T180+T170</f>
        <v>210447.62957237</v>
      </c>
      <c r="U207" s="72" t="n">
        <f aca="false">U193+U179+U180+U170</f>
        <v>210414.502506563</v>
      </c>
      <c r="V207" s="72" t="n">
        <f aca="false">V193+V179+V180+V170</f>
        <v>210922.448509428</v>
      </c>
      <c r="W207" s="72" t="n">
        <f aca="false">W193+W179+W180+W170</f>
        <v>211439.236849479</v>
      </c>
      <c r="X207" s="72" t="n">
        <f aca="false">X193+X179+X180+X170</f>
        <v>211949.367439955</v>
      </c>
      <c r="Y207" s="72" t="n">
        <f aca="false">Y193+Y179+Y180+Y170</f>
        <v>212471.402792336</v>
      </c>
      <c r="Z207" s="72" t="n">
        <f aca="false">Z193+Z179+Z180+Z170</f>
        <v>213005.342906621</v>
      </c>
      <c r="AA207" s="72" t="n">
        <f aca="false">AA193+AA179+AA180+AA170</f>
        <v>214460.874414812</v>
      </c>
      <c r="AB207" s="72" t="n">
        <f aca="false">AB193+AB179+AB180+AB170</f>
        <v>215655.463684907</v>
      </c>
      <c r="AC207" s="72" t="n">
        <f aca="false">AC193+AC179+AC180+AC170</f>
        <v>216861.957716907</v>
      </c>
      <c r="AD207" s="72" t="n">
        <f aca="false">AD193+AD179+AD180+AD170</f>
        <v>218080.356510812</v>
      </c>
      <c r="AE207" s="72" t="n">
        <f aca="false">AE193+AE179+AE180+AE170</f>
        <v>219310.660066621</v>
      </c>
      <c r="AF207" s="72" t="n">
        <f aca="false">AF193+AF179+AF180+AF170</f>
        <v>220552.868384336</v>
      </c>
      <c r="AG207" s="72" t="n">
        <f aca="false">AG193+AG179+AG180+AG170</f>
        <v>221806.981463955</v>
      </c>
      <c r="AH207" s="72" t="n">
        <f aca="false">AH193+AH179+AH180+AH170</f>
        <v>223072.999305479</v>
      </c>
      <c r="AI207" s="72" t="n">
        <f aca="false">AI193+AI179+AI180+AI170</f>
        <v>224350.921908907</v>
      </c>
      <c r="AJ207" s="72" t="n">
        <f aca="false">AJ193+AJ179+AJ180+AJ170</f>
        <v>225640.749274241</v>
      </c>
      <c r="AK207" s="72" t="n">
        <f aca="false">AK193+AK179+AK180+AK170</f>
        <v>226942.481401479</v>
      </c>
      <c r="AL207" s="72" t="n">
        <f aca="false">AL193+AL179+AL180+AL170</f>
        <v>228256.118290622</v>
      </c>
    </row>
    <row r="208" customFormat="false" ht="15" hidden="false" customHeight="false" outlineLevel="0" collapsed="false">
      <c r="A208" s="6" t="s">
        <v>95</v>
      </c>
      <c r="C208" s="66" t="n">
        <f aca="false">C181+C176</f>
        <v>156276.9</v>
      </c>
      <c r="D208" s="66" t="n">
        <f aca="false">D181+D176</f>
        <v>154702.451714286</v>
      </c>
      <c r="E208" s="66" t="n">
        <f aca="false">E181+E176</f>
        <v>153115.327468571</v>
      </c>
      <c r="F208" s="66" t="n">
        <f aca="false">F181+F176</f>
        <v>151516.287820457</v>
      </c>
      <c r="G208" s="66" t="n">
        <f aca="false">G181+G176</f>
        <v>149906.047694087</v>
      </c>
      <c r="H208" s="66" t="n">
        <f aca="false">H181+H176</f>
        <v>148285.279118156</v>
      </c>
      <c r="I208" s="66" t="n">
        <f aca="false">I181+I176</f>
        <v>146654.613799638</v>
      </c>
      <c r="J208" s="66" t="n">
        <f aca="false">J181+J176</f>
        <v>145014.645543088</v>
      </c>
      <c r="K208" s="66" t="n">
        <f aca="false">K181+K176</f>
        <v>143365.932524789</v>
      </c>
      <c r="L208" s="66" t="n">
        <f aca="false">L181+L176</f>
        <v>141708.999430444</v>
      </c>
      <c r="M208" s="66" t="n">
        <f aca="false">M181+M176</f>
        <v>140044.339464618</v>
      </c>
      <c r="N208" s="66" t="n">
        <f aca="false">N181+N176</f>
        <v>138372.416239598</v>
      </c>
      <c r="O208" s="66" t="n">
        <f aca="false">O181+O176</f>
        <v>136947.552320321</v>
      </c>
      <c r="P208" s="66" t="n">
        <f aca="false">P181+P176</f>
        <v>135285.226329673</v>
      </c>
      <c r="Q208" s="66" t="n">
        <f aca="false">Q181+Q176</f>
        <v>133615.497041322</v>
      </c>
      <c r="R208" s="66" t="n">
        <f aca="false">R181+R176</f>
        <v>131938.808653128</v>
      </c>
      <c r="S208" s="66" t="n">
        <f aca="false">S181+S176</f>
        <v>130255.578711083</v>
      </c>
      <c r="T208" s="66" t="n">
        <f aca="false">T181+T176</f>
        <v>128566.199708418</v>
      </c>
      <c r="U208" s="66" t="n">
        <f aca="false">U181+U176</f>
        <v>126871.04058877</v>
      </c>
      <c r="V208" s="66" t="n">
        <f aca="false">V181+V176</f>
        <v>125147.766059949</v>
      </c>
      <c r="W208" s="66" t="n">
        <f aca="false">W181+W176</f>
        <v>123380.614285714</v>
      </c>
      <c r="X208" s="66" t="n">
        <f aca="false">X181+X176</f>
        <v>121594.9</v>
      </c>
      <c r="Y208" s="66" t="n">
        <f aca="false">Y181+Y176</f>
        <v>119809.185714286</v>
      </c>
      <c r="Z208" s="66" t="n">
        <f aca="false">Z181+Z176</f>
        <v>118023.471428571</v>
      </c>
      <c r="AA208" s="66" t="n">
        <f aca="false">AA181+AA176</f>
        <v>116510.604142857</v>
      </c>
      <c r="AB208" s="66" t="n">
        <f aca="false">AB181+AB176</f>
        <v>114724.889857143</v>
      </c>
      <c r="AC208" s="66" t="n">
        <f aca="false">AC181+AC176</f>
        <v>112939.175571428</v>
      </c>
      <c r="AD208" s="66" t="n">
        <f aca="false">AD181+AD176</f>
        <v>111153.461285714</v>
      </c>
      <c r="AE208" s="66" t="n">
        <f aca="false">AE181+AE176</f>
        <v>109367.747</v>
      </c>
      <c r="AF208" s="66" t="n">
        <f aca="false">AF181+AF176</f>
        <v>107582.032714286</v>
      </c>
      <c r="AG208" s="66" t="n">
        <f aca="false">AG181+AG176</f>
        <v>105796.318428571</v>
      </c>
      <c r="AH208" s="66" t="n">
        <f aca="false">AH181+AH176</f>
        <v>104010.604142857</v>
      </c>
      <c r="AI208" s="66" t="n">
        <f aca="false">AI181+AI176</f>
        <v>102224.889857143</v>
      </c>
      <c r="AJ208" s="66" t="n">
        <f aca="false">AJ181+AJ176</f>
        <v>100439.175571428</v>
      </c>
      <c r="AK208" s="66" t="n">
        <f aca="false">AK181+AK176</f>
        <v>98653.4612857142</v>
      </c>
      <c r="AL208" s="66" t="n">
        <f aca="false">AL181+AL176</f>
        <v>96867.7469999999</v>
      </c>
    </row>
    <row r="209" customFormat="false" ht="15" hidden="false" customHeight="false" outlineLevel="0" collapsed="false">
      <c r="A209" s="6" t="s">
        <v>98</v>
      </c>
      <c r="C209" s="66" t="n">
        <f aca="false">C205+C206</f>
        <v>298164.872857143</v>
      </c>
      <c r="D209" s="66" t="n">
        <f aca="false">D205+D206</f>
        <v>269116.342775238</v>
      </c>
      <c r="E209" s="66" t="n">
        <f aca="false">E205+E206</f>
        <v>242693.523454438</v>
      </c>
      <c r="F209" s="66" t="n">
        <f aca="false">F205+F206</f>
        <v>218739.586534791</v>
      </c>
      <c r="G209" s="66" t="n">
        <f aca="false">G205+G206</f>
        <v>197107.113357941</v>
      </c>
      <c r="H209" s="66" t="n">
        <f aca="false">H205+H206</f>
        <v>177657.530385036</v>
      </c>
      <c r="I209" s="66" t="n">
        <f aca="false">I205+I206</f>
        <v>160260.578489553</v>
      </c>
      <c r="J209" s="66" t="n">
        <f aca="false">J205+J206</f>
        <v>144793.814092561</v>
      </c>
      <c r="K209" s="66" t="n">
        <f aca="false">K205+K206</f>
        <v>131142.140229864</v>
      </c>
      <c r="L209" s="66" t="n">
        <f aca="false">L205+L206</f>
        <v>119197.36575512</v>
      </c>
      <c r="M209" s="66" t="n">
        <f aca="false">M205+M206</f>
        <v>108857.790990765</v>
      </c>
      <c r="N209" s="66" t="n">
        <f aca="false">N205+N206</f>
        <v>100027.818239891</v>
      </c>
      <c r="O209" s="66" t="n">
        <f aca="false">O205+O206</f>
        <v>93224.156520456</v>
      </c>
      <c r="P209" s="66" t="n">
        <f aca="false">P205+P206</f>
        <v>88056.4138683549</v>
      </c>
      <c r="Q209" s="66" t="n">
        <f aca="false">Q205+Q206</f>
        <v>84427.1494252617</v>
      </c>
      <c r="R209" s="66" t="n">
        <f aca="false">R205+R206</f>
        <v>82244.7687843503</v>
      </c>
      <c r="S209" s="66" t="n">
        <f aca="false">S205+S206</f>
        <v>81423.1732032041</v>
      </c>
      <c r="T209" s="66" t="n">
        <f aca="false">T205+T206</f>
        <v>81881.4298639515</v>
      </c>
      <c r="U209" s="66" t="n">
        <f aca="false">U205+U206</f>
        <v>83543.461917793</v>
      </c>
      <c r="V209" s="66" t="n">
        <f aca="false">V205+V206</f>
        <v>85774.6824494786</v>
      </c>
      <c r="W209" s="66" t="n">
        <f aca="false">W205+W206</f>
        <v>88058.6225637643</v>
      </c>
      <c r="X209" s="66" t="n">
        <f aca="false">X205+X206</f>
        <v>90354.4674399548</v>
      </c>
      <c r="Y209" s="66" t="n">
        <f aca="false">Y205+Y206</f>
        <v>92662.21707805</v>
      </c>
      <c r="Z209" s="66" t="n">
        <f aca="false">Z205+Z206</f>
        <v>94981.87147805</v>
      </c>
      <c r="AA209" s="66" t="n">
        <f aca="false">AA205+AA206</f>
        <v>97950.2702719548</v>
      </c>
      <c r="AB209" s="66" t="n">
        <f aca="false">AB205+AB206</f>
        <v>100930.573827764</v>
      </c>
      <c r="AC209" s="66" t="n">
        <f aca="false">AC205+AC206</f>
        <v>103922.782145479</v>
      </c>
      <c r="AD209" s="66" t="n">
        <f aca="false">AD205+AD206</f>
        <v>106926.895225098</v>
      </c>
      <c r="AE209" s="66" t="n">
        <f aca="false">AE205+AE206</f>
        <v>109942.913066621</v>
      </c>
      <c r="AF209" s="66" t="n">
        <f aca="false">AF205+AF206</f>
        <v>112970.83567005</v>
      </c>
      <c r="AG209" s="66" t="n">
        <f aca="false">AG205+AG206</f>
        <v>116010.663035383</v>
      </c>
      <c r="AH209" s="66" t="n">
        <f aca="false">AH205+AH206</f>
        <v>119062.395162621</v>
      </c>
      <c r="AI209" s="66" t="n">
        <f aca="false">AI205+AI206</f>
        <v>122126.032051764</v>
      </c>
      <c r="AJ209" s="66" t="n">
        <f aca="false">AJ205+AJ206</f>
        <v>125201.573702812</v>
      </c>
      <c r="AK209" s="66" t="n">
        <f aca="false">AK205+AK206</f>
        <v>128289.020115764</v>
      </c>
      <c r="AL209" s="66" t="n">
        <f aca="false">AL205+AL206</f>
        <v>131388.371290621</v>
      </c>
    </row>
    <row r="210" customFormat="false" ht="15" hidden="false" customHeight="false" outlineLevel="0" collapsed="false">
      <c r="A210" s="4" t="s">
        <v>99</v>
      </c>
      <c r="C210" s="72" t="n">
        <f aca="false">C208+C209</f>
        <v>454441.772857143</v>
      </c>
      <c r="D210" s="72" t="n">
        <f aca="false">D208+D209</f>
        <v>423818.794489524</v>
      </c>
      <c r="E210" s="72" t="n">
        <f aca="false">E208+E209</f>
        <v>395808.85092301</v>
      </c>
      <c r="F210" s="72" t="n">
        <f aca="false">F208+F209</f>
        <v>370255.874355248</v>
      </c>
      <c r="G210" s="72" t="n">
        <f aca="false">G208+G209</f>
        <v>347013.161052028</v>
      </c>
      <c r="H210" s="72" t="n">
        <f aca="false">H208+H209</f>
        <v>325942.809503192</v>
      </c>
      <c r="I210" s="72" t="n">
        <f aca="false">I208+I209</f>
        <v>306915.192289191</v>
      </c>
      <c r="J210" s="72" t="n">
        <f aca="false">J208+J209</f>
        <v>289808.459635649</v>
      </c>
      <c r="K210" s="72" t="n">
        <f aca="false">K208+K209</f>
        <v>274508.072754653</v>
      </c>
      <c r="L210" s="72" t="n">
        <f aca="false">L208+L209</f>
        <v>260906.365185564</v>
      </c>
      <c r="M210" s="72" t="n">
        <f aca="false">M208+M209</f>
        <v>248902.130455383</v>
      </c>
      <c r="N210" s="72" t="n">
        <f aca="false">N208+N209</f>
        <v>238400.234479488</v>
      </c>
      <c r="O210" s="72" t="n">
        <f aca="false">O208+O209</f>
        <v>230171.708840777</v>
      </c>
      <c r="P210" s="72" t="n">
        <f aca="false">P208+P209</f>
        <v>223341.640198028</v>
      </c>
      <c r="Q210" s="72" t="n">
        <f aca="false">Q208+Q209</f>
        <v>218042.646466583</v>
      </c>
      <c r="R210" s="72" t="n">
        <f aca="false">R208+R209</f>
        <v>214183.577437478</v>
      </c>
      <c r="S210" s="72" t="n">
        <f aca="false">S208+S209</f>
        <v>211678.751914287</v>
      </c>
      <c r="T210" s="72" t="n">
        <f aca="false">T208+T209</f>
        <v>210447.62957237</v>
      </c>
      <c r="U210" s="72" t="n">
        <f aca="false">U208+U209</f>
        <v>210414.502506563</v>
      </c>
      <c r="V210" s="72" t="n">
        <f aca="false">V208+V209</f>
        <v>210922.448509428</v>
      </c>
      <c r="W210" s="72" t="n">
        <f aca="false">W208+W209</f>
        <v>211439.236849478</v>
      </c>
      <c r="X210" s="72" t="n">
        <f aca="false">X208+X209</f>
        <v>211949.367439955</v>
      </c>
      <c r="Y210" s="72" t="n">
        <f aca="false">Y208+Y209</f>
        <v>212471.402792336</v>
      </c>
      <c r="Z210" s="72" t="n">
        <f aca="false">Z208+Z209</f>
        <v>213005.342906621</v>
      </c>
      <c r="AA210" s="72" t="n">
        <f aca="false">AA208+AA209</f>
        <v>214460.874414812</v>
      </c>
      <c r="AB210" s="72" t="n">
        <f aca="false">AB208+AB209</f>
        <v>215655.463684907</v>
      </c>
      <c r="AC210" s="72" t="n">
        <f aca="false">AC208+AC209</f>
        <v>216861.957716907</v>
      </c>
      <c r="AD210" s="72" t="n">
        <f aca="false">AD208+AD209</f>
        <v>218080.356510812</v>
      </c>
      <c r="AE210" s="72" t="n">
        <f aca="false">AE208+AE209</f>
        <v>219310.660066621</v>
      </c>
      <c r="AF210" s="72" t="n">
        <f aca="false">AF208+AF209</f>
        <v>220552.868384336</v>
      </c>
      <c r="AG210" s="72" t="n">
        <f aca="false">AG208+AG209</f>
        <v>221806.981463955</v>
      </c>
      <c r="AH210" s="72" t="n">
        <f aca="false">AH208+AH209</f>
        <v>223072.999305478</v>
      </c>
      <c r="AI210" s="72" t="n">
        <f aca="false">AI208+AI209</f>
        <v>224350.921908907</v>
      </c>
      <c r="AJ210" s="72" t="n">
        <f aca="false">AJ208+AJ209</f>
        <v>225640.74927424</v>
      </c>
      <c r="AK210" s="72" t="n">
        <f aca="false">AK208+AK209</f>
        <v>226942.481401478</v>
      </c>
      <c r="AL210" s="72" t="n">
        <f aca="false">AL208+AL209</f>
        <v>228256.118290621</v>
      </c>
    </row>
    <row r="211" customFormat="false" ht="15" hidden="false" customHeight="false" outlineLevel="0" collapsed="false">
      <c r="A211" s="6" t="s">
        <v>410</v>
      </c>
      <c r="C211" s="66" t="n">
        <f aca="false">C207-C210</f>
        <v>0</v>
      </c>
      <c r="D211" s="66" t="n">
        <f aca="false">D207-D210</f>
        <v>0</v>
      </c>
      <c r="E211" s="66" t="n">
        <f aca="false">E207-E210</f>
        <v>0</v>
      </c>
      <c r="F211" s="66" t="n">
        <f aca="false">F207-F210</f>
        <v>0</v>
      </c>
      <c r="G211" s="66" t="n">
        <f aca="false">G207-G210</f>
        <v>0</v>
      </c>
      <c r="H211" s="66" t="n">
        <f aca="false">H207-H210</f>
        <v>0</v>
      </c>
      <c r="I211" s="66" t="n">
        <f aca="false">I207-I210</f>
        <v>0</v>
      </c>
      <c r="J211" s="66" t="n">
        <f aca="false">J207-J210</f>
        <v>0</v>
      </c>
      <c r="K211" s="66" t="n">
        <f aca="false">K207-K210</f>
        <v>0</v>
      </c>
      <c r="L211" s="66" t="n">
        <f aca="false">L207-L210</f>
        <v>0</v>
      </c>
      <c r="M211" s="66" t="n">
        <f aca="false">M207-M210</f>
        <v>0</v>
      </c>
      <c r="N211" s="66" t="n">
        <f aca="false">N207-N210</f>
        <v>0</v>
      </c>
      <c r="O211" s="66" t="n">
        <f aca="false">O207-O210</f>
        <v>0</v>
      </c>
      <c r="P211" s="66" t="n">
        <f aca="false">P207-P210</f>
        <v>0</v>
      </c>
      <c r="Q211" s="66" t="n">
        <f aca="false">Q207-Q210</f>
        <v>0</v>
      </c>
      <c r="R211" s="66" t="n">
        <f aca="false">R207-R210</f>
        <v>0</v>
      </c>
      <c r="S211" s="66" t="n">
        <f aca="false">S207-S210</f>
        <v>0</v>
      </c>
      <c r="T211" s="66" t="n">
        <f aca="false">T207-T210</f>
        <v>0</v>
      </c>
      <c r="U211" s="66" t="n">
        <f aca="false">U207-U210</f>
        <v>0</v>
      </c>
      <c r="V211" s="66" t="n">
        <f aca="false">V207-V210</f>
        <v>0</v>
      </c>
      <c r="W211" s="66" t="n">
        <f aca="false">W207-W210</f>
        <v>0</v>
      </c>
      <c r="X211" s="66" t="n">
        <f aca="false">X207-X210</f>
        <v>0</v>
      </c>
      <c r="Y211" s="66" t="n">
        <f aca="false">Y207-Y210</f>
        <v>0</v>
      </c>
      <c r="Z211" s="66" t="n">
        <f aca="false">Z207-Z210</f>
        <v>0</v>
      </c>
      <c r="AA211" s="66" t="n">
        <f aca="false">AA207-AA210</f>
        <v>0</v>
      </c>
      <c r="AB211" s="66" t="n">
        <f aca="false">AB207-AB210</f>
        <v>0</v>
      </c>
      <c r="AC211" s="66" t="n">
        <f aca="false">AC207-AC210</f>
        <v>0</v>
      </c>
      <c r="AD211" s="66" t="n">
        <f aca="false">AD207-AD210</f>
        <v>0</v>
      </c>
      <c r="AE211" s="66" t="n">
        <f aca="false">AE207-AE210</f>
        <v>0</v>
      </c>
      <c r="AF211" s="66" t="n">
        <f aca="false">AF207-AF210</f>
        <v>0</v>
      </c>
      <c r="AG211" s="66" t="n">
        <f aca="false">AG207-AG210</f>
        <v>0</v>
      </c>
      <c r="AH211" s="66" t="n">
        <f aca="false">AH207-AH210</f>
        <v>0</v>
      </c>
      <c r="AI211" s="66" t="n">
        <f aca="false">AI207-AI210</f>
        <v>0</v>
      </c>
      <c r="AJ211" s="66" t="n">
        <f aca="false">AJ207-AJ210</f>
        <v>0</v>
      </c>
      <c r="AK211" s="66" t="n">
        <f aca="false">AK207-AK210</f>
        <v>0</v>
      </c>
      <c r="AL211" s="66" t="n">
        <f aca="false">AL207-AL210</f>
        <v>0</v>
      </c>
    </row>
    <row r="213" customFormat="false" ht="15.75" hidden="false" customHeight="true" outlineLevel="0" collapsed="false">
      <c r="A213" s="7" t="s">
        <v>412</v>
      </c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</row>
    <row r="214" customFormat="false" ht="15" hidden="false" customHeight="false" outlineLevel="0" collapsed="false">
      <c r="A214" s="6" t="s">
        <v>413</v>
      </c>
      <c r="C214" s="113" t="n">
        <f aca="false">Inputs!$C$42*(1+Inputs!$C$44)^(C$117-1)*MAX(0,MIN(1,C$116*1-Inputs!$C$45+1))/1</f>
        <v>1</v>
      </c>
      <c r="D214" s="113" t="n">
        <f aca="false">Inputs!$C$42*(1+Inputs!$C$44)^(D$117-1)*MAX(0,MIN(1,D$116*1-Inputs!$C$45+1))/1</f>
        <v>1</v>
      </c>
      <c r="E214" s="113" t="n">
        <f aca="false">Inputs!$C$42*(1+Inputs!$C$44)^(E$117-1)*MAX(0,MIN(1,E$116*1-Inputs!$C$45+1))/1</f>
        <v>1</v>
      </c>
      <c r="F214" s="113" t="n">
        <f aca="false">Inputs!$C$42*(1+Inputs!$C$44)^(F$117-1)*MAX(0,MIN(1,F$116*1-Inputs!$C$45+1))/1</f>
        <v>1</v>
      </c>
      <c r="G214" s="113" t="n">
        <f aca="false">Inputs!$C$42*(1+Inputs!$C$44)^(G$117-1)*MAX(0,MIN(1,G$116*1-Inputs!$C$45+1))/1</f>
        <v>1</v>
      </c>
      <c r="H214" s="113" t="n">
        <f aca="false">Inputs!$C$42*(1+Inputs!$C$44)^(H$117-1)*MAX(0,MIN(1,H$116*1-Inputs!$C$45+1))/1</f>
        <v>1</v>
      </c>
      <c r="I214" s="113" t="n">
        <f aca="false">Inputs!$C$42*(1+Inputs!$C$44)^(I$117-1)*MAX(0,MIN(1,I$116*1-Inputs!$C$45+1))/1</f>
        <v>1</v>
      </c>
      <c r="J214" s="113" t="n">
        <f aca="false">Inputs!$C$42*(1+Inputs!$C$44)^(J$117-1)*MAX(0,MIN(1,J$116*1-Inputs!$C$45+1))/1</f>
        <v>1</v>
      </c>
      <c r="K214" s="113" t="n">
        <f aca="false">Inputs!$C$42*(1+Inputs!$C$44)^(K$117-1)*MAX(0,MIN(1,K$116*1-Inputs!$C$45+1))/1</f>
        <v>1</v>
      </c>
      <c r="L214" s="113" t="n">
        <f aca="false">Inputs!$C$42*(1+Inputs!$C$44)^(L$117-1)*MAX(0,MIN(1,L$116*1-Inputs!$C$45+1))/1</f>
        <v>1</v>
      </c>
      <c r="M214" s="113" t="n">
        <f aca="false">Inputs!$C$42*(1+Inputs!$C$44)^(M$117-1)*MAX(0,MIN(1,M$116*1-Inputs!$C$45+1))/1</f>
        <v>1</v>
      </c>
      <c r="N214" s="113" t="n">
        <f aca="false">Inputs!$C$42*(1+Inputs!$C$44)^(N$117-1)*MAX(0,MIN(1,N$116*1-Inputs!$C$45+1))/1</f>
        <v>1</v>
      </c>
      <c r="O214" s="113" t="n">
        <f aca="false">Inputs!$C$42*(1+Inputs!$C$44)^(O$117-1)*MAX(0,MIN(1,O$116*1-Inputs!$C$45+1))/1</f>
        <v>1</v>
      </c>
      <c r="P214" s="113" t="n">
        <f aca="false">Inputs!$C$42*(1+Inputs!$C$44)^(P$117-1)*MAX(0,MIN(1,P$116*1-Inputs!$C$45+1))/1</f>
        <v>1</v>
      </c>
      <c r="Q214" s="113" t="n">
        <f aca="false">Inputs!$C$42*(1+Inputs!$C$44)^(Q$117-1)*MAX(0,MIN(1,Q$116*1-Inputs!$C$45+1))/1</f>
        <v>1</v>
      </c>
      <c r="R214" s="113" t="n">
        <f aca="false">Inputs!$C$42*(1+Inputs!$C$44)^(R$117-1)*MAX(0,MIN(1,R$116*1-Inputs!$C$45+1))/1</f>
        <v>1</v>
      </c>
      <c r="S214" s="113" t="n">
        <f aca="false">Inputs!$C$42*(1+Inputs!$C$44)^(S$117-1)*MAX(0,MIN(1,S$116*1-Inputs!$C$45+1))/1</f>
        <v>1</v>
      </c>
      <c r="T214" s="113" t="n">
        <f aca="false">Inputs!$C$42*(1+Inputs!$C$44)^(T$117-1)*MAX(0,MIN(1,T$116*1-Inputs!$C$45+1))/1</f>
        <v>1</v>
      </c>
      <c r="U214" s="113" t="n">
        <f aca="false">Inputs!$C$42*(1+Inputs!$C$44)^(U$117-1)*MAX(0,MIN(1,U$116*1-Inputs!$C$45+1))/1</f>
        <v>1</v>
      </c>
      <c r="V214" s="113" t="n">
        <f aca="false">Inputs!$C$42*(1+Inputs!$C$44)^(V$117-1)*MAX(0,MIN(1,V$116*1-Inputs!$C$45+1))/1</f>
        <v>1</v>
      </c>
      <c r="W214" s="113" t="n">
        <f aca="false">Inputs!$C$42*(1+Inputs!$C$44)^(W$117-1)*MAX(0,MIN(1,W$116*1-Inputs!$C$45+1))/1</f>
        <v>1</v>
      </c>
      <c r="X214" s="113" t="n">
        <f aca="false">Inputs!$C$42*(1+Inputs!$C$44)^(X$117-1)*MAX(0,MIN(1,X$116*1-Inputs!$C$45+1))/1</f>
        <v>1</v>
      </c>
      <c r="Y214" s="113" t="n">
        <f aca="false">Inputs!$C$42*(1+Inputs!$C$44)^(Y$117-1)*MAX(0,MIN(1,Y$116*1-Inputs!$C$45+1))/1</f>
        <v>1</v>
      </c>
      <c r="Z214" s="113" t="n">
        <f aca="false">Inputs!$C$42*(1+Inputs!$C$44)^(Z$117-1)*MAX(0,MIN(1,Z$116*1-Inputs!$C$45+1))/1</f>
        <v>1</v>
      </c>
      <c r="AA214" s="113" t="n">
        <f aca="false">Inputs!$C$42*(1+Inputs!$C$44)^(AA$117-1)*MAX(0,MIN(1,AA$116*1-Inputs!$C$45+1))/1</f>
        <v>1</v>
      </c>
      <c r="AB214" s="113" t="n">
        <f aca="false">Inputs!$C$42*(1+Inputs!$C$44)^(AB$117-1)*MAX(0,MIN(1,AB$116*1-Inputs!$C$45+1))/1</f>
        <v>1</v>
      </c>
      <c r="AC214" s="113" t="n">
        <f aca="false">Inputs!$C$42*(1+Inputs!$C$44)^(AC$117-1)*MAX(0,MIN(1,AC$116*1-Inputs!$C$45+1))/1</f>
        <v>1</v>
      </c>
      <c r="AD214" s="113" t="n">
        <f aca="false">Inputs!$C$42*(1+Inputs!$C$44)^(AD$117-1)*MAX(0,MIN(1,AD$116*1-Inputs!$C$45+1))/1</f>
        <v>1</v>
      </c>
      <c r="AE214" s="113" t="n">
        <f aca="false">Inputs!$C$42*(1+Inputs!$C$44)^(AE$117-1)*MAX(0,MIN(1,AE$116*1-Inputs!$C$45+1))/1</f>
        <v>1</v>
      </c>
      <c r="AF214" s="113" t="n">
        <f aca="false">Inputs!$C$42*(1+Inputs!$C$44)^(AF$117-1)*MAX(0,MIN(1,AF$116*1-Inputs!$C$45+1))/1</f>
        <v>1</v>
      </c>
      <c r="AG214" s="113" t="n">
        <f aca="false">Inputs!$C$42*(1+Inputs!$C$44)^(AG$117-1)*MAX(0,MIN(1,AG$116*1-Inputs!$C$45+1))/1</f>
        <v>1</v>
      </c>
      <c r="AH214" s="113" t="n">
        <f aca="false">Inputs!$C$42*(1+Inputs!$C$44)^(AH$117-1)*MAX(0,MIN(1,AH$116*1-Inputs!$C$45+1))/1</f>
        <v>1</v>
      </c>
      <c r="AI214" s="113" t="n">
        <f aca="false">Inputs!$C$42*(1+Inputs!$C$44)^(AI$117-1)*MAX(0,MIN(1,AI$116*1-Inputs!$C$45+1))/1</f>
        <v>1</v>
      </c>
      <c r="AJ214" s="113" t="n">
        <f aca="false">Inputs!$C$42*(1+Inputs!$C$44)^(AJ$117-1)*MAX(0,MIN(1,AJ$116*1-Inputs!$C$45+1))/1</f>
        <v>1</v>
      </c>
      <c r="AK214" s="113" t="n">
        <f aca="false">Inputs!$C$42*(1+Inputs!$C$44)^(AK$117-1)*MAX(0,MIN(1,AK$116*1-Inputs!$C$45+1))/1</f>
        <v>1</v>
      </c>
      <c r="AL214" s="113" t="n">
        <f aca="false">Inputs!$C$42*(1+Inputs!$C$44)^(AL$117-1)*MAX(0,MIN(1,AL$116*1-Inputs!$C$45+1))/1</f>
        <v>1</v>
      </c>
    </row>
    <row r="215" customFormat="false" ht="15" hidden="false" customHeight="false" outlineLevel="0" collapsed="false">
      <c r="A215" s="6" t="s">
        <v>414</v>
      </c>
      <c r="C215" s="113" t="n">
        <f aca="false">Inputs!$C$46*(1+Inputs!$C$48)^(C$117-1)*MAX(0,MIN(1,C$116*1-Inputs!$C$49+1))/1</f>
        <v>3</v>
      </c>
      <c r="D215" s="113" t="n">
        <f aca="false">Inputs!$C$46*(1+Inputs!$C$48)^(D$117-1)*MAX(0,MIN(1,D$116*1-Inputs!$C$49+1))/1</f>
        <v>3</v>
      </c>
      <c r="E215" s="113" t="n">
        <f aca="false">Inputs!$C$46*(1+Inputs!$C$48)^(E$117-1)*MAX(0,MIN(1,E$116*1-Inputs!$C$49+1))/1</f>
        <v>3</v>
      </c>
      <c r="F215" s="113" t="n">
        <f aca="false">Inputs!$C$46*(1+Inputs!$C$48)^(F$117-1)*MAX(0,MIN(1,F$116*1-Inputs!$C$49+1))/1</f>
        <v>3</v>
      </c>
      <c r="G215" s="113" t="n">
        <f aca="false">Inputs!$C$46*(1+Inputs!$C$48)^(G$117-1)*MAX(0,MIN(1,G$116*1-Inputs!$C$49+1))/1</f>
        <v>3</v>
      </c>
      <c r="H215" s="113" t="n">
        <f aca="false">Inputs!$C$46*(1+Inputs!$C$48)^(H$117-1)*MAX(0,MIN(1,H$116*1-Inputs!$C$49+1))/1</f>
        <v>3</v>
      </c>
      <c r="I215" s="113" t="n">
        <f aca="false">Inputs!$C$46*(1+Inputs!$C$48)^(I$117-1)*MAX(0,MIN(1,I$116*1-Inputs!$C$49+1))/1</f>
        <v>3</v>
      </c>
      <c r="J215" s="113" t="n">
        <f aca="false">Inputs!$C$46*(1+Inputs!$C$48)^(J$117-1)*MAX(0,MIN(1,J$116*1-Inputs!$C$49+1))/1</f>
        <v>3</v>
      </c>
      <c r="K215" s="113" t="n">
        <f aca="false">Inputs!$C$46*(1+Inputs!$C$48)^(K$117-1)*MAX(0,MIN(1,K$116*1-Inputs!$C$49+1))/1</f>
        <v>3</v>
      </c>
      <c r="L215" s="113" t="n">
        <f aca="false">Inputs!$C$46*(1+Inputs!$C$48)^(L$117-1)*MAX(0,MIN(1,L$116*1-Inputs!$C$49+1))/1</f>
        <v>3</v>
      </c>
      <c r="M215" s="113" t="n">
        <f aca="false">Inputs!$C$46*(1+Inputs!$C$48)^(M$117-1)*MAX(0,MIN(1,M$116*1-Inputs!$C$49+1))/1</f>
        <v>3</v>
      </c>
      <c r="N215" s="113" t="n">
        <f aca="false">Inputs!$C$46*(1+Inputs!$C$48)^(N$117-1)*MAX(0,MIN(1,N$116*1-Inputs!$C$49+1))/1</f>
        <v>3</v>
      </c>
      <c r="O215" s="113" t="n">
        <f aca="false">Inputs!$C$46*(1+Inputs!$C$48)^(O$117-1)*MAX(0,MIN(1,O$116*1-Inputs!$C$49+1))/1</f>
        <v>3</v>
      </c>
      <c r="P215" s="113" t="n">
        <f aca="false">Inputs!$C$46*(1+Inputs!$C$48)^(P$117-1)*MAX(0,MIN(1,P$116*1-Inputs!$C$49+1))/1</f>
        <v>3</v>
      </c>
      <c r="Q215" s="113" t="n">
        <f aca="false">Inputs!$C$46*(1+Inputs!$C$48)^(Q$117-1)*MAX(0,MIN(1,Q$116*1-Inputs!$C$49+1))/1</f>
        <v>3</v>
      </c>
      <c r="R215" s="113" t="n">
        <f aca="false">Inputs!$C$46*(1+Inputs!$C$48)^(R$117-1)*MAX(0,MIN(1,R$116*1-Inputs!$C$49+1))/1</f>
        <v>3</v>
      </c>
      <c r="S215" s="113" t="n">
        <f aca="false">Inputs!$C$46*(1+Inputs!$C$48)^(S$117-1)*MAX(0,MIN(1,S$116*1-Inputs!$C$49+1))/1</f>
        <v>3</v>
      </c>
      <c r="T215" s="113" t="n">
        <f aca="false">Inputs!$C$46*(1+Inputs!$C$48)^(T$117-1)*MAX(0,MIN(1,T$116*1-Inputs!$C$49+1))/1</f>
        <v>3</v>
      </c>
      <c r="U215" s="113" t="n">
        <f aca="false">Inputs!$C$46*(1+Inputs!$C$48)^(U$117-1)*MAX(0,MIN(1,U$116*1-Inputs!$C$49+1))/1</f>
        <v>3</v>
      </c>
      <c r="V215" s="113" t="n">
        <f aca="false">Inputs!$C$46*(1+Inputs!$C$48)^(V$117-1)*MAX(0,MIN(1,V$116*1-Inputs!$C$49+1))/1</f>
        <v>3</v>
      </c>
      <c r="W215" s="113" t="n">
        <f aca="false">Inputs!$C$46*(1+Inputs!$C$48)^(W$117-1)*MAX(0,MIN(1,W$116*1-Inputs!$C$49+1))/1</f>
        <v>3</v>
      </c>
      <c r="X215" s="113" t="n">
        <f aca="false">Inputs!$C$46*(1+Inputs!$C$48)^(X$117-1)*MAX(0,MIN(1,X$116*1-Inputs!$C$49+1))/1</f>
        <v>3</v>
      </c>
      <c r="Y215" s="113" t="n">
        <f aca="false">Inputs!$C$46*(1+Inputs!$C$48)^(Y$117-1)*MAX(0,MIN(1,Y$116*1-Inputs!$C$49+1))/1</f>
        <v>3</v>
      </c>
      <c r="Z215" s="113" t="n">
        <f aca="false">Inputs!$C$46*(1+Inputs!$C$48)^(Z$117-1)*MAX(0,MIN(1,Z$116*1-Inputs!$C$49+1))/1</f>
        <v>3</v>
      </c>
      <c r="AA215" s="113" t="n">
        <f aca="false">Inputs!$C$46*(1+Inputs!$C$48)^(AA$117-1)*MAX(0,MIN(1,AA$116*1-Inputs!$C$49+1))/1</f>
        <v>3</v>
      </c>
      <c r="AB215" s="113" t="n">
        <f aca="false">Inputs!$C$46*(1+Inputs!$C$48)^(AB$117-1)*MAX(0,MIN(1,AB$116*1-Inputs!$C$49+1))/1</f>
        <v>3</v>
      </c>
      <c r="AC215" s="113" t="n">
        <f aca="false">Inputs!$C$46*(1+Inputs!$C$48)^(AC$117-1)*MAX(0,MIN(1,AC$116*1-Inputs!$C$49+1))/1</f>
        <v>3</v>
      </c>
      <c r="AD215" s="113" t="n">
        <f aca="false">Inputs!$C$46*(1+Inputs!$C$48)^(AD$117-1)*MAX(0,MIN(1,AD$116*1-Inputs!$C$49+1))/1</f>
        <v>3</v>
      </c>
      <c r="AE215" s="113" t="n">
        <f aca="false">Inputs!$C$46*(1+Inputs!$C$48)^(AE$117-1)*MAX(0,MIN(1,AE$116*1-Inputs!$C$49+1))/1</f>
        <v>3</v>
      </c>
      <c r="AF215" s="113" t="n">
        <f aca="false">Inputs!$C$46*(1+Inputs!$C$48)^(AF$117-1)*MAX(0,MIN(1,AF$116*1-Inputs!$C$49+1))/1</f>
        <v>3</v>
      </c>
      <c r="AG215" s="113" t="n">
        <f aca="false">Inputs!$C$46*(1+Inputs!$C$48)^(AG$117-1)*MAX(0,MIN(1,AG$116*1-Inputs!$C$49+1))/1</f>
        <v>3</v>
      </c>
      <c r="AH215" s="113" t="n">
        <f aca="false">Inputs!$C$46*(1+Inputs!$C$48)^(AH$117-1)*MAX(0,MIN(1,AH$116*1-Inputs!$C$49+1))/1</f>
        <v>3</v>
      </c>
      <c r="AI215" s="113" t="n">
        <f aca="false">Inputs!$C$46*(1+Inputs!$C$48)^(AI$117-1)*MAX(0,MIN(1,AI$116*1-Inputs!$C$49+1))/1</f>
        <v>3</v>
      </c>
      <c r="AJ215" s="113" t="n">
        <f aca="false">Inputs!$C$46*(1+Inputs!$C$48)^(AJ$117-1)*MAX(0,MIN(1,AJ$116*1-Inputs!$C$49+1))/1</f>
        <v>3</v>
      </c>
      <c r="AK215" s="113" t="n">
        <f aca="false">Inputs!$C$46*(1+Inputs!$C$48)^(AK$117-1)*MAX(0,MIN(1,AK$116*1-Inputs!$C$49+1))/1</f>
        <v>3</v>
      </c>
      <c r="AL215" s="113" t="n">
        <f aca="false">Inputs!$C$46*(1+Inputs!$C$48)^(AL$117-1)*MAX(0,MIN(1,AL$116*1-Inputs!$C$49+1))/1</f>
        <v>3</v>
      </c>
    </row>
    <row r="216" customFormat="false" ht="15" hidden="false" customHeight="false" outlineLevel="0" collapsed="false">
      <c r="A216" s="110" t="s">
        <v>415</v>
      </c>
      <c r="C216" s="119" t="n">
        <f aca="false">C214+C215</f>
        <v>4</v>
      </c>
      <c r="D216" s="119" t="n">
        <f aca="false">D214+D215</f>
        <v>4</v>
      </c>
      <c r="E216" s="119" t="n">
        <f aca="false">E214+E215</f>
        <v>4</v>
      </c>
      <c r="F216" s="119" t="n">
        <f aca="false">F214+F215</f>
        <v>4</v>
      </c>
      <c r="G216" s="119" t="n">
        <f aca="false">G214+G215</f>
        <v>4</v>
      </c>
      <c r="H216" s="119" t="n">
        <f aca="false">H214+H215</f>
        <v>4</v>
      </c>
      <c r="I216" s="119" t="n">
        <f aca="false">I214+I215</f>
        <v>4</v>
      </c>
      <c r="J216" s="119" t="n">
        <f aca="false">J214+J215</f>
        <v>4</v>
      </c>
      <c r="K216" s="119" t="n">
        <f aca="false">K214+K215</f>
        <v>4</v>
      </c>
      <c r="L216" s="119" t="n">
        <f aca="false">L214+L215</f>
        <v>4</v>
      </c>
      <c r="M216" s="119" t="n">
        <f aca="false">M214+M215</f>
        <v>4</v>
      </c>
      <c r="N216" s="119" t="n">
        <f aca="false">N214+N215</f>
        <v>4</v>
      </c>
      <c r="O216" s="119" t="n">
        <f aca="false">O214+O215</f>
        <v>4</v>
      </c>
      <c r="P216" s="119" t="n">
        <f aca="false">P214+P215</f>
        <v>4</v>
      </c>
      <c r="Q216" s="119" t="n">
        <f aca="false">Q214+Q215</f>
        <v>4</v>
      </c>
      <c r="R216" s="119" t="n">
        <f aca="false">R214+R215</f>
        <v>4</v>
      </c>
      <c r="S216" s="119" t="n">
        <f aca="false">S214+S215</f>
        <v>4</v>
      </c>
      <c r="T216" s="119" t="n">
        <f aca="false">T214+T215</f>
        <v>4</v>
      </c>
      <c r="U216" s="119" t="n">
        <f aca="false">U214+U215</f>
        <v>4</v>
      </c>
      <c r="V216" s="119" t="n">
        <f aca="false">V214+V215</f>
        <v>4</v>
      </c>
      <c r="W216" s="119" t="n">
        <f aca="false">W214+W215</f>
        <v>4</v>
      </c>
      <c r="X216" s="119" t="n">
        <f aca="false">X214+X215</f>
        <v>4</v>
      </c>
      <c r="Y216" s="119" t="n">
        <f aca="false">Y214+Y215</f>
        <v>4</v>
      </c>
      <c r="Z216" s="119" t="n">
        <f aca="false">Z214+Z215</f>
        <v>4</v>
      </c>
      <c r="AA216" s="119" t="n">
        <f aca="false">AA214+AA215</f>
        <v>4</v>
      </c>
      <c r="AB216" s="119" t="n">
        <f aca="false">AB214+AB215</f>
        <v>4</v>
      </c>
      <c r="AC216" s="119" t="n">
        <f aca="false">AC214+AC215</f>
        <v>4</v>
      </c>
      <c r="AD216" s="119" t="n">
        <f aca="false">AD214+AD215</f>
        <v>4</v>
      </c>
      <c r="AE216" s="119" t="n">
        <f aca="false">AE214+AE215</f>
        <v>4</v>
      </c>
      <c r="AF216" s="119" t="n">
        <f aca="false">AF214+AF215</f>
        <v>4</v>
      </c>
      <c r="AG216" s="119" t="n">
        <f aca="false">AG214+AG215</f>
        <v>4</v>
      </c>
      <c r="AH216" s="119" t="n">
        <f aca="false">AH214+AH215</f>
        <v>4</v>
      </c>
      <c r="AI216" s="119" t="n">
        <f aca="false">AI214+AI215</f>
        <v>4</v>
      </c>
      <c r="AJ216" s="119" t="n">
        <f aca="false">AJ214+AJ215</f>
        <v>4</v>
      </c>
      <c r="AK216" s="119" t="n">
        <f aca="false">AK214+AK215</f>
        <v>4</v>
      </c>
      <c r="AL216" s="119" t="n">
        <f aca="false">AL214+AL215</f>
        <v>4</v>
      </c>
    </row>
    <row r="218" customFormat="false" ht="15.75" hidden="false" customHeight="true" outlineLevel="0" collapsed="false">
      <c r="A218" s="7" t="s">
        <v>416</v>
      </c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</row>
    <row r="219" customFormat="false" ht="15" hidden="false" customHeight="false" outlineLevel="0" collapsed="false">
      <c r="A219" s="6" t="s">
        <v>417</v>
      </c>
      <c r="C219" s="66" t="n">
        <f aca="false">-C214*Inputs!$C$43/12*1*(1+Inputs!$C$50)*(1+Inputs!$C$51)^(C$117-1)</f>
        <v>-5041.66666666667</v>
      </c>
      <c r="D219" s="66" t="n">
        <f aca="false">-D214*Inputs!$C$43/12*1*(1+Inputs!$C$50)*(1+Inputs!$C$51)^(D$117-1)</f>
        <v>-5041.66666666667</v>
      </c>
      <c r="E219" s="66" t="n">
        <f aca="false">-E214*Inputs!$C$43/12*1*(1+Inputs!$C$50)*(1+Inputs!$C$51)^(E$117-1)</f>
        <v>-5041.66666666667</v>
      </c>
      <c r="F219" s="66" t="n">
        <f aca="false">-F214*Inputs!$C$43/12*1*(1+Inputs!$C$50)*(1+Inputs!$C$51)^(F$117-1)</f>
        <v>-5041.66666666667</v>
      </c>
      <c r="G219" s="66" t="n">
        <f aca="false">-G214*Inputs!$C$43/12*1*(1+Inputs!$C$50)*(1+Inputs!$C$51)^(G$117-1)</f>
        <v>-5041.66666666667</v>
      </c>
      <c r="H219" s="66" t="n">
        <f aca="false">-H214*Inputs!$C$43/12*1*(1+Inputs!$C$50)*(1+Inputs!$C$51)^(H$117-1)</f>
        <v>-5041.66666666667</v>
      </c>
      <c r="I219" s="66" t="n">
        <f aca="false">-I214*Inputs!$C$43/12*1*(1+Inputs!$C$50)*(1+Inputs!$C$51)^(I$117-1)</f>
        <v>-5041.66666666667</v>
      </c>
      <c r="J219" s="66" t="n">
        <f aca="false">-J214*Inputs!$C$43/12*1*(1+Inputs!$C$50)*(1+Inputs!$C$51)^(J$117-1)</f>
        <v>-5041.66666666667</v>
      </c>
      <c r="K219" s="66" t="n">
        <f aca="false">-K214*Inputs!$C$43/12*1*(1+Inputs!$C$50)*(1+Inputs!$C$51)^(K$117-1)</f>
        <v>-5041.66666666667</v>
      </c>
      <c r="L219" s="66" t="n">
        <f aca="false">-L214*Inputs!$C$43/12*1*(1+Inputs!$C$50)*(1+Inputs!$C$51)^(L$117-1)</f>
        <v>-5041.66666666667</v>
      </c>
      <c r="M219" s="66" t="n">
        <f aca="false">-M214*Inputs!$C$43/12*1*(1+Inputs!$C$50)*(1+Inputs!$C$51)^(M$117-1)</f>
        <v>-5041.66666666667</v>
      </c>
      <c r="N219" s="66" t="n">
        <f aca="false">-N214*Inputs!$C$43/12*1*(1+Inputs!$C$50)*(1+Inputs!$C$51)^(N$117-1)</f>
        <v>-5041.66666666667</v>
      </c>
      <c r="O219" s="66" t="n">
        <f aca="false">-O214*Inputs!$C$43/12*1*(1+Inputs!$C$50)*(1+Inputs!$C$51)^(O$117-1)</f>
        <v>-5192.91666666667</v>
      </c>
      <c r="P219" s="66" t="n">
        <f aca="false">-P214*Inputs!$C$43/12*1*(1+Inputs!$C$50)*(1+Inputs!$C$51)^(P$117-1)</f>
        <v>-5192.91666666667</v>
      </c>
      <c r="Q219" s="66" t="n">
        <f aca="false">-Q214*Inputs!$C$43/12*1*(1+Inputs!$C$50)*(1+Inputs!$C$51)^(Q$117-1)</f>
        <v>-5192.91666666667</v>
      </c>
      <c r="R219" s="66" t="n">
        <f aca="false">-R214*Inputs!$C$43/12*1*(1+Inputs!$C$50)*(1+Inputs!$C$51)^(R$117-1)</f>
        <v>-5192.91666666667</v>
      </c>
      <c r="S219" s="66" t="n">
        <f aca="false">-S214*Inputs!$C$43/12*1*(1+Inputs!$C$50)*(1+Inputs!$C$51)^(S$117-1)</f>
        <v>-5192.91666666667</v>
      </c>
      <c r="T219" s="66" t="n">
        <f aca="false">-T214*Inputs!$C$43/12*1*(1+Inputs!$C$50)*(1+Inputs!$C$51)^(T$117-1)</f>
        <v>-5192.91666666667</v>
      </c>
      <c r="U219" s="66" t="n">
        <f aca="false">-U214*Inputs!$C$43/12*1*(1+Inputs!$C$50)*(1+Inputs!$C$51)^(U$117-1)</f>
        <v>-5192.91666666667</v>
      </c>
      <c r="V219" s="66" t="n">
        <f aca="false">-V214*Inputs!$C$43/12*1*(1+Inputs!$C$50)*(1+Inputs!$C$51)^(V$117-1)</f>
        <v>-5192.91666666667</v>
      </c>
      <c r="W219" s="66" t="n">
        <f aca="false">-W214*Inputs!$C$43/12*1*(1+Inputs!$C$50)*(1+Inputs!$C$51)^(W$117-1)</f>
        <v>-5192.91666666667</v>
      </c>
      <c r="X219" s="66" t="n">
        <f aca="false">-X214*Inputs!$C$43/12*1*(1+Inputs!$C$50)*(1+Inputs!$C$51)^(X$117-1)</f>
        <v>-5192.91666666667</v>
      </c>
      <c r="Y219" s="66" t="n">
        <f aca="false">-Y214*Inputs!$C$43/12*1*(1+Inputs!$C$50)*(1+Inputs!$C$51)^(Y$117-1)</f>
        <v>-5192.91666666667</v>
      </c>
      <c r="Z219" s="66" t="n">
        <f aca="false">-Z214*Inputs!$C$43/12*1*(1+Inputs!$C$50)*(1+Inputs!$C$51)^(Z$117-1)</f>
        <v>-5192.91666666667</v>
      </c>
      <c r="AA219" s="66" t="n">
        <f aca="false">-AA214*Inputs!$C$43/12*1*(1+Inputs!$C$50)*(1+Inputs!$C$51)^(AA$117-1)</f>
        <v>-5348.70416666667</v>
      </c>
      <c r="AB219" s="66" t="n">
        <f aca="false">-AB214*Inputs!$C$43/12*1*(1+Inputs!$C$50)*(1+Inputs!$C$51)^(AB$117-1)</f>
        <v>-5348.70416666667</v>
      </c>
      <c r="AC219" s="66" t="n">
        <f aca="false">-AC214*Inputs!$C$43/12*1*(1+Inputs!$C$50)*(1+Inputs!$C$51)^(AC$117-1)</f>
        <v>-5348.70416666667</v>
      </c>
      <c r="AD219" s="66" t="n">
        <f aca="false">-AD214*Inputs!$C$43/12*1*(1+Inputs!$C$50)*(1+Inputs!$C$51)^(AD$117-1)</f>
        <v>-5348.70416666667</v>
      </c>
      <c r="AE219" s="66" t="n">
        <f aca="false">-AE214*Inputs!$C$43/12*1*(1+Inputs!$C$50)*(1+Inputs!$C$51)^(AE$117-1)</f>
        <v>-5348.70416666667</v>
      </c>
      <c r="AF219" s="66" t="n">
        <f aca="false">-AF214*Inputs!$C$43/12*1*(1+Inputs!$C$50)*(1+Inputs!$C$51)^(AF$117-1)</f>
        <v>-5348.70416666667</v>
      </c>
      <c r="AG219" s="66" t="n">
        <f aca="false">-AG214*Inputs!$C$43/12*1*(1+Inputs!$C$50)*(1+Inputs!$C$51)^(AG$117-1)</f>
        <v>-5348.70416666667</v>
      </c>
      <c r="AH219" s="66" t="n">
        <f aca="false">-AH214*Inputs!$C$43/12*1*(1+Inputs!$C$50)*(1+Inputs!$C$51)^(AH$117-1)</f>
        <v>-5348.70416666667</v>
      </c>
      <c r="AI219" s="66" t="n">
        <f aca="false">-AI214*Inputs!$C$43/12*1*(1+Inputs!$C$50)*(1+Inputs!$C$51)^(AI$117-1)</f>
        <v>-5348.70416666667</v>
      </c>
      <c r="AJ219" s="66" t="n">
        <f aca="false">-AJ214*Inputs!$C$43/12*1*(1+Inputs!$C$50)*(1+Inputs!$C$51)^(AJ$117-1)</f>
        <v>-5348.70416666667</v>
      </c>
      <c r="AK219" s="66" t="n">
        <f aca="false">-AK214*Inputs!$C$43/12*1*(1+Inputs!$C$50)*(1+Inputs!$C$51)^(AK$117-1)</f>
        <v>-5348.70416666667</v>
      </c>
      <c r="AL219" s="66" t="n">
        <f aca="false">-AL214*Inputs!$C$43/12*1*(1+Inputs!$C$50)*(1+Inputs!$C$51)^(AL$117-1)</f>
        <v>-5348.70416666667</v>
      </c>
    </row>
    <row r="220" customFormat="false" ht="15" hidden="false" customHeight="false" outlineLevel="0" collapsed="false">
      <c r="A220" s="6" t="s">
        <v>418</v>
      </c>
      <c r="C220" s="66" t="n">
        <f aca="false">-C215*Inputs!$C$47/12*1*(1+Inputs!$C$50)*(1+Inputs!$C$51)^(C$117-1)</f>
        <v>-8800</v>
      </c>
      <c r="D220" s="66" t="n">
        <f aca="false">-D215*Inputs!$C$47/12*1*(1+Inputs!$C$50)*(1+Inputs!$C$51)^(D$117-1)</f>
        <v>-8800</v>
      </c>
      <c r="E220" s="66" t="n">
        <f aca="false">-E215*Inputs!$C$47/12*1*(1+Inputs!$C$50)*(1+Inputs!$C$51)^(E$117-1)</f>
        <v>-8800</v>
      </c>
      <c r="F220" s="66" t="n">
        <f aca="false">-F215*Inputs!$C$47/12*1*(1+Inputs!$C$50)*(1+Inputs!$C$51)^(F$117-1)</f>
        <v>-8800</v>
      </c>
      <c r="G220" s="66" t="n">
        <f aca="false">-G215*Inputs!$C$47/12*1*(1+Inputs!$C$50)*(1+Inputs!$C$51)^(G$117-1)</f>
        <v>-8800</v>
      </c>
      <c r="H220" s="66" t="n">
        <f aca="false">-H215*Inputs!$C$47/12*1*(1+Inputs!$C$50)*(1+Inputs!$C$51)^(H$117-1)</f>
        <v>-8800</v>
      </c>
      <c r="I220" s="66" t="n">
        <f aca="false">-I215*Inputs!$C$47/12*1*(1+Inputs!$C$50)*(1+Inputs!$C$51)^(I$117-1)</f>
        <v>-8800</v>
      </c>
      <c r="J220" s="66" t="n">
        <f aca="false">-J215*Inputs!$C$47/12*1*(1+Inputs!$C$50)*(1+Inputs!$C$51)^(J$117-1)</f>
        <v>-8800</v>
      </c>
      <c r="K220" s="66" t="n">
        <f aca="false">-K215*Inputs!$C$47/12*1*(1+Inputs!$C$50)*(1+Inputs!$C$51)^(K$117-1)</f>
        <v>-8800</v>
      </c>
      <c r="L220" s="66" t="n">
        <f aca="false">-L215*Inputs!$C$47/12*1*(1+Inputs!$C$50)*(1+Inputs!$C$51)^(L$117-1)</f>
        <v>-8800</v>
      </c>
      <c r="M220" s="66" t="n">
        <f aca="false">-M215*Inputs!$C$47/12*1*(1+Inputs!$C$50)*(1+Inputs!$C$51)^(M$117-1)</f>
        <v>-8800</v>
      </c>
      <c r="N220" s="66" t="n">
        <f aca="false">-N215*Inputs!$C$47/12*1*(1+Inputs!$C$50)*(1+Inputs!$C$51)^(N$117-1)</f>
        <v>-8800</v>
      </c>
      <c r="O220" s="66" t="n">
        <f aca="false">-O215*Inputs!$C$47/12*1*(1+Inputs!$C$50)*(1+Inputs!$C$51)^(O$117-1)</f>
        <v>-9064</v>
      </c>
      <c r="P220" s="66" t="n">
        <f aca="false">-P215*Inputs!$C$47/12*1*(1+Inputs!$C$50)*(1+Inputs!$C$51)^(P$117-1)</f>
        <v>-9064</v>
      </c>
      <c r="Q220" s="66" t="n">
        <f aca="false">-Q215*Inputs!$C$47/12*1*(1+Inputs!$C$50)*(1+Inputs!$C$51)^(Q$117-1)</f>
        <v>-9064</v>
      </c>
      <c r="R220" s="66" t="n">
        <f aca="false">-R215*Inputs!$C$47/12*1*(1+Inputs!$C$50)*(1+Inputs!$C$51)^(R$117-1)</f>
        <v>-9064</v>
      </c>
      <c r="S220" s="66" t="n">
        <f aca="false">-S215*Inputs!$C$47/12*1*(1+Inputs!$C$50)*(1+Inputs!$C$51)^(S$117-1)</f>
        <v>-9064</v>
      </c>
      <c r="T220" s="66" t="n">
        <f aca="false">-T215*Inputs!$C$47/12*1*(1+Inputs!$C$50)*(1+Inputs!$C$51)^(T$117-1)</f>
        <v>-9064</v>
      </c>
      <c r="U220" s="66" t="n">
        <f aca="false">-U215*Inputs!$C$47/12*1*(1+Inputs!$C$50)*(1+Inputs!$C$51)^(U$117-1)</f>
        <v>-9064</v>
      </c>
      <c r="V220" s="66" t="n">
        <f aca="false">-V215*Inputs!$C$47/12*1*(1+Inputs!$C$50)*(1+Inputs!$C$51)^(V$117-1)</f>
        <v>-9064</v>
      </c>
      <c r="W220" s="66" t="n">
        <f aca="false">-W215*Inputs!$C$47/12*1*(1+Inputs!$C$50)*(1+Inputs!$C$51)^(W$117-1)</f>
        <v>-9064</v>
      </c>
      <c r="X220" s="66" t="n">
        <f aca="false">-X215*Inputs!$C$47/12*1*(1+Inputs!$C$50)*(1+Inputs!$C$51)^(X$117-1)</f>
        <v>-9064</v>
      </c>
      <c r="Y220" s="66" t="n">
        <f aca="false">-Y215*Inputs!$C$47/12*1*(1+Inputs!$C$50)*(1+Inputs!$C$51)^(Y$117-1)</f>
        <v>-9064</v>
      </c>
      <c r="Z220" s="66" t="n">
        <f aca="false">-Z215*Inputs!$C$47/12*1*(1+Inputs!$C$50)*(1+Inputs!$C$51)^(Z$117-1)</f>
        <v>-9064</v>
      </c>
      <c r="AA220" s="66" t="n">
        <f aca="false">-AA215*Inputs!$C$47/12*1*(1+Inputs!$C$50)*(1+Inputs!$C$51)^(AA$117-1)</f>
        <v>-9335.92</v>
      </c>
      <c r="AB220" s="66" t="n">
        <f aca="false">-AB215*Inputs!$C$47/12*1*(1+Inputs!$C$50)*(1+Inputs!$C$51)^(AB$117-1)</f>
        <v>-9335.92</v>
      </c>
      <c r="AC220" s="66" t="n">
        <f aca="false">-AC215*Inputs!$C$47/12*1*(1+Inputs!$C$50)*(1+Inputs!$C$51)^(AC$117-1)</f>
        <v>-9335.92</v>
      </c>
      <c r="AD220" s="66" t="n">
        <f aca="false">-AD215*Inputs!$C$47/12*1*(1+Inputs!$C$50)*(1+Inputs!$C$51)^(AD$117-1)</f>
        <v>-9335.92</v>
      </c>
      <c r="AE220" s="66" t="n">
        <f aca="false">-AE215*Inputs!$C$47/12*1*(1+Inputs!$C$50)*(1+Inputs!$C$51)^(AE$117-1)</f>
        <v>-9335.92</v>
      </c>
      <c r="AF220" s="66" t="n">
        <f aca="false">-AF215*Inputs!$C$47/12*1*(1+Inputs!$C$50)*(1+Inputs!$C$51)^(AF$117-1)</f>
        <v>-9335.92</v>
      </c>
      <c r="AG220" s="66" t="n">
        <f aca="false">-AG215*Inputs!$C$47/12*1*(1+Inputs!$C$50)*(1+Inputs!$C$51)^(AG$117-1)</f>
        <v>-9335.92</v>
      </c>
      <c r="AH220" s="66" t="n">
        <f aca="false">-AH215*Inputs!$C$47/12*1*(1+Inputs!$C$50)*(1+Inputs!$C$51)^(AH$117-1)</f>
        <v>-9335.92</v>
      </c>
      <c r="AI220" s="66" t="n">
        <f aca="false">-AI215*Inputs!$C$47/12*1*(1+Inputs!$C$50)*(1+Inputs!$C$51)^(AI$117-1)</f>
        <v>-9335.92</v>
      </c>
      <c r="AJ220" s="66" t="n">
        <f aca="false">-AJ215*Inputs!$C$47/12*1*(1+Inputs!$C$50)*(1+Inputs!$C$51)^(AJ$117-1)</f>
        <v>-9335.92</v>
      </c>
      <c r="AK220" s="66" t="n">
        <f aca="false">-AK215*Inputs!$C$47/12*1*(1+Inputs!$C$50)*(1+Inputs!$C$51)^(AK$117-1)</f>
        <v>-9335.92</v>
      </c>
      <c r="AL220" s="66" t="n">
        <f aca="false">-AL215*Inputs!$C$47/12*1*(1+Inputs!$C$50)*(1+Inputs!$C$51)^(AL$117-1)</f>
        <v>-9335.92</v>
      </c>
    </row>
    <row r="221" customFormat="false" ht="15" hidden="false" customHeight="false" outlineLevel="0" collapsed="false">
      <c r="A221" s="110" t="s">
        <v>419</v>
      </c>
      <c r="C221" s="67" t="n">
        <f aca="false">C219+C220</f>
        <v>-13841.6666666667</v>
      </c>
      <c r="D221" s="67" t="n">
        <f aca="false">D219+D220</f>
        <v>-13841.6666666667</v>
      </c>
      <c r="E221" s="67" t="n">
        <f aca="false">E219+E220</f>
        <v>-13841.6666666667</v>
      </c>
      <c r="F221" s="67" t="n">
        <f aca="false">F219+F220</f>
        <v>-13841.6666666667</v>
      </c>
      <c r="G221" s="67" t="n">
        <f aca="false">G219+G220</f>
        <v>-13841.6666666667</v>
      </c>
      <c r="H221" s="67" t="n">
        <f aca="false">H219+H220</f>
        <v>-13841.6666666667</v>
      </c>
      <c r="I221" s="67" t="n">
        <f aca="false">I219+I220</f>
        <v>-13841.6666666667</v>
      </c>
      <c r="J221" s="67" t="n">
        <f aca="false">J219+J220</f>
        <v>-13841.6666666667</v>
      </c>
      <c r="K221" s="67" t="n">
        <f aca="false">K219+K220</f>
        <v>-13841.6666666667</v>
      </c>
      <c r="L221" s="67" t="n">
        <f aca="false">L219+L220</f>
        <v>-13841.6666666667</v>
      </c>
      <c r="M221" s="67" t="n">
        <f aca="false">M219+M220</f>
        <v>-13841.6666666667</v>
      </c>
      <c r="N221" s="67" t="n">
        <f aca="false">N219+N220</f>
        <v>-13841.6666666667</v>
      </c>
      <c r="O221" s="67" t="n">
        <f aca="false">O219+O220</f>
        <v>-14256.9166666667</v>
      </c>
      <c r="P221" s="67" t="n">
        <f aca="false">P219+P220</f>
        <v>-14256.9166666667</v>
      </c>
      <c r="Q221" s="67" t="n">
        <f aca="false">Q219+Q220</f>
        <v>-14256.9166666667</v>
      </c>
      <c r="R221" s="67" t="n">
        <f aca="false">R219+R220</f>
        <v>-14256.9166666667</v>
      </c>
      <c r="S221" s="67" t="n">
        <f aca="false">S219+S220</f>
        <v>-14256.9166666667</v>
      </c>
      <c r="T221" s="67" t="n">
        <f aca="false">T219+T220</f>
        <v>-14256.9166666667</v>
      </c>
      <c r="U221" s="67" t="n">
        <f aca="false">U219+U220</f>
        <v>-14256.9166666667</v>
      </c>
      <c r="V221" s="67" t="n">
        <f aca="false">V219+V220</f>
        <v>-14256.9166666667</v>
      </c>
      <c r="W221" s="67" t="n">
        <f aca="false">W219+W220</f>
        <v>-14256.9166666667</v>
      </c>
      <c r="X221" s="67" t="n">
        <f aca="false">X219+X220</f>
        <v>-14256.9166666667</v>
      </c>
      <c r="Y221" s="67" t="n">
        <f aca="false">Y219+Y220</f>
        <v>-14256.9166666667</v>
      </c>
      <c r="Z221" s="67" t="n">
        <f aca="false">Z219+Z220</f>
        <v>-14256.9166666667</v>
      </c>
      <c r="AA221" s="67" t="n">
        <f aca="false">AA219+AA220</f>
        <v>-14684.6241666667</v>
      </c>
      <c r="AB221" s="67" t="n">
        <f aca="false">AB219+AB220</f>
        <v>-14684.6241666667</v>
      </c>
      <c r="AC221" s="67" t="n">
        <f aca="false">AC219+AC220</f>
        <v>-14684.6241666667</v>
      </c>
      <c r="AD221" s="67" t="n">
        <f aca="false">AD219+AD220</f>
        <v>-14684.6241666667</v>
      </c>
      <c r="AE221" s="67" t="n">
        <f aca="false">AE219+AE220</f>
        <v>-14684.6241666667</v>
      </c>
      <c r="AF221" s="67" t="n">
        <f aca="false">AF219+AF220</f>
        <v>-14684.6241666667</v>
      </c>
      <c r="AG221" s="67" t="n">
        <f aca="false">AG219+AG220</f>
        <v>-14684.6241666667</v>
      </c>
      <c r="AH221" s="67" t="n">
        <f aca="false">AH219+AH220</f>
        <v>-14684.6241666667</v>
      </c>
      <c r="AI221" s="67" t="n">
        <f aca="false">AI219+AI220</f>
        <v>-14684.6241666667</v>
      </c>
      <c r="AJ221" s="67" t="n">
        <f aca="false">AJ219+AJ220</f>
        <v>-14684.6241666667</v>
      </c>
      <c r="AK221" s="67" t="n">
        <f aca="false">AK219+AK220</f>
        <v>-14684.6241666667</v>
      </c>
      <c r="AL221" s="67" t="n">
        <f aca="false">AL219+AL220</f>
        <v>-14684.6241666667</v>
      </c>
    </row>
    <row r="224" customFormat="false" ht="15.75" hidden="false" customHeight="true" outlineLevel="0" collapsed="false">
      <c r="A224" s="7" t="s">
        <v>424</v>
      </c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</row>
    <row r="225" customFormat="false" ht="15" hidden="false" customHeight="false" outlineLevel="0" collapsed="false">
      <c r="A225" s="33" t="s">
        <v>335</v>
      </c>
      <c r="C225" s="35" t="s">
        <v>336</v>
      </c>
      <c r="D225" s="35" t="s">
        <v>337</v>
      </c>
      <c r="E225" s="35" t="s">
        <v>338</v>
      </c>
      <c r="F225" s="35" t="s">
        <v>339</v>
      </c>
      <c r="G225" s="35" t="s">
        <v>340</v>
      </c>
      <c r="H225" s="35" t="s">
        <v>341</v>
      </c>
      <c r="I225" s="35" t="s">
        <v>342</v>
      </c>
      <c r="J225" s="35" t="s">
        <v>343</v>
      </c>
      <c r="K225" s="35" t="s">
        <v>344</v>
      </c>
      <c r="L225" s="35" t="s">
        <v>345</v>
      </c>
      <c r="M225" s="35" t="s">
        <v>346</v>
      </c>
      <c r="N225" s="35" t="s">
        <v>347</v>
      </c>
      <c r="O225" s="35" t="s">
        <v>348</v>
      </c>
      <c r="P225" s="35" t="s">
        <v>349</v>
      </c>
      <c r="Q225" s="35" t="s">
        <v>350</v>
      </c>
      <c r="R225" s="35" t="s">
        <v>351</v>
      </c>
      <c r="S225" s="35" t="s">
        <v>352</v>
      </c>
      <c r="T225" s="35" t="s">
        <v>353</v>
      </c>
      <c r="U225" s="35" t="s">
        <v>354</v>
      </c>
      <c r="V225" s="35" t="s">
        <v>355</v>
      </c>
      <c r="W225" s="35" t="s">
        <v>356</v>
      </c>
      <c r="X225" s="35" t="s">
        <v>357</v>
      </c>
      <c r="Y225" s="35" t="s">
        <v>358</v>
      </c>
      <c r="Z225" s="35" t="s">
        <v>359</v>
      </c>
      <c r="AA225" s="35" t="s">
        <v>360</v>
      </c>
      <c r="AB225" s="35" t="s">
        <v>361</v>
      </c>
      <c r="AC225" s="35" t="s">
        <v>362</v>
      </c>
      <c r="AD225" s="35" t="s">
        <v>363</v>
      </c>
      <c r="AE225" s="35" t="s">
        <v>364</v>
      </c>
      <c r="AF225" s="35" t="s">
        <v>365</v>
      </c>
      <c r="AG225" s="35" t="s">
        <v>366</v>
      </c>
      <c r="AH225" s="35" t="s">
        <v>367</v>
      </c>
      <c r="AI225" s="35" t="s">
        <v>368</v>
      </c>
      <c r="AJ225" s="35" t="s">
        <v>369</v>
      </c>
      <c r="AK225" s="35" t="s">
        <v>370</v>
      </c>
      <c r="AL225" s="35" t="s">
        <v>371</v>
      </c>
    </row>
    <row r="226" customFormat="false" ht="15" hidden="false" customHeight="false" outlineLevel="0" collapsed="false">
      <c r="A226" s="71" t="s">
        <v>372</v>
      </c>
      <c r="C226" s="71" t="n">
        <v>1</v>
      </c>
      <c r="D226" s="71" t="n">
        <v>2</v>
      </c>
      <c r="E226" s="71" t="n">
        <v>3</v>
      </c>
      <c r="F226" s="71" t="n">
        <v>4</v>
      </c>
      <c r="G226" s="71" t="n">
        <v>5</v>
      </c>
      <c r="H226" s="71" t="n">
        <v>6</v>
      </c>
      <c r="I226" s="71" t="n">
        <v>7</v>
      </c>
      <c r="J226" s="71" t="n">
        <v>8</v>
      </c>
      <c r="K226" s="71" t="n">
        <v>9</v>
      </c>
      <c r="L226" s="71" t="n">
        <v>10</v>
      </c>
      <c r="M226" s="71" t="n">
        <v>11</v>
      </c>
      <c r="N226" s="71" t="n">
        <v>12</v>
      </c>
      <c r="O226" s="71" t="n">
        <v>13</v>
      </c>
      <c r="P226" s="71" t="n">
        <v>14</v>
      </c>
      <c r="Q226" s="71" t="n">
        <v>15</v>
      </c>
      <c r="R226" s="71" t="n">
        <v>16</v>
      </c>
      <c r="S226" s="71" t="n">
        <v>17</v>
      </c>
      <c r="T226" s="71" t="n">
        <v>18</v>
      </c>
      <c r="U226" s="71" t="n">
        <v>19</v>
      </c>
      <c r="V226" s="71" t="n">
        <v>20</v>
      </c>
      <c r="W226" s="71" t="n">
        <v>21</v>
      </c>
      <c r="X226" s="71" t="n">
        <v>22</v>
      </c>
      <c r="Y226" s="71" t="n">
        <v>23</v>
      </c>
      <c r="Z226" s="71" t="n">
        <v>24</v>
      </c>
      <c r="AA226" s="71" t="n">
        <v>25</v>
      </c>
      <c r="AB226" s="71" t="n">
        <v>26</v>
      </c>
      <c r="AC226" s="71" t="n">
        <v>27</v>
      </c>
      <c r="AD226" s="71" t="n">
        <v>28</v>
      </c>
      <c r="AE226" s="71" t="n">
        <v>29</v>
      </c>
      <c r="AF226" s="71" t="n">
        <v>30</v>
      </c>
      <c r="AG226" s="71" t="n">
        <v>31</v>
      </c>
      <c r="AH226" s="71" t="n">
        <v>32</v>
      </c>
      <c r="AI226" s="71" t="n">
        <v>33</v>
      </c>
      <c r="AJ226" s="71" t="n">
        <v>34</v>
      </c>
      <c r="AK226" s="71" t="n">
        <v>35</v>
      </c>
      <c r="AL226" s="71" t="n">
        <v>36</v>
      </c>
    </row>
    <row r="227" customFormat="false" ht="15" hidden="false" customHeight="false" outlineLevel="0" collapsed="false">
      <c r="A227" s="71" t="s">
        <v>153</v>
      </c>
      <c r="C227" s="71" t="n">
        <f aca="false">ROUNDUP(C226*1/12,0)</f>
        <v>1</v>
      </c>
      <c r="D227" s="71" t="n">
        <f aca="false">ROUNDUP(D226*1/12,0)</f>
        <v>1</v>
      </c>
      <c r="E227" s="71" t="n">
        <f aca="false">ROUNDUP(E226*1/12,0)</f>
        <v>1</v>
      </c>
      <c r="F227" s="71" t="n">
        <f aca="false">ROUNDUP(F226*1/12,0)</f>
        <v>1</v>
      </c>
      <c r="G227" s="71" t="n">
        <f aca="false">ROUNDUP(G226*1/12,0)</f>
        <v>1</v>
      </c>
      <c r="H227" s="71" t="n">
        <f aca="false">ROUNDUP(H226*1/12,0)</f>
        <v>1</v>
      </c>
      <c r="I227" s="71" t="n">
        <f aca="false">ROUNDUP(I226*1/12,0)</f>
        <v>1</v>
      </c>
      <c r="J227" s="71" t="n">
        <f aca="false">ROUNDUP(J226*1/12,0)</f>
        <v>1</v>
      </c>
      <c r="K227" s="71" t="n">
        <f aca="false">ROUNDUP(K226*1/12,0)</f>
        <v>1</v>
      </c>
      <c r="L227" s="71" t="n">
        <f aca="false">ROUNDUP(L226*1/12,0)</f>
        <v>1</v>
      </c>
      <c r="M227" s="71" t="n">
        <f aca="false">ROUNDUP(M226*1/12,0)</f>
        <v>1</v>
      </c>
      <c r="N227" s="71" t="n">
        <f aca="false">ROUNDUP(N226*1/12,0)</f>
        <v>1</v>
      </c>
      <c r="O227" s="71" t="n">
        <f aca="false">ROUNDUP(O226*1/12,0)</f>
        <v>2</v>
      </c>
      <c r="P227" s="71" t="n">
        <f aca="false">ROUNDUP(P226*1/12,0)</f>
        <v>2</v>
      </c>
      <c r="Q227" s="71" t="n">
        <f aca="false">ROUNDUP(Q226*1/12,0)</f>
        <v>2</v>
      </c>
      <c r="R227" s="71" t="n">
        <f aca="false">ROUNDUP(R226*1/12,0)</f>
        <v>2</v>
      </c>
      <c r="S227" s="71" t="n">
        <f aca="false">ROUNDUP(S226*1/12,0)</f>
        <v>2</v>
      </c>
      <c r="T227" s="71" t="n">
        <f aca="false">ROUNDUP(T226*1/12,0)</f>
        <v>2</v>
      </c>
      <c r="U227" s="71" t="n">
        <f aca="false">ROUNDUP(U226*1/12,0)</f>
        <v>2</v>
      </c>
      <c r="V227" s="71" t="n">
        <f aca="false">ROUNDUP(V226*1/12,0)</f>
        <v>2</v>
      </c>
      <c r="W227" s="71" t="n">
        <f aca="false">ROUNDUP(W226*1/12,0)</f>
        <v>2</v>
      </c>
      <c r="X227" s="71" t="n">
        <f aca="false">ROUNDUP(X226*1/12,0)</f>
        <v>2</v>
      </c>
      <c r="Y227" s="71" t="n">
        <f aca="false">ROUNDUP(Y226*1/12,0)</f>
        <v>2</v>
      </c>
      <c r="Z227" s="71" t="n">
        <f aca="false">ROUNDUP(Z226*1/12,0)</f>
        <v>2</v>
      </c>
      <c r="AA227" s="71" t="n">
        <f aca="false">ROUNDUP(AA226*1/12,0)</f>
        <v>3</v>
      </c>
      <c r="AB227" s="71" t="n">
        <f aca="false">ROUNDUP(AB226*1/12,0)</f>
        <v>3</v>
      </c>
      <c r="AC227" s="71" t="n">
        <f aca="false">ROUNDUP(AC226*1/12,0)</f>
        <v>3</v>
      </c>
      <c r="AD227" s="71" t="n">
        <f aca="false">ROUNDUP(AD226*1/12,0)</f>
        <v>3</v>
      </c>
      <c r="AE227" s="71" t="n">
        <f aca="false">ROUNDUP(AE226*1/12,0)</f>
        <v>3</v>
      </c>
      <c r="AF227" s="71" t="n">
        <f aca="false">ROUNDUP(AF226*1/12,0)</f>
        <v>3</v>
      </c>
      <c r="AG227" s="71" t="n">
        <f aca="false">ROUNDUP(AG226*1/12,0)</f>
        <v>3</v>
      </c>
      <c r="AH227" s="71" t="n">
        <f aca="false">ROUNDUP(AH226*1/12,0)</f>
        <v>3</v>
      </c>
      <c r="AI227" s="71" t="n">
        <f aca="false">ROUNDUP(AI226*1/12,0)</f>
        <v>3</v>
      </c>
      <c r="AJ227" s="71" t="n">
        <f aca="false">ROUNDUP(AJ226*1/12,0)</f>
        <v>3</v>
      </c>
      <c r="AK227" s="71" t="n">
        <f aca="false">ROUNDUP(AK226*1/12,0)</f>
        <v>3</v>
      </c>
      <c r="AL227" s="71" t="n">
        <f aca="false">ROUNDUP(AL226*1/12,0)</f>
        <v>3</v>
      </c>
    </row>
    <row r="229" customFormat="false" ht="15.75" hidden="false" customHeight="true" outlineLevel="0" collapsed="false">
      <c r="A229" s="7" t="s">
        <v>248</v>
      </c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</row>
    <row r="230" customFormat="false" ht="15" hidden="false" customHeight="false" outlineLevel="0" collapsed="false">
      <c r="A230" s="6" t="s">
        <v>239</v>
      </c>
      <c r="C230" s="113" t="n">
        <f aca="false">-C257/MAX(1,Inputs!$D$13)*Inputs!$D$14</f>
        <v>23.6363636363636</v>
      </c>
      <c r="D230" s="113" t="n">
        <f aca="false">-D257/MAX(1,Inputs!$D$13)*Inputs!$D$14</f>
        <v>23.6363636363636</v>
      </c>
      <c r="E230" s="113" t="n">
        <f aca="false">-E257/MAX(1,Inputs!$D$13)*Inputs!$D$14</f>
        <v>23.6363636363636</v>
      </c>
      <c r="F230" s="113" t="n">
        <f aca="false">-F257/MAX(1,Inputs!$D$13)*Inputs!$D$14</f>
        <v>23.6363636363636</v>
      </c>
      <c r="G230" s="113" t="n">
        <f aca="false">-G257/MAX(1,Inputs!$D$13)*Inputs!$D$14</f>
        <v>23.6363636363636</v>
      </c>
      <c r="H230" s="113" t="n">
        <f aca="false">-H257/MAX(1,Inputs!$D$13)*Inputs!$D$14</f>
        <v>23.6363636363636</v>
      </c>
      <c r="I230" s="113" t="n">
        <f aca="false">-I257/MAX(1,Inputs!$D$13)*Inputs!$D$14</f>
        <v>23.6363636363636</v>
      </c>
      <c r="J230" s="113" t="n">
        <f aca="false">-J257/MAX(1,Inputs!$D$13)*Inputs!$D$14</f>
        <v>23.6363636363636</v>
      </c>
      <c r="K230" s="113" t="n">
        <f aca="false">-K257/MAX(1,Inputs!$D$13)*Inputs!$D$14</f>
        <v>23.6363636363636</v>
      </c>
      <c r="L230" s="113" t="n">
        <f aca="false">-L257/MAX(1,Inputs!$D$13)*Inputs!$D$14</f>
        <v>23.6363636363636</v>
      </c>
      <c r="M230" s="113" t="n">
        <f aca="false">-M257/MAX(1,Inputs!$D$13)*Inputs!$D$14</f>
        <v>23.6363636363636</v>
      </c>
      <c r="N230" s="113" t="n">
        <f aca="false">-N257/MAX(1,Inputs!$D$13)*Inputs!$D$14</f>
        <v>23.6363636363636</v>
      </c>
      <c r="O230" s="113" t="n">
        <f aca="false">-O257/MAX(1,Inputs!$D$13)*Inputs!$D$14</f>
        <v>26</v>
      </c>
      <c r="P230" s="113" t="n">
        <f aca="false">-P257/MAX(1,Inputs!$D$13)*Inputs!$D$14</f>
        <v>26</v>
      </c>
      <c r="Q230" s="113" t="n">
        <f aca="false">-Q257/MAX(1,Inputs!$D$13)*Inputs!$D$14</f>
        <v>26</v>
      </c>
      <c r="R230" s="113" t="n">
        <f aca="false">-R257/MAX(1,Inputs!$D$13)*Inputs!$D$14</f>
        <v>26</v>
      </c>
      <c r="S230" s="113" t="n">
        <f aca="false">-S257/MAX(1,Inputs!$D$13)*Inputs!$D$14</f>
        <v>26</v>
      </c>
      <c r="T230" s="113" t="n">
        <f aca="false">-T257/MAX(1,Inputs!$D$13)*Inputs!$D$14</f>
        <v>26</v>
      </c>
      <c r="U230" s="113" t="n">
        <f aca="false">-U257/MAX(1,Inputs!$D$13)*Inputs!$D$14</f>
        <v>26</v>
      </c>
      <c r="V230" s="113" t="n">
        <f aca="false">-V257/MAX(1,Inputs!$D$13)*Inputs!$D$14</f>
        <v>26</v>
      </c>
      <c r="W230" s="113" t="n">
        <f aca="false">-W257/MAX(1,Inputs!$D$13)*Inputs!$D$14</f>
        <v>26</v>
      </c>
      <c r="X230" s="113" t="n">
        <f aca="false">-X257/MAX(1,Inputs!$D$13)*Inputs!$D$14</f>
        <v>26</v>
      </c>
      <c r="Y230" s="113" t="n">
        <f aca="false">-Y257/MAX(1,Inputs!$D$13)*Inputs!$D$14</f>
        <v>26</v>
      </c>
      <c r="Z230" s="113" t="n">
        <f aca="false">-Z257/MAX(1,Inputs!$D$13)*Inputs!$D$14</f>
        <v>26</v>
      </c>
      <c r="AA230" s="113" t="n">
        <f aca="false">-AA257/MAX(1,Inputs!$D$13)*Inputs!$D$14</f>
        <v>28.6</v>
      </c>
      <c r="AB230" s="113" t="n">
        <f aca="false">-AB257/MAX(1,Inputs!$D$13)*Inputs!$D$14</f>
        <v>28.6</v>
      </c>
      <c r="AC230" s="113" t="n">
        <f aca="false">-AC257/MAX(1,Inputs!$D$13)*Inputs!$D$14</f>
        <v>28.6</v>
      </c>
      <c r="AD230" s="113" t="n">
        <f aca="false">-AD257/MAX(1,Inputs!$D$13)*Inputs!$D$14</f>
        <v>28.6</v>
      </c>
      <c r="AE230" s="113" t="n">
        <f aca="false">-AE257/MAX(1,Inputs!$D$13)*Inputs!$D$14</f>
        <v>28.6</v>
      </c>
      <c r="AF230" s="113" t="n">
        <f aca="false">-AF257/MAX(1,Inputs!$D$13)*Inputs!$D$14</f>
        <v>28.6</v>
      </c>
      <c r="AG230" s="113" t="n">
        <f aca="false">-AG257/MAX(1,Inputs!$D$13)*Inputs!$D$14</f>
        <v>28.6</v>
      </c>
      <c r="AH230" s="113" t="n">
        <f aca="false">-AH257/MAX(1,Inputs!$D$13)*Inputs!$D$14</f>
        <v>28.6</v>
      </c>
      <c r="AI230" s="113" t="n">
        <f aca="false">-AI257/MAX(1,Inputs!$D$13)*Inputs!$D$14</f>
        <v>28.6</v>
      </c>
      <c r="AJ230" s="113" t="n">
        <f aca="false">-AJ257/MAX(1,Inputs!$D$13)*Inputs!$D$14</f>
        <v>28.6</v>
      </c>
      <c r="AK230" s="113" t="n">
        <f aca="false">-AK257/MAX(1,Inputs!$D$13)*Inputs!$D$14</f>
        <v>28.6</v>
      </c>
      <c r="AL230" s="113" t="n">
        <f aca="false">-AL257/MAX(1,Inputs!$D$13)*Inputs!$D$14</f>
        <v>28.6</v>
      </c>
    </row>
    <row r="231" customFormat="false" ht="15" hidden="false" customHeight="false" outlineLevel="0" collapsed="false">
      <c r="A231" s="6" t="s">
        <v>373</v>
      </c>
      <c r="C231" s="113" t="n">
        <f aca="false">Inputs!$D$9*(1+Inputs!$D$10)^(C$227-1)*1</f>
        <v>18</v>
      </c>
      <c r="D231" s="113" t="n">
        <f aca="false">Inputs!$D$9*(1+Inputs!$D$10)^(D$227-1)*1</f>
        <v>18</v>
      </c>
      <c r="E231" s="113" t="n">
        <f aca="false">Inputs!$D$9*(1+Inputs!$D$10)^(E$227-1)*1</f>
        <v>18</v>
      </c>
      <c r="F231" s="113" t="n">
        <f aca="false">Inputs!$D$9*(1+Inputs!$D$10)^(F$227-1)*1</f>
        <v>18</v>
      </c>
      <c r="G231" s="113" t="n">
        <f aca="false">Inputs!$D$9*(1+Inputs!$D$10)^(G$227-1)*1</f>
        <v>18</v>
      </c>
      <c r="H231" s="113" t="n">
        <f aca="false">Inputs!$D$9*(1+Inputs!$D$10)^(H$227-1)*1</f>
        <v>18</v>
      </c>
      <c r="I231" s="113" t="n">
        <f aca="false">Inputs!$D$9*(1+Inputs!$D$10)^(I$227-1)*1</f>
        <v>18</v>
      </c>
      <c r="J231" s="113" t="n">
        <f aca="false">Inputs!$D$9*(1+Inputs!$D$10)^(J$227-1)*1</f>
        <v>18</v>
      </c>
      <c r="K231" s="113" t="n">
        <f aca="false">Inputs!$D$9*(1+Inputs!$D$10)^(K$227-1)*1</f>
        <v>18</v>
      </c>
      <c r="L231" s="113" t="n">
        <f aca="false">Inputs!$D$9*(1+Inputs!$D$10)^(L$227-1)*1</f>
        <v>18</v>
      </c>
      <c r="M231" s="113" t="n">
        <f aca="false">Inputs!$D$9*(1+Inputs!$D$10)^(M$227-1)*1</f>
        <v>18</v>
      </c>
      <c r="N231" s="113" t="n">
        <f aca="false">Inputs!$D$9*(1+Inputs!$D$10)^(N$227-1)*1</f>
        <v>18</v>
      </c>
      <c r="O231" s="113" t="n">
        <f aca="false">Inputs!$D$9*(1+Inputs!$D$10)^(O$227-1)*1</f>
        <v>20.7</v>
      </c>
      <c r="P231" s="113" t="n">
        <f aca="false">Inputs!$D$9*(1+Inputs!$D$10)^(P$227-1)*1</f>
        <v>20.7</v>
      </c>
      <c r="Q231" s="113" t="n">
        <f aca="false">Inputs!$D$9*(1+Inputs!$D$10)^(Q$227-1)*1</f>
        <v>20.7</v>
      </c>
      <c r="R231" s="113" t="n">
        <f aca="false">Inputs!$D$9*(1+Inputs!$D$10)^(R$227-1)*1</f>
        <v>20.7</v>
      </c>
      <c r="S231" s="113" t="n">
        <f aca="false">Inputs!$D$9*(1+Inputs!$D$10)^(S$227-1)*1</f>
        <v>20.7</v>
      </c>
      <c r="T231" s="113" t="n">
        <f aca="false">Inputs!$D$9*(1+Inputs!$D$10)^(T$227-1)*1</f>
        <v>20.7</v>
      </c>
      <c r="U231" s="113" t="n">
        <f aca="false">Inputs!$D$9*(1+Inputs!$D$10)^(U$227-1)*1</f>
        <v>20.7</v>
      </c>
      <c r="V231" s="113" t="n">
        <f aca="false">Inputs!$D$9*(1+Inputs!$D$10)^(V$227-1)*1</f>
        <v>20.7</v>
      </c>
      <c r="W231" s="113" t="n">
        <f aca="false">Inputs!$D$9*(1+Inputs!$D$10)^(W$227-1)*1</f>
        <v>20.7</v>
      </c>
      <c r="X231" s="113" t="n">
        <f aca="false">Inputs!$D$9*(1+Inputs!$D$10)^(X$227-1)*1</f>
        <v>20.7</v>
      </c>
      <c r="Y231" s="113" t="n">
        <f aca="false">Inputs!$D$9*(1+Inputs!$D$10)^(Y$227-1)*1</f>
        <v>20.7</v>
      </c>
      <c r="Z231" s="113" t="n">
        <f aca="false">Inputs!$D$9*(1+Inputs!$D$10)^(Z$227-1)*1</f>
        <v>20.7</v>
      </c>
      <c r="AA231" s="113" t="n">
        <f aca="false">Inputs!$D$9*(1+Inputs!$D$10)^(AA$227-1)*1</f>
        <v>23.805</v>
      </c>
      <c r="AB231" s="113" t="n">
        <f aca="false">Inputs!$D$9*(1+Inputs!$D$10)^(AB$227-1)*1</f>
        <v>23.805</v>
      </c>
      <c r="AC231" s="113" t="n">
        <f aca="false">Inputs!$D$9*(1+Inputs!$D$10)^(AC$227-1)*1</f>
        <v>23.805</v>
      </c>
      <c r="AD231" s="113" t="n">
        <f aca="false">Inputs!$D$9*(1+Inputs!$D$10)^(AD$227-1)*1</f>
        <v>23.805</v>
      </c>
      <c r="AE231" s="113" t="n">
        <f aca="false">Inputs!$D$9*(1+Inputs!$D$10)^(AE$227-1)*1</f>
        <v>23.805</v>
      </c>
      <c r="AF231" s="113" t="n">
        <f aca="false">Inputs!$D$9*(1+Inputs!$D$10)^(AF$227-1)*1</f>
        <v>23.805</v>
      </c>
      <c r="AG231" s="113" t="n">
        <f aca="false">Inputs!$D$9*(1+Inputs!$D$10)^(AG$227-1)*1</f>
        <v>23.805</v>
      </c>
      <c r="AH231" s="113" t="n">
        <f aca="false">Inputs!$D$9*(1+Inputs!$D$10)^(AH$227-1)*1</f>
        <v>23.805</v>
      </c>
      <c r="AI231" s="113" t="n">
        <f aca="false">Inputs!$D$9*(1+Inputs!$D$10)^(AI$227-1)*1</f>
        <v>23.805</v>
      </c>
      <c r="AJ231" s="113" t="n">
        <f aca="false">Inputs!$D$9*(1+Inputs!$D$10)^(AJ$227-1)*1</f>
        <v>23.805</v>
      </c>
      <c r="AK231" s="113" t="n">
        <f aca="false">Inputs!$D$9*(1+Inputs!$D$10)^(AK$227-1)*1</f>
        <v>23.805</v>
      </c>
      <c r="AL231" s="113" t="n">
        <f aca="false">Inputs!$D$9*(1+Inputs!$D$10)^(AL$227-1)*1</f>
        <v>23.805</v>
      </c>
    </row>
    <row r="232" customFormat="false" ht="15" hidden="false" customHeight="false" outlineLevel="0" collapsed="false">
      <c r="A232" s="4" t="s">
        <v>374</v>
      </c>
      <c r="C232" s="114" t="n">
        <f aca="false">C230+C231</f>
        <v>41.6363636363636</v>
      </c>
      <c r="D232" s="114" t="n">
        <f aca="false">D230+D231</f>
        <v>41.6363636363636</v>
      </c>
      <c r="E232" s="114" t="n">
        <f aca="false">E230+E231</f>
        <v>41.6363636363636</v>
      </c>
      <c r="F232" s="114" t="n">
        <f aca="false">F230+F231</f>
        <v>41.6363636363636</v>
      </c>
      <c r="G232" s="114" t="n">
        <f aca="false">G230+G231</f>
        <v>41.6363636363636</v>
      </c>
      <c r="H232" s="114" t="n">
        <f aca="false">H230+H231</f>
        <v>41.6363636363636</v>
      </c>
      <c r="I232" s="114" t="n">
        <f aca="false">I230+I231</f>
        <v>41.6363636363636</v>
      </c>
      <c r="J232" s="114" t="n">
        <f aca="false">J230+J231</f>
        <v>41.6363636363636</v>
      </c>
      <c r="K232" s="114" t="n">
        <f aca="false">K230+K231</f>
        <v>41.6363636363636</v>
      </c>
      <c r="L232" s="114" t="n">
        <f aca="false">L230+L231</f>
        <v>41.6363636363636</v>
      </c>
      <c r="M232" s="114" t="n">
        <f aca="false">M230+M231</f>
        <v>41.6363636363636</v>
      </c>
      <c r="N232" s="114" t="n">
        <f aca="false">N230+N231</f>
        <v>41.6363636363636</v>
      </c>
      <c r="O232" s="114" t="n">
        <f aca="false">O230+O231</f>
        <v>46.7</v>
      </c>
      <c r="P232" s="114" t="n">
        <f aca="false">P230+P231</f>
        <v>46.7</v>
      </c>
      <c r="Q232" s="114" t="n">
        <f aca="false">Q230+Q231</f>
        <v>46.7</v>
      </c>
      <c r="R232" s="114" t="n">
        <f aca="false">R230+R231</f>
        <v>46.7</v>
      </c>
      <c r="S232" s="114" t="n">
        <f aca="false">S230+S231</f>
        <v>46.7</v>
      </c>
      <c r="T232" s="114" t="n">
        <f aca="false">T230+T231</f>
        <v>46.7</v>
      </c>
      <c r="U232" s="114" t="n">
        <f aca="false">U230+U231</f>
        <v>46.7</v>
      </c>
      <c r="V232" s="114" t="n">
        <f aca="false">V230+V231</f>
        <v>46.7</v>
      </c>
      <c r="W232" s="114" t="n">
        <f aca="false">W230+W231</f>
        <v>46.7</v>
      </c>
      <c r="X232" s="114" t="n">
        <f aca="false">X230+X231</f>
        <v>46.7</v>
      </c>
      <c r="Y232" s="114" t="n">
        <f aca="false">Y230+Y231</f>
        <v>46.7</v>
      </c>
      <c r="Z232" s="114" t="n">
        <f aca="false">Z230+Z231</f>
        <v>46.7</v>
      </c>
      <c r="AA232" s="114" t="n">
        <f aca="false">AA230+AA231</f>
        <v>52.405</v>
      </c>
      <c r="AB232" s="114" t="n">
        <f aca="false">AB230+AB231</f>
        <v>52.405</v>
      </c>
      <c r="AC232" s="114" t="n">
        <f aca="false">AC230+AC231</f>
        <v>52.405</v>
      </c>
      <c r="AD232" s="114" t="n">
        <f aca="false">AD230+AD231</f>
        <v>52.405</v>
      </c>
      <c r="AE232" s="114" t="n">
        <f aca="false">AE230+AE231</f>
        <v>52.405</v>
      </c>
      <c r="AF232" s="114" t="n">
        <f aca="false">AF230+AF231</f>
        <v>52.405</v>
      </c>
      <c r="AG232" s="114" t="n">
        <f aca="false">AG230+AG231</f>
        <v>52.405</v>
      </c>
      <c r="AH232" s="114" t="n">
        <f aca="false">AH230+AH231</f>
        <v>52.405</v>
      </c>
      <c r="AI232" s="114" t="n">
        <f aca="false">AI230+AI231</f>
        <v>52.405</v>
      </c>
      <c r="AJ232" s="114" t="n">
        <f aca="false">AJ230+AJ231</f>
        <v>52.405</v>
      </c>
      <c r="AK232" s="114" t="n">
        <f aca="false">AK230+AK231</f>
        <v>52.405</v>
      </c>
      <c r="AL232" s="114" t="n">
        <f aca="false">AL230+AL231</f>
        <v>52.405</v>
      </c>
    </row>
    <row r="233" customFormat="false" ht="15" hidden="false" customHeight="false" outlineLevel="0" collapsed="false">
      <c r="A233" s="6" t="s">
        <v>375</v>
      </c>
      <c r="C233" s="115" t="n">
        <f aca="false">Inputs!$D$7</f>
        <v>160</v>
      </c>
      <c r="D233" s="113" t="n">
        <f aca="false">C236</f>
        <v>193.636363636364</v>
      </c>
      <c r="E233" s="113" t="n">
        <f aca="false">D236</f>
        <v>225.590909090909</v>
      </c>
      <c r="F233" s="113" t="n">
        <f aca="false">E236</f>
        <v>255.947727272727</v>
      </c>
      <c r="G233" s="113" t="n">
        <f aca="false">F236</f>
        <v>284.786704545455</v>
      </c>
      <c r="H233" s="113" t="n">
        <f aca="false">G236</f>
        <v>312.183732954545</v>
      </c>
      <c r="I233" s="113" t="n">
        <f aca="false">H236</f>
        <v>338.210909943182</v>
      </c>
      <c r="J233" s="113" t="n">
        <f aca="false">I236</f>
        <v>362.936728082386</v>
      </c>
      <c r="K233" s="113" t="n">
        <f aca="false">J236</f>
        <v>386.426255314631</v>
      </c>
      <c r="L233" s="113" t="n">
        <f aca="false">K236</f>
        <v>408.741306185263</v>
      </c>
      <c r="M233" s="113" t="n">
        <f aca="false">L236</f>
        <v>429.940604512363</v>
      </c>
      <c r="N233" s="113" t="n">
        <f aca="false">M236</f>
        <v>450</v>
      </c>
      <c r="O233" s="113" t="n">
        <f aca="false">N236</f>
        <v>450</v>
      </c>
      <c r="P233" s="113" t="n">
        <f aca="false">O236</f>
        <v>450</v>
      </c>
      <c r="Q233" s="113" t="n">
        <f aca="false">P236</f>
        <v>450</v>
      </c>
      <c r="R233" s="113" t="n">
        <f aca="false">Q236</f>
        <v>450</v>
      </c>
      <c r="S233" s="113" t="n">
        <f aca="false">R236</f>
        <v>450</v>
      </c>
      <c r="T233" s="113" t="n">
        <f aca="false">S236</f>
        <v>450</v>
      </c>
      <c r="U233" s="113" t="n">
        <f aca="false">T236</f>
        <v>450</v>
      </c>
      <c r="V233" s="113" t="n">
        <f aca="false">U236</f>
        <v>450</v>
      </c>
      <c r="W233" s="113" t="n">
        <f aca="false">V236</f>
        <v>450</v>
      </c>
      <c r="X233" s="113" t="n">
        <f aca="false">W236</f>
        <v>450</v>
      </c>
      <c r="Y233" s="113" t="n">
        <f aca="false">X236</f>
        <v>450</v>
      </c>
      <c r="Z233" s="113" t="n">
        <f aca="false">Y236</f>
        <v>450</v>
      </c>
      <c r="AA233" s="113" t="n">
        <f aca="false">Z236</f>
        <v>450</v>
      </c>
      <c r="AB233" s="113" t="n">
        <f aca="false">AA236</f>
        <v>450</v>
      </c>
      <c r="AC233" s="113" t="n">
        <f aca="false">AB236</f>
        <v>450</v>
      </c>
      <c r="AD233" s="113" t="n">
        <f aca="false">AC236</f>
        <v>450</v>
      </c>
      <c r="AE233" s="113" t="n">
        <f aca="false">AD236</f>
        <v>450</v>
      </c>
      <c r="AF233" s="113" t="n">
        <f aca="false">AE236</f>
        <v>450</v>
      </c>
      <c r="AG233" s="113" t="n">
        <f aca="false">AF236</f>
        <v>450</v>
      </c>
      <c r="AH233" s="113" t="n">
        <f aca="false">AG236</f>
        <v>450</v>
      </c>
      <c r="AI233" s="113" t="n">
        <f aca="false">AH236</f>
        <v>450</v>
      </c>
      <c r="AJ233" s="113" t="n">
        <f aca="false">AI236</f>
        <v>450</v>
      </c>
      <c r="AK233" s="113" t="n">
        <f aca="false">AJ236</f>
        <v>450</v>
      </c>
      <c r="AL233" s="113" t="n">
        <f aca="false">AK236</f>
        <v>450</v>
      </c>
    </row>
    <row r="234" customFormat="false" ht="15" hidden="false" customHeight="false" outlineLevel="0" collapsed="false">
      <c r="A234" s="6" t="s">
        <v>376</v>
      </c>
      <c r="C234" s="113" t="n">
        <f aca="false">-C233*Inputs!$D$15</f>
        <v>-8</v>
      </c>
      <c r="D234" s="113" t="n">
        <f aca="false">-D233*Inputs!$D$15</f>
        <v>-9.68181818181818</v>
      </c>
      <c r="E234" s="113" t="n">
        <f aca="false">-E233*Inputs!$D$15</f>
        <v>-11.2795454545455</v>
      </c>
      <c r="F234" s="113" t="n">
        <f aca="false">-F233*Inputs!$D$15</f>
        <v>-12.7973863636364</v>
      </c>
      <c r="G234" s="113" t="n">
        <f aca="false">-G233*Inputs!$D$15</f>
        <v>-14.2393352272727</v>
      </c>
      <c r="H234" s="113" t="n">
        <f aca="false">-H233*Inputs!$D$15</f>
        <v>-15.6091866477273</v>
      </c>
      <c r="I234" s="113" t="n">
        <f aca="false">-I233*Inputs!$D$15</f>
        <v>-16.9105454971591</v>
      </c>
      <c r="J234" s="113" t="n">
        <f aca="false">-J233*Inputs!$D$15</f>
        <v>-18.1468364041193</v>
      </c>
      <c r="K234" s="113" t="n">
        <f aca="false">-K233*Inputs!$D$15</f>
        <v>-19.3213127657315</v>
      </c>
      <c r="L234" s="113" t="n">
        <f aca="false">-L233*Inputs!$D$15</f>
        <v>-20.4370653092631</v>
      </c>
      <c r="M234" s="113" t="n">
        <f aca="false">-M233*Inputs!$D$15</f>
        <v>-21.4970302256182</v>
      </c>
      <c r="N234" s="113" t="n">
        <f aca="false">-N233*Inputs!$D$15</f>
        <v>-22.5</v>
      </c>
      <c r="O234" s="113" t="n">
        <f aca="false">-O233*Inputs!$D$15</f>
        <v>-22.5</v>
      </c>
      <c r="P234" s="113" t="n">
        <f aca="false">-P233*Inputs!$D$15</f>
        <v>-22.5</v>
      </c>
      <c r="Q234" s="113" t="n">
        <f aca="false">-Q233*Inputs!$D$15</f>
        <v>-22.5</v>
      </c>
      <c r="R234" s="113" t="n">
        <f aca="false">-R233*Inputs!$D$15</f>
        <v>-22.5</v>
      </c>
      <c r="S234" s="113" t="n">
        <f aca="false">-S233*Inputs!$D$15</f>
        <v>-22.5</v>
      </c>
      <c r="T234" s="113" t="n">
        <f aca="false">-T233*Inputs!$D$15</f>
        <v>-22.5</v>
      </c>
      <c r="U234" s="113" t="n">
        <f aca="false">-U233*Inputs!$D$15</f>
        <v>-22.5</v>
      </c>
      <c r="V234" s="113" t="n">
        <f aca="false">-V233*Inputs!$D$15</f>
        <v>-22.5</v>
      </c>
      <c r="W234" s="113" t="n">
        <f aca="false">-W233*Inputs!$D$15</f>
        <v>-22.5</v>
      </c>
      <c r="X234" s="113" t="n">
        <f aca="false">-X233*Inputs!$D$15</f>
        <v>-22.5</v>
      </c>
      <c r="Y234" s="113" t="n">
        <f aca="false">-Y233*Inputs!$D$15</f>
        <v>-22.5</v>
      </c>
      <c r="Z234" s="113" t="n">
        <f aca="false">-Z233*Inputs!$D$15</f>
        <v>-22.5</v>
      </c>
      <c r="AA234" s="113" t="n">
        <f aca="false">-AA233*Inputs!$D$15</f>
        <v>-22.5</v>
      </c>
      <c r="AB234" s="113" t="n">
        <f aca="false">-AB233*Inputs!$D$15</f>
        <v>-22.5</v>
      </c>
      <c r="AC234" s="113" t="n">
        <f aca="false">-AC233*Inputs!$D$15</f>
        <v>-22.5</v>
      </c>
      <c r="AD234" s="113" t="n">
        <f aca="false">-AD233*Inputs!$D$15</f>
        <v>-22.5</v>
      </c>
      <c r="AE234" s="113" t="n">
        <f aca="false">-AE233*Inputs!$D$15</f>
        <v>-22.5</v>
      </c>
      <c r="AF234" s="113" t="n">
        <f aca="false">-AF233*Inputs!$D$15</f>
        <v>-22.5</v>
      </c>
      <c r="AG234" s="113" t="n">
        <f aca="false">-AG233*Inputs!$D$15</f>
        <v>-22.5</v>
      </c>
      <c r="AH234" s="113" t="n">
        <f aca="false">-AH233*Inputs!$D$15</f>
        <v>-22.5</v>
      </c>
      <c r="AI234" s="113" t="n">
        <f aca="false">-AI233*Inputs!$D$15</f>
        <v>-22.5</v>
      </c>
      <c r="AJ234" s="113" t="n">
        <f aca="false">-AJ233*Inputs!$D$15</f>
        <v>-22.5</v>
      </c>
      <c r="AK234" s="113" t="n">
        <f aca="false">-AK233*Inputs!$D$15</f>
        <v>-22.5</v>
      </c>
      <c r="AL234" s="113" t="n">
        <f aca="false">-AL233*Inputs!$D$15</f>
        <v>-22.5</v>
      </c>
    </row>
    <row r="235" customFormat="false" ht="15" hidden="false" customHeight="false" outlineLevel="0" collapsed="false">
      <c r="A235" s="116" t="s">
        <v>377</v>
      </c>
      <c r="C235" s="113" t="n">
        <f aca="false">C233*(1-Inputs!$D$15)+C232</f>
        <v>193.636363636364</v>
      </c>
      <c r="D235" s="113" t="n">
        <f aca="false">D233*(1-Inputs!$D$15)+D232</f>
        <v>225.590909090909</v>
      </c>
      <c r="E235" s="113" t="n">
        <f aca="false">E233*(1-Inputs!$D$15)+E232</f>
        <v>255.947727272727</v>
      </c>
      <c r="F235" s="113" t="n">
        <f aca="false">F233*(1-Inputs!$D$15)+F232</f>
        <v>284.786704545455</v>
      </c>
      <c r="G235" s="113" t="n">
        <f aca="false">G233*(1-Inputs!$D$15)+G232</f>
        <v>312.183732954545</v>
      </c>
      <c r="H235" s="113" t="n">
        <f aca="false">H233*(1-Inputs!$D$15)+H232</f>
        <v>338.210909943182</v>
      </c>
      <c r="I235" s="113" t="n">
        <f aca="false">I233*(1-Inputs!$D$15)+I232</f>
        <v>362.936728082386</v>
      </c>
      <c r="J235" s="113" t="n">
        <f aca="false">J233*(1-Inputs!$D$15)+J232</f>
        <v>386.426255314631</v>
      </c>
      <c r="K235" s="113" t="n">
        <f aca="false">K233*(1-Inputs!$D$15)+K232</f>
        <v>408.741306185263</v>
      </c>
      <c r="L235" s="113" t="n">
        <f aca="false">L233*(1-Inputs!$D$15)+L232</f>
        <v>429.940604512363</v>
      </c>
      <c r="M235" s="113" t="n">
        <f aca="false">M233*(1-Inputs!$D$15)+M232</f>
        <v>450.079937923109</v>
      </c>
      <c r="N235" s="113" t="n">
        <f aca="false">N233*(1-Inputs!$D$15)+N232</f>
        <v>469.136363636364</v>
      </c>
      <c r="O235" s="113" t="n">
        <f aca="false">O233*(1-Inputs!$D$15)+O232</f>
        <v>474.2</v>
      </c>
      <c r="P235" s="113" t="n">
        <f aca="false">P233*(1-Inputs!$D$15)+P232</f>
        <v>474.2</v>
      </c>
      <c r="Q235" s="113" t="n">
        <f aca="false">Q233*(1-Inputs!$D$15)+Q232</f>
        <v>474.2</v>
      </c>
      <c r="R235" s="113" t="n">
        <f aca="false">R233*(1-Inputs!$D$15)+R232</f>
        <v>474.2</v>
      </c>
      <c r="S235" s="113" t="n">
        <f aca="false">S233*(1-Inputs!$D$15)+S232</f>
        <v>474.2</v>
      </c>
      <c r="T235" s="113" t="n">
        <f aca="false">T233*(1-Inputs!$D$15)+T232</f>
        <v>474.2</v>
      </c>
      <c r="U235" s="113" t="n">
        <f aca="false">U233*(1-Inputs!$D$15)+U232</f>
        <v>474.2</v>
      </c>
      <c r="V235" s="113" t="n">
        <f aca="false">V233*(1-Inputs!$D$15)+V232</f>
        <v>474.2</v>
      </c>
      <c r="W235" s="113" t="n">
        <f aca="false">W233*(1-Inputs!$D$15)+W232</f>
        <v>474.2</v>
      </c>
      <c r="X235" s="113" t="n">
        <f aca="false">X233*(1-Inputs!$D$15)+X232</f>
        <v>474.2</v>
      </c>
      <c r="Y235" s="113" t="n">
        <f aca="false">Y233*(1-Inputs!$D$15)+Y232</f>
        <v>474.2</v>
      </c>
      <c r="Z235" s="113" t="n">
        <f aca="false">Z233*(1-Inputs!$D$15)+Z232</f>
        <v>474.2</v>
      </c>
      <c r="AA235" s="113" t="n">
        <f aca="false">AA233*(1-Inputs!$D$15)+AA232</f>
        <v>479.905</v>
      </c>
      <c r="AB235" s="113" t="n">
        <f aca="false">AB233*(1-Inputs!$D$15)+AB232</f>
        <v>479.905</v>
      </c>
      <c r="AC235" s="113" t="n">
        <f aca="false">AC233*(1-Inputs!$D$15)+AC232</f>
        <v>479.905</v>
      </c>
      <c r="AD235" s="113" t="n">
        <f aca="false">AD233*(1-Inputs!$D$15)+AD232</f>
        <v>479.905</v>
      </c>
      <c r="AE235" s="113" t="n">
        <f aca="false">AE233*(1-Inputs!$D$15)+AE232</f>
        <v>479.905</v>
      </c>
      <c r="AF235" s="113" t="n">
        <f aca="false">AF233*(1-Inputs!$D$15)+AF232</f>
        <v>479.905</v>
      </c>
      <c r="AG235" s="113" t="n">
        <f aca="false">AG233*(1-Inputs!$D$15)+AG232</f>
        <v>479.905</v>
      </c>
      <c r="AH235" s="113" t="n">
        <f aca="false">AH233*(1-Inputs!$D$15)+AH232</f>
        <v>479.905</v>
      </c>
      <c r="AI235" s="113" t="n">
        <f aca="false">AI233*(1-Inputs!$D$15)+AI232</f>
        <v>479.905</v>
      </c>
      <c r="AJ235" s="113" t="n">
        <f aca="false">AJ233*(1-Inputs!$D$15)+AJ232</f>
        <v>479.905</v>
      </c>
      <c r="AK235" s="113" t="n">
        <f aca="false">AK233*(1-Inputs!$D$15)+AK232</f>
        <v>479.905</v>
      </c>
      <c r="AL235" s="113" t="n">
        <f aca="false">AL233*(1-Inputs!$D$15)+AL232</f>
        <v>479.905</v>
      </c>
    </row>
    <row r="236" customFormat="false" ht="15" hidden="false" customHeight="false" outlineLevel="0" collapsed="false">
      <c r="A236" s="4" t="s">
        <v>378</v>
      </c>
      <c r="C236" s="114" t="n">
        <f aca="false">MIN(Inputs!$D$8,C235)</f>
        <v>193.636363636364</v>
      </c>
      <c r="D236" s="114" t="n">
        <f aca="false">MIN(Inputs!$D$8,D235)</f>
        <v>225.590909090909</v>
      </c>
      <c r="E236" s="114" t="n">
        <f aca="false">MIN(Inputs!$D$8,E235)</f>
        <v>255.947727272727</v>
      </c>
      <c r="F236" s="114" t="n">
        <f aca="false">MIN(Inputs!$D$8,F235)</f>
        <v>284.786704545455</v>
      </c>
      <c r="G236" s="114" t="n">
        <f aca="false">MIN(Inputs!$D$8,G235)</f>
        <v>312.183732954545</v>
      </c>
      <c r="H236" s="114" t="n">
        <f aca="false">MIN(Inputs!$D$8,H235)</f>
        <v>338.210909943182</v>
      </c>
      <c r="I236" s="114" t="n">
        <f aca="false">MIN(Inputs!$D$8,I235)</f>
        <v>362.936728082386</v>
      </c>
      <c r="J236" s="114" t="n">
        <f aca="false">MIN(Inputs!$D$8,J235)</f>
        <v>386.426255314631</v>
      </c>
      <c r="K236" s="114" t="n">
        <f aca="false">MIN(Inputs!$D$8,K235)</f>
        <v>408.741306185263</v>
      </c>
      <c r="L236" s="114" t="n">
        <f aca="false">MIN(Inputs!$D$8,L235)</f>
        <v>429.940604512363</v>
      </c>
      <c r="M236" s="114" t="n">
        <f aca="false">MIN(Inputs!$D$8,M235)</f>
        <v>450</v>
      </c>
      <c r="N236" s="114" t="n">
        <f aca="false">MIN(Inputs!$D$8,N235)</f>
        <v>450</v>
      </c>
      <c r="O236" s="114" t="n">
        <f aca="false">MIN(Inputs!$D$8,O235)</f>
        <v>450</v>
      </c>
      <c r="P236" s="114" t="n">
        <f aca="false">MIN(Inputs!$D$8,P235)</f>
        <v>450</v>
      </c>
      <c r="Q236" s="114" t="n">
        <f aca="false">MIN(Inputs!$D$8,Q235)</f>
        <v>450</v>
      </c>
      <c r="R236" s="114" t="n">
        <f aca="false">MIN(Inputs!$D$8,R235)</f>
        <v>450</v>
      </c>
      <c r="S236" s="114" t="n">
        <f aca="false">MIN(Inputs!$D$8,S235)</f>
        <v>450</v>
      </c>
      <c r="T236" s="114" t="n">
        <f aca="false">MIN(Inputs!$D$8,T235)</f>
        <v>450</v>
      </c>
      <c r="U236" s="114" t="n">
        <f aca="false">MIN(Inputs!$D$8,U235)</f>
        <v>450</v>
      </c>
      <c r="V236" s="114" t="n">
        <f aca="false">MIN(Inputs!$D$8,V235)</f>
        <v>450</v>
      </c>
      <c r="W236" s="114" t="n">
        <f aca="false">MIN(Inputs!$D$8,W235)</f>
        <v>450</v>
      </c>
      <c r="X236" s="114" t="n">
        <f aca="false">MIN(Inputs!$D$8,X235)</f>
        <v>450</v>
      </c>
      <c r="Y236" s="114" t="n">
        <f aca="false">MIN(Inputs!$D$8,Y235)</f>
        <v>450</v>
      </c>
      <c r="Z236" s="114" t="n">
        <f aca="false">MIN(Inputs!$D$8,Z235)</f>
        <v>450</v>
      </c>
      <c r="AA236" s="114" t="n">
        <f aca="false">MIN(Inputs!$D$8,AA235)</f>
        <v>450</v>
      </c>
      <c r="AB236" s="114" t="n">
        <f aca="false">MIN(Inputs!$D$8,AB235)</f>
        <v>450</v>
      </c>
      <c r="AC236" s="114" t="n">
        <f aca="false">MIN(Inputs!$D$8,AC235)</f>
        <v>450</v>
      </c>
      <c r="AD236" s="114" t="n">
        <f aca="false">MIN(Inputs!$D$8,AD235)</f>
        <v>450</v>
      </c>
      <c r="AE236" s="114" t="n">
        <f aca="false">MIN(Inputs!$D$8,AE235)</f>
        <v>450</v>
      </c>
      <c r="AF236" s="114" t="n">
        <f aca="false">MIN(Inputs!$D$8,AF235)</f>
        <v>450</v>
      </c>
      <c r="AG236" s="114" t="n">
        <f aca="false">MIN(Inputs!$D$8,AG235)</f>
        <v>450</v>
      </c>
      <c r="AH236" s="114" t="n">
        <f aca="false">MIN(Inputs!$D$8,AH235)</f>
        <v>450</v>
      </c>
      <c r="AI236" s="114" t="n">
        <f aca="false">MIN(Inputs!$D$8,AI235)</f>
        <v>450</v>
      </c>
      <c r="AJ236" s="114" t="n">
        <f aca="false">MIN(Inputs!$D$8,AJ235)</f>
        <v>450</v>
      </c>
      <c r="AK236" s="114" t="n">
        <f aca="false">MIN(Inputs!$D$8,AK235)</f>
        <v>450</v>
      </c>
      <c r="AL236" s="114" t="n">
        <f aca="false">MIN(Inputs!$D$8,AL235)</f>
        <v>450</v>
      </c>
    </row>
    <row r="237" customFormat="false" ht="15" hidden="false" customHeight="false" outlineLevel="0" collapsed="false">
      <c r="A237" s="6" t="s">
        <v>232</v>
      </c>
      <c r="C237" s="113" t="n">
        <f aca="false">C235-C236</f>
        <v>0</v>
      </c>
      <c r="D237" s="113" t="n">
        <f aca="false">D235-D236</f>
        <v>0</v>
      </c>
      <c r="E237" s="113" t="n">
        <f aca="false">E235-E236</f>
        <v>0</v>
      </c>
      <c r="F237" s="113" t="n">
        <f aca="false">F235-F236</f>
        <v>0</v>
      </c>
      <c r="G237" s="113" t="n">
        <f aca="false">G235-G236</f>
        <v>0</v>
      </c>
      <c r="H237" s="113" t="n">
        <f aca="false">H235-H236</f>
        <v>0</v>
      </c>
      <c r="I237" s="113" t="n">
        <f aca="false">I235-I236</f>
        <v>0</v>
      </c>
      <c r="J237" s="113" t="n">
        <f aca="false">J235-J236</f>
        <v>0</v>
      </c>
      <c r="K237" s="113" t="n">
        <f aca="false">K235-K236</f>
        <v>0</v>
      </c>
      <c r="L237" s="113" t="n">
        <f aca="false">L235-L236</f>
        <v>0</v>
      </c>
      <c r="M237" s="113" t="n">
        <f aca="false">M235-M236</f>
        <v>0.0799379231086164</v>
      </c>
      <c r="N237" s="113" t="n">
        <f aca="false">N235-N236</f>
        <v>19.1363636363636</v>
      </c>
      <c r="O237" s="113" t="n">
        <f aca="false">O235-O236</f>
        <v>24.2</v>
      </c>
      <c r="P237" s="113" t="n">
        <f aca="false">P235-P236</f>
        <v>24.2</v>
      </c>
      <c r="Q237" s="113" t="n">
        <f aca="false">Q235-Q236</f>
        <v>24.2</v>
      </c>
      <c r="R237" s="113" t="n">
        <f aca="false">R235-R236</f>
        <v>24.2</v>
      </c>
      <c r="S237" s="113" t="n">
        <f aca="false">S235-S236</f>
        <v>24.2</v>
      </c>
      <c r="T237" s="113" t="n">
        <f aca="false">T235-T236</f>
        <v>24.2</v>
      </c>
      <c r="U237" s="113" t="n">
        <f aca="false">U235-U236</f>
        <v>24.2</v>
      </c>
      <c r="V237" s="113" t="n">
        <f aca="false">V235-V236</f>
        <v>24.2</v>
      </c>
      <c r="W237" s="113" t="n">
        <f aca="false">W235-W236</f>
        <v>24.2</v>
      </c>
      <c r="X237" s="113" t="n">
        <f aca="false">X235-X236</f>
        <v>24.2</v>
      </c>
      <c r="Y237" s="113" t="n">
        <f aca="false">Y235-Y236</f>
        <v>24.2</v>
      </c>
      <c r="Z237" s="113" t="n">
        <f aca="false">Z235-Z236</f>
        <v>24.2</v>
      </c>
      <c r="AA237" s="113" t="n">
        <f aca="false">AA235-AA236</f>
        <v>29.905</v>
      </c>
      <c r="AB237" s="113" t="n">
        <f aca="false">AB235-AB236</f>
        <v>29.905</v>
      </c>
      <c r="AC237" s="113" t="n">
        <f aca="false">AC235-AC236</f>
        <v>29.905</v>
      </c>
      <c r="AD237" s="113" t="n">
        <f aca="false">AD235-AD236</f>
        <v>29.905</v>
      </c>
      <c r="AE237" s="113" t="n">
        <f aca="false">AE235-AE236</f>
        <v>29.905</v>
      </c>
      <c r="AF237" s="113" t="n">
        <f aca="false">AF235-AF236</f>
        <v>29.905</v>
      </c>
      <c r="AG237" s="113" t="n">
        <f aca="false">AG235-AG236</f>
        <v>29.905</v>
      </c>
      <c r="AH237" s="113" t="n">
        <f aca="false">AH235-AH236</f>
        <v>29.905</v>
      </c>
      <c r="AI237" s="113" t="n">
        <f aca="false">AI235-AI236</f>
        <v>29.905</v>
      </c>
      <c r="AJ237" s="113" t="n">
        <f aca="false">AJ235-AJ236</f>
        <v>29.905</v>
      </c>
      <c r="AK237" s="113" t="n">
        <f aca="false">AK235-AK236</f>
        <v>29.905</v>
      </c>
      <c r="AL237" s="113" t="n">
        <f aca="false">AL235-AL236</f>
        <v>29.905</v>
      </c>
    </row>
    <row r="238" customFormat="false" ht="15" hidden="false" customHeight="false" outlineLevel="0" collapsed="false">
      <c r="A238" s="6" t="s">
        <v>379</v>
      </c>
      <c r="C238" s="113" t="n">
        <f aca="false">(C233+C236)/2</f>
        <v>176.818181818182</v>
      </c>
      <c r="D238" s="113" t="n">
        <f aca="false">(D233+D236)/2</f>
        <v>209.613636363636</v>
      </c>
      <c r="E238" s="113" t="n">
        <f aca="false">(E233+E236)/2</f>
        <v>240.769318181818</v>
      </c>
      <c r="F238" s="113" t="n">
        <f aca="false">(F233+F236)/2</f>
        <v>270.367215909091</v>
      </c>
      <c r="G238" s="113" t="n">
        <f aca="false">(G233+G236)/2</f>
        <v>298.48521875</v>
      </c>
      <c r="H238" s="113" t="n">
        <f aca="false">(H233+H236)/2</f>
        <v>325.197321448864</v>
      </c>
      <c r="I238" s="113" t="n">
        <f aca="false">(I233+I236)/2</f>
        <v>350.573819012784</v>
      </c>
      <c r="J238" s="113" t="n">
        <f aca="false">(J233+J236)/2</f>
        <v>374.681491698508</v>
      </c>
      <c r="K238" s="113" t="n">
        <f aca="false">(K233+K236)/2</f>
        <v>397.583780749947</v>
      </c>
      <c r="L238" s="113" t="n">
        <f aca="false">(L233+L236)/2</f>
        <v>419.340955348813</v>
      </c>
      <c r="M238" s="113" t="n">
        <f aca="false">(M233+M236)/2</f>
        <v>439.970302256182</v>
      </c>
      <c r="N238" s="113" t="n">
        <f aca="false">(N233+N236)/2</f>
        <v>450</v>
      </c>
      <c r="O238" s="113" t="n">
        <f aca="false">(O233+O236)/2</f>
        <v>450</v>
      </c>
      <c r="P238" s="113" t="n">
        <f aca="false">(P233+P236)/2</f>
        <v>450</v>
      </c>
      <c r="Q238" s="113" t="n">
        <f aca="false">(Q233+Q236)/2</f>
        <v>450</v>
      </c>
      <c r="R238" s="113" t="n">
        <f aca="false">(R233+R236)/2</f>
        <v>450</v>
      </c>
      <c r="S238" s="113" t="n">
        <f aca="false">(S233+S236)/2</f>
        <v>450</v>
      </c>
      <c r="T238" s="113" t="n">
        <f aca="false">(T233+T236)/2</f>
        <v>450</v>
      </c>
      <c r="U238" s="113" t="n">
        <f aca="false">(U233+U236)/2</f>
        <v>450</v>
      </c>
      <c r="V238" s="113" t="n">
        <f aca="false">(V233+V236)/2</f>
        <v>450</v>
      </c>
      <c r="W238" s="113" t="n">
        <f aca="false">(W233+W236)/2</f>
        <v>450</v>
      </c>
      <c r="X238" s="113" t="n">
        <f aca="false">(X233+X236)/2</f>
        <v>450</v>
      </c>
      <c r="Y238" s="113" t="n">
        <f aca="false">(Y233+Y236)/2</f>
        <v>450</v>
      </c>
      <c r="Z238" s="113" t="n">
        <f aca="false">(Z233+Z236)/2</f>
        <v>450</v>
      </c>
      <c r="AA238" s="113" t="n">
        <f aca="false">(AA233+AA236)/2</f>
        <v>450</v>
      </c>
      <c r="AB238" s="113" t="n">
        <f aca="false">(AB233+AB236)/2</f>
        <v>450</v>
      </c>
      <c r="AC238" s="113" t="n">
        <f aca="false">(AC233+AC236)/2</f>
        <v>450</v>
      </c>
      <c r="AD238" s="113" t="n">
        <f aca="false">(AD233+AD236)/2</f>
        <v>450</v>
      </c>
      <c r="AE238" s="113" t="n">
        <f aca="false">(AE233+AE236)/2</f>
        <v>450</v>
      </c>
      <c r="AF238" s="113" t="n">
        <f aca="false">(AF233+AF236)/2</f>
        <v>450</v>
      </c>
      <c r="AG238" s="113" t="n">
        <f aca="false">(AG233+AG236)/2</f>
        <v>450</v>
      </c>
      <c r="AH238" s="113" t="n">
        <f aca="false">(AH233+AH236)/2</f>
        <v>450</v>
      </c>
      <c r="AI238" s="113" t="n">
        <f aca="false">(AI233+AI236)/2</f>
        <v>450</v>
      </c>
      <c r="AJ238" s="113" t="n">
        <f aca="false">(AJ233+AJ236)/2</f>
        <v>450</v>
      </c>
      <c r="AK238" s="113" t="n">
        <f aca="false">(AK233+AK236)/2</f>
        <v>450</v>
      </c>
      <c r="AL238" s="113" t="n">
        <f aca="false">(AL233+AL236)/2</f>
        <v>450</v>
      </c>
    </row>
    <row r="240" customFormat="false" ht="15.75" hidden="false" customHeight="true" outlineLevel="0" collapsed="false">
      <c r="A240" s="7" t="s">
        <v>44</v>
      </c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</row>
    <row r="241" customFormat="false" ht="15" hidden="false" customHeight="false" outlineLevel="0" collapsed="false">
      <c r="A241" s="6" t="s">
        <v>380</v>
      </c>
      <c r="C241" s="117" t="n">
        <f aca="false">Inputs!$D$18*(1+Inputs!$D$19)^(C$227-1)</f>
        <v>109</v>
      </c>
      <c r="D241" s="117" t="n">
        <f aca="false">Inputs!$D$18*(1+Inputs!$D$19)^(D$227-1)</f>
        <v>109</v>
      </c>
      <c r="E241" s="117" t="n">
        <f aca="false">Inputs!$D$18*(1+Inputs!$D$19)^(E$227-1)</f>
        <v>109</v>
      </c>
      <c r="F241" s="117" t="n">
        <f aca="false">Inputs!$D$18*(1+Inputs!$D$19)^(F$227-1)</f>
        <v>109</v>
      </c>
      <c r="G241" s="117" t="n">
        <f aca="false">Inputs!$D$18*(1+Inputs!$D$19)^(G$227-1)</f>
        <v>109</v>
      </c>
      <c r="H241" s="117" t="n">
        <f aca="false">Inputs!$D$18*(1+Inputs!$D$19)^(H$227-1)</f>
        <v>109</v>
      </c>
      <c r="I241" s="117" t="n">
        <f aca="false">Inputs!$D$18*(1+Inputs!$D$19)^(I$227-1)</f>
        <v>109</v>
      </c>
      <c r="J241" s="117" t="n">
        <f aca="false">Inputs!$D$18*(1+Inputs!$D$19)^(J$227-1)</f>
        <v>109</v>
      </c>
      <c r="K241" s="117" t="n">
        <f aca="false">Inputs!$D$18*(1+Inputs!$D$19)^(K$227-1)</f>
        <v>109</v>
      </c>
      <c r="L241" s="117" t="n">
        <f aca="false">Inputs!$D$18*(1+Inputs!$D$19)^(L$227-1)</f>
        <v>109</v>
      </c>
      <c r="M241" s="117" t="n">
        <f aca="false">Inputs!$D$18*(1+Inputs!$D$19)^(M$227-1)</f>
        <v>109</v>
      </c>
      <c r="N241" s="117" t="n">
        <f aca="false">Inputs!$D$18*(1+Inputs!$D$19)^(N$227-1)</f>
        <v>109</v>
      </c>
      <c r="O241" s="117" t="n">
        <f aca="false">Inputs!$D$18*(1+Inputs!$D$19)^(O$227-1)</f>
        <v>113.36</v>
      </c>
      <c r="P241" s="117" t="n">
        <f aca="false">Inputs!$D$18*(1+Inputs!$D$19)^(P$227-1)</f>
        <v>113.36</v>
      </c>
      <c r="Q241" s="117" t="n">
        <f aca="false">Inputs!$D$18*(1+Inputs!$D$19)^(Q$227-1)</f>
        <v>113.36</v>
      </c>
      <c r="R241" s="117" t="n">
        <f aca="false">Inputs!$D$18*(1+Inputs!$D$19)^(R$227-1)</f>
        <v>113.36</v>
      </c>
      <c r="S241" s="117" t="n">
        <f aca="false">Inputs!$D$18*(1+Inputs!$D$19)^(S$227-1)</f>
        <v>113.36</v>
      </c>
      <c r="T241" s="117" t="n">
        <f aca="false">Inputs!$D$18*(1+Inputs!$D$19)^(T$227-1)</f>
        <v>113.36</v>
      </c>
      <c r="U241" s="117" t="n">
        <f aca="false">Inputs!$D$18*(1+Inputs!$D$19)^(U$227-1)</f>
        <v>113.36</v>
      </c>
      <c r="V241" s="117" t="n">
        <f aca="false">Inputs!$D$18*(1+Inputs!$D$19)^(V$227-1)</f>
        <v>113.36</v>
      </c>
      <c r="W241" s="117" t="n">
        <f aca="false">Inputs!$D$18*(1+Inputs!$D$19)^(W$227-1)</f>
        <v>113.36</v>
      </c>
      <c r="X241" s="117" t="n">
        <f aca="false">Inputs!$D$18*(1+Inputs!$D$19)^(X$227-1)</f>
        <v>113.36</v>
      </c>
      <c r="Y241" s="117" t="n">
        <f aca="false">Inputs!$D$18*(1+Inputs!$D$19)^(Y$227-1)</f>
        <v>113.36</v>
      </c>
      <c r="Z241" s="117" t="n">
        <f aca="false">Inputs!$D$18*(1+Inputs!$D$19)^(Z$227-1)</f>
        <v>113.36</v>
      </c>
      <c r="AA241" s="117" t="n">
        <f aca="false">Inputs!$D$18*(1+Inputs!$D$19)^(AA$227-1)</f>
        <v>117.8944</v>
      </c>
      <c r="AB241" s="117" t="n">
        <f aca="false">Inputs!$D$18*(1+Inputs!$D$19)^(AB$227-1)</f>
        <v>117.8944</v>
      </c>
      <c r="AC241" s="117" t="n">
        <f aca="false">Inputs!$D$18*(1+Inputs!$D$19)^(AC$227-1)</f>
        <v>117.8944</v>
      </c>
      <c r="AD241" s="117" t="n">
        <f aca="false">Inputs!$D$18*(1+Inputs!$D$19)^(AD$227-1)</f>
        <v>117.8944</v>
      </c>
      <c r="AE241" s="117" t="n">
        <f aca="false">Inputs!$D$18*(1+Inputs!$D$19)^(AE$227-1)</f>
        <v>117.8944</v>
      </c>
      <c r="AF241" s="117" t="n">
        <f aca="false">Inputs!$D$18*(1+Inputs!$D$19)^(AF$227-1)</f>
        <v>117.8944</v>
      </c>
      <c r="AG241" s="117" t="n">
        <f aca="false">Inputs!$D$18*(1+Inputs!$D$19)^(AG$227-1)</f>
        <v>117.8944</v>
      </c>
      <c r="AH241" s="117" t="n">
        <f aca="false">Inputs!$D$18*(1+Inputs!$D$19)^(AH$227-1)</f>
        <v>117.8944</v>
      </c>
      <c r="AI241" s="117" t="n">
        <f aca="false">Inputs!$D$18*(1+Inputs!$D$19)^(AI$227-1)</f>
        <v>117.8944</v>
      </c>
      <c r="AJ241" s="117" t="n">
        <f aca="false">Inputs!$D$18*(1+Inputs!$D$19)^(AJ$227-1)</f>
        <v>117.8944</v>
      </c>
      <c r="AK241" s="117" t="n">
        <f aca="false">Inputs!$D$18*(1+Inputs!$D$19)^(AK$227-1)</f>
        <v>117.8944</v>
      </c>
      <c r="AL241" s="117" t="n">
        <f aca="false">Inputs!$D$18*(1+Inputs!$D$19)^(AL$227-1)</f>
        <v>117.8944</v>
      </c>
    </row>
    <row r="242" customFormat="false" ht="15" hidden="false" customHeight="false" outlineLevel="0" collapsed="false">
      <c r="A242" s="6" t="s">
        <v>236</v>
      </c>
      <c r="C242" s="66" t="n">
        <f aca="false">C238*C241*1</f>
        <v>19273.1818181818</v>
      </c>
      <c r="D242" s="66" t="n">
        <f aca="false">D238*D241*1</f>
        <v>22847.8863636364</v>
      </c>
      <c r="E242" s="66" t="n">
        <f aca="false">E238*E241*1</f>
        <v>26243.8556818182</v>
      </c>
      <c r="F242" s="66" t="n">
        <f aca="false">F238*F241*1</f>
        <v>29470.0265340909</v>
      </c>
      <c r="G242" s="66" t="n">
        <f aca="false">G238*G241*1</f>
        <v>32534.88884375</v>
      </c>
      <c r="H242" s="66" t="n">
        <f aca="false">H238*H241*1</f>
        <v>35446.5080379261</v>
      </c>
      <c r="I242" s="66" t="n">
        <f aca="false">I238*I241*1</f>
        <v>38212.5462723935</v>
      </c>
      <c r="J242" s="66" t="n">
        <f aca="false">J238*J241*1</f>
        <v>40840.2825951374</v>
      </c>
      <c r="K242" s="66" t="n">
        <f aca="false">K238*K241*1</f>
        <v>43336.6321017442</v>
      </c>
      <c r="L242" s="66" t="n">
        <f aca="false">L238*L241*1</f>
        <v>45708.1641330206</v>
      </c>
      <c r="M242" s="66" t="n">
        <f aca="false">M238*M241*1</f>
        <v>47956.7629459238</v>
      </c>
      <c r="N242" s="66" t="n">
        <f aca="false">N238*N241*1</f>
        <v>49050</v>
      </c>
      <c r="O242" s="66" t="n">
        <f aca="false">O238*O241*1</f>
        <v>51012</v>
      </c>
      <c r="P242" s="66" t="n">
        <f aca="false">P238*P241*1</f>
        <v>51012</v>
      </c>
      <c r="Q242" s="66" t="n">
        <f aca="false">Q238*Q241*1</f>
        <v>51012</v>
      </c>
      <c r="R242" s="66" t="n">
        <f aca="false">R238*R241*1</f>
        <v>51012</v>
      </c>
      <c r="S242" s="66" t="n">
        <f aca="false">S238*S241*1</f>
        <v>51012</v>
      </c>
      <c r="T242" s="66" t="n">
        <f aca="false">T238*T241*1</f>
        <v>51012</v>
      </c>
      <c r="U242" s="66" t="n">
        <f aca="false">U238*U241*1</f>
        <v>51012</v>
      </c>
      <c r="V242" s="66" t="n">
        <f aca="false">V238*V241*1</f>
        <v>51012</v>
      </c>
      <c r="W242" s="66" t="n">
        <f aca="false">W238*W241*1</f>
        <v>51012</v>
      </c>
      <c r="X242" s="66" t="n">
        <f aca="false">X238*X241*1</f>
        <v>51012</v>
      </c>
      <c r="Y242" s="66" t="n">
        <f aca="false">Y238*Y241*1</f>
        <v>51012</v>
      </c>
      <c r="Z242" s="66" t="n">
        <f aca="false">Z238*Z241*1</f>
        <v>51012</v>
      </c>
      <c r="AA242" s="66" t="n">
        <f aca="false">AA238*AA241*1</f>
        <v>53052.48</v>
      </c>
      <c r="AB242" s="66" t="n">
        <f aca="false">AB238*AB241*1</f>
        <v>53052.48</v>
      </c>
      <c r="AC242" s="66" t="n">
        <f aca="false">AC238*AC241*1</f>
        <v>53052.48</v>
      </c>
      <c r="AD242" s="66" t="n">
        <f aca="false">AD238*AD241*1</f>
        <v>53052.48</v>
      </c>
      <c r="AE242" s="66" t="n">
        <f aca="false">AE238*AE241*1</f>
        <v>53052.48</v>
      </c>
      <c r="AF242" s="66" t="n">
        <f aca="false">AF238*AF241*1</f>
        <v>53052.48</v>
      </c>
      <c r="AG242" s="66" t="n">
        <f aca="false">AG238*AG241*1</f>
        <v>53052.48</v>
      </c>
      <c r="AH242" s="66" t="n">
        <f aca="false">AH238*AH241*1</f>
        <v>53052.48</v>
      </c>
      <c r="AI242" s="66" t="n">
        <f aca="false">AI238*AI241*1</f>
        <v>53052.48</v>
      </c>
      <c r="AJ242" s="66" t="n">
        <f aca="false">AJ238*AJ241*1</f>
        <v>53052.48</v>
      </c>
      <c r="AK242" s="66" t="n">
        <f aca="false">AK238*AK241*1</f>
        <v>53052.48</v>
      </c>
      <c r="AL242" s="66" t="n">
        <f aca="false">AL238*AL241*1</f>
        <v>53052.48</v>
      </c>
    </row>
    <row r="243" customFormat="false" ht="15" hidden="false" customHeight="false" outlineLevel="0" collapsed="false">
      <c r="A243" s="6" t="s">
        <v>381</v>
      </c>
      <c r="C243" s="66" t="n">
        <f aca="false">(C232-C237)*Inputs!$D$20*(1+Inputs!$D$19)^(C$227-1)</f>
        <v>2040.18181818182</v>
      </c>
      <c r="D243" s="66" t="n">
        <f aca="false">(D232-D237)*Inputs!$D$20*(1+Inputs!$D$19)^(D$227-1)</f>
        <v>2040.18181818182</v>
      </c>
      <c r="E243" s="66" t="n">
        <f aca="false">(E232-E237)*Inputs!$D$20*(1+Inputs!$D$19)^(E$227-1)</f>
        <v>2040.18181818182</v>
      </c>
      <c r="F243" s="66" t="n">
        <f aca="false">(F232-F237)*Inputs!$D$20*(1+Inputs!$D$19)^(F$227-1)</f>
        <v>2040.18181818182</v>
      </c>
      <c r="G243" s="66" t="n">
        <f aca="false">(G232-G237)*Inputs!$D$20*(1+Inputs!$D$19)^(G$227-1)</f>
        <v>2040.18181818182</v>
      </c>
      <c r="H243" s="66" t="n">
        <f aca="false">(H232-H237)*Inputs!$D$20*(1+Inputs!$D$19)^(H$227-1)</f>
        <v>2040.18181818182</v>
      </c>
      <c r="I243" s="66" t="n">
        <f aca="false">(I232-I237)*Inputs!$D$20*(1+Inputs!$D$19)^(I$227-1)</f>
        <v>2040.18181818182</v>
      </c>
      <c r="J243" s="66" t="n">
        <f aca="false">(J232-J237)*Inputs!$D$20*(1+Inputs!$D$19)^(J$227-1)</f>
        <v>2040.18181818182</v>
      </c>
      <c r="K243" s="66" t="n">
        <f aca="false">(K232-K237)*Inputs!$D$20*(1+Inputs!$D$19)^(K$227-1)</f>
        <v>2040.18181818182</v>
      </c>
      <c r="L243" s="66" t="n">
        <f aca="false">(L232-L237)*Inputs!$D$20*(1+Inputs!$D$19)^(L$227-1)</f>
        <v>2040.18181818182</v>
      </c>
      <c r="M243" s="66" t="n">
        <f aca="false">(M232-M237)*Inputs!$D$20*(1+Inputs!$D$19)^(M$227-1)</f>
        <v>2036.2648599495</v>
      </c>
      <c r="N243" s="66" t="n">
        <f aca="false">(N232-N237)*Inputs!$D$20*(1+Inputs!$D$19)^(N$227-1)</f>
        <v>1102.5</v>
      </c>
      <c r="O243" s="66" t="n">
        <f aca="false">(O232-O237)*Inputs!$D$20*(1+Inputs!$D$19)^(O$227-1)</f>
        <v>1146.6</v>
      </c>
      <c r="P243" s="66" t="n">
        <f aca="false">(P232-P237)*Inputs!$D$20*(1+Inputs!$D$19)^(P$227-1)</f>
        <v>1146.6</v>
      </c>
      <c r="Q243" s="66" t="n">
        <f aca="false">(Q232-Q237)*Inputs!$D$20*(1+Inputs!$D$19)^(Q$227-1)</f>
        <v>1146.6</v>
      </c>
      <c r="R243" s="66" t="n">
        <f aca="false">(R232-R237)*Inputs!$D$20*(1+Inputs!$D$19)^(R$227-1)</f>
        <v>1146.6</v>
      </c>
      <c r="S243" s="66" t="n">
        <f aca="false">(S232-S237)*Inputs!$D$20*(1+Inputs!$D$19)^(S$227-1)</f>
        <v>1146.6</v>
      </c>
      <c r="T243" s="66" t="n">
        <f aca="false">(T232-T237)*Inputs!$D$20*(1+Inputs!$D$19)^(T$227-1)</f>
        <v>1146.6</v>
      </c>
      <c r="U243" s="66" t="n">
        <f aca="false">(U232-U237)*Inputs!$D$20*(1+Inputs!$D$19)^(U$227-1)</f>
        <v>1146.6</v>
      </c>
      <c r="V243" s="66" t="n">
        <f aca="false">(V232-V237)*Inputs!$D$20*(1+Inputs!$D$19)^(V$227-1)</f>
        <v>1146.6</v>
      </c>
      <c r="W243" s="66" t="n">
        <f aca="false">(W232-W237)*Inputs!$D$20*(1+Inputs!$D$19)^(W$227-1)</f>
        <v>1146.6</v>
      </c>
      <c r="X243" s="66" t="n">
        <f aca="false">(X232-X237)*Inputs!$D$20*(1+Inputs!$D$19)^(X$227-1)</f>
        <v>1146.6</v>
      </c>
      <c r="Y243" s="66" t="n">
        <f aca="false">(Y232-Y237)*Inputs!$D$20*(1+Inputs!$D$19)^(Y$227-1)</f>
        <v>1146.6</v>
      </c>
      <c r="Z243" s="66" t="n">
        <f aca="false">(Z232-Z237)*Inputs!$D$20*(1+Inputs!$D$19)^(Z$227-1)</f>
        <v>1146.6</v>
      </c>
      <c r="AA243" s="66" t="n">
        <f aca="false">(AA232-AA237)*Inputs!$D$20*(1+Inputs!$D$19)^(AA$227-1)</f>
        <v>1192.464</v>
      </c>
      <c r="AB243" s="66" t="n">
        <f aca="false">(AB232-AB237)*Inputs!$D$20*(1+Inputs!$D$19)^(AB$227-1)</f>
        <v>1192.464</v>
      </c>
      <c r="AC243" s="66" t="n">
        <f aca="false">(AC232-AC237)*Inputs!$D$20*(1+Inputs!$D$19)^(AC$227-1)</f>
        <v>1192.464</v>
      </c>
      <c r="AD243" s="66" t="n">
        <f aca="false">(AD232-AD237)*Inputs!$D$20*(1+Inputs!$D$19)^(AD$227-1)</f>
        <v>1192.464</v>
      </c>
      <c r="AE243" s="66" t="n">
        <f aca="false">(AE232-AE237)*Inputs!$D$20*(1+Inputs!$D$19)^(AE$227-1)</f>
        <v>1192.464</v>
      </c>
      <c r="AF243" s="66" t="n">
        <f aca="false">(AF232-AF237)*Inputs!$D$20*(1+Inputs!$D$19)^(AF$227-1)</f>
        <v>1192.464</v>
      </c>
      <c r="AG243" s="66" t="n">
        <f aca="false">(AG232-AG237)*Inputs!$D$20*(1+Inputs!$D$19)^(AG$227-1)</f>
        <v>1192.464</v>
      </c>
      <c r="AH243" s="66" t="n">
        <f aca="false">(AH232-AH237)*Inputs!$D$20*(1+Inputs!$D$19)^(AH$227-1)</f>
        <v>1192.464</v>
      </c>
      <c r="AI243" s="66" t="n">
        <f aca="false">(AI232-AI237)*Inputs!$D$20*(1+Inputs!$D$19)^(AI$227-1)</f>
        <v>1192.464</v>
      </c>
      <c r="AJ243" s="66" t="n">
        <f aca="false">(AJ232-AJ237)*Inputs!$D$20*(1+Inputs!$D$19)^(AJ$227-1)</f>
        <v>1192.464</v>
      </c>
      <c r="AK243" s="66" t="n">
        <f aca="false">(AK232-AK237)*Inputs!$D$20*(1+Inputs!$D$19)^(AK$227-1)</f>
        <v>1192.464</v>
      </c>
      <c r="AL243" s="66" t="n">
        <f aca="false">(AL232-AL237)*Inputs!$D$20*(1+Inputs!$D$19)^(AL$227-1)</f>
        <v>1192.464</v>
      </c>
    </row>
    <row r="244" customFormat="false" ht="15" hidden="false" customHeight="false" outlineLevel="0" collapsed="false">
      <c r="A244" s="6" t="s">
        <v>382</v>
      </c>
      <c r="C244" s="66" t="n">
        <f aca="false">C238*Inputs!$D$23*Inputs!$D$24*Inputs!$D$25*(1+Inputs!$D$19)^(C$227-1)*1</f>
        <v>4137.54545454545</v>
      </c>
      <c r="D244" s="66" t="n">
        <f aca="false">D238*Inputs!$D$23*Inputs!$D$24*Inputs!$D$25*(1+Inputs!$D$19)^(D$227-1)*1</f>
        <v>4904.95909090909</v>
      </c>
      <c r="E244" s="66" t="n">
        <f aca="false">E238*Inputs!$D$23*Inputs!$D$24*Inputs!$D$25*(1+Inputs!$D$19)^(E$227-1)*1</f>
        <v>5634.00204545455</v>
      </c>
      <c r="F244" s="66" t="n">
        <f aca="false">F238*Inputs!$D$23*Inputs!$D$24*Inputs!$D$25*(1+Inputs!$D$19)^(F$227-1)*1</f>
        <v>6326.59285227273</v>
      </c>
      <c r="G244" s="66" t="n">
        <f aca="false">G238*Inputs!$D$23*Inputs!$D$24*Inputs!$D$25*(1+Inputs!$D$19)^(G$227-1)*1</f>
        <v>6984.55411875</v>
      </c>
      <c r="H244" s="66" t="n">
        <f aca="false">H238*Inputs!$D$23*Inputs!$D$24*Inputs!$D$25*(1+Inputs!$D$19)^(H$227-1)*1</f>
        <v>7609.61732190341</v>
      </c>
      <c r="I244" s="66" t="n">
        <f aca="false">I238*Inputs!$D$23*Inputs!$D$24*Inputs!$D$25*(1+Inputs!$D$19)^(I$227-1)*1</f>
        <v>8203.42736489915</v>
      </c>
      <c r="J244" s="66" t="n">
        <f aca="false">J238*Inputs!$D$23*Inputs!$D$24*Inputs!$D$25*(1+Inputs!$D$19)^(J$227-1)*1</f>
        <v>8767.5469057451</v>
      </c>
      <c r="K244" s="66" t="n">
        <f aca="false">K238*Inputs!$D$23*Inputs!$D$24*Inputs!$D$25*(1+Inputs!$D$19)^(K$227-1)*1</f>
        <v>9303.46046954875</v>
      </c>
      <c r="L244" s="66" t="n">
        <f aca="false">L238*Inputs!$D$23*Inputs!$D$24*Inputs!$D$25*(1+Inputs!$D$19)^(L$227-1)*1</f>
        <v>9812.57835516222</v>
      </c>
      <c r="M244" s="66" t="n">
        <f aca="false">M238*Inputs!$D$23*Inputs!$D$24*Inputs!$D$25*(1+Inputs!$D$19)^(M$227-1)*1</f>
        <v>10295.3050727946</v>
      </c>
      <c r="N244" s="66" t="n">
        <f aca="false">N238*Inputs!$D$23*Inputs!$D$24*Inputs!$D$25*(1+Inputs!$D$19)^(N$227-1)*1</f>
        <v>10530</v>
      </c>
      <c r="O244" s="66" t="n">
        <f aca="false">O238*Inputs!$D$23*Inputs!$D$24*Inputs!$D$25*(1+Inputs!$D$19)^(O$227-1)*1</f>
        <v>10951.2</v>
      </c>
      <c r="P244" s="66" t="n">
        <f aca="false">P238*Inputs!$D$23*Inputs!$D$24*Inputs!$D$25*(1+Inputs!$D$19)^(P$227-1)*1</f>
        <v>10951.2</v>
      </c>
      <c r="Q244" s="66" t="n">
        <f aca="false">Q238*Inputs!$D$23*Inputs!$D$24*Inputs!$D$25*(1+Inputs!$D$19)^(Q$227-1)*1</f>
        <v>10951.2</v>
      </c>
      <c r="R244" s="66" t="n">
        <f aca="false">R238*Inputs!$D$23*Inputs!$D$24*Inputs!$D$25*(1+Inputs!$D$19)^(R$227-1)*1</f>
        <v>10951.2</v>
      </c>
      <c r="S244" s="66" t="n">
        <f aca="false">S238*Inputs!$D$23*Inputs!$D$24*Inputs!$D$25*(1+Inputs!$D$19)^(S$227-1)*1</f>
        <v>10951.2</v>
      </c>
      <c r="T244" s="66" t="n">
        <f aca="false">T238*Inputs!$D$23*Inputs!$D$24*Inputs!$D$25*(1+Inputs!$D$19)^(T$227-1)*1</f>
        <v>10951.2</v>
      </c>
      <c r="U244" s="66" t="n">
        <f aca="false">U238*Inputs!$D$23*Inputs!$D$24*Inputs!$D$25*(1+Inputs!$D$19)^(U$227-1)*1</f>
        <v>10951.2</v>
      </c>
      <c r="V244" s="66" t="n">
        <f aca="false">V238*Inputs!$D$23*Inputs!$D$24*Inputs!$D$25*(1+Inputs!$D$19)^(V$227-1)*1</f>
        <v>10951.2</v>
      </c>
      <c r="W244" s="66" t="n">
        <f aca="false">W238*Inputs!$D$23*Inputs!$D$24*Inputs!$D$25*(1+Inputs!$D$19)^(W$227-1)*1</f>
        <v>10951.2</v>
      </c>
      <c r="X244" s="66" t="n">
        <f aca="false">X238*Inputs!$D$23*Inputs!$D$24*Inputs!$D$25*(1+Inputs!$D$19)^(X$227-1)*1</f>
        <v>10951.2</v>
      </c>
      <c r="Y244" s="66" t="n">
        <f aca="false">Y238*Inputs!$D$23*Inputs!$D$24*Inputs!$D$25*(1+Inputs!$D$19)^(Y$227-1)*1</f>
        <v>10951.2</v>
      </c>
      <c r="Z244" s="66" t="n">
        <f aca="false">Z238*Inputs!$D$23*Inputs!$D$24*Inputs!$D$25*(1+Inputs!$D$19)^(Z$227-1)*1</f>
        <v>10951.2</v>
      </c>
      <c r="AA244" s="66" t="n">
        <f aca="false">AA238*Inputs!$D$23*Inputs!$D$24*Inputs!$D$25*(1+Inputs!$D$19)^(AA$227-1)*1</f>
        <v>11389.248</v>
      </c>
      <c r="AB244" s="66" t="n">
        <f aca="false">AB238*Inputs!$D$23*Inputs!$D$24*Inputs!$D$25*(1+Inputs!$D$19)^(AB$227-1)*1</f>
        <v>11389.248</v>
      </c>
      <c r="AC244" s="66" t="n">
        <f aca="false">AC238*Inputs!$D$23*Inputs!$D$24*Inputs!$D$25*(1+Inputs!$D$19)^(AC$227-1)*1</f>
        <v>11389.248</v>
      </c>
      <c r="AD244" s="66" t="n">
        <f aca="false">AD238*Inputs!$D$23*Inputs!$D$24*Inputs!$D$25*(1+Inputs!$D$19)^(AD$227-1)*1</f>
        <v>11389.248</v>
      </c>
      <c r="AE244" s="66" t="n">
        <f aca="false">AE238*Inputs!$D$23*Inputs!$D$24*Inputs!$D$25*(1+Inputs!$D$19)^(AE$227-1)*1</f>
        <v>11389.248</v>
      </c>
      <c r="AF244" s="66" t="n">
        <f aca="false">AF238*Inputs!$D$23*Inputs!$D$24*Inputs!$D$25*(1+Inputs!$D$19)^(AF$227-1)*1</f>
        <v>11389.248</v>
      </c>
      <c r="AG244" s="66" t="n">
        <f aca="false">AG238*Inputs!$D$23*Inputs!$D$24*Inputs!$D$25*(1+Inputs!$D$19)^(AG$227-1)*1</f>
        <v>11389.248</v>
      </c>
      <c r="AH244" s="66" t="n">
        <f aca="false">AH238*Inputs!$D$23*Inputs!$D$24*Inputs!$D$25*(1+Inputs!$D$19)^(AH$227-1)*1</f>
        <v>11389.248</v>
      </c>
      <c r="AI244" s="66" t="n">
        <f aca="false">AI238*Inputs!$D$23*Inputs!$D$24*Inputs!$D$25*(1+Inputs!$D$19)^(AI$227-1)*1</f>
        <v>11389.248</v>
      </c>
      <c r="AJ244" s="66" t="n">
        <f aca="false">AJ238*Inputs!$D$23*Inputs!$D$24*Inputs!$D$25*(1+Inputs!$D$19)^(AJ$227-1)*1</f>
        <v>11389.248</v>
      </c>
      <c r="AK244" s="66" t="n">
        <f aca="false">AK238*Inputs!$D$23*Inputs!$D$24*Inputs!$D$25*(1+Inputs!$D$19)^(AK$227-1)*1</f>
        <v>11389.248</v>
      </c>
      <c r="AL244" s="66" t="n">
        <f aca="false">AL238*Inputs!$D$23*Inputs!$D$24*Inputs!$D$25*(1+Inputs!$D$19)^(AL$227-1)*1</f>
        <v>11389.248</v>
      </c>
    </row>
    <row r="245" customFormat="false" ht="15" hidden="false" customHeight="false" outlineLevel="0" collapsed="false">
      <c r="A245" s="6" t="s">
        <v>383</v>
      </c>
      <c r="C245" s="66" t="n">
        <f aca="false">C238*Inputs!$D$27*(1+Inputs!$D$19)^(C$227-1)*1</f>
        <v>1060.90909090909</v>
      </c>
      <c r="D245" s="66" t="n">
        <f aca="false">D238*Inputs!$D$27*(1+Inputs!$D$19)^(D$227-1)*1</f>
        <v>1257.68181818182</v>
      </c>
      <c r="E245" s="66" t="n">
        <f aca="false">E238*Inputs!$D$27*(1+Inputs!$D$19)^(E$227-1)*1</f>
        <v>1444.61590909091</v>
      </c>
      <c r="F245" s="66" t="n">
        <f aca="false">F238*Inputs!$D$27*(1+Inputs!$D$19)^(F$227-1)*1</f>
        <v>1622.20329545455</v>
      </c>
      <c r="G245" s="66" t="n">
        <f aca="false">G238*Inputs!$D$27*(1+Inputs!$D$19)^(G$227-1)*1</f>
        <v>1790.9113125</v>
      </c>
      <c r="H245" s="66" t="n">
        <f aca="false">H238*Inputs!$D$27*(1+Inputs!$D$19)^(H$227-1)*1</f>
        <v>1951.18392869318</v>
      </c>
      <c r="I245" s="66" t="n">
        <f aca="false">I238*Inputs!$D$27*(1+Inputs!$D$19)^(I$227-1)*1</f>
        <v>2103.4429140767</v>
      </c>
      <c r="J245" s="66" t="n">
        <f aca="false">J238*Inputs!$D$27*(1+Inputs!$D$19)^(J$227-1)*1</f>
        <v>2248.08895019105</v>
      </c>
      <c r="K245" s="66" t="n">
        <f aca="false">K238*Inputs!$D$27*(1+Inputs!$D$19)^(K$227-1)*1</f>
        <v>2385.50268449968</v>
      </c>
      <c r="L245" s="66" t="n">
        <f aca="false">L238*Inputs!$D$27*(1+Inputs!$D$19)^(L$227-1)*1</f>
        <v>2516.04573209288</v>
      </c>
      <c r="M245" s="66" t="n">
        <f aca="false">M238*Inputs!$D$27*(1+Inputs!$D$19)^(M$227-1)*1</f>
        <v>2639.82181353709</v>
      </c>
      <c r="N245" s="66" t="n">
        <f aca="false">N238*Inputs!$D$27*(1+Inputs!$D$19)^(N$227-1)*1</f>
        <v>2700</v>
      </c>
      <c r="O245" s="66" t="n">
        <f aca="false">O238*Inputs!$D$27*(1+Inputs!$D$19)^(O$227-1)*1</f>
        <v>2808</v>
      </c>
      <c r="P245" s="66" t="n">
        <f aca="false">P238*Inputs!$D$27*(1+Inputs!$D$19)^(P$227-1)*1</f>
        <v>2808</v>
      </c>
      <c r="Q245" s="66" t="n">
        <f aca="false">Q238*Inputs!$D$27*(1+Inputs!$D$19)^(Q$227-1)*1</f>
        <v>2808</v>
      </c>
      <c r="R245" s="66" t="n">
        <f aca="false">R238*Inputs!$D$27*(1+Inputs!$D$19)^(R$227-1)*1</f>
        <v>2808</v>
      </c>
      <c r="S245" s="66" t="n">
        <f aca="false">S238*Inputs!$D$27*(1+Inputs!$D$19)^(S$227-1)*1</f>
        <v>2808</v>
      </c>
      <c r="T245" s="66" t="n">
        <f aca="false">T238*Inputs!$D$27*(1+Inputs!$D$19)^(T$227-1)*1</f>
        <v>2808</v>
      </c>
      <c r="U245" s="66" t="n">
        <f aca="false">U238*Inputs!$D$27*(1+Inputs!$D$19)^(U$227-1)*1</f>
        <v>2808</v>
      </c>
      <c r="V245" s="66" t="n">
        <f aca="false">V238*Inputs!$D$27*(1+Inputs!$D$19)^(V$227-1)*1</f>
        <v>2808</v>
      </c>
      <c r="W245" s="66" t="n">
        <f aca="false">W238*Inputs!$D$27*(1+Inputs!$D$19)^(W$227-1)*1</f>
        <v>2808</v>
      </c>
      <c r="X245" s="66" t="n">
        <f aca="false">X238*Inputs!$D$27*(1+Inputs!$D$19)^(X$227-1)*1</f>
        <v>2808</v>
      </c>
      <c r="Y245" s="66" t="n">
        <f aca="false">Y238*Inputs!$D$27*(1+Inputs!$D$19)^(Y$227-1)*1</f>
        <v>2808</v>
      </c>
      <c r="Z245" s="66" t="n">
        <f aca="false">Z238*Inputs!$D$27*(1+Inputs!$D$19)^(Z$227-1)*1</f>
        <v>2808</v>
      </c>
      <c r="AA245" s="66" t="n">
        <f aca="false">AA238*Inputs!$D$27*(1+Inputs!$D$19)^(AA$227-1)*1</f>
        <v>2920.32</v>
      </c>
      <c r="AB245" s="66" t="n">
        <f aca="false">AB238*Inputs!$D$27*(1+Inputs!$D$19)^(AB$227-1)*1</f>
        <v>2920.32</v>
      </c>
      <c r="AC245" s="66" t="n">
        <f aca="false">AC238*Inputs!$D$27*(1+Inputs!$D$19)^(AC$227-1)*1</f>
        <v>2920.32</v>
      </c>
      <c r="AD245" s="66" t="n">
        <f aca="false">AD238*Inputs!$D$27*(1+Inputs!$D$19)^(AD$227-1)*1</f>
        <v>2920.32</v>
      </c>
      <c r="AE245" s="66" t="n">
        <f aca="false">AE238*Inputs!$D$27*(1+Inputs!$D$19)^(AE$227-1)*1</f>
        <v>2920.32</v>
      </c>
      <c r="AF245" s="66" t="n">
        <f aca="false">AF238*Inputs!$D$27*(1+Inputs!$D$19)^(AF$227-1)*1</f>
        <v>2920.32</v>
      </c>
      <c r="AG245" s="66" t="n">
        <f aca="false">AG238*Inputs!$D$27*(1+Inputs!$D$19)^(AG$227-1)*1</f>
        <v>2920.32</v>
      </c>
      <c r="AH245" s="66" t="n">
        <f aca="false">AH238*Inputs!$D$27*(1+Inputs!$D$19)^(AH$227-1)*1</f>
        <v>2920.32</v>
      </c>
      <c r="AI245" s="66" t="n">
        <f aca="false">AI238*Inputs!$D$27*(1+Inputs!$D$19)^(AI$227-1)*1</f>
        <v>2920.32</v>
      </c>
      <c r="AJ245" s="66" t="n">
        <f aca="false">AJ238*Inputs!$D$27*(1+Inputs!$D$19)^(AJ$227-1)*1</f>
        <v>2920.32</v>
      </c>
      <c r="AK245" s="66" t="n">
        <f aca="false">AK238*Inputs!$D$27*(1+Inputs!$D$19)^(AK$227-1)*1</f>
        <v>2920.32</v>
      </c>
      <c r="AL245" s="66" t="n">
        <f aca="false">AL238*Inputs!$D$27*(1+Inputs!$D$19)^(AL$227-1)*1</f>
        <v>2920.32</v>
      </c>
    </row>
    <row r="246" customFormat="false" ht="15" hidden="false" customHeight="false" outlineLevel="0" collapsed="false">
      <c r="A246" s="110" t="s">
        <v>44</v>
      </c>
      <c r="C246" s="67" t="n">
        <f aca="false">C242+C243+C244+C245</f>
        <v>26511.8181818182</v>
      </c>
      <c r="D246" s="67" t="n">
        <f aca="false">D242+D243+D244+D245</f>
        <v>31050.7090909091</v>
      </c>
      <c r="E246" s="67" t="n">
        <f aca="false">E242+E243+E244+E245</f>
        <v>35362.6554545455</v>
      </c>
      <c r="F246" s="67" t="n">
        <f aca="false">F242+F243+F244+F245</f>
        <v>39459.0045</v>
      </c>
      <c r="G246" s="67" t="n">
        <f aca="false">G242+G243+G244+G245</f>
        <v>43350.5360931818</v>
      </c>
      <c r="H246" s="67" t="n">
        <f aca="false">H242+H243+H244+H245</f>
        <v>47047.4911067045</v>
      </c>
      <c r="I246" s="67" t="n">
        <f aca="false">I242+I243+I244+I245</f>
        <v>50559.5983695511</v>
      </c>
      <c r="J246" s="67" t="n">
        <f aca="false">J242+J243+J244+J245</f>
        <v>53896.1002692554</v>
      </c>
      <c r="K246" s="67" t="n">
        <f aca="false">K242+K243+K244+K245</f>
        <v>57065.7770739744</v>
      </c>
      <c r="L246" s="67" t="n">
        <f aca="false">L242+L243+L244+L245</f>
        <v>60076.9700384575</v>
      </c>
      <c r="M246" s="67" t="n">
        <f aca="false">M242+M243+M244+M245</f>
        <v>62928.154692205</v>
      </c>
      <c r="N246" s="67" t="n">
        <f aca="false">N242+N243+N244+N245</f>
        <v>63382.5</v>
      </c>
      <c r="O246" s="67" t="n">
        <f aca="false">O242+O243+O244+O245</f>
        <v>65917.8</v>
      </c>
      <c r="P246" s="67" t="n">
        <f aca="false">P242+P243+P244+P245</f>
        <v>65917.8</v>
      </c>
      <c r="Q246" s="67" t="n">
        <f aca="false">Q242+Q243+Q244+Q245</f>
        <v>65917.8</v>
      </c>
      <c r="R246" s="67" t="n">
        <f aca="false">R242+R243+R244+R245</f>
        <v>65917.8</v>
      </c>
      <c r="S246" s="67" t="n">
        <f aca="false">S242+S243+S244+S245</f>
        <v>65917.8</v>
      </c>
      <c r="T246" s="67" t="n">
        <f aca="false">T242+T243+T244+T245</f>
        <v>65917.8</v>
      </c>
      <c r="U246" s="67" t="n">
        <f aca="false">U242+U243+U244+U245</f>
        <v>65917.8</v>
      </c>
      <c r="V246" s="67" t="n">
        <f aca="false">V242+V243+V244+V245</f>
        <v>65917.8</v>
      </c>
      <c r="W246" s="67" t="n">
        <f aca="false">W242+W243+W244+W245</f>
        <v>65917.8</v>
      </c>
      <c r="X246" s="67" t="n">
        <f aca="false">X242+X243+X244+X245</f>
        <v>65917.8</v>
      </c>
      <c r="Y246" s="67" t="n">
        <f aca="false">Y242+Y243+Y244+Y245</f>
        <v>65917.8</v>
      </c>
      <c r="Z246" s="67" t="n">
        <f aca="false">Z242+Z243+Z244+Z245</f>
        <v>65917.8</v>
      </c>
      <c r="AA246" s="67" t="n">
        <f aca="false">AA242+AA243+AA244+AA245</f>
        <v>68554.512</v>
      </c>
      <c r="AB246" s="67" t="n">
        <f aca="false">AB242+AB243+AB244+AB245</f>
        <v>68554.512</v>
      </c>
      <c r="AC246" s="67" t="n">
        <f aca="false">AC242+AC243+AC244+AC245</f>
        <v>68554.512</v>
      </c>
      <c r="AD246" s="67" t="n">
        <f aca="false">AD242+AD243+AD244+AD245</f>
        <v>68554.512</v>
      </c>
      <c r="AE246" s="67" t="n">
        <f aca="false">AE242+AE243+AE244+AE245</f>
        <v>68554.512</v>
      </c>
      <c r="AF246" s="67" t="n">
        <f aca="false">AF242+AF243+AF244+AF245</f>
        <v>68554.512</v>
      </c>
      <c r="AG246" s="67" t="n">
        <f aca="false">AG242+AG243+AG244+AG245</f>
        <v>68554.512</v>
      </c>
      <c r="AH246" s="67" t="n">
        <f aca="false">AH242+AH243+AH244+AH245</f>
        <v>68554.512</v>
      </c>
      <c r="AI246" s="67" t="n">
        <f aca="false">AI242+AI243+AI244+AI245</f>
        <v>68554.512</v>
      </c>
      <c r="AJ246" s="67" t="n">
        <f aca="false">AJ242+AJ243+AJ244+AJ245</f>
        <v>68554.512</v>
      </c>
      <c r="AK246" s="67" t="n">
        <f aca="false">AK242+AK243+AK244+AK245</f>
        <v>68554.512</v>
      </c>
      <c r="AL246" s="67" t="n">
        <f aca="false">AL242+AL243+AL244+AL245</f>
        <v>68554.512</v>
      </c>
    </row>
    <row r="248" customFormat="false" ht="15.75" hidden="false" customHeight="true" outlineLevel="0" collapsed="false">
      <c r="A248" s="7" t="s">
        <v>75</v>
      </c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</row>
    <row r="249" customFormat="false" ht="15" hidden="false" customHeight="false" outlineLevel="0" collapsed="false">
      <c r="A249" s="6" t="s">
        <v>384</v>
      </c>
      <c r="C249" s="66" t="n">
        <f aca="false">-Inputs!$D$31*52/12*Inputs!$D$32*(1+Inputs!$D$51)^(C$227-1)*1</f>
        <v>-6933.33333333333</v>
      </c>
      <c r="D249" s="66" t="n">
        <f aca="false">-Inputs!$D$31*52/12*Inputs!$D$32*(1+Inputs!$D$51)^(D$227-1)*1</f>
        <v>-6933.33333333333</v>
      </c>
      <c r="E249" s="66" t="n">
        <f aca="false">-Inputs!$D$31*52/12*Inputs!$D$32*(1+Inputs!$D$51)^(E$227-1)*1</f>
        <v>-6933.33333333333</v>
      </c>
      <c r="F249" s="66" t="n">
        <f aca="false">-Inputs!$D$31*52/12*Inputs!$D$32*(1+Inputs!$D$51)^(F$227-1)*1</f>
        <v>-6933.33333333333</v>
      </c>
      <c r="G249" s="66" t="n">
        <f aca="false">-Inputs!$D$31*52/12*Inputs!$D$32*(1+Inputs!$D$51)^(G$227-1)*1</f>
        <v>-6933.33333333333</v>
      </c>
      <c r="H249" s="66" t="n">
        <f aca="false">-Inputs!$D$31*52/12*Inputs!$D$32*(1+Inputs!$D$51)^(H$227-1)*1</f>
        <v>-6933.33333333333</v>
      </c>
      <c r="I249" s="66" t="n">
        <f aca="false">-Inputs!$D$31*52/12*Inputs!$D$32*(1+Inputs!$D$51)^(I$227-1)*1</f>
        <v>-6933.33333333333</v>
      </c>
      <c r="J249" s="66" t="n">
        <f aca="false">-Inputs!$D$31*52/12*Inputs!$D$32*(1+Inputs!$D$51)^(J$227-1)*1</f>
        <v>-6933.33333333333</v>
      </c>
      <c r="K249" s="66" t="n">
        <f aca="false">-Inputs!$D$31*52/12*Inputs!$D$32*(1+Inputs!$D$51)^(K$227-1)*1</f>
        <v>-6933.33333333333</v>
      </c>
      <c r="L249" s="66" t="n">
        <f aca="false">-Inputs!$D$31*52/12*Inputs!$D$32*(1+Inputs!$D$51)^(L$227-1)*1</f>
        <v>-6933.33333333333</v>
      </c>
      <c r="M249" s="66" t="n">
        <f aca="false">-Inputs!$D$31*52/12*Inputs!$D$32*(1+Inputs!$D$51)^(M$227-1)*1</f>
        <v>-6933.33333333333</v>
      </c>
      <c r="N249" s="66" t="n">
        <f aca="false">-Inputs!$D$31*52/12*Inputs!$D$32*(1+Inputs!$D$51)^(N$227-1)*1</f>
        <v>-6933.33333333333</v>
      </c>
      <c r="O249" s="66" t="n">
        <f aca="false">-Inputs!$D$31*52/12*Inputs!$D$32*(1+Inputs!$D$51)^(O$227-1)*1</f>
        <v>-7141.33333333333</v>
      </c>
      <c r="P249" s="66" t="n">
        <f aca="false">-Inputs!$D$31*52/12*Inputs!$D$32*(1+Inputs!$D$51)^(P$227-1)*1</f>
        <v>-7141.33333333333</v>
      </c>
      <c r="Q249" s="66" t="n">
        <f aca="false">-Inputs!$D$31*52/12*Inputs!$D$32*(1+Inputs!$D$51)^(Q$227-1)*1</f>
        <v>-7141.33333333333</v>
      </c>
      <c r="R249" s="66" t="n">
        <f aca="false">-Inputs!$D$31*52/12*Inputs!$D$32*(1+Inputs!$D$51)^(R$227-1)*1</f>
        <v>-7141.33333333333</v>
      </c>
      <c r="S249" s="66" t="n">
        <f aca="false">-Inputs!$D$31*52/12*Inputs!$D$32*(1+Inputs!$D$51)^(S$227-1)*1</f>
        <v>-7141.33333333333</v>
      </c>
      <c r="T249" s="66" t="n">
        <f aca="false">-Inputs!$D$31*52/12*Inputs!$D$32*(1+Inputs!$D$51)^(T$227-1)*1</f>
        <v>-7141.33333333333</v>
      </c>
      <c r="U249" s="66" t="n">
        <f aca="false">-Inputs!$D$31*52/12*Inputs!$D$32*(1+Inputs!$D$51)^(U$227-1)*1</f>
        <v>-7141.33333333333</v>
      </c>
      <c r="V249" s="66" t="n">
        <f aca="false">-Inputs!$D$31*52/12*Inputs!$D$32*(1+Inputs!$D$51)^(V$227-1)*1</f>
        <v>-7141.33333333333</v>
      </c>
      <c r="W249" s="66" t="n">
        <f aca="false">-Inputs!$D$31*52/12*Inputs!$D$32*(1+Inputs!$D$51)^(W$227-1)*1</f>
        <v>-7141.33333333333</v>
      </c>
      <c r="X249" s="66" t="n">
        <f aca="false">-Inputs!$D$31*52/12*Inputs!$D$32*(1+Inputs!$D$51)^(X$227-1)*1</f>
        <v>-7141.33333333333</v>
      </c>
      <c r="Y249" s="66" t="n">
        <f aca="false">-Inputs!$D$31*52/12*Inputs!$D$32*(1+Inputs!$D$51)^(Y$227-1)*1</f>
        <v>-7141.33333333333</v>
      </c>
      <c r="Z249" s="66" t="n">
        <f aca="false">-Inputs!$D$31*52/12*Inputs!$D$32*(1+Inputs!$D$51)^(Z$227-1)*1</f>
        <v>-7141.33333333333</v>
      </c>
      <c r="AA249" s="66" t="n">
        <f aca="false">-Inputs!$D$31*52/12*Inputs!$D$32*(1+Inputs!$D$51)^(AA$227-1)*1</f>
        <v>-7355.57333333333</v>
      </c>
      <c r="AB249" s="66" t="n">
        <f aca="false">-Inputs!$D$31*52/12*Inputs!$D$32*(1+Inputs!$D$51)^(AB$227-1)*1</f>
        <v>-7355.57333333333</v>
      </c>
      <c r="AC249" s="66" t="n">
        <f aca="false">-Inputs!$D$31*52/12*Inputs!$D$32*(1+Inputs!$D$51)^(AC$227-1)*1</f>
        <v>-7355.57333333333</v>
      </c>
      <c r="AD249" s="66" t="n">
        <f aca="false">-Inputs!$D$31*52/12*Inputs!$D$32*(1+Inputs!$D$51)^(AD$227-1)*1</f>
        <v>-7355.57333333333</v>
      </c>
      <c r="AE249" s="66" t="n">
        <f aca="false">-Inputs!$D$31*52/12*Inputs!$D$32*(1+Inputs!$D$51)^(AE$227-1)*1</f>
        <v>-7355.57333333333</v>
      </c>
      <c r="AF249" s="66" t="n">
        <f aca="false">-Inputs!$D$31*52/12*Inputs!$D$32*(1+Inputs!$D$51)^(AF$227-1)*1</f>
        <v>-7355.57333333333</v>
      </c>
      <c r="AG249" s="66" t="n">
        <f aca="false">-Inputs!$D$31*52/12*Inputs!$D$32*(1+Inputs!$D$51)^(AG$227-1)*1</f>
        <v>-7355.57333333333</v>
      </c>
      <c r="AH249" s="66" t="n">
        <f aca="false">-Inputs!$D$31*52/12*Inputs!$D$32*(1+Inputs!$D$51)^(AH$227-1)*1</f>
        <v>-7355.57333333333</v>
      </c>
      <c r="AI249" s="66" t="n">
        <f aca="false">-Inputs!$D$31*52/12*Inputs!$D$32*(1+Inputs!$D$51)^(AI$227-1)*1</f>
        <v>-7355.57333333333</v>
      </c>
      <c r="AJ249" s="66" t="n">
        <f aca="false">-Inputs!$D$31*52/12*Inputs!$D$32*(1+Inputs!$D$51)^(AJ$227-1)*1</f>
        <v>-7355.57333333333</v>
      </c>
      <c r="AK249" s="66" t="n">
        <f aca="false">-Inputs!$D$31*52/12*Inputs!$D$32*(1+Inputs!$D$51)^(AK$227-1)*1</f>
        <v>-7355.57333333333</v>
      </c>
      <c r="AL249" s="66" t="n">
        <f aca="false">-Inputs!$D$31*52/12*Inputs!$D$32*(1+Inputs!$D$51)^(AL$227-1)*1</f>
        <v>-7355.57333333333</v>
      </c>
    </row>
    <row r="250" customFormat="false" ht="15" hidden="false" customHeight="false" outlineLevel="0" collapsed="false">
      <c r="A250" s="6" t="s">
        <v>385</v>
      </c>
      <c r="C250" s="66" t="n">
        <f aca="false">-C244*Inputs!$D$26</f>
        <v>-1861.89545454545</v>
      </c>
      <c r="D250" s="66" t="n">
        <f aca="false">-D244*Inputs!$D$26</f>
        <v>-2207.23159090909</v>
      </c>
      <c r="E250" s="66" t="n">
        <f aca="false">-E244*Inputs!$D$26</f>
        <v>-2535.30092045455</v>
      </c>
      <c r="F250" s="66" t="n">
        <f aca="false">-F244*Inputs!$D$26</f>
        <v>-2846.96678352273</v>
      </c>
      <c r="G250" s="66" t="n">
        <f aca="false">-G244*Inputs!$D$26</f>
        <v>-3143.0493534375</v>
      </c>
      <c r="H250" s="66" t="n">
        <f aca="false">-H244*Inputs!$D$26</f>
        <v>-3424.32779485653</v>
      </c>
      <c r="I250" s="66" t="n">
        <f aca="false">-I244*Inputs!$D$26</f>
        <v>-3691.54231420462</v>
      </c>
      <c r="J250" s="66" t="n">
        <f aca="false">-J244*Inputs!$D$26</f>
        <v>-3945.39610758529</v>
      </c>
      <c r="K250" s="66" t="n">
        <f aca="false">-K244*Inputs!$D$26</f>
        <v>-4186.55721129694</v>
      </c>
      <c r="L250" s="66" t="n">
        <f aca="false">-L244*Inputs!$D$26</f>
        <v>-4415.660259823</v>
      </c>
      <c r="M250" s="66" t="n">
        <f aca="false">-M244*Inputs!$D$26</f>
        <v>-4632.88728275759</v>
      </c>
      <c r="N250" s="66" t="n">
        <f aca="false">-N244*Inputs!$D$26</f>
        <v>-4738.5</v>
      </c>
      <c r="O250" s="66" t="n">
        <f aca="false">-O244*Inputs!$D$26</f>
        <v>-4928.04</v>
      </c>
      <c r="P250" s="66" t="n">
        <f aca="false">-P244*Inputs!$D$26</f>
        <v>-4928.04</v>
      </c>
      <c r="Q250" s="66" t="n">
        <f aca="false">-Q244*Inputs!$D$26</f>
        <v>-4928.04</v>
      </c>
      <c r="R250" s="66" t="n">
        <f aca="false">-R244*Inputs!$D$26</f>
        <v>-4928.04</v>
      </c>
      <c r="S250" s="66" t="n">
        <f aca="false">-S244*Inputs!$D$26</f>
        <v>-4928.04</v>
      </c>
      <c r="T250" s="66" t="n">
        <f aca="false">-T244*Inputs!$D$26</f>
        <v>-4928.04</v>
      </c>
      <c r="U250" s="66" t="n">
        <f aca="false">-U244*Inputs!$D$26</f>
        <v>-4928.04</v>
      </c>
      <c r="V250" s="66" t="n">
        <f aca="false">-V244*Inputs!$D$26</f>
        <v>-4928.04</v>
      </c>
      <c r="W250" s="66" t="n">
        <f aca="false">-W244*Inputs!$D$26</f>
        <v>-4928.04</v>
      </c>
      <c r="X250" s="66" t="n">
        <f aca="false">-X244*Inputs!$D$26</f>
        <v>-4928.04</v>
      </c>
      <c r="Y250" s="66" t="n">
        <f aca="false">-Y244*Inputs!$D$26</f>
        <v>-4928.04</v>
      </c>
      <c r="Z250" s="66" t="n">
        <f aca="false">-Z244*Inputs!$D$26</f>
        <v>-4928.04</v>
      </c>
      <c r="AA250" s="66" t="n">
        <f aca="false">-AA244*Inputs!$D$26</f>
        <v>-5125.1616</v>
      </c>
      <c r="AB250" s="66" t="n">
        <f aca="false">-AB244*Inputs!$D$26</f>
        <v>-5125.1616</v>
      </c>
      <c r="AC250" s="66" t="n">
        <f aca="false">-AC244*Inputs!$D$26</f>
        <v>-5125.1616</v>
      </c>
      <c r="AD250" s="66" t="n">
        <f aca="false">-AD244*Inputs!$D$26</f>
        <v>-5125.1616</v>
      </c>
      <c r="AE250" s="66" t="n">
        <f aca="false">-AE244*Inputs!$D$26</f>
        <v>-5125.1616</v>
      </c>
      <c r="AF250" s="66" t="n">
        <f aca="false">-AF244*Inputs!$D$26</f>
        <v>-5125.1616</v>
      </c>
      <c r="AG250" s="66" t="n">
        <f aca="false">-AG244*Inputs!$D$26</f>
        <v>-5125.1616</v>
      </c>
      <c r="AH250" s="66" t="n">
        <f aca="false">-AH244*Inputs!$D$26</f>
        <v>-5125.1616</v>
      </c>
      <c r="AI250" s="66" t="n">
        <f aca="false">-AI244*Inputs!$D$26</f>
        <v>-5125.1616</v>
      </c>
      <c r="AJ250" s="66" t="n">
        <f aca="false">-AJ244*Inputs!$D$26</f>
        <v>-5125.1616</v>
      </c>
      <c r="AK250" s="66" t="n">
        <f aca="false">-AK244*Inputs!$D$26</f>
        <v>-5125.1616</v>
      </c>
      <c r="AL250" s="66" t="n">
        <f aca="false">-AL244*Inputs!$D$26</f>
        <v>-5125.1616</v>
      </c>
    </row>
    <row r="251" customFormat="false" ht="15" hidden="false" customHeight="false" outlineLevel="0" collapsed="false">
      <c r="A251" s="6" t="s">
        <v>386</v>
      </c>
      <c r="C251" s="66" t="n">
        <f aca="false">-C245*Inputs!$D$28</f>
        <v>-477.409090909091</v>
      </c>
      <c r="D251" s="66" t="n">
        <f aca="false">-D245*Inputs!$D$28</f>
        <v>-565.956818181818</v>
      </c>
      <c r="E251" s="66" t="n">
        <f aca="false">-E245*Inputs!$D$28</f>
        <v>-650.077159090909</v>
      </c>
      <c r="F251" s="66" t="n">
        <f aca="false">-F245*Inputs!$D$28</f>
        <v>-729.991482954545</v>
      </c>
      <c r="G251" s="66" t="n">
        <f aca="false">-G245*Inputs!$D$28</f>
        <v>-805.910090625</v>
      </c>
      <c r="H251" s="66" t="n">
        <f aca="false">-H245*Inputs!$D$28</f>
        <v>-878.032767911932</v>
      </c>
      <c r="I251" s="66" t="n">
        <f aca="false">-I245*Inputs!$D$28</f>
        <v>-946.549311334517</v>
      </c>
      <c r="J251" s="66" t="n">
        <f aca="false">-J245*Inputs!$D$28</f>
        <v>-1011.64002758597</v>
      </c>
      <c r="K251" s="66" t="n">
        <f aca="false">-K245*Inputs!$D$28</f>
        <v>-1073.47620802486</v>
      </c>
      <c r="L251" s="66" t="n">
        <f aca="false">-L245*Inputs!$D$28</f>
        <v>-1132.2205794418</v>
      </c>
      <c r="M251" s="66" t="n">
        <f aca="false">-M245*Inputs!$D$28</f>
        <v>-1187.91981609169</v>
      </c>
      <c r="N251" s="66" t="n">
        <f aca="false">-N245*Inputs!$D$28</f>
        <v>-1215</v>
      </c>
      <c r="O251" s="66" t="n">
        <f aca="false">-O245*Inputs!$D$28</f>
        <v>-1263.6</v>
      </c>
      <c r="P251" s="66" t="n">
        <f aca="false">-P245*Inputs!$D$28</f>
        <v>-1263.6</v>
      </c>
      <c r="Q251" s="66" t="n">
        <f aca="false">-Q245*Inputs!$D$28</f>
        <v>-1263.6</v>
      </c>
      <c r="R251" s="66" t="n">
        <f aca="false">-R245*Inputs!$D$28</f>
        <v>-1263.6</v>
      </c>
      <c r="S251" s="66" t="n">
        <f aca="false">-S245*Inputs!$D$28</f>
        <v>-1263.6</v>
      </c>
      <c r="T251" s="66" t="n">
        <f aca="false">-T245*Inputs!$D$28</f>
        <v>-1263.6</v>
      </c>
      <c r="U251" s="66" t="n">
        <f aca="false">-U245*Inputs!$D$28</f>
        <v>-1263.6</v>
      </c>
      <c r="V251" s="66" t="n">
        <f aca="false">-V245*Inputs!$D$28</f>
        <v>-1263.6</v>
      </c>
      <c r="W251" s="66" t="n">
        <f aca="false">-W245*Inputs!$D$28</f>
        <v>-1263.6</v>
      </c>
      <c r="X251" s="66" t="n">
        <f aca="false">-X245*Inputs!$D$28</f>
        <v>-1263.6</v>
      </c>
      <c r="Y251" s="66" t="n">
        <f aca="false">-Y245*Inputs!$D$28</f>
        <v>-1263.6</v>
      </c>
      <c r="Z251" s="66" t="n">
        <f aca="false">-Z245*Inputs!$D$28</f>
        <v>-1263.6</v>
      </c>
      <c r="AA251" s="66" t="n">
        <f aca="false">-AA245*Inputs!$D$28</f>
        <v>-1314.144</v>
      </c>
      <c r="AB251" s="66" t="n">
        <f aca="false">-AB245*Inputs!$D$28</f>
        <v>-1314.144</v>
      </c>
      <c r="AC251" s="66" t="n">
        <f aca="false">-AC245*Inputs!$D$28</f>
        <v>-1314.144</v>
      </c>
      <c r="AD251" s="66" t="n">
        <f aca="false">-AD245*Inputs!$D$28</f>
        <v>-1314.144</v>
      </c>
      <c r="AE251" s="66" t="n">
        <f aca="false">-AE245*Inputs!$D$28</f>
        <v>-1314.144</v>
      </c>
      <c r="AF251" s="66" t="n">
        <f aca="false">-AF245*Inputs!$D$28</f>
        <v>-1314.144</v>
      </c>
      <c r="AG251" s="66" t="n">
        <f aca="false">-AG245*Inputs!$D$28</f>
        <v>-1314.144</v>
      </c>
      <c r="AH251" s="66" t="n">
        <f aca="false">-AH245*Inputs!$D$28</f>
        <v>-1314.144</v>
      </c>
      <c r="AI251" s="66" t="n">
        <f aca="false">-AI245*Inputs!$D$28</f>
        <v>-1314.144</v>
      </c>
      <c r="AJ251" s="66" t="n">
        <f aca="false">-AJ245*Inputs!$D$28</f>
        <v>-1314.144</v>
      </c>
      <c r="AK251" s="66" t="n">
        <f aca="false">-AK245*Inputs!$D$28</f>
        <v>-1314.144</v>
      </c>
      <c r="AL251" s="66" t="n">
        <f aca="false">-AL245*Inputs!$D$28</f>
        <v>-1314.144</v>
      </c>
    </row>
    <row r="252" customFormat="false" ht="15" hidden="false" customHeight="false" outlineLevel="0" collapsed="false">
      <c r="A252" s="4" t="s">
        <v>75</v>
      </c>
      <c r="C252" s="72" t="n">
        <f aca="false">C249+C250+C251</f>
        <v>-9272.63787878788</v>
      </c>
      <c r="D252" s="72" t="n">
        <f aca="false">D249+D250+D251</f>
        <v>-9706.52174242424</v>
      </c>
      <c r="E252" s="72" t="n">
        <f aca="false">E249+E250+E251</f>
        <v>-10118.7114128788</v>
      </c>
      <c r="F252" s="72" t="n">
        <f aca="false">F249+F250+F251</f>
        <v>-10510.2915998106</v>
      </c>
      <c r="G252" s="72" t="n">
        <f aca="false">G249+G250+G251</f>
        <v>-10882.2927773958</v>
      </c>
      <c r="H252" s="72" t="n">
        <f aca="false">H249+H250+H251</f>
        <v>-11235.6938961018</v>
      </c>
      <c r="I252" s="72" t="n">
        <f aca="false">I249+I250+I251</f>
        <v>-11571.4249588725</v>
      </c>
      <c r="J252" s="72" t="n">
        <f aca="false">J249+J250+J251</f>
        <v>-11890.3694685046</v>
      </c>
      <c r="K252" s="72" t="n">
        <f aca="false">K249+K250+K251</f>
        <v>-12193.3667526551</v>
      </c>
      <c r="L252" s="72" t="n">
        <f aca="false">L249+L250+L251</f>
        <v>-12481.2141725981</v>
      </c>
      <c r="M252" s="72" t="n">
        <f aca="false">M249+M250+M251</f>
        <v>-12754.1404321826</v>
      </c>
      <c r="N252" s="72" t="n">
        <f aca="false">N249+N250+N251</f>
        <v>-12886.8333333333</v>
      </c>
      <c r="O252" s="72" t="n">
        <f aca="false">O249+O250+O251</f>
        <v>-13332.9733333333</v>
      </c>
      <c r="P252" s="72" t="n">
        <f aca="false">P249+P250+P251</f>
        <v>-13332.9733333333</v>
      </c>
      <c r="Q252" s="72" t="n">
        <f aca="false">Q249+Q250+Q251</f>
        <v>-13332.9733333333</v>
      </c>
      <c r="R252" s="72" t="n">
        <f aca="false">R249+R250+R251</f>
        <v>-13332.9733333333</v>
      </c>
      <c r="S252" s="72" t="n">
        <f aca="false">S249+S250+S251</f>
        <v>-13332.9733333333</v>
      </c>
      <c r="T252" s="72" t="n">
        <f aca="false">T249+T250+T251</f>
        <v>-13332.9733333333</v>
      </c>
      <c r="U252" s="72" t="n">
        <f aca="false">U249+U250+U251</f>
        <v>-13332.9733333333</v>
      </c>
      <c r="V252" s="72" t="n">
        <f aca="false">V249+V250+V251</f>
        <v>-13332.9733333333</v>
      </c>
      <c r="W252" s="72" t="n">
        <f aca="false">W249+W250+W251</f>
        <v>-13332.9733333333</v>
      </c>
      <c r="X252" s="72" t="n">
        <f aca="false">X249+X250+X251</f>
        <v>-13332.9733333333</v>
      </c>
      <c r="Y252" s="72" t="n">
        <f aca="false">Y249+Y250+Y251</f>
        <v>-13332.9733333333</v>
      </c>
      <c r="Z252" s="72" t="n">
        <f aca="false">Z249+Z250+Z251</f>
        <v>-13332.9733333333</v>
      </c>
      <c r="AA252" s="72" t="n">
        <f aca="false">AA249+AA250+AA251</f>
        <v>-13794.8789333333</v>
      </c>
      <c r="AB252" s="72" t="n">
        <f aca="false">AB249+AB250+AB251</f>
        <v>-13794.8789333333</v>
      </c>
      <c r="AC252" s="72" t="n">
        <f aca="false">AC249+AC250+AC251</f>
        <v>-13794.8789333333</v>
      </c>
      <c r="AD252" s="72" t="n">
        <f aca="false">AD249+AD250+AD251</f>
        <v>-13794.8789333333</v>
      </c>
      <c r="AE252" s="72" t="n">
        <f aca="false">AE249+AE250+AE251</f>
        <v>-13794.8789333333</v>
      </c>
      <c r="AF252" s="72" t="n">
        <f aca="false">AF249+AF250+AF251</f>
        <v>-13794.8789333333</v>
      </c>
      <c r="AG252" s="72" t="n">
        <f aca="false">AG249+AG250+AG251</f>
        <v>-13794.8789333333</v>
      </c>
      <c r="AH252" s="72" t="n">
        <f aca="false">AH249+AH250+AH251</f>
        <v>-13794.8789333333</v>
      </c>
      <c r="AI252" s="72" t="n">
        <f aca="false">AI249+AI250+AI251</f>
        <v>-13794.8789333333</v>
      </c>
      <c r="AJ252" s="72" t="n">
        <f aca="false">AJ249+AJ250+AJ251</f>
        <v>-13794.8789333333</v>
      </c>
      <c r="AK252" s="72" t="n">
        <f aca="false">AK249+AK250+AK251</f>
        <v>-13794.8789333333</v>
      </c>
      <c r="AL252" s="72" t="n">
        <f aca="false">AL249+AL250+AL251</f>
        <v>-13794.8789333333</v>
      </c>
    </row>
    <row r="253" customFormat="false" ht="15" hidden="false" customHeight="false" outlineLevel="0" collapsed="false">
      <c r="A253" s="110" t="s">
        <v>45</v>
      </c>
      <c r="C253" s="67" t="n">
        <f aca="false">C246+C252</f>
        <v>17239.1803030303</v>
      </c>
      <c r="D253" s="67" t="n">
        <f aca="false">D246+D252</f>
        <v>21344.1873484848</v>
      </c>
      <c r="E253" s="67" t="n">
        <f aca="false">E246+E252</f>
        <v>25243.9440416667</v>
      </c>
      <c r="F253" s="67" t="n">
        <f aca="false">F246+F252</f>
        <v>28948.7129001894</v>
      </c>
      <c r="G253" s="67" t="n">
        <f aca="false">G246+G252</f>
        <v>32468.243315786</v>
      </c>
      <c r="H253" s="67" t="n">
        <f aca="false">H246+H252</f>
        <v>35811.7972106027</v>
      </c>
      <c r="I253" s="67" t="n">
        <f aca="false">I246+I252</f>
        <v>38988.1734106787</v>
      </c>
      <c r="J253" s="67" t="n">
        <f aca="false">J246+J252</f>
        <v>42005.7308007508</v>
      </c>
      <c r="K253" s="67" t="n">
        <f aca="false">K246+K252</f>
        <v>44872.4103213193</v>
      </c>
      <c r="L253" s="67" t="n">
        <f aca="false">L246+L252</f>
        <v>47595.7558658594</v>
      </c>
      <c r="M253" s="67" t="n">
        <f aca="false">M246+M252</f>
        <v>50174.0142600224</v>
      </c>
      <c r="N253" s="67" t="n">
        <f aca="false">N246+N252</f>
        <v>50495.6666666667</v>
      </c>
      <c r="O253" s="67" t="n">
        <f aca="false">O246+O252</f>
        <v>52584.8266666667</v>
      </c>
      <c r="P253" s="67" t="n">
        <f aca="false">P246+P252</f>
        <v>52584.8266666667</v>
      </c>
      <c r="Q253" s="67" t="n">
        <f aca="false">Q246+Q252</f>
        <v>52584.8266666667</v>
      </c>
      <c r="R253" s="67" t="n">
        <f aca="false">R246+R252</f>
        <v>52584.8266666667</v>
      </c>
      <c r="S253" s="67" t="n">
        <f aca="false">S246+S252</f>
        <v>52584.8266666667</v>
      </c>
      <c r="T253" s="67" t="n">
        <f aca="false">T246+T252</f>
        <v>52584.8266666667</v>
      </c>
      <c r="U253" s="67" t="n">
        <f aca="false">U246+U252</f>
        <v>52584.8266666667</v>
      </c>
      <c r="V253" s="67" t="n">
        <f aca="false">V246+V252</f>
        <v>52584.8266666667</v>
      </c>
      <c r="W253" s="67" t="n">
        <f aca="false">W246+W252</f>
        <v>52584.8266666667</v>
      </c>
      <c r="X253" s="67" t="n">
        <f aca="false">X246+X252</f>
        <v>52584.8266666667</v>
      </c>
      <c r="Y253" s="67" t="n">
        <f aca="false">Y246+Y252</f>
        <v>52584.8266666667</v>
      </c>
      <c r="Z253" s="67" t="n">
        <f aca="false">Z246+Z252</f>
        <v>52584.8266666667</v>
      </c>
      <c r="AA253" s="67" t="n">
        <f aca="false">AA246+AA252</f>
        <v>54759.6330666667</v>
      </c>
      <c r="AB253" s="67" t="n">
        <f aca="false">AB246+AB252</f>
        <v>54759.6330666667</v>
      </c>
      <c r="AC253" s="67" t="n">
        <f aca="false">AC246+AC252</f>
        <v>54759.6330666667</v>
      </c>
      <c r="AD253" s="67" t="n">
        <f aca="false">AD246+AD252</f>
        <v>54759.6330666667</v>
      </c>
      <c r="AE253" s="67" t="n">
        <f aca="false">AE246+AE252</f>
        <v>54759.6330666667</v>
      </c>
      <c r="AF253" s="67" t="n">
        <f aca="false">AF246+AF252</f>
        <v>54759.6330666667</v>
      </c>
      <c r="AG253" s="67" t="n">
        <f aca="false">AG246+AG252</f>
        <v>54759.6330666667</v>
      </c>
      <c r="AH253" s="67" t="n">
        <f aca="false">AH246+AH252</f>
        <v>54759.6330666667</v>
      </c>
      <c r="AI253" s="67" t="n">
        <f aca="false">AI246+AI252</f>
        <v>54759.6330666667</v>
      </c>
      <c r="AJ253" s="67" t="n">
        <f aca="false">AJ246+AJ252</f>
        <v>54759.6330666667</v>
      </c>
      <c r="AK253" s="67" t="n">
        <f aca="false">AK246+AK252</f>
        <v>54759.6330666667</v>
      </c>
      <c r="AL253" s="67" t="n">
        <f aca="false">AL246+AL252</f>
        <v>54759.6330666667</v>
      </c>
    </row>
    <row r="255" customFormat="false" ht="15.75" hidden="false" customHeight="true" outlineLevel="0" collapsed="false">
      <c r="A255" s="7" t="s">
        <v>47</v>
      </c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</row>
    <row r="256" customFormat="false" ht="15" hidden="false" customHeight="false" outlineLevel="0" collapsed="false">
      <c r="A256" s="6" t="s">
        <v>320</v>
      </c>
      <c r="C256" s="66" t="n">
        <f aca="false">C331</f>
        <v>-13841.6666666667</v>
      </c>
      <c r="D256" s="66" t="n">
        <f aca="false">D331</f>
        <v>-13841.6666666667</v>
      </c>
      <c r="E256" s="66" t="n">
        <f aca="false">E331</f>
        <v>-13841.6666666667</v>
      </c>
      <c r="F256" s="66" t="n">
        <f aca="false">F331</f>
        <v>-13841.6666666667</v>
      </c>
      <c r="G256" s="66" t="n">
        <f aca="false">G331</f>
        <v>-13841.6666666667</v>
      </c>
      <c r="H256" s="66" t="n">
        <f aca="false">H331</f>
        <v>-13841.6666666667</v>
      </c>
      <c r="I256" s="66" t="n">
        <f aca="false">I331</f>
        <v>-13841.6666666667</v>
      </c>
      <c r="J256" s="66" t="n">
        <f aca="false">J331</f>
        <v>-13841.6666666667</v>
      </c>
      <c r="K256" s="66" t="n">
        <f aca="false">K331</f>
        <v>-13841.6666666667</v>
      </c>
      <c r="L256" s="66" t="n">
        <f aca="false">L331</f>
        <v>-13841.6666666667</v>
      </c>
      <c r="M256" s="66" t="n">
        <f aca="false">M331</f>
        <v>-13841.6666666667</v>
      </c>
      <c r="N256" s="66" t="n">
        <f aca="false">N331</f>
        <v>-13841.6666666667</v>
      </c>
      <c r="O256" s="66" t="n">
        <f aca="false">O331</f>
        <v>-14256.9166666667</v>
      </c>
      <c r="P256" s="66" t="n">
        <f aca="false">P331</f>
        <v>-14256.9166666667</v>
      </c>
      <c r="Q256" s="66" t="n">
        <f aca="false">Q331</f>
        <v>-14256.9166666667</v>
      </c>
      <c r="R256" s="66" t="n">
        <f aca="false">R331</f>
        <v>-14256.9166666667</v>
      </c>
      <c r="S256" s="66" t="n">
        <f aca="false">S331</f>
        <v>-14256.9166666667</v>
      </c>
      <c r="T256" s="66" t="n">
        <f aca="false">T331</f>
        <v>-14256.9166666667</v>
      </c>
      <c r="U256" s="66" t="n">
        <f aca="false">U331</f>
        <v>-14256.9166666667</v>
      </c>
      <c r="V256" s="66" t="n">
        <f aca="false">V331</f>
        <v>-14256.9166666667</v>
      </c>
      <c r="W256" s="66" t="n">
        <f aca="false">W331</f>
        <v>-14256.9166666667</v>
      </c>
      <c r="X256" s="66" t="n">
        <f aca="false">X331</f>
        <v>-14256.9166666667</v>
      </c>
      <c r="Y256" s="66" t="n">
        <f aca="false">Y331</f>
        <v>-14256.9166666667</v>
      </c>
      <c r="Z256" s="66" t="n">
        <f aca="false">Z331</f>
        <v>-14256.9166666667</v>
      </c>
      <c r="AA256" s="66" t="n">
        <f aca="false">AA331</f>
        <v>-14684.6241666667</v>
      </c>
      <c r="AB256" s="66" t="n">
        <f aca="false">AB331</f>
        <v>-14684.6241666667</v>
      </c>
      <c r="AC256" s="66" t="n">
        <f aca="false">AC331</f>
        <v>-14684.6241666667</v>
      </c>
      <c r="AD256" s="66" t="n">
        <f aca="false">AD331</f>
        <v>-14684.6241666667</v>
      </c>
      <c r="AE256" s="66" t="n">
        <f aca="false">AE331</f>
        <v>-14684.6241666667</v>
      </c>
      <c r="AF256" s="66" t="n">
        <f aca="false">AF331</f>
        <v>-14684.6241666667</v>
      </c>
      <c r="AG256" s="66" t="n">
        <f aca="false">AG331</f>
        <v>-14684.6241666667</v>
      </c>
      <c r="AH256" s="66" t="n">
        <f aca="false">AH331</f>
        <v>-14684.6241666667</v>
      </c>
      <c r="AI256" s="66" t="n">
        <f aca="false">AI331</f>
        <v>-14684.6241666667</v>
      </c>
      <c r="AJ256" s="66" t="n">
        <f aca="false">AJ331</f>
        <v>-14684.6241666667</v>
      </c>
      <c r="AK256" s="66" t="n">
        <f aca="false">AK331</f>
        <v>-14684.6241666667</v>
      </c>
      <c r="AL256" s="66" t="n">
        <f aca="false">AL331</f>
        <v>-14684.6241666667</v>
      </c>
    </row>
    <row r="257" customFormat="false" ht="15" hidden="false" customHeight="false" outlineLevel="0" collapsed="false">
      <c r="A257" s="6" t="s">
        <v>321</v>
      </c>
      <c r="C257" s="66" t="n">
        <f aca="false">-Inputs!$D$11*(1+Inputs!$D$12)^(C$227-1)*1</f>
        <v>-4000</v>
      </c>
      <c r="D257" s="66" t="n">
        <f aca="false">-Inputs!$D$11*(1+Inputs!$D$12)^(D$227-1)*1</f>
        <v>-4000</v>
      </c>
      <c r="E257" s="66" t="n">
        <f aca="false">-Inputs!$D$11*(1+Inputs!$D$12)^(E$227-1)*1</f>
        <v>-4000</v>
      </c>
      <c r="F257" s="66" t="n">
        <f aca="false">-Inputs!$D$11*(1+Inputs!$D$12)^(F$227-1)*1</f>
        <v>-4000</v>
      </c>
      <c r="G257" s="66" t="n">
        <f aca="false">-Inputs!$D$11*(1+Inputs!$D$12)^(G$227-1)*1</f>
        <v>-4000</v>
      </c>
      <c r="H257" s="66" t="n">
        <f aca="false">-Inputs!$D$11*(1+Inputs!$D$12)^(H$227-1)*1</f>
        <v>-4000</v>
      </c>
      <c r="I257" s="66" t="n">
        <f aca="false">-Inputs!$D$11*(1+Inputs!$D$12)^(I$227-1)*1</f>
        <v>-4000</v>
      </c>
      <c r="J257" s="66" t="n">
        <f aca="false">-Inputs!$D$11*(1+Inputs!$D$12)^(J$227-1)*1</f>
        <v>-4000</v>
      </c>
      <c r="K257" s="66" t="n">
        <f aca="false">-Inputs!$D$11*(1+Inputs!$D$12)^(K$227-1)*1</f>
        <v>-4000</v>
      </c>
      <c r="L257" s="66" t="n">
        <f aca="false">-Inputs!$D$11*(1+Inputs!$D$12)^(L$227-1)*1</f>
        <v>-4000</v>
      </c>
      <c r="M257" s="66" t="n">
        <f aca="false">-Inputs!$D$11*(1+Inputs!$D$12)^(M$227-1)*1</f>
        <v>-4000</v>
      </c>
      <c r="N257" s="66" t="n">
        <f aca="false">-Inputs!$D$11*(1+Inputs!$D$12)^(N$227-1)*1</f>
        <v>-4000</v>
      </c>
      <c r="O257" s="66" t="n">
        <f aca="false">-Inputs!$D$11*(1+Inputs!$D$12)^(O$227-1)*1</f>
        <v>-4400</v>
      </c>
      <c r="P257" s="66" t="n">
        <f aca="false">-Inputs!$D$11*(1+Inputs!$D$12)^(P$227-1)*1</f>
        <v>-4400</v>
      </c>
      <c r="Q257" s="66" t="n">
        <f aca="false">-Inputs!$D$11*(1+Inputs!$D$12)^(Q$227-1)*1</f>
        <v>-4400</v>
      </c>
      <c r="R257" s="66" t="n">
        <f aca="false">-Inputs!$D$11*(1+Inputs!$D$12)^(R$227-1)*1</f>
        <v>-4400</v>
      </c>
      <c r="S257" s="66" t="n">
        <f aca="false">-Inputs!$D$11*(1+Inputs!$D$12)^(S$227-1)*1</f>
        <v>-4400</v>
      </c>
      <c r="T257" s="66" t="n">
        <f aca="false">-Inputs!$D$11*(1+Inputs!$D$12)^(T$227-1)*1</f>
        <v>-4400</v>
      </c>
      <c r="U257" s="66" t="n">
        <f aca="false">-Inputs!$D$11*(1+Inputs!$D$12)^(U$227-1)*1</f>
        <v>-4400</v>
      </c>
      <c r="V257" s="66" t="n">
        <f aca="false">-Inputs!$D$11*(1+Inputs!$D$12)^(V$227-1)*1</f>
        <v>-4400</v>
      </c>
      <c r="W257" s="66" t="n">
        <f aca="false">-Inputs!$D$11*(1+Inputs!$D$12)^(W$227-1)*1</f>
        <v>-4400</v>
      </c>
      <c r="X257" s="66" t="n">
        <f aca="false">-Inputs!$D$11*(1+Inputs!$D$12)^(X$227-1)*1</f>
        <v>-4400</v>
      </c>
      <c r="Y257" s="66" t="n">
        <f aca="false">-Inputs!$D$11*(1+Inputs!$D$12)^(Y$227-1)*1</f>
        <v>-4400</v>
      </c>
      <c r="Z257" s="66" t="n">
        <f aca="false">-Inputs!$D$11*(1+Inputs!$D$12)^(Z$227-1)*1</f>
        <v>-4400</v>
      </c>
      <c r="AA257" s="66" t="n">
        <f aca="false">-Inputs!$D$11*(1+Inputs!$D$12)^(AA$227-1)*1</f>
        <v>-4840</v>
      </c>
      <c r="AB257" s="66" t="n">
        <f aca="false">-Inputs!$D$11*(1+Inputs!$D$12)^(AB$227-1)*1</f>
        <v>-4840</v>
      </c>
      <c r="AC257" s="66" t="n">
        <f aca="false">-Inputs!$D$11*(1+Inputs!$D$12)^(AC$227-1)*1</f>
        <v>-4840</v>
      </c>
      <c r="AD257" s="66" t="n">
        <f aca="false">-Inputs!$D$11*(1+Inputs!$D$12)^(AD$227-1)*1</f>
        <v>-4840</v>
      </c>
      <c r="AE257" s="66" t="n">
        <f aca="false">-Inputs!$D$11*(1+Inputs!$D$12)^(AE$227-1)*1</f>
        <v>-4840</v>
      </c>
      <c r="AF257" s="66" t="n">
        <f aca="false">-Inputs!$D$11*(1+Inputs!$D$12)^(AF$227-1)*1</f>
        <v>-4840</v>
      </c>
      <c r="AG257" s="66" t="n">
        <f aca="false">-Inputs!$D$11*(1+Inputs!$D$12)^(AG$227-1)*1</f>
        <v>-4840</v>
      </c>
      <c r="AH257" s="66" t="n">
        <f aca="false">-Inputs!$D$11*(1+Inputs!$D$12)^(AH$227-1)*1</f>
        <v>-4840</v>
      </c>
      <c r="AI257" s="66" t="n">
        <f aca="false">-Inputs!$D$11*(1+Inputs!$D$12)^(AI$227-1)*1</f>
        <v>-4840</v>
      </c>
      <c r="AJ257" s="66" t="n">
        <f aca="false">-Inputs!$D$11*(1+Inputs!$D$12)^(AJ$227-1)*1</f>
        <v>-4840</v>
      </c>
      <c r="AK257" s="66" t="n">
        <f aca="false">-Inputs!$D$11*(1+Inputs!$D$12)^(AK$227-1)*1</f>
        <v>-4840</v>
      </c>
      <c r="AL257" s="66" t="n">
        <f aca="false">-Inputs!$D$11*(1+Inputs!$D$12)^(AL$227-1)*1</f>
        <v>-4840</v>
      </c>
    </row>
    <row r="258" customFormat="false" ht="15" hidden="false" customHeight="false" outlineLevel="0" collapsed="false">
      <c r="A258" s="6" t="s">
        <v>322</v>
      </c>
      <c r="C258" s="66" t="n">
        <f aca="false">-Inputs!$D$33*1</f>
        <v>-12000</v>
      </c>
      <c r="D258" s="66" t="n">
        <f aca="false">-Inputs!$D$33*1</f>
        <v>-12000</v>
      </c>
      <c r="E258" s="66" t="n">
        <f aca="false">-Inputs!$D$33*1</f>
        <v>-12000</v>
      </c>
      <c r="F258" s="66" t="n">
        <f aca="false">-Inputs!$D$33*1</f>
        <v>-12000</v>
      </c>
      <c r="G258" s="66" t="n">
        <f aca="false">-Inputs!$D$33*1</f>
        <v>-12000</v>
      </c>
      <c r="H258" s="66" t="n">
        <f aca="false">-Inputs!$D$33*1</f>
        <v>-12000</v>
      </c>
      <c r="I258" s="66" t="n">
        <f aca="false">-Inputs!$D$33*1</f>
        <v>-12000</v>
      </c>
      <c r="J258" s="66" t="n">
        <f aca="false">-Inputs!$D$33*1</f>
        <v>-12000</v>
      </c>
      <c r="K258" s="66" t="n">
        <f aca="false">-Inputs!$D$33*1</f>
        <v>-12000</v>
      </c>
      <c r="L258" s="66" t="n">
        <f aca="false">-Inputs!$D$33*1</f>
        <v>-12000</v>
      </c>
      <c r="M258" s="66" t="n">
        <f aca="false">-Inputs!$D$33*1</f>
        <v>-12000</v>
      </c>
      <c r="N258" s="66" t="n">
        <f aca="false">-Inputs!$D$33*1</f>
        <v>-12000</v>
      </c>
      <c r="O258" s="66" t="n">
        <f aca="false">-Inputs!$D$33*1</f>
        <v>-12000</v>
      </c>
      <c r="P258" s="66" t="n">
        <f aca="false">-Inputs!$D$33*1</f>
        <v>-12000</v>
      </c>
      <c r="Q258" s="66" t="n">
        <f aca="false">-Inputs!$D$33*1</f>
        <v>-12000</v>
      </c>
      <c r="R258" s="66" t="n">
        <f aca="false">-Inputs!$D$33*1</f>
        <v>-12000</v>
      </c>
      <c r="S258" s="66" t="n">
        <f aca="false">-Inputs!$D$33*1</f>
        <v>-12000</v>
      </c>
      <c r="T258" s="66" t="n">
        <f aca="false">-Inputs!$D$33*1</f>
        <v>-12000</v>
      </c>
      <c r="U258" s="66" t="n">
        <f aca="false">-Inputs!$D$33*1</f>
        <v>-12000</v>
      </c>
      <c r="V258" s="66" t="n">
        <f aca="false">-Inputs!$D$33*1</f>
        <v>-12000</v>
      </c>
      <c r="W258" s="66" t="n">
        <f aca="false">-Inputs!$D$33*1</f>
        <v>-12000</v>
      </c>
      <c r="X258" s="66" t="n">
        <f aca="false">-Inputs!$D$33*1</f>
        <v>-12000</v>
      </c>
      <c r="Y258" s="66" t="n">
        <f aca="false">-Inputs!$D$33*1</f>
        <v>-12000</v>
      </c>
      <c r="Z258" s="66" t="n">
        <f aca="false">-Inputs!$D$33*1</f>
        <v>-12000</v>
      </c>
      <c r="AA258" s="66" t="n">
        <f aca="false">-Inputs!$D$33*1</f>
        <v>-12000</v>
      </c>
      <c r="AB258" s="66" t="n">
        <f aca="false">-Inputs!$D$33*1</f>
        <v>-12000</v>
      </c>
      <c r="AC258" s="66" t="n">
        <f aca="false">-Inputs!$D$33*1</f>
        <v>-12000</v>
      </c>
      <c r="AD258" s="66" t="n">
        <f aca="false">-Inputs!$D$33*1</f>
        <v>-12000</v>
      </c>
      <c r="AE258" s="66" t="n">
        <f aca="false">-Inputs!$D$33*1</f>
        <v>-12000</v>
      </c>
      <c r="AF258" s="66" t="n">
        <f aca="false">-Inputs!$D$33*1</f>
        <v>-12000</v>
      </c>
      <c r="AG258" s="66" t="n">
        <f aca="false">-Inputs!$D$33*1</f>
        <v>-12000</v>
      </c>
      <c r="AH258" s="66" t="n">
        <f aca="false">-Inputs!$D$33*1</f>
        <v>-12000</v>
      </c>
      <c r="AI258" s="66" t="n">
        <f aca="false">-Inputs!$D$33*1</f>
        <v>-12000</v>
      </c>
      <c r="AJ258" s="66" t="n">
        <f aca="false">-Inputs!$D$33*1</f>
        <v>-12000</v>
      </c>
      <c r="AK258" s="66" t="n">
        <f aca="false">-Inputs!$D$33*1</f>
        <v>-12000</v>
      </c>
      <c r="AL258" s="66" t="n">
        <f aca="false">-Inputs!$D$33*1</f>
        <v>-12000</v>
      </c>
    </row>
    <row r="259" customFormat="false" ht="15" hidden="false" customHeight="false" outlineLevel="0" collapsed="false">
      <c r="A259" s="6" t="s">
        <v>323</v>
      </c>
      <c r="C259" s="66" t="n">
        <f aca="false">-Inputs!$D$34*1</f>
        <v>-2200</v>
      </c>
      <c r="D259" s="66" t="n">
        <f aca="false">-Inputs!$D$34*1</f>
        <v>-2200</v>
      </c>
      <c r="E259" s="66" t="n">
        <f aca="false">-Inputs!$D$34*1</f>
        <v>-2200</v>
      </c>
      <c r="F259" s="66" t="n">
        <f aca="false">-Inputs!$D$34*1</f>
        <v>-2200</v>
      </c>
      <c r="G259" s="66" t="n">
        <f aca="false">-Inputs!$D$34*1</f>
        <v>-2200</v>
      </c>
      <c r="H259" s="66" t="n">
        <f aca="false">-Inputs!$D$34*1</f>
        <v>-2200</v>
      </c>
      <c r="I259" s="66" t="n">
        <f aca="false">-Inputs!$D$34*1</f>
        <v>-2200</v>
      </c>
      <c r="J259" s="66" t="n">
        <f aca="false">-Inputs!$D$34*1</f>
        <v>-2200</v>
      </c>
      <c r="K259" s="66" t="n">
        <f aca="false">-Inputs!$D$34*1</f>
        <v>-2200</v>
      </c>
      <c r="L259" s="66" t="n">
        <f aca="false">-Inputs!$D$34*1</f>
        <v>-2200</v>
      </c>
      <c r="M259" s="66" t="n">
        <f aca="false">-Inputs!$D$34*1</f>
        <v>-2200</v>
      </c>
      <c r="N259" s="66" t="n">
        <f aca="false">-Inputs!$D$34*1</f>
        <v>-2200</v>
      </c>
      <c r="O259" s="66" t="n">
        <f aca="false">-Inputs!$D$34*1</f>
        <v>-2200</v>
      </c>
      <c r="P259" s="66" t="n">
        <f aca="false">-Inputs!$D$34*1</f>
        <v>-2200</v>
      </c>
      <c r="Q259" s="66" t="n">
        <f aca="false">-Inputs!$D$34*1</f>
        <v>-2200</v>
      </c>
      <c r="R259" s="66" t="n">
        <f aca="false">-Inputs!$D$34*1</f>
        <v>-2200</v>
      </c>
      <c r="S259" s="66" t="n">
        <f aca="false">-Inputs!$D$34*1</f>
        <v>-2200</v>
      </c>
      <c r="T259" s="66" t="n">
        <f aca="false">-Inputs!$D$34*1</f>
        <v>-2200</v>
      </c>
      <c r="U259" s="66" t="n">
        <f aca="false">-Inputs!$D$34*1</f>
        <v>-2200</v>
      </c>
      <c r="V259" s="66" t="n">
        <f aca="false">-Inputs!$D$34*1</f>
        <v>-2200</v>
      </c>
      <c r="W259" s="66" t="n">
        <f aca="false">-Inputs!$D$34*1</f>
        <v>-2200</v>
      </c>
      <c r="X259" s="66" t="n">
        <f aca="false">-Inputs!$D$34*1</f>
        <v>-2200</v>
      </c>
      <c r="Y259" s="66" t="n">
        <f aca="false">-Inputs!$D$34*1</f>
        <v>-2200</v>
      </c>
      <c r="Z259" s="66" t="n">
        <f aca="false">-Inputs!$D$34*1</f>
        <v>-2200</v>
      </c>
      <c r="AA259" s="66" t="n">
        <f aca="false">-Inputs!$D$34*1</f>
        <v>-2200</v>
      </c>
      <c r="AB259" s="66" t="n">
        <f aca="false">-Inputs!$D$34*1</f>
        <v>-2200</v>
      </c>
      <c r="AC259" s="66" t="n">
        <f aca="false">-Inputs!$D$34*1</f>
        <v>-2200</v>
      </c>
      <c r="AD259" s="66" t="n">
        <f aca="false">-Inputs!$D$34*1</f>
        <v>-2200</v>
      </c>
      <c r="AE259" s="66" t="n">
        <f aca="false">-Inputs!$D$34*1</f>
        <v>-2200</v>
      </c>
      <c r="AF259" s="66" t="n">
        <f aca="false">-Inputs!$D$34*1</f>
        <v>-2200</v>
      </c>
      <c r="AG259" s="66" t="n">
        <f aca="false">-Inputs!$D$34*1</f>
        <v>-2200</v>
      </c>
      <c r="AH259" s="66" t="n">
        <f aca="false">-Inputs!$D$34*1</f>
        <v>-2200</v>
      </c>
      <c r="AI259" s="66" t="n">
        <f aca="false">-Inputs!$D$34*1</f>
        <v>-2200</v>
      </c>
      <c r="AJ259" s="66" t="n">
        <f aca="false">-Inputs!$D$34*1</f>
        <v>-2200</v>
      </c>
      <c r="AK259" s="66" t="n">
        <f aca="false">-Inputs!$D$34*1</f>
        <v>-2200</v>
      </c>
      <c r="AL259" s="66" t="n">
        <f aca="false">-Inputs!$D$34*1</f>
        <v>-2200</v>
      </c>
    </row>
    <row r="260" customFormat="false" ht="15" hidden="false" customHeight="false" outlineLevel="0" collapsed="false">
      <c r="A260" s="6" t="s">
        <v>324</v>
      </c>
      <c r="C260" s="66" t="n">
        <f aca="false">-Inputs!$D$35*1</f>
        <v>-1800</v>
      </c>
      <c r="D260" s="66" t="n">
        <f aca="false">-Inputs!$D$35*1</f>
        <v>-1800</v>
      </c>
      <c r="E260" s="66" t="n">
        <f aca="false">-Inputs!$D$35*1</f>
        <v>-1800</v>
      </c>
      <c r="F260" s="66" t="n">
        <f aca="false">-Inputs!$D$35*1</f>
        <v>-1800</v>
      </c>
      <c r="G260" s="66" t="n">
        <f aca="false">-Inputs!$D$35*1</f>
        <v>-1800</v>
      </c>
      <c r="H260" s="66" t="n">
        <f aca="false">-Inputs!$D$35*1</f>
        <v>-1800</v>
      </c>
      <c r="I260" s="66" t="n">
        <f aca="false">-Inputs!$D$35*1</f>
        <v>-1800</v>
      </c>
      <c r="J260" s="66" t="n">
        <f aca="false">-Inputs!$D$35*1</f>
        <v>-1800</v>
      </c>
      <c r="K260" s="66" t="n">
        <f aca="false">-Inputs!$D$35*1</f>
        <v>-1800</v>
      </c>
      <c r="L260" s="66" t="n">
        <f aca="false">-Inputs!$D$35*1</f>
        <v>-1800</v>
      </c>
      <c r="M260" s="66" t="n">
        <f aca="false">-Inputs!$D$35*1</f>
        <v>-1800</v>
      </c>
      <c r="N260" s="66" t="n">
        <f aca="false">-Inputs!$D$35*1</f>
        <v>-1800</v>
      </c>
      <c r="O260" s="66" t="n">
        <f aca="false">-Inputs!$D$35*1</f>
        <v>-1800</v>
      </c>
      <c r="P260" s="66" t="n">
        <f aca="false">-Inputs!$D$35*1</f>
        <v>-1800</v>
      </c>
      <c r="Q260" s="66" t="n">
        <f aca="false">-Inputs!$D$35*1</f>
        <v>-1800</v>
      </c>
      <c r="R260" s="66" t="n">
        <f aca="false">-Inputs!$D$35*1</f>
        <v>-1800</v>
      </c>
      <c r="S260" s="66" t="n">
        <f aca="false">-Inputs!$D$35*1</f>
        <v>-1800</v>
      </c>
      <c r="T260" s="66" t="n">
        <f aca="false">-Inputs!$D$35*1</f>
        <v>-1800</v>
      </c>
      <c r="U260" s="66" t="n">
        <f aca="false">-Inputs!$D$35*1</f>
        <v>-1800</v>
      </c>
      <c r="V260" s="66" t="n">
        <f aca="false">-Inputs!$D$35*1</f>
        <v>-1800</v>
      </c>
      <c r="W260" s="66" t="n">
        <f aca="false">-Inputs!$D$35*1</f>
        <v>-1800</v>
      </c>
      <c r="X260" s="66" t="n">
        <f aca="false">-Inputs!$D$35*1</f>
        <v>-1800</v>
      </c>
      <c r="Y260" s="66" t="n">
        <f aca="false">-Inputs!$D$35*1</f>
        <v>-1800</v>
      </c>
      <c r="Z260" s="66" t="n">
        <f aca="false">-Inputs!$D$35*1</f>
        <v>-1800</v>
      </c>
      <c r="AA260" s="66" t="n">
        <f aca="false">-Inputs!$D$35*1</f>
        <v>-1800</v>
      </c>
      <c r="AB260" s="66" t="n">
        <f aca="false">-Inputs!$D$35*1</f>
        <v>-1800</v>
      </c>
      <c r="AC260" s="66" t="n">
        <f aca="false">-Inputs!$D$35*1</f>
        <v>-1800</v>
      </c>
      <c r="AD260" s="66" t="n">
        <f aca="false">-Inputs!$D$35*1</f>
        <v>-1800</v>
      </c>
      <c r="AE260" s="66" t="n">
        <f aca="false">-Inputs!$D$35*1</f>
        <v>-1800</v>
      </c>
      <c r="AF260" s="66" t="n">
        <f aca="false">-Inputs!$D$35*1</f>
        <v>-1800</v>
      </c>
      <c r="AG260" s="66" t="n">
        <f aca="false">-Inputs!$D$35*1</f>
        <v>-1800</v>
      </c>
      <c r="AH260" s="66" t="n">
        <f aca="false">-Inputs!$D$35*1</f>
        <v>-1800</v>
      </c>
      <c r="AI260" s="66" t="n">
        <f aca="false">-Inputs!$D$35*1</f>
        <v>-1800</v>
      </c>
      <c r="AJ260" s="66" t="n">
        <f aca="false">-Inputs!$D$35*1</f>
        <v>-1800</v>
      </c>
      <c r="AK260" s="66" t="n">
        <f aca="false">-Inputs!$D$35*1</f>
        <v>-1800</v>
      </c>
      <c r="AL260" s="66" t="n">
        <f aca="false">-Inputs!$D$35*1</f>
        <v>-1800</v>
      </c>
    </row>
    <row r="261" customFormat="false" ht="15" hidden="false" customHeight="false" outlineLevel="0" collapsed="false">
      <c r="A261" s="6" t="s">
        <v>325</v>
      </c>
      <c r="C261" s="66" t="n">
        <f aca="false">-C246*Inputs!$D$36</f>
        <v>-927.913636363636</v>
      </c>
      <c r="D261" s="66" t="n">
        <f aca="false">-D246*Inputs!$D$36</f>
        <v>-1086.77481818182</v>
      </c>
      <c r="E261" s="66" t="n">
        <f aca="false">-E246*Inputs!$D$36</f>
        <v>-1237.69294090909</v>
      </c>
      <c r="F261" s="66" t="n">
        <f aca="false">-F246*Inputs!$D$36</f>
        <v>-1381.0651575</v>
      </c>
      <c r="G261" s="66" t="n">
        <f aca="false">-G246*Inputs!$D$36</f>
        <v>-1517.26876326136</v>
      </c>
      <c r="H261" s="66" t="n">
        <f aca="false">-H246*Inputs!$D$36</f>
        <v>-1646.66218873466</v>
      </c>
      <c r="I261" s="66" t="n">
        <f aca="false">-I246*Inputs!$D$36</f>
        <v>-1769.58594293429</v>
      </c>
      <c r="J261" s="66" t="n">
        <f aca="false">-J246*Inputs!$D$36</f>
        <v>-1886.36350942394</v>
      </c>
      <c r="K261" s="66" t="n">
        <f aca="false">-K246*Inputs!$D$36</f>
        <v>-1997.30219758911</v>
      </c>
      <c r="L261" s="66" t="n">
        <f aca="false">-L246*Inputs!$D$36</f>
        <v>-2102.69395134601</v>
      </c>
      <c r="M261" s="66" t="n">
        <f aca="false">-M246*Inputs!$D$36</f>
        <v>-2202.48541422718</v>
      </c>
      <c r="N261" s="66" t="n">
        <f aca="false">-N246*Inputs!$D$36</f>
        <v>-2218.3875</v>
      </c>
      <c r="O261" s="66" t="n">
        <f aca="false">-O246*Inputs!$D$36</f>
        <v>-2307.123</v>
      </c>
      <c r="P261" s="66" t="n">
        <f aca="false">-P246*Inputs!$D$36</f>
        <v>-2307.123</v>
      </c>
      <c r="Q261" s="66" t="n">
        <f aca="false">-Q246*Inputs!$D$36</f>
        <v>-2307.123</v>
      </c>
      <c r="R261" s="66" t="n">
        <f aca="false">-R246*Inputs!$D$36</f>
        <v>-2307.123</v>
      </c>
      <c r="S261" s="66" t="n">
        <f aca="false">-S246*Inputs!$D$36</f>
        <v>-2307.123</v>
      </c>
      <c r="T261" s="66" t="n">
        <f aca="false">-T246*Inputs!$D$36</f>
        <v>-2307.123</v>
      </c>
      <c r="U261" s="66" t="n">
        <f aca="false">-U246*Inputs!$D$36</f>
        <v>-2307.123</v>
      </c>
      <c r="V261" s="66" t="n">
        <f aca="false">-V246*Inputs!$D$36</f>
        <v>-2307.123</v>
      </c>
      <c r="W261" s="66" t="n">
        <f aca="false">-W246*Inputs!$D$36</f>
        <v>-2307.123</v>
      </c>
      <c r="X261" s="66" t="n">
        <f aca="false">-X246*Inputs!$D$36</f>
        <v>-2307.123</v>
      </c>
      <c r="Y261" s="66" t="n">
        <f aca="false">-Y246*Inputs!$D$36</f>
        <v>-2307.123</v>
      </c>
      <c r="Z261" s="66" t="n">
        <f aca="false">-Z246*Inputs!$D$36</f>
        <v>-2307.123</v>
      </c>
      <c r="AA261" s="66" t="n">
        <f aca="false">-AA246*Inputs!$D$36</f>
        <v>-2399.40792</v>
      </c>
      <c r="AB261" s="66" t="n">
        <f aca="false">-AB246*Inputs!$D$36</f>
        <v>-2399.40792</v>
      </c>
      <c r="AC261" s="66" t="n">
        <f aca="false">-AC246*Inputs!$D$36</f>
        <v>-2399.40792</v>
      </c>
      <c r="AD261" s="66" t="n">
        <f aca="false">-AD246*Inputs!$D$36</f>
        <v>-2399.40792</v>
      </c>
      <c r="AE261" s="66" t="n">
        <f aca="false">-AE246*Inputs!$D$36</f>
        <v>-2399.40792</v>
      </c>
      <c r="AF261" s="66" t="n">
        <f aca="false">-AF246*Inputs!$D$36</f>
        <v>-2399.40792</v>
      </c>
      <c r="AG261" s="66" t="n">
        <f aca="false">-AG246*Inputs!$D$36</f>
        <v>-2399.40792</v>
      </c>
      <c r="AH261" s="66" t="n">
        <f aca="false">-AH246*Inputs!$D$36</f>
        <v>-2399.40792</v>
      </c>
      <c r="AI261" s="66" t="n">
        <f aca="false">-AI246*Inputs!$D$36</f>
        <v>-2399.40792</v>
      </c>
      <c r="AJ261" s="66" t="n">
        <f aca="false">-AJ246*Inputs!$D$36</f>
        <v>-2399.40792</v>
      </c>
      <c r="AK261" s="66" t="n">
        <f aca="false">-AK246*Inputs!$D$36</f>
        <v>-2399.40792</v>
      </c>
      <c r="AL261" s="66" t="n">
        <f aca="false">-AL246*Inputs!$D$36</f>
        <v>-2399.40792</v>
      </c>
    </row>
    <row r="262" customFormat="false" ht="15" hidden="false" customHeight="false" outlineLevel="0" collapsed="false">
      <c r="A262" s="6" t="s">
        <v>326</v>
      </c>
      <c r="C262" s="66" t="n">
        <f aca="false">-Inputs!$D$37*1</f>
        <v>-2000</v>
      </c>
      <c r="D262" s="66" t="n">
        <f aca="false">-Inputs!$D$37*1</f>
        <v>-2000</v>
      </c>
      <c r="E262" s="66" t="n">
        <f aca="false">-Inputs!$D$37*1</f>
        <v>-2000</v>
      </c>
      <c r="F262" s="66" t="n">
        <f aca="false">-Inputs!$D$37*1</f>
        <v>-2000</v>
      </c>
      <c r="G262" s="66" t="n">
        <f aca="false">-Inputs!$D$37*1</f>
        <v>-2000</v>
      </c>
      <c r="H262" s="66" t="n">
        <f aca="false">-Inputs!$D$37*1</f>
        <v>-2000</v>
      </c>
      <c r="I262" s="66" t="n">
        <f aca="false">-Inputs!$D$37*1</f>
        <v>-2000</v>
      </c>
      <c r="J262" s="66" t="n">
        <f aca="false">-Inputs!$D$37*1</f>
        <v>-2000</v>
      </c>
      <c r="K262" s="66" t="n">
        <f aca="false">-Inputs!$D$37*1</f>
        <v>-2000</v>
      </c>
      <c r="L262" s="66" t="n">
        <f aca="false">-Inputs!$D$37*1</f>
        <v>-2000</v>
      </c>
      <c r="M262" s="66" t="n">
        <f aca="false">-Inputs!$D$37*1</f>
        <v>-2000</v>
      </c>
      <c r="N262" s="66" t="n">
        <f aca="false">-Inputs!$D$37*1</f>
        <v>-2000</v>
      </c>
      <c r="O262" s="66" t="n">
        <f aca="false">-Inputs!$D$37*1</f>
        <v>-2000</v>
      </c>
      <c r="P262" s="66" t="n">
        <f aca="false">-Inputs!$D$37*1</f>
        <v>-2000</v>
      </c>
      <c r="Q262" s="66" t="n">
        <f aca="false">-Inputs!$D$37*1</f>
        <v>-2000</v>
      </c>
      <c r="R262" s="66" t="n">
        <f aca="false">-Inputs!$D$37*1</f>
        <v>-2000</v>
      </c>
      <c r="S262" s="66" t="n">
        <f aca="false">-Inputs!$D$37*1</f>
        <v>-2000</v>
      </c>
      <c r="T262" s="66" t="n">
        <f aca="false">-Inputs!$D$37*1</f>
        <v>-2000</v>
      </c>
      <c r="U262" s="66" t="n">
        <f aca="false">-Inputs!$D$37*1</f>
        <v>-2000</v>
      </c>
      <c r="V262" s="66" t="n">
        <f aca="false">-Inputs!$D$37*1</f>
        <v>-2000</v>
      </c>
      <c r="W262" s="66" t="n">
        <f aca="false">-Inputs!$D$37*1</f>
        <v>-2000</v>
      </c>
      <c r="X262" s="66" t="n">
        <f aca="false">-Inputs!$D$37*1</f>
        <v>-2000</v>
      </c>
      <c r="Y262" s="66" t="n">
        <f aca="false">-Inputs!$D$37*1</f>
        <v>-2000</v>
      </c>
      <c r="Z262" s="66" t="n">
        <f aca="false">-Inputs!$D$37*1</f>
        <v>-2000</v>
      </c>
      <c r="AA262" s="66" t="n">
        <f aca="false">-Inputs!$D$37*1</f>
        <v>-2000</v>
      </c>
      <c r="AB262" s="66" t="n">
        <f aca="false">-Inputs!$D$37*1</f>
        <v>-2000</v>
      </c>
      <c r="AC262" s="66" t="n">
        <f aca="false">-Inputs!$D$37*1</f>
        <v>-2000</v>
      </c>
      <c r="AD262" s="66" t="n">
        <f aca="false">-Inputs!$D$37*1</f>
        <v>-2000</v>
      </c>
      <c r="AE262" s="66" t="n">
        <f aca="false">-Inputs!$D$37*1</f>
        <v>-2000</v>
      </c>
      <c r="AF262" s="66" t="n">
        <f aca="false">-Inputs!$D$37*1</f>
        <v>-2000</v>
      </c>
      <c r="AG262" s="66" t="n">
        <f aca="false">-Inputs!$D$37*1</f>
        <v>-2000</v>
      </c>
      <c r="AH262" s="66" t="n">
        <f aca="false">-Inputs!$D$37*1</f>
        <v>-2000</v>
      </c>
      <c r="AI262" s="66" t="n">
        <f aca="false">-Inputs!$D$37*1</f>
        <v>-2000</v>
      </c>
      <c r="AJ262" s="66" t="n">
        <f aca="false">-Inputs!$D$37*1</f>
        <v>-2000</v>
      </c>
      <c r="AK262" s="66" t="n">
        <f aca="false">-Inputs!$D$37*1</f>
        <v>-2000</v>
      </c>
      <c r="AL262" s="66" t="n">
        <f aca="false">-Inputs!$D$37*1</f>
        <v>-2000</v>
      </c>
    </row>
    <row r="263" customFormat="false" ht="15" hidden="false" customHeight="false" outlineLevel="0" collapsed="false">
      <c r="A263" s="110" t="s">
        <v>76</v>
      </c>
      <c r="C263" s="67" t="n">
        <f aca="false">C256+C257+C258+C259+C260+C261+C262</f>
        <v>-36769.5803030303</v>
      </c>
      <c r="D263" s="67" t="n">
        <f aca="false">D256+D257+D258+D259+D260+D261+D262</f>
        <v>-36928.4414848485</v>
      </c>
      <c r="E263" s="67" t="n">
        <f aca="false">E256+E257+E258+E259+E260+E261+E262</f>
        <v>-37079.3596075758</v>
      </c>
      <c r="F263" s="67" t="n">
        <f aca="false">F256+F257+F258+F259+F260+F261+F262</f>
        <v>-37222.7318241667</v>
      </c>
      <c r="G263" s="67" t="n">
        <f aca="false">G256+G257+G258+G259+G260+G261+G262</f>
        <v>-37358.935429928</v>
      </c>
      <c r="H263" s="67" t="n">
        <f aca="false">H256+H257+H258+H259+H260+H261+H262</f>
        <v>-37488.3288554013</v>
      </c>
      <c r="I263" s="67" t="n">
        <f aca="false">I256+I257+I258+I259+I260+I261+I262</f>
        <v>-37611.252609601</v>
      </c>
      <c r="J263" s="67" t="n">
        <f aca="false">J256+J257+J258+J259+J260+J261+J262</f>
        <v>-37728.0301760906</v>
      </c>
      <c r="K263" s="67" t="n">
        <f aca="false">K256+K257+K258+K259+K260+K261+K262</f>
        <v>-37838.9688642558</v>
      </c>
      <c r="L263" s="67" t="n">
        <f aca="false">L256+L257+L258+L259+L260+L261+L262</f>
        <v>-37944.3606180127</v>
      </c>
      <c r="M263" s="67" t="n">
        <f aca="false">M256+M257+M258+M259+M260+M261+M262</f>
        <v>-38044.1520808939</v>
      </c>
      <c r="N263" s="67" t="n">
        <f aca="false">N256+N257+N258+N259+N260+N261+N262</f>
        <v>-38060.0541666667</v>
      </c>
      <c r="O263" s="67" t="n">
        <f aca="false">O256+O257+O258+O259+O260+O261+O262</f>
        <v>-38964.0396666667</v>
      </c>
      <c r="P263" s="67" t="n">
        <f aca="false">P256+P257+P258+P259+P260+P261+P262</f>
        <v>-38964.0396666667</v>
      </c>
      <c r="Q263" s="67" t="n">
        <f aca="false">Q256+Q257+Q258+Q259+Q260+Q261+Q262</f>
        <v>-38964.0396666667</v>
      </c>
      <c r="R263" s="67" t="n">
        <f aca="false">R256+R257+R258+R259+R260+R261+R262</f>
        <v>-38964.0396666667</v>
      </c>
      <c r="S263" s="67" t="n">
        <f aca="false">S256+S257+S258+S259+S260+S261+S262</f>
        <v>-38964.0396666667</v>
      </c>
      <c r="T263" s="67" t="n">
        <f aca="false">T256+T257+T258+T259+T260+T261+T262</f>
        <v>-38964.0396666667</v>
      </c>
      <c r="U263" s="67" t="n">
        <f aca="false">U256+U257+U258+U259+U260+U261+U262</f>
        <v>-38964.0396666667</v>
      </c>
      <c r="V263" s="67" t="n">
        <f aca="false">V256+V257+V258+V259+V260+V261+V262</f>
        <v>-38964.0396666667</v>
      </c>
      <c r="W263" s="67" t="n">
        <f aca="false">W256+W257+W258+W259+W260+W261+W262</f>
        <v>-38964.0396666667</v>
      </c>
      <c r="X263" s="67" t="n">
        <f aca="false">X256+X257+X258+X259+X260+X261+X262</f>
        <v>-38964.0396666667</v>
      </c>
      <c r="Y263" s="67" t="n">
        <f aca="false">Y256+Y257+Y258+Y259+Y260+Y261+Y262</f>
        <v>-38964.0396666667</v>
      </c>
      <c r="Z263" s="67" t="n">
        <f aca="false">Z256+Z257+Z258+Z259+Z260+Z261+Z262</f>
        <v>-38964.0396666667</v>
      </c>
      <c r="AA263" s="67" t="n">
        <f aca="false">AA256+AA257+AA258+AA259+AA260+AA261+AA262</f>
        <v>-39924.0320866667</v>
      </c>
      <c r="AB263" s="67" t="n">
        <f aca="false">AB256+AB257+AB258+AB259+AB260+AB261+AB262</f>
        <v>-39924.0320866667</v>
      </c>
      <c r="AC263" s="67" t="n">
        <f aca="false">AC256+AC257+AC258+AC259+AC260+AC261+AC262</f>
        <v>-39924.0320866667</v>
      </c>
      <c r="AD263" s="67" t="n">
        <f aca="false">AD256+AD257+AD258+AD259+AD260+AD261+AD262</f>
        <v>-39924.0320866667</v>
      </c>
      <c r="AE263" s="67" t="n">
        <f aca="false">AE256+AE257+AE258+AE259+AE260+AE261+AE262</f>
        <v>-39924.0320866667</v>
      </c>
      <c r="AF263" s="67" t="n">
        <f aca="false">AF256+AF257+AF258+AF259+AF260+AF261+AF262</f>
        <v>-39924.0320866667</v>
      </c>
      <c r="AG263" s="67" t="n">
        <f aca="false">AG256+AG257+AG258+AG259+AG260+AG261+AG262</f>
        <v>-39924.0320866667</v>
      </c>
      <c r="AH263" s="67" t="n">
        <f aca="false">AH256+AH257+AH258+AH259+AH260+AH261+AH262</f>
        <v>-39924.0320866667</v>
      </c>
      <c r="AI263" s="67" t="n">
        <f aca="false">AI256+AI257+AI258+AI259+AI260+AI261+AI262</f>
        <v>-39924.0320866667</v>
      </c>
      <c r="AJ263" s="67" t="n">
        <f aca="false">AJ256+AJ257+AJ258+AJ259+AJ260+AJ261+AJ262</f>
        <v>-39924.0320866667</v>
      </c>
      <c r="AK263" s="67" t="n">
        <f aca="false">AK256+AK257+AK258+AK259+AK260+AK261+AK262</f>
        <v>-39924.0320866667</v>
      </c>
      <c r="AL263" s="67" t="n">
        <f aca="false">AL256+AL257+AL258+AL259+AL260+AL261+AL262</f>
        <v>-39924.0320866667</v>
      </c>
    </row>
    <row r="264" customFormat="false" ht="15" hidden="false" customHeight="false" outlineLevel="0" collapsed="false">
      <c r="A264" s="110" t="s">
        <v>48</v>
      </c>
      <c r="C264" s="67" t="n">
        <f aca="false">C253+C263</f>
        <v>-19530.4</v>
      </c>
      <c r="D264" s="67" t="n">
        <f aca="false">D253+D263</f>
        <v>-15584.2541363636</v>
      </c>
      <c r="E264" s="67" t="n">
        <f aca="false">E253+E263</f>
        <v>-11835.4155659091</v>
      </c>
      <c r="F264" s="67" t="n">
        <f aca="false">F253+F263</f>
        <v>-8274.01892397728</v>
      </c>
      <c r="G264" s="67" t="n">
        <f aca="false">G253+G263</f>
        <v>-4890.69211414206</v>
      </c>
      <c r="H264" s="67" t="n">
        <f aca="false">H253+H263</f>
        <v>-1676.53164479858</v>
      </c>
      <c r="I264" s="67" t="n">
        <f aca="false">I253+I263</f>
        <v>1376.9208010777</v>
      </c>
      <c r="J264" s="67" t="n">
        <f aca="false">J253+J263</f>
        <v>4277.70062466018</v>
      </c>
      <c r="K264" s="67" t="n">
        <f aca="false">K253+K263</f>
        <v>7033.44145706353</v>
      </c>
      <c r="L264" s="67" t="n">
        <f aca="false">L253+L263</f>
        <v>9651.39524784671</v>
      </c>
      <c r="M264" s="67" t="n">
        <f aca="false">M253+M263</f>
        <v>12129.8621791286</v>
      </c>
      <c r="N264" s="67" t="n">
        <f aca="false">N253+N263</f>
        <v>12435.6125</v>
      </c>
      <c r="O264" s="67" t="n">
        <f aca="false">O253+O263</f>
        <v>13620.787</v>
      </c>
      <c r="P264" s="67" t="n">
        <f aca="false">P253+P263</f>
        <v>13620.787</v>
      </c>
      <c r="Q264" s="67" t="n">
        <f aca="false">Q253+Q263</f>
        <v>13620.787</v>
      </c>
      <c r="R264" s="67" t="n">
        <f aca="false">R253+R263</f>
        <v>13620.787</v>
      </c>
      <c r="S264" s="67" t="n">
        <f aca="false">S253+S263</f>
        <v>13620.787</v>
      </c>
      <c r="T264" s="67" t="n">
        <f aca="false">T253+T263</f>
        <v>13620.787</v>
      </c>
      <c r="U264" s="67" t="n">
        <f aca="false">U253+U263</f>
        <v>13620.787</v>
      </c>
      <c r="V264" s="67" t="n">
        <f aca="false">V253+V263</f>
        <v>13620.787</v>
      </c>
      <c r="W264" s="67" t="n">
        <f aca="false">W253+W263</f>
        <v>13620.787</v>
      </c>
      <c r="X264" s="67" t="n">
        <f aca="false">X253+X263</f>
        <v>13620.787</v>
      </c>
      <c r="Y264" s="67" t="n">
        <f aca="false">Y253+Y263</f>
        <v>13620.787</v>
      </c>
      <c r="Z264" s="67" t="n">
        <f aca="false">Z253+Z263</f>
        <v>13620.787</v>
      </c>
      <c r="AA264" s="67" t="n">
        <f aca="false">AA253+AA263</f>
        <v>14835.60098</v>
      </c>
      <c r="AB264" s="67" t="n">
        <f aca="false">AB253+AB263</f>
        <v>14835.60098</v>
      </c>
      <c r="AC264" s="67" t="n">
        <f aca="false">AC253+AC263</f>
        <v>14835.60098</v>
      </c>
      <c r="AD264" s="67" t="n">
        <f aca="false">AD253+AD263</f>
        <v>14835.60098</v>
      </c>
      <c r="AE264" s="67" t="n">
        <f aca="false">AE253+AE263</f>
        <v>14835.60098</v>
      </c>
      <c r="AF264" s="67" t="n">
        <f aca="false">AF253+AF263</f>
        <v>14835.60098</v>
      </c>
      <c r="AG264" s="67" t="n">
        <f aca="false">AG253+AG263</f>
        <v>14835.60098</v>
      </c>
      <c r="AH264" s="67" t="n">
        <f aca="false">AH253+AH263</f>
        <v>14835.60098</v>
      </c>
      <c r="AI264" s="67" t="n">
        <f aca="false">AI253+AI263</f>
        <v>14835.60098</v>
      </c>
      <c r="AJ264" s="67" t="n">
        <f aca="false">AJ253+AJ263</f>
        <v>14835.60098</v>
      </c>
      <c r="AK264" s="67" t="n">
        <f aca="false">AK253+AK263</f>
        <v>14835.60098</v>
      </c>
      <c r="AL264" s="67" t="n">
        <f aca="false">AL253+AL263</f>
        <v>14835.60098</v>
      </c>
    </row>
    <row r="266" customFormat="false" ht="15.75" hidden="false" customHeight="true" outlineLevel="0" collapsed="false">
      <c r="A266" s="7" t="s">
        <v>387</v>
      </c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</row>
    <row r="267" customFormat="false" ht="15" hidden="false" customHeight="false" outlineLevel="0" collapsed="false">
      <c r="A267" s="4" t="s">
        <v>78</v>
      </c>
      <c r="C267" s="72" t="n">
        <f aca="false">C264+C278</f>
        <v>-22506.5904761905</v>
      </c>
      <c r="D267" s="72" t="n">
        <f aca="false">D264+D278</f>
        <v>-18560.4446125541</v>
      </c>
      <c r="E267" s="72" t="n">
        <f aca="false">E264+E278</f>
        <v>-14811.6060420996</v>
      </c>
      <c r="F267" s="72" t="n">
        <f aca="false">F264+F278</f>
        <v>-11250.2094001678</v>
      </c>
      <c r="G267" s="72" t="n">
        <f aca="false">G264+G278</f>
        <v>-7866.88259033254</v>
      </c>
      <c r="H267" s="72" t="n">
        <f aca="false">H264+H278</f>
        <v>-4652.72212098906</v>
      </c>
      <c r="I267" s="72" t="n">
        <f aca="false">I264+I278</f>
        <v>-1599.26967511278</v>
      </c>
      <c r="J267" s="72" t="n">
        <f aca="false">J264+J278</f>
        <v>1301.51014846971</v>
      </c>
      <c r="K267" s="72" t="n">
        <f aca="false">K264+K278</f>
        <v>4057.25098087305</v>
      </c>
      <c r="L267" s="72" t="n">
        <f aca="false">L264+L278</f>
        <v>6675.20477165624</v>
      </c>
      <c r="M267" s="72" t="n">
        <f aca="false">M264+M278</f>
        <v>9153.67170293808</v>
      </c>
      <c r="N267" s="72" t="n">
        <f aca="false">N264+N278</f>
        <v>9459.42202380952</v>
      </c>
      <c r="O267" s="72" t="n">
        <f aca="false">O264+O278</f>
        <v>10644.5965238095</v>
      </c>
      <c r="P267" s="72" t="n">
        <f aca="false">P264+P278</f>
        <v>10644.5965238095</v>
      </c>
      <c r="Q267" s="72" t="n">
        <f aca="false">Q264+Q278</f>
        <v>10644.5965238095</v>
      </c>
      <c r="R267" s="72" t="n">
        <f aca="false">R264+R278</f>
        <v>10644.5965238095</v>
      </c>
      <c r="S267" s="72" t="n">
        <f aca="false">S264+S278</f>
        <v>10644.5965238095</v>
      </c>
      <c r="T267" s="72" t="n">
        <f aca="false">T264+T278</f>
        <v>10644.5965238095</v>
      </c>
      <c r="U267" s="72" t="n">
        <f aca="false">U264+U278</f>
        <v>10644.5965238095</v>
      </c>
      <c r="V267" s="72" t="n">
        <f aca="false">V264+V278</f>
        <v>10644.5965238095</v>
      </c>
      <c r="W267" s="72" t="n">
        <f aca="false">W264+W278</f>
        <v>10644.5965238095</v>
      </c>
      <c r="X267" s="72" t="n">
        <f aca="false">X264+X278</f>
        <v>10644.5965238095</v>
      </c>
      <c r="Y267" s="72" t="n">
        <f aca="false">Y264+Y278</f>
        <v>10644.5965238095</v>
      </c>
      <c r="Z267" s="72" t="n">
        <f aca="false">Z264+Z278</f>
        <v>10644.5965238095</v>
      </c>
      <c r="AA267" s="72" t="n">
        <f aca="false">AA264+AA278</f>
        <v>11859.4105038095</v>
      </c>
      <c r="AB267" s="72" t="n">
        <f aca="false">AB264+AB278</f>
        <v>11859.4105038095</v>
      </c>
      <c r="AC267" s="72" t="n">
        <f aca="false">AC264+AC278</f>
        <v>11859.4105038095</v>
      </c>
      <c r="AD267" s="72" t="n">
        <f aca="false">AD264+AD278</f>
        <v>11859.4105038095</v>
      </c>
      <c r="AE267" s="72" t="n">
        <f aca="false">AE264+AE278</f>
        <v>11859.4105038095</v>
      </c>
      <c r="AF267" s="72" t="n">
        <f aca="false">AF264+AF278</f>
        <v>11859.4105038095</v>
      </c>
      <c r="AG267" s="72" t="n">
        <f aca="false">AG264+AG278</f>
        <v>11859.4105038095</v>
      </c>
      <c r="AH267" s="72" t="n">
        <f aca="false">AH264+AH278</f>
        <v>11859.4105038095</v>
      </c>
      <c r="AI267" s="72" t="n">
        <f aca="false">AI264+AI278</f>
        <v>11859.4105038095</v>
      </c>
      <c r="AJ267" s="72" t="n">
        <f aca="false">AJ264+AJ278</f>
        <v>11859.4105038095</v>
      </c>
      <c r="AK267" s="72" t="n">
        <f aca="false">AK264+AK278</f>
        <v>11859.4105038095</v>
      </c>
      <c r="AL267" s="72" t="n">
        <f aca="false">AL264+AL278</f>
        <v>11859.4105038095</v>
      </c>
    </row>
    <row r="268" customFormat="false" ht="15" hidden="false" customHeight="false" outlineLevel="0" collapsed="false">
      <c r="A268" s="6" t="s">
        <v>388</v>
      </c>
      <c r="C268" s="66" t="n">
        <f aca="false">-(C283+C284+C286)/2*Inputs!$D$56/12</f>
        <v>-1000</v>
      </c>
      <c r="D268" s="66" t="n">
        <f aca="false">-(D283+D284+D286)/2*Inputs!$D$56/12</f>
        <v>-994.047619047619</v>
      </c>
      <c r="E268" s="66" t="n">
        <f aca="false">-(E283+E284+E286)/2*Inputs!$D$56/12</f>
        <v>-982.142857142857</v>
      </c>
      <c r="F268" s="66" t="n">
        <f aca="false">-(F283+F284+F286)/2*Inputs!$D$56/12</f>
        <v>-970.238095238095</v>
      </c>
      <c r="G268" s="66" t="n">
        <f aca="false">-(G283+G284+G286)/2*Inputs!$D$56/12</f>
        <v>-958.333333333333</v>
      </c>
      <c r="H268" s="66" t="n">
        <f aca="false">-(H283+H284+H286)/2*Inputs!$D$56/12</f>
        <v>-946.428571428571</v>
      </c>
      <c r="I268" s="66" t="n">
        <f aca="false">-(I283+I284+I286)/2*Inputs!$D$56/12</f>
        <v>-934.52380952381</v>
      </c>
      <c r="J268" s="66" t="n">
        <f aca="false">-(J283+J284+J286)/2*Inputs!$D$56/12</f>
        <v>-922.619047619047</v>
      </c>
      <c r="K268" s="66" t="n">
        <f aca="false">-(K283+K284+K286)/2*Inputs!$D$56/12</f>
        <v>-910.714285714286</v>
      </c>
      <c r="L268" s="66" t="n">
        <f aca="false">-(L283+L284+L286)/2*Inputs!$D$56/12</f>
        <v>-898.809523809524</v>
      </c>
      <c r="M268" s="66" t="n">
        <f aca="false">-(M283+M284+M286)/2*Inputs!$D$56/12</f>
        <v>-886.904761904762</v>
      </c>
      <c r="N268" s="66" t="n">
        <f aca="false">-(N283+N284+N286)/2*Inputs!$D$56/12</f>
        <v>-875</v>
      </c>
      <c r="O268" s="66" t="n">
        <f aca="false">-(O283+O284+O286)/2*Inputs!$D$56/12</f>
        <v>-863.095238095238</v>
      </c>
      <c r="P268" s="66" t="n">
        <f aca="false">-(P283+P284+P286)/2*Inputs!$D$56/12</f>
        <v>-851.190476190476</v>
      </c>
      <c r="Q268" s="66" t="n">
        <f aca="false">-(Q283+Q284+Q286)/2*Inputs!$D$56/12</f>
        <v>-839.285714285714</v>
      </c>
      <c r="R268" s="66" t="n">
        <f aca="false">-(R283+R284+R286)/2*Inputs!$D$56/12</f>
        <v>-827.380952380952</v>
      </c>
      <c r="S268" s="66" t="n">
        <f aca="false">-(S283+S284+S286)/2*Inputs!$D$56/12</f>
        <v>-815.47619047619</v>
      </c>
      <c r="T268" s="66" t="n">
        <f aca="false">-(T283+T284+T286)/2*Inputs!$D$56/12</f>
        <v>-803.571428571428</v>
      </c>
      <c r="U268" s="66" t="n">
        <f aca="false">-(U283+U284+U286)/2*Inputs!$D$56/12</f>
        <v>-791.666666666666</v>
      </c>
      <c r="V268" s="66" t="n">
        <f aca="false">-(V283+V284+V286)/2*Inputs!$D$56/12</f>
        <v>-779.761904761904</v>
      </c>
      <c r="W268" s="66" t="n">
        <f aca="false">-(W283+W284+W286)/2*Inputs!$D$56/12</f>
        <v>-767.857142857142</v>
      </c>
      <c r="X268" s="66" t="n">
        <f aca="false">-(X283+X284+X286)/2*Inputs!$D$56/12</f>
        <v>-755.95238095238</v>
      </c>
      <c r="Y268" s="66" t="n">
        <f aca="false">-(Y283+Y284+Y286)/2*Inputs!$D$56/12</f>
        <v>-744.047619047619</v>
      </c>
      <c r="Z268" s="66" t="n">
        <f aca="false">-(Z283+Z284+Z286)/2*Inputs!$D$56/12</f>
        <v>-732.142857142857</v>
      </c>
      <c r="AA268" s="66" t="n">
        <f aca="false">-(AA283+AA284+AA286)/2*Inputs!$D$56/12</f>
        <v>-720.238095238095</v>
      </c>
      <c r="AB268" s="66" t="n">
        <f aca="false">-(AB283+AB284+AB286)/2*Inputs!$D$56/12</f>
        <v>-708.333333333333</v>
      </c>
      <c r="AC268" s="66" t="n">
        <f aca="false">-(AC283+AC284+AC286)/2*Inputs!$D$56/12</f>
        <v>-696.428571428571</v>
      </c>
      <c r="AD268" s="66" t="n">
        <f aca="false">-(AD283+AD284+AD286)/2*Inputs!$D$56/12</f>
        <v>-684.523809523809</v>
      </c>
      <c r="AE268" s="66" t="n">
        <f aca="false">-(AE283+AE284+AE286)/2*Inputs!$D$56/12</f>
        <v>-672.619047619047</v>
      </c>
      <c r="AF268" s="66" t="n">
        <f aca="false">-(AF283+AF284+AF286)/2*Inputs!$D$56/12</f>
        <v>-660.714285714285</v>
      </c>
      <c r="AG268" s="66" t="n">
        <f aca="false">-(AG283+AG284+AG286)/2*Inputs!$D$56/12</f>
        <v>-648.809523809523</v>
      </c>
      <c r="AH268" s="66" t="n">
        <f aca="false">-(AH283+AH284+AH286)/2*Inputs!$D$56/12</f>
        <v>-636.904761904761</v>
      </c>
      <c r="AI268" s="66" t="n">
        <f aca="false">-(AI283+AI284+AI286)/2*Inputs!$D$56/12</f>
        <v>-624.999999999999</v>
      </c>
      <c r="AJ268" s="66" t="n">
        <f aca="false">-(AJ283+AJ284+AJ286)/2*Inputs!$D$56/12</f>
        <v>-613.095238095237</v>
      </c>
      <c r="AK268" s="66" t="n">
        <f aca="false">-(AK283+AK284+AK286)/2*Inputs!$D$56/12</f>
        <v>-601.190476190475</v>
      </c>
      <c r="AL268" s="66" t="n">
        <f aca="false">-(AL283+AL284+AL286)/2*Inputs!$D$56/12</f>
        <v>-589.285714285713</v>
      </c>
    </row>
    <row r="269" customFormat="false" ht="15" hidden="false" customHeight="false" outlineLevel="0" collapsed="false">
      <c r="A269" s="110" t="s">
        <v>80</v>
      </c>
      <c r="C269" s="67" t="n">
        <f aca="false">C267+C268</f>
        <v>-23506.5904761905</v>
      </c>
      <c r="D269" s="67" t="n">
        <f aca="false">D267+D268</f>
        <v>-19554.4922316017</v>
      </c>
      <c r="E269" s="67" t="n">
        <f aca="false">E267+E268</f>
        <v>-15793.7488992424</v>
      </c>
      <c r="F269" s="67" t="n">
        <f aca="false">F267+F268</f>
        <v>-12220.4474954059</v>
      </c>
      <c r="G269" s="67" t="n">
        <f aca="false">G267+G268</f>
        <v>-8825.21592366587</v>
      </c>
      <c r="H269" s="67" t="n">
        <f aca="false">H267+H268</f>
        <v>-5599.15069241763</v>
      </c>
      <c r="I269" s="67" t="n">
        <f aca="false">I267+I268</f>
        <v>-2533.79348463659</v>
      </c>
      <c r="J269" s="67" t="n">
        <f aca="false">J267+J268</f>
        <v>378.891100850658</v>
      </c>
      <c r="K269" s="67" t="n">
        <f aca="false">K267+K268</f>
        <v>3146.53669515877</v>
      </c>
      <c r="L269" s="67" t="n">
        <f aca="false">L267+L268</f>
        <v>5776.39524784671</v>
      </c>
      <c r="M269" s="67" t="n">
        <f aca="false">M267+M268</f>
        <v>8266.76694103332</v>
      </c>
      <c r="N269" s="67" t="n">
        <f aca="false">N267+N268</f>
        <v>8584.42202380952</v>
      </c>
      <c r="O269" s="67" t="n">
        <f aca="false">O267+O268</f>
        <v>9781.50128571428</v>
      </c>
      <c r="P269" s="67" t="n">
        <f aca="false">P267+P268</f>
        <v>9793.40604761904</v>
      </c>
      <c r="Q269" s="67" t="n">
        <f aca="false">Q267+Q268</f>
        <v>9805.31080952381</v>
      </c>
      <c r="R269" s="67" t="n">
        <f aca="false">R267+R268</f>
        <v>9817.21557142857</v>
      </c>
      <c r="S269" s="67" t="n">
        <f aca="false">S267+S268</f>
        <v>9829.12033333333</v>
      </c>
      <c r="T269" s="67" t="n">
        <f aca="false">T267+T268</f>
        <v>9841.02509523809</v>
      </c>
      <c r="U269" s="67" t="n">
        <f aca="false">U267+U268</f>
        <v>9852.92985714285</v>
      </c>
      <c r="V269" s="67" t="n">
        <f aca="false">V267+V268</f>
        <v>9864.83461904762</v>
      </c>
      <c r="W269" s="67" t="n">
        <f aca="false">W267+W268</f>
        <v>9876.73938095238</v>
      </c>
      <c r="X269" s="67" t="n">
        <f aca="false">X267+X268</f>
        <v>9888.64414285714</v>
      </c>
      <c r="Y269" s="67" t="n">
        <f aca="false">Y267+Y268</f>
        <v>9900.5489047619</v>
      </c>
      <c r="Z269" s="67" t="n">
        <f aca="false">Z267+Z268</f>
        <v>9912.45366666666</v>
      </c>
      <c r="AA269" s="67" t="n">
        <f aca="false">AA267+AA268</f>
        <v>11139.1724085714</v>
      </c>
      <c r="AB269" s="67" t="n">
        <f aca="false">AB267+AB268</f>
        <v>11151.0771704762</v>
      </c>
      <c r="AC269" s="67" t="n">
        <f aca="false">AC267+AC268</f>
        <v>11162.981932381</v>
      </c>
      <c r="AD269" s="67" t="n">
        <f aca="false">AD267+AD268</f>
        <v>11174.8866942857</v>
      </c>
      <c r="AE269" s="67" t="n">
        <f aca="false">AE267+AE268</f>
        <v>11186.7914561905</v>
      </c>
      <c r="AF269" s="67" t="n">
        <f aca="false">AF267+AF268</f>
        <v>11198.6962180953</v>
      </c>
      <c r="AG269" s="67" t="n">
        <f aca="false">AG267+AG268</f>
        <v>11210.60098</v>
      </c>
      <c r="AH269" s="67" t="n">
        <f aca="false">AH267+AH268</f>
        <v>11222.5057419048</v>
      </c>
      <c r="AI269" s="67" t="n">
        <f aca="false">AI267+AI268</f>
        <v>11234.4105038095</v>
      </c>
      <c r="AJ269" s="67" t="n">
        <f aca="false">AJ267+AJ268</f>
        <v>11246.3152657143</v>
      </c>
      <c r="AK269" s="67" t="n">
        <f aca="false">AK267+AK268</f>
        <v>11258.2200276191</v>
      </c>
      <c r="AL269" s="67" t="n">
        <f aca="false">AL267+AL268</f>
        <v>11270.1247895238</v>
      </c>
    </row>
    <row r="270" customFormat="false" ht="15" hidden="false" customHeight="false" outlineLevel="0" collapsed="false">
      <c r="A270" s="116" t="s">
        <v>389</v>
      </c>
      <c r="C270" s="66" t="n">
        <f aca="false">C269</f>
        <v>-23506.5904761905</v>
      </c>
      <c r="D270" s="66" t="n">
        <f aca="false">C270+D269</f>
        <v>-43061.0827077922</v>
      </c>
      <c r="E270" s="66" t="n">
        <f aca="false">D270+E269</f>
        <v>-58854.8316070347</v>
      </c>
      <c r="F270" s="66" t="n">
        <f aca="false">E270+F269</f>
        <v>-71075.2791024405</v>
      </c>
      <c r="G270" s="66" t="n">
        <f aca="false">F270+G269</f>
        <v>-79900.4950261064</v>
      </c>
      <c r="H270" s="66" t="n">
        <f aca="false">G270+H269</f>
        <v>-85499.645718524</v>
      </c>
      <c r="I270" s="66" t="n">
        <f aca="false">H270+I269</f>
        <v>-88033.4392031606</v>
      </c>
      <c r="J270" s="66" t="n">
        <f aca="false">I270+J269</f>
        <v>-87654.5481023099</v>
      </c>
      <c r="K270" s="66" t="n">
        <f aca="false">J270+K269</f>
        <v>-84508.0114071512</v>
      </c>
      <c r="L270" s="66" t="n">
        <f aca="false">K270+L269</f>
        <v>-78731.6161593045</v>
      </c>
      <c r="M270" s="66" t="n">
        <f aca="false">L270+M269</f>
        <v>-70464.8492182711</v>
      </c>
      <c r="N270" s="66" t="n">
        <f aca="false">M270+N269</f>
        <v>-61880.4271944616</v>
      </c>
      <c r="O270" s="66" t="n">
        <f aca="false">N270+O269</f>
        <v>-52098.9259087473</v>
      </c>
      <c r="P270" s="66" t="n">
        <f aca="false">O270+P269</f>
        <v>-42305.5198611283</v>
      </c>
      <c r="Q270" s="66" t="n">
        <f aca="false">P270+Q269</f>
        <v>-32500.2090516045</v>
      </c>
      <c r="R270" s="66" t="n">
        <f aca="false">Q270+R269</f>
        <v>-22682.9934801759</v>
      </c>
      <c r="S270" s="66" t="n">
        <f aca="false">R270+S269</f>
        <v>-12853.8731468426</v>
      </c>
      <c r="T270" s="66" t="n">
        <f aca="false">S270+T269</f>
        <v>-3012.8480516045</v>
      </c>
      <c r="U270" s="66" t="n">
        <f aca="false">T270+U269</f>
        <v>6840.08180553835</v>
      </c>
      <c r="V270" s="66" t="n">
        <f aca="false">U270+V269</f>
        <v>16704.916424586</v>
      </c>
      <c r="W270" s="66" t="n">
        <f aca="false">V270+W269</f>
        <v>26581.6558055383</v>
      </c>
      <c r="X270" s="66" t="n">
        <f aca="false">W270+X269</f>
        <v>36470.2999483955</v>
      </c>
      <c r="Y270" s="66" t="n">
        <f aca="false">X270+Y269</f>
        <v>46370.8488531574</v>
      </c>
      <c r="Z270" s="66" t="n">
        <f aca="false">Y270+Z269</f>
        <v>56283.302519824</v>
      </c>
      <c r="AA270" s="66" t="n">
        <f aca="false">Z270+AA269</f>
        <v>67422.4749283955</v>
      </c>
      <c r="AB270" s="66" t="n">
        <f aca="false">AA270+AB269</f>
        <v>78573.5520988717</v>
      </c>
      <c r="AC270" s="66" t="n">
        <f aca="false">AB270+AC269</f>
        <v>89736.5340312527</v>
      </c>
      <c r="AD270" s="66" t="n">
        <f aca="false">AC270+AD269</f>
        <v>100911.420725538</v>
      </c>
      <c r="AE270" s="66" t="n">
        <f aca="false">AD270+AE269</f>
        <v>112098.212181729</v>
      </c>
      <c r="AF270" s="66" t="n">
        <f aca="false">AE270+AF269</f>
        <v>123296.908399824</v>
      </c>
      <c r="AG270" s="66" t="n">
        <f aca="false">AF270+AG269</f>
        <v>134507.509379824</v>
      </c>
      <c r="AH270" s="66" t="n">
        <f aca="false">AG270+AH269</f>
        <v>145730.015121729</v>
      </c>
      <c r="AI270" s="66" t="n">
        <f aca="false">AH270+AI269</f>
        <v>156964.425625538</v>
      </c>
      <c r="AJ270" s="66" t="n">
        <f aca="false">AI270+AJ269</f>
        <v>168210.740891253</v>
      </c>
      <c r="AK270" s="66" t="n">
        <f aca="false">AJ270+AK269</f>
        <v>179468.960918872</v>
      </c>
      <c r="AL270" s="66" t="n">
        <f aca="false">AK270+AL269</f>
        <v>190739.085708396</v>
      </c>
    </row>
    <row r="271" customFormat="false" ht="15" hidden="false" customHeight="false" outlineLevel="0" collapsed="false">
      <c r="A271" s="116" t="s">
        <v>390</v>
      </c>
      <c r="C271" s="66" t="n">
        <f aca="false">MAX(0,C270)</f>
        <v>0</v>
      </c>
      <c r="D271" s="66" t="n">
        <f aca="false">MAX(C271,D270)</f>
        <v>0</v>
      </c>
      <c r="E271" s="66" t="n">
        <f aca="false">MAX(D271,E270)</f>
        <v>0</v>
      </c>
      <c r="F271" s="66" t="n">
        <f aca="false">MAX(E271,F270)</f>
        <v>0</v>
      </c>
      <c r="G271" s="66" t="n">
        <f aca="false">MAX(F271,G270)</f>
        <v>0</v>
      </c>
      <c r="H271" s="66" t="n">
        <f aca="false">MAX(G271,H270)</f>
        <v>0</v>
      </c>
      <c r="I271" s="66" t="n">
        <f aca="false">MAX(H271,I270)</f>
        <v>0</v>
      </c>
      <c r="J271" s="66" t="n">
        <f aca="false">MAX(I271,J270)</f>
        <v>0</v>
      </c>
      <c r="K271" s="66" t="n">
        <f aca="false">MAX(J271,K270)</f>
        <v>0</v>
      </c>
      <c r="L271" s="66" t="n">
        <f aca="false">MAX(K271,L270)</f>
        <v>0</v>
      </c>
      <c r="M271" s="66" t="n">
        <f aca="false">MAX(L271,M270)</f>
        <v>0</v>
      </c>
      <c r="N271" s="66" t="n">
        <f aca="false">MAX(M271,N270)</f>
        <v>0</v>
      </c>
      <c r="O271" s="66" t="n">
        <f aca="false">MAX(N271,O270)</f>
        <v>0</v>
      </c>
      <c r="P271" s="66" t="n">
        <f aca="false">MAX(O271,P270)</f>
        <v>0</v>
      </c>
      <c r="Q271" s="66" t="n">
        <f aca="false">MAX(P271,Q270)</f>
        <v>0</v>
      </c>
      <c r="R271" s="66" t="n">
        <f aca="false">MAX(Q271,R270)</f>
        <v>0</v>
      </c>
      <c r="S271" s="66" t="n">
        <f aca="false">MAX(R271,S270)</f>
        <v>0</v>
      </c>
      <c r="T271" s="66" t="n">
        <f aca="false">MAX(S271,T270)</f>
        <v>0</v>
      </c>
      <c r="U271" s="66" t="n">
        <f aca="false">MAX(T271,U270)</f>
        <v>6840.08180553835</v>
      </c>
      <c r="V271" s="66" t="n">
        <f aca="false">MAX(U271,V270)</f>
        <v>16704.916424586</v>
      </c>
      <c r="W271" s="66" t="n">
        <f aca="false">MAX(V271,W270)</f>
        <v>26581.6558055383</v>
      </c>
      <c r="X271" s="66" t="n">
        <f aca="false">MAX(W271,X270)</f>
        <v>36470.2999483955</v>
      </c>
      <c r="Y271" s="66" t="n">
        <f aca="false">MAX(X271,Y270)</f>
        <v>46370.8488531574</v>
      </c>
      <c r="Z271" s="66" t="n">
        <f aca="false">MAX(Y271,Z270)</f>
        <v>56283.302519824</v>
      </c>
      <c r="AA271" s="66" t="n">
        <f aca="false">MAX(Z271,AA270)</f>
        <v>67422.4749283955</v>
      </c>
      <c r="AB271" s="66" t="n">
        <f aca="false">MAX(AA271,AB270)</f>
        <v>78573.5520988717</v>
      </c>
      <c r="AC271" s="66" t="n">
        <f aca="false">MAX(AB271,AC270)</f>
        <v>89736.5340312527</v>
      </c>
      <c r="AD271" s="66" t="n">
        <f aca="false">MAX(AC271,AD270)</f>
        <v>100911.420725538</v>
      </c>
      <c r="AE271" s="66" t="n">
        <f aca="false">MAX(AD271,AE270)</f>
        <v>112098.212181729</v>
      </c>
      <c r="AF271" s="66" t="n">
        <f aca="false">MAX(AE271,AF270)</f>
        <v>123296.908399824</v>
      </c>
      <c r="AG271" s="66" t="n">
        <f aca="false">MAX(AF271,AG270)</f>
        <v>134507.509379824</v>
      </c>
      <c r="AH271" s="66" t="n">
        <f aca="false">MAX(AG271,AH270)</f>
        <v>145730.015121729</v>
      </c>
      <c r="AI271" s="66" t="n">
        <f aca="false">MAX(AH271,AI270)</f>
        <v>156964.425625538</v>
      </c>
      <c r="AJ271" s="66" t="n">
        <f aca="false">MAX(AI271,AJ270)</f>
        <v>168210.740891253</v>
      </c>
      <c r="AK271" s="66" t="n">
        <f aca="false">MAX(AJ271,AK270)</f>
        <v>179468.960918872</v>
      </c>
      <c r="AL271" s="66" t="n">
        <f aca="false">MAX(AK271,AL270)</f>
        <v>190739.085708396</v>
      </c>
    </row>
    <row r="272" customFormat="false" ht="15" hidden="false" customHeight="false" outlineLevel="0" collapsed="false">
      <c r="A272" s="6" t="s">
        <v>81</v>
      </c>
      <c r="C272" s="66" t="n">
        <f aca="false">-C271*Inputs!$D$66</f>
        <v>-0</v>
      </c>
      <c r="D272" s="66" t="n">
        <f aca="false">-(D271-C271)*Inputs!$D$66</f>
        <v>-0</v>
      </c>
      <c r="E272" s="66" t="n">
        <f aca="false">-(E271-D271)*Inputs!$D$66</f>
        <v>-0</v>
      </c>
      <c r="F272" s="66" t="n">
        <f aca="false">-(F271-E271)*Inputs!$D$66</f>
        <v>-0</v>
      </c>
      <c r="G272" s="66" t="n">
        <f aca="false">-(G271-F271)*Inputs!$D$66</f>
        <v>-0</v>
      </c>
      <c r="H272" s="66" t="n">
        <f aca="false">-(H271-G271)*Inputs!$D$66</f>
        <v>-0</v>
      </c>
      <c r="I272" s="66" t="n">
        <f aca="false">-(I271-H271)*Inputs!$D$66</f>
        <v>-0</v>
      </c>
      <c r="J272" s="66" t="n">
        <f aca="false">-(J271-I271)*Inputs!$D$66</f>
        <v>-0</v>
      </c>
      <c r="K272" s="66" t="n">
        <f aca="false">-(K271-J271)*Inputs!$D$66</f>
        <v>-0</v>
      </c>
      <c r="L272" s="66" t="n">
        <f aca="false">-(L271-K271)*Inputs!$D$66</f>
        <v>-0</v>
      </c>
      <c r="M272" s="66" t="n">
        <f aca="false">-(M271-L271)*Inputs!$D$66</f>
        <v>-0</v>
      </c>
      <c r="N272" s="66" t="n">
        <f aca="false">-(N271-M271)*Inputs!$D$66</f>
        <v>-0</v>
      </c>
      <c r="O272" s="66" t="n">
        <f aca="false">-(O271-N271)*Inputs!$D$66</f>
        <v>-0</v>
      </c>
      <c r="P272" s="66" t="n">
        <f aca="false">-(P271-O271)*Inputs!$D$66</f>
        <v>-0</v>
      </c>
      <c r="Q272" s="66" t="n">
        <f aca="false">-(Q271-P271)*Inputs!$D$66</f>
        <v>-0</v>
      </c>
      <c r="R272" s="66" t="n">
        <f aca="false">-(R271-Q271)*Inputs!$D$66</f>
        <v>-0</v>
      </c>
      <c r="S272" s="66" t="n">
        <f aca="false">-(S271-R271)*Inputs!$D$66</f>
        <v>-0</v>
      </c>
      <c r="T272" s="66" t="n">
        <f aca="false">-(T271-S271)*Inputs!$D$66</f>
        <v>-0</v>
      </c>
      <c r="U272" s="66" t="n">
        <f aca="false">-(U271-T271)*Inputs!$D$66</f>
        <v>-1436.41717916305</v>
      </c>
      <c r="V272" s="66" t="n">
        <f aca="false">-(V271-U271)*Inputs!$D$66</f>
        <v>-2071.61527</v>
      </c>
      <c r="W272" s="66" t="n">
        <f aca="false">-(W271-V271)*Inputs!$D$66</f>
        <v>-2074.11527</v>
      </c>
      <c r="X272" s="66" t="n">
        <f aca="false">-(X271-W271)*Inputs!$D$66</f>
        <v>-2076.61527</v>
      </c>
      <c r="Y272" s="66" t="n">
        <f aca="false">-(Y271-X271)*Inputs!$D$66</f>
        <v>-2079.11527</v>
      </c>
      <c r="Z272" s="66" t="n">
        <f aca="false">-(Z271-Y271)*Inputs!$D$66</f>
        <v>-2081.61527</v>
      </c>
      <c r="AA272" s="66" t="n">
        <f aca="false">-(AA271-Z271)*Inputs!$D$66</f>
        <v>-2339.2262058</v>
      </c>
      <c r="AB272" s="66" t="n">
        <f aca="false">-(AB271-AA271)*Inputs!$D$66</f>
        <v>-2341.72620580001</v>
      </c>
      <c r="AC272" s="66" t="n">
        <f aca="false">-(AC271-AB271)*Inputs!$D$66</f>
        <v>-2344.2262058</v>
      </c>
      <c r="AD272" s="66" t="n">
        <f aca="false">-(AD271-AC271)*Inputs!$D$66</f>
        <v>-2346.7262058</v>
      </c>
      <c r="AE272" s="66" t="n">
        <f aca="false">-(AE271-AD271)*Inputs!$D$66</f>
        <v>-2349.2262058</v>
      </c>
      <c r="AF272" s="66" t="n">
        <f aca="false">-(AF271-AE271)*Inputs!$D$66</f>
        <v>-2351.7262058</v>
      </c>
      <c r="AG272" s="66" t="n">
        <f aca="false">-(AG271-AF271)*Inputs!$D$66</f>
        <v>-2354.2262058</v>
      </c>
      <c r="AH272" s="66" t="n">
        <f aca="false">-(AH271-AG271)*Inputs!$D$66</f>
        <v>-2356.7262058</v>
      </c>
      <c r="AI272" s="66" t="n">
        <f aca="false">-(AI271-AH271)*Inputs!$D$66</f>
        <v>-2359.2262058</v>
      </c>
      <c r="AJ272" s="66" t="n">
        <f aca="false">-(AJ271-AI271)*Inputs!$D$66</f>
        <v>-2361.7262058</v>
      </c>
      <c r="AK272" s="66" t="n">
        <f aca="false">-(AK271-AJ271)*Inputs!$D$66</f>
        <v>-2364.2262058</v>
      </c>
      <c r="AL272" s="66" t="n">
        <f aca="false">-(AL271-AK271)*Inputs!$D$66</f>
        <v>-2366.72620580001</v>
      </c>
    </row>
    <row r="273" customFormat="false" ht="15" hidden="false" customHeight="false" outlineLevel="0" collapsed="false">
      <c r="A273" s="110" t="s">
        <v>50</v>
      </c>
      <c r="C273" s="67" t="n">
        <f aca="false">C269+C272</f>
        <v>-23506.5904761905</v>
      </c>
      <c r="D273" s="67" t="n">
        <f aca="false">D269+D272</f>
        <v>-19554.4922316017</v>
      </c>
      <c r="E273" s="67" t="n">
        <f aca="false">E269+E272</f>
        <v>-15793.7488992424</v>
      </c>
      <c r="F273" s="67" t="n">
        <f aca="false">F269+F272</f>
        <v>-12220.4474954059</v>
      </c>
      <c r="G273" s="67" t="n">
        <f aca="false">G269+G272</f>
        <v>-8825.21592366587</v>
      </c>
      <c r="H273" s="67" t="n">
        <f aca="false">H269+H272</f>
        <v>-5599.15069241763</v>
      </c>
      <c r="I273" s="67" t="n">
        <f aca="false">I269+I272</f>
        <v>-2533.79348463659</v>
      </c>
      <c r="J273" s="67" t="n">
        <f aca="false">J269+J272</f>
        <v>378.891100850658</v>
      </c>
      <c r="K273" s="67" t="n">
        <f aca="false">K269+K272</f>
        <v>3146.53669515877</v>
      </c>
      <c r="L273" s="67" t="n">
        <f aca="false">L269+L272</f>
        <v>5776.39524784671</v>
      </c>
      <c r="M273" s="67" t="n">
        <f aca="false">M269+M272</f>
        <v>8266.76694103332</v>
      </c>
      <c r="N273" s="67" t="n">
        <f aca="false">N269+N272</f>
        <v>8584.42202380952</v>
      </c>
      <c r="O273" s="67" t="n">
        <f aca="false">O269+O272</f>
        <v>9781.50128571428</v>
      </c>
      <c r="P273" s="67" t="n">
        <f aca="false">P269+P272</f>
        <v>9793.40604761904</v>
      </c>
      <c r="Q273" s="67" t="n">
        <f aca="false">Q269+Q272</f>
        <v>9805.31080952381</v>
      </c>
      <c r="R273" s="67" t="n">
        <f aca="false">R269+R272</f>
        <v>9817.21557142857</v>
      </c>
      <c r="S273" s="67" t="n">
        <f aca="false">S269+S272</f>
        <v>9829.12033333333</v>
      </c>
      <c r="T273" s="67" t="n">
        <f aca="false">T269+T272</f>
        <v>9841.02509523809</v>
      </c>
      <c r="U273" s="67" t="n">
        <f aca="false">U269+U272</f>
        <v>8416.5126779798</v>
      </c>
      <c r="V273" s="67" t="n">
        <f aca="false">V269+V272</f>
        <v>7793.21934904762</v>
      </c>
      <c r="W273" s="67" t="n">
        <f aca="false">W269+W272</f>
        <v>7802.62411095238</v>
      </c>
      <c r="X273" s="67" t="n">
        <f aca="false">X269+X272</f>
        <v>7812.02887285714</v>
      </c>
      <c r="Y273" s="67" t="n">
        <f aca="false">Y269+Y272</f>
        <v>7821.4336347619</v>
      </c>
      <c r="Z273" s="67" t="n">
        <f aca="false">Z269+Z272</f>
        <v>7830.83839666666</v>
      </c>
      <c r="AA273" s="67" t="n">
        <f aca="false">AA269+AA272</f>
        <v>8799.94620277144</v>
      </c>
      <c r="AB273" s="67" t="n">
        <f aca="false">AB269+AB272</f>
        <v>8809.3509646762</v>
      </c>
      <c r="AC273" s="67" t="n">
        <f aca="false">AC269+AC272</f>
        <v>8818.75572658097</v>
      </c>
      <c r="AD273" s="67" t="n">
        <f aca="false">AD269+AD272</f>
        <v>8828.16048848573</v>
      </c>
      <c r="AE273" s="67" t="n">
        <f aca="false">AE269+AE272</f>
        <v>8837.56525039049</v>
      </c>
      <c r="AF273" s="67" t="n">
        <f aca="false">AF269+AF272</f>
        <v>8846.97001229525</v>
      </c>
      <c r="AG273" s="67" t="n">
        <f aca="false">AG269+AG272</f>
        <v>8856.37477420001</v>
      </c>
      <c r="AH273" s="67" t="n">
        <f aca="false">AH269+AH272</f>
        <v>8865.77953610478</v>
      </c>
      <c r="AI273" s="67" t="n">
        <f aca="false">AI269+AI272</f>
        <v>8875.18429800954</v>
      </c>
      <c r="AJ273" s="67" t="n">
        <f aca="false">AJ269+AJ272</f>
        <v>8884.5890599143</v>
      </c>
      <c r="AK273" s="67" t="n">
        <f aca="false">AK269+AK272</f>
        <v>8893.99382181906</v>
      </c>
      <c r="AL273" s="67" t="n">
        <f aca="false">AL269+AL272</f>
        <v>8903.39858372382</v>
      </c>
    </row>
    <row r="275" customFormat="false" ht="15.75" hidden="false" customHeight="true" outlineLevel="0" collapsed="false">
      <c r="A275" s="7" t="s">
        <v>391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</row>
    <row r="276" customFormat="false" ht="15" hidden="false" customHeight="false" outlineLevel="0" collapsed="false">
      <c r="A276" s="6" t="s">
        <v>392</v>
      </c>
      <c r="C276" s="66" t="n">
        <f aca="false">IF(C$226=1,Inputs!$D$39,0)</f>
        <v>250000</v>
      </c>
      <c r="D276" s="66" t="n">
        <f aca="false">IF(D$226=1,Inputs!$D$39,0)</f>
        <v>0</v>
      </c>
      <c r="E276" s="66" t="n">
        <f aca="false">IF(E$226=1,Inputs!$D$39,0)</f>
        <v>0</v>
      </c>
      <c r="F276" s="66" t="n">
        <f aca="false">IF(F$226=1,Inputs!$D$39,0)</f>
        <v>0</v>
      </c>
      <c r="G276" s="66" t="n">
        <f aca="false">IF(G$226=1,Inputs!$D$39,0)</f>
        <v>0</v>
      </c>
      <c r="H276" s="66" t="n">
        <f aca="false">IF(H$226=1,Inputs!$D$39,0)</f>
        <v>0</v>
      </c>
      <c r="I276" s="66" t="n">
        <f aca="false">IF(I$226=1,Inputs!$D$39,0)</f>
        <v>0</v>
      </c>
      <c r="J276" s="66" t="n">
        <f aca="false">IF(J$226=1,Inputs!$D$39,0)</f>
        <v>0</v>
      </c>
      <c r="K276" s="66" t="n">
        <f aca="false">IF(K$226=1,Inputs!$D$39,0)</f>
        <v>0</v>
      </c>
      <c r="L276" s="66" t="n">
        <f aca="false">IF(L$226=1,Inputs!$D$39,0)</f>
        <v>0</v>
      </c>
      <c r="M276" s="66" t="n">
        <f aca="false">IF(M$226=1,Inputs!$D$39,0)</f>
        <v>0</v>
      </c>
      <c r="N276" s="66" t="n">
        <f aca="false">IF(N$226=1,Inputs!$D$39,0)</f>
        <v>0</v>
      </c>
      <c r="O276" s="66" t="n">
        <f aca="false">IF(O$226=1,Inputs!$D$39,0)</f>
        <v>0</v>
      </c>
      <c r="P276" s="66" t="n">
        <f aca="false">IF(P$226=1,Inputs!$D$39,0)</f>
        <v>0</v>
      </c>
      <c r="Q276" s="66" t="n">
        <f aca="false">IF(Q$226=1,Inputs!$D$39,0)</f>
        <v>0</v>
      </c>
      <c r="R276" s="66" t="n">
        <f aca="false">IF(R$226=1,Inputs!$D$39,0)</f>
        <v>0</v>
      </c>
      <c r="S276" s="66" t="n">
        <f aca="false">IF(S$226=1,Inputs!$D$39,0)</f>
        <v>0</v>
      </c>
      <c r="T276" s="66" t="n">
        <f aca="false">IF(T$226=1,Inputs!$D$39,0)</f>
        <v>0</v>
      </c>
      <c r="U276" s="66" t="n">
        <f aca="false">IF(U$226=1,Inputs!$D$39,0)</f>
        <v>0</v>
      </c>
      <c r="V276" s="66" t="n">
        <f aca="false">IF(V$226=1,Inputs!$D$39,0)</f>
        <v>0</v>
      </c>
      <c r="W276" s="66" t="n">
        <f aca="false">IF(W$226=1,Inputs!$D$39,0)</f>
        <v>0</v>
      </c>
      <c r="X276" s="66" t="n">
        <f aca="false">IF(X$226=1,Inputs!$D$39,0)</f>
        <v>0</v>
      </c>
      <c r="Y276" s="66" t="n">
        <f aca="false">IF(Y$226=1,Inputs!$D$39,0)</f>
        <v>0</v>
      </c>
      <c r="Z276" s="66" t="n">
        <f aca="false">IF(Z$226=1,Inputs!$D$39,0)</f>
        <v>0</v>
      </c>
      <c r="AA276" s="66" t="n">
        <f aca="false">IF(AA$226=1,Inputs!$D$39,0)</f>
        <v>0</v>
      </c>
      <c r="AB276" s="66" t="n">
        <f aca="false">IF(AB$226=1,Inputs!$D$39,0)</f>
        <v>0</v>
      </c>
      <c r="AC276" s="66" t="n">
        <f aca="false">IF(AC$226=1,Inputs!$D$39,0)</f>
        <v>0</v>
      </c>
      <c r="AD276" s="66" t="n">
        <f aca="false">IF(AD$226=1,Inputs!$D$39,0)</f>
        <v>0</v>
      </c>
      <c r="AE276" s="66" t="n">
        <f aca="false">IF(AE$226=1,Inputs!$D$39,0)</f>
        <v>0</v>
      </c>
      <c r="AF276" s="66" t="n">
        <f aca="false">IF(AF$226=1,Inputs!$D$39,0)</f>
        <v>0</v>
      </c>
      <c r="AG276" s="66" t="n">
        <f aca="false">IF(AG$226=1,Inputs!$D$39,0)</f>
        <v>0</v>
      </c>
      <c r="AH276" s="66" t="n">
        <f aca="false">IF(AH$226=1,Inputs!$D$39,0)</f>
        <v>0</v>
      </c>
      <c r="AI276" s="66" t="n">
        <f aca="false">IF(AI$226=1,Inputs!$D$39,0)</f>
        <v>0</v>
      </c>
      <c r="AJ276" s="66" t="n">
        <f aca="false">IF(AJ$226=1,Inputs!$D$39,0)</f>
        <v>0</v>
      </c>
      <c r="AK276" s="66" t="n">
        <f aca="false">IF(AK$226=1,Inputs!$D$39,0)</f>
        <v>0</v>
      </c>
      <c r="AL276" s="66" t="n">
        <f aca="false">IF(AL$226=1,Inputs!$D$39,0)</f>
        <v>0</v>
      </c>
    </row>
    <row r="277" customFormat="false" ht="15" hidden="false" customHeight="false" outlineLevel="0" collapsed="false">
      <c r="A277" s="6" t="s">
        <v>393</v>
      </c>
      <c r="C277" s="66" t="n">
        <f aca="false">C276</f>
        <v>250000</v>
      </c>
      <c r="D277" s="66" t="n">
        <f aca="false">C277+D276</f>
        <v>250000</v>
      </c>
      <c r="E277" s="66" t="n">
        <f aca="false">D277+E276</f>
        <v>250000</v>
      </c>
      <c r="F277" s="66" t="n">
        <f aca="false">E277+F276</f>
        <v>250000</v>
      </c>
      <c r="G277" s="66" t="n">
        <f aca="false">F277+G276</f>
        <v>250000</v>
      </c>
      <c r="H277" s="66" t="n">
        <f aca="false">G277+H276</f>
        <v>250000</v>
      </c>
      <c r="I277" s="66" t="n">
        <f aca="false">H277+I276</f>
        <v>250000</v>
      </c>
      <c r="J277" s="66" t="n">
        <f aca="false">I277+J276</f>
        <v>250000</v>
      </c>
      <c r="K277" s="66" t="n">
        <f aca="false">J277+K276</f>
        <v>250000</v>
      </c>
      <c r="L277" s="66" t="n">
        <f aca="false">K277+L276</f>
        <v>250000</v>
      </c>
      <c r="M277" s="66" t="n">
        <f aca="false">L277+M276</f>
        <v>250000</v>
      </c>
      <c r="N277" s="66" t="n">
        <f aca="false">M277+N276</f>
        <v>250000</v>
      </c>
      <c r="O277" s="66" t="n">
        <f aca="false">N277+O276</f>
        <v>250000</v>
      </c>
      <c r="P277" s="66" t="n">
        <f aca="false">O277+P276</f>
        <v>250000</v>
      </c>
      <c r="Q277" s="66" t="n">
        <f aca="false">P277+Q276</f>
        <v>250000</v>
      </c>
      <c r="R277" s="66" t="n">
        <f aca="false">Q277+R276</f>
        <v>250000</v>
      </c>
      <c r="S277" s="66" t="n">
        <f aca="false">R277+S276</f>
        <v>250000</v>
      </c>
      <c r="T277" s="66" t="n">
        <f aca="false">S277+T276</f>
        <v>250000</v>
      </c>
      <c r="U277" s="66" t="n">
        <f aca="false">T277+U276</f>
        <v>250000</v>
      </c>
      <c r="V277" s="66" t="n">
        <f aca="false">U277+V276</f>
        <v>250000</v>
      </c>
      <c r="W277" s="66" t="n">
        <f aca="false">V277+W276</f>
        <v>250000</v>
      </c>
      <c r="X277" s="66" t="n">
        <f aca="false">W277+X276</f>
        <v>250000</v>
      </c>
      <c r="Y277" s="66" t="n">
        <f aca="false">X277+Y276</f>
        <v>250000</v>
      </c>
      <c r="Z277" s="66" t="n">
        <f aca="false">Y277+Z276</f>
        <v>250000</v>
      </c>
      <c r="AA277" s="66" t="n">
        <f aca="false">Z277+AA276</f>
        <v>250000</v>
      </c>
      <c r="AB277" s="66" t="n">
        <f aca="false">AA277+AB276</f>
        <v>250000</v>
      </c>
      <c r="AC277" s="66" t="n">
        <f aca="false">AB277+AC276</f>
        <v>250000</v>
      </c>
      <c r="AD277" s="66" t="n">
        <f aca="false">AC277+AD276</f>
        <v>250000</v>
      </c>
      <c r="AE277" s="66" t="n">
        <f aca="false">AD277+AE276</f>
        <v>250000</v>
      </c>
      <c r="AF277" s="66" t="n">
        <f aca="false">AE277+AF276</f>
        <v>250000</v>
      </c>
      <c r="AG277" s="66" t="n">
        <f aca="false">AF277+AG276</f>
        <v>250000</v>
      </c>
      <c r="AH277" s="66" t="n">
        <f aca="false">AG277+AH276</f>
        <v>250000</v>
      </c>
      <c r="AI277" s="66" t="n">
        <f aca="false">AH277+AI276</f>
        <v>250000</v>
      </c>
      <c r="AJ277" s="66" t="n">
        <f aca="false">AI277+AJ276</f>
        <v>250000</v>
      </c>
      <c r="AK277" s="66" t="n">
        <f aca="false">AJ277+AK276</f>
        <v>250000</v>
      </c>
      <c r="AL277" s="66" t="n">
        <f aca="false">AK277+AL276</f>
        <v>250000</v>
      </c>
    </row>
    <row r="278" customFormat="false" ht="15" hidden="false" customHeight="false" outlineLevel="0" collapsed="false">
      <c r="A278" s="6" t="s">
        <v>77</v>
      </c>
      <c r="C278" s="66" t="n">
        <f aca="false">-MIN(C277/MAX(1,Inputs!$D$65*12),C276)</f>
        <v>-2976.19047619048</v>
      </c>
      <c r="D278" s="66" t="n">
        <f aca="false">-MIN(D277/MAX(1,Inputs!$D$65*12),C280+D276)</f>
        <v>-2976.19047619048</v>
      </c>
      <c r="E278" s="66" t="n">
        <f aca="false">-MIN(E277/MAX(1,Inputs!$D$65*12),D280+E276)</f>
        <v>-2976.19047619048</v>
      </c>
      <c r="F278" s="66" t="n">
        <f aca="false">-MIN(F277/MAX(1,Inputs!$D$65*12),E280+F276)</f>
        <v>-2976.19047619048</v>
      </c>
      <c r="G278" s="66" t="n">
        <f aca="false">-MIN(G277/MAX(1,Inputs!$D$65*12),F280+G276)</f>
        <v>-2976.19047619048</v>
      </c>
      <c r="H278" s="66" t="n">
        <f aca="false">-MIN(H277/MAX(1,Inputs!$D$65*12),G280+H276)</f>
        <v>-2976.19047619048</v>
      </c>
      <c r="I278" s="66" t="n">
        <f aca="false">-MIN(I277/MAX(1,Inputs!$D$65*12),H280+I276)</f>
        <v>-2976.19047619048</v>
      </c>
      <c r="J278" s="66" t="n">
        <f aca="false">-MIN(J277/MAX(1,Inputs!$D$65*12),I280+J276)</f>
        <v>-2976.19047619048</v>
      </c>
      <c r="K278" s="66" t="n">
        <f aca="false">-MIN(K277/MAX(1,Inputs!$D$65*12),J280+K276)</f>
        <v>-2976.19047619048</v>
      </c>
      <c r="L278" s="66" t="n">
        <f aca="false">-MIN(L277/MAX(1,Inputs!$D$65*12),K280+L276)</f>
        <v>-2976.19047619048</v>
      </c>
      <c r="M278" s="66" t="n">
        <f aca="false">-MIN(M277/MAX(1,Inputs!$D$65*12),L280+M276)</f>
        <v>-2976.19047619048</v>
      </c>
      <c r="N278" s="66" t="n">
        <f aca="false">-MIN(N277/MAX(1,Inputs!$D$65*12),M280+N276)</f>
        <v>-2976.19047619048</v>
      </c>
      <c r="O278" s="66" t="n">
        <f aca="false">-MIN(O277/MAX(1,Inputs!$D$65*12),N280+O276)</f>
        <v>-2976.19047619048</v>
      </c>
      <c r="P278" s="66" t="n">
        <f aca="false">-MIN(P277/MAX(1,Inputs!$D$65*12),O280+P276)</f>
        <v>-2976.19047619048</v>
      </c>
      <c r="Q278" s="66" t="n">
        <f aca="false">-MIN(Q277/MAX(1,Inputs!$D$65*12),P280+Q276)</f>
        <v>-2976.19047619048</v>
      </c>
      <c r="R278" s="66" t="n">
        <f aca="false">-MIN(R277/MAX(1,Inputs!$D$65*12),Q280+R276)</f>
        <v>-2976.19047619048</v>
      </c>
      <c r="S278" s="66" t="n">
        <f aca="false">-MIN(S277/MAX(1,Inputs!$D$65*12),R280+S276)</f>
        <v>-2976.19047619048</v>
      </c>
      <c r="T278" s="66" t="n">
        <f aca="false">-MIN(T277/MAX(1,Inputs!$D$65*12),S280+T276)</f>
        <v>-2976.19047619048</v>
      </c>
      <c r="U278" s="66" t="n">
        <f aca="false">-MIN(U277/MAX(1,Inputs!$D$65*12),T280+U276)</f>
        <v>-2976.19047619048</v>
      </c>
      <c r="V278" s="66" t="n">
        <f aca="false">-MIN(V277/MAX(1,Inputs!$D$65*12),U280+V276)</f>
        <v>-2976.19047619048</v>
      </c>
      <c r="W278" s="66" t="n">
        <f aca="false">-MIN(W277/MAX(1,Inputs!$D$65*12),V280+W276)</f>
        <v>-2976.19047619048</v>
      </c>
      <c r="X278" s="66" t="n">
        <f aca="false">-MIN(X277/MAX(1,Inputs!$D$65*12),W280+X276)</f>
        <v>-2976.19047619048</v>
      </c>
      <c r="Y278" s="66" t="n">
        <f aca="false">-MIN(Y277/MAX(1,Inputs!$D$65*12),X280+Y276)</f>
        <v>-2976.19047619048</v>
      </c>
      <c r="Z278" s="66" t="n">
        <f aca="false">-MIN(Z277/MAX(1,Inputs!$D$65*12),Y280+Z276)</f>
        <v>-2976.19047619048</v>
      </c>
      <c r="AA278" s="66" t="n">
        <f aca="false">-MIN(AA277/MAX(1,Inputs!$D$65*12),Z280+AA276)</f>
        <v>-2976.19047619048</v>
      </c>
      <c r="AB278" s="66" t="n">
        <f aca="false">-MIN(AB277/MAX(1,Inputs!$D$65*12),AA280+AB276)</f>
        <v>-2976.19047619048</v>
      </c>
      <c r="AC278" s="66" t="n">
        <f aca="false">-MIN(AC277/MAX(1,Inputs!$D$65*12),AB280+AC276)</f>
        <v>-2976.19047619048</v>
      </c>
      <c r="AD278" s="66" t="n">
        <f aca="false">-MIN(AD277/MAX(1,Inputs!$D$65*12),AC280+AD276)</f>
        <v>-2976.19047619048</v>
      </c>
      <c r="AE278" s="66" t="n">
        <f aca="false">-MIN(AE277/MAX(1,Inputs!$D$65*12),AD280+AE276)</f>
        <v>-2976.19047619048</v>
      </c>
      <c r="AF278" s="66" t="n">
        <f aca="false">-MIN(AF277/MAX(1,Inputs!$D$65*12),AE280+AF276)</f>
        <v>-2976.19047619048</v>
      </c>
      <c r="AG278" s="66" t="n">
        <f aca="false">-MIN(AG277/MAX(1,Inputs!$D$65*12),AF280+AG276)</f>
        <v>-2976.19047619048</v>
      </c>
      <c r="AH278" s="66" t="n">
        <f aca="false">-MIN(AH277/MAX(1,Inputs!$D$65*12),AG280+AH276)</f>
        <v>-2976.19047619048</v>
      </c>
      <c r="AI278" s="66" t="n">
        <f aca="false">-MIN(AI277/MAX(1,Inputs!$D$65*12),AH280+AI276)</f>
        <v>-2976.19047619048</v>
      </c>
      <c r="AJ278" s="66" t="n">
        <f aca="false">-MIN(AJ277/MAX(1,Inputs!$D$65*12),AI280+AJ276)</f>
        <v>-2976.19047619048</v>
      </c>
      <c r="AK278" s="66" t="n">
        <f aca="false">-MIN(AK277/MAX(1,Inputs!$D$65*12),AJ280+AK276)</f>
        <v>-2976.19047619048</v>
      </c>
      <c r="AL278" s="66" t="n">
        <f aca="false">-MIN(AL277/MAX(1,Inputs!$D$65*12),AK280+AL276)</f>
        <v>-2976.19047619048</v>
      </c>
    </row>
    <row r="279" customFormat="false" ht="15" hidden="false" customHeight="false" outlineLevel="0" collapsed="false">
      <c r="A279" s="6" t="s">
        <v>394</v>
      </c>
      <c r="C279" s="66" t="n">
        <f aca="false">C278</f>
        <v>-2976.19047619048</v>
      </c>
      <c r="D279" s="66" t="n">
        <f aca="false">C279+D278</f>
        <v>-5952.38095238095</v>
      </c>
      <c r="E279" s="66" t="n">
        <f aca="false">D279+E278</f>
        <v>-8928.57142857143</v>
      </c>
      <c r="F279" s="66" t="n">
        <f aca="false">E279+F278</f>
        <v>-11904.7619047619</v>
      </c>
      <c r="G279" s="66" t="n">
        <f aca="false">F279+G278</f>
        <v>-14880.9523809524</v>
      </c>
      <c r="H279" s="66" t="n">
        <f aca="false">G279+H278</f>
        <v>-17857.1428571429</v>
      </c>
      <c r="I279" s="66" t="n">
        <f aca="false">H279+I278</f>
        <v>-20833.3333333333</v>
      </c>
      <c r="J279" s="66" t="n">
        <f aca="false">I279+J278</f>
        <v>-23809.5238095238</v>
      </c>
      <c r="K279" s="66" t="n">
        <f aca="false">J279+K278</f>
        <v>-26785.7142857143</v>
      </c>
      <c r="L279" s="66" t="n">
        <f aca="false">K279+L278</f>
        <v>-29761.9047619048</v>
      </c>
      <c r="M279" s="66" t="n">
        <f aca="false">L279+M278</f>
        <v>-32738.0952380952</v>
      </c>
      <c r="N279" s="66" t="n">
        <f aca="false">M279+N278</f>
        <v>-35714.2857142857</v>
      </c>
      <c r="O279" s="66" t="n">
        <f aca="false">N279+O278</f>
        <v>-38690.4761904762</v>
      </c>
      <c r="P279" s="66" t="n">
        <f aca="false">O279+P278</f>
        <v>-41666.6666666667</v>
      </c>
      <c r="Q279" s="66" t="n">
        <f aca="false">P279+Q278</f>
        <v>-44642.8571428571</v>
      </c>
      <c r="R279" s="66" t="n">
        <f aca="false">Q279+R278</f>
        <v>-47619.0476190476</v>
      </c>
      <c r="S279" s="66" t="n">
        <f aca="false">R279+S278</f>
        <v>-50595.2380952381</v>
      </c>
      <c r="T279" s="66" t="n">
        <f aca="false">S279+T278</f>
        <v>-53571.4285714286</v>
      </c>
      <c r="U279" s="66" t="n">
        <f aca="false">T279+U278</f>
        <v>-56547.619047619</v>
      </c>
      <c r="V279" s="66" t="n">
        <f aca="false">U279+V278</f>
        <v>-59523.8095238095</v>
      </c>
      <c r="W279" s="66" t="n">
        <f aca="false">V279+W278</f>
        <v>-62500</v>
      </c>
      <c r="X279" s="66" t="n">
        <f aca="false">W279+X278</f>
        <v>-65476.1904761905</v>
      </c>
      <c r="Y279" s="66" t="n">
        <f aca="false">X279+Y278</f>
        <v>-68452.3809523809</v>
      </c>
      <c r="Z279" s="66" t="n">
        <f aca="false">Y279+Z278</f>
        <v>-71428.5714285714</v>
      </c>
      <c r="AA279" s="66" t="n">
        <f aca="false">Z279+AA278</f>
        <v>-74404.7619047619</v>
      </c>
      <c r="AB279" s="66" t="n">
        <f aca="false">AA279+AB278</f>
        <v>-77380.9523809524</v>
      </c>
      <c r="AC279" s="66" t="n">
        <f aca="false">AB279+AC278</f>
        <v>-80357.1428571428</v>
      </c>
      <c r="AD279" s="66" t="n">
        <f aca="false">AC279+AD278</f>
        <v>-83333.3333333333</v>
      </c>
      <c r="AE279" s="66" t="n">
        <f aca="false">AD279+AE278</f>
        <v>-86309.5238095238</v>
      </c>
      <c r="AF279" s="66" t="n">
        <f aca="false">AE279+AF278</f>
        <v>-89285.7142857143</v>
      </c>
      <c r="AG279" s="66" t="n">
        <f aca="false">AF279+AG278</f>
        <v>-92261.9047619047</v>
      </c>
      <c r="AH279" s="66" t="n">
        <f aca="false">AG279+AH278</f>
        <v>-95238.0952380952</v>
      </c>
      <c r="AI279" s="66" t="n">
        <f aca="false">AH279+AI278</f>
        <v>-98214.2857142857</v>
      </c>
      <c r="AJ279" s="66" t="n">
        <f aca="false">AI279+AJ278</f>
        <v>-101190.476190476</v>
      </c>
      <c r="AK279" s="66" t="n">
        <f aca="false">AJ279+AK278</f>
        <v>-104166.666666667</v>
      </c>
      <c r="AL279" s="66" t="n">
        <f aca="false">AK279+AL278</f>
        <v>-107142.857142857</v>
      </c>
    </row>
    <row r="280" customFormat="false" ht="15" hidden="false" customHeight="false" outlineLevel="0" collapsed="false">
      <c r="A280" s="4" t="s">
        <v>91</v>
      </c>
      <c r="C280" s="72" t="n">
        <f aca="false">C277+C279</f>
        <v>247023.80952381</v>
      </c>
      <c r="D280" s="72" t="n">
        <f aca="false">D277+D279</f>
        <v>244047.619047619</v>
      </c>
      <c r="E280" s="72" t="n">
        <f aca="false">E277+E279</f>
        <v>241071.428571429</v>
      </c>
      <c r="F280" s="72" t="n">
        <f aca="false">F277+F279</f>
        <v>238095.238095238</v>
      </c>
      <c r="G280" s="72" t="n">
        <f aca="false">G277+G279</f>
        <v>235119.047619048</v>
      </c>
      <c r="H280" s="72" t="n">
        <f aca="false">H277+H279</f>
        <v>232142.857142857</v>
      </c>
      <c r="I280" s="72" t="n">
        <f aca="false">I277+I279</f>
        <v>229166.666666667</v>
      </c>
      <c r="J280" s="72" t="n">
        <f aca="false">J277+J279</f>
        <v>226190.476190476</v>
      </c>
      <c r="K280" s="72" t="n">
        <f aca="false">K277+K279</f>
        <v>223214.285714286</v>
      </c>
      <c r="L280" s="72" t="n">
        <f aca="false">L277+L279</f>
        <v>220238.095238095</v>
      </c>
      <c r="M280" s="72" t="n">
        <f aca="false">M277+M279</f>
        <v>217261.904761905</v>
      </c>
      <c r="N280" s="72" t="n">
        <f aca="false">N277+N279</f>
        <v>214285.714285714</v>
      </c>
      <c r="O280" s="72" t="n">
        <f aca="false">O277+O279</f>
        <v>211309.523809524</v>
      </c>
      <c r="P280" s="72" t="n">
        <f aca="false">P277+P279</f>
        <v>208333.333333333</v>
      </c>
      <c r="Q280" s="72" t="n">
        <f aca="false">Q277+Q279</f>
        <v>205357.142857143</v>
      </c>
      <c r="R280" s="72" t="n">
        <f aca="false">R277+R279</f>
        <v>202380.952380952</v>
      </c>
      <c r="S280" s="72" t="n">
        <f aca="false">S277+S279</f>
        <v>199404.761904762</v>
      </c>
      <c r="T280" s="72" t="n">
        <f aca="false">T277+T279</f>
        <v>196428.571428571</v>
      </c>
      <c r="U280" s="72" t="n">
        <f aca="false">U277+U279</f>
        <v>193452.380952381</v>
      </c>
      <c r="V280" s="72" t="n">
        <f aca="false">V277+V279</f>
        <v>190476.190476191</v>
      </c>
      <c r="W280" s="72" t="n">
        <f aca="false">W277+W279</f>
        <v>187500</v>
      </c>
      <c r="X280" s="72" t="n">
        <f aca="false">X277+X279</f>
        <v>184523.80952381</v>
      </c>
      <c r="Y280" s="72" t="n">
        <f aca="false">Y277+Y279</f>
        <v>181547.619047619</v>
      </c>
      <c r="Z280" s="72" t="n">
        <f aca="false">Z277+Z279</f>
        <v>178571.428571429</v>
      </c>
      <c r="AA280" s="72" t="n">
        <f aca="false">AA277+AA279</f>
        <v>175595.238095238</v>
      </c>
      <c r="AB280" s="72" t="n">
        <f aca="false">AB277+AB279</f>
        <v>172619.047619048</v>
      </c>
      <c r="AC280" s="72" t="n">
        <f aca="false">AC277+AC279</f>
        <v>169642.857142857</v>
      </c>
      <c r="AD280" s="72" t="n">
        <f aca="false">AD277+AD279</f>
        <v>166666.666666667</v>
      </c>
      <c r="AE280" s="72" t="n">
        <f aca="false">AE277+AE279</f>
        <v>163690.476190476</v>
      </c>
      <c r="AF280" s="72" t="n">
        <f aca="false">AF277+AF279</f>
        <v>160714.285714286</v>
      </c>
      <c r="AG280" s="72" t="n">
        <f aca="false">AG277+AG279</f>
        <v>157738.095238095</v>
      </c>
      <c r="AH280" s="72" t="n">
        <f aca="false">AH277+AH279</f>
        <v>154761.904761905</v>
      </c>
      <c r="AI280" s="72" t="n">
        <f aca="false">AI277+AI279</f>
        <v>151785.714285714</v>
      </c>
      <c r="AJ280" s="72" t="n">
        <f aca="false">AJ277+AJ279</f>
        <v>148809.523809524</v>
      </c>
      <c r="AK280" s="72" t="n">
        <f aca="false">AK277+AK279</f>
        <v>145833.333333333</v>
      </c>
      <c r="AL280" s="72" t="n">
        <f aca="false">AL277+AL279</f>
        <v>142857.142857143</v>
      </c>
    </row>
    <row r="282" customFormat="false" ht="15.75" hidden="false" customHeight="true" outlineLevel="0" collapsed="false">
      <c r="A282" s="7" t="s">
        <v>395</v>
      </c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</row>
    <row r="283" customFormat="false" ht="15" hidden="false" customHeight="false" outlineLevel="0" collapsed="false">
      <c r="A283" s="6" t="s">
        <v>396</v>
      </c>
      <c r="C283" s="66" t="n">
        <f aca="false">0</f>
        <v>0</v>
      </c>
      <c r="D283" s="66" t="n">
        <f aca="false">C286</f>
        <v>150000</v>
      </c>
      <c r="E283" s="66" t="n">
        <f aca="false">D286</f>
        <v>148214.285714286</v>
      </c>
      <c r="F283" s="66" t="n">
        <f aca="false">E286</f>
        <v>146428.571428571</v>
      </c>
      <c r="G283" s="66" t="n">
        <f aca="false">F286</f>
        <v>144642.857142857</v>
      </c>
      <c r="H283" s="66" t="n">
        <f aca="false">G286</f>
        <v>142857.142857143</v>
      </c>
      <c r="I283" s="66" t="n">
        <f aca="false">H286</f>
        <v>141071.428571429</v>
      </c>
      <c r="J283" s="66" t="n">
        <f aca="false">I286</f>
        <v>139285.714285714</v>
      </c>
      <c r="K283" s="66" t="n">
        <f aca="false">J286</f>
        <v>137500</v>
      </c>
      <c r="L283" s="66" t="n">
        <f aca="false">K286</f>
        <v>135714.285714286</v>
      </c>
      <c r="M283" s="66" t="n">
        <f aca="false">L286</f>
        <v>133928.571428571</v>
      </c>
      <c r="N283" s="66" t="n">
        <f aca="false">M286</f>
        <v>132142.857142857</v>
      </c>
      <c r="O283" s="66" t="n">
        <f aca="false">N286</f>
        <v>130357.142857143</v>
      </c>
      <c r="P283" s="66" t="n">
        <f aca="false">O286</f>
        <v>128571.428571429</v>
      </c>
      <c r="Q283" s="66" t="n">
        <f aca="false">P286</f>
        <v>126785.714285714</v>
      </c>
      <c r="R283" s="66" t="n">
        <f aca="false">Q286</f>
        <v>125000</v>
      </c>
      <c r="S283" s="66" t="n">
        <f aca="false">R286</f>
        <v>123214.285714286</v>
      </c>
      <c r="T283" s="66" t="n">
        <f aca="false">S286</f>
        <v>121428.571428571</v>
      </c>
      <c r="U283" s="66" t="n">
        <f aca="false">T286</f>
        <v>119642.857142857</v>
      </c>
      <c r="V283" s="66" t="n">
        <f aca="false">U286</f>
        <v>117857.142857143</v>
      </c>
      <c r="W283" s="66" t="n">
        <f aca="false">V286</f>
        <v>116071.428571428</v>
      </c>
      <c r="X283" s="66" t="n">
        <f aca="false">W286</f>
        <v>114285.714285714</v>
      </c>
      <c r="Y283" s="66" t="n">
        <f aca="false">X286</f>
        <v>112500</v>
      </c>
      <c r="Z283" s="66" t="n">
        <f aca="false">Y286</f>
        <v>110714.285714286</v>
      </c>
      <c r="AA283" s="66" t="n">
        <f aca="false">Z286</f>
        <v>108928.571428571</v>
      </c>
      <c r="AB283" s="66" t="n">
        <f aca="false">AA286</f>
        <v>107142.857142857</v>
      </c>
      <c r="AC283" s="66" t="n">
        <f aca="false">AB286</f>
        <v>105357.142857143</v>
      </c>
      <c r="AD283" s="66" t="n">
        <f aca="false">AC286</f>
        <v>103571.428571428</v>
      </c>
      <c r="AE283" s="66" t="n">
        <f aca="false">AD286</f>
        <v>101785.714285714</v>
      </c>
      <c r="AF283" s="66" t="n">
        <f aca="false">AE286</f>
        <v>99999.9999999999</v>
      </c>
      <c r="AG283" s="66" t="n">
        <f aca="false">AF286</f>
        <v>98214.2857142856</v>
      </c>
      <c r="AH283" s="66" t="n">
        <f aca="false">AG286</f>
        <v>96428.5714285713</v>
      </c>
      <c r="AI283" s="66" t="n">
        <f aca="false">AH286</f>
        <v>94642.857142857</v>
      </c>
      <c r="AJ283" s="66" t="n">
        <f aca="false">AI286</f>
        <v>92857.1428571427</v>
      </c>
      <c r="AK283" s="66" t="n">
        <f aca="false">AJ286</f>
        <v>91071.4285714284</v>
      </c>
      <c r="AL283" s="66" t="n">
        <f aca="false">AK286</f>
        <v>89285.7142857141</v>
      </c>
    </row>
    <row r="284" customFormat="false" ht="15" hidden="false" customHeight="false" outlineLevel="0" collapsed="false">
      <c r="A284" s="6" t="s">
        <v>84</v>
      </c>
      <c r="C284" s="66" t="n">
        <f aca="false">IF(C$226=1,Inputs!$D$55,0)</f>
        <v>150000</v>
      </c>
      <c r="D284" s="66" t="n">
        <f aca="false">IF(D$226=1,Inputs!$D$55,0)</f>
        <v>0</v>
      </c>
      <c r="E284" s="66" t="n">
        <f aca="false">IF(E$226=1,Inputs!$D$55,0)</f>
        <v>0</v>
      </c>
      <c r="F284" s="66" t="n">
        <f aca="false">IF(F$226=1,Inputs!$D$55,0)</f>
        <v>0</v>
      </c>
      <c r="G284" s="66" t="n">
        <f aca="false">IF(G$226=1,Inputs!$D$55,0)</f>
        <v>0</v>
      </c>
      <c r="H284" s="66" t="n">
        <f aca="false">IF(H$226=1,Inputs!$D$55,0)</f>
        <v>0</v>
      </c>
      <c r="I284" s="66" t="n">
        <f aca="false">IF(I$226=1,Inputs!$D$55,0)</f>
        <v>0</v>
      </c>
      <c r="J284" s="66" t="n">
        <f aca="false">IF(J$226=1,Inputs!$D$55,0)</f>
        <v>0</v>
      </c>
      <c r="K284" s="66" t="n">
        <f aca="false">IF(K$226=1,Inputs!$D$55,0)</f>
        <v>0</v>
      </c>
      <c r="L284" s="66" t="n">
        <f aca="false">IF(L$226=1,Inputs!$D$55,0)</f>
        <v>0</v>
      </c>
      <c r="M284" s="66" t="n">
        <f aca="false">IF(M$226=1,Inputs!$D$55,0)</f>
        <v>0</v>
      </c>
      <c r="N284" s="66" t="n">
        <f aca="false">IF(N$226=1,Inputs!$D$55,0)</f>
        <v>0</v>
      </c>
      <c r="O284" s="66" t="n">
        <f aca="false">IF(O$226=1,Inputs!$D$55,0)</f>
        <v>0</v>
      </c>
      <c r="P284" s="66" t="n">
        <f aca="false">IF(P$226=1,Inputs!$D$55,0)</f>
        <v>0</v>
      </c>
      <c r="Q284" s="66" t="n">
        <f aca="false">IF(Q$226=1,Inputs!$D$55,0)</f>
        <v>0</v>
      </c>
      <c r="R284" s="66" t="n">
        <f aca="false">IF(R$226=1,Inputs!$D$55,0)</f>
        <v>0</v>
      </c>
      <c r="S284" s="66" t="n">
        <f aca="false">IF(S$226=1,Inputs!$D$55,0)</f>
        <v>0</v>
      </c>
      <c r="T284" s="66" t="n">
        <f aca="false">IF(T$226=1,Inputs!$D$55,0)</f>
        <v>0</v>
      </c>
      <c r="U284" s="66" t="n">
        <f aca="false">IF(U$226=1,Inputs!$D$55,0)</f>
        <v>0</v>
      </c>
      <c r="V284" s="66" t="n">
        <f aca="false">IF(V$226=1,Inputs!$D$55,0)</f>
        <v>0</v>
      </c>
      <c r="W284" s="66" t="n">
        <f aca="false">IF(W$226=1,Inputs!$D$55,0)</f>
        <v>0</v>
      </c>
      <c r="X284" s="66" t="n">
        <f aca="false">IF(X$226=1,Inputs!$D$55,0)</f>
        <v>0</v>
      </c>
      <c r="Y284" s="66" t="n">
        <f aca="false">IF(Y$226=1,Inputs!$D$55,0)</f>
        <v>0</v>
      </c>
      <c r="Z284" s="66" t="n">
        <f aca="false">IF(Z$226=1,Inputs!$D$55,0)</f>
        <v>0</v>
      </c>
      <c r="AA284" s="66" t="n">
        <f aca="false">IF(AA$226=1,Inputs!$D$55,0)</f>
        <v>0</v>
      </c>
      <c r="AB284" s="66" t="n">
        <f aca="false">IF(AB$226=1,Inputs!$D$55,0)</f>
        <v>0</v>
      </c>
      <c r="AC284" s="66" t="n">
        <f aca="false">IF(AC$226=1,Inputs!$D$55,0)</f>
        <v>0</v>
      </c>
      <c r="AD284" s="66" t="n">
        <f aca="false">IF(AD$226=1,Inputs!$D$55,0)</f>
        <v>0</v>
      </c>
      <c r="AE284" s="66" t="n">
        <f aca="false">IF(AE$226=1,Inputs!$D$55,0)</f>
        <v>0</v>
      </c>
      <c r="AF284" s="66" t="n">
        <f aca="false">IF(AF$226=1,Inputs!$D$55,0)</f>
        <v>0</v>
      </c>
      <c r="AG284" s="66" t="n">
        <f aca="false">IF(AG$226=1,Inputs!$D$55,0)</f>
        <v>0</v>
      </c>
      <c r="AH284" s="66" t="n">
        <f aca="false">IF(AH$226=1,Inputs!$D$55,0)</f>
        <v>0</v>
      </c>
      <c r="AI284" s="66" t="n">
        <f aca="false">IF(AI$226=1,Inputs!$D$55,0)</f>
        <v>0</v>
      </c>
      <c r="AJ284" s="66" t="n">
        <f aca="false">IF(AJ$226=1,Inputs!$D$55,0)</f>
        <v>0</v>
      </c>
      <c r="AK284" s="66" t="n">
        <f aca="false">IF(AK$226=1,Inputs!$D$55,0)</f>
        <v>0</v>
      </c>
      <c r="AL284" s="66" t="n">
        <f aca="false">IF(AL$226=1,Inputs!$D$55,0)</f>
        <v>0</v>
      </c>
    </row>
    <row r="285" customFormat="false" ht="15" hidden="false" customHeight="false" outlineLevel="0" collapsed="false">
      <c r="A285" s="6" t="s">
        <v>85</v>
      </c>
      <c r="C285" s="66" t="n">
        <f aca="false">-MIN(C283,Inputs!$D$55/MAX(1,Inputs!$D$57*12))</f>
        <v>-0</v>
      </c>
      <c r="D285" s="66" t="n">
        <f aca="false">-MIN(D283,Inputs!$D$55/MAX(1,Inputs!$D$57*12))</f>
        <v>-1785.71428571429</v>
      </c>
      <c r="E285" s="66" t="n">
        <f aca="false">-MIN(E283,Inputs!$D$55/MAX(1,Inputs!$D$57*12))</f>
        <v>-1785.71428571429</v>
      </c>
      <c r="F285" s="66" t="n">
        <f aca="false">-MIN(F283,Inputs!$D$55/MAX(1,Inputs!$D$57*12))</f>
        <v>-1785.71428571429</v>
      </c>
      <c r="G285" s="66" t="n">
        <f aca="false">-MIN(G283,Inputs!$D$55/MAX(1,Inputs!$D$57*12))</f>
        <v>-1785.71428571429</v>
      </c>
      <c r="H285" s="66" t="n">
        <f aca="false">-MIN(H283,Inputs!$D$55/MAX(1,Inputs!$D$57*12))</f>
        <v>-1785.71428571429</v>
      </c>
      <c r="I285" s="66" t="n">
        <f aca="false">-MIN(I283,Inputs!$D$55/MAX(1,Inputs!$D$57*12))</f>
        <v>-1785.71428571429</v>
      </c>
      <c r="J285" s="66" t="n">
        <f aca="false">-MIN(J283,Inputs!$D$55/MAX(1,Inputs!$D$57*12))</f>
        <v>-1785.71428571429</v>
      </c>
      <c r="K285" s="66" t="n">
        <f aca="false">-MIN(K283,Inputs!$D$55/MAX(1,Inputs!$D$57*12))</f>
        <v>-1785.71428571429</v>
      </c>
      <c r="L285" s="66" t="n">
        <f aca="false">-MIN(L283,Inputs!$D$55/MAX(1,Inputs!$D$57*12))</f>
        <v>-1785.71428571429</v>
      </c>
      <c r="M285" s="66" t="n">
        <f aca="false">-MIN(M283,Inputs!$D$55/MAX(1,Inputs!$D$57*12))</f>
        <v>-1785.71428571429</v>
      </c>
      <c r="N285" s="66" t="n">
        <f aca="false">-MIN(N283,Inputs!$D$55/MAX(1,Inputs!$D$57*12))</f>
        <v>-1785.71428571429</v>
      </c>
      <c r="O285" s="66" t="n">
        <f aca="false">-MIN(O283,Inputs!$D$55/MAX(1,Inputs!$D$57*12))</f>
        <v>-1785.71428571429</v>
      </c>
      <c r="P285" s="66" t="n">
        <f aca="false">-MIN(P283,Inputs!$D$55/MAX(1,Inputs!$D$57*12))</f>
        <v>-1785.71428571429</v>
      </c>
      <c r="Q285" s="66" t="n">
        <f aca="false">-MIN(Q283,Inputs!$D$55/MAX(1,Inputs!$D$57*12))</f>
        <v>-1785.71428571429</v>
      </c>
      <c r="R285" s="66" t="n">
        <f aca="false">-MIN(R283,Inputs!$D$55/MAX(1,Inputs!$D$57*12))</f>
        <v>-1785.71428571429</v>
      </c>
      <c r="S285" s="66" t="n">
        <f aca="false">-MIN(S283,Inputs!$D$55/MAX(1,Inputs!$D$57*12))</f>
        <v>-1785.71428571429</v>
      </c>
      <c r="T285" s="66" t="n">
        <f aca="false">-MIN(T283,Inputs!$D$55/MAX(1,Inputs!$D$57*12))</f>
        <v>-1785.71428571429</v>
      </c>
      <c r="U285" s="66" t="n">
        <f aca="false">-MIN(U283,Inputs!$D$55/MAX(1,Inputs!$D$57*12))</f>
        <v>-1785.71428571429</v>
      </c>
      <c r="V285" s="66" t="n">
        <f aca="false">-MIN(V283,Inputs!$D$55/MAX(1,Inputs!$D$57*12))</f>
        <v>-1785.71428571429</v>
      </c>
      <c r="W285" s="66" t="n">
        <f aca="false">-MIN(W283,Inputs!$D$55/MAX(1,Inputs!$D$57*12))</f>
        <v>-1785.71428571429</v>
      </c>
      <c r="X285" s="66" t="n">
        <f aca="false">-MIN(X283,Inputs!$D$55/MAX(1,Inputs!$D$57*12))</f>
        <v>-1785.71428571429</v>
      </c>
      <c r="Y285" s="66" t="n">
        <f aca="false">-MIN(Y283,Inputs!$D$55/MAX(1,Inputs!$D$57*12))</f>
        <v>-1785.71428571429</v>
      </c>
      <c r="Z285" s="66" t="n">
        <f aca="false">-MIN(Z283,Inputs!$D$55/MAX(1,Inputs!$D$57*12))</f>
        <v>-1785.71428571429</v>
      </c>
      <c r="AA285" s="66" t="n">
        <f aca="false">-MIN(AA283,Inputs!$D$55/MAX(1,Inputs!$D$57*12))</f>
        <v>-1785.71428571429</v>
      </c>
      <c r="AB285" s="66" t="n">
        <f aca="false">-MIN(AB283,Inputs!$D$55/MAX(1,Inputs!$D$57*12))</f>
        <v>-1785.71428571429</v>
      </c>
      <c r="AC285" s="66" t="n">
        <f aca="false">-MIN(AC283,Inputs!$D$55/MAX(1,Inputs!$D$57*12))</f>
        <v>-1785.71428571429</v>
      </c>
      <c r="AD285" s="66" t="n">
        <f aca="false">-MIN(AD283,Inputs!$D$55/MAX(1,Inputs!$D$57*12))</f>
        <v>-1785.71428571429</v>
      </c>
      <c r="AE285" s="66" t="n">
        <f aca="false">-MIN(AE283,Inputs!$D$55/MAX(1,Inputs!$D$57*12))</f>
        <v>-1785.71428571429</v>
      </c>
      <c r="AF285" s="66" t="n">
        <f aca="false">-MIN(AF283,Inputs!$D$55/MAX(1,Inputs!$D$57*12))</f>
        <v>-1785.71428571429</v>
      </c>
      <c r="AG285" s="66" t="n">
        <f aca="false">-MIN(AG283,Inputs!$D$55/MAX(1,Inputs!$D$57*12))</f>
        <v>-1785.71428571429</v>
      </c>
      <c r="AH285" s="66" t="n">
        <f aca="false">-MIN(AH283,Inputs!$D$55/MAX(1,Inputs!$D$57*12))</f>
        <v>-1785.71428571429</v>
      </c>
      <c r="AI285" s="66" t="n">
        <f aca="false">-MIN(AI283,Inputs!$D$55/MAX(1,Inputs!$D$57*12))</f>
        <v>-1785.71428571429</v>
      </c>
      <c r="AJ285" s="66" t="n">
        <f aca="false">-MIN(AJ283,Inputs!$D$55/MAX(1,Inputs!$D$57*12))</f>
        <v>-1785.71428571429</v>
      </c>
      <c r="AK285" s="66" t="n">
        <f aca="false">-MIN(AK283,Inputs!$D$55/MAX(1,Inputs!$D$57*12))</f>
        <v>-1785.71428571429</v>
      </c>
      <c r="AL285" s="66" t="n">
        <f aca="false">-MIN(AL283,Inputs!$D$55/MAX(1,Inputs!$D$57*12))</f>
        <v>-1785.71428571429</v>
      </c>
    </row>
    <row r="286" customFormat="false" ht="15" hidden="false" customHeight="false" outlineLevel="0" collapsed="false">
      <c r="A286" s="4" t="s">
        <v>397</v>
      </c>
      <c r="C286" s="72" t="n">
        <f aca="false">C283+C284+C285</f>
        <v>150000</v>
      </c>
      <c r="D286" s="72" t="n">
        <f aca="false">D283+D284+D285</f>
        <v>148214.285714286</v>
      </c>
      <c r="E286" s="72" t="n">
        <f aca="false">E283+E284+E285</f>
        <v>146428.571428571</v>
      </c>
      <c r="F286" s="72" t="n">
        <f aca="false">F283+F284+F285</f>
        <v>144642.857142857</v>
      </c>
      <c r="G286" s="72" t="n">
        <f aca="false">G283+G284+G285</f>
        <v>142857.142857143</v>
      </c>
      <c r="H286" s="72" t="n">
        <f aca="false">H283+H284+H285</f>
        <v>141071.428571429</v>
      </c>
      <c r="I286" s="72" t="n">
        <f aca="false">I283+I284+I285</f>
        <v>139285.714285714</v>
      </c>
      <c r="J286" s="72" t="n">
        <f aca="false">J283+J284+J285</f>
        <v>137500</v>
      </c>
      <c r="K286" s="72" t="n">
        <f aca="false">K283+K284+K285</f>
        <v>135714.285714286</v>
      </c>
      <c r="L286" s="72" t="n">
        <f aca="false">L283+L284+L285</f>
        <v>133928.571428571</v>
      </c>
      <c r="M286" s="72" t="n">
        <f aca="false">M283+M284+M285</f>
        <v>132142.857142857</v>
      </c>
      <c r="N286" s="72" t="n">
        <f aca="false">N283+N284+N285</f>
        <v>130357.142857143</v>
      </c>
      <c r="O286" s="72" t="n">
        <f aca="false">O283+O284+O285</f>
        <v>128571.428571429</v>
      </c>
      <c r="P286" s="72" t="n">
        <f aca="false">P283+P284+P285</f>
        <v>126785.714285714</v>
      </c>
      <c r="Q286" s="72" t="n">
        <f aca="false">Q283+Q284+Q285</f>
        <v>125000</v>
      </c>
      <c r="R286" s="72" t="n">
        <f aca="false">R283+R284+R285</f>
        <v>123214.285714286</v>
      </c>
      <c r="S286" s="72" t="n">
        <f aca="false">S283+S284+S285</f>
        <v>121428.571428571</v>
      </c>
      <c r="T286" s="72" t="n">
        <f aca="false">T283+T284+T285</f>
        <v>119642.857142857</v>
      </c>
      <c r="U286" s="72" t="n">
        <f aca="false">U283+U284+U285</f>
        <v>117857.142857143</v>
      </c>
      <c r="V286" s="72" t="n">
        <f aca="false">V283+V284+V285</f>
        <v>116071.428571428</v>
      </c>
      <c r="W286" s="72" t="n">
        <f aca="false">W283+W284+W285</f>
        <v>114285.714285714</v>
      </c>
      <c r="X286" s="72" t="n">
        <f aca="false">X283+X284+X285</f>
        <v>112500</v>
      </c>
      <c r="Y286" s="72" t="n">
        <f aca="false">Y283+Y284+Y285</f>
        <v>110714.285714286</v>
      </c>
      <c r="Z286" s="72" t="n">
        <f aca="false">Z283+Z284+Z285</f>
        <v>108928.571428571</v>
      </c>
      <c r="AA286" s="72" t="n">
        <f aca="false">AA283+AA284+AA285</f>
        <v>107142.857142857</v>
      </c>
      <c r="AB286" s="72" t="n">
        <f aca="false">AB283+AB284+AB285</f>
        <v>105357.142857143</v>
      </c>
      <c r="AC286" s="72" t="n">
        <f aca="false">AC283+AC284+AC285</f>
        <v>103571.428571428</v>
      </c>
      <c r="AD286" s="72" t="n">
        <f aca="false">AD283+AD284+AD285</f>
        <v>101785.714285714</v>
      </c>
      <c r="AE286" s="72" t="n">
        <f aca="false">AE283+AE284+AE285</f>
        <v>99999.9999999999</v>
      </c>
      <c r="AF286" s="72" t="n">
        <f aca="false">AF283+AF284+AF285</f>
        <v>98214.2857142856</v>
      </c>
      <c r="AG286" s="72" t="n">
        <f aca="false">AG283+AG284+AG285</f>
        <v>96428.5714285713</v>
      </c>
      <c r="AH286" s="72" t="n">
        <f aca="false">AH283+AH284+AH285</f>
        <v>94642.857142857</v>
      </c>
      <c r="AI286" s="72" t="n">
        <f aca="false">AI283+AI284+AI285</f>
        <v>92857.1428571427</v>
      </c>
      <c r="AJ286" s="72" t="n">
        <f aca="false">AJ283+AJ284+AJ285</f>
        <v>91071.4285714284</v>
      </c>
      <c r="AK286" s="72" t="n">
        <f aca="false">AK283+AK284+AK285</f>
        <v>89285.7142857141</v>
      </c>
      <c r="AL286" s="72" t="n">
        <f aca="false">AL283+AL284+AL285</f>
        <v>87499.9999999999</v>
      </c>
    </row>
    <row r="288" customFormat="false" ht="15.75" hidden="false" customHeight="true" outlineLevel="0" collapsed="false">
      <c r="A288" s="7" t="s">
        <v>303</v>
      </c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</row>
    <row r="289" customFormat="false" ht="15" hidden="false" customHeight="false" outlineLevel="0" collapsed="false">
      <c r="A289" s="6" t="s">
        <v>89</v>
      </c>
      <c r="C289" s="66" t="n">
        <f aca="false">C246*Inputs!$D$60/30</f>
        <v>0</v>
      </c>
      <c r="D289" s="66" t="n">
        <f aca="false">D246*Inputs!$D$60/30</f>
        <v>0</v>
      </c>
      <c r="E289" s="66" t="n">
        <f aca="false">E246*Inputs!$D$60/30</f>
        <v>0</v>
      </c>
      <c r="F289" s="66" t="n">
        <f aca="false">F246*Inputs!$D$60/30</f>
        <v>0</v>
      </c>
      <c r="G289" s="66" t="n">
        <f aca="false">G246*Inputs!$D$60/30</f>
        <v>0</v>
      </c>
      <c r="H289" s="66" t="n">
        <f aca="false">H246*Inputs!$D$60/30</f>
        <v>0</v>
      </c>
      <c r="I289" s="66" t="n">
        <f aca="false">I246*Inputs!$D$60/30</f>
        <v>0</v>
      </c>
      <c r="J289" s="66" t="n">
        <f aca="false">J246*Inputs!$D$60/30</f>
        <v>0</v>
      </c>
      <c r="K289" s="66" t="n">
        <f aca="false">K246*Inputs!$D$60/30</f>
        <v>0</v>
      </c>
      <c r="L289" s="66" t="n">
        <f aca="false">L246*Inputs!$D$60/30</f>
        <v>0</v>
      </c>
      <c r="M289" s="66" t="n">
        <f aca="false">M246*Inputs!$D$60/30</f>
        <v>0</v>
      </c>
      <c r="N289" s="66" t="n">
        <f aca="false">N246*Inputs!$D$60/30</f>
        <v>0</v>
      </c>
      <c r="O289" s="66" t="n">
        <f aca="false">O246*Inputs!$D$60/30</f>
        <v>0</v>
      </c>
      <c r="P289" s="66" t="n">
        <f aca="false">P246*Inputs!$D$60/30</f>
        <v>0</v>
      </c>
      <c r="Q289" s="66" t="n">
        <f aca="false">Q246*Inputs!$D$60/30</f>
        <v>0</v>
      </c>
      <c r="R289" s="66" t="n">
        <f aca="false">R246*Inputs!$D$60/30</f>
        <v>0</v>
      </c>
      <c r="S289" s="66" t="n">
        <f aca="false">S246*Inputs!$D$60/30</f>
        <v>0</v>
      </c>
      <c r="T289" s="66" t="n">
        <f aca="false">T246*Inputs!$D$60/30</f>
        <v>0</v>
      </c>
      <c r="U289" s="66" t="n">
        <f aca="false">U246*Inputs!$D$60/30</f>
        <v>0</v>
      </c>
      <c r="V289" s="66" t="n">
        <f aca="false">V246*Inputs!$D$60/30</f>
        <v>0</v>
      </c>
      <c r="W289" s="66" t="n">
        <f aca="false">W246*Inputs!$D$60/30</f>
        <v>0</v>
      </c>
      <c r="X289" s="66" t="n">
        <f aca="false">X246*Inputs!$D$60/30</f>
        <v>0</v>
      </c>
      <c r="Y289" s="66" t="n">
        <f aca="false">Y246*Inputs!$D$60/30</f>
        <v>0</v>
      </c>
      <c r="Z289" s="66" t="n">
        <f aca="false">Z246*Inputs!$D$60/30</f>
        <v>0</v>
      </c>
      <c r="AA289" s="66" t="n">
        <f aca="false">AA246*Inputs!$D$60/30</f>
        <v>0</v>
      </c>
      <c r="AB289" s="66" t="n">
        <f aca="false">AB246*Inputs!$D$60/30</f>
        <v>0</v>
      </c>
      <c r="AC289" s="66" t="n">
        <f aca="false">AC246*Inputs!$D$60/30</f>
        <v>0</v>
      </c>
      <c r="AD289" s="66" t="n">
        <f aca="false">AD246*Inputs!$D$60/30</f>
        <v>0</v>
      </c>
      <c r="AE289" s="66" t="n">
        <f aca="false">AE246*Inputs!$D$60/30</f>
        <v>0</v>
      </c>
      <c r="AF289" s="66" t="n">
        <f aca="false">AF246*Inputs!$D$60/30</f>
        <v>0</v>
      </c>
      <c r="AG289" s="66" t="n">
        <f aca="false">AG246*Inputs!$D$60/30</f>
        <v>0</v>
      </c>
      <c r="AH289" s="66" t="n">
        <f aca="false">AH246*Inputs!$D$60/30</f>
        <v>0</v>
      </c>
      <c r="AI289" s="66" t="n">
        <f aca="false">AI246*Inputs!$D$60/30</f>
        <v>0</v>
      </c>
      <c r="AJ289" s="66" t="n">
        <f aca="false">AJ246*Inputs!$D$60/30</f>
        <v>0</v>
      </c>
      <c r="AK289" s="66" t="n">
        <f aca="false">AK246*Inputs!$D$60/30</f>
        <v>0</v>
      </c>
      <c r="AL289" s="66" t="n">
        <f aca="false">AL246*Inputs!$D$60/30</f>
        <v>0</v>
      </c>
    </row>
    <row r="290" customFormat="false" ht="15" hidden="false" customHeight="false" outlineLevel="0" collapsed="false">
      <c r="A290" s="6" t="s">
        <v>90</v>
      </c>
      <c r="C290" s="66" t="n">
        <f aca="false">-C252*Inputs!$D$61/30</f>
        <v>3090.87929292929</v>
      </c>
      <c r="D290" s="66" t="n">
        <f aca="false">-D252*Inputs!$D$61/30</f>
        <v>3235.50724747475</v>
      </c>
      <c r="E290" s="66" t="n">
        <f aca="false">-E252*Inputs!$D$61/30</f>
        <v>3372.90380429293</v>
      </c>
      <c r="F290" s="66" t="n">
        <f aca="false">-F252*Inputs!$D$61/30</f>
        <v>3503.4305332702</v>
      </c>
      <c r="G290" s="66" t="n">
        <f aca="false">-G252*Inputs!$D$61/30</f>
        <v>3627.43092579861</v>
      </c>
      <c r="H290" s="66" t="n">
        <f aca="false">-H252*Inputs!$D$61/30</f>
        <v>3745.2312987006</v>
      </c>
      <c r="I290" s="66" t="n">
        <f aca="false">-I252*Inputs!$D$61/30</f>
        <v>3857.14165295749</v>
      </c>
      <c r="J290" s="66" t="n">
        <f aca="false">-J252*Inputs!$D$61/30</f>
        <v>3963.45648950153</v>
      </c>
      <c r="K290" s="66" t="n">
        <f aca="false">-K252*Inputs!$D$61/30</f>
        <v>4064.45558421838</v>
      </c>
      <c r="L290" s="66" t="n">
        <f aca="false">-L252*Inputs!$D$61/30</f>
        <v>4160.40472419938</v>
      </c>
      <c r="M290" s="66" t="n">
        <f aca="false">-M252*Inputs!$D$61/30</f>
        <v>4251.38014406087</v>
      </c>
      <c r="N290" s="66" t="n">
        <f aca="false">-N252*Inputs!$D$61/30</f>
        <v>4295.61111111111</v>
      </c>
      <c r="O290" s="66" t="n">
        <f aca="false">-O252*Inputs!$D$61/30</f>
        <v>4444.32444444444</v>
      </c>
      <c r="P290" s="66" t="n">
        <f aca="false">-P252*Inputs!$D$61/30</f>
        <v>4444.32444444444</v>
      </c>
      <c r="Q290" s="66" t="n">
        <f aca="false">-Q252*Inputs!$D$61/30</f>
        <v>4444.32444444444</v>
      </c>
      <c r="R290" s="66" t="n">
        <f aca="false">-R252*Inputs!$D$61/30</f>
        <v>4444.32444444444</v>
      </c>
      <c r="S290" s="66" t="n">
        <f aca="false">-S252*Inputs!$D$61/30</f>
        <v>4444.32444444444</v>
      </c>
      <c r="T290" s="66" t="n">
        <f aca="false">-T252*Inputs!$D$61/30</f>
        <v>4444.32444444444</v>
      </c>
      <c r="U290" s="66" t="n">
        <f aca="false">-U252*Inputs!$D$61/30</f>
        <v>4444.32444444444</v>
      </c>
      <c r="V290" s="66" t="n">
        <f aca="false">-V252*Inputs!$D$61/30</f>
        <v>4444.32444444444</v>
      </c>
      <c r="W290" s="66" t="n">
        <f aca="false">-W252*Inputs!$D$61/30</f>
        <v>4444.32444444444</v>
      </c>
      <c r="X290" s="66" t="n">
        <f aca="false">-X252*Inputs!$D$61/30</f>
        <v>4444.32444444444</v>
      </c>
      <c r="Y290" s="66" t="n">
        <f aca="false">-Y252*Inputs!$D$61/30</f>
        <v>4444.32444444444</v>
      </c>
      <c r="Z290" s="66" t="n">
        <f aca="false">-Z252*Inputs!$D$61/30</f>
        <v>4444.32444444444</v>
      </c>
      <c r="AA290" s="66" t="n">
        <f aca="false">-AA252*Inputs!$D$61/30</f>
        <v>4598.29297777778</v>
      </c>
      <c r="AB290" s="66" t="n">
        <f aca="false">-AB252*Inputs!$D$61/30</f>
        <v>4598.29297777778</v>
      </c>
      <c r="AC290" s="66" t="n">
        <f aca="false">-AC252*Inputs!$D$61/30</f>
        <v>4598.29297777778</v>
      </c>
      <c r="AD290" s="66" t="n">
        <f aca="false">-AD252*Inputs!$D$61/30</f>
        <v>4598.29297777778</v>
      </c>
      <c r="AE290" s="66" t="n">
        <f aca="false">-AE252*Inputs!$D$61/30</f>
        <v>4598.29297777778</v>
      </c>
      <c r="AF290" s="66" t="n">
        <f aca="false">-AF252*Inputs!$D$61/30</f>
        <v>4598.29297777778</v>
      </c>
      <c r="AG290" s="66" t="n">
        <f aca="false">-AG252*Inputs!$D$61/30</f>
        <v>4598.29297777778</v>
      </c>
      <c r="AH290" s="66" t="n">
        <f aca="false">-AH252*Inputs!$D$61/30</f>
        <v>4598.29297777778</v>
      </c>
      <c r="AI290" s="66" t="n">
        <f aca="false">-AI252*Inputs!$D$61/30</f>
        <v>4598.29297777778</v>
      </c>
      <c r="AJ290" s="66" t="n">
        <f aca="false">-AJ252*Inputs!$D$61/30</f>
        <v>4598.29297777778</v>
      </c>
      <c r="AK290" s="66" t="n">
        <f aca="false">-AK252*Inputs!$D$61/30</f>
        <v>4598.29297777778</v>
      </c>
      <c r="AL290" s="66" t="n">
        <f aca="false">-AL252*Inputs!$D$61/30</f>
        <v>4598.29297777778</v>
      </c>
    </row>
    <row r="291" customFormat="false" ht="15" hidden="false" customHeight="false" outlineLevel="0" collapsed="false">
      <c r="A291" s="6" t="s">
        <v>93</v>
      </c>
      <c r="C291" s="66" t="n">
        <f aca="false">-C252*Inputs!$D$62/30</f>
        <v>6181.75858585859</v>
      </c>
      <c r="D291" s="66" t="n">
        <f aca="false">-D252*Inputs!$D$62/30</f>
        <v>6471.0144949495</v>
      </c>
      <c r="E291" s="66" t="n">
        <f aca="false">-E252*Inputs!$D$62/30</f>
        <v>6745.80760858586</v>
      </c>
      <c r="F291" s="66" t="n">
        <f aca="false">-F252*Inputs!$D$62/30</f>
        <v>7006.8610665404</v>
      </c>
      <c r="G291" s="66" t="n">
        <f aca="false">-G252*Inputs!$D$62/30</f>
        <v>7254.86185159722</v>
      </c>
      <c r="H291" s="66" t="n">
        <f aca="false">-H252*Inputs!$D$62/30</f>
        <v>7490.4625974012</v>
      </c>
      <c r="I291" s="66" t="n">
        <f aca="false">-I252*Inputs!$D$62/30</f>
        <v>7714.28330591498</v>
      </c>
      <c r="J291" s="66" t="n">
        <f aca="false">-J252*Inputs!$D$62/30</f>
        <v>7926.91297900307</v>
      </c>
      <c r="K291" s="66" t="n">
        <f aca="false">-K252*Inputs!$D$62/30</f>
        <v>8128.91116843675</v>
      </c>
      <c r="L291" s="66" t="n">
        <f aca="false">-L252*Inputs!$D$62/30</f>
        <v>8320.80944839875</v>
      </c>
      <c r="M291" s="66" t="n">
        <f aca="false">-M252*Inputs!$D$62/30</f>
        <v>8502.76028812174</v>
      </c>
      <c r="N291" s="66" t="n">
        <f aca="false">-N252*Inputs!$D$62/30</f>
        <v>8591.22222222222</v>
      </c>
      <c r="O291" s="66" t="n">
        <f aca="false">-O252*Inputs!$D$62/30</f>
        <v>8888.64888888889</v>
      </c>
      <c r="P291" s="66" t="n">
        <f aca="false">-P252*Inputs!$D$62/30</f>
        <v>8888.64888888889</v>
      </c>
      <c r="Q291" s="66" t="n">
        <f aca="false">-Q252*Inputs!$D$62/30</f>
        <v>8888.64888888889</v>
      </c>
      <c r="R291" s="66" t="n">
        <f aca="false">-R252*Inputs!$D$62/30</f>
        <v>8888.64888888889</v>
      </c>
      <c r="S291" s="66" t="n">
        <f aca="false">-S252*Inputs!$D$62/30</f>
        <v>8888.64888888889</v>
      </c>
      <c r="T291" s="66" t="n">
        <f aca="false">-T252*Inputs!$D$62/30</f>
        <v>8888.64888888889</v>
      </c>
      <c r="U291" s="66" t="n">
        <f aca="false">-U252*Inputs!$D$62/30</f>
        <v>8888.64888888889</v>
      </c>
      <c r="V291" s="66" t="n">
        <f aca="false">-V252*Inputs!$D$62/30</f>
        <v>8888.64888888889</v>
      </c>
      <c r="W291" s="66" t="n">
        <f aca="false">-W252*Inputs!$D$62/30</f>
        <v>8888.64888888889</v>
      </c>
      <c r="X291" s="66" t="n">
        <f aca="false">-X252*Inputs!$D$62/30</f>
        <v>8888.64888888889</v>
      </c>
      <c r="Y291" s="66" t="n">
        <f aca="false">-Y252*Inputs!$D$62/30</f>
        <v>8888.64888888889</v>
      </c>
      <c r="Z291" s="66" t="n">
        <f aca="false">-Z252*Inputs!$D$62/30</f>
        <v>8888.64888888889</v>
      </c>
      <c r="AA291" s="66" t="n">
        <f aca="false">-AA252*Inputs!$D$62/30</f>
        <v>9196.58595555555</v>
      </c>
      <c r="AB291" s="66" t="n">
        <f aca="false">-AB252*Inputs!$D$62/30</f>
        <v>9196.58595555555</v>
      </c>
      <c r="AC291" s="66" t="n">
        <f aca="false">-AC252*Inputs!$D$62/30</f>
        <v>9196.58595555555</v>
      </c>
      <c r="AD291" s="66" t="n">
        <f aca="false">-AD252*Inputs!$D$62/30</f>
        <v>9196.58595555555</v>
      </c>
      <c r="AE291" s="66" t="n">
        <f aca="false">-AE252*Inputs!$D$62/30</f>
        <v>9196.58595555555</v>
      </c>
      <c r="AF291" s="66" t="n">
        <f aca="false">-AF252*Inputs!$D$62/30</f>
        <v>9196.58595555555</v>
      </c>
      <c r="AG291" s="66" t="n">
        <f aca="false">-AG252*Inputs!$D$62/30</f>
        <v>9196.58595555555</v>
      </c>
      <c r="AH291" s="66" t="n">
        <f aca="false">-AH252*Inputs!$D$62/30</f>
        <v>9196.58595555555</v>
      </c>
      <c r="AI291" s="66" t="n">
        <f aca="false">-AI252*Inputs!$D$62/30</f>
        <v>9196.58595555555</v>
      </c>
      <c r="AJ291" s="66" t="n">
        <f aca="false">-AJ252*Inputs!$D$62/30</f>
        <v>9196.58595555555</v>
      </c>
      <c r="AK291" s="66" t="n">
        <f aca="false">-AK252*Inputs!$D$62/30</f>
        <v>9196.58595555555</v>
      </c>
      <c r="AL291" s="66" t="n">
        <f aca="false">-AL252*Inputs!$D$62/30</f>
        <v>9196.58595555555</v>
      </c>
    </row>
    <row r="292" customFormat="false" ht="15" hidden="false" customHeight="false" outlineLevel="0" collapsed="false">
      <c r="A292" s="6" t="s">
        <v>328</v>
      </c>
      <c r="C292" s="66" t="n">
        <f aca="false">-C289</f>
        <v>-0</v>
      </c>
      <c r="D292" s="66" t="n">
        <f aca="false">C289-D289</f>
        <v>0</v>
      </c>
      <c r="E292" s="66" t="n">
        <f aca="false">D289-E289</f>
        <v>0</v>
      </c>
      <c r="F292" s="66" t="n">
        <f aca="false">E289-F289</f>
        <v>0</v>
      </c>
      <c r="G292" s="66" t="n">
        <f aca="false">F289-G289</f>
        <v>0</v>
      </c>
      <c r="H292" s="66" t="n">
        <f aca="false">G289-H289</f>
        <v>0</v>
      </c>
      <c r="I292" s="66" t="n">
        <f aca="false">H289-I289</f>
        <v>0</v>
      </c>
      <c r="J292" s="66" t="n">
        <f aca="false">I289-J289</f>
        <v>0</v>
      </c>
      <c r="K292" s="66" t="n">
        <f aca="false">J289-K289</f>
        <v>0</v>
      </c>
      <c r="L292" s="66" t="n">
        <f aca="false">K289-L289</f>
        <v>0</v>
      </c>
      <c r="M292" s="66" t="n">
        <f aca="false">L289-M289</f>
        <v>0</v>
      </c>
      <c r="N292" s="66" t="n">
        <f aca="false">M289-N289</f>
        <v>0</v>
      </c>
      <c r="O292" s="66" t="n">
        <f aca="false">N289-O289</f>
        <v>0</v>
      </c>
      <c r="P292" s="66" t="n">
        <f aca="false">O289-P289</f>
        <v>0</v>
      </c>
      <c r="Q292" s="66" t="n">
        <f aca="false">P289-Q289</f>
        <v>0</v>
      </c>
      <c r="R292" s="66" t="n">
        <f aca="false">Q289-R289</f>
        <v>0</v>
      </c>
      <c r="S292" s="66" t="n">
        <f aca="false">R289-S289</f>
        <v>0</v>
      </c>
      <c r="T292" s="66" t="n">
        <f aca="false">S289-T289</f>
        <v>0</v>
      </c>
      <c r="U292" s="66" t="n">
        <f aca="false">T289-U289</f>
        <v>0</v>
      </c>
      <c r="V292" s="66" t="n">
        <f aca="false">U289-V289</f>
        <v>0</v>
      </c>
      <c r="W292" s="66" t="n">
        <f aca="false">V289-W289</f>
        <v>0</v>
      </c>
      <c r="X292" s="66" t="n">
        <f aca="false">W289-X289</f>
        <v>0</v>
      </c>
      <c r="Y292" s="66" t="n">
        <f aca="false">X289-Y289</f>
        <v>0</v>
      </c>
      <c r="Z292" s="66" t="n">
        <f aca="false">Y289-Z289</f>
        <v>0</v>
      </c>
      <c r="AA292" s="66" t="n">
        <f aca="false">Z289-AA289</f>
        <v>0</v>
      </c>
      <c r="AB292" s="66" t="n">
        <f aca="false">AA289-AB289</f>
        <v>0</v>
      </c>
      <c r="AC292" s="66" t="n">
        <f aca="false">AB289-AC289</f>
        <v>0</v>
      </c>
      <c r="AD292" s="66" t="n">
        <f aca="false">AC289-AD289</f>
        <v>0</v>
      </c>
      <c r="AE292" s="66" t="n">
        <f aca="false">AD289-AE289</f>
        <v>0</v>
      </c>
      <c r="AF292" s="66" t="n">
        <f aca="false">AE289-AF289</f>
        <v>0</v>
      </c>
      <c r="AG292" s="66" t="n">
        <f aca="false">AF289-AG289</f>
        <v>0</v>
      </c>
      <c r="AH292" s="66" t="n">
        <f aca="false">AG289-AH289</f>
        <v>0</v>
      </c>
      <c r="AI292" s="66" t="n">
        <f aca="false">AH289-AI289</f>
        <v>0</v>
      </c>
      <c r="AJ292" s="66" t="n">
        <f aca="false">AI289-AJ289</f>
        <v>0</v>
      </c>
      <c r="AK292" s="66" t="n">
        <f aca="false">AJ289-AK289</f>
        <v>0</v>
      </c>
      <c r="AL292" s="66" t="n">
        <f aca="false">AK289-AL289</f>
        <v>0</v>
      </c>
    </row>
    <row r="293" customFormat="false" ht="15" hidden="false" customHeight="false" outlineLevel="0" collapsed="false">
      <c r="A293" s="6" t="s">
        <v>329</v>
      </c>
      <c r="C293" s="66" t="n">
        <f aca="false">-C290</f>
        <v>-3090.87929292929</v>
      </c>
      <c r="D293" s="66" t="n">
        <f aca="false">C290-D290</f>
        <v>-144.627954545455</v>
      </c>
      <c r="E293" s="66" t="n">
        <f aca="false">D290-E290</f>
        <v>-137.396556818182</v>
      </c>
      <c r="F293" s="66" t="n">
        <f aca="false">E290-F290</f>
        <v>-130.526728977272</v>
      </c>
      <c r="G293" s="66" t="n">
        <f aca="false">F290-G290</f>
        <v>-124.00039252841</v>
      </c>
      <c r="H293" s="66" t="n">
        <f aca="false">G290-H290</f>
        <v>-117.800372901988</v>
      </c>
      <c r="I293" s="66" t="n">
        <f aca="false">H290-I290</f>
        <v>-111.910354256888</v>
      </c>
      <c r="J293" s="66" t="n">
        <f aca="false">I290-J290</f>
        <v>-106.314836544046</v>
      </c>
      <c r="K293" s="66" t="n">
        <f aca="false">J290-K290</f>
        <v>-100.999094716842</v>
      </c>
      <c r="L293" s="66" t="n">
        <f aca="false">K290-L290</f>
        <v>-95.9491399810008</v>
      </c>
      <c r="M293" s="66" t="n">
        <f aca="false">L290-M290</f>
        <v>-90.9754198614946</v>
      </c>
      <c r="N293" s="66" t="n">
        <f aca="false">M290-N290</f>
        <v>-44.23096705024</v>
      </c>
      <c r="O293" s="66" t="n">
        <f aca="false">N290-O290</f>
        <v>-148.713333333333</v>
      </c>
      <c r="P293" s="66" t="n">
        <f aca="false">O290-P290</f>
        <v>0</v>
      </c>
      <c r="Q293" s="66" t="n">
        <f aca="false">P290-Q290</f>
        <v>0</v>
      </c>
      <c r="R293" s="66" t="n">
        <f aca="false">Q290-R290</f>
        <v>0</v>
      </c>
      <c r="S293" s="66" t="n">
        <f aca="false">R290-S290</f>
        <v>0</v>
      </c>
      <c r="T293" s="66" t="n">
        <f aca="false">S290-T290</f>
        <v>0</v>
      </c>
      <c r="U293" s="66" t="n">
        <f aca="false">T290-U290</f>
        <v>0</v>
      </c>
      <c r="V293" s="66" t="n">
        <f aca="false">U290-V290</f>
        <v>0</v>
      </c>
      <c r="W293" s="66" t="n">
        <f aca="false">V290-W290</f>
        <v>0</v>
      </c>
      <c r="X293" s="66" t="n">
        <f aca="false">W290-X290</f>
        <v>0</v>
      </c>
      <c r="Y293" s="66" t="n">
        <f aca="false">X290-Y290</f>
        <v>0</v>
      </c>
      <c r="Z293" s="66" t="n">
        <f aca="false">Y290-Z290</f>
        <v>0</v>
      </c>
      <c r="AA293" s="66" t="n">
        <f aca="false">Z290-AA290</f>
        <v>-153.968533333333</v>
      </c>
      <c r="AB293" s="66" t="n">
        <f aca="false">AA290-AB290</f>
        <v>0</v>
      </c>
      <c r="AC293" s="66" t="n">
        <f aca="false">AB290-AC290</f>
        <v>0</v>
      </c>
      <c r="AD293" s="66" t="n">
        <f aca="false">AC290-AD290</f>
        <v>0</v>
      </c>
      <c r="AE293" s="66" t="n">
        <f aca="false">AD290-AE290</f>
        <v>0</v>
      </c>
      <c r="AF293" s="66" t="n">
        <f aca="false">AE290-AF290</f>
        <v>0</v>
      </c>
      <c r="AG293" s="66" t="n">
        <f aca="false">AF290-AG290</f>
        <v>0</v>
      </c>
      <c r="AH293" s="66" t="n">
        <f aca="false">AG290-AH290</f>
        <v>0</v>
      </c>
      <c r="AI293" s="66" t="n">
        <f aca="false">AH290-AI290</f>
        <v>0</v>
      </c>
      <c r="AJ293" s="66" t="n">
        <f aca="false">AI290-AJ290</f>
        <v>0</v>
      </c>
      <c r="AK293" s="66" t="n">
        <f aca="false">AJ290-AK290</f>
        <v>0</v>
      </c>
      <c r="AL293" s="66" t="n">
        <f aca="false">AK290-AL290</f>
        <v>0</v>
      </c>
    </row>
    <row r="294" customFormat="false" ht="15" hidden="false" customHeight="false" outlineLevel="0" collapsed="false">
      <c r="A294" s="6" t="s">
        <v>330</v>
      </c>
      <c r="C294" s="66" t="n">
        <f aca="false">C291</f>
        <v>6181.75858585859</v>
      </c>
      <c r="D294" s="66" t="n">
        <f aca="false">D291-C291</f>
        <v>289.25590909091</v>
      </c>
      <c r="E294" s="66" t="n">
        <f aca="false">E291-D291</f>
        <v>274.793113636364</v>
      </c>
      <c r="F294" s="66" t="n">
        <f aca="false">F291-E291</f>
        <v>261.053457954544</v>
      </c>
      <c r="G294" s="66" t="n">
        <f aca="false">G291-F291</f>
        <v>248.00078505682</v>
      </c>
      <c r="H294" s="66" t="n">
        <f aca="false">H291-G291</f>
        <v>235.600745803977</v>
      </c>
      <c r="I294" s="66" t="n">
        <f aca="false">I291-H291</f>
        <v>223.820708513776</v>
      </c>
      <c r="J294" s="66" t="n">
        <f aca="false">J291-I291</f>
        <v>212.629673088091</v>
      </c>
      <c r="K294" s="66" t="n">
        <f aca="false">K291-J291</f>
        <v>201.998189433684</v>
      </c>
      <c r="L294" s="66" t="n">
        <f aca="false">L291-K291</f>
        <v>191.898279962002</v>
      </c>
      <c r="M294" s="66" t="n">
        <f aca="false">M291-L291</f>
        <v>181.950839722989</v>
      </c>
      <c r="N294" s="66" t="n">
        <f aca="false">N291-M291</f>
        <v>88.46193410048</v>
      </c>
      <c r="O294" s="66" t="n">
        <f aca="false">O291-N291</f>
        <v>297.426666666666</v>
      </c>
      <c r="P294" s="66" t="n">
        <f aca="false">P291-O291</f>
        <v>0</v>
      </c>
      <c r="Q294" s="66" t="n">
        <f aca="false">Q291-P291</f>
        <v>0</v>
      </c>
      <c r="R294" s="66" t="n">
        <f aca="false">R291-Q291</f>
        <v>0</v>
      </c>
      <c r="S294" s="66" t="n">
        <f aca="false">S291-R291</f>
        <v>0</v>
      </c>
      <c r="T294" s="66" t="n">
        <f aca="false">T291-S291</f>
        <v>0</v>
      </c>
      <c r="U294" s="66" t="n">
        <f aca="false">U291-T291</f>
        <v>0</v>
      </c>
      <c r="V294" s="66" t="n">
        <f aca="false">V291-U291</f>
        <v>0</v>
      </c>
      <c r="W294" s="66" t="n">
        <f aca="false">W291-V291</f>
        <v>0</v>
      </c>
      <c r="X294" s="66" t="n">
        <f aca="false">X291-W291</f>
        <v>0</v>
      </c>
      <c r="Y294" s="66" t="n">
        <f aca="false">Y291-X291</f>
        <v>0</v>
      </c>
      <c r="Z294" s="66" t="n">
        <f aca="false">Z291-Y291</f>
        <v>0</v>
      </c>
      <c r="AA294" s="66" t="n">
        <f aca="false">AA291-Z291</f>
        <v>307.937066666666</v>
      </c>
      <c r="AB294" s="66" t="n">
        <f aca="false">AB291-AA291</f>
        <v>0</v>
      </c>
      <c r="AC294" s="66" t="n">
        <f aca="false">AC291-AB291</f>
        <v>0</v>
      </c>
      <c r="AD294" s="66" t="n">
        <f aca="false">AD291-AC291</f>
        <v>0</v>
      </c>
      <c r="AE294" s="66" t="n">
        <f aca="false">AE291-AD291</f>
        <v>0</v>
      </c>
      <c r="AF294" s="66" t="n">
        <f aca="false">AF291-AE291</f>
        <v>0</v>
      </c>
      <c r="AG294" s="66" t="n">
        <f aca="false">AG291-AF291</f>
        <v>0</v>
      </c>
      <c r="AH294" s="66" t="n">
        <f aca="false">AH291-AG291</f>
        <v>0</v>
      </c>
      <c r="AI294" s="66" t="n">
        <f aca="false">AI291-AH291</f>
        <v>0</v>
      </c>
      <c r="AJ294" s="66" t="n">
        <f aca="false">AJ291-AI291</f>
        <v>0</v>
      </c>
      <c r="AK294" s="66" t="n">
        <f aca="false">AK291-AJ291</f>
        <v>0</v>
      </c>
      <c r="AL294" s="66" t="n">
        <f aca="false">AL291-AK291</f>
        <v>0</v>
      </c>
    </row>
    <row r="296" customFormat="false" ht="15.75" hidden="false" customHeight="true" outlineLevel="0" collapsed="false">
      <c r="A296" s="7" t="s">
        <v>398</v>
      </c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</row>
    <row r="297" customFormat="false" ht="15" hidden="false" customHeight="false" outlineLevel="0" collapsed="false">
      <c r="A297" s="4" t="s">
        <v>52</v>
      </c>
      <c r="C297" s="72" t="n">
        <f aca="false">C273-C278+C292+C293+C294</f>
        <v>-17439.5207070707</v>
      </c>
      <c r="D297" s="72" t="n">
        <f aca="false">D273-D278+D292+D293+D294</f>
        <v>-16433.6738008658</v>
      </c>
      <c r="E297" s="72" t="n">
        <f aca="false">E273-E278+E292+E293+E294</f>
        <v>-12680.1618662338</v>
      </c>
      <c r="F297" s="72" t="n">
        <f aca="false">F273-F278+F292+F293+F294</f>
        <v>-9113.7302902381</v>
      </c>
      <c r="G297" s="72" t="n">
        <f aca="false">G273-G278+G292+G293+G294</f>
        <v>-5725.02505494698</v>
      </c>
      <c r="H297" s="72" t="n">
        <f aca="false">H273-H278+H292+H293+H294</f>
        <v>-2505.15984332517</v>
      </c>
      <c r="I297" s="72" t="n">
        <f aca="false">I273-I278+I292+I293+I294</f>
        <v>554.307345810779</v>
      </c>
      <c r="J297" s="72" t="n">
        <f aca="false">J273-J278+J292+J293+J294</f>
        <v>3461.39641358518</v>
      </c>
      <c r="K297" s="72" t="n">
        <f aca="false">K273-K278+K292+K293+K294</f>
        <v>6223.72626606608</v>
      </c>
      <c r="L297" s="72" t="n">
        <f aca="false">L273-L278+L292+L293+L294</f>
        <v>8848.53486401819</v>
      </c>
      <c r="M297" s="72" t="n">
        <f aca="false">M273-M278+M292+M293+M294</f>
        <v>11333.9328370853</v>
      </c>
      <c r="N297" s="72" t="n">
        <f aca="false">N273-N278+N292+N293+N294</f>
        <v>11604.8434670502</v>
      </c>
      <c r="O297" s="72" t="n">
        <f aca="false">O273-O278+O292+O293+O294</f>
        <v>12906.4050952381</v>
      </c>
      <c r="P297" s="72" t="n">
        <f aca="false">P273-P278+P292+P293+P294</f>
        <v>12769.5965238095</v>
      </c>
      <c r="Q297" s="72" t="n">
        <f aca="false">Q273-Q278+Q292+Q293+Q294</f>
        <v>12781.5012857143</v>
      </c>
      <c r="R297" s="72" t="n">
        <f aca="false">R273-R278+R292+R293+R294</f>
        <v>12793.406047619</v>
      </c>
      <c r="S297" s="72" t="n">
        <f aca="false">S273-S278+S292+S293+S294</f>
        <v>12805.3108095238</v>
      </c>
      <c r="T297" s="72" t="n">
        <f aca="false">T273-T278+T292+T293+T294</f>
        <v>12817.2155714286</v>
      </c>
      <c r="U297" s="72" t="n">
        <f aca="false">U273-U278+U292+U293+U294</f>
        <v>11392.7031541703</v>
      </c>
      <c r="V297" s="72" t="n">
        <f aca="false">V273-V278+V292+V293+V294</f>
        <v>10769.4098252381</v>
      </c>
      <c r="W297" s="72" t="n">
        <f aca="false">W273-W278+W292+W293+W294</f>
        <v>10778.8145871429</v>
      </c>
      <c r="X297" s="72" t="n">
        <f aca="false">X273-X278+X292+X293+X294</f>
        <v>10788.2193490476</v>
      </c>
      <c r="Y297" s="72" t="n">
        <f aca="false">Y273-Y278+Y292+Y293+Y294</f>
        <v>10797.6241109524</v>
      </c>
      <c r="Z297" s="72" t="n">
        <f aca="false">Z273-Z278+Z292+Z293+Z294</f>
        <v>10807.0288728571</v>
      </c>
      <c r="AA297" s="72" t="n">
        <f aca="false">AA273-AA278+AA292+AA293+AA294</f>
        <v>11930.1052122953</v>
      </c>
      <c r="AB297" s="72" t="n">
        <f aca="false">AB273-AB278+AB292+AB293+AB294</f>
        <v>11785.5414408667</v>
      </c>
      <c r="AC297" s="72" t="n">
        <f aca="false">AC273-AC278+AC292+AC293+AC294</f>
        <v>11794.9462027714</v>
      </c>
      <c r="AD297" s="72" t="n">
        <f aca="false">AD273-AD278+AD292+AD293+AD294</f>
        <v>11804.3509646762</v>
      </c>
      <c r="AE297" s="72" t="n">
        <f aca="false">AE273-AE278+AE292+AE293+AE294</f>
        <v>11813.755726581</v>
      </c>
      <c r="AF297" s="72" t="n">
        <f aca="false">AF273-AF278+AF292+AF293+AF294</f>
        <v>11823.1604884857</v>
      </c>
      <c r="AG297" s="72" t="n">
        <f aca="false">AG273-AG278+AG292+AG293+AG294</f>
        <v>11832.5652503905</v>
      </c>
      <c r="AH297" s="72" t="n">
        <f aca="false">AH273-AH278+AH292+AH293+AH294</f>
        <v>11841.9700122953</v>
      </c>
      <c r="AI297" s="72" t="n">
        <f aca="false">AI273-AI278+AI292+AI293+AI294</f>
        <v>11851.3747742</v>
      </c>
      <c r="AJ297" s="72" t="n">
        <f aca="false">AJ273-AJ278+AJ292+AJ293+AJ294</f>
        <v>11860.7795361048</v>
      </c>
      <c r="AK297" s="72" t="n">
        <f aca="false">AK273-AK278+AK292+AK293+AK294</f>
        <v>11870.1842980095</v>
      </c>
      <c r="AL297" s="72" t="n">
        <f aca="false">AL273-AL278+AL292+AL293+AL294</f>
        <v>11879.5890599143</v>
      </c>
    </row>
    <row r="298" customFormat="false" ht="15" hidden="false" customHeight="false" outlineLevel="0" collapsed="false">
      <c r="A298" s="6" t="s">
        <v>399</v>
      </c>
      <c r="C298" s="66" t="n">
        <f aca="false">-C276</f>
        <v>-250000</v>
      </c>
      <c r="D298" s="66" t="n">
        <f aca="false">-D276</f>
        <v>-0</v>
      </c>
      <c r="E298" s="66" t="n">
        <f aca="false">-E276</f>
        <v>-0</v>
      </c>
      <c r="F298" s="66" t="n">
        <f aca="false">-F276</f>
        <v>-0</v>
      </c>
      <c r="G298" s="66" t="n">
        <f aca="false">-G276</f>
        <v>-0</v>
      </c>
      <c r="H298" s="66" t="n">
        <f aca="false">-H276</f>
        <v>-0</v>
      </c>
      <c r="I298" s="66" t="n">
        <f aca="false">-I276</f>
        <v>-0</v>
      </c>
      <c r="J298" s="66" t="n">
        <f aca="false">-J276</f>
        <v>-0</v>
      </c>
      <c r="K298" s="66" t="n">
        <f aca="false">-K276</f>
        <v>-0</v>
      </c>
      <c r="L298" s="66" t="n">
        <f aca="false">-L276</f>
        <v>-0</v>
      </c>
      <c r="M298" s="66" t="n">
        <f aca="false">-M276</f>
        <v>-0</v>
      </c>
      <c r="N298" s="66" t="n">
        <f aca="false">-N276</f>
        <v>-0</v>
      </c>
      <c r="O298" s="66" t="n">
        <f aca="false">-O276</f>
        <v>-0</v>
      </c>
      <c r="P298" s="66" t="n">
        <f aca="false">-P276</f>
        <v>-0</v>
      </c>
      <c r="Q298" s="66" t="n">
        <f aca="false">-Q276</f>
        <v>-0</v>
      </c>
      <c r="R298" s="66" t="n">
        <f aca="false">-R276</f>
        <v>-0</v>
      </c>
      <c r="S298" s="66" t="n">
        <f aca="false">-S276</f>
        <v>-0</v>
      </c>
      <c r="T298" s="66" t="n">
        <f aca="false">-T276</f>
        <v>-0</v>
      </c>
      <c r="U298" s="66" t="n">
        <f aca="false">-U276</f>
        <v>-0</v>
      </c>
      <c r="V298" s="66" t="n">
        <f aca="false">-V276</f>
        <v>-0</v>
      </c>
      <c r="W298" s="66" t="n">
        <f aca="false">-W276</f>
        <v>-0</v>
      </c>
      <c r="X298" s="66" t="n">
        <f aca="false">-X276</f>
        <v>-0</v>
      </c>
      <c r="Y298" s="66" t="n">
        <f aca="false">-Y276</f>
        <v>-0</v>
      </c>
      <c r="Z298" s="66" t="n">
        <f aca="false">-Z276</f>
        <v>-0</v>
      </c>
      <c r="AA298" s="66" t="n">
        <f aca="false">-AA276</f>
        <v>-0</v>
      </c>
      <c r="AB298" s="66" t="n">
        <f aca="false">-AB276</f>
        <v>-0</v>
      </c>
      <c r="AC298" s="66" t="n">
        <f aca="false">-AC276</f>
        <v>-0</v>
      </c>
      <c r="AD298" s="66" t="n">
        <f aca="false">-AD276</f>
        <v>-0</v>
      </c>
      <c r="AE298" s="66" t="n">
        <f aca="false">-AE276</f>
        <v>-0</v>
      </c>
      <c r="AF298" s="66" t="n">
        <f aca="false">-AF276</f>
        <v>-0</v>
      </c>
      <c r="AG298" s="66" t="n">
        <f aca="false">-AG276</f>
        <v>-0</v>
      </c>
      <c r="AH298" s="66" t="n">
        <f aca="false">-AH276</f>
        <v>-0</v>
      </c>
      <c r="AI298" s="66" t="n">
        <f aca="false">-AI276</f>
        <v>-0</v>
      </c>
      <c r="AJ298" s="66" t="n">
        <f aca="false">-AJ276</f>
        <v>-0</v>
      </c>
      <c r="AK298" s="66" t="n">
        <f aca="false">-AK276</f>
        <v>-0</v>
      </c>
      <c r="AL298" s="66" t="n">
        <f aca="false">-AL276</f>
        <v>-0</v>
      </c>
    </row>
    <row r="299" customFormat="false" ht="15" hidden="false" customHeight="false" outlineLevel="0" collapsed="false">
      <c r="A299" s="6" t="s">
        <v>63</v>
      </c>
      <c r="C299" s="66" t="n">
        <f aca="false">IF(C$226=1,Inputs!$D$54,0)</f>
        <v>330000</v>
      </c>
      <c r="D299" s="66" t="n">
        <f aca="false">IF(D$226=1,Inputs!$D$54,0)</f>
        <v>0</v>
      </c>
      <c r="E299" s="66" t="n">
        <f aca="false">IF(E$226=1,Inputs!$D$54,0)</f>
        <v>0</v>
      </c>
      <c r="F299" s="66" t="n">
        <f aca="false">IF(F$226=1,Inputs!$D$54,0)</f>
        <v>0</v>
      </c>
      <c r="G299" s="66" t="n">
        <f aca="false">IF(G$226=1,Inputs!$D$54,0)</f>
        <v>0</v>
      </c>
      <c r="H299" s="66" t="n">
        <f aca="false">IF(H$226=1,Inputs!$D$54,0)</f>
        <v>0</v>
      </c>
      <c r="I299" s="66" t="n">
        <f aca="false">IF(I$226=1,Inputs!$D$54,0)</f>
        <v>0</v>
      </c>
      <c r="J299" s="66" t="n">
        <f aca="false">IF(J$226=1,Inputs!$D$54,0)</f>
        <v>0</v>
      </c>
      <c r="K299" s="66" t="n">
        <f aca="false">IF(K$226=1,Inputs!$D$54,0)</f>
        <v>0</v>
      </c>
      <c r="L299" s="66" t="n">
        <f aca="false">IF(L$226=1,Inputs!$D$54,0)</f>
        <v>0</v>
      </c>
      <c r="M299" s="66" t="n">
        <f aca="false">IF(M$226=1,Inputs!$D$54,0)</f>
        <v>0</v>
      </c>
      <c r="N299" s="66" t="n">
        <f aca="false">IF(N$226=1,Inputs!$D$54,0)</f>
        <v>0</v>
      </c>
      <c r="O299" s="66" t="n">
        <f aca="false">IF(O$226=1,Inputs!$D$54,0)</f>
        <v>0</v>
      </c>
      <c r="P299" s="66" t="n">
        <f aca="false">IF(P$226=1,Inputs!$D$54,0)</f>
        <v>0</v>
      </c>
      <c r="Q299" s="66" t="n">
        <f aca="false">IF(Q$226=1,Inputs!$D$54,0)</f>
        <v>0</v>
      </c>
      <c r="R299" s="66" t="n">
        <f aca="false">IF(R$226=1,Inputs!$D$54,0)</f>
        <v>0</v>
      </c>
      <c r="S299" s="66" t="n">
        <f aca="false">IF(S$226=1,Inputs!$D$54,0)</f>
        <v>0</v>
      </c>
      <c r="T299" s="66" t="n">
        <f aca="false">IF(T$226=1,Inputs!$D$54,0)</f>
        <v>0</v>
      </c>
      <c r="U299" s="66" t="n">
        <f aca="false">IF(U$226=1,Inputs!$D$54,0)</f>
        <v>0</v>
      </c>
      <c r="V299" s="66" t="n">
        <f aca="false">IF(V$226=1,Inputs!$D$54,0)</f>
        <v>0</v>
      </c>
      <c r="W299" s="66" t="n">
        <f aca="false">IF(W$226=1,Inputs!$D$54,0)</f>
        <v>0</v>
      </c>
      <c r="X299" s="66" t="n">
        <f aca="false">IF(X$226=1,Inputs!$D$54,0)</f>
        <v>0</v>
      </c>
      <c r="Y299" s="66" t="n">
        <f aca="false">IF(Y$226=1,Inputs!$D$54,0)</f>
        <v>0</v>
      </c>
      <c r="Z299" s="66" t="n">
        <f aca="false">IF(Z$226=1,Inputs!$D$54,0)</f>
        <v>0</v>
      </c>
      <c r="AA299" s="66" t="n">
        <f aca="false">IF(AA$226=1,Inputs!$D$54,0)</f>
        <v>0</v>
      </c>
      <c r="AB299" s="66" t="n">
        <f aca="false">IF(AB$226=1,Inputs!$D$54,0)</f>
        <v>0</v>
      </c>
      <c r="AC299" s="66" t="n">
        <f aca="false">IF(AC$226=1,Inputs!$D$54,0)</f>
        <v>0</v>
      </c>
      <c r="AD299" s="66" t="n">
        <f aca="false">IF(AD$226=1,Inputs!$D$54,0)</f>
        <v>0</v>
      </c>
      <c r="AE299" s="66" t="n">
        <f aca="false">IF(AE$226=1,Inputs!$D$54,0)</f>
        <v>0</v>
      </c>
      <c r="AF299" s="66" t="n">
        <f aca="false">IF(AF$226=1,Inputs!$D$54,0)</f>
        <v>0</v>
      </c>
      <c r="AG299" s="66" t="n">
        <f aca="false">IF(AG$226=1,Inputs!$D$54,0)</f>
        <v>0</v>
      </c>
      <c r="AH299" s="66" t="n">
        <f aca="false">IF(AH$226=1,Inputs!$D$54,0)</f>
        <v>0</v>
      </c>
      <c r="AI299" s="66" t="n">
        <f aca="false">IF(AI$226=1,Inputs!$D$54,0)</f>
        <v>0</v>
      </c>
      <c r="AJ299" s="66" t="n">
        <f aca="false">IF(AJ$226=1,Inputs!$D$54,0)</f>
        <v>0</v>
      </c>
      <c r="AK299" s="66" t="n">
        <f aca="false">IF(AK$226=1,Inputs!$D$54,0)</f>
        <v>0</v>
      </c>
      <c r="AL299" s="66" t="n">
        <f aca="false">IF(AL$226=1,Inputs!$D$54,0)</f>
        <v>0</v>
      </c>
    </row>
    <row r="300" customFormat="false" ht="15" hidden="false" customHeight="false" outlineLevel="0" collapsed="false">
      <c r="A300" s="6" t="s">
        <v>54</v>
      </c>
      <c r="C300" s="66" t="n">
        <f aca="false">C299+C284+C285</f>
        <v>480000</v>
      </c>
      <c r="D300" s="66" t="n">
        <f aca="false">D299+D284+D285</f>
        <v>-1785.71428571429</v>
      </c>
      <c r="E300" s="66" t="n">
        <f aca="false">E299+E284+E285</f>
        <v>-1785.71428571429</v>
      </c>
      <c r="F300" s="66" t="n">
        <f aca="false">F299+F284+F285</f>
        <v>-1785.71428571429</v>
      </c>
      <c r="G300" s="66" t="n">
        <f aca="false">G299+G284+G285</f>
        <v>-1785.71428571429</v>
      </c>
      <c r="H300" s="66" t="n">
        <f aca="false">H299+H284+H285</f>
        <v>-1785.71428571429</v>
      </c>
      <c r="I300" s="66" t="n">
        <f aca="false">I299+I284+I285</f>
        <v>-1785.71428571429</v>
      </c>
      <c r="J300" s="66" t="n">
        <f aca="false">J299+J284+J285</f>
        <v>-1785.71428571429</v>
      </c>
      <c r="K300" s="66" t="n">
        <f aca="false">K299+K284+K285</f>
        <v>-1785.71428571429</v>
      </c>
      <c r="L300" s="66" t="n">
        <f aca="false">L299+L284+L285</f>
        <v>-1785.71428571429</v>
      </c>
      <c r="M300" s="66" t="n">
        <f aca="false">M299+M284+M285</f>
        <v>-1785.71428571429</v>
      </c>
      <c r="N300" s="66" t="n">
        <f aca="false">N299+N284+N285</f>
        <v>-1785.71428571429</v>
      </c>
      <c r="O300" s="66" t="n">
        <f aca="false">O299+O284+O285</f>
        <v>-1785.71428571429</v>
      </c>
      <c r="P300" s="66" t="n">
        <f aca="false">P299+P284+P285</f>
        <v>-1785.71428571429</v>
      </c>
      <c r="Q300" s="66" t="n">
        <f aca="false">Q299+Q284+Q285</f>
        <v>-1785.71428571429</v>
      </c>
      <c r="R300" s="66" t="n">
        <f aca="false">R299+R284+R285</f>
        <v>-1785.71428571429</v>
      </c>
      <c r="S300" s="66" t="n">
        <f aca="false">S299+S284+S285</f>
        <v>-1785.71428571429</v>
      </c>
      <c r="T300" s="66" t="n">
        <f aca="false">T299+T284+T285</f>
        <v>-1785.71428571429</v>
      </c>
      <c r="U300" s="66" t="n">
        <f aca="false">U299+U284+U285</f>
        <v>-1785.71428571429</v>
      </c>
      <c r="V300" s="66" t="n">
        <f aca="false">V299+V284+V285</f>
        <v>-1785.71428571429</v>
      </c>
      <c r="W300" s="66" t="n">
        <f aca="false">W299+W284+W285</f>
        <v>-1785.71428571429</v>
      </c>
      <c r="X300" s="66" t="n">
        <f aca="false">X299+X284+X285</f>
        <v>-1785.71428571429</v>
      </c>
      <c r="Y300" s="66" t="n">
        <f aca="false">Y299+Y284+Y285</f>
        <v>-1785.71428571429</v>
      </c>
      <c r="Z300" s="66" t="n">
        <f aca="false">Z299+Z284+Z285</f>
        <v>-1785.71428571429</v>
      </c>
      <c r="AA300" s="66" t="n">
        <f aca="false">AA299+AA284+AA285</f>
        <v>-1785.71428571429</v>
      </c>
      <c r="AB300" s="66" t="n">
        <f aca="false">AB299+AB284+AB285</f>
        <v>-1785.71428571429</v>
      </c>
      <c r="AC300" s="66" t="n">
        <f aca="false">AC299+AC284+AC285</f>
        <v>-1785.71428571429</v>
      </c>
      <c r="AD300" s="66" t="n">
        <f aca="false">AD299+AD284+AD285</f>
        <v>-1785.71428571429</v>
      </c>
      <c r="AE300" s="66" t="n">
        <f aca="false">AE299+AE284+AE285</f>
        <v>-1785.71428571429</v>
      </c>
      <c r="AF300" s="66" t="n">
        <f aca="false">AF299+AF284+AF285</f>
        <v>-1785.71428571429</v>
      </c>
      <c r="AG300" s="66" t="n">
        <f aca="false">AG299+AG284+AG285</f>
        <v>-1785.71428571429</v>
      </c>
      <c r="AH300" s="66" t="n">
        <f aca="false">AH299+AH284+AH285</f>
        <v>-1785.71428571429</v>
      </c>
      <c r="AI300" s="66" t="n">
        <f aca="false">AI299+AI284+AI285</f>
        <v>-1785.71428571429</v>
      </c>
      <c r="AJ300" s="66" t="n">
        <f aca="false">AJ299+AJ284+AJ285</f>
        <v>-1785.71428571429</v>
      </c>
      <c r="AK300" s="66" t="n">
        <f aca="false">AK299+AK284+AK285</f>
        <v>-1785.71428571429</v>
      </c>
      <c r="AL300" s="66" t="n">
        <f aca="false">AL299+AL284+AL285</f>
        <v>-1785.71428571429</v>
      </c>
    </row>
    <row r="301" customFormat="false" ht="15" hidden="false" customHeight="false" outlineLevel="0" collapsed="false">
      <c r="A301" s="110" t="s">
        <v>400</v>
      </c>
      <c r="C301" s="67" t="n">
        <f aca="false">C297+C298+C300</f>
        <v>212560.479292929</v>
      </c>
      <c r="D301" s="67" t="n">
        <f aca="false">D297+D298+D300</f>
        <v>-18219.3880865801</v>
      </c>
      <c r="E301" s="67" t="n">
        <f aca="false">E297+E298+E300</f>
        <v>-14465.8761519481</v>
      </c>
      <c r="F301" s="67" t="n">
        <f aca="false">F297+F298+F300</f>
        <v>-10899.4445759524</v>
      </c>
      <c r="G301" s="67" t="n">
        <f aca="false">G297+G298+G300</f>
        <v>-7510.73934066127</v>
      </c>
      <c r="H301" s="67" t="n">
        <f aca="false">H297+H298+H300</f>
        <v>-4290.87412903945</v>
      </c>
      <c r="I301" s="67" t="n">
        <f aca="false">I297+I298+I300</f>
        <v>-1231.40693990351</v>
      </c>
      <c r="J301" s="67" t="n">
        <f aca="false">J297+J298+J300</f>
        <v>1675.68212787089</v>
      </c>
      <c r="K301" s="67" t="n">
        <f aca="false">K297+K298+K300</f>
        <v>4438.0119803518</v>
      </c>
      <c r="L301" s="67" t="n">
        <f aca="false">L297+L298+L300</f>
        <v>7062.8205783039</v>
      </c>
      <c r="M301" s="67" t="n">
        <f aca="false">M297+M298+M300</f>
        <v>9548.218551371</v>
      </c>
      <c r="N301" s="67" t="n">
        <f aca="false">N297+N298+N300</f>
        <v>9819.12918133595</v>
      </c>
      <c r="O301" s="67" t="n">
        <f aca="false">O297+O298+O300</f>
        <v>11120.6908095238</v>
      </c>
      <c r="P301" s="67" t="n">
        <f aca="false">P297+P298+P300</f>
        <v>10983.8822380952</v>
      </c>
      <c r="Q301" s="67" t="n">
        <f aca="false">Q297+Q298+Q300</f>
        <v>10995.787</v>
      </c>
      <c r="R301" s="67" t="n">
        <f aca="false">R297+R298+R300</f>
        <v>11007.6917619048</v>
      </c>
      <c r="S301" s="67" t="n">
        <f aca="false">S297+S298+S300</f>
        <v>11019.5965238095</v>
      </c>
      <c r="T301" s="67" t="n">
        <f aca="false">T297+T298+T300</f>
        <v>11031.5012857143</v>
      </c>
      <c r="U301" s="67" t="n">
        <f aca="false">U297+U298+U300</f>
        <v>9606.98886845599</v>
      </c>
      <c r="V301" s="67" t="n">
        <f aca="false">V297+V298+V300</f>
        <v>8983.69553952381</v>
      </c>
      <c r="W301" s="67" t="n">
        <f aca="false">W297+W298+W300</f>
        <v>8993.10030142857</v>
      </c>
      <c r="X301" s="67" t="n">
        <f aca="false">X297+X298+X300</f>
        <v>9002.50506333333</v>
      </c>
      <c r="Y301" s="67" t="n">
        <f aca="false">Y297+Y298+Y300</f>
        <v>9011.90982523809</v>
      </c>
      <c r="Z301" s="67" t="n">
        <f aca="false">Z297+Z298+Z300</f>
        <v>9021.31458714285</v>
      </c>
      <c r="AA301" s="67" t="n">
        <f aca="false">AA297+AA298+AA300</f>
        <v>10144.390926581</v>
      </c>
      <c r="AB301" s="67" t="n">
        <f aca="false">AB297+AB298+AB300</f>
        <v>9999.82715515239</v>
      </c>
      <c r="AC301" s="67" t="n">
        <f aca="false">AC297+AC298+AC300</f>
        <v>10009.2319170572</v>
      </c>
      <c r="AD301" s="67" t="n">
        <f aca="false">AD297+AD298+AD300</f>
        <v>10018.6366789619</v>
      </c>
      <c r="AE301" s="67" t="n">
        <f aca="false">AE297+AE298+AE300</f>
        <v>10028.0414408667</v>
      </c>
      <c r="AF301" s="67" t="n">
        <f aca="false">AF297+AF298+AF300</f>
        <v>10037.4462027714</v>
      </c>
      <c r="AG301" s="67" t="n">
        <f aca="false">AG297+AG298+AG300</f>
        <v>10046.8509646762</v>
      </c>
      <c r="AH301" s="67" t="n">
        <f aca="false">AH297+AH298+AH300</f>
        <v>10056.255726581</v>
      </c>
      <c r="AI301" s="67" t="n">
        <f aca="false">AI297+AI298+AI300</f>
        <v>10065.6604884857</v>
      </c>
      <c r="AJ301" s="67" t="n">
        <f aca="false">AJ297+AJ298+AJ300</f>
        <v>10075.0652503905</v>
      </c>
      <c r="AK301" s="67" t="n">
        <f aca="false">AK297+AK298+AK300</f>
        <v>10084.4700122952</v>
      </c>
      <c r="AL301" s="67" t="n">
        <f aca="false">AL297+AL298+AL300</f>
        <v>10093.8747742</v>
      </c>
    </row>
    <row r="302" customFormat="false" ht="15" hidden="false" customHeight="false" outlineLevel="0" collapsed="false">
      <c r="A302" s="6" t="s">
        <v>331</v>
      </c>
      <c r="C302" s="66" t="n">
        <f aca="false">0</f>
        <v>0</v>
      </c>
      <c r="D302" s="66" t="n">
        <f aca="false">C303</f>
        <v>212560.479292929</v>
      </c>
      <c r="E302" s="66" t="n">
        <f aca="false">D303</f>
        <v>194341.091206349</v>
      </c>
      <c r="F302" s="66" t="n">
        <f aca="false">E303</f>
        <v>179875.215054401</v>
      </c>
      <c r="G302" s="66" t="n">
        <f aca="false">F303</f>
        <v>168975.770478449</v>
      </c>
      <c r="H302" s="66" t="n">
        <f aca="false">G303</f>
        <v>161465.031137787</v>
      </c>
      <c r="I302" s="66" t="n">
        <f aca="false">H303</f>
        <v>157174.157008748</v>
      </c>
      <c r="J302" s="66" t="n">
        <f aca="false">I303</f>
        <v>155942.750068845</v>
      </c>
      <c r="K302" s="66" t="n">
        <f aca="false">J303</f>
        <v>157618.432196715</v>
      </c>
      <c r="L302" s="66" t="n">
        <f aca="false">K303</f>
        <v>162056.444177067</v>
      </c>
      <c r="M302" s="66" t="n">
        <f aca="false">L303</f>
        <v>169119.264755371</v>
      </c>
      <c r="N302" s="66" t="n">
        <f aca="false">M303</f>
        <v>178667.483306742</v>
      </c>
      <c r="O302" s="66" t="n">
        <f aca="false">N303</f>
        <v>188486.612488078</v>
      </c>
      <c r="P302" s="66" t="n">
        <f aca="false">O303</f>
        <v>199607.303297602</v>
      </c>
      <c r="Q302" s="66" t="n">
        <f aca="false">P303</f>
        <v>210591.185535697</v>
      </c>
      <c r="R302" s="66" t="n">
        <f aca="false">Q303</f>
        <v>221586.972535697</v>
      </c>
      <c r="S302" s="66" t="n">
        <f aca="false">R303</f>
        <v>232594.664297602</v>
      </c>
      <c r="T302" s="66" t="n">
        <f aca="false">S303</f>
        <v>243614.260821411</v>
      </c>
      <c r="U302" s="66" t="n">
        <f aca="false">T303</f>
        <v>254645.762107126</v>
      </c>
      <c r="V302" s="66" t="n">
        <f aca="false">U303</f>
        <v>264252.750975582</v>
      </c>
      <c r="W302" s="66" t="n">
        <f aca="false">V303</f>
        <v>273236.446515105</v>
      </c>
      <c r="X302" s="66" t="n">
        <f aca="false">W303</f>
        <v>282229.546816534</v>
      </c>
      <c r="Y302" s="66" t="n">
        <f aca="false">X303</f>
        <v>291232.051879867</v>
      </c>
      <c r="Z302" s="66" t="n">
        <f aca="false">Y303</f>
        <v>300243.961705105</v>
      </c>
      <c r="AA302" s="66" t="n">
        <f aca="false">Z303</f>
        <v>309265.276292248</v>
      </c>
      <c r="AB302" s="66" t="n">
        <f aca="false">AA303</f>
        <v>319409.667218829</v>
      </c>
      <c r="AC302" s="66" t="n">
        <f aca="false">AB303</f>
        <v>329409.494373982</v>
      </c>
      <c r="AD302" s="66" t="n">
        <f aca="false">AC303</f>
        <v>339418.726291039</v>
      </c>
      <c r="AE302" s="66" t="n">
        <f aca="false">AD303</f>
        <v>349437.362970001</v>
      </c>
      <c r="AF302" s="66" t="n">
        <f aca="false">AE303</f>
        <v>359465.404410867</v>
      </c>
      <c r="AG302" s="66" t="n">
        <f aca="false">AF303</f>
        <v>369502.850613639</v>
      </c>
      <c r="AH302" s="66" t="n">
        <f aca="false">AG303</f>
        <v>379549.701578315</v>
      </c>
      <c r="AI302" s="66" t="n">
        <f aca="false">AH303</f>
        <v>389605.957304896</v>
      </c>
      <c r="AJ302" s="66" t="n">
        <f aca="false">AI303</f>
        <v>399671.617793382</v>
      </c>
      <c r="AK302" s="66" t="n">
        <f aca="false">AJ303</f>
        <v>409746.683043772</v>
      </c>
      <c r="AL302" s="66" t="n">
        <f aca="false">AK303</f>
        <v>419831.153056067</v>
      </c>
    </row>
    <row r="303" customFormat="false" ht="15" hidden="false" customHeight="false" outlineLevel="0" collapsed="false">
      <c r="A303" s="110" t="s">
        <v>86</v>
      </c>
      <c r="C303" s="67" t="n">
        <f aca="false">C302+C301</f>
        <v>212560.479292929</v>
      </c>
      <c r="D303" s="67" t="n">
        <f aca="false">D302+D301</f>
        <v>194341.091206349</v>
      </c>
      <c r="E303" s="67" t="n">
        <f aca="false">E302+E301</f>
        <v>179875.215054401</v>
      </c>
      <c r="F303" s="67" t="n">
        <f aca="false">F302+F301</f>
        <v>168975.770478449</v>
      </c>
      <c r="G303" s="67" t="n">
        <f aca="false">G302+G301</f>
        <v>161465.031137787</v>
      </c>
      <c r="H303" s="67" t="n">
        <f aca="false">H302+H301</f>
        <v>157174.157008748</v>
      </c>
      <c r="I303" s="67" t="n">
        <f aca="false">I302+I301</f>
        <v>155942.750068845</v>
      </c>
      <c r="J303" s="67" t="n">
        <f aca="false">J302+J301</f>
        <v>157618.432196715</v>
      </c>
      <c r="K303" s="67" t="n">
        <f aca="false">K302+K301</f>
        <v>162056.444177067</v>
      </c>
      <c r="L303" s="67" t="n">
        <f aca="false">L302+L301</f>
        <v>169119.264755371</v>
      </c>
      <c r="M303" s="67" t="n">
        <f aca="false">M302+M301</f>
        <v>178667.483306742</v>
      </c>
      <c r="N303" s="67" t="n">
        <f aca="false">N302+N301</f>
        <v>188486.612488078</v>
      </c>
      <c r="O303" s="67" t="n">
        <f aca="false">O302+O301</f>
        <v>199607.303297602</v>
      </c>
      <c r="P303" s="67" t="n">
        <f aca="false">P302+P301</f>
        <v>210591.185535697</v>
      </c>
      <c r="Q303" s="67" t="n">
        <f aca="false">Q302+Q301</f>
        <v>221586.972535697</v>
      </c>
      <c r="R303" s="67" t="n">
        <f aca="false">R302+R301</f>
        <v>232594.664297602</v>
      </c>
      <c r="S303" s="67" t="n">
        <f aca="false">S302+S301</f>
        <v>243614.260821411</v>
      </c>
      <c r="T303" s="67" t="n">
        <f aca="false">T302+T301</f>
        <v>254645.762107126</v>
      </c>
      <c r="U303" s="67" t="n">
        <f aca="false">U302+U301</f>
        <v>264252.750975582</v>
      </c>
      <c r="V303" s="67" t="n">
        <f aca="false">V302+V301</f>
        <v>273236.446515105</v>
      </c>
      <c r="W303" s="67" t="n">
        <f aca="false">W302+W301</f>
        <v>282229.546816534</v>
      </c>
      <c r="X303" s="67" t="n">
        <f aca="false">X302+X301</f>
        <v>291232.051879867</v>
      </c>
      <c r="Y303" s="67" t="n">
        <f aca="false">Y302+Y301</f>
        <v>300243.961705105</v>
      </c>
      <c r="Z303" s="67" t="n">
        <f aca="false">Z302+Z301</f>
        <v>309265.276292248</v>
      </c>
      <c r="AA303" s="67" t="n">
        <f aca="false">AA302+AA301</f>
        <v>319409.667218829</v>
      </c>
      <c r="AB303" s="67" t="n">
        <f aca="false">AB302+AB301</f>
        <v>329409.494373982</v>
      </c>
      <c r="AC303" s="67" t="n">
        <f aca="false">AC302+AC301</f>
        <v>339418.726291039</v>
      </c>
      <c r="AD303" s="67" t="n">
        <f aca="false">AD302+AD301</f>
        <v>349437.362970001</v>
      </c>
      <c r="AE303" s="67" t="n">
        <f aca="false">AE302+AE301</f>
        <v>359465.404410867</v>
      </c>
      <c r="AF303" s="67" t="n">
        <f aca="false">AF302+AF301</f>
        <v>369502.850613639</v>
      </c>
      <c r="AG303" s="67" t="n">
        <f aca="false">AG302+AG301</f>
        <v>379549.701578315</v>
      </c>
      <c r="AH303" s="67" t="n">
        <f aca="false">AH302+AH301</f>
        <v>389605.957304896</v>
      </c>
      <c r="AI303" s="67" t="n">
        <f aca="false">AI302+AI301</f>
        <v>399671.617793382</v>
      </c>
      <c r="AJ303" s="67" t="n">
        <f aca="false">AJ302+AJ301</f>
        <v>409746.683043772</v>
      </c>
      <c r="AK303" s="67" t="n">
        <f aca="false">AK302+AK301</f>
        <v>419831.153056067</v>
      </c>
      <c r="AL303" s="67" t="n">
        <f aca="false">AL302+AL301</f>
        <v>429925.027830267</v>
      </c>
    </row>
    <row r="304" customFormat="false" ht="15" hidden="false" customHeight="false" outlineLevel="0" collapsed="false">
      <c r="A304" s="116" t="s">
        <v>401</v>
      </c>
      <c r="C304" s="118" t="n">
        <f aca="false">IF(C264&gt;0,1,0)</f>
        <v>0</v>
      </c>
      <c r="D304" s="118" t="n">
        <f aca="false">IF(D264&gt;0,1,0)</f>
        <v>0</v>
      </c>
      <c r="E304" s="118" t="n">
        <f aca="false">IF(E264&gt;0,1,0)</f>
        <v>0</v>
      </c>
      <c r="F304" s="118" t="n">
        <f aca="false">IF(F264&gt;0,1,0)</f>
        <v>0</v>
      </c>
      <c r="G304" s="118" t="n">
        <f aca="false">IF(G264&gt;0,1,0)</f>
        <v>0</v>
      </c>
      <c r="H304" s="118" t="n">
        <f aca="false">IF(H264&gt;0,1,0)</f>
        <v>0</v>
      </c>
      <c r="I304" s="118" t="n">
        <f aca="false">IF(I264&gt;0,1,0)</f>
        <v>1</v>
      </c>
      <c r="J304" s="118" t="n">
        <f aca="false">IF(J264&gt;0,1,0)</f>
        <v>1</v>
      </c>
      <c r="K304" s="118" t="n">
        <f aca="false">IF(K264&gt;0,1,0)</f>
        <v>1</v>
      </c>
      <c r="L304" s="118" t="n">
        <f aca="false">IF(L264&gt;0,1,0)</f>
        <v>1</v>
      </c>
      <c r="M304" s="118" t="n">
        <f aca="false">IF(M264&gt;0,1,0)</f>
        <v>1</v>
      </c>
      <c r="N304" s="118" t="n">
        <f aca="false">IF(N264&gt;0,1,0)</f>
        <v>1</v>
      </c>
      <c r="O304" s="118" t="n">
        <f aca="false">IF(O264&gt;0,1,0)</f>
        <v>1</v>
      </c>
      <c r="P304" s="118" t="n">
        <f aca="false">IF(P264&gt;0,1,0)</f>
        <v>1</v>
      </c>
      <c r="Q304" s="118" t="n">
        <f aca="false">IF(Q264&gt;0,1,0)</f>
        <v>1</v>
      </c>
      <c r="R304" s="118" t="n">
        <f aca="false">IF(R264&gt;0,1,0)</f>
        <v>1</v>
      </c>
      <c r="S304" s="118" t="n">
        <f aca="false">IF(S264&gt;0,1,0)</f>
        <v>1</v>
      </c>
      <c r="T304" s="118" t="n">
        <f aca="false">IF(T264&gt;0,1,0)</f>
        <v>1</v>
      </c>
      <c r="U304" s="118" t="n">
        <f aca="false">IF(U264&gt;0,1,0)</f>
        <v>1</v>
      </c>
      <c r="V304" s="118" t="n">
        <f aca="false">IF(V264&gt;0,1,0)</f>
        <v>1</v>
      </c>
      <c r="W304" s="118" t="n">
        <f aca="false">IF(W264&gt;0,1,0)</f>
        <v>1</v>
      </c>
      <c r="X304" s="118" t="n">
        <f aca="false">IF(X264&gt;0,1,0)</f>
        <v>1</v>
      </c>
      <c r="Y304" s="118" t="n">
        <f aca="false">IF(Y264&gt;0,1,0)</f>
        <v>1</v>
      </c>
      <c r="Z304" s="118" t="n">
        <f aca="false">IF(Z264&gt;0,1,0)</f>
        <v>1</v>
      </c>
      <c r="AA304" s="118" t="n">
        <f aca="false">IF(AA264&gt;0,1,0)</f>
        <v>1</v>
      </c>
      <c r="AB304" s="118" t="n">
        <f aca="false">IF(AB264&gt;0,1,0)</f>
        <v>1</v>
      </c>
      <c r="AC304" s="118" t="n">
        <f aca="false">IF(AC264&gt;0,1,0)</f>
        <v>1</v>
      </c>
      <c r="AD304" s="118" t="n">
        <f aca="false">IF(AD264&gt;0,1,0)</f>
        <v>1</v>
      </c>
      <c r="AE304" s="118" t="n">
        <f aca="false">IF(AE264&gt;0,1,0)</f>
        <v>1</v>
      </c>
      <c r="AF304" s="118" t="n">
        <f aca="false">IF(AF264&gt;0,1,0)</f>
        <v>1</v>
      </c>
      <c r="AG304" s="118" t="n">
        <f aca="false">IF(AG264&gt;0,1,0)</f>
        <v>1</v>
      </c>
      <c r="AH304" s="118" t="n">
        <f aca="false">IF(AH264&gt;0,1,0)</f>
        <v>1</v>
      </c>
      <c r="AI304" s="118" t="n">
        <f aca="false">IF(AI264&gt;0,1,0)</f>
        <v>1</v>
      </c>
      <c r="AJ304" s="118" t="n">
        <f aca="false">IF(AJ264&gt;0,1,0)</f>
        <v>1</v>
      </c>
      <c r="AK304" s="118" t="n">
        <f aca="false">IF(AK264&gt;0,1,0)</f>
        <v>1</v>
      </c>
      <c r="AL304" s="118" t="n">
        <f aca="false">IF(AL264&gt;0,1,0)</f>
        <v>1</v>
      </c>
    </row>
    <row r="306" customFormat="false" ht="15.75" hidden="false" customHeight="true" outlineLevel="0" collapsed="false">
      <c r="A306" s="7" t="s">
        <v>402</v>
      </c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</row>
    <row r="307" customFormat="false" ht="15" hidden="false" customHeight="false" outlineLevel="0" collapsed="false">
      <c r="A307" s="116" t="s">
        <v>403</v>
      </c>
      <c r="C307" s="118" t="n">
        <f aca="false">IF(C273&gt;0,1,0)</f>
        <v>0</v>
      </c>
      <c r="D307" s="118" t="n">
        <f aca="false">IF(D273&gt;0,1,0)</f>
        <v>0</v>
      </c>
      <c r="E307" s="118" t="n">
        <f aca="false">IF(E273&gt;0,1,0)</f>
        <v>0</v>
      </c>
      <c r="F307" s="118" t="n">
        <f aca="false">IF(F273&gt;0,1,0)</f>
        <v>0</v>
      </c>
      <c r="G307" s="118" t="n">
        <f aca="false">IF(G273&gt;0,1,0)</f>
        <v>0</v>
      </c>
      <c r="H307" s="118" t="n">
        <f aca="false">IF(H273&gt;0,1,0)</f>
        <v>0</v>
      </c>
      <c r="I307" s="118" t="n">
        <f aca="false">IF(I273&gt;0,1,0)</f>
        <v>0</v>
      </c>
      <c r="J307" s="118" t="n">
        <f aca="false">IF(J273&gt;0,1,0)</f>
        <v>1</v>
      </c>
      <c r="K307" s="118" t="n">
        <f aca="false">IF(K273&gt;0,1,0)</f>
        <v>1</v>
      </c>
      <c r="L307" s="118" t="n">
        <f aca="false">IF(L273&gt;0,1,0)</f>
        <v>1</v>
      </c>
      <c r="M307" s="118" t="n">
        <f aca="false">IF(M273&gt;0,1,0)</f>
        <v>1</v>
      </c>
      <c r="N307" s="118" t="n">
        <f aca="false">IF(N273&gt;0,1,0)</f>
        <v>1</v>
      </c>
      <c r="O307" s="118" t="n">
        <f aca="false">IF(O273&gt;0,1,0)</f>
        <v>1</v>
      </c>
      <c r="P307" s="118" t="n">
        <f aca="false">IF(P273&gt;0,1,0)</f>
        <v>1</v>
      </c>
      <c r="Q307" s="118" t="n">
        <f aca="false">IF(Q273&gt;0,1,0)</f>
        <v>1</v>
      </c>
      <c r="R307" s="118" t="n">
        <f aca="false">IF(R273&gt;0,1,0)</f>
        <v>1</v>
      </c>
      <c r="S307" s="118" t="n">
        <f aca="false">IF(S273&gt;0,1,0)</f>
        <v>1</v>
      </c>
      <c r="T307" s="118" t="n">
        <f aca="false">IF(T273&gt;0,1,0)</f>
        <v>1</v>
      </c>
      <c r="U307" s="118" t="n">
        <f aca="false">IF(U273&gt;0,1,0)</f>
        <v>1</v>
      </c>
      <c r="V307" s="118" t="n">
        <f aca="false">IF(V273&gt;0,1,0)</f>
        <v>1</v>
      </c>
      <c r="W307" s="118" t="n">
        <f aca="false">IF(W273&gt;0,1,0)</f>
        <v>1</v>
      </c>
      <c r="X307" s="118" t="n">
        <f aca="false">IF(X273&gt;0,1,0)</f>
        <v>1</v>
      </c>
      <c r="Y307" s="118" t="n">
        <f aca="false">IF(Y273&gt;0,1,0)</f>
        <v>1</v>
      </c>
      <c r="Z307" s="118" t="n">
        <f aca="false">IF(Z273&gt;0,1,0)</f>
        <v>1</v>
      </c>
      <c r="AA307" s="118" t="n">
        <f aca="false">IF(AA273&gt;0,1,0)</f>
        <v>1</v>
      </c>
      <c r="AB307" s="118" t="n">
        <f aca="false">IF(AB273&gt;0,1,0)</f>
        <v>1</v>
      </c>
      <c r="AC307" s="118" t="n">
        <f aca="false">IF(AC273&gt;0,1,0)</f>
        <v>1</v>
      </c>
      <c r="AD307" s="118" t="n">
        <f aca="false">IF(AD273&gt;0,1,0)</f>
        <v>1</v>
      </c>
      <c r="AE307" s="118" t="n">
        <f aca="false">IF(AE273&gt;0,1,0)</f>
        <v>1</v>
      </c>
      <c r="AF307" s="118" t="n">
        <f aca="false">IF(AF273&gt;0,1,0)</f>
        <v>1</v>
      </c>
      <c r="AG307" s="118" t="n">
        <f aca="false">IF(AG273&gt;0,1,0)</f>
        <v>1</v>
      </c>
      <c r="AH307" s="118" t="n">
        <f aca="false">IF(AH273&gt;0,1,0)</f>
        <v>1</v>
      </c>
      <c r="AI307" s="118" t="n">
        <f aca="false">IF(AI273&gt;0,1,0)</f>
        <v>1</v>
      </c>
      <c r="AJ307" s="118" t="n">
        <f aca="false">IF(AJ273&gt;0,1,0)</f>
        <v>1</v>
      </c>
      <c r="AK307" s="118" t="n">
        <f aca="false">IF(AK273&gt;0,1,0)</f>
        <v>1</v>
      </c>
      <c r="AL307" s="118" t="n">
        <f aca="false">IF(AL273&gt;0,1,0)</f>
        <v>1</v>
      </c>
    </row>
    <row r="308" customFormat="false" ht="15" hidden="false" customHeight="false" outlineLevel="0" collapsed="false">
      <c r="A308" s="6" t="s">
        <v>404</v>
      </c>
      <c r="C308" s="66" t="n">
        <f aca="false">C297+C298</f>
        <v>-267439.520707071</v>
      </c>
      <c r="D308" s="66" t="n">
        <f aca="false">D297+D298</f>
        <v>-16433.6738008658</v>
      </c>
      <c r="E308" s="66" t="n">
        <f aca="false">E297+E298</f>
        <v>-12680.1618662338</v>
      </c>
      <c r="F308" s="66" t="n">
        <f aca="false">F297+F298</f>
        <v>-9113.7302902381</v>
      </c>
      <c r="G308" s="66" t="n">
        <f aca="false">G297+G298</f>
        <v>-5725.02505494698</v>
      </c>
      <c r="H308" s="66" t="n">
        <f aca="false">H297+H298</f>
        <v>-2505.15984332517</v>
      </c>
      <c r="I308" s="66" t="n">
        <f aca="false">I297+I298</f>
        <v>554.307345810779</v>
      </c>
      <c r="J308" s="66" t="n">
        <f aca="false">J297+J298</f>
        <v>3461.39641358518</v>
      </c>
      <c r="K308" s="66" t="n">
        <f aca="false">K297+K298</f>
        <v>6223.72626606608</v>
      </c>
      <c r="L308" s="66" t="n">
        <f aca="false">L297+L298</f>
        <v>8848.53486401819</v>
      </c>
      <c r="M308" s="66" t="n">
        <f aca="false">M297+M298</f>
        <v>11333.9328370853</v>
      </c>
      <c r="N308" s="66" t="n">
        <f aca="false">N297+N298</f>
        <v>11604.8434670502</v>
      </c>
      <c r="O308" s="66" t="n">
        <f aca="false">O297+O298</f>
        <v>12906.4050952381</v>
      </c>
      <c r="P308" s="66" t="n">
        <f aca="false">P297+P298</f>
        <v>12769.5965238095</v>
      </c>
      <c r="Q308" s="66" t="n">
        <f aca="false">Q297+Q298</f>
        <v>12781.5012857143</v>
      </c>
      <c r="R308" s="66" t="n">
        <f aca="false">R297+R298</f>
        <v>12793.406047619</v>
      </c>
      <c r="S308" s="66" t="n">
        <f aca="false">S297+S298</f>
        <v>12805.3108095238</v>
      </c>
      <c r="T308" s="66" t="n">
        <f aca="false">T297+T298</f>
        <v>12817.2155714286</v>
      </c>
      <c r="U308" s="66" t="n">
        <f aca="false">U297+U298</f>
        <v>11392.7031541703</v>
      </c>
      <c r="V308" s="66" t="n">
        <f aca="false">V297+V298</f>
        <v>10769.4098252381</v>
      </c>
      <c r="W308" s="66" t="n">
        <f aca="false">W297+W298</f>
        <v>10778.8145871429</v>
      </c>
      <c r="X308" s="66" t="n">
        <f aca="false">X297+X298</f>
        <v>10788.2193490476</v>
      </c>
      <c r="Y308" s="66" t="n">
        <f aca="false">Y297+Y298</f>
        <v>10797.6241109524</v>
      </c>
      <c r="Z308" s="66" t="n">
        <f aca="false">Z297+Z298</f>
        <v>10807.0288728571</v>
      </c>
      <c r="AA308" s="66" t="n">
        <f aca="false">AA297+AA298</f>
        <v>11930.1052122953</v>
      </c>
      <c r="AB308" s="66" t="n">
        <f aca="false">AB297+AB298</f>
        <v>11785.5414408667</v>
      </c>
      <c r="AC308" s="66" t="n">
        <f aca="false">AC297+AC298</f>
        <v>11794.9462027714</v>
      </c>
      <c r="AD308" s="66" t="n">
        <f aca="false">AD297+AD298</f>
        <v>11804.3509646762</v>
      </c>
      <c r="AE308" s="66" t="n">
        <f aca="false">AE297+AE298</f>
        <v>11813.755726581</v>
      </c>
      <c r="AF308" s="66" t="n">
        <f aca="false">AF297+AF298</f>
        <v>11823.1604884857</v>
      </c>
      <c r="AG308" s="66" t="n">
        <f aca="false">AG297+AG298</f>
        <v>11832.5652503905</v>
      </c>
      <c r="AH308" s="66" t="n">
        <f aca="false">AH297+AH298</f>
        <v>11841.9700122953</v>
      </c>
      <c r="AI308" s="66" t="n">
        <f aca="false">AI297+AI298</f>
        <v>11851.3747742</v>
      </c>
      <c r="AJ308" s="66" t="n">
        <f aca="false">AJ297+AJ298</f>
        <v>11860.7795361048</v>
      </c>
      <c r="AK308" s="66" t="n">
        <f aca="false">AK297+AK298</f>
        <v>11870.1842980095</v>
      </c>
      <c r="AL308" s="66" t="n">
        <f aca="false">AL297+AL298</f>
        <v>11879.5890599143</v>
      </c>
    </row>
    <row r="309" customFormat="false" ht="15" hidden="false" customHeight="false" outlineLevel="0" collapsed="false">
      <c r="A309" s="6" t="s">
        <v>405</v>
      </c>
      <c r="C309" s="66" t="n">
        <f aca="false">C308</f>
        <v>-267439.520707071</v>
      </c>
      <c r="D309" s="66" t="n">
        <f aca="false">C309+D308</f>
        <v>-283873.194507937</v>
      </c>
      <c r="E309" s="66" t="n">
        <f aca="false">D309+E308</f>
        <v>-296553.35637417</v>
      </c>
      <c r="F309" s="66" t="n">
        <f aca="false">E309+F308</f>
        <v>-305667.086664408</v>
      </c>
      <c r="G309" s="66" t="n">
        <f aca="false">F309+G308</f>
        <v>-311392.111719355</v>
      </c>
      <c r="H309" s="66" t="n">
        <f aca="false">G309+H308</f>
        <v>-313897.271562681</v>
      </c>
      <c r="I309" s="66" t="n">
        <f aca="false">H309+I308</f>
        <v>-313342.96421687</v>
      </c>
      <c r="J309" s="66" t="n">
        <f aca="false">I309+J308</f>
        <v>-309881.567803285</v>
      </c>
      <c r="K309" s="66" t="n">
        <f aca="false">J309+K308</f>
        <v>-303657.841537219</v>
      </c>
      <c r="L309" s="66" t="n">
        <f aca="false">K309+L308</f>
        <v>-294809.3066732</v>
      </c>
      <c r="M309" s="66" t="n">
        <f aca="false">L309+M308</f>
        <v>-283475.373836115</v>
      </c>
      <c r="N309" s="66" t="n">
        <f aca="false">M309+N308</f>
        <v>-271870.530369065</v>
      </c>
      <c r="O309" s="66" t="n">
        <f aca="false">N309+O308</f>
        <v>-258964.125273827</v>
      </c>
      <c r="P309" s="66" t="n">
        <f aca="false">O309+P308</f>
        <v>-246194.528750017</v>
      </c>
      <c r="Q309" s="66" t="n">
        <f aca="false">P309+Q308</f>
        <v>-233413.027464303</v>
      </c>
      <c r="R309" s="66" t="n">
        <f aca="false">Q309+R308</f>
        <v>-220619.621416684</v>
      </c>
      <c r="S309" s="66" t="n">
        <f aca="false">R309+S308</f>
        <v>-207814.31060716</v>
      </c>
      <c r="T309" s="66" t="n">
        <f aca="false">S309+T308</f>
        <v>-194997.095035732</v>
      </c>
      <c r="U309" s="66" t="n">
        <f aca="false">T309+U308</f>
        <v>-183604.391881561</v>
      </c>
      <c r="V309" s="66" t="n">
        <f aca="false">U309+V308</f>
        <v>-172834.982056323</v>
      </c>
      <c r="W309" s="66" t="n">
        <f aca="false">V309+W308</f>
        <v>-162056.16746918</v>
      </c>
      <c r="X309" s="66" t="n">
        <f aca="false">W309+X308</f>
        <v>-151267.948120133</v>
      </c>
      <c r="Y309" s="66" t="n">
        <f aca="false">X309+Y308</f>
        <v>-140470.32400918</v>
      </c>
      <c r="Z309" s="66" t="n">
        <f aca="false">Y309+Z308</f>
        <v>-129663.295136323</v>
      </c>
      <c r="AA309" s="66" t="n">
        <f aca="false">Z309+AA308</f>
        <v>-117733.189924028</v>
      </c>
      <c r="AB309" s="66" t="n">
        <f aca="false">AA309+AB308</f>
        <v>-105947.648483161</v>
      </c>
      <c r="AC309" s="66" t="n">
        <f aca="false">AB309+AC308</f>
        <v>-94152.7022803899</v>
      </c>
      <c r="AD309" s="66" t="n">
        <f aca="false">AC309+AD308</f>
        <v>-82348.3513157137</v>
      </c>
      <c r="AE309" s="66" t="n">
        <f aca="false">AD309+AE308</f>
        <v>-70534.5955891328</v>
      </c>
      <c r="AF309" s="66" t="n">
        <f aca="false">AE309+AF308</f>
        <v>-58711.435100647</v>
      </c>
      <c r="AG309" s="66" t="n">
        <f aca="false">AF309+AG308</f>
        <v>-46878.8698502565</v>
      </c>
      <c r="AH309" s="66" t="n">
        <f aca="false">AG309+AH308</f>
        <v>-35036.8998379613</v>
      </c>
      <c r="AI309" s="66" t="n">
        <f aca="false">AH309+AI308</f>
        <v>-23185.5250637613</v>
      </c>
      <c r="AJ309" s="66" t="n">
        <f aca="false">AI309+AJ308</f>
        <v>-11324.7455276565</v>
      </c>
      <c r="AK309" s="66" t="n">
        <f aca="false">AJ309+AK308</f>
        <v>545.438770353048</v>
      </c>
      <c r="AL309" s="66" t="n">
        <f aca="false">AK309+AL308</f>
        <v>12425.0278302673</v>
      </c>
    </row>
    <row r="310" customFormat="false" ht="15" hidden="false" customHeight="false" outlineLevel="0" collapsed="false">
      <c r="A310" s="116" t="s">
        <v>406</v>
      </c>
      <c r="C310" s="66" t="n">
        <f aca="false">C309</f>
        <v>-267439.520707071</v>
      </c>
      <c r="D310" s="66" t="n">
        <f aca="false">MIN(C310,D309)</f>
        <v>-283873.194507937</v>
      </c>
      <c r="E310" s="66" t="n">
        <f aca="false">MIN(D310,E309)</f>
        <v>-296553.35637417</v>
      </c>
      <c r="F310" s="66" t="n">
        <f aca="false">MIN(E310,F309)</f>
        <v>-305667.086664408</v>
      </c>
      <c r="G310" s="66" t="n">
        <f aca="false">MIN(F310,G309)</f>
        <v>-311392.111719355</v>
      </c>
      <c r="H310" s="66" t="n">
        <f aca="false">MIN(G310,H309)</f>
        <v>-313897.271562681</v>
      </c>
      <c r="I310" s="66" t="n">
        <f aca="false">MIN(H310,I309)</f>
        <v>-313897.271562681</v>
      </c>
      <c r="J310" s="66" t="n">
        <f aca="false">MIN(I310,J309)</f>
        <v>-313897.271562681</v>
      </c>
      <c r="K310" s="66" t="n">
        <f aca="false">MIN(J310,K309)</f>
        <v>-313897.271562681</v>
      </c>
      <c r="L310" s="66" t="n">
        <f aca="false">MIN(K310,L309)</f>
        <v>-313897.271562681</v>
      </c>
      <c r="M310" s="66" t="n">
        <f aca="false">MIN(L310,M309)</f>
        <v>-313897.271562681</v>
      </c>
      <c r="N310" s="66" t="n">
        <f aca="false">MIN(M310,N309)</f>
        <v>-313897.271562681</v>
      </c>
      <c r="O310" s="66" t="n">
        <f aca="false">MIN(N310,O309)</f>
        <v>-313897.271562681</v>
      </c>
      <c r="P310" s="66" t="n">
        <f aca="false">MIN(O310,P309)</f>
        <v>-313897.271562681</v>
      </c>
      <c r="Q310" s="66" t="n">
        <f aca="false">MIN(P310,Q309)</f>
        <v>-313897.271562681</v>
      </c>
      <c r="R310" s="66" t="n">
        <f aca="false">MIN(Q310,R309)</f>
        <v>-313897.271562681</v>
      </c>
      <c r="S310" s="66" t="n">
        <f aca="false">MIN(R310,S309)</f>
        <v>-313897.271562681</v>
      </c>
      <c r="T310" s="66" t="n">
        <f aca="false">MIN(S310,T309)</f>
        <v>-313897.271562681</v>
      </c>
      <c r="U310" s="66" t="n">
        <f aca="false">MIN(T310,U309)</f>
        <v>-313897.271562681</v>
      </c>
      <c r="V310" s="66" t="n">
        <f aca="false">MIN(U310,V309)</f>
        <v>-313897.271562681</v>
      </c>
      <c r="W310" s="66" t="n">
        <f aca="false">MIN(V310,W309)</f>
        <v>-313897.271562681</v>
      </c>
      <c r="X310" s="66" t="n">
        <f aca="false">MIN(W310,X309)</f>
        <v>-313897.271562681</v>
      </c>
      <c r="Y310" s="66" t="n">
        <f aca="false">MIN(X310,Y309)</f>
        <v>-313897.271562681</v>
      </c>
      <c r="Z310" s="66" t="n">
        <f aca="false">MIN(Y310,Z309)</f>
        <v>-313897.271562681</v>
      </c>
      <c r="AA310" s="66" t="n">
        <f aca="false">MIN(Z310,AA309)</f>
        <v>-313897.271562681</v>
      </c>
      <c r="AB310" s="66" t="n">
        <f aca="false">MIN(AA310,AB309)</f>
        <v>-313897.271562681</v>
      </c>
      <c r="AC310" s="66" t="n">
        <f aca="false">MIN(AB310,AC309)</f>
        <v>-313897.271562681</v>
      </c>
      <c r="AD310" s="66" t="n">
        <f aca="false">MIN(AC310,AD309)</f>
        <v>-313897.271562681</v>
      </c>
      <c r="AE310" s="66" t="n">
        <f aca="false">MIN(AD310,AE309)</f>
        <v>-313897.271562681</v>
      </c>
      <c r="AF310" s="66" t="n">
        <f aca="false">MIN(AE310,AF309)</f>
        <v>-313897.271562681</v>
      </c>
      <c r="AG310" s="66" t="n">
        <f aca="false">MIN(AF310,AG309)</f>
        <v>-313897.271562681</v>
      </c>
      <c r="AH310" s="66" t="n">
        <f aca="false">MIN(AG310,AH309)</f>
        <v>-313897.271562681</v>
      </c>
      <c r="AI310" s="66" t="n">
        <f aca="false">MIN(AH310,AI309)</f>
        <v>-313897.271562681</v>
      </c>
      <c r="AJ310" s="66" t="n">
        <f aca="false">MIN(AI310,AJ309)</f>
        <v>-313897.271562681</v>
      </c>
      <c r="AK310" s="66" t="n">
        <f aca="false">MIN(AJ310,AK309)</f>
        <v>-313897.271562681</v>
      </c>
      <c r="AL310" s="66" t="n">
        <f aca="false">MIN(AK310,AL309)</f>
        <v>-313897.271562681</v>
      </c>
    </row>
    <row r="311" customFormat="false" ht="15" hidden="false" customHeight="false" outlineLevel="0" collapsed="false">
      <c r="A311" s="116" t="s">
        <v>407</v>
      </c>
      <c r="C311" s="118" t="n">
        <f aca="false">IF(AND(C309&gt;=0,C310&lt;0),1,0)</f>
        <v>0</v>
      </c>
      <c r="D311" s="118" t="n">
        <f aca="false">IF(AND(D309&gt;=0,D310&lt;0),1,0)</f>
        <v>0</v>
      </c>
      <c r="E311" s="118" t="n">
        <f aca="false">IF(AND(E309&gt;=0,E310&lt;0),1,0)</f>
        <v>0</v>
      </c>
      <c r="F311" s="118" t="n">
        <f aca="false">IF(AND(F309&gt;=0,F310&lt;0),1,0)</f>
        <v>0</v>
      </c>
      <c r="G311" s="118" t="n">
        <f aca="false">IF(AND(G309&gt;=0,G310&lt;0),1,0)</f>
        <v>0</v>
      </c>
      <c r="H311" s="118" t="n">
        <f aca="false">IF(AND(H309&gt;=0,H310&lt;0),1,0)</f>
        <v>0</v>
      </c>
      <c r="I311" s="118" t="n">
        <f aca="false">IF(AND(I309&gt;=0,I310&lt;0),1,0)</f>
        <v>0</v>
      </c>
      <c r="J311" s="118" t="n">
        <f aca="false">IF(AND(J309&gt;=0,J310&lt;0),1,0)</f>
        <v>0</v>
      </c>
      <c r="K311" s="118" t="n">
        <f aca="false">IF(AND(K309&gt;=0,K310&lt;0),1,0)</f>
        <v>0</v>
      </c>
      <c r="L311" s="118" t="n">
        <f aca="false">IF(AND(L309&gt;=0,L310&lt;0),1,0)</f>
        <v>0</v>
      </c>
      <c r="M311" s="118" t="n">
        <f aca="false">IF(AND(M309&gt;=0,M310&lt;0),1,0)</f>
        <v>0</v>
      </c>
      <c r="N311" s="118" t="n">
        <f aca="false">IF(AND(N309&gt;=0,N310&lt;0),1,0)</f>
        <v>0</v>
      </c>
      <c r="O311" s="118" t="n">
        <f aca="false">IF(AND(O309&gt;=0,O310&lt;0),1,0)</f>
        <v>0</v>
      </c>
      <c r="P311" s="118" t="n">
        <f aca="false">IF(AND(P309&gt;=0,P310&lt;0),1,0)</f>
        <v>0</v>
      </c>
      <c r="Q311" s="118" t="n">
        <f aca="false">IF(AND(Q309&gt;=0,Q310&lt;0),1,0)</f>
        <v>0</v>
      </c>
      <c r="R311" s="118" t="n">
        <f aca="false">IF(AND(R309&gt;=0,R310&lt;0),1,0)</f>
        <v>0</v>
      </c>
      <c r="S311" s="118" t="n">
        <f aca="false">IF(AND(S309&gt;=0,S310&lt;0),1,0)</f>
        <v>0</v>
      </c>
      <c r="T311" s="118" t="n">
        <f aca="false">IF(AND(T309&gt;=0,T310&lt;0),1,0)</f>
        <v>0</v>
      </c>
      <c r="U311" s="118" t="n">
        <f aca="false">IF(AND(U309&gt;=0,U310&lt;0),1,0)</f>
        <v>0</v>
      </c>
      <c r="V311" s="118" t="n">
        <f aca="false">IF(AND(V309&gt;=0,V310&lt;0),1,0)</f>
        <v>0</v>
      </c>
      <c r="W311" s="118" t="n">
        <f aca="false">IF(AND(W309&gt;=0,W310&lt;0),1,0)</f>
        <v>0</v>
      </c>
      <c r="X311" s="118" t="n">
        <f aca="false">IF(AND(X309&gt;=0,X310&lt;0),1,0)</f>
        <v>0</v>
      </c>
      <c r="Y311" s="118" t="n">
        <f aca="false">IF(AND(Y309&gt;=0,Y310&lt;0),1,0)</f>
        <v>0</v>
      </c>
      <c r="Z311" s="118" t="n">
        <f aca="false">IF(AND(Z309&gt;=0,Z310&lt;0),1,0)</f>
        <v>0</v>
      </c>
      <c r="AA311" s="118" t="n">
        <f aca="false">IF(AND(AA309&gt;=0,AA310&lt;0),1,0)</f>
        <v>0</v>
      </c>
      <c r="AB311" s="118" t="n">
        <f aca="false">IF(AND(AB309&gt;=0,AB310&lt;0),1,0)</f>
        <v>0</v>
      </c>
      <c r="AC311" s="118" t="n">
        <f aca="false">IF(AND(AC309&gt;=0,AC310&lt;0),1,0)</f>
        <v>0</v>
      </c>
      <c r="AD311" s="118" t="n">
        <f aca="false">IF(AND(AD309&gt;=0,AD310&lt;0),1,0)</f>
        <v>0</v>
      </c>
      <c r="AE311" s="118" t="n">
        <f aca="false">IF(AND(AE309&gt;=0,AE310&lt;0),1,0)</f>
        <v>0</v>
      </c>
      <c r="AF311" s="118" t="n">
        <f aca="false">IF(AND(AF309&gt;=0,AF310&lt;0),1,0)</f>
        <v>0</v>
      </c>
      <c r="AG311" s="118" t="n">
        <f aca="false">IF(AND(AG309&gt;=0,AG310&lt;0),1,0)</f>
        <v>0</v>
      </c>
      <c r="AH311" s="118" t="n">
        <f aca="false">IF(AND(AH309&gt;=0,AH310&lt;0),1,0)</f>
        <v>0</v>
      </c>
      <c r="AI311" s="118" t="n">
        <f aca="false">IF(AND(AI309&gt;=0,AI310&lt;0),1,0)</f>
        <v>0</v>
      </c>
      <c r="AJ311" s="118" t="n">
        <f aca="false">IF(AND(AJ309&gt;=0,AJ310&lt;0),1,0)</f>
        <v>0</v>
      </c>
      <c r="AK311" s="118" t="n">
        <f aca="false">IF(AND(AK309&gt;=0,AK310&lt;0),1,0)</f>
        <v>1</v>
      </c>
      <c r="AL311" s="118" t="n">
        <f aca="false">IF(AND(AL309&gt;=0,AL310&lt;0),1,0)</f>
        <v>1</v>
      </c>
    </row>
    <row r="312" customFormat="false" ht="15" hidden="false" customHeight="false" outlineLevel="0" collapsed="false">
      <c r="A312" s="6" t="s">
        <v>408</v>
      </c>
      <c r="C312" s="66" t="n">
        <f aca="false">C297-C268*(1-Inputs!$D$66)+C298</f>
        <v>-266649.520707071</v>
      </c>
      <c r="D312" s="66" t="n">
        <f aca="false">D297-D268*(1-Inputs!$D$66)+D298</f>
        <v>-15648.3761818182</v>
      </c>
      <c r="E312" s="66" t="n">
        <f aca="false">E297-E268*(1-Inputs!$D$66)+E298</f>
        <v>-11904.2690090909</v>
      </c>
      <c r="F312" s="66" t="n">
        <f aca="false">F297-F268*(1-Inputs!$D$66)+F298</f>
        <v>-8347.24219500001</v>
      </c>
      <c r="G312" s="66" t="n">
        <f aca="false">G297-G268*(1-Inputs!$D$66)+G298</f>
        <v>-4967.94172161365</v>
      </c>
      <c r="H312" s="66" t="n">
        <f aca="false">H297-H268*(1-Inputs!$D$66)+H298</f>
        <v>-1757.48127189659</v>
      </c>
      <c r="I312" s="66" t="n">
        <f aca="false">I297-I268*(1-Inputs!$D$66)+I298</f>
        <v>1292.58115533459</v>
      </c>
      <c r="J312" s="66" t="n">
        <f aca="false">J297-J268*(1-Inputs!$D$66)+J298</f>
        <v>4190.26546120423</v>
      </c>
      <c r="K312" s="66" t="n">
        <f aca="false">K297-K268*(1-Inputs!$D$66)+K298</f>
        <v>6943.19055178037</v>
      </c>
      <c r="L312" s="66" t="n">
        <f aca="false">L297-L268*(1-Inputs!$D$66)+L298</f>
        <v>9558.59438782771</v>
      </c>
      <c r="M312" s="66" t="n">
        <f aca="false">M297-M268*(1-Inputs!$D$66)+M298</f>
        <v>12034.58759899</v>
      </c>
      <c r="N312" s="66" t="n">
        <f aca="false">N297-N268*(1-Inputs!$D$66)+N298</f>
        <v>12296.0934670502</v>
      </c>
      <c r="O312" s="66" t="n">
        <f aca="false">O297-O268*(1-Inputs!$D$66)+O298</f>
        <v>13588.2503333333</v>
      </c>
      <c r="P312" s="66" t="n">
        <f aca="false">P297-P268*(1-Inputs!$D$66)+P298</f>
        <v>13442.037</v>
      </c>
      <c r="Q312" s="66" t="n">
        <f aca="false">Q297-Q268*(1-Inputs!$D$66)+Q298</f>
        <v>13444.537</v>
      </c>
      <c r="R312" s="66" t="n">
        <f aca="false">R297-R268*(1-Inputs!$D$66)+R298</f>
        <v>13447.037</v>
      </c>
      <c r="S312" s="66" t="n">
        <f aca="false">S297-S268*(1-Inputs!$D$66)+S298</f>
        <v>13449.537</v>
      </c>
      <c r="T312" s="66" t="n">
        <f aca="false">T297-T268*(1-Inputs!$D$66)+T298</f>
        <v>13452.037</v>
      </c>
      <c r="U312" s="66" t="n">
        <f aca="false">U297-U268*(1-Inputs!$D$66)+U298</f>
        <v>12018.1198208369</v>
      </c>
      <c r="V312" s="66" t="n">
        <f aca="false">V297-V268*(1-Inputs!$D$66)+V298</f>
        <v>11385.42173</v>
      </c>
      <c r="W312" s="66" t="n">
        <f aca="false">W297-W268*(1-Inputs!$D$66)+W298</f>
        <v>11385.42173</v>
      </c>
      <c r="X312" s="66" t="n">
        <f aca="false">X297-X268*(1-Inputs!$D$66)+X298</f>
        <v>11385.42173</v>
      </c>
      <c r="Y312" s="66" t="n">
        <f aca="false">Y297-Y268*(1-Inputs!$D$66)+Y298</f>
        <v>11385.42173</v>
      </c>
      <c r="Z312" s="66" t="n">
        <f aca="false">Z297-Z268*(1-Inputs!$D$66)+Z298</f>
        <v>11385.42173</v>
      </c>
      <c r="AA312" s="66" t="n">
        <f aca="false">AA297-AA268*(1-Inputs!$D$66)+AA298</f>
        <v>12499.0933075333</v>
      </c>
      <c r="AB312" s="66" t="n">
        <f aca="false">AB297-AB268*(1-Inputs!$D$66)+AB298</f>
        <v>12345.1247742</v>
      </c>
      <c r="AC312" s="66" t="n">
        <f aca="false">AC297-AC268*(1-Inputs!$D$66)+AC298</f>
        <v>12345.1247742</v>
      </c>
      <c r="AD312" s="66" t="n">
        <f aca="false">AD297-AD268*(1-Inputs!$D$66)+AD298</f>
        <v>12345.1247742</v>
      </c>
      <c r="AE312" s="66" t="n">
        <f aca="false">AE297-AE268*(1-Inputs!$D$66)+AE298</f>
        <v>12345.1247742</v>
      </c>
      <c r="AF312" s="66" t="n">
        <f aca="false">AF297-AF268*(1-Inputs!$D$66)+AF298</f>
        <v>12345.1247742</v>
      </c>
      <c r="AG312" s="66" t="n">
        <f aca="false">AG297-AG268*(1-Inputs!$D$66)+AG298</f>
        <v>12345.1247742</v>
      </c>
      <c r="AH312" s="66" t="n">
        <f aca="false">AH297-AH268*(1-Inputs!$D$66)+AH298</f>
        <v>12345.1247742</v>
      </c>
      <c r="AI312" s="66" t="n">
        <f aca="false">AI297-AI268*(1-Inputs!$D$66)+AI298</f>
        <v>12345.1247742</v>
      </c>
      <c r="AJ312" s="66" t="n">
        <f aca="false">AJ297-AJ268*(1-Inputs!$D$66)+AJ298</f>
        <v>12345.1247742</v>
      </c>
      <c r="AK312" s="66" t="n">
        <f aca="false">AK297-AK268*(1-Inputs!$D$66)+AK298</f>
        <v>12345.1247742</v>
      </c>
      <c r="AL312" s="66" t="n">
        <f aca="false">AL297-AL268*(1-Inputs!$D$66)+AL298</f>
        <v>12345.1247742</v>
      </c>
    </row>
    <row r="314" customFormat="false" ht="15.75" hidden="false" customHeight="true" outlineLevel="0" collapsed="false">
      <c r="A314" s="7" t="s">
        <v>409</v>
      </c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</row>
    <row r="315" customFormat="false" ht="15" hidden="false" customHeight="false" outlineLevel="0" collapsed="false">
      <c r="A315" s="6" t="s">
        <v>96</v>
      </c>
      <c r="C315" s="66" t="n">
        <f aca="false">C299</f>
        <v>330000</v>
      </c>
      <c r="D315" s="66" t="n">
        <f aca="false">C315+D299</f>
        <v>330000</v>
      </c>
      <c r="E315" s="66" t="n">
        <f aca="false">D315+E299</f>
        <v>330000</v>
      </c>
      <c r="F315" s="66" t="n">
        <f aca="false">E315+F299</f>
        <v>330000</v>
      </c>
      <c r="G315" s="66" t="n">
        <f aca="false">F315+G299</f>
        <v>330000</v>
      </c>
      <c r="H315" s="66" t="n">
        <f aca="false">G315+H299</f>
        <v>330000</v>
      </c>
      <c r="I315" s="66" t="n">
        <f aca="false">H315+I299</f>
        <v>330000</v>
      </c>
      <c r="J315" s="66" t="n">
        <f aca="false">I315+J299</f>
        <v>330000</v>
      </c>
      <c r="K315" s="66" t="n">
        <f aca="false">J315+K299</f>
        <v>330000</v>
      </c>
      <c r="L315" s="66" t="n">
        <f aca="false">K315+L299</f>
        <v>330000</v>
      </c>
      <c r="M315" s="66" t="n">
        <f aca="false">L315+M299</f>
        <v>330000</v>
      </c>
      <c r="N315" s="66" t="n">
        <f aca="false">M315+N299</f>
        <v>330000</v>
      </c>
      <c r="O315" s="66" t="n">
        <f aca="false">N315+O299</f>
        <v>330000</v>
      </c>
      <c r="P315" s="66" t="n">
        <f aca="false">O315+P299</f>
        <v>330000</v>
      </c>
      <c r="Q315" s="66" t="n">
        <f aca="false">P315+Q299</f>
        <v>330000</v>
      </c>
      <c r="R315" s="66" t="n">
        <f aca="false">Q315+R299</f>
        <v>330000</v>
      </c>
      <c r="S315" s="66" t="n">
        <f aca="false">R315+S299</f>
        <v>330000</v>
      </c>
      <c r="T315" s="66" t="n">
        <f aca="false">S315+T299</f>
        <v>330000</v>
      </c>
      <c r="U315" s="66" t="n">
        <f aca="false">T315+U299</f>
        <v>330000</v>
      </c>
      <c r="V315" s="66" t="n">
        <f aca="false">U315+V299</f>
        <v>330000</v>
      </c>
      <c r="W315" s="66" t="n">
        <f aca="false">V315+W299</f>
        <v>330000</v>
      </c>
      <c r="X315" s="66" t="n">
        <f aca="false">W315+X299</f>
        <v>330000</v>
      </c>
      <c r="Y315" s="66" t="n">
        <f aca="false">X315+Y299</f>
        <v>330000</v>
      </c>
      <c r="Z315" s="66" t="n">
        <f aca="false">Y315+Z299</f>
        <v>330000</v>
      </c>
      <c r="AA315" s="66" t="n">
        <f aca="false">Z315+AA299</f>
        <v>330000</v>
      </c>
      <c r="AB315" s="66" t="n">
        <f aca="false">AA315+AB299</f>
        <v>330000</v>
      </c>
      <c r="AC315" s="66" t="n">
        <f aca="false">AB315+AC299</f>
        <v>330000</v>
      </c>
      <c r="AD315" s="66" t="n">
        <f aca="false">AC315+AD299</f>
        <v>330000</v>
      </c>
      <c r="AE315" s="66" t="n">
        <f aca="false">AD315+AE299</f>
        <v>330000</v>
      </c>
      <c r="AF315" s="66" t="n">
        <f aca="false">AE315+AF299</f>
        <v>330000</v>
      </c>
      <c r="AG315" s="66" t="n">
        <f aca="false">AF315+AG299</f>
        <v>330000</v>
      </c>
      <c r="AH315" s="66" t="n">
        <f aca="false">AG315+AH299</f>
        <v>330000</v>
      </c>
      <c r="AI315" s="66" t="n">
        <f aca="false">AH315+AI299</f>
        <v>330000</v>
      </c>
      <c r="AJ315" s="66" t="n">
        <f aca="false">AI315+AJ299</f>
        <v>330000</v>
      </c>
      <c r="AK315" s="66" t="n">
        <f aca="false">AJ315+AK299</f>
        <v>330000</v>
      </c>
      <c r="AL315" s="66" t="n">
        <f aca="false">AK315+AL299</f>
        <v>330000</v>
      </c>
    </row>
    <row r="316" customFormat="false" ht="15" hidden="false" customHeight="false" outlineLevel="0" collapsed="false">
      <c r="A316" s="6" t="s">
        <v>97</v>
      </c>
      <c r="C316" s="66" t="n">
        <f aca="false">C273</f>
        <v>-23506.5904761905</v>
      </c>
      <c r="D316" s="66" t="n">
        <f aca="false">C316+D273</f>
        <v>-43061.0827077922</v>
      </c>
      <c r="E316" s="66" t="n">
        <f aca="false">D316+E273</f>
        <v>-58854.8316070347</v>
      </c>
      <c r="F316" s="66" t="n">
        <f aca="false">E316+F273</f>
        <v>-71075.2791024405</v>
      </c>
      <c r="G316" s="66" t="n">
        <f aca="false">F316+G273</f>
        <v>-79900.4950261064</v>
      </c>
      <c r="H316" s="66" t="n">
        <f aca="false">G316+H273</f>
        <v>-85499.645718524</v>
      </c>
      <c r="I316" s="66" t="n">
        <f aca="false">H316+I273</f>
        <v>-88033.4392031606</v>
      </c>
      <c r="J316" s="66" t="n">
        <f aca="false">I316+J273</f>
        <v>-87654.5481023099</v>
      </c>
      <c r="K316" s="66" t="n">
        <f aca="false">J316+K273</f>
        <v>-84508.0114071512</v>
      </c>
      <c r="L316" s="66" t="n">
        <f aca="false">K316+L273</f>
        <v>-78731.6161593045</v>
      </c>
      <c r="M316" s="66" t="n">
        <f aca="false">L316+M273</f>
        <v>-70464.8492182711</v>
      </c>
      <c r="N316" s="66" t="n">
        <f aca="false">M316+N273</f>
        <v>-61880.4271944616</v>
      </c>
      <c r="O316" s="66" t="n">
        <f aca="false">N316+O273</f>
        <v>-52098.9259087473</v>
      </c>
      <c r="P316" s="66" t="n">
        <f aca="false">O316+P273</f>
        <v>-42305.5198611283</v>
      </c>
      <c r="Q316" s="66" t="n">
        <f aca="false">P316+Q273</f>
        <v>-32500.2090516045</v>
      </c>
      <c r="R316" s="66" t="n">
        <f aca="false">Q316+R273</f>
        <v>-22682.9934801759</v>
      </c>
      <c r="S316" s="66" t="n">
        <f aca="false">R316+S273</f>
        <v>-12853.8731468426</v>
      </c>
      <c r="T316" s="66" t="n">
        <f aca="false">S316+T273</f>
        <v>-3012.8480516045</v>
      </c>
      <c r="U316" s="66" t="n">
        <f aca="false">T316+U273</f>
        <v>5403.6646263753</v>
      </c>
      <c r="V316" s="66" t="n">
        <f aca="false">U316+V273</f>
        <v>13196.8839754229</v>
      </c>
      <c r="W316" s="66" t="n">
        <f aca="false">V316+W273</f>
        <v>20999.5080863753</v>
      </c>
      <c r="X316" s="66" t="n">
        <f aca="false">W316+X273</f>
        <v>28811.5369592324</v>
      </c>
      <c r="Y316" s="66" t="n">
        <f aca="false">X316+Y273</f>
        <v>36632.9705939943</v>
      </c>
      <c r="Z316" s="66" t="n">
        <f aca="false">Y316+Z273</f>
        <v>44463.808990661</v>
      </c>
      <c r="AA316" s="66" t="n">
        <f aca="false">Z316+AA273</f>
        <v>53263.7551934324</v>
      </c>
      <c r="AB316" s="66" t="n">
        <f aca="false">AA316+AB273</f>
        <v>62073.1061581087</v>
      </c>
      <c r="AC316" s="66" t="n">
        <f aca="false">AB316+AC273</f>
        <v>70891.8618846896</v>
      </c>
      <c r="AD316" s="66" t="n">
        <f aca="false">AC316+AD273</f>
        <v>79720.0223731753</v>
      </c>
      <c r="AE316" s="66" t="n">
        <f aca="false">AD316+AE273</f>
        <v>88557.5876235658</v>
      </c>
      <c r="AF316" s="66" t="n">
        <f aca="false">AE316+AF273</f>
        <v>97404.5576358611</v>
      </c>
      <c r="AG316" s="66" t="n">
        <f aca="false">AF316+AG273</f>
        <v>106260.932410061</v>
      </c>
      <c r="AH316" s="66" t="n">
        <f aca="false">AG316+AH273</f>
        <v>115126.711946166</v>
      </c>
      <c r="AI316" s="66" t="n">
        <f aca="false">AH316+AI273</f>
        <v>124001.896244175</v>
      </c>
      <c r="AJ316" s="66" t="n">
        <f aca="false">AI316+AJ273</f>
        <v>132886.48530409</v>
      </c>
      <c r="AK316" s="66" t="n">
        <f aca="false">AJ316+AK273</f>
        <v>141780.479125909</v>
      </c>
      <c r="AL316" s="66" t="n">
        <f aca="false">AK316+AL273</f>
        <v>150683.877709633</v>
      </c>
    </row>
    <row r="317" customFormat="false" ht="15" hidden="false" customHeight="false" outlineLevel="0" collapsed="false">
      <c r="A317" s="4" t="s">
        <v>92</v>
      </c>
      <c r="C317" s="72" t="n">
        <f aca="false">C303+C289+C290+C280</f>
        <v>462675.168109668</v>
      </c>
      <c r="D317" s="72" t="n">
        <f aca="false">D303+D289+D290+D280</f>
        <v>441624.217501443</v>
      </c>
      <c r="E317" s="72" t="n">
        <f aca="false">E303+E289+E290+E280</f>
        <v>424319.547430123</v>
      </c>
      <c r="F317" s="72" t="n">
        <f aca="false">F303+F289+F290+F280</f>
        <v>410574.439106957</v>
      </c>
      <c r="G317" s="72" t="n">
        <f aca="false">G303+G289+G290+G280</f>
        <v>400211.509682634</v>
      </c>
      <c r="H317" s="72" t="n">
        <f aca="false">H303+H289+H290+H280</f>
        <v>393062.245450306</v>
      </c>
      <c r="I317" s="72" t="n">
        <f aca="false">I303+I289+I290+I280</f>
        <v>388966.558388469</v>
      </c>
      <c r="J317" s="72" t="n">
        <f aca="false">J303+J289+J290+J280</f>
        <v>387772.364876693</v>
      </c>
      <c r="K317" s="72" t="n">
        <f aca="false">K303+K289+K290+K280</f>
        <v>389335.185475571</v>
      </c>
      <c r="L317" s="72" t="n">
        <f aca="false">L303+L289+L290+L280</f>
        <v>393517.764717666</v>
      </c>
      <c r="M317" s="72" t="n">
        <f aca="false">M303+M289+M290+M280</f>
        <v>400180.768212708</v>
      </c>
      <c r="N317" s="72" t="n">
        <f aca="false">N303+N289+N290+N280</f>
        <v>407067.937884903</v>
      </c>
      <c r="O317" s="72" t="n">
        <f aca="false">O303+O289+O290+O280</f>
        <v>415361.15155157</v>
      </c>
      <c r="P317" s="72" t="n">
        <f aca="false">P303+P289+P290+P280</f>
        <v>423368.843313475</v>
      </c>
      <c r="Q317" s="72" t="n">
        <f aca="false">Q303+Q289+Q290+Q280</f>
        <v>431388.439837284</v>
      </c>
      <c r="R317" s="72" t="n">
        <f aca="false">R303+R289+R290+R280</f>
        <v>439419.941122999</v>
      </c>
      <c r="S317" s="72" t="n">
        <f aca="false">S303+S289+S290+S280</f>
        <v>447463.347170618</v>
      </c>
      <c r="T317" s="72" t="n">
        <f aca="false">T303+T289+T290+T280</f>
        <v>455518.657980142</v>
      </c>
      <c r="U317" s="72" t="n">
        <f aca="false">U303+U289+U290+U280</f>
        <v>462149.456372407</v>
      </c>
      <c r="V317" s="72" t="n">
        <f aca="false">V303+V289+V290+V280</f>
        <v>468156.96143574</v>
      </c>
      <c r="W317" s="72" t="n">
        <f aca="false">W303+W289+W290+W280</f>
        <v>474173.871260979</v>
      </c>
      <c r="X317" s="72" t="n">
        <f aca="false">X303+X289+X290+X280</f>
        <v>480200.185848121</v>
      </c>
      <c r="Y317" s="72" t="n">
        <f aca="false">Y303+Y289+Y290+Y280</f>
        <v>486235.905197169</v>
      </c>
      <c r="Z317" s="72" t="n">
        <f aca="false">Z303+Z289+Z290+Z280</f>
        <v>492281.029308121</v>
      </c>
      <c r="AA317" s="72" t="n">
        <f aca="false">AA303+AA289+AA290+AA280</f>
        <v>499603.198291845</v>
      </c>
      <c r="AB317" s="72" t="n">
        <f aca="false">AB303+AB289+AB290+AB280</f>
        <v>506626.834970807</v>
      </c>
      <c r="AC317" s="72" t="n">
        <f aca="false">AC303+AC289+AC290+AC280</f>
        <v>513659.876411674</v>
      </c>
      <c r="AD317" s="72" t="n">
        <f aca="false">AD303+AD289+AD290+AD280</f>
        <v>520702.322614445</v>
      </c>
      <c r="AE317" s="72" t="n">
        <f aca="false">AE303+AE289+AE290+AE280</f>
        <v>527754.173579121</v>
      </c>
      <c r="AF317" s="72" t="n">
        <f aca="false">AF303+AF289+AF290+AF280</f>
        <v>534815.429305702</v>
      </c>
      <c r="AG317" s="72" t="n">
        <f aca="false">AG303+AG289+AG290+AG280</f>
        <v>541886.089794188</v>
      </c>
      <c r="AH317" s="72" t="n">
        <f aca="false">AH303+AH289+AH290+AH280</f>
        <v>548966.155044579</v>
      </c>
      <c r="AI317" s="72" t="n">
        <f aca="false">AI303+AI289+AI290+AI280</f>
        <v>556055.625056874</v>
      </c>
      <c r="AJ317" s="72" t="n">
        <f aca="false">AJ303+AJ289+AJ290+AJ280</f>
        <v>563154.499831074</v>
      </c>
      <c r="AK317" s="72" t="n">
        <f aca="false">AK303+AK289+AK290+AK280</f>
        <v>570262.779367179</v>
      </c>
      <c r="AL317" s="72" t="n">
        <f aca="false">AL303+AL289+AL290+AL280</f>
        <v>577380.463665188</v>
      </c>
    </row>
    <row r="318" customFormat="false" ht="15" hidden="false" customHeight="false" outlineLevel="0" collapsed="false">
      <c r="A318" s="6" t="s">
        <v>95</v>
      </c>
      <c r="C318" s="66" t="n">
        <f aca="false">C291+C286</f>
        <v>156181.758585859</v>
      </c>
      <c r="D318" s="66" t="n">
        <f aca="false">D291+D286</f>
        <v>154685.300209235</v>
      </c>
      <c r="E318" s="66" t="n">
        <f aca="false">E291+E286</f>
        <v>153174.379037157</v>
      </c>
      <c r="F318" s="66" t="n">
        <f aca="false">F291+F286</f>
        <v>151649.718209398</v>
      </c>
      <c r="G318" s="66" t="n">
        <f aca="false">G291+G286</f>
        <v>150112.00470874</v>
      </c>
      <c r="H318" s="66" t="n">
        <f aca="false">H291+H286</f>
        <v>148561.89116883</v>
      </c>
      <c r="I318" s="66" t="n">
        <f aca="false">I291+I286</f>
        <v>146999.997591629</v>
      </c>
      <c r="J318" s="66" t="n">
        <f aca="false">J291+J286</f>
        <v>145426.912979003</v>
      </c>
      <c r="K318" s="66" t="n">
        <f aca="false">K291+K286</f>
        <v>143843.196882722</v>
      </c>
      <c r="L318" s="66" t="n">
        <f aca="false">L291+L286</f>
        <v>142249.38087697</v>
      </c>
      <c r="M318" s="66" t="n">
        <f aca="false">M291+M286</f>
        <v>140645.617430979</v>
      </c>
      <c r="N318" s="66" t="n">
        <f aca="false">N291+N286</f>
        <v>138948.365079365</v>
      </c>
      <c r="O318" s="66" t="n">
        <f aca="false">O291+O286</f>
        <v>137460.077460317</v>
      </c>
      <c r="P318" s="66" t="n">
        <f aca="false">P291+P286</f>
        <v>135674.363174603</v>
      </c>
      <c r="Q318" s="66" t="n">
        <f aca="false">Q291+Q286</f>
        <v>133888.648888889</v>
      </c>
      <c r="R318" s="66" t="n">
        <f aca="false">R291+R286</f>
        <v>132102.934603175</v>
      </c>
      <c r="S318" s="66" t="n">
        <f aca="false">S291+S286</f>
        <v>130317.22031746</v>
      </c>
      <c r="T318" s="66" t="n">
        <f aca="false">T291+T286</f>
        <v>128531.506031746</v>
      </c>
      <c r="U318" s="66" t="n">
        <f aca="false">U291+U286</f>
        <v>126745.791746032</v>
      </c>
      <c r="V318" s="66" t="n">
        <f aca="false">V291+V286</f>
        <v>124960.077460317</v>
      </c>
      <c r="W318" s="66" t="n">
        <f aca="false">W291+W286</f>
        <v>123174.363174603</v>
      </c>
      <c r="X318" s="66" t="n">
        <f aca="false">X291+X286</f>
        <v>121388.648888889</v>
      </c>
      <c r="Y318" s="66" t="n">
        <f aca="false">Y291+Y286</f>
        <v>119602.934603175</v>
      </c>
      <c r="Z318" s="66" t="n">
        <f aca="false">Z291+Z286</f>
        <v>117817.22031746</v>
      </c>
      <c r="AA318" s="66" t="n">
        <f aca="false">AA291+AA286</f>
        <v>116339.443098413</v>
      </c>
      <c r="AB318" s="66" t="n">
        <f aca="false">AB291+AB286</f>
        <v>114553.728812698</v>
      </c>
      <c r="AC318" s="66" t="n">
        <f aca="false">AC291+AC286</f>
        <v>112768.014526984</v>
      </c>
      <c r="AD318" s="66" t="n">
        <f aca="false">AD291+AD286</f>
        <v>110982.30024127</v>
      </c>
      <c r="AE318" s="66" t="n">
        <f aca="false">AE291+AE286</f>
        <v>109196.585955555</v>
      </c>
      <c r="AF318" s="66" t="n">
        <f aca="false">AF291+AF286</f>
        <v>107410.871669841</v>
      </c>
      <c r="AG318" s="66" t="n">
        <f aca="false">AG291+AG286</f>
        <v>105625.157384127</v>
      </c>
      <c r="AH318" s="66" t="n">
        <f aca="false">AH291+AH286</f>
        <v>103839.443098413</v>
      </c>
      <c r="AI318" s="66" t="n">
        <f aca="false">AI291+AI286</f>
        <v>102053.728812698</v>
      </c>
      <c r="AJ318" s="66" t="n">
        <f aca="false">AJ291+AJ286</f>
        <v>100268.014526984</v>
      </c>
      <c r="AK318" s="66" t="n">
        <f aca="false">AK291+AK286</f>
        <v>98482.3002412697</v>
      </c>
      <c r="AL318" s="66" t="n">
        <f aca="false">AL291+AL286</f>
        <v>96696.5859555554</v>
      </c>
    </row>
    <row r="319" customFormat="false" ht="15" hidden="false" customHeight="false" outlineLevel="0" collapsed="false">
      <c r="A319" s="6" t="s">
        <v>98</v>
      </c>
      <c r="C319" s="66" t="n">
        <f aca="false">C315+C316</f>
        <v>306493.40952381</v>
      </c>
      <c r="D319" s="66" t="n">
        <f aca="false">D315+D316</f>
        <v>286938.917292208</v>
      </c>
      <c r="E319" s="66" t="n">
        <f aca="false">E315+E316</f>
        <v>271145.168392965</v>
      </c>
      <c r="F319" s="66" t="n">
        <f aca="false">F315+F316</f>
        <v>258924.720897559</v>
      </c>
      <c r="G319" s="66" t="n">
        <f aca="false">G315+G316</f>
        <v>250099.504973894</v>
      </c>
      <c r="H319" s="66" t="n">
        <f aca="false">H315+H316</f>
        <v>244500.354281476</v>
      </c>
      <c r="I319" s="66" t="n">
        <f aca="false">I315+I316</f>
        <v>241966.560796839</v>
      </c>
      <c r="J319" s="66" t="n">
        <f aca="false">J315+J316</f>
        <v>242345.45189769</v>
      </c>
      <c r="K319" s="66" t="n">
        <f aca="false">K315+K316</f>
        <v>245491.988592849</v>
      </c>
      <c r="L319" s="66" t="n">
        <f aca="false">L315+L316</f>
        <v>251268.383840696</v>
      </c>
      <c r="M319" s="66" t="n">
        <f aca="false">M315+M316</f>
        <v>259535.150781729</v>
      </c>
      <c r="N319" s="66" t="n">
        <f aca="false">N315+N316</f>
        <v>268119.572805538</v>
      </c>
      <c r="O319" s="66" t="n">
        <f aca="false">O315+O316</f>
        <v>277901.074091253</v>
      </c>
      <c r="P319" s="66" t="n">
        <f aca="false">P315+P316</f>
        <v>287694.480138872</v>
      </c>
      <c r="Q319" s="66" t="n">
        <f aca="false">Q315+Q316</f>
        <v>297499.790948396</v>
      </c>
      <c r="R319" s="66" t="n">
        <f aca="false">R315+R316</f>
        <v>307317.006519824</v>
      </c>
      <c r="S319" s="66" t="n">
        <f aca="false">S315+S316</f>
        <v>317146.126853157</v>
      </c>
      <c r="T319" s="66" t="n">
        <f aca="false">T315+T316</f>
        <v>326987.151948396</v>
      </c>
      <c r="U319" s="66" t="n">
        <f aca="false">U315+U316</f>
        <v>335403.664626375</v>
      </c>
      <c r="V319" s="66" t="n">
        <f aca="false">V315+V316</f>
        <v>343196.883975423</v>
      </c>
      <c r="W319" s="66" t="n">
        <f aca="false">W315+W316</f>
        <v>350999.508086375</v>
      </c>
      <c r="X319" s="66" t="n">
        <f aca="false">X315+X316</f>
        <v>358811.536959232</v>
      </c>
      <c r="Y319" s="66" t="n">
        <f aca="false">Y315+Y316</f>
        <v>366632.970593994</v>
      </c>
      <c r="Z319" s="66" t="n">
        <f aca="false">Z315+Z316</f>
        <v>374463.808990661</v>
      </c>
      <c r="AA319" s="66" t="n">
        <f aca="false">AA315+AA316</f>
        <v>383263.755193432</v>
      </c>
      <c r="AB319" s="66" t="n">
        <f aca="false">AB315+AB316</f>
        <v>392073.106158109</v>
      </c>
      <c r="AC319" s="66" t="n">
        <f aca="false">AC315+AC316</f>
        <v>400891.86188469</v>
      </c>
      <c r="AD319" s="66" t="n">
        <f aca="false">AD315+AD316</f>
        <v>409720.022373175</v>
      </c>
      <c r="AE319" s="66" t="n">
        <f aca="false">AE315+AE316</f>
        <v>418557.587623566</v>
      </c>
      <c r="AF319" s="66" t="n">
        <f aca="false">AF315+AF316</f>
        <v>427404.557635861</v>
      </c>
      <c r="AG319" s="66" t="n">
        <f aca="false">AG315+AG316</f>
        <v>436260.932410061</v>
      </c>
      <c r="AH319" s="66" t="n">
        <f aca="false">AH315+AH316</f>
        <v>445126.711946166</v>
      </c>
      <c r="AI319" s="66" t="n">
        <f aca="false">AI315+AI316</f>
        <v>454001.896244175</v>
      </c>
      <c r="AJ319" s="66" t="n">
        <f aca="false">AJ315+AJ316</f>
        <v>462886.48530409</v>
      </c>
      <c r="AK319" s="66" t="n">
        <f aca="false">AK315+AK316</f>
        <v>471780.479125909</v>
      </c>
      <c r="AL319" s="66" t="n">
        <f aca="false">AL315+AL316</f>
        <v>480683.877709633</v>
      </c>
    </row>
    <row r="320" customFormat="false" ht="15" hidden="false" customHeight="false" outlineLevel="0" collapsed="false">
      <c r="A320" s="4" t="s">
        <v>99</v>
      </c>
      <c r="C320" s="72" t="n">
        <f aca="false">C318+C319</f>
        <v>462675.168109668</v>
      </c>
      <c r="D320" s="72" t="n">
        <f aca="false">D318+D319</f>
        <v>441624.217501443</v>
      </c>
      <c r="E320" s="72" t="n">
        <f aca="false">E318+E319</f>
        <v>424319.547430123</v>
      </c>
      <c r="F320" s="72" t="n">
        <f aca="false">F318+F319</f>
        <v>410574.439106957</v>
      </c>
      <c r="G320" s="72" t="n">
        <f aca="false">G318+G319</f>
        <v>400211.509682634</v>
      </c>
      <c r="H320" s="72" t="n">
        <f aca="false">H318+H319</f>
        <v>393062.245450306</v>
      </c>
      <c r="I320" s="72" t="n">
        <f aca="false">I318+I319</f>
        <v>388966.558388469</v>
      </c>
      <c r="J320" s="72" t="n">
        <f aca="false">J318+J319</f>
        <v>387772.364876693</v>
      </c>
      <c r="K320" s="72" t="n">
        <f aca="false">K318+K319</f>
        <v>389335.185475571</v>
      </c>
      <c r="L320" s="72" t="n">
        <f aca="false">L318+L319</f>
        <v>393517.764717666</v>
      </c>
      <c r="M320" s="72" t="n">
        <f aca="false">M318+M319</f>
        <v>400180.768212708</v>
      </c>
      <c r="N320" s="72" t="n">
        <f aca="false">N318+N319</f>
        <v>407067.937884903</v>
      </c>
      <c r="O320" s="72" t="n">
        <f aca="false">O318+O319</f>
        <v>415361.15155157</v>
      </c>
      <c r="P320" s="72" t="n">
        <f aca="false">P318+P319</f>
        <v>423368.843313475</v>
      </c>
      <c r="Q320" s="72" t="n">
        <f aca="false">Q318+Q319</f>
        <v>431388.439837284</v>
      </c>
      <c r="R320" s="72" t="n">
        <f aca="false">R318+R319</f>
        <v>439419.941122999</v>
      </c>
      <c r="S320" s="72" t="n">
        <f aca="false">S318+S319</f>
        <v>447463.347170618</v>
      </c>
      <c r="T320" s="72" t="n">
        <f aca="false">T318+T319</f>
        <v>455518.657980141</v>
      </c>
      <c r="U320" s="72" t="n">
        <f aca="false">U318+U319</f>
        <v>462149.456372407</v>
      </c>
      <c r="V320" s="72" t="n">
        <f aca="false">V318+V319</f>
        <v>468156.96143574</v>
      </c>
      <c r="W320" s="72" t="n">
        <f aca="false">W318+W319</f>
        <v>474173.871260978</v>
      </c>
      <c r="X320" s="72" t="n">
        <f aca="false">X318+X319</f>
        <v>480200.185848121</v>
      </c>
      <c r="Y320" s="72" t="n">
        <f aca="false">Y318+Y319</f>
        <v>486235.905197169</v>
      </c>
      <c r="Z320" s="72" t="n">
        <f aca="false">Z318+Z319</f>
        <v>492281.029308121</v>
      </c>
      <c r="AA320" s="72" t="n">
        <f aca="false">AA318+AA319</f>
        <v>499603.198291845</v>
      </c>
      <c r="AB320" s="72" t="n">
        <f aca="false">AB318+AB319</f>
        <v>506626.834970807</v>
      </c>
      <c r="AC320" s="72" t="n">
        <f aca="false">AC318+AC319</f>
        <v>513659.876411674</v>
      </c>
      <c r="AD320" s="72" t="n">
        <f aca="false">AD318+AD319</f>
        <v>520702.322614445</v>
      </c>
      <c r="AE320" s="72" t="n">
        <f aca="false">AE318+AE319</f>
        <v>527754.173579121</v>
      </c>
      <c r="AF320" s="72" t="n">
        <f aca="false">AF318+AF319</f>
        <v>534815.429305702</v>
      </c>
      <c r="AG320" s="72" t="n">
        <f aca="false">AG318+AG319</f>
        <v>541886.089794188</v>
      </c>
      <c r="AH320" s="72" t="n">
        <f aca="false">AH318+AH319</f>
        <v>548966.155044579</v>
      </c>
      <c r="AI320" s="72" t="n">
        <f aca="false">AI318+AI319</f>
        <v>556055.625056874</v>
      </c>
      <c r="AJ320" s="72" t="n">
        <f aca="false">AJ318+AJ319</f>
        <v>563154.499831074</v>
      </c>
      <c r="AK320" s="72" t="n">
        <f aca="false">AK318+AK319</f>
        <v>570262.779367178</v>
      </c>
      <c r="AL320" s="72" t="n">
        <f aca="false">AL318+AL319</f>
        <v>577380.463665188</v>
      </c>
    </row>
    <row r="321" customFormat="false" ht="15" hidden="false" customHeight="false" outlineLevel="0" collapsed="false">
      <c r="A321" s="6" t="s">
        <v>410</v>
      </c>
      <c r="C321" s="66" t="n">
        <f aca="false">C317-C320</f>
        <v>0</v>
      </c>
      <c r="D321" s="66" t="n">
        <f aca="false">D317-D320</f>
        <v>0</v>
      </c>
      <c r="E321" s="66" t="n">
        <f aca="false">E317-E320</f>
        <v>0</v>
      </c>
      <c r="F321" s="66" t="n">
        <f aca="false">F317-F320</f>
        <v>0</v>
      </c>
      <c r="G321" s="66" t="n">
        <f aca="false">G317-G320</f>
        <v>0</v>
      </c>
      <c r="H321" s="66" t="n">
        <f aca="false">H317-H320</f>
        <v>0</v>
      </c>
      <c r="I321" s="66" t="n">
        <f aca="false">I317-I320</f>
        <v>0</v>
      </c>
      <c r="J321" s="66" t="n">
        <f aca="false">J317-J320</f>
        <v>0</v>
      </c>
      <c r="K321" s="66" t="n">
        <f aca="false">K317-K320</f>
        <v>0</v>
      </c>
      <c r="L321" s="66" t="n">
        <f aca="false">L317-L320</f>
        <v>0</v>
      </c>
      <c r="M321" s="66" t="n">
        <f aca="false">M317-M320</f>
        <v>0</v>
      </c>
      <c r="N321" s="66" t="n">
        <f aca="false">N317-N320</f>
        <v>0</v>
      </c>
      <c r="O321" s="66" t="n">
        <f aca="false">O317-O320</f>
        <v>0</v>
      </c>
      <c r="P321" s="66" t="n">
        <f aca="false">P317-P320</f>
        <v>0</v>
      </c>
      <c r="Q321" s="66" t="n">
        <f aca="false">Q317-Q320</f>
        <v>0</v>
      </c>
      <c r="R321" s="66" t="n">
        <f aca="false">R317-R320</f>
        <v>0</v>
      </c>
      <c r="S321" s="66" t="n">
        <f aca="false">S317-S320</f>
        <v>0</v>
      </c>
      <c r="T321" s="66" t="n">
        <f aca="false">T317-T320</f>
        <v>0</v>
      </c>
      <c r="U321" s="66" t="n">
        <f aca="false">U317-U320</f>
        <v>0</v>
      </c>
      <c r="V321" s="66" t="n">
        <f aca="false">V317-V320</f>
        <v>0</v>
      </c>
      <c r="W321" s="66" t="n">
        <f aca="false">W317-W320</f>
        <v>0</v>
      </c>
      <c r="X321" s="66" t="n">
        <f aca="false">X317-X320</f>
        <v>0</v>
      </c>
      <c r="Y321" s="66" t="n">
        <f aca="false">Y317-Y320</f>
        <v>0</v>
      </c>
      <c r="Z321" s="66" t="n">
        <f aca="false">Z317-Z320</f>
        <v>0</v>
      </c>
      <c r="AA321" s="66" t="n">
        <f aca="false">AA317-AA320</f>
        <v>0</v>
      </c>
      <c r="AB321" s="66" t="n">
        <f aca="false">AB317-AB320</f>
        <v>0</v>
      </c>
      <c r="AC321" s="66" t="n">
        <f aca="false">AC317-AC320</f>
        <v>0</v>
      </c>
      <c r="AD321" s="66" t="n">
        <f aca="false">AD317-AD320</f>
        <v>0</v>
      </c>
      <c r="AE321" s="66" t="n">
        <f aca="false">AE317-AE320</f>
        <v>0</v>
      </c>
      <c r="AF321" s="66" t="n">
        <f aca="false">AF317-AF320</f>
        <v>0</v>
      </c>
      <c r="AG321" s="66" t="n">
        <f aca="false">AG317-AG320</f>
        <v>0</v>
      </c>
      <c r="AH321" s="66" t="n">
        <f aca="false">AH317-AH320</f>
        <v>0</v>
      </c>
      <c r="AI321" s="66" t="n">
        <f aca="false">AI317-AI320</f>
        <v>0</v>
      </c>
      <c r="AJ321" s="66" t="n">
        <f aca="false">AJ317-AJ320</f>
        <v>0</v>
      </c>
      <c r="AK321" s="66" t="n">
        <f aca="false">AK317-AK320</f>
        <v>0</v>
      </c>
      <c r="AL321" s="66" t="n">
        <f aca="false">AL317-AL320</f>
        <v>0</v>
      </c>
    </row>
    <row r="323" customFormat="false" ht="15.75" hidden="false" customHeight="true" outlineLevel="0" collapsed="false">
      <c r="A323" s="7" t="s">
        <v>412</v>
      </c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</row>
    <row r="324" customFormat="false" ht="15" hidden="false" customHeight="false" outlineLevel="0" collapsed="false">
      <c r="A324" s="6" t="s">
        <v>413</v>
      </c>
      <c r="C324" s="113" t="n">
        <f aca="false">Inputs!$D$42*(1+Inputs!$D$44)^(C$227-1)*MAX(0,MIN(1,C$226*1-Inputs!$D$45+1))/1</f>
        <v>1</v>
      </c>
      <c r="D324" s="113" t="n">
        <f aca="false">Inputs!$D$42*(1+Inputs!$D$44)^(D$227-1)*MAX(0,MIN(1,D$226*1-Inputs!$D$45+1))/1</f>
        <v>1</v>
      </c>
      <c r="E324" s="113" t="n">
        <f aca="false">Inputs!$D$42*(1+Inputs!$D$44)^(E$227-1)*MAX(0,MIN(1,E$226*1-Inputs!$D$45+1))/1</f>
        <v>1</v>
      </c>
      <c r="F324" s="113" t="n">
        <f aca="false">Inputs!$D$42*(1+Inputs!$D$44)^(F$227-1)*MAX(0,MIN(1,F$226*1-Inputs!$D$45+1))/1</f>
        <v>1</v>
      </c>
      <c r="G324" s="113" t="n">
        <f aca="false">Inputs!$D$42*(1+Inputs!$D$44)^(G$227-1)*MAX(0,MIN(1,G$226*1-Inputs!$D$45+1))/1</f>
        <v>1</v>
      </c>
      <c r="H324" s="113" t="n">
        <f aca="false">Inputs!$D$42*(1+Inputs!$D$44)^(H$227-1)*MAX(0,MIN(1,H$226*1-Inputs!$D$45+1))/1</f>
        <v>1</v>
      </c>
      <c r="I324" s="113" t="n">
        <f aca="false">Inputs!$D$42*(1+Inputs!$D$44)^(I$227-1)*MAX(0,MIN(1,I$226*1-Inputs!$D$45+1))/1</f>
        <v>1</v>
      </c>
      <c r="J324" s="113" t="n">
        <f aca="false">Inputs!$D$42*(1+Inputs!$D$44)^(J$227-1)*MAX(0,MIN(1,J$226*1-Inputs!$D$45+1))/1</f>
        <v>1</v>
      </c>
      <c r="K324" s="113" t="n">
        <f aca="false">Inputs!$D$42*(1+Inputs!$D$44)^(K$227-1)*MAX(0,MIN(1,K$226*1-Inputs!$D$45+1))/1</f>
        <v>1</v>
      </c>
      <c r="L324" s="113" t="n">
        <f aca="false">Inputs!$D$42*(1+Inputs!$D$44)^(L$227-1)*MAX(0,MIN(1,L$226*1-Inputs!$D$45+1))/1</f>
        <v>1</v>
      </c>
      <c r="M324" s="113" t="n">
        <f aca="false">Inputs!$D$42*(1+Inputs!$D$44)^(M$227-1)*MAX(0,MIN(1,M$226*1-Inputs!$D$45+1))/1</f>
        <v>1</v>
      </c>
      <c r="N324" s="113" t="n">
        <f aca="false">Inputs!$D$42*(1+Inputs!$D$44)^(N$227-1)*MAX(0,MIN(1,N$226*1-Inputs!$D$45+1))/1</f>
        <v>1</v>
      </c>
      <c r="O324" s="113" t="n">
        <f aca="false">Inputs!$D$42*(1+Inputs!$D$44)^(O$227-1)*MAX(0,MIN(1,O$226*1-Inputs!$D$45+1))/1</f>
        <v>1</v>
      </c>
      <c r="P324" s="113" t="n">
        <f aca="false">Inputs!$D$42*(1+Inputs!$D$44)^(P$227-1)*MAX(0,MIN(1,P$226*1-Inputs!$D$45+1))/1</f>
        <v>1</v>
      </c>
      <c r="Q324" s="113" t="n">
        <f aca="false">Inputs!$D$42*(1+Inputs!$D$44)^(Q$227-1)*MAX(0,MIN(1,Q$226*1-Inputs!$D$45+1))/1</f>
        <v>1</v>
      </c>
      <c r="R324" s="113" t="n">
        <f aca="false">Inputs!$D$42*(1+Inputs!$D$44)^(R$227-1)*MAX(0,MIN(1,R$226*1-Inputs!$D$45+1))/1</f>
        <v>1</v>
      </c>
      <c r="S324" s="113" t="n">
        <f aca="false">Inputs!$D$42*(1+Inputs!$D$44)^(S$227-1)*MAX(0,MIN(1,S$226*1-Inputs!$D$45+1))/1</f>
        <v>1</v>
      </c>
      <c r="T324" s="113" t="n">
        <f aca="false">Inputs!$D$42*(1+Inputs!$D$44)^(T$227-1)*MAX(0,MIN(1,T$226*1-Inputs!$D$45+1))/1</f>
        <v>1</v>
      </c>
      <c r="U324" s="113" t="n">
        <f aca="false">Inputs!$D$42*(1+Inputs!$D$44)^(U$227-1)*MAX(0,MIN(1,U$226*1-Inputs!$D$45+1))/1</f>
        <v>1</v>
      </c>
      <c r="V324" s="113" t="n">
        <f aca="false">Inputs!$D$42*(1+Inputs!$D$44)^(V$227-1)*MAX(0,MIN(1,V$226*1-Inputs!$D$45+1))/1</f>
        <v>1</v>
      </c>
      <c r="W324" s="113" t="n">
        <f aca="false">Inputs!$D$42*(1+Inputs!$D$44)^(W$227-1)*MAX(0,MIN(1,W$226*1-Inputs!$D$45+1))/1</f>
        <v>1</v>
      </c>
      <c r="X324" s="113" t="n">
        <f aca="false">Inputs!$D$42*(1+Inputs!$D$44)^(X$227-1)*MAX(0,MIN(1,X$226*1-Inputs!$D$45+1))/1</f>
        <v>1</v>
      </c>
      <c r="Y324" s="113" t="n">
        <f aca="false">Inputs!$D$42*(1+Inputs!$D$44)^(Y$227-1)*MAX(0,MIN(1,Y$226*1-Inputs!$D$45+1))/1</f>
        <v>1</v>
      </c>
      <c r="Z324" s="113" t="n">
        <f aca="false">Inputs!$D$42*(1+Inputs!$D$44)^(Z$227-1)*MAX(0,MIN(1,Z$226*1-Inputs!$D$45+1))/1</f>
        <v>1</v>
      </c>
      <c r="AA324" s="113" t="n">
        <f aca="false">Inputs!$D$42*(1+Inputs!$D$44)^(AA$227-1)*MAX(0,MIN(1,AA$226*1-Inputs!$D$45+1))/1</f>
        <v>1</v>
      </c>
      <c r="AB324" s="113" t="n">
        <f aca="false">Inputs!$D$42*(1+Inputs!$D$44)^(AB$227-1)*MAX(0,MIN(1,AB$226*1-Inputs!$D$45+1))/1</f>
        <v>1</v>
      </c>
      <c r="AC324" s="113" t="n">
        <f aca="false">Inputs!$D$42*(1+Inputs!$D$44)^(AC$227-1)*MAX(0,MIN(1,AC$226*1-Inputs!$D$45+1))/1</f>
        <v>1</v>
      </c>
      <c r="AD324" s="113" t="n">
        <f aca="false">Inputs!$D$42*(1+Inputs!$D$44)^(AD$227-1)*MAX(0,MIN(1,AD$226*1-Inputs!$D$45+1))/1</f>
        <v>1</v>
      </c>
      <c r="AE324" s="113" t="n">
        <f aca="false">Inputs!$D$42*(1+Inputs!$D$44)^(AE$227-1)*MAX(0,MIN(1,AE$226*1-Inputs!$D$45+1))/1</f>
        <v>1</v>
      </c>
      <c r="AF324" s="113" t="n">
        <f aca="false">Inputs!$D$42*(1+Inputs!$D$44)^(AF$227-1)*MAX(0,MIN(1,AF$226*1-Inputs!$D$45+1))/1</f>
        <v>1</v>
      </c>
      <c r="AG324" s="113" t="n">
        <f aca="false">Inputs!$D$42*(1+Inputs!$D$44)^(AG$227-1)*MAX(0,MIN(1,AG$226*1-Inputs!$D$45+1))/1</f>
        <v>1</v>
      </c>
      <c r="AH324" s="113" t="n">
        <f aca="false">Inputs!$D$42*(1+Inputs!$D$44)^(AH$227-1)*MAX(0,MIN(1,AH$226*1-Inputs!$D$45+1))/1</f>
        <v>1</v>
      </c>
      <c r="AI324" s="113" t="n">
        <f aca="false">Inputs!$D$42*(1+Inputs!$D$44)^(AI$227-1)*MAX(0,MIN(1,AI$226*1-Inputs!$D$45+1))/1</f>
        <v>1</v>
      </c>
      <c r="AJ324" s="113" t="n">
        <f aca="false">Inputs!$D$42*(1+Inputs!$D$44)^(AJ$227-1)*MAX(0,MIN(1,AJ$226*1-Inputs!$D$45+1))/1</f>
        <v>1</v>
      </c>
      <c r="AK324" s="113" t="n">
        <f aca="false">Inputs!$D$42*(1+Inputs!$D$44)^(AK$227-1)*MAX(0,MIN(1,AK$226*1-Inputs!$D$45+1))/1</f>
        <v>1</v>
      </c>
      <c r="AL324" s="113" t="n">
        <f aca="false">Inputs!$D$42*(1+Inputs!$D$44)^(AL$227-1)*MAX(0,MIN(1,AL$226*1-Inputs!$D$45+1))/1</f>
        <v>1</v>
      </c>
    </row>
    <row r="325" customFormat="false" ht="15" hidden="false" customHeight="false" outlineLevel="0" collapsed="false">
      <c r="A325" s="6" t="s">
        <v>414</v>
      </c>
      <c r="C325" s="113" t="n">
        <f aca="false">Inputs!$D$46*(1+Inputs!$D$48)^(C$227-1)*MAX(0,MIN(1,C$226*1-Inputs!$D$49+1))/1</f>
        <v>3</v>
      </c>
      <c r="D325" s="113" t="n">
        <f aca="false">Inputs!$D$46*(1+Inputs!$D$48)^(D$227-1)*MAX(0,MIN(1,D$226*1-Inputs!$D$49+1))/1</f>
        <v>3</v>
      </c>
      <c r="E325" s="113" t="n">
        <f aca="false">Inputs!$D$46*(1+Inputs!$D$48)^(E$227-1)*MAX(0,MIN(1,E$226*1-Inputs!$D$49+1))/1</f>
        <v>3</v>
      </c>
      <c r="F325" s="113" t="n">
        <f aca="false">Inputs!$D$46*(1+Inputs!$D$48)^(F$227-1)*MAX(0,MIN(1,F$226*1-Inputs!$D$49+1))/1</f>
        <v>3</v>
      </c>
      <c r="G325" s="113" t="n">
        <f aca="false">Inputs!$D$46*(1+Inputs!$D$48)^(G$227-1)*MAX(0,MIN(1,G$226*1-Inputs!$D$49+1))/1</f>
        <v>3</v>
      </c>
      <c r="H325" s="113" t="n">
        <f aca="false">Inputs!$D$46*(1+Inputs!$D$48)^(H$227-1)*MAX(0,MIN(1,H$226*1-Inputs!$D$49+1))/1</f>
        <v>3</v>
      </c>
      <c r="I325" s="113" t="n">
        <f aca="false">Inputs!$D$46*(1+Inputs!$D$48)^(I$227-1)*MAX(0,MIN(1,I$226*1-Inputs!$D$49+1))/1</f>
        <v>3</v>
      </c>
      <c r="J325" s="113" t="n">
        <f aca="false">Inputs!$D$46*(1+Inputs!$D$48)^(J$227-1)*MAX(0,MIN(1,J$226*1-Inputs!$D$49+1))/1</f>
        <v>3</v>
      </c>
      <c r="K325" s="113" t="n">
        <f aca="false">Inputs!$D$46*(1+Inputs!$D$48)^(K$227-1)*MAX(0,MIN(1,K$226*1-Inputs!$D$49+1))/1</f>
        <v>3</v>
      </c>
      <c r="L325" s="113" t="n">
        <f aca="false">Inputs!$D$46*(1+Inputs!$D$48)^(L$227-1)*MAX(0,MIN(1,L$226*1-Inputs!$D$49+1))/1</f>
        <v>3</v>
      </c>
      <c r="M325" s="113" t="n">
        <f aca="false">Inputs!$D$46*(1+Inputs!$D$48)^(M$227-1)*MAX(0,MIN(1,M$226*1-Inputs!$D$49+1))/1</f>
        <v>3</v>
      </c>
      <c r="N325" s="113" t="n">
        <f aca="false">Inputs!$D$46*(1+Inputs!$D$48)^(N$227-1)*MAX(0,MIN(1,N$226*1-Inputs!$D$49+1))/1</f>
        <v>3</v>
      </c>
      <c r="O325" s="113" t="n">
        <f aca="false">Inputs!$D$46*(1+Inputs!$D$48)^(O$227-1)*MAX(0,MIN(1,O$226*1-Inputs!$D$49+1))/1</f>
        <v>3</v>
      </c>
      <c r="P325" s="113" t="n">
        <f aca="false">Inputs!$D$46*(1+Inputs!$D$48)^(P$227-1)*MAX(0,MIN(1,P$226*1-Inputs!$D$49+1))/1</f>
        <v>3</v>
      </c>
      <c r="Q325" s="113" t="n">
        <f aca="false">Inputs!$D$46*(1+Inputs!$D$48)^(Q$227-1)*MAX(0,MIN(1,Q$226*1-Inputs!$D$49+1))/1</f>
        <v>3</v>
      </c>
      <c r="R325" s="113" t="n">
        <f aca="false">Inputs!$D$46*(1+Inputs!$D$48)^(R$227-1)*MAX(0,MIN(1,R$226*1-Inputs!$D$49+1))/1</f>
        <v>3</v>
      </c>
      <c r="S325" s="113" t="n">
        <f aca="false">Inputs!$D$46*(1+Inputs!$D$48)^(S$227-1)*MAX(0,MIN(1,S$226*1-Inputs!$D$49+1))/1</f>
        <v>3</v>
      </c>
      <c r="T325" s="113" t="n">
        <f aca="false">Inputs!$D$46*(1+Inputs!$D$48)^(T$227-1)*MAX(0,MIN(1,T$226*1-Inputs!$D$49+1))/1</f>
        <v>3</v>
      </c>
      <c r="U325" s="113" t="n">
        <f aca="false">Inputs!$D$46*(1+Inputs!$D$48)^(U$227-1)*MAX(0,MIN(1,U$226*1-Inputs!$D$49+1))/1</f>
        <v>3</v>
      </c>
      <c r="V325" s="113" t="n">
        <f aca="false">Inputs!$D$46*(1+Inputs!$D$48)^(V$227-1)*MAX(0,MIN(1,V$226*1-Inputs!$D$49+1))/1</f>
        <v>3</v>
      </c>
      <c r="W325" s="113" t="n">
        <f aca="false">Inputs!$D$46*(1+Inputs!$D$48)^(W$227-1)*MAX(0,MIN(1,W$226*1-Inputs!$D$49+1))/1</f>
        <v>3</v>
      </c>
      <c r="X325" s="113" t="n">
        <f aca="false">Inputs!$D$46*(1+Inputs!$D$48)^(X$227-1)*MAX(0,MIN(1,X$226*1-Inputs!$D$49+1))/1</f>
        <v>3</v>
      </c>
      <c r="Y325" s="113" t="n">
        <f aca="false">Inputs!$D$46*(1+Inputs!$D$48)^(Y$227-1)*MAX(0,MIN(1,Y$226*1-Inputs!$D$49+1))/1</f>
        <v>3</v>
      </c>
      <c r="Z325" s="113" t="n">
        <f aca="false">Inputs!$D$46*(1+Inputs!$D$48)^(Z$227-1)*MAX(0,MIN(1,Z$226*1-Inputs!$D$49+1))/1</f>
        <v>3</v>
      </c>
      <c r="AA325" s="113" t="n">
        <f aca="false">Inputs!$D$46*(1+Inputs!$D$48)^(AA$227-1)*MAX(0,MIN(1,AA$226*1-Inputs!$D$49+1))/1</f>
        <v>3</v>
      </c>
      <c r="AB325" s="113" t="n">
        <f aca="false">Inputs!$D$46*(1+Inputs!$D$48)^(AB$227-1)*MAX(0,MIN(1,AB$226*1-Inputs!$D$49+1))/1</f>
        <v>3</v>
      </c>
      <c r="AC325" s="113" t="n">
        <f aca="false">Inputs!$D$46*(1+Inputs!$D$48)^(AC$227-1)*MAX(0,MIN(1,AC$226*1-Inputs!$D$49+1))/1</f>
        <v>3</v>
      </c>
      <c r="AD325" s="113" t="n">
        <f aca="false">Inputs!$D$46*(1+Inputs!$D$48)^(AD$227-1)*MAX(0,MIN(1,AD$226*1-Inputs!$D$49+1))/1</f>
        <v>3</v>
      </c>
      <c r="AE325" s="113" t="n">
        <f aca="false">Inputs!$D$46*(1+Inputs!$D$48)^(AE$227-1)*MAX(0,MIN(1,AE$226*1-Inputs!$D$49+1))/1</f>
        <v>3</v>
      </c>
      <c r="AF325" s="113" t="n">
        <f aca="false">Inputs!$D$46*(1+Inputs!$D$48)^(AF$227-1)*MAX(0,MIN(1,AF$226*1-Inputs!$D$49+1))/1</f>
        <v>3</v>
      </c>
      <c r="AG325" s="113" t="n">
        <f aca="false">Inputs!$D$46*(1+Inputs!$D$48)^(AG$227-1)*MAX(0,MIN(1,AG$226*1-Inputs!$D$49+1))/1</f>
        <v>3</v>
      </c>
      <c r="AH325" s="113" t="n">
        <f aca="false">Inputs!$D$46*(1+Inputs!$D$48)^(AH$227-1)*MAX(0,MIN(1,AH$226*1-Inputs!$D$49+1))/1</f>
        <v>3</v>
      </c>
      <c r="AI325" s="113" t="n">
        <f aca="false">Inputs!$D$46*(1+Inputs!$D$48)^(AI$227-1)*MAX(0,MIN(1,AI$226*1-Inputs!$D$49+1))/1</f>
        <v>3</v>
      </c>
      <c r="AJ325" s="113" t="n">
        <f aca="false">Inputs!$D$46*(1+Inputs!$D$48)^(AJ$227-1)*MAX(0,MIN(1,AJ$226*1-Inputs!$D$49+1))/1</f>
        <v>3</v>
      </c>
      <c r="AK325" s="113" t="n">
        <f aca="false">Inputs!$D$46*(1+Inputs!$D$48)^(AK$227-1)*MAX(0,MIN(1,AK$226*1-Inputs!$D$49+1))/1</f>
        <v>3</v>
      </c>
      <c r="AL325" s="113" t="n">
        <f aca="false">Inputs!$D$46*(1+Inputs!$D$48)^(AL$227-1)*MAX(0,MIN(1,AL$226*1-Inputs!$D$49+1))/1</f>
        <v>3</v>
      </c>
    </row>
    <row r="326" customFormat="false" ht="15" hidden="false" customHeight="false" outlineLevel="0" collapsed="false">
      <c r="A326" s="110" t="s">
        <v>415</v>
      </c>
      <c r="C326" s="119" t="n">
        <f aca="false">C324+C325</f>
        <v>4</v>
      </c>
      <c r="D326" s="119" t="n">
        <f aca="false">D324+D325</f>
        <v>4</v>
      </c>
      <c r="E326" s="119" t="n">
        <f aca="false">E324+E325</f>
        <v>4</v>
      </c>
      <c r="F326" s="119" t="n">
        <f aca="false">F324+F325</f>
        <v>4</v>
      </c>
      <c r="G326" s="119" t="n">
        <f aca="false">G324+G325</f>
        <v>4</v>
      </c>
      <c r="H326" s="119" t="n">
        <f aca="false">H324+H325</f>
        <v>4</v>
      </c>
      <c r="I326" s="119" t="n">
        <f aca="false">I324+I325</f>
        <v>4</v>
      </c>
      <c r="J326" s="119" t="n">
        <f aca="false">J324+J325</f>
        <v>4</v>
      </c>
      <c r="K326" s="119" t="n">
        <f aca="false">K324+K325</f>
        <v>4</v>
      </c>
      <c r="L326" s="119" t="n">
        <f aca="false">L324+L325</f>
        <v>4</v>
      </c>
      <c r="M326" s="119" t="n">
        <f aca="false">M324+M325</f>
        <v>4</v>
      </c>
      <c r="N326" s="119" t="n">
        <f aca="false">N324+N325</f>
        <v>4</v>
      </c>
      <c r="O326" s="119" t="n">
        <f aca="false">O324+O325</f>
        <v>4</v>
      </c>
      <c r="P326" s="119" t="n">
        <f aca="false">P324+P325</f>
        <v>4</v>
      </c>
      <c r="Q326" s="119" t="n">
        <f aca="false">Q324+Q325</f>
        <v>4</v>
      </c>
      <c r="R326" s="119" t="n">
        <f aca="false">R324+R325</f>
        <v>4</v>
      </c>
      <c r="S326" s="119" t="n">
        <f aca="false">S324+S325</f>
        <v>4</v>
      </c>
      <c r="T326" s="119" t="n">
        <f aca="false">T324+T325</f>
        <v>4</v>
      </c>
      <c r="U326" s="119" t="n">
        <f aca="false">U324+U325</f>
        <v>4</v>
      </c>
      <c r="V326" s="119" t="n">
        <f aca="false">V324+V325</f>
        <v>4</v>
      </c>
      <c r="W326" s="119" t="n">
        <f aca="false">W324+W325</f>
        <v>4</v>
      </c>
      <c r="X326" s="119" t="n">
        <f aca="false">X324+X325</f>
        <v>4</v>
      </c>
      <c r="Y326" s="119" t="n">
        <f aca="false">Y324+Y325</f>
        <v>4</v>
      </c>
      <c r="Z326" s="119" t="n">
        <f aca="false">Z324+Z325</f>
        <v>4</v>
      </c>
      <c r="AA326" s="119" t="n">
        <f aca="false">AA324+AA325</f>
        <v>4</v>
      </c>
      <c r="AB326" s="119" t="n">
        <f aca="false">AB324+AB325</f>
        <v>4</v>
      </c>
      <c r="AC326" s="119" t="n">
        <f aca="false">AC324+AC325</f>
        <v>4</v>
      </c>
      <c r="AD326" s="119" t="n">
        <f aca="false">AD324+AD325</f>
        <v>4</v>
      </c>
      <c r="AE326" s="119" t="n">
        <f aca="false">AE324+AE325</f>
        <v>4</v>
      </c>
      <c r="AF326" s="119" t="n">
        <f aca="false">AF324+AF325</f>
        <v>4</v>
      </c>
      <c r="AG326" s="119" t="n">
        <f aca="false">AG324+AG325</f>
        <v>4</v>
      </c>
      <c r="AH326" s="119" t="n">
        <f aca="false">AH324+AH325</f>
        <v>4</v>
      </c>
      <c r="AI326" s="119" t="n">
        <f aca="false">AI324+AI325</f>
        <v>4</v>
      </c>
      <c r="AJ326" s="119" t="n">
        <f aca="false">AJ324+AJ325</f>
        <v>4</v>
      </c>
      <c r="AK326" s="119" t="n">
        <f aca="false">AK324+AK325</f>
        <v>4</v>
      </c>
      <c r="AL326" s="119" t="n">
        <f aca="false">AL324+AL325</f>
        <v>4</v>
      </c>
    </row>
    <row r="328" customFormat="false" ht="15.75" hidden="false" customHeight="true" outlineLevel="0" collapsed="false">
      <c r="A328" s="7" t="s">
        <v>416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</row>
    <row r="329" customFormat="false" ht="15" hidden="false" customHeight="false" outlineLevel="0" collapsed="false">
      <c r="A329" s="6" t="s">
        <v>417</v>
      </c>
      <c r="C329" s="66" t="n">
        <f aca="false">-C324*Inputs!$D$43/12*1*(1+Inputs!$D$50)*(1+Inputs!$D$51)^(C$227-1)</f>
        <v>-5041.66666666667</v>
      </c>
      <c r="D329" s="66" t="n">
        <f aca="false">-D324*Inputs!$D$43/12*1*(1+Inputs!$D$50)*(1+Inputs!$D$51)^(D$227-1)</f>
        <v>-5041.66666666667</v>
      </c>
      <c r="E329" s="66" t="n">
        <f aca="false">-E324*Inputs!$D$43/12*1*(1+Inputs!$D$50)*(1+Inputs!$D$51)^(E$227-1)</f>
        <v>-5041.66666666667</v>
      </c>
      <c r="F329" s="66" t="n">
        <f aca="false">-F324*Inputs!$D$43/12*1*(1+Inputs!$D$50)*(1+Inputs!$D$51)^(F$227-1)</f>
        <v>-5041.66666666667</v>
      </c>
      <c r="G329" s="66" t="n">
        <f aca="false">-G324*Inputs!$D$43/12*1*(1+Inputs!$D$50)*(1+Inputs!$D$51)^(G$227-1)</f>
        <v>-5041.66666666667</v>
      </c>
      <c r="H329" s="66" t="n">
        <f aca="false">-H324*Inputs!$D$43/12*1*(1+Inputs!$D$50)*(1+Inputs!$D$51)^(H$227-1)</f>
        <v>-5041.66666666667</v>
      </c>
      <c r="I329" s="66" t="n">
        <f aca="false">-I324*Inputs!$D$43/12*1*(1+Inputs!$D$50)*(1+Inputs!$D$51)^(I$227-1)</f>
        <v>-5041.66666666667</v>
      </c>
      <c r="J329" s="66" t="n">
        <f aca="false">-J324*Inputs!$D$43/12*1*(1+Inputs!$D$50)*(1+Inputs!$D$51)^(J$227-1)</f>
        <v>-5041.66666666667</v>
      </c>
      <c r="K329" s="66" t="n">
        <f aca="false">-K324*Inputs!$D$43/12*1*(1+Inputs!$D$50)*(1+Inputs!$D$51)^(K$227-1)</f>
        <v>-5041.66666666667</v>
      </c>
      <c r="L329" s="66" t="n">
        <f aca="false">-L324*Inputs!$D$43/12*1*(1+Inputs!$D$50)*(1+Inputs!$D$51)^(L$227-1)</f>
        <v>-5041.66666666667</v>
      </c>
      <c r="M329" s="66" t="n">
        <f aca="false">-M324*Inputs!$D$43/12*1*(1+Inputs!$D$50)*(1+Inputs!$D$51)^(M$227-1)</f>
        <v>-5041.66666666667</v>
      </c>
      <c r="N329" s="66" t="n">
        <f aca="false">-N324*Inputs!$D$43/12*1*(1+Inputs!$D$50)*(1+Inputs!$D$51)^(N$227-1)</f>
        <v>-5041.66666666667</v>
      </c>
      <c r="O329" s="66" t="n">
        <f aca="false">-O324*Inputs!$D$43/12*1*(1+Inputs!$D$50)*(1+Inputs!$D$51)^(O$227-1)</f>
        <v>-5192.91666666667</v>
      </c>
      <c r="P329" s="66" t="n">
        <f aca="false">-P324*Inputs!$D$43/12*1*(1+Inputs!$D$50)*(1+Inputs!$D$51)^(P$227-1)</f>
        <v>-5192.91666666667</v>
      </c>
      <c r="Q329" s="66" t="n">
        <f aca="false">-Q324*Inputs!$D$43/12*1*(1+Inputs!$D$50)*(1+Inputs!$D$51)^(Q$227-1)</f>
        <v>-5192.91666666667</v>
      </c>
      <c r="R329" s="66" t="n">
        <f aca="false">-R324*Inputs!$D$43/12*1*(1+Inputs!$D$50)*(1+Inputs!$D$51)^(R$227-1)</f>
        <v>-5192.91666666667</v>
      </c>
      <c r="S329" s="66" t="n">
        <f aca="false">-S324*Inputs!$D$43/12*1*(1+Inputs!$D$50)*(1+Inputs!$D$51)^(S$227-1)</f>
        <v>-5192.91666666667</v>
      </c>
      <c r="T329" s="66" t="n">
        <f aca="false">-T324*Inputs!$D$43/12*1*(1+Inputs!$D$50)*(1+Inputs!$D$51)^(T$227-1)</f>
        <v>-5192.91666666667</v>
      </c>
      <c r="U329" s="66" t="n">
        <f aca="false">-U324*Inputs!$D$43/12*1*(1+Inputs!$D$50)*(1+Inputs!$D$51)^(U$227-1)</f>
        <v>-5192.91666666667</v>
      </c>
      <c r="V329" s="66" t="n">
        <f aca="false">-V324*Inputs!$D$43/12*1*(1+Inputs!$D$50)*(1+Inputs!$D$51)^(V$227-1)</f>
        <v>-5192.91666666667</v>
      </c>
      <c r="W329" s="66" t="n">
        <f aca="false">-W324*Inputs!$D$43/12*1*(1+Inputs!$D$50)*(1+Inputs!$D$51)^(W$227-1)</f>
        <v>-5192.91666666667</v>
      </c>
      <c r="X329" s="66" t="n">
        <f aca="false">-X324*Inputs!$D$43/12*1*(1+Inputs!$D$50)*(1+Inputs!$D$51)^(X$227-1)</f>
        <v>-5192.91666666667</v>
      </c>
      <c r="Y329" s="66" t="n">
        <f aca="false">-Y324*Inputs!$D$43/12*1*(1+Inputs!$D$50)*(1+Inputs!$D$51)^(Y$227-1)</f>
        <v>-5192.91666666667</v>
      </c>
      <c r="Z329" s="66" t="n">
        <f aca="false">-Z324*Inputs!$D$43/12*1*(1+Inputs!$D$50)*(1+Inputs!$D$51)^(Z$227-1)</f>
        <v>-5192.91666666667</v>
      </c>
      <c r="AA329" s="66" t="n">
        <f aca="false">-AA324*Inputs!$D$43/12*1*(1+Inputs!$D$50)*(1+Inputs!$D$51)^(AA$227-1)</f>
        <v>-5348.70416666667</v>
      </c>
      <c r="AB329" s="66" t="n">
        <f aca="false">-AB324*Inputs!$D$43/12*1*(1+Inputs!$D$50)*(1+Inputs!$D$51)^(AB$227-1)</f>
        <v>-5348.70416666667</v>
      </c>
      <c r="AC329" s="66" t="n">
        <f aca="false">-AC324*Inputs!$D$43/12*1*(1+Inputs!$D$50)*(1+Inputs!$D$51)^(AC$227-1)</f>
        <v>-5348.70416666667</v>
      </c>
      <c r="AD329" s="66" t="n">
        <f aca="false">-AD324*Inputs!$D$43/12*1*(1+Inputs!$D$50)*(1+Inputs!$D$51)^(AD$227-1)</f>
        <v>-5348.70416666667</v>
      </c>
      <c r="AE329" s="66" t="n">
        <f aca="false">-AE324*Inputs!$D$43/12*1*(1+Inputs!$D$50)*(1+Inputs!$D$51)^(AE$227-1)</f>
        <v>-5348.70416666667</v>
      </c>
      <c r="AF329" s="66" t="n">
        <f aca="false">-AF324*Inputs!$D$43/12*1*(1+Inputs!$D$50)*(1+Inputs!$D$51)^(AF$227-1)</f>
        <v>-5348.70416666667</v>
      </c>
      <c r="AG329" s="66" t="n">
        <f aca="false">-AG324*Inputs!$D$43/12*1*(1+Inputs!$D$50)*(1+Inputs!$D$51)^(AG$227-1)</f>
        <v>-5348.70416666667</v>
      </c>
      <c r="AH329" s="66" t="n">
        <f aca="false">-AH324*Inputs!$D$43/12*1*(1+Inputs!$D$50)*(1+Inputs!$D$51)^(AH$227-1)</f>
        <v>-5348.70416666667</v>
      </c>
      <c r="AI329" s="66" t="n">
        <f aca="false">-AI324*Inputs!$D$43/12*1*(1+Inputs!$D$50)*(1+Inputs!$D$51)^(AI$227-1)</f>
        <v>-5348.70416666667</v>
      </c>
      <c r="AJ329" s="66" t="n">
        <f aca="false">-AJ324*Inputs!$D$43/12*1*(1+Inputs!$D$50)*(1+Inputs!$D$51)^(AJ$227-1)</f>
        <v>-5348.70416666667</v>
      </c>
      <c r="AK329" s="66" t="n">
        <f aca="false">-AK324*Inputs!$D$43/12*1*(1+Inputs!$D$50)*(1+Inputs!$D$51)^(AK$227-1)</f>
        <v>-5348.70416666667</v>
      </c>
      <c r="AL329" s="66" t="n">
        <f aca="false">-AL324*Inputs!$D$43/12*1*(1+Inputs!$D$50)*(1+Inputs!$D$51)^(AL$227-1)</f>
        <v>-5348.70416666667</v>
      </c>
    </row>
    <row r="330" customFormat="false" ht="15" hidden="false" customHeight="false" outlineLevel="0" collapsed="false">
      <c r="A330" s="6" t="s">
        <v>418</v>
      </c>
      <c r="C330" s="66" t="n">
        <f aca="false">-C325*Inputs!$D$47/12*1*(1+Inputs!$D$50)*(1+Inputs!$D$51)^(C$227-1)</f>
        <v>-8800</v>
      </c>
      <c r="D330" s="66" t="n">
        <f aca="false">-D325*Inputs!$D$47/12*1*(1+Inputs!$D$50)*(1+Inputs!$D$51)^(D$227-1)</f>
        <v>-8800</v>
      </c>
      <c r="E330" s="66" t="n">
        <f aca="false">-E325*Inputs!$D$47/12*1*(1+Inputs!$D$50)*(1+Inputs!$D$51)^(E$227-1)</f>
        <v>-8800</v>
      </c>
      <c r="F330" s="66" t="n">
        <f aca="false">-F325*Inputs!$D$47/12*1*(1+Inputs!$D$50)*(1+Inputs!$D$51)^(F$227-1)</f>
        <v>-8800</v>
      </c>
      <c r="G330" s="66" t="n">
        <f aca="false">-G325*Inputs!$D$47/12*1*(1+Inputs!$D$50)*(1+Inputs!$D$51)^(G$227-1)</f>
        <v>-8800</v>
      </c>
      <c r="H330" s="66" t="n">
        <f aca="false">-H325*Inputs!$D$47/12*1*(1+Inputs!$D$50)*(1+Inputs!$D$51)^(H$227-1)</f>
        <v>-8800</v>
      </c>
      <c r="I330" s="66" t="n">
        <f aca="false">-I325*Inputs!$D$47/12*1*(1+Inputs!$D$50)*(1+Inputs!$D$51)^(I$227-1)</f>
        <v>-8800</v>
      </c>
      <c r="J330" s="66" t="n">
        <f aca="false">-J325*Inputs!$D$47/12*1*(1+Inputs!$D$50)*(1+Inputs!$D$51)^(J$227-1)</f>
        <v>-8800</v>
      </c>
      <c r="K330" s="66" t="n">
        <f aca="false">-K325*Inputs!$D$47/12*1*(1+Inputs!$D$50)*(1+Inputs!$D$51)^(K$227-1)</f>
        <v>-8800</v>
      </c>
      <c r="L330" s="66" t="n">
        <f aca="false">-L325*Inputs!$D$47/12*1*(1+Inputs!$D$50)*(1+Inputs!$D$51)^(L$227-1)</f>
        <v>-8800</v>
      </c>
      <c r="M330" s="66" t="n">
        <f aca="false">-M325*Inputs!$D$47/12*1*(1+Inputs!$D$50)*(1+Inputs!$D$51)^(M$227-1)</f>
        <v>-8800</v>
      </c>
      <c r="N330" s="66" t="n">
        <f aca="false">-N325*Inputs!$D$47/12*1*(1+Inputs!$D$50)*(1+Inputs!$D$51)^(N$227-1)</f>
        <v>-8800</v>
      </c>
      <c r="O330" s="66" t="n">
        <f aca="false">-O325*Inputs!$D$47/12*1*(1+Inputs!$D$50)*(1+Inputs!$D$51)^(O$227-1)</f>
        <v>-9064</v>
      </c>
      <c r="P330" s="66" t="n">
        <f aca="false">-P325*Inputs!$D$47/12*1*(1+Inputs!$D$50)*(1+Inputs!$D$51)^(P$227-1)</f>
        <v>-9064</v>
      </c>
      <c r="Q330" s="66" t="n">
        <f aca="false">-Q325*Inputs!$D$47/12*1*(1+Inputs!$D$50)*(1+Inputs!$D$51)^(Q$227-1)</f>
        <v>-9064</v>
      </c>
      <c r="R330" s="66" t="n">
        <f aca="false">-R325*Inputs!$D$47/12*1*(1+Inputs!$D$50)*(1+Inputs!$D$51)^(R$227-1)</f>
        <v>-9064</v>
      </c>
      <c r="S330" s="66" t="n">
        <f aca="false">-S325*Inputs!$D$47/12*1*(1+Inputs!$D$50)*(1+Inputs!$D$51)^(S$227-1)</f>
        <v>-9064</v>
      </c>
      <c r="T330" s="66" t="n">
        <f aca="false">-T325*Inputs!$D$47/12*1*(1+Inputs!$D$50)*(1+Inputs!$D$51)^(T$227-1)</f>
        <v>-9064</v>
      </c>
      <c r="U330" s="66" t="n">
        <f aca="false">-U325*Inputs!$D$47/12*1*(1+Inputs!$D$50)*(1+Inputs!$D$51)^(U$227-1)</f>
        <v>-9064</v>
      </c>
      <c r="V330" s="66" t="n">
        <f aca="false">-V325*Inputs!$D$47/12*1*(1+Inputs!$D$50)*(1+Inputs!$D$51)^(V$227-1)</f>
        <v>-9064</v>
      </c>
      <c r="W330" s="66" t="n">
        <f aca="false">-W325*Inputs!$D$47/12*1*(1+Inputs!$D$50)*(1+Inputs!$D$51)^(W$227-1)</f>
        <v>-9064</v>
      </c>
      <c r="X330" s="66" t="n">
        <f aca="false">-X325*Inputs!$D$47/12*1*(1+Inputs!$D$50)*(1+Inputs!$D$51)^(X$227-1)</f>
        <v>-9064</v>
      </c>
      <c r="Y330" s="66" t="n">
        <f aca="false">-Y325*Inputs!$D$47/12*1*(1+Inputs!$D$50)*(1+Inputs!$D$51)^(Y$227-1)</f>
        <v>-9064</v>
      </c>
      <c r="Z330" s="66" t="n">
        <f aca="false">-Z325*Inputs!$D$47/12*1*(1+Inputs!$D$50)*(1+Inputs!$D$51)^(Z$227-1)</f>
        <v>-9064</v>
      </c>
      <c r="AA330" s="66" t="n">
        <f aca="false">-AA325*Inputs!$D$47/12*1*(1+Inputs!$D$50)*(1+Inputs!$D$51)^(AA$227-1)</f>
        <v>-9335.92</v>
      </c>
      <c r="AB330" s="66" t="n">
        <f aca="false">-AB325*Inputs!$D$47/12*1*(1+Inputs!$D$50)*(1+Inputs!$D$51)^(AB$227-1)</f>
        <v>-9335.92</v>
      </c>
      <c r="AC330" s="66" t="n">
        <f aca="false">-AC325*Inputs!$D$47/12*1*(1+Inputs!$D$50)*(1+Inputs!$D$51)^(AC$227-1)</f>
        <v>-9335.92</v>
      </c>
      <c r="AD330" s="66" t="n">
        <f aca="false">-AD325*Inputs!$D$47/12*1*(1+Inputs!$D$50)*(1+Inputs!$D$51)^(AD$227-1)</f>
        <v>-9335.92</v>
      </c>
      <c r="AE330" s="66" t="n">
        <f aca="false">-AE325*Inputs!$D$47/12*1*(1+Inputs!$D$50)*(1+Inputs!$D$51)^(AE$227-1)</f>
        <v>-9335.92</v>
      </c>
      <c r="AF330" s="66" t="n">
        <f aca="false">-AF325*Inputs!$D$47/12*1*(1+Inputs!$D$50)*(1+Inputs!$D$51)^(AF$227-1)</f>
        <v>-9335.92</v>
      </c>
      <c r="AG330" s="66" t="n">
        <f aca="false">-AG325*Inputs!$D$47/12*1*(1+Inputs!$D$50)*(1+Inputs!$D$51)^(AG$227-1)</f>
        <v>-9335.92</v>
      </c>
      <c r="AH330" s="66" t="n">
        <f aca="false">-AH325*Inputs!$D$47/12*1*(1+Inputs!$D$50)*(1+Inputs!$D$51)^(AH$227-1)</f>
        <v>-9335.92</v>
      </c>
      <c r="AI330" s="66" t="n">
        <f aca="false">-AI325*Inputs!$D$47/12*1*(1+Inputs!$D$50)*(1+Inputs!$D$51)^(AI$227-1)</f>
        <v>-9335.92</v>
      </c>
      <c r="AJ330" s="66" t="n">
        <f aca="false">-AJ325*Inputs!$D$47/12*1*(1+Inputs!$D$50)*(1+Inputs!$D$51)^(AJ$227-1)</f>
        <v>-9335.92</v>
      </c>
      <c r="AK330" s="66" t="n">
        <f aca="false">-AK325*Inputs!$D$47/12*1*(1+Inputs!$D$50)*(1+Inputs!$D$51)^(AK$227-1)</f>
        <v>-9335.92</v>
      </c>
      <c r="AL330" s="66" t="n">
        <f aca="false">-AL325*Inputs!$D$47/12*1*(1+Inputs!$D$50)*(1+Inputs!$D$51)^(AL$227-1)</f>
        <v>-9335.92</v>
      </c>
    </row>
    <row r="331" customFormat="false" ht="15" hidden="false" customHeight="false" outlineLevel="0" collapsed="false">
      <c r="A331" s="110" t="s">
        <v>419</v>
      </c>
      <c r="C331" s="67" t="n">
        <f aca="false">C329+C330</f>
        <v>-13841.6666666667</v>
      </c>
      <c r="D331" s="67" t="n">
        <f aca="false">D329+D330</f>
        <v>-13841.6666666667</v>
      </c>
      <c r="E331" s="67" t="n">
        <f aca="false">E329+E330</f>
        <v>-13841.6666666667</v>
      </c>
      <c r="F331" s="67" t="n">
        <f aca="false">F329+F330</f>
        <v>-13841.6666666667</v>
      </c>
      <c r="G331" s="67" t="n">
        <f aca="false">G329+G330</f>
        <v>-13841.6666666667</v>
      </c>
      <c r="H331" s="67" t="n">
        <f aca="false">H329+H330</f>
        <v>-13841.6666666667</v>
      </c>
      <c r="I331" s="67" t="n">
        <f aca="false">I329+I330</f>
        <v>-13841.6666666667</v>
      </c>
      <c r="J331" s="67" t="n">
        <f aca="false">J329+J330</f>
        <v>-13841.6666666667</v>
      </c>
      <c r="K331" s="67" t="n">
        <f aca="false">K329+K330</f>
        <v>-13841.6666666667</v>
      </c>
      <c r="L331" s="67" t="n">
        <f aca="false">L329+L330</f>
        <v>-13841.6666666667</v>
      </c>
      <c r="M331" s="67" t="n">
        <f aca="false">M329+M330</f>
        <v>-13841.6666666667</v>
      </c>
      <c r="N331" s="67" t="n">
        <f aca="false">N329+N330</f>
        <v>-13841.6666666667</v>
      </c>
      <c r="O331" s="67" t="n">
        <f aca="false">O329+O330</f>
        <v>-14256.9166666667</v>
      </c>
      <c r="P331" s="67" t="n">
        <f aca="false">P329+P330</f>
        <v>-14256.9166666667</v>
      </c>
      <c r="Q331" s="67" t="n">
        <f aca="false">Q329+Q330</f>
        <v>-14256.9166666667</v>
      </c>
      <c r="R331" s="67" t="n">
        <f aca="false">R329+R330</f>
        <v>-14256.9166666667</v>
      </c>
      <c r="S331" s="67" t="n">
        <f aca="false">S329+S330</f>
        <v>-14256.9166666667</v>
      </c>
      <c r="T331" s="67" t="n">
        <f aca="false">T329+T330</f>
        <v>-14256.9166666667</v>
      </c>
      <c r="U331" s="67" t="n">
        <f aca="false">U329+U330</f>
        <v>-14256.9166666667</v>
      </c>
      <c r="V331" s="67" t="n">
        <f aca="false">V329+V330</f>
        <v>-14256.9166666667</v>
      </c>
      <c r="W331" s="67" t="n">
        <f aca="false">W329+W330</f>
        <v>-14256.9166666667</v>
      </c>
      <c r="X331" s="67" t="n">
        <f aca="false">X329+X330</f>
        <v>-14256.9166666667</v>
      </c>
      <c r="Y331" s="67" t="n">
        <f aca="false">Y329+Y330</f>
        <v>-14256.9166666667</v>
      </c>
      <c r="Z331" s="67" t="n">
        <f aca="false">Z329+Z330</f>
        <v>-14256.9166666667</v>
      </c>
      <c r="AA331" s="67" t="n">
        <f aca="false">AA329+AA330</f>
        <v>-14684.6241666667</v>
      </c>
      <c r="AB331" s="67" t="n">
        <f aca="false">AB329+AB330</f>
        <v>-14684.6241666667</v>
      </c>
      <c r="AC331" s="67" t="n">
        <f aca="false">AC329+AC330</f>
        <v>-14684.6241666667</v>
      </c>
      <c r="AD331" s="67" t="n">
        <f aca="false">AD329+AD330</f>
        <v>-14684.6241666667</v>
      </c>
      <c r="AE331" s="67" t="n">
        <f aca="false">AE329+AE330</f>
        <v>-14684.6241666667</v>
      </c>
      <c r="AF331" s="67" t="n">
        <f aca="false">AF329+AF330</f>
        <v>-14684.6241666667</v>
      </c>
      <c r="AG331" s="67" t="n">
        <f aca="false">AG329+AG330</f>
        <v>-14684.6241666667</v>
      </c>
      <c r="AH331" s="67" t="n">
        <f aca="false">AH329+AH330</f>
        <v>-14684.6241666667</v>
      </c>
      <c r="AI331" s="67" t="n">
        <f aca="false">AI329+AI330</f>
        <v>-14684.6241666667</v>
      </c>
      <c r="AJ331" s="67" t="n">
        <f aca="false">AJ329+AJ330</f>
        <v>-14684.6241666667</v>
      </c>
      <c r="AK331" s="67" t="n">
        <f aca="false">AK329+AK330</f>
        <v>-14684.6241666667</v>
      </c>
      <c r="AL331" s="67" t="n">
        <f aca="false">AL329+AL330</f>
        <v>-14684.6241666667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322A"/>
    <pageSetUpPr fitToPage="tru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64"/>
  </cols>
  <sheetData>
    <row r="1" customFormat="false" ht="21.75" hidden="false" customHeight="true" outlineLevel="0" collapsed="false">
      <c r="A1" s="16" t="s">
        <v>5</v>
      </c>
      <c r="E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425</v>
      </c>
    </row>
    <row r="3" customFormat="false" ht="15" hidden="false" customHeight="false" outlineLevel="0" collapsed="false">
      <c r="A3" s="33" t="s">
        <v>426</v>
      </c>
      <c r="B3" s="33" t="s">
        <v>427</v>
      </c>
      <c r="C3" s="33" t="s">
        <v>428</v>
      </c>
    </row>
    <row r="4" customFormat="false" ht="15" hidden="false" customHeight="false" outlineLevel="0" collapsed="false">
      <c r="A4" s="6" t="s">
        <v>429</v>
      </c>
      <c r="B4" s="4" t="str">
        <f aca="false">IF(ABS(SUM('P&amp;L'!$B$5:$D$5)-SUM(Monthly!$C$24:$AL$24))&lt;0.5,"PASS","FAIL")</f>
        <v>PASS</v>
      </c>
      <c r="C4" s="18" t="s">
        <v>430</v>
      </c>
    </row>
    <row r="5" customFormat="false" ht="15" hidden="false" customHeight="false" outlineLevel="0" collapsed="false">
      <c r="A5" s="6" t="s">
        <v>431</v>
      </c>
      <c r="B5" s="4" t="str">
        <f aca="false">IF(ABS(SUM('P&amp;L'!$B$24:$D$24)-SUM(Monthly!$C$51:$AL$51))&lt;0.5,"PASS","FAIL")</f>
        <v>PASS</v>
      </c>
      <c r="C5" s="18" t="s">
        <v>432</v>
      </c>
    </row>
    <row r="6" customFormat="false" ht="15" hidden="false" customHeight="false" outlineLevel="0" collapsed="false">
      <c r="A6" s="6" t="s">
        <v>433</v>
      </c>
      <c r="B6" s="4" t="str">
        <f aca="false">IF(ABS(SUM(Monthly!$C$42:$AL$42)-SUM(Monthly!$C$31:$AL$31)-SUM(Monthly!$C$41:$AL$41))&lt;0.5,"PASS","FAIL")</f>
        <v>PASS</v>
      </c>
      <c r="C6" s="18" t="s">
        <v>434</v>
      </c>
    </row>
    <row r="7" customFormat="false" ht="15" hidden="false" customHeight="false" outlineLevel="0" collapsed="false">
      <c r="A7" s="6" t="s">
        <v>435</v>
      </c>
      <c r="B7" s="4" t="str">
        <f aca="false">IF(ABS(INDEX(Monthly!$C$81:$AL$81,36)-SUM(Monthly!$C$79:$AL$79))&lt;0.5,"PASS","FAIL")</f>
        <v>PASS</v>
      </c>
      <c r="C7" s="18" t="s">
        <v>436</v>
      </c>
    </row>
    <row r="8" customFormat="false" ht="15" hidden="false" customHeight="false" outlineLevel="0" collapsed="false">
      <c r="A8" s="6" t="s">
        <v>437</v>
      </c>
      <c r="B8" s="4" t="str">
        <f aca="false">IF(AND(ISNUMBER(Dashboard!B4),Dashboard!B4&gt;=1,Dashboard!B4&lt;=3,INT(Dashboard!B4)=Dashboard!B4),"PASS","FAIL")</f>
        <v>PASS</v>
      </c>
      <c r="C8" s="18" t="s">
        <v>438</v>
      </c>
    </row>
    <row r="9" customFormat="false" ht="15" hidden="false" customHeight="false" outlineLevel="0" collapsed="false">
      <c r="A9" s="6" t="s">
        <v>439</v>
      </c>
      <c r="B9" s="4" t="str">
        <f aca="false">IF(AND(Inputs!$B$7&lt;=Inputs!$C$7,Inputs!$C$7&lt;=Inputs!$D$7,Inputs!$B$9&lt;=Inputs!$C$9,Inputs!$C$9&lt;=Inputs!$D$9,Inputs!$B$10&lt;=Inputs!$C$10,Inputs!$C$10&lt;=Inputs!$D$10,Inputs!$B$12&lt;=Inputs!$C$12,Inputs!$C$12&lt;=Inputs!$D$12,Inputs!$B$13&gt;=Inputs!$C$13,Inputs!$C$13&gt;=Inputs!$D$13,Inputs!$B$14&lt;=Inputs!$C$14,Inputs!$C$14&lt;=Inputs!$D$14,Inputs!$B$15&gt;=Inputs!$C$15,Inputs!$C$15&gt;=Inputs!$D$15,Inputs!$B$18&lt;=Inputs!$C$18,Inputs!$C$18&lt;=Inputs!$D$18,Inputs!$B$19&lt;=Inputs!$C$19,Inputs!$C$19&lt;=Inputs!$D$19,Inputs!$B$20&lt;=Inputs!$C$20,Inputs!$C$20&lt;=Inputs!$D$20,Inputs!$B$23&lt;=Inputs!$C$23,Inputs!$C$23&lt;=Inputs!$D$23,Inputs!$B$24&lt;=Inputs!$C$24,Inputs!$C$24&lt;=Inputs!$D$24,Inputs!$B$25&lt;=Inputs!$C$25,Inputs!$C$25&lt;=Inputs!$D$25,Inputs!$B$26&gt;=Inputs!$C$26,Inputs!$C$26&gt;=Inputs!$D$26,Inputs!$B$27&lt;=Inputs!$C$27,Inputs!$C$27&lt;=Inputs!$D$27,Inputs!$B$28&gt;=Inputs!$C$28,Inputs!$C$28&gt;=Inputs!$D$28,Inputs!$B$32&gt;=Inputs!$C$32,Inputs!$C$32&gt;=Inputs!$D$32,Inputs!$B$36&gt;=Inputs!$C$36,Inputs!$C$36&gt;=Inputs!$D$36,Inputs!$B$42&lt;=Inputs!$C$42,Inputs!$C$42&lt;=Inputs!$D$42,Inputs!$B$44&lt;=Inputs!$C$44,Inputs!$C$44&lt;=Inputs!$D$44,Inputs!$B$46&lt;=Inputs!$C$46,Inputs!$C$46&lt;=Inputs!$D$46,Inputs!$B$48&lt;=Inputs!$C$48,Inputs!$C$48&lt;=Inputs!$D$48,Inputs!$B$72&gt;=Inputs!$C$72,Inputs!$C$72&gt;=Inputs!$D$72,Inputs!$B$73&lt;=Inputs!$C$73,Inputs!$C$73&lt;=Inputs!$D$73,Inputs!$B$74&lt;=Inputs!$C$74,Inputs!$C$74&lt;=Inputs!$D$74),"PASS","FAIL")</f>
        <v>PASS</v>
      </c>
      <c r="C9" s="18" t="s">
        <v>440</v>
      </c>
    </row>
    <row r="10" customFormat="false" ht="15" hidden="false" customHeight="false" outlineLevel="0" collapsed="false">
      <c r="A10" s="6" t="s">
        <v>441</v>
      </c>
      <c r="B10" s="4" t="str">
        <f aca="false">IF(AND(MIN('P&amp;L'!$B$8:$D$8)&gt;=0,MAX('P&amp;L'!$B$8:$D$8)&lt;=1),"PASS","FAIL")</f>
        <v>PASS</v>
      </c>
      <c r="C10" s="18" t="s">
        <v>442</v>
      </c>
    </row>
    <row r="11" customFormat="false" ht="15" hidden="false" customHeight="false" outlineLevel="0" collapsed="false">
      <c r="A11" s="6" t="s">
        <v>443</v>
      </c>
      <c r="B11" s="4" t="str">
        <f aca="false">IF(MIN(Monthly!$C$64:$AL$64)&gt;=-0.5,"PASS","FAIL")</f>
        <v>PASS</v>
      </c>
      <c r="C11" s="18" t="s">
        <v>444</v>
      </c>
    </row>
    <row r="12" customFormat="false" ht="15" hidden="false" customHeight="false" outlineLevel="0" collapsed="false">
      <c r="A12" s="6" t="s">
        <v>445</v>
      </c>
      <c r="B12" s="4" t="str">
        <f aca="false">IF(ABS('Break-even'!B18-('Break-even'!B16-'Break-even'!B10))&lt;0.5,"PASS","FAIL")</f>
        <v>PASS</v>
      </c>
      <c r="C12" s="18" t="s">
        <v>446</v>
      </c>
    </row>
    <row r="13" customFormat="false" ht="15" hidden="false" customHeight="false" outlineLevel="0" collapsed="false">
      <c r="A13" s="6" t="s">
        <v>447</v>
      </c>
      <c r="B13" s="4" t="str">
        <f aca="false">IF(ABS(Valuation!B23-NPV(Valuation!B6,Valuation!$B$17:$D$17))&lt;0.5,"PASS","FAIL")</f>
        <v>PASS</v>
      </c>
      <c r="C13" s="18" t="s">
        <v>448</v>
      </c>
    </row>
    <row r="14" customFormat="false" ht="15" hidden="false" customHeight="false" outlineLevel="0" collapsed="false">
      <c r="A14" s="6" t="s">
        <v>449</v>
      </c>
      <c r="B14" s="4" t="str">
        <f aca="false">IF(Valuation!B6&gt;Valuation!B7,"PASS","FAIL")</f>
        <v>PASS</v>
      </c>
      <c r="C14" s="18" t="s">
        <v>450</v>
      </c>
    </row>
    <row r="15" customFormat="false" ht="15" hidden="false" customHeight="false" outlineLevel="0" collapsed="false">
      <c r="A15" s="6" t="s">
        <v>451</v>
      </c>
      <c r="B15" s="4" t="str">
        <f aca="false">IF(ABS(Valuation!D36-Valuation!B27)&lt;0.5,"PASS","FAIL")</f>
        <v>PASS</v>
      </c>
      <c r="C15" s="18" t="s">
        <v>452</v>
      </c>
    </row>
    <row r="16" customFormat="false" ht="15" hidden="false" customHeight="false" outlineLevel="0" collapsed="false">
      <c r="A16" s="6" t="s">
        <v>453</v>
      </c>
      <c r="B16" s="4" t="str">
        <f aca="false">IF(Valuation!$D$17&gt;0,"PASS","WARN")</f>
        <v>PASS</v>
      </c>
      <c r="C16" s="18" t="s">
        <v>454</v>
      </c>
    </row>
    <row r="17" customFormat="false" ht="15" hidden="false" customHeight="false" outlineLevel="0" collapsed="false">
      <c r="A17" s="6" t="s">
        <v>455</v>
      </c>
      <c r="B17" s="4" t="str">
        <f aca="false">IF(ABS('Sources &amp; Uses'!B21-'Sources &amp; Uses'!B28)&lt;0.5,"PASS","FAIL")</f>
        <v>PASS</v>
      </c>
      <c r="C17" s="18" t="s">
        <v>456</v>
      </c>
    </row>
    <row r="18" customFormat="false" ht="15" hidden="false" customHeight="false" outlineLevel="0" collapsed="false">
      <c r="A18" s="6" t="s">
        <v>457</v>
      </c>
      <c r="B18" s="4" t="str">
        <f aca="false">IF(SUMPRODUCT(--ISERROR(Monthly!$C$4:$AL$99))+SUMPRODUCT(--ISERROR(Headcount!$C$4:$AL$15))+SUMPRODUCT(--ISERROR('P&amp;L'!$B$3:$D$25))+SUMPRODUCT(--ISERROR('Cash Flow'!$B$3:$D$18))+SUMPRODUCT(--ISERROR('Balance Sheet'!$B$3:$D$17))+SUMPRODUCT(--ISERROR(KPIs!$B$27:$D$48))+SUMPRODUCT(--ISERROR('Break-even'!$B$26:$D$33))+SUMPRODUCT(--ISERROR(Valuation!$B$14:$D$19))+SUMPRODUCT(--ISERROR('Break-even'!$B$3:$D$35))+SUMPRODUCT(--ISERROR(Valuation!$A$3:$F$40))+SUMPRODUCT(--ISERROR('Sources &amp; Uses'!$B$3:$C$30))+SUMPRODUCT(--ISERROR(Dashboard!$A$6:$W$43))+SUMPRODUCT(--ISERROR(Summary!$A$5:$S$52))+SUMPRODUCT(--ISERROR(KPIs!$A$4:$E$48))+SUMPRODUCT(--ISERROR('Scenario calc'!$C$6:$AL$111))+SUMPRODUCT(--ISERROR('Scenario calc'!$C$116:$AL$221))+SUMPRODUCT(--ISERROR('Scenario calc'!$C$226:$AL$331))+SUMPRODUCT(--ISERROR(Scenarios!$B$5:$E$50))=0,"PASS","FAIL")</f>
        <v>PASS</v>
      </c>
      <c r="C18" s="18" t="s">
        <v>458</v>
      </c>
    </row>
    <row r="19" customFormat="false" ht="15" hidden="false" customHeight="false" outlineLevel="0" collapsed="false">
      <c r="A19" s="6" t="s">
        <v>459</v>
      </c>
      <c r="B19" s="4" t="str">
        <f aca="false">IF(IFERROR(AND(SUMPRODUCT(--(ABS(Summary!$B$7:$D$7-'P&amp;L'!$B$5:$D$5)&gt;0.5))=0,SUMPRODUCT(--(ABS(Summary!$B$19:$D$19-'P&amp;L'!$B$24:$D$24)&gt;0.5))=0,SUMPRODUCT(--(ABS(Summary!$B$31:$D$31-'Cash Flow'!$B$18:$D$18)&gt;0.5))=0,SUMPRODUCT(--(ABS(Summary!$B$41:$D$41-'Balance Sheet'!$B$5:$D$5)&gt;0.5))=0,ABS(SUM(Summary!$H$7:$S$7)-INDEX(Summary!$B$7:$D$7,Summary!$R$2))&lt;0.5,ABS(SUM(Summary!$H$19:$S$19)-INDEX(Summary!$B$19:$D$19,Summary!$R$2))&lt;0.5,ABS(Summary!$S$31-INDEX(Summary!$B$31:$D$31,Summary!$R$2))&lt;0.5),FALSE()),"PASS","FAIL")</f>
        <v>PASS</v>
      </c>
      <c r="C19" s="18" t="s">
        <v>460</v>
      </c>
    </row>
    <row r="20" customFormat="false" ht="15" hidden="false" customHeight="false" outlineLevel="0" collapsed="false">
      <c r="A20" s="6" t="s">
        <v>461</v>
      </c>
      <c r="B20" s="4" t="str">
        <f aca="false">IF(SUMPRODUCT(--(ABS(KPIs!$B$24:$D$24)&gt;0.000000001))&gt;0,"FAIL",IF(SUMPRODUCT(ISNUMBER(KPIs!$B$23:$D$23)*ISNUMBER(KPIs!$B$16:$D$16))=0,"n/a","PASS"))</f>
        <v>PASS</v>
      </c>
      <c r="C20" s="18" t="s">
        <v>462</v>
      </c>
    </row>
    <row r="21" customFormat="false" ht="15" hidden="false" customHeight="false" outlineLevel="0" collapsed="false">
      <c r="A21" s="6" t="s">
        <v>463</v>
      </c>
      <c r="B21" s="4" t="str">
        <f aca="false">IF(IFERROR(AND(ABS(Scenarios!E17-INDEX(Scenarios!B17:D17,1,Dashboard!$B$4))&lt;0.5,ABS(Scenarios!E18-INDEX(Scenarios!B18:D18,1,Dashboard!$B$4))&lt;0.5,ABS(Scenarios!E19-INDEX(Scenarios!B19:D19,1,Dashboard!$B$4))&lt;0.5,ABS(Scenarios!E20-INDEX(Scenarios!B20:D20,1,Dashboard!$B$4))&lt;0.000001,ABS(Scenarios!E21-INDEX(Scenarios!B21:D21,1,Dashboard!$B$4))&lt;0.5,ABS(Scenarios!E22-INDEX(Scenarios!B22:D22,1,Dashboard!$B$4))&lt;0.5,ABS(Scenarios!E23-INDEX(Scenarios!B23:D23,1,Dashboard!$B$4))&lt;0.5,ABS(Scenarios!E24-INDEX(Scenarios!B24:D24,1,Dashboard!$B$4))&lt;0.5,ABS(Scenarios!E25-INDEX(Scenarios!B25:D25,1,Dashboard!$B$4))&lt;0.5,ABS(Scenarios!E26-INDEX(Scenarios!B26:D26,1,Dashboard!$B$4))&lt;0.5),FALSE()),"PASS","FAIL")</f>
        <v>PASS</v>
      </c>
      <c r="C21" s="18" t="s">
        <v>464</v>
      </c>
    </row>
    <row r="22" customFormat="false" ht="15" hidden="false" customHeight="false" outlineLevel="0" collapsed="false">
      <c r="A22" s="6" t="s">
        <v>465</v>
      </c>
      <c r="B22" s="4" t="str">
        <f aca="false">IF(SUMPRODUCT(--(ABS(Monthly!$C$99:$AL$99)&gt;0.5))=0,"PASS","FAIL")</f>
        <v>PASS</v>
      </c>
      <c r="C22" s="18" t="s">
        <v>466</v>
      </c>
    </row>
    <row r="23" customFormat="false" ht="15" hidden="false" customHeight="false" outlineLevel="0" collapsed="false">
      <c r="A23" s="6" t="s">
        <v>467</v>
      </c>
      <c r="B23" s="4" t="str">
        <f aca="false">IF(MIN(Monthly!$C$81:$AL$81)&gt;=0,"PASS","WARN")</f>
        <v>PASS</v>
      </c>
      <c r="C23" s="18" t="s">
        <v>468</v>
      </c>
    </row>
    <row r="25" customFormat="false" ht="15" hidden="false" customHeight="false" outlineLevel="0" collapsed="false">
      <c r="A25" s="69" t="s">
        <v>469</v>
      </c>
      <c r="B25" s="69" t="str">
        <f aca="false">IF(COUNTIF(B4:B23,"FAIL")&gt;0,"FAIL",IF(COUNTIF(B4:B23,"WARN")&gt;0,"PASS WITH WARNINGS","PASS"))</f>
        <v>PASS</v>
      </c>
      <c r="C25" s="120"/>
    </row>
  </sheetData>
  <conditionalFormatting sqref="B4:B25">
    <cfRule type="expression" priority="2" aboveAverage="0" equalAverage="0" bottom="0" percent="0" rank="0" text="" dxfId="0">
      <formula>ISNUMBER(SEARCH("FAIL",B4))</formula>
    </cfRule>
    <cfRule type="expression" priority="3" aboveAverage="0" equalAverage="0" bottom="0" percent="0" rank="0" text="" dxfId="1">
      <formula>ISNUMBER(SEARCH("WARN",B4))</formula>
    </cfRule>
    <cfRule type="expression" priority="4" aboveAverage="0" equalAverage="0" bottom="0" percent="0" rank="0" text="" dxfId="2">
      <formula>B4="PASS"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2026-10-22T13:58:23Z</dcterms:created>
  <dc:creator/>
  <dc:description/>
  <dc:language>en-US</dc:language>
  <cp:lastModifiedBy/>
  <dcterms:modified xsi:type="dcterms:W3CDTF">2026-10-22T13:58:24Z</dcterms:modified>
  <cp:revision>0</cp:revision>
  <dc:subject/>
  <dc:title>Fitness studio financial model (planning)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