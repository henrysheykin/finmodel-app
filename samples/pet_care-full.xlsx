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<sst xmlns="http://schemas.openxmlformats.org/spreadsheetml/2006/main" count="1229" uniqueCount="492">
  <si>
    <t xml:space="preserve">Pet grooming &amp; boarding financial model (planning)</t>
  </si>
  <si>
    <t xml:space="preserve">3-year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</si>
  <si>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</si>
  <si>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</si>
  <si>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</si>
  <si>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</si>
  <si>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</si>
  <si>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</si>
  <si>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</si>
  <si>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</si>
  <si>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</si>
  <si>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</si>
  <si>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</si>
  <si>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</si>
  <si>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</si>
  <si>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</si>
  <si>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</si>
  <si>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</si>
  <si>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</si>
  <si>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</si>
  <si>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</si>
  <si>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</si>
  <si>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</si>
  <si>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</si>
  <si>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</si>
  <si>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</si>
  <si>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</si>
  <si>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</si>
  <si>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</si>
  <si>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</si>
  <si>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</si>
  <si>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</si>
  <si>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</si>
  <si>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</si>
  <si>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</si>
  <si>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</si>
  <si>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3</t>
  </si>
  <si>
    <t xml:space="preserve">EBITDA MARGIN · YEAR 3</t>
  </si>
  <si>
    <t xml:space="preserve">NET INCOME · YEAR 3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</si>
  <si>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</si>
  <si>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</si>
  <si>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</si>
  <si>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</si>
  <si>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</si>
  <si>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</si>
  <si>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</si>
  <si>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</si>
  <si>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</si>
  <si>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</si>
  <si>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</si>
  <si>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</si>
  <si>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</si>
  <si>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</si>
  <si>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</si>
  <si>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</si>
  <si>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</si>
  <si>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</si>
  <si>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Pet care metrics</t>
  </si>
  <si>
    <t xml:space="preserve">Grooms completed</t>
  </si>
  <si>
    <t xml:space="preserve">Grooming capacity used</t>
  </si>
  <si>
    <t xml:space="preserve">Boarding occupancy</t>
  </si>
  <si>
    <t xml:space="preserve">Boarding revenue per available run-night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</si>
  <si>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</si>
  <si>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</si>
  <si>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</si>
  <si>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</si>
  <si>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</si>
  <si>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</si>
  <si>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</si>
  <si>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</si>
  <si>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</si>
  <si>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</si>
  <si>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</si>
  <si>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</si>
  <si>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</si>
  <si>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</si>
  <si>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</si>
  <si>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</si>
  <si>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</si>
  <si>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</si>
  <si>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</si>
  <si>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</si>
  <si>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</si>
  <si>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</si>
  <si>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</si>
  <si>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</si>
  <si>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</si>
  <si>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</si>
  <si>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</si>
  <si>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</si>
  <si>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</si>
  <si>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</si>
  <si>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</si>
  <si>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</si>
  <si>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</si>
  <si>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</si>
  <si>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</si>
  <si>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</si>
  <si>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</si>
  <si>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</si>
  <si>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</si>
  <si>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</si>
  <si>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</si>
  <si>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</si>
  <si>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</si>
  <si>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</si>
  <si>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</si>
  <si>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</si>
  <si>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</si>
  <si>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Grooming appointments per operating day at maturity (year 1) (grooms)</t>
  </si>
  <si>
    <t xml:space="preserve">Average price per groom (year 1) ($)</t>
  </si>
  <si>
    <t xml:space="preserve">Kennel runs / suites (runs)</t>
  </si>
  <si>
    <t xml:space="preserve">Average boarding occupancy at maturity, % of run-nights (year 1) (%)</t>
  </si>
  <si>
    <t xml:space="preserve">Average nightly rate per run (year 1) ($)</t>
  </si>
  <si>
    <t xml:space="preserve">Shop rent or land cost per month ($)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</si>
  <si>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</si>
  <si>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</si>
  <si>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</si>
  <si>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</si>
  <si>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</si>
  <si>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</si>
  <si>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</si>
  <si>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</si>
  <si>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</si>
  <si>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</si>
  <si>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</si>
  <si>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</si>
  <si>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</si>
  <si>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</si>
  <si>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</si>
  <si>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</si>
  <si>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</si>
  <si>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</si>
  <si>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</si>
  <si>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</si>
  <si>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</si>
  <si>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</si>
  <si>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</si>
  <si>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</si>
  <si>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</si>
  <si>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</si>
  <si>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</si>
  <si>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</si>
  <si>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</si>
  <si>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</si>
  <si>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</si>
  <si>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</si>
  <si>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</si>
  <si>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</si>
  <si>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</si>
  <si>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</si>
  <si>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</si>
  <si>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</si>
  <si>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</si>
  <si>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</si>
  <si>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</si>
  <si>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</si>
  <si>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</si>
  <si>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</si>
  <si>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</si>
  <si>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</si>
  <si>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</si>
  <si>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</si>
  <si>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</si>
  <si>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</si>
  <si>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</si>
  <si>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</si>
  <si>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</si>
  <si>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</si>
  <si>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</si>
  <si>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</si>
  <si>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</si>
  <si>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</si>
  <si>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</si>
  <si>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</si>
  <si>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</si>
  <si>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</si>
  <si>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</si>
  <si>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</si>
  <si>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</si>
  <si>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</si>
  <si>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3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</si>
  <si>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</si>
  <si>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</si>
  <si>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</si>
  <si>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</si>
  <si>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</si>
  <si>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</si>
  <si>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</si>
  <si>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</si>
  <si>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</si>
  <si>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</si>
  <si>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</si>
  <si>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</si>
  <si>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</si>
  <si>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</si>
  <si>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</si>
  <si>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</si>
  <si>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</si>
  <si>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</si>
  <si>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</si>
  <si>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36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</si>
  <si>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</si>
  <si>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</si>
  <si>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</si>
  <si>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</si>
  <si>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</si>
  <si>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</si>
  <si>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</si>
  <si>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</si>
  <si>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</si>
  <si>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</si>
  <si>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</si>
  <si>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</si>
  <si>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Pet grooming &amp; boarding financial model (planning)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</si>
  <si>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</si>
  <si>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</si>
  <si>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</si>
  <si>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</si>
  <si>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</si>
  <si>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</si>
  <si>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</si>
  <si>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</si>
  <si>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</si>
  <si>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</si>
  <si>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</si>
  <si>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</si>
  <si>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</si>
  <si>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</si>
  <si>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</si>
  <si>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Pet care metrics ($'000; per-unit rows in $)</t>
  </si>
  <si>
    <t xml:space="preserve">Groomers (FTE)</t>
  </si>
  <si>
    <t xml:space="preserve">Grooming capacity (lower of stations and groomers)</t>
  </si>
  <si>
    <t xml:space="preserve">Grooms lost to the capacity limit</t>
  </si>
  <si>
    <t xml:space="preserve">Boarded run-nights</t>
  </si>
  <si>
    <t xml:space="preserve">Available run-nights</t>
  </si>
  <si>
    <t xml:space="preserve">Grooming revenue</t>
  </si>
  <si>
    <t xml:space="preserve">Boarding revenue</t>
  </si>
  <si>
    <t xml:space="preserve">Retail revenue</t>
  </si>
  <si>
    <t xml:space="preserve">Boarding share of revenue</t>
  </si>
  <si>
    <t xml:space="preserve">Revenue per groom (grooming + retail) ($)</t>
  </si>
  <si>
    <t xml:space="preserve">Boarding revenue per available run-night ($)</t>
  </si>
  <si>
    <t xml:space="preserve">Revenue per groomer (year-end FTE)</t>
  </si>
  <si>
    <t xml:space="preserve">Inputs — Low / Base / High</t>
  </si>
  <si>
    <t xml:space="preserve">Illustrative assumptions - replace them with your own numbers.</t>
  </si>
  <si>
    <t xml:space="preserve">Unit</t>
  </si>
  <si>
    <t xml:space="preserve">Source / comment</t>
  </si>
  <si>
    <t xml:space="preserve">Grooming demand</t>
  </si>
  <si>
    <t xml:space="preserve">Grooming appointments per operating day at maturity (year 1)</t>
  </si>
  <si>
    <t xml:space="preserve">grooms</t>
  </si>
  <si>
    <t xml:space="preserve">Low ≤ Base ≤ High</t>
  </si>
  <si>
    <t xml:space="preserve">Grooming volume growth per year</t>
  </si>
  <si>
    <t xml:space="preserve">%</t>
  </si>
  <si>
    <t xml:space="preserve">Operating days per month</t>
  </si>
  <si>
    <t xml:space="preserve">days</t>
  </si>
  <si>
    <t xml:space="preserve">Months to reach mature volume (0 = already mature)</t>
  </si>
  <si>
    <t xml:space="preserve">months</t>
  </si>
  <si>
    <t xml:space="preserve">Low ≥ Base ≥ High (lower is better)</t>
  </si>
  <si>
    <t xml:space="preserve">Volume in month 1, % of mature (grooming and boarding)</t>
  </si>
  <si>
    <t xml:space="preserve">Grooming capacity</t>
  </si>
  <si>
    <t xml:space="preserve">Grooming tables / tub stations</t>
  </si>
  <si>
    <t xml:space="preserve">stations</t>
  </si>
  <si>
    <t xml:space="preserve">Grooms one station can turn per operating day</t>
  </si>
  <si>
    <t xml:space="preserve">Grooms one groomer can finish per operating day</t>
  </si>
  <si>
    <t xml:space="preserve">Grooming prices &amp; retail</t>
  </si>
  <si>
    <t xml:space="preserve">Average price per groom (year 1)</t>
  </si>
  <si>
    <t xml:space="preserve">$</t>
  </si>
  <si>
    <t xml:space="preserve">Price increase per year (grooming, boarding, retail)</t>
  </si>
  <si>
    <t xml:space="preserve">Retail sales per groom (shampoo, treats, accessories; year 1)</t>
  </si>
  <si>
    <t xml:space="preserve">Retail gross margin, % of retail sales</t>
  </si>
  <si>
    <t xml:space="preserve">Boarding</t>
  </si>
  <si>
    <t xml:space="preserve">Kennel runs / suites</t>
  </si>
  <si>
    <t xml:space="preserve">runs</t>
  </si>
  <si>
    <t xml:space="preserve">Average boarding occupancy at maturity, % of run-nights (year 1)</t>
  </si>
  <si>
    <t xml:space="preserve">Occupancy growth per year (capped at 100%)</t>
  </si>
  <si>
    <t xml:space="preserve">Peak-season uplift, June-August and December (monthly models)</t>
  </si>
  <si>
    <t xml:space="preserve">Calendar nights per month</t>
  </si>
  <si>
    <t xml:space="preserve">nights</t>
  </si>
  <si>
    <t xml:space="preserve">Average nightly rate per run (year 1)</t>
  </si>
  <si>
    <t xml:space="preserve">Groomer commission, % of grooming revenue</t>
  </si>
  <si>
    <t xml:space="preserve">Shampoo, blades &amp; supplies per groom (year 1)</t>
  </si>
  <si>
    <t xml:space="preserve">Food, cleaning &amp; laundry per boarded night (year 1)</t>
  </si>
  <si>
    <t xml:space="preserve">Shop costs</t>
  </si>
  <si>
    <t xml:space="preserve">Shop rent or land cost per month</t>
  </si>
  <si>
    <t xml:space="preserve">Rent increase per year</t>
  </si>
  <si>
    <t xml:space="preserve">Insurance (care, custody, liability) per month</t>
  </si>
  <si>
    <t xml:space="preserve">Utilities, software, vet-on-call &amp; other G&amp;A per month</t>
  </si>
  <si>
    <t xml:space="preserve">Marketing budget per month (year 1)</t>
  </si>
  <si>
    <t xml:space="preserve">Marketing budget growth per year</t>
  </si>
  <si>
    <t xml:space="preserve">Card processing fees, % of revenue</t>
  </si>
  <si>
    <t xml:space="preserve">Cost increase per year (insurance, utilities, supplies, food)</t>
  </si>
  <si>
    <t xml:space="preserve">Grooming table, tub &amp; dryer per station (month 1)</t>
  </si>
  <si>
    <t xml:space="preserve">Kennel run build-out per run (month 1)</t>
  </si>
  <si>
    <t xml:space="preserve">Leasehold improvements, flooring, HVAC &amp; signage (month 1)</t>
  </si>
  <si>
    <t xml:space="preserve">Land or building purchase (month 1; never depreciated, 0 = leased shop)</t>
  </si>
  <si>
    <t xml:space="preserve">Equipment &amp; kennel refresh per year (from year 2)</t>
  </si>
  <si>
    <t xml:space="preserve">Headcount</t>
  </si>
  <si>
    <t xml:space="preserve">Groomers (guaranteed base pay): headcount (FTE)</t>
  </si>
  <si>
    <t xml:space="preserve">FTE</t>
  </si>
  <si>
    <t xml:space="preserve">Groomers (guaranteed base pay): salary per FTE per year</t>
  </si>
  <si>
    <t xml:space="preserve">Groomers (guaranteed base pay): headcount growth per year</t>
  </si>
  <si>
    <t xml:space="preserve">Groomers (guaranteed base pay): first month on payroll</t>
  </si>
  <si>
    <t xml:space="preserve">month #</t>
  </si>
  <si>
    <t xml:space="preserve">Kennel attendants &amp; daycare: headcount (FTE)</t>
  </si>
  <si>
    <t xml:space="preserve">Kennel attendants &amp; daycare: salary per FTE per year</t>
  </si>
  <si>
    <t xml:space="preserve">Kennel attendants &amp; daycare: headcount growth per year</t>
  </si>
  <si>
    <t xml:space="preserve">Kennel attendants &amp; daycare: first month on payroll</t>
  </si>
  <si>
    <t xml:space="preserve">Manager &amp; front desk: headcount (FTE)</t>
  </si>
  <si>
    <t xml:space="preserve">Manager &amp; front desk: salary per FTE per year</t>
  </si>
  <si>
    <t xml:space="preserve">Manager &amp; front desk: headcount growth per year</t>
  </si>
  <si>
    <t xml:space="preserve">Manager &amp; front desk: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</si>
  <si>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</si>
  <si>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</si>
  <si>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</si>
  <si>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</si>
  <si>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</si>
  <si>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</si>
  <si>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</si>
  <si>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</si>
  <si>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</si>
  <si>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</si>
  <si>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</si>
  <si>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</si>
  <si>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</si>
  <si>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</si>
  <si>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</si>
  <si>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</si>
  <si>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</si>
  <si>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</si>
  <si>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</si>
  <si>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</si>
  <si>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</si>
  <si>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</si>
  <si>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</si>
  <si>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</si>
  <si>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Attendants, manager &amp; other payroll</t>
  </si>
  <si>
    <t xml:space="preserve">Shop rent or land cost</t>
  </si>
  <si>
    <t xml:space="preserve">Insurance</t>
  </si>
  <si>
    <t xml:space="preserve">Utilities, software &amp; other G&amp;A</t>
  </si>
  <si>
    <t xml:space="preserve">Marketing</t>
  </si>
  <si>
    <t xml:space="preserve">Card processing fees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</si>
  <si>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</si>
  <si>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</si>
  <si>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</si>
  <si>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</si>
  <si>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</si>
  <si>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</si>
  <si>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</si>
  <si>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</si>
  <si>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</si>
  <si>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</si>
  <si>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</si>
  <si>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</si>
  <si>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</si>
  <si>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</si>
  <si>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</si>
  <si>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</si>
  <si>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</si>
  <si>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</si>
  <si>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</si>
  <si>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</si>
  <si>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</si>
  <si>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</si>
  <si>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</si>
  <si>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</si>
  <si>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</si>
  <si>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</si>
  <si>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</si>
  <si>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</si>
  <si>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</si>
  <si>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</si>
  <si>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</si>
  <si>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</si>
  <si>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</si>
  <si>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</si>
  <si>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</si>
  <si>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</si>
  <si>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</si>
  <si>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</si>
  <si>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</si>
  <si>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</si>
  <si>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</si>
  <si>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</si>
  <si>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</si>
  <si>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</si>
  <si>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</si>
  <si>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Period #</t>
  </si>
  <si>
    <t xml:space="preserve">Helper: months of the period still on the ramp-up</t>
  </si>
  <si>
    <t xml:space="preserve">Ramp-up factor (share of mature volume)</t>
  </si>
  <si>
    <t xml:space="preserve">Grooms demanded</t>
  </si>
  <si>
    <t xml:space="preserve">Station capacity (stations × grooms per station-day × operating days)</t>
  </si>
  <si>
    <t xml:space="preserve">Groomer capacity (FTE × grooms per groomer-day × operating days)</t>
  </si>
  <si>
    <t xml:space="preserve">Grooms completed (demand capped by capacity)</t>
  </si>
  <si>
    <t xml:space="preserve">Boarding season factor (June-August, December)</t>
  </si>
  <si>
    <t xml:space="preserve">Available run-nights (runs × calendar nights)</t>
  </si>
  <si>
    <t xml:space="preserve">Occupancy (maturity × growth × ramp × season, capped at 100%)</t>
  </si>
  <si>
    <t xml:space="preserve">Average price per groom</t>
  </si>
  <si>
    <t xml:space="preserve">Groomer base pay</t>
  </si>
  <si>
    <t xml:space="preserve">Groomer commission</t>
  </si>
  <si>
    <t xml:space="preserve">Grooming supplies</t>
  </si>
  <si>
    <t xml:space="preserve">Boarding food, cleaning &amp; laundry</t>
  </si>
  <si>
    <t xml:space="preserve">Retail cost of goods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</si>
  <si>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</si>
  <si>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</si>
  <si>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</si>
  <si>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</si>
  <si>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</si>
  <si>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Grooming tables, tubs &amp; dryers</t>
  </si>
  <si>
    <t xml:space="preserve">Kennel run build-out</t>
  </si>
  <si>
    <t xml:space="preserve">Leasehold improvements &amp; signage</t>
  </si>
  <si>
    <t xml:space="preserve">Land or building (not depreciated)</t>
  </si>
  <si>
    <t xml:space="preserve">Equipment &amp; kennel refresh (first period of each year from year 2)</t>
  </si>
  <si>
    <t xml:space="preserve">Fixed assets at cost</t>
  </si>
  <si>
    <t xml:space="preserve">Land at cost (not depreciated)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</si>
  <si>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</si>
  <si>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</si>
  <si>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</si>
  <si>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</si>
  <si>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</si>
  <si>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</si>
  <si>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</si>
  <si>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</si>
  <si>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</si>
  <si>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</si>
  <si>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</si>
  <si>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</si>
  <si>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</si>
  <si>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</si>
  <si>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</si>
  <si>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</si>
  <si>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</si>
  <si>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</si>
  <si>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</si>
  <si>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Groomers (guaranteed base pay) — FTE</t>
  </si>
  <si>
    <t xml:space="preserve">Kennel attendants &amp; daycare — FTE</t>
  </si>
  <si>
    <t xml:space="preserve">Manager &amp; front desk — FTE</t>
  </si>
  <si>
    <t xml:space="preserve">Total FTE</t>
  </si>
  <si>
    <t xml:space="preserve">Payroll cost (salary + taxes &amp; benefits)</t>
  </si>
  <si>
    <t xml:space="preserve">Groomers (guaranteed base pay) — payroll cost</t>
  </si>
  <si>
    <t xml:space="preserve">Kennel attendants &amp; daycare — payroll cost</t>
  </si>
  <si>
    <t xml:space="preserve">Manager &amp; front desk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</si>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</sst>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\$#,##0.00;&quot;($&quot;#,##0.00\)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#,##0.0;\(#,##0.0\);\-"/>
    <numFmt numFmtId="184" formatCode="\$#,##0.00;&quot;($&quot;#,##0.00\);\-"/>
    <numFmt numFmtId="185" formatCode="#,##0;\(#,##0\);\-"/>
    <numFmt numFmtId="186" formatCode="0.0%;\(0.0%\);\-"/>
    <numFmt numFmtId="187" formatCode="\$#,##0;&quot;($&quot;#,##0\);\-"/>
    <numFmt numFmtId="188" formatCode="0"/>
    <numFmt numFmtId="189" formatCode="0.0\x"/>
    <numFmt numFmtId="190" formatCode="0.000"/>
    <numFmt numFmtId="191" formatCode="0.0\x;\(0.0&quot;x)&quot;;\-"/>
    <numFmt numFmtId="192" formatCode="[&gt;=1000000]\$#,##0.0,,\M;[&gt;=1000]\$#,##0,\k;\$#,##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Dashboard!$B$12:$D$12</c:f>
              <c:numCache>
                <c:formatCode>\$#,##0,;"($"#,##0,\);\-</c:formatCode>
                <c:ptCount val="3"/>
                <c:pt idx="0">
                  <c:v>574501.9488</c:v>
                </c:pt>
                <c:pt idx="1">
                  <c:v>835486.75776</c:v>
                </c:pt>
                <c:pt idx="2">
                  <c:v>886367.901307584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Dashboard!$B$16:$D$16</c:f>
              <c:numCache>
                <c:formatCode>\$#,##0,;"($"#,##0,\);\-</c:formatCode>
                <c:ptCount val="3"/>
                <c:pt idx="0">
                  <c:v>-64148.398624</c:v>
                </c:pt>
                <c:pt idx="1">
                  <c:v>111882.3786752</c:v>
                </c:pt>
                <c:pt idx="2">
                  <c:v>140856.64848652</c:v>
                </c:pt>
              </c:numCache>
            </c:numRef>
          </c:val>
        </c:ser>
        <c:gapWidth val="60"/>
        <c:overlap val="0"/>
        <c:axId val="57121618"/>
        <c:axId val="88739103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Dashboard!$B$17:$D$17</c:f>
              <c:numCache>
                <c:formatCode>0.0%;\(0.0%\);\-</c:formatCode>
                <c:ptCount val="3"/>
                <c:pt idx="0">
                  <c:v>-0.111659148864492</c:v>
                </c:pt>
                <c:pt idx="1">
                  <c:v>0.133912809073318</c:v>
                </c:pt>
                <c:pt idx="2">
                  <c:v>0.158914428510696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6839020"/>
        <c:axId val="34025129"/>
      </c:lineChart>
      <c:catAx>
        <c:axId val="5712161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8739103"/>
        <c:crosses val="autoZero"/>
        <c:auto val="1"/>
        <c:lblAlgn val="ctr"/>
        <c:lblOffset val="100"/>
        <c:noMultiLvlLbl val="0"/>
      </c:catAx>
      <c:valAx>
        <c:axId val="8873910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121618"/>
        <c:crosses val="autoZero"/>
        <c:crossBetween val="between"/>
      </c:valAx>
      <c:catAx>
        <c:axId val="26839020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4025129"/>
        <c:crosses val="autoZero"/>
        <c:auto val="1"/>
        <c:lblAlgn val="ctr"/>
        <c:lblOffset val="100"/>
        <c:noMultiLvlLbl val="0"/>
      </c:catAx>
      <c:valAx>
        <c:axId val="3402512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683902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Dashboard!$B$20:$D$20</c:f>
              <c:numCache>
                <c:formatCode>\$#,##0,;"($"#,##0,\);\-</c:formatCode>
                <c:ptCount val="3"/>
                <c:pt idx="0">
                  <c:v>-62809.5271128889</c:v>
                </c:pt>
                <c:pt idx="1">
                  <c:v>105940.941991893</c:v>
                </c:pt>
                <c:pt idx="2">
                  <c:v>116873.338266278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Dashboard!$B$21:$D$21</c:f>
              <c:numCache>
                <c:formatCode>\$#,##0,;"($"#,##0,\);\-</c:formatCode>
                <c:ptCount val="3"/>
                <c:pt idx="0">
                  <c:v>-189000</c:v>
                </c:pt>
                <c:pt idx="1">
                  <c:v>-10000</c:v>
                </c:pt>
                <c:pt idx="2">
                  <c:v>-10000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Dashboard!$B$22:$D$22</c:f>
              <c:numCache>
                <c:formatCode>\$#,##0,;"($"#,##0,\);\-</c:formatCode>
                <c:ptCount val="3"/>
                <c:pt idx="0">
                  <c:v>411666.666666667</c:v>
                </c:pt>
                <c:pt idx="1">
                  <c:v>-20000</c:v>
                </c:pt>
                <c:pt idx="2">
                  <c:v>-20000</c:v>
                </c:pt>
              </c:numCache>
            </c:numRef>
          </c:val>
        </c:ser>
        <c:gapWidth val="60"/>
        <c:overlap val="0"/>
        <c:axId val="81597839"/>
        <c:axId val="64506433"/>
      </c:barChart>
      <c:catAx>
        <c:axId val="8159783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506433"/>
        <c:crosses val="autoZero"/>
        <c:auto val="1"/>
        <c:lblAlgn val="ctr"/>
        <c:lblOffset val="100"/>
        <c:noMultiLvlLbl val="0"/>
      </c:catAx>
      <c:valAx>
        <c:axId val="6450643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59783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Dashboard!$B$24:$D$24</c:f>
              <c:numCache>
                <c:formatCode>\$#,##0,;"($"#,##0,\);\-</c:formatCode>
                <c:ptCount val="3"/>
                <c:pt idx="0">
                  <c:v>159857.139553778</c:v>
                </c:pt>
                <c:pt idx="1">
                  <c:v>235798.081545671</c:v>
                </c:pt>
                <c:pt idx="2">
                  <c:v>322671.41981195</c:v>
                </c:pt>
              </c:numCache>
            </c:numRef>
          </c:val>
        </c:ser>
        <c:gapWidth val="60"/>
        <c:overlap val="0"/>
        <c:axId val="95726086"/>
        <c:axId val="5793045"/>
      </c:barChart>
      <c:catAx>
        <c:axId val="9572608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93045"/>
        <c:crosses val="autoZero"/>
        <c:auto val="1"/>
        <c:lblAlgn val="ctr"/>
        <c:lblOffset val="100"/>
        <c:noMultiLvlLbl val="0"/>
      </c:catAx>
      <c:valAx>
        <c:axId val="579304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57260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Grooms completed &amp; boarding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Grooms completed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Dashboard!$B$28:$D$28</c:f>
              <c:numCache>
                <c:formatCode>#,##0;\(#,##0\);\-</c:formatCode>
                <c:ptCount val="3"/>
                <c:pt idx="0">
                  <c:v>3619.2</c:v>
                </c:pt>
                <c:pt idx="1">
                  <c:v>5141.76</c:v>
                </c:pt>
                <c:pt idx="2">
                  <c:v>5296.0128</c:v>
                </c:pt>
              </c:numCache>
            </c:numRef>
          </c:val>
        </c:ser>
        <c:gapWidth val="60"/>
        <c:overlap val="0"/>
        <c:axId val="87632883"/>
        <c:axId val="3695629"/>
      </c:barChart>
      <c:lineChart>
        <c:grouping val="standard"/>
        <c:varyColors val="0"/>
        <c:ser>
          <c:idx val="1"/>
          <c:order val="1"/>
          <c:tx>
            <c:strRef>
              <c:f>Dashboard!$A$30</c:f>
              <c:strCache>
                <c:ptCount val="1"/>
                <c:pt idx="0">
                  <c:v>Boarding occupancy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Dashboard!$B$30:$D$30</c:f>
              <c:numCache>
                <c:formatCode>0.0%;\(0.0%\);\-</c:formatCode>
                <c:ptCount val="3"/>
                <c:pt idx="0">
                  <c:v>0.45539</c:v>
                </c:pt>
                <c:pt idx="1">
                  <c:v>0.6386</c:v>
                </c:pt>
                <c:pt idx="2">
                  <c:v>0.657758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321677"/>
        <c:axId val="34829431"/>
      </c:lineChart>
      <c:catAx>
        <c:axId val="8763288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695629"/>
        <c:crosses val="autoZero"/>
        <c:auto val="1"/>
        <c:lblAlgn val="ctr"/>
        <c:lblOffset val="100"/>
        <c:noMultiLvlLbl val="0"/>
      </c:catAx>
      <c:valAx>
        <c:axId val="369562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7632883"/>
        <c:crosses val="autoZero"/>
        <c:crossBetween val="between"/>
      </c:valAx>
      <c:catAx>
        <c:axId val="42321677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4829431"/>
        <c:crosses val="autoZero"/>
        <c:auto val="1"/>
        <c:lblAlgn val="ctr"/>
        <c:lblOffset val="100"/>
        <c:noMultiLvlLbl val="0"/>
      </c:catAx>
      <c:valAx>
        <c:axId val="3482943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232167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25006.912</c:v>
                </c:pt>
                <c:pt idx="1">
                  <c:v>28757.9488</c:v>
                </c:pt>
                <c:pt idx="2">
                  <c:v>32508.9856</c:v>
                </c:pt>
                <c:pt idx="3">
                  <c:v>36260.0224</c:v>
                </c:pt>
                <c:pt idx="4">
                  <c:v>40011.0592</c:v>
                </c:pt>
                <c:pt idx="5">
                  <c:v>50292.928</c:v>
                </c:pt>
                <c:pt idx="6">
                  <c:v>54603.7504</c:v>
                </c:pt>
                <c:pt idx="7">
                  <c:v>58914.5728</c:v>
                </c:pt>
                <c:pt idx="8">
                  <c:v>55015.2064</c:v>
                </c:pt>
                <c:pt idx="9">
                  <c:v>58766.2432</c:v>
                </c:pt>
                <c:pt idx="10">
                  <c:v>62517.28</c:v>
                </c:pt>
                <c:pt idx="11">
                  <c:v>71847.04</c:v>
                </c:pt>
              </c:numCache>
            </c:numRef>
          </c:val>
        </c:ser>
        <c:gapWidth val="60"/>
        <c:overlap val="0"/>
        <c:axId val="25226243"/>
        <c:axId val="60537177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-21450.9990933333</c:v>
                </c:pt>
                <c:pt idx="1">
                  <c:v>-18883.0239573333</c:v>
                </c:pt>
                <c:pt idx="2">
                  <c:v>-16315.0488213333</c:v>
                </c:pt>
                <c:pt idx="3">
                  <c:v>-13747.0736853333</c:v>
                </c:pt>
                <c:pt idx="4">
                  <c:v>-11179.0985493333</c:v>
                </c:pt>
                <c:pt idx="5">
                  <c:v>-2988.67077333334</c:v>
                </c:pt>
                <c:pt idx="6">
                  <c:v>61.2288746666673</c:v>
                </c:pt>
                <c:pt idx="7">
                  <c:v>3111.12852266667</c:v>
                </c:pt>
                <c:pt idx="8">
                  <c:v>-907.198005333339</c:v>
                </c:pt>
                <c:pt idx="9">
                  <c:v>1660.77713066666</c:v>
                </c:pt>
                <c:pt idx="10">
                  <c:v>4228.75226666666</c:v>
                </c:pt>
                <c:pt idx="11">
                  <c:v>12260.8274666667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-24169.7490933333</c:v>
                </c:pt>
                <c:pt idx="1">
                  <c:v>-21595.5239573333</c:v>
                </c:pt>
                <c:pt idx="2">
                  <c:v>-19015.0488213333</c:v>
                </c:pt>
                <c:pt idx="3">
                  <c:v>-16434.5736853333</c:v>
                </c:pt>
                <c:pt idx="4">
                  <c:v>-13854.0985493333</c:v>
                </c:pt>
                <c:pt idx="5">
                  <c:v>-5651.17077333334</c:v>
                </c:pt>
                <c:pt idx="6">
                  <c:v>-2588.77112533333</c:v>
                </c:pt>
                <c:pt idx="7">
                  <c:v>473.628522666666</c:v>
                </c:pt>
                <c:pt idx="8">
                  <c:v>-3532.19800533334</c:v>
                </c:pt>
                <c:pt idx="9">
                  <c:v>-951.722869333338</c:v>
                </c:pt>
                <c:pt idx="10">
                  <c:v>1628.75226666666</c:v>
                </c:pt>
                <c:pt idx="11">
                  <c:v>9673.32746666667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226243"/>
        <c:axId val="60537177"/>
      </c:lineChart>
      <c:catAx>
        <c:axId val="25226243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0537177"/>
        <c:crosses val="autoZero"/>
        <c:auto val="1"/>
        <c:lblAlgn val="ctr"/>
        <c:lblOffset val="100"/>
        <c:noMultiLvlLbl val="0"/>
      </c:catAx>
      <c:valAx>
        <c:axId val="6053717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52262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-16920.3308622222</c:v>
                </c:pt>
                <c:pt idx="1">
                  <c:v>-19198.8403893333</c:v>
                </c:pt>
                <c:pt idx="2">
                  <c:v>-16618.3652533333</c:v>
                </c:pt>
                <c:pt idx="3">
                  <c:v>-14037.8901173333</c:v>
                </c:pt>
                <c:pt idx="4">
                  <c:v>-11457.4149813333</c:v>
                </c:pt>
                <c:pt idx="5">
                  <c:v>-3238.65488533334</c:v>
                </c:pt>
                <c:pt idx="6">
                  <c:v>-190.730501333334</c:v>
                </c:pt>
                <c:pt idx="7">
                  <c:v>2871.66914666667</c:v>
                </c:pt>
                <c:pt idx="8">
                  <c:v>-1154.06086933334</c:v>
                </c:pt>
                <c:pt idx="9">
                  <c:v>1444.96069866666</c:v>
                </c:pt>
                <c:pt idx="10">
                  <c:v>4025.43583466666</c:v>
                </c:pt>
                <c:pt idx="11">
                  <c:v>11664.6950666667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-189000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430000</c:v>
                </c:pt>
                <c:pt idx="1">
                  <c:v>-1666.66666666667</c:v>
                </c:pt>
                <c:pt idx="2">
                  <c:v>-1666.66666666667</c:v>
                </c:pt>
                <c:pt idx="3">
                  <c:v>-1666.66666666667</c:v>
                </c:pt>
                <c:pt idx="4">
                  <c:v>-1666.66666666667</c:v>
                </c:pt>
                <c:pt idx="5">
                  <c:v>-1666.66666666667</c:v>
                </c:pt>
                <c:pt idx="6">
                  <c:v>-1666.66666666667</c:v>
                </c:pt>
                <c:pt idx="7">
                  <c:v>-1666.66666666667</c:v>
                </c:pt>
                <c:pt idx="8">
                  <c:v>-1666.66666666667</c:v>
                </c:pt>
                <c:pt idx="9">
                  <c:v>-1666.66666666667</c:v>
                </c:pt>
                <c:pt idx="10">
                  <c:v>-1666.66666666667</c:v>
                </c:pt>
                <c:pt idx="11">
                  <c:v>-1666.66666666667</c:v>
                </c:pt>
              </c:numCache>
            </c:numRef>
          </c:val>
        </c:ser>
        <c:gapWidth val="60"/>
        <c:overlap val="0"/>
        <c:axId val="92991152"/>
        <c:axId val="42712396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224079.669137778</c:v>
                </c:pt>
                <c:pt idx="1">
                  <c:v>203214.162081778</c:v>
                </c:pt>
                <c:pt idx="2">
                  <c:v>184929.130161778</c:v>
                </c:pt>
                <c:pt idx="3">
                  <c:v>169224.573377778</c:v>
                </c:pt>
                <c:pt idx="4">
                  <c:v>156100.491729778</c:v>
                </c:pt>
                <c:pt idx="5">
                  <c:v>151195.170177778</c:v>
                </c:pt>
                <c:pt idx="6">
                  <c:v>149337.773009778</c:v>
                </c:pt>
                <c:pt idx="7">
                  <c:v>150542.775489778</c:v>
                </c:pt>
                <c:pt idx="8">
                  <c:v>147722.047953778</c:v>
                </c:pt>
                <c:pt idx="9">
                  <c:v>147500.341985778</c:v>
                </c:pt>
                <c:pt idx="10">
                  <c:v>149859.111153778</c:v>
                </c:pt>
                <c:pt idx="11">
                  <c:v>159857.139553778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320147"/>
        <c:axId val="61798076"/>
      </c:lineChart>
      <c:catAx>
        <c:axId val="92991152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2712396"/>
        <c:crosses val="autoZero"/>
        <c:auto val="1"/>
        <c:lblAlgn val="ctr"/>
        <c:lblOffset val="100"/>
        <c:noMultiLvlLbl val="0"/>
      </c:catAx>
      <c:valAx>
        <c:axId val="4271239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2991152"/>
        <c:crosses val="autoZero"/>
        <c:crossBetween val="between"/>
      </c:valAx>
      <c:catAx>
        <c:axId val="24320147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1798076"/>
        <c:crosses val="autoZero"/>
        <c:auto val="1"/>
        <c:lblAlgn val="ctr"/>
        <c:lblOffset val="100"/>
        <c:noMultiLvlLbl val="0"/>
      </c:catAx>
      <c:valAx>
        <c:axId val="61798076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432014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224079.669137778</c:v>
                </c:pt>
                <c:pt idx="1">
                  <c:v>203214.162081778</c:v>
                </c:pt>
                <c:pt idx="2">
                  <c:v>184929.130161778</c:v>
                </c:pt>
                <c:pt idx="3">
                  <c:v>169224.573377778</c:v>
                </c:pt>
                <c:pt idx="4">
                  <c:v>156100.491729778</c:v>
                </c:pt>
                <c:pt idx="5">
                  <c:v>151195.170177778</c:v>
                </c:pt>
                <c:pt idx="6">
                  <c:v>149337.773009778</c:v>
                </c:pt>
                <c:pt idx="7">
                  <c:v>150542.775489778</c:v>
                </c:pt>
                <c:pt idx="8">
                  <c:v>147722.047953778</c:v>
                </c:pt>
                <c:pt idx="9">
                  <c:v>147500.341985778</c:v>
                </c:pt>
                <c:pt idx="10">
                  <c:v>149859.111153778</c:v>
                </c:pt>
                <c:pt idx="11">
                  <c:v>159857.139553778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1667.12746666667</c:v>
                </c:pt>
                <c:pt idx="1">
                  <c:v>1917.19658666667</c:v>
                </c:pt>
                <c:pt idx="2">
                  <c:v>2167.26570666667</c:v>
                </c:pt>
                <c:pt idx="3">
                  <c:v>2417.33482666667</c:v>
                </c:pt>
                <c:pt idx="4">
                  <c:v>2667.40394666667</c:v>
                </c:pt>
                <c:pt idx="5">
                  <c:v>3352.86186666667</c:v>
                </c:pt>
                <c:pt idx="6">
                  <c:v>3640.25002666667</c:v>
                </c:pt>
                <c:pt idx="7">
                  <c:v>3927.63818666667</c:v>
                </c:pt>
                <c:pt idx="8">
                  <c:v>3667.68042666667</c:v>
                </c:pt>
                <c:pt idx="9">
                  <c:v>3917.74954666667</c:v>
                </c:pt>
                <c:pt idx="10">
                  <c:v>4167.81866666667</c:v>
                </c:pt>
                <c:pt idx="11">
                  <c:v>4789.80266666667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187031.25</c:v>
                </c:pt>
                <c:pt idx="1">
                  <c:v>185062.5</c:v>
                </c:pt>
                <c:pt idx="2">
                  <c:v>183093.75</c:v>
                </c:pt>
                <c:pt idx="3">
                  <c:v>181125</c:v>
                </c:pt>
                <c:pt idx="4">
                  <c:v>179156.25</c:v>
                </c:pt>
                <c:pt idx="5">
                  <c:v>177187.5</c:v>
                </c:pt>
                <c:pt idx="6">
                  <c:v>175218.75</c:v>
                </c:pt>
                <c:pt idx="7">
                  <c:v>173250</c:v>
                </c:pt>
                <c:pt idx="8">
                  <c:v>171281.25</c:v>
                </c:pt>
                <c:pt idx="9">
                  <c:v>169312.5</c:v>
                </c:pt>
                <c:pt idx="10">
                  <c:v>167343.75</c:v>
                </c:pt>
                <c:pt idx="11">
                  <c:v>165375</c:v>
                </c:pt>
              </c:numCache>
            </c:numRef>
          </c:val>
        </c:ser>
        <c:gapWidth val="60"/>
        <c:overlap val="100"/>
        <c:axId val="89059826"/>
        <c:axId val="29266358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305830.250906667</c:v>
                </c:pt>
                <c:pt idx="1">
                  <c:v>284234.726949333</c:v>
                </c:pt>
                <c:pt idx="2">
                  <c:v>265219.678128</c:v>
                </c:pt>
                <c:pt idx="3">
                  <c:v>248785.104442667</c:v>
                </c:pt>
                <c:pt idx="4">
                  <c:v>234931.005893333</c:v>
                </c:pt>
                <c:pt idx="5">
                  <c:v>229279.83512</c:v>
                </c:pt>
                <c:pt idx="6">
                  <c:v>226691.063994667</c:v>
                </c:pt>
                <c:pt idx="7">
                  <c:v>227164.692517333</c:v>
                </c:pt>
                <c:pt idx="8">
                  <c:v>223632.494512</c:v>
                </c:pt>
                <c:pt idx="9">
                  <c:v>222680.771642667</c:v>
                </c:pt>
                <c:pt idx="10">
                  <c:v>224309.523909333</c:v>
                </c:pt>
                <c:pt idx="11">
                  <c:v>233982.851376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059826"/>
        <c:axId val="29266358"/>
      </c:lineChart>
      <c:catAx>
        <c:axId val="89059826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9266358"/>
        <c:crosses val="autoZero"/>
        <c:auto val="1"/>
        <c:lblAlgn val="ctr"/>
        <c:lblOffset val="100"/>
        <c:noMultiLvlLbl val="0"/>
      </c:catAx>
      <c:valAx>
        <c:axId val="2926635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90598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Scenarios!$B$30:$D$30</c:f>
              <c:numCache>
                <c:formatCode>\$#,##0,;"($"#,##0,\);\-</c:formatCode>
                <c:ptCount val="3"/>
                <c:pt idx="0">
                  <c:v>331698.3</c:v>
                </c:pt>
                <c:pt idx="1">
                  <c:v>572496.987</c:v>
                </c:pt>
                <c:pt idx="2">
                  <c:v>585276.2544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Scenarios!$B$31:$D$31</c:f>
              <c:numCache>
                <c:formatCode>\$#,##0,;"($"#,##0,\);\-</c:formatCode>
                <c:ptCount val="3"/>
                <c:pt idx="0">
                  <c:v>574501.9488</c:v>
                </c:pt>
                <c:pt idx="1">
                  <c:v>835486.75776</c:v>
                </c:pt>
                <c:pt idx="2">
                  <c:v>886367.901307584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Scenarios!$B$32:$D$32</c:f>
              <c:numCache>
                <c:formatCode>\$#,##0,;"($"#,##0,\);\-</c:formatCode>
                <c:ptCount val="3"/>
                <c:pt idx="0">
                  <c:v>832792.8</c:v>
                </c:pt>
                <c:pt idx="1">
                  <c:v>1117499.136</c:v>
                </c:pt>
                <c:pt idx="2">
                  <c:v>1226561.77053696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236131"/>
        <c:axId val="41255122"/>
      </c:lineChart>
      <c:catAx>
        <c:axId val="4323613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1255122"/>
        <c:crosses val="autoZero"/>
        <c:auto val="1"/>
        <c:lblAlgn val="ctr"/>
        <c:lblOffset val="100"/>
        <c:noMultiLvlLbl val="0"/>
      </c:catAx>
      <c:valAx>
        <c:axId val="4125512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2361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Scenarios!$B$36:$D$36</c:f>
              <c:numCache>
                <c:formatCode>\$#,##0,;"($"#,##0,\);\-</c:formatCode>
                <c:ptCount val="3"/>
                <c:pt idx="0">
                  <c:v>-243337.0156</c:v>
                </c:pt>
                <c:pt idx="1">
                  <c:v>-89345.267984</c:v>
                </c:pt>
                <c:pt idx="2">
                  <c:v>-90341.0425408001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Scenarios!$B$37:$D$37</c:f>
              <c:numCache>
                <c:formatCode>\$#,##0,;"($"#,##0,\);\-</c:formatCode>
                <c:ptCount val="3"/>
                <c:pt idx="0">
                  <c:v>-64148.398624</c:v>
                </c:pt>
                <c:pt idx="1">
                  <c:v>111882.3786752</c:v>
                </c:pt>
                <c:pt idx="2">
                  <c:v>140856.64848652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Scenarios!$B$38:$D$38</c:f>
              <c:numCache>
                <c:formatCode>\$#,##0,;"($"#,##0,\);\-</c:formatCode>
                <c:ptCount val="3"/>
                <c:pt idx="0">
                  <c:v>134331.5216</c:v>
                </c:pt>
                <c:pt idx="1">
                  <c:v>329513.80304</c:v>
                </c:pt>
                <c:pt idx="2">
                  <c:v>399100.85925468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35108"/>
        <c:axId val="46173671"/>
      </c:lineChart>
      <c:catAx>
        <c:axId val="273510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6173671"/>
        <c:crosses val="autoZero"/>
        <c:auto val="1"/>
        <c:lblAlgn val="ctr"/>
        <c:lblOffset val="100"/>
        <c:noMultiLvlLbl val="0"/>
      </c:catAx>
      <c:valAx>
        <c:axId val="4617367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7351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Scenarios!$B$42:$D$42</c:f>
              <c:numCache>
                <c:formatCode>\$#,##0,;"($"#,##0,\);\-</c:formatCode>
                <c:ptCount val="3"/>
                <c:pt idx="0">
                  <c:v>-275205.7656</c:v>
                </c:pt>
                <c:pt idx="1">
                  <c:v>-120670.267984</c:v>
                </c:pt>
                <c:pt idx="2">
                  <c:v>-121116.0425408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Scenarios!$B$43:$D$43</c:f>
              <c:numCache>
                <c:formatCode>\$#,##0,;"($"#,##0,\);\-</c:formatCode>
                <c:ptCount val="3"/>
                <c:pt idx="0">
                  <c:v>-96017.148624</c:v>
                </c:pt>
                <c:pt idx="1">
                  <c:v>80557.3786752</c:v>
                </c:pt>
                <c:pt idx="2">
                  <c:v>90211.0539935985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Scenarios!$B$44:$D$44</c:f>
              <c:numCache>
                <c:formatCode>\$#,##0,;"($"#,##0,\);\-</c:formatCode>
                <c:ptCount val="3"/>
                <c:pt idx="0">
                  <c:v>80945.589564</c:v>
                </c:pt>
                <c:pt idx="1">
                  <c:v>235569.1544016</c:v>
                </c:pt>
                <c:pt idx="2">
                  <c:v>290977.428811198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491531"/>
        <c:axId val="88136703"/>
      </c:lineChart>
      <c:catAx>
        <c:axId val="6049153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8136703"/>
        <c:crosses val="autoZero"/>
        <c:auto val="1"/>
        <c:lblAlgn val="ctr"/>
        <c:lblOffset val="100"/>
        <c:noMultiLvlLbl val="0"/>
      </c:catAx>
      <c:valAx>
        <c:axId val="8813670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04915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Scenarios!$B$48:$D$48</c:f>
              <c:numCache>
                <c:formatCode>\$#,##0,;"($"#,##0,\);\-</c:formatCode>
                <c:ptCount val="3"/>
                <c:pt idx="0">
                  <c:v>-21226.8271555556</c:v>
                </c:pt>
                <c:pt idx="1">
                  <c:v>-145833.106428444</c:v>
                </c:pt>
                <c:pt idx="2">
                  <c:v>-270553.710289689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Scenarios!$B$49:$D$49</c:f>
              <c:numCache>
                <c:formatCode>\$#,##0,;"($"#,##0,\);\-</c:formatCode>
                <c:ptCount val="3"/>
                <c:pt idx="0">
                  <c:v>159857.139553778</c:v>
                </c:pt>
                <c:pt idx="1">
                  <c:v>235798.081545671</c:v>
                </c:pt>
                <c:pt idx="2">
                  <c:v>322671.41981195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Scenarios!$B$50:$D$50</c:f>
              <c:numCache>
                <c:formatCode>\$#,##0,;"($"#,##0,\);\-</c:formatCode>
                <c:ptCount val="3"/>
                <c:pt idx="0">
                  <c:v>337680.779341778</c:v>
                </c:pt>
                <c:pt idx="1">
                  <c:v>568958.060370844</c:v>
                </c:pt>
                <c:pt idx="2">
                  <c:v>856969.374097323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803148"/>
        <c:axId val="57406895"/>
      </c:lineChart>
      <c:catAx>
        <c:axId val="4580314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406895"/>
        <c:crosses val="autoZero"/>
        <c:auto val="1"/>
        <c:lblAlgn val="ctr"/>
        <c:lblOffset val="100"/>
        <c:noMultiLvlLbl val="0"/>
      </c:catAx>
      <c:valAx>
        <c:axId val="5740689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8031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330000</c:v>
                </c:pt>
                <c:pt idx="1">
                  <c:v>100000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62809.5271128889</c:v>
                </c:pt>
                <c:pt idx="1">
                  <c:v>189000</c:v>
                </c:pt>
                <c:pt idx="2">
                  <c:v>18333.3333333333</c:v>
                </c:pt>
                <c:pt idx="3">
                  <c:v>159857.139553778</c:v>
                </c:pt>
              </c:numCache>
            </c:numRef>
          </c:val>
        </c:ser>
        <c:gapWidth val="60"/>
        <c:overlap val="0"/>
        <c:axId val="89596899"/>
        <c:axId val="75010997"/>
      </c:barChart>
      <c:catAx>
        <c:axId val="8959689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5010997"/>
        <c:crosses val="autoZero"/>
        <c:auto val="1"/>
        <c:lblAlgn val="ctr"/>
        <c:lblOffset val="100"/>
        <c:noMultiLvlLbl val="0"/>
      </c:catAx>
      <c:valAx>
        <c:axId val="7501099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9596899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KPIs!$B$7:$D$7</c:f>
              <c:numCache>
                <c:formatCode>0.0%;\(0.0%\);\-</c:formatCode>
                <c:ptCount val="3"/>
                <c:pt idx="0">
                  <c:v>0.643925857192845</c:v>
                </c:pt>
                <c:pt idx="1">
                  <c:v>0.666249316626392</c:v>
                </c:pt>
                <c:pt idx="2">
                  <c:v>0.66790104837101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KPIs!$B$8:$D$8</c:f>
              <c:numCache>
                <c:formatCode>0.0%;\(0.0%\);\-</c:formatCode>
                <c:ptCount val="3"/>
                <c:pt idx="0">
                  <c:v>-0.111659148864492</c:v>
                </c:pt>
                <c:pt idx="1">
                  <c:v>0.133912809073318</c:v>
                </c:pt>
                <c:pt idx="2">
                  <c:v>0.158914428510696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KPIs!$B$9:$D$9</c:f>
              <c:numCache>
                <c:formatCode>0.0%;\(0.0%\);\-</c:formatCode>
                <c:ptCount val="3"/>
                <c:pt idx="0">
                  <c:v>-0.167131110389716</c:v>
                </c:pt>
                <c:pt idx="1">
                  <c:v>0.0964196953775547</c:v>
                </c:pt>
                <c:pt idx="2">
                  <c:v>0.101776084017165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792746"/>
        <c:axId val="38497937"/>
      </c:lineChart>
      <c:catAx>
        <c:axId val="5979274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8497937"/>
        <c:crosses val="autoZero"/>
        <c:auto val="1"/>
        <c:lblAlgn val="ctr"/>
        <c:lblOffset val="100"/>
        <c:noMultiLvlLbl val="0"/>
      </c:catAx>
      <c:valAx>
        <c:axId val="3849793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97927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KPIs!$B$15:$D$15</c:f>
              <c:numCache>
                <c:formatCode>0.0%;\(0.0%\);\-</c:formatCode>
                <c:ptCount val="3"/>
                <c:pt idx="0">
                  <c:v>-0.28699478632634</c:v>
                </c:pt>
                <c:pt idx="1">
                  <c:v>0.203339939676496</c:v>
                </c:pt>
                <c:pt idx="2">
                  <c:v>0.192966409023321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KPIs!$B$16:$D$16</c:f>
              <c:numCache>
                <c:formatCode>0.0%;\(0.0%\);\-</c:formatCode>
                <c:ptCount val="3"/>
                <c:pt idx="0">
                  <c:v>-0.41035976807422</c:v>
                </c:pt>
                <c:pt idx="1">
                  <c:v>0.256111527171221</c:v>
                </c:pt>
                <c:pt idx="2">
                  <c:v>0.222880216937406</c:v>
                </c:pt>
              </c:numCache>
            </c:numRef>
          </c:val>
        </c:ser>
        <c:gapWidth val="60"/>
        <c:overlap val="0"/>
        <c:axId val="78843238"/>
        <c:axId val="52870131"/>
      </c:barChart>
      <c:catAx>
        <c:axId val="7884323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2870131"/>
        <c:crosses val="autoZero"/>
        <c:auto val="1"/>
        <c:lblAlgn val="ctr"/>
        <c:lblOffset val="100"/>
        <c:noMultiLvlLbl val="0"/>
      </c:catAx>
      <c:valAx>
        <c:axId val="5287013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88432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Grooms completed and boarding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KPIs!$A$30</c:f>
              <c:strCache>
                <c:ptCount val="1"/>
                <c:pt idx="0">
                  <c:v>Grooms completed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KPIs!$B$30:$D$30</c:f>
              <c:numCache>
                <c:formatCode>#,##0;\(#,##0\);\-</c:formatCode>
                <c:ptCount val="3"/>
                <c:pt idx="0">
                  <c:v>3619.2</c:v>
                </c:pt>
                <c:pt idx="1">
                  <c:v>5141.76</c:v>
                </c:pt>
                <c:pt idx="2">
                  <c:v>5296.0128</c:v>
                </c:pt>
              </c:numCache>
            </c:numRef>
          </c:val>
        </c:ser>
        <c:gapWidth val="60"/>
        <c:overlap val="0"/>
        <c:axId val="91117457"/>
        <c:axId val="55699941"/>
      </c:barChart>
      <c:lineChart>
        <c:grouping val="standard"/>
        <c:varyColors val="0"/>
        <c:ser>
          <c:idx val="1"/>
          <c:order val="1"/>
          <c:tx>
            <c:strRef>
              <c:f>KPIs!$A$36</c:f>
              <c:strCache>
                <c:ptCount val="1"/>
                <c:pt idx="0">
                  <c:v>Boarding occupancy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KPIs!$B$36:$D$36</c:f>
              <c:numCache>
                <c:formatCode>0.0%;\(0.0%\);\-</c:formatCode>
                <c:ptCount val="3"/>
                <c:pt idx="0">
                  <c:v>0.45539</c:v>
                </c:pt>
                <c:pt idx="1">
                  <c:v>0.6386</c:v>
                </c:pt>
                <c:pt idx="2">
                  <c:v>0.657758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267579"/>
        <c:axId val="42222391"/>
      </c:lineChart>
      <c:catAx>
        <c:axId val="9111745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5699941"/>
        <c:crosses val="autoZero"/>
        <c:auto val="1"/>
        <c:lblAlgn val="ctr"/>
        <c:lblOffset val="100"/>
        <c:noMultiLvlLbl val="0"/>
      </c:catAx>
      <c:valAx>
        <c:axId val="5569994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117457"/>
        <c:crosses val="autoZero"/>
        <c:crossBetween val="between"/>
      </c:valAx>
      <c:catAx>
        <c:axId val="86267579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2222391"/>
        <c:crosses val="autoZero"/>
        <c:auto val="1"/>
        <c:lblAlgn val="ctr"/>
        <c:lblOffset val="100"/>
        <c:noMultiLvlLbl val="0"/>
      </c:catAx>
      <c:valAx>
        <c:axId val="4222239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626757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Grooming, boarding and retail revenue, EBITDA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KPIs!$A$38</c:f>
              <c:strCache>
                <c:ptCount val="1"/>
                <c:pt idx="0">
                  <c:v>Grooming 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KPIs!$B$38:$D$38</c:f>
              <c:numCache>
                <c:formatCode>\$#,##0,;"($"#,##0,\);\-</c:formatCode>
                <c:ptCount val="3"/>
                <c:pt idx="0">
                  <c:v>271440</c:v>
                </c:pt>
                <c:pt idx="1">
                  <c:v>397200.96</c:v>
                </c:pt>
                <c:pt idx="2">
                  <c:v>421390.498464</c:v>
                </c:pt>
              </c:numCache>
            </c:numRef>
          </c:val>
        </c:ser>
        <c:ser>
          <c:idx val="1"/>
          <c:order val="1"/>
          <c:tx>
            <c:strRef>
              <c:f>KPIs!$A$39</c:f>
              <c:strCache>
                <c:ptCount val="1"/>
                <c:pt idx="0">
                  <c:v>Boarding revenue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KPIs!$B$39:$D$39</c:f>
              <c:numCache>
                <c:formatCode>\$#,##0,;"($"#,##0,\);\-</c:formatCode>
                <c:ptCount val="3"/>
                <c:pt idx="0">
                  <c:v>274108.3488</c:v>
                </c:pt>
                <c:pt idx="1">
                  <c:v>395917.69536</c:v>
                </c:pt>
                <c:pt idx="2">
                  <c:v>420029.083007424</c:v>
                </c:pt>
              </c:numCache>
            </c:numRef>
          </c:val>
        </c:ser>
        <c:ser>
          <c:idx val="2"/>
          <c:order val="2"/>
          <c:tx>
            <c:strRef>
              <c:f>KPIs!$A$40</c:f>
              <c:strCache>
                <c:ptCount val="1"/>
                <c:pt idx="0">
                  <c:v>Retail revenue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KPIs!$B$40:$D$40</c:f>
              <c:numCache>
                <c:formatCode>\$#,##0,;"($"#,##0,\);\-</c:formatCode>
                <c:ptCount val="3"/>
                <c:pt idx="0">
                  <c:v>28953.6</c:v>
                </c:pt>
                <c:pt idx="1">
                  <c:v>42368.1024</c:v>
                </c:pt>
                <c:pt idx="2">
                  <c:v>44948.31983616</c:v>
                </c:pt>
              </c:numCache>
            </c:numRef>
          </c:val>
        </c:ser>
        <c:gapWidth val="60"/>
        <c:overlap val="100"/>
        <c:axId val="91449387"/>
        <c:axId val="18460433"/>
      </c:barChart>
      <c:lineChart>
        <c:grouping val="stacked"/>
        <c:varyColors val="0"/>
        <c:ser>
          <c:idx val="3"/>
          <c:order val="3"/>
          <c:tx>
            <c:strRef>
              <c:f>KPIs!$A$48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KPIs!$B$48:$D$48</c:f>
              <c:numCache>
                <c:formatCode>0.0%;\(0.0%\);\-</c:formatCode>
                <c:ptCount val="3"/>
                <c:pt idx="0">
                  <c:v>-0.111659148864492</c:v>
                </c:pt>
                <c:pt idx="1">
                  <c:v>0.133912809073318</c:v>
                </c:pt>
                <c:pt idx="2">
                  <c:v>0.158914428510696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9801392"/>
        <c:axId val="13390205"/>
      </c:lineChart>
      <c:catAx>
        <c:axId val="9144938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460433"/>
        <c:crosses val="autoZero"/>
        <c:auto val="1"/>
        <c:lblAlgn val="ctr"/>
        <c:lblOffset val="100"/>
        <c:noMultiLvlLbl val="0"/>
      </c:catAx>
      <c:valAx>
        <c:axId val="1846043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449387"/>
        <c:crosses val="autoZero"/>
        <c:crossBetween val="between"/>
      </c:valAx>
      <c:catAx>
        <c:axId val="39801392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3390205"/>
        <c:crosses val="autoZero"/>
        <c:auto val="1"/>
        <c:lblAlgn val="ctr"/>
        <c:lblOffset val="100"/>
        <c:noMultiLvlLbl val="0"/>
      </c:catAx>
      <c:valAx>
        <c:axId val="13390205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980139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66268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</xdr:row>
      <xdr:rowOff>0</xdr:rowOff>
    </xdr:from>
    <xdr:to>
      <xdr:col>22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17018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14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66268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20</xdr:row>
      <xdr:rowOff>0</xdr:rowOff>
    </xdr:from>
    <xdr:to>
      <xdr:col>22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17018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D12</f>
        <v>886367.901307584</v>
      </c>
      <c r="B7" s="25"/>
      <c r="C7" s="26" t="n">
        <f aca="false">D17</f>
        <v>0.158914428510696</v>
      </c>
      <c r="D7" s="26"/>
      <c r="E7" s="26"/>
      <c r="F7" s="26"/>
      <c r="H7" s="25" t="n">
        <f aca="false">D18</f>
        <v>90211.0539935985</v>
      </c>
      <c r="I7" s="25"/>
      <c r="J7" s="25"/>
      <c r="K7" s="25"/>
      <c r="L7" s="25" t="n">
        <f aca="false">F39</f>
        <v>147500.341985778</v>
      </c>
      <c r="M7" s="25"/>
      <c r="N7" s="25"/>
      <c r="O7" s="25"/>
      <c r="P7" s="25" t="n">
        <f aca="false">F37</f>
        <v>391499.658014222</v>
      </c>
      <c r="Q7" s="25"/>
      <c r="R7" s="25"/>
      <c r="S7" s="25"/>
      <c r="T7" s="25" t="n">
        <f aca="false">F44</f>
        <v>194767.246549164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IF(AND(B12&gt;0,D12&gt;=0),(D12/B12)^(1/2)-1,"CAGR n/a")</f>
        <v>0.24211342861902</v>
      </c>
      <c r="B8" s="27"/>
      <c r="C8" s="28" t="n">
        <f aca="false">D16</f>
        <v>140856.64848652</v>
      </c>
      <c r="D8" s="28"/>
      <c r="E8" s="28"/>
      <c r="F8" s="28"/>
      <c r="H8" s="29" t="n">
        <f aca="false">D19</f>
        <v>0.101776084017165</v>
      </c>
      <c r="I8" s="29"/>
      <c r="J8" s="29"/>
      <c r="K8" s="29"/>
      <c r="L8" s="30" t="n">
        <f aca="false">'Break-even'!B6</f>
        <v>10</v>
      </c>
      <c r="M8" s="30"/>
      <c r="N8" s="30"/>
      <c r="O8" s="30"/>
      <c r="P8" s="31" t="str">
        <f aca="false">IF(F38&gt;=0,"Covered by funding raised",-F38)</f>
        <v>Covered by funding raised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5"/>
      <c r="F11" s="35"/>
    </row>
    <row r="12" customFormat="false" ht="15" hidden="false" customHeight="false" outlineLevel="0" collapsed="false">
      <c r="A12" s="6" t="s">
        <v>44</v>
      </c>
      <c r="B12" s="36" t="n">
        <f aca="false">SUMIF(Monthly!$C$5:$AL$5,B$11,Monthly!$C$31:$AL$31)</f>
        <v>574501.9488</v>
      </c>
      <c r="C12" s="36" t="n">
        <f aca="false">SUMIF(Monthly!$C$5:$AL$5,C$11,Monthly!$C$31:$AL$31)</f>
        <v>835486.75776</v>
      </c>
      <c r="D12" s="36" t="n">
        <f aca="false">SUMIF(Monthly!$C$5:$AL$5,D$11,Monthly!$C$31:$AL$31)</f>
        <v>886367.901307584</v>
      </c>
    </row>
    <row r="13" customFormat="false" ht="15" hidden="false" customHeight="false" outlineLevel="0" collapsed="false">
      <c r="A13" s="37" t="s">
        <v>45</v>
      </c>
      <c r="B13" s="38" t="n">
        <f aca="false">SUMIF(Monthly!$C$5:$AL$5,B$11,Monthly!$C$40:$AL$40)</f>
        <v>369936.65984</v>
      </c>
      <c r="C13" s="38" t="n">
        <f aca="false">SUMIF(Monthly!$C$5:$AL$5,C$11,Monthly!$C$40:$AL$40)</f>
        <v>556642.481408</v>
      </c>
      <c r="D13" s="38" t="n">
        <f aca="false">SUMIF(Monthly!$C$5:$AL$5,D$11,Monthly!$C$40:$AL$40)</f>
        <v>592006.050525747</v>
      </c>
      <c r="E13" s="37"/>
      <c r="F13" s="37"/>
    </row>
    <row r="14" customFormat="false" ht="15" hidden="false" customHeight="false" outlineLevel="0" collapsed="false">
      <c r="A14" s="39" t="s">
        <v>46</v>
      </c>
      <c r="B14" s="40" t="n">
        <f aca="false">IF(B12=0,0,B13/B12)</f>
        <v>0.643925857192845</v>
      </c>
      <c r="C14" s="40" t="n">
        <f aca="false">IF(C12=0,0,C13/C12)</f>
        <v>0.666249316626392</v>
      </c>
      <c r="D14" s="40" t="n">
        <f aca="false">IF(D12=0,0,D13/D12)</f>
        <v>0.66790104837101</v>
      </c>
    </row>
    <row r="15" customFormat="false" ht="15" hidden="false" customHeight="false" outlineLevel="0" collapsed="false">
      <c r="A15" s="6" t="s">
        <v>47</v>
      </c>
      <c r="B15" s="36" t="n">
        <f aca="false">SUMIF(Monthly!$C$5:$AL$5,B$11,Monthly!$C$49:$AL$49)</f>
        <v>-434085.058464</v>
      </c>
      <c r="C15" s="36" t="n">
        <f aca="false">SUMIF(Monthly!$C$5:$AL$5,C$11,Monthly!$C$49:$AL$49)</f>
        <v>-444760.1027328</v>
      </c>
      <c r="D15" s="36" t="n">
        <f aca="false">SUMIF(Monthly!$C$5:$AL$5,D$11,Monthly!$C$49:$AL$49)</f>
        <v>-451149.402039228</v>
      </c>
    </row>
    <row r="16" customFormat="false" ht="15" hidden="false" customHeight="false" outlineLevel="0" collapsed="false">
      <c r="A16" s="37" t="s">
        <v>48</v>
      </c>
      <c r="B16" s="38" t="n">
        <f aca="false">SUMIF(Monthly!$C$5:$AL$5,B$11,Monthly!$C$50:$AL$50)</f>
        <v>-64148.398624</v>
      </c>
      <c r="C16" s="38" t="n">
        <f aca="false">SUMIF(Monthly!$C$5:$AL$5,C$11,Monthly!$C$50:$AL$50)</f>
        <v>111882.3786752</v>
      </c>
      <c r="D16" s="38" t="n">
        <f aca="false">SUMIF(Monthly!$C$5:$AL$5,D$11,Monthly!$C$50:$AL$50)</f>
        <v>140856.64848652</v>
      </c>
      <c r="E16" s="37"/>
      <c r="F16" s="37"/>
    </row>
    <row r="17" customFormat="false" ht="15" hidden="false" customHeight="false" outlineLevel="0" collapsed="false">
      <c r="A17" s="39" t="s">
        <v>49</v>
      </c>
      <c r="B17" s="40" t="n">
        <f aca="false">IF(B12=0,0,B16/B12)</f>
        <v>-0.111659148864492</v>
      </c>
      <c r="C17" s="40" t="n">
        <f aca="false">IF(C12=0,0,C16/C12)</f>
        <v>0.133912809073318</v>
      </c>
      <c r="D17" s="40" t="n">
        <f aca="false">IF(D12=0,0,D16/D12)</f>
        <v>0.158914428510696</v>
      </c>
    </row>
    <row r="18" customFormat="false" ht="15" hidden="false" customHeight="false" outlineLevel="0" collapsed="false">
      <c r="A18" s="41" t="s">
        <v>50</v>
      </c>
      <c r="B18" s="42" t="n">
        <f aca="false">SUMIF(Monthly!$C$5:$AL$5,B$11,Monthly!$C$59:$AL$59)</f>
        <v>-96017.148624</v>
      </c>
      <c r="C18" s="42" t="n">
        <f aca="false">SUMIF(Monthly!$C$5:$AL$5,C$11,Monthly!$C$59:$AL$59)</f>
        <v>80557.3786752</v>
      </c>
      <c r="D18" s="42" t="n">
        <f aca="false">SUMIF(Monthly!$C$5:$AL$5,D$11,Monthly!$C$59:$AL$59)</f>
        <v>90211.0539935985</v>
      </c>
      <c r="E18" s="41"/>
      <c r="F18" s="41"/>
    </row>
    <row r="19" customFormat="false" ht="15" hidden="false" customHeight="false" outlineLevel="0" collapsed="false">
      <c r="A19" s="39" t="s">
        <v>51</v>
      </c>
      <c r="B19" s="40" t="n">
        <f aca="false">IF(B12=0,0,B18/B12)</f>
        <v>-0.167131110389716</v>
      </c>
      <c r="C19" s="40" t="n">
        <f aca="false">IF(C12=0,0,C18/C12)</f>
        <v>0.0964196953775547</v>
      </c>
      <c r="D19" s="40" t="n">
        <f aca="false">IF(D12=0,0,D18/D12)</f>
        <v>0.101776084017165</v>
      </c>
    </row>
    <row r="20" customFormat="false" ht="15" hidden="false" customHeight="false" outlineLevel="0" collapsed="false">
      <c r="A20" s="6" t="s">
        <v>52</v>
      </c>
      <c r="B20" s="36" t="n">
        <f aca="false">SUMIF(Monthly!$C$5:$AL$5,B$11,Monthly!$C$89:$AL$89)</f>
        <v>-62809.5271128889</v>
      </c>
      <c r="C20" s="36" t="n">
        <f aca="false">SUMIF(Monthly!$C$5:$AL$5,C$11,Monthly!$C$89:$AL$89)</f>
        <v>105940.941991893</v>
      </c>
      <c r="D20" s="36" t="n">
        <f aca="false">SUMIF(Monthly!$C$5:$AL$5,D$11,Monthly!$C$89:$AL$89)</f>
        <v>116873.338266278</v>
      </c>
    </row>
    <row r="21" customFormat="false" ht="15" hidden="false" customHeight="false" outlineLevel="0" collapsed="false">
      <c r="A21" s="6" t="s">
        <v>53</v>
      </c>
      <c r="B21" s="36" t="n">
        <f aca="false">SUMIF(Monthly!$C$5:$AL$5,B$11,Monthly!$C$90:$AL$90)</f>
        <v>-189000</v>
      </c>
      <c r="C21" s="36" t="n">
        <f aca="false">SUMIF(Monthly!$C$5:$AL$5,C$11,Monthly!$C$90:$AL$90)</f>
        <v>-10000</v>
      </c>
      <c r="D21" s="36" t="n">
        <f aca="false">SUMIF(Monthly!$C$5:$AL$5,D$11,Monthly!$C$90:$AL$90)</f>
        <v>-10000</v>
      </c>
    </row>
    <row r="22" customFormat="false" ht="15" hidden="false" customHeight="false" outlineLevel="0" collapsed="false">
      <c r="A22" s="6" t="s">
        <v>54</v>
      </c>
      <c r="B22" s="36" t="n">
        <f aca="false">SUMIF(Monthly!$C$5:$AL$5,B$11,Monthly!$C$92:$AL$92)</f>
        <v>411666.666666667</v>
      </c>
      <c r="C22" s="36" t="n">
        <f aca="false">SUMIF(Monthly!$C$5:$AL$5,C$11,Monthly!$C$92:$AL$92)</f>
        <v>-20000</v>
      </c>
      <c r="D22" s="36" t="n">
        <f aca="false">SUMIF(Monthly!$C$5:$AL$5,D$11,Monthly!$C$92:$AL$92)</f>
        <v>-20000</v>
      </c>
    </row>
    <row r="23" customFormat="false" ht="15" hidden="false" customHeight="false" outlineLevel="0" collapsed="false">
      <c r="A23" s="37" t="s">
        <v>55</v>
      </c>
      <c r="B23" s="38" t="n">
        <f aca="false">SUMIF(Monthly!$C$5:$AL$5,B$11,Monthly!$C$93:$AL$93)</f>
        <v>159857.139553778</v>
      </c>
      <c r="C23" s="38" t="n">
        <f aca="false">SUMIF(Monthly!$C$5:$AL$5,C$11,Monthly!$C$93:$AL$93)</f>
        <v>75940.9419918933</v>
      </c>
      <c r="D23" s="38" t="n">
        <f aca="false">SUMIF(Monthly!$C$5:$AL$5,D$11,Monthly!$C$93:$AL$93)</f>
        <v>86873.3382662784</v>
      </c>
      <c r="E23" s="37"/>
      <c r="F23" s="37"/>
    </row>
    <row r="24" customFormat="false" ht="15" hidden="false" customHeight="false" outlineLevel="0" collapsed="false">
      <c r="A24" s="41" t="s">
        <v>56</v>
      </c>
      <c r="B24" s="42" t="n">
        <f aca="false">INDEX(Monthly!$C$95:$AL$95,B$11*12)</f>
        <v>159857.139553778</v>
      </c>
      <c r="C24" s="42" t="n">
        <f aca="false">INDEX(Monthly!$C$95:$AL$95,C$11*12)</f>
        <v>235798.081545671</v>
      </c>
      <c r="D24" s="42" t="n">
        <f aca="false">INDEX(Monthly!$C$95:$AL$95,D$11*12)</f>
        <v>322671.41981195</v>
      </c>
      <c r="E24" s="41"/>
      <c r="F24" s="41"/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5"/>
      <c r="F27" s="35"/>
    </row>
    <row r="28" customFormat="false" ht="15" hidden="false" customHeight="false" outlineLevel="0" collapsed="false">
      <c r="A28" s="6" t="s">
        <v>58</v>
      </c>
      <c r="B28" s="43" t="n">
        <f aca="false">KPIs!B30</f>
        <v>3619.2</v>
      </c>
      <c r="C28" s="43" t="n">
        <f aca="false">KPIs!C30</f>
        <v>5141.76</v>
      </c>
      <c r="D28" s="43" t="n">
        <f aca="false">KPIs!D30</f>
        <v>5296.0128</v>
      </c>
    </row>
    <row r="29" customFormat="false" ht="15" hidden="false" customHeight="false" outlineLevel="0" collapsed="false">
      <c r="A29" s="6" t="s">
        <v>59</v>
      </c>
      <c r="B29" s="44" t="n">
        <f aca="false">KPIs!B32</f>
        <v>0.527272727272727</v>
      </c>
      <c r="C29" s="44" t="n">
        <f aca="false">KPIs!C32</f>
        <v>0.749090909090909</v>
      </c>
      <c r="D29" s="44" t="n">
        <f aca="false">KPIs!D32</f>
        <v>0.771563636363636</v>
      </c>
    </row>
    <row r="30" customFormat="false" ht="15" hidden="false" customHeight="false" outlineLevel="0" collapsed="false">
      <c r="A30" s="6" t="s">
        <v>60</v>
      </c>
      <c r="B30" s="44" t="n">
        <f aca="false">KPIs!B36</f>
        <v>0.45539</v>
      </c>
      <c r="C30" s="44" t="n">
        <f aca="false">KPIs!C36</f>
        <v>0.6386</v>
      </c>
      <c r="D30" s="44" t="n">
        <f aca="false">KPIs!D36</f>
        <v>0.657758</v>
      </c>
    </row>
    <row r="31" customFormat="false" ht="15" hidden="false" customHeight="false" outlineLevel="0" collapsed="false">
      <c r="A31" s="6" t="s">
        <v>61</v>
      </c>
      <c r="B31" s="45" t="n">
        <f aca="false">KPIs!B43</f>
        <v>25.04645</v>
      </c>
      <c r="C31" s="45" t="n">
        <f aca="false">KPIs!C43</f>
        <v>36.17669</v>
      </c>
      <c r="D31" s="45" t="n">
        <f aca="false">KPIs!D43</f>
        <v>38.379850421</v>
      </c>
    </row>
    <row r="32" customFormat="false" ht="15" hidden="false" customHeight="false" outlineLevel="0" collapsed="false">
      <c r="A32" s="6" t="s">
        <v>62</v>
      </c>
      <c r="B32" s="46" t="n">
        <f aca="false">INDEX(Headcount!$C$11:$AL$11,B$27*12)</f>
        <v>8</v>
      </c>
      <c r="C32" s="46" t="n">
        <f aca="false">INDEX(Headcount!$C$11:$AL$11,C$27*12)</f>
        <v>8</v>
      </c>
      <c r="D32" s="46" t="n">
        <f aca="false">INDEX(Headcount!$C$11:$AL$11,D$27*12)</f>
        <v>8</v>
      </c>
    </row>
    <row r="34" customFormat="false" ht="15.75" hidden="false" customHeight="true" outlineLevel="0" collapsed="false">
      <c r="A34" s="7" t="s">
        <v>63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6" t="s">
        <v>64</v>
      </c>
      <c r="B35" s="47"/>
      <c r="C35" s="47"/>
      <c r="D35" s="47"/>
      <c r="E35" s="47"/>
      <c r="F35" s="48" t="n">
        <f aca="false">Inputs!$E$71</f>
        <v>330000</v>
      </c>
    </row>
    <row r="36" customFormat="false" ht="15" hidden="false" customHeight="false" outlineLevel="0" collapsed="false">
      <c r="A36" s="6" t="s">
        <v>65</v>
      </c>
      <c r="B36" s="47"/>
      <c r="C36" s="47"/>
      <c r="D36" s="47"/>
      <c r="E36" s="47"/>
      <c r="F36" s="48" t="n">
        <f aca="false">Inputs!$E$72</f>
        <v>100000</v>
      </c>
    </row>
    <row r="37" customFormat="false" ht="15" hidden="false" customHeight="false" outlineLevel="0" collapsed="false">
      <c r="A37" s="6" t="s">
        <v>66</v>
      </c>
      <c r="B37" s="47"/>
      <c r="C37" s="47"/>
      <c r="D37" s="47"/>
      <c r="E37" s="47"/>
      <c r="F37" s="48" t="n">
        <f aca="false">'Break-even'!B12</f>
        <v>391499.658014222</v>
      </c>
    </row>
    <row r="38" customFormat="false" ht="15" hidden="false" customHeight="false" outlineLevel="0" collapsed="false">
      <c r="A38" s="37" t="s">
        <v>67</v>
      </c>
      <c r="B38" s="37"/>
      <c r="C38" s="37"/>
      <c r="D38" s="37"/>
      <c r="E38" s="37"/>
      <c r="F38" s="38" t="n">
        <f aca="false">'Break-even'!B17</f>
        <v>38500.3419857778</v>
      </c>
    </row>
    <row r="39" customFormat="false" ht="15" hidden="false" customHeight="false" outlineLevel="0" collapsed="false">
      <c r="A39" s="6" t="str">
        <f aca="false">"Lowest cash balance (month "&amp;'Break-even'!B6&amp;")"</f>
        <v>Lowest cash balance (month 10)</v>
      </c>
      <c r="B39" s="47"/>
      <c r="C39" s="47"/>
      <c r="D39" s="47"/>
      <c r="E39" s="47"/>
      <c r="F39" s="48" t="n">
        <f aca="false">'Break-even'!B18</f>
        <v>147500.341985778</v>
      </c>
    </row>
    <row r="40" customFormat="false" ht="15" hidden="false" customHeight="false" outlineLevel="0" collapsed="false">
      <c r="A40" s="6" t="s">
        <v>68</v>
      </c>
      <c r="B40" s="47"/>
      <c r="C40" s="47"/>
      <c r="D40" s="47"/>
      <c r="E40" s="47"/>
      <c r="F40" s="49" t="n">
        <f aca="false">'Break-even'!B21</f>
        <v>7</v>
      </c>
    </row>
    <row r="41" customFormat="false" ht="15" hidden="false" customHeight="false" outlineLevel="0" collapsed="false">
      <c r="A41" s="6" t="s">
        <v>69</v>
      </c>
      <c r="B41" s="47"/>
      <c r="C41" s="47"/>
      <c r="D41" s="47"/>
      <c r="E41" s="47"/>
      <c r="F41" s="49" t="str">
        <f aca="false">'Break-even'!B23</f>
        <v>Not within horizon</v>
      </c>
    </row>
    <row r="42" customFormat="false" ht="15" hidden="false" customHeight="false" outlineLevel="0" collapsed="false">
      <c r="A42" s="6" t="s">
        <v>70</v>
      </c>
      <c r="B42" s="47"/>
      <c r="C42" s="47"/>
      <c r="D42" s="47"/>
      <c r="E42" s="47"/>
      <c r="F42" s="48" t="n">
        <f aca="false">Valuation!B27</f>
        <v>176034.344621101</v>
      </c>
    </row>
    <row r="43" customFormat="false" ht="15" hidden="false" customHeight="false" outlineLevel="0" collapsed="false">
      <c r="A43" s="6" t="s">
        <v>71</v>
      </c>
      <c r="B43" s="47"/>
      <c r="C43" s="47"/>
      <c r="D43" s="47"/>
      <c r="E43" s="47"/>
      <c r="F43" s="48" t="n">
        <f aca="false">Valuation!C27</f>
        <v>213500.148477227</v>
      </c>
    </row>
    <row r="44" customFormat="false" ht="15" hidden="false" customHeight="false" outlineLevel="0" collapsed="false">
      <c r="A44" s="41" t="s">
        <v>72</v>
      </c>
      <c r="B44" s="41"/>
      <c r="C44" s="41"/>
      <c r="D44" s="41"/>
      <c r="E44" s="41"/>
      <c r="F44" s="42" t="n">
        <f aca="false">Valuation!B30</f>
        <v>194767.246549164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73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74</v>
      </c>
      <c r="R2" s="50" t="n">
        <v>1</v>
      </c>
      <c r="S2" s="50"/>
    </row>
    <row r="5" customFormat="false" ht="15.75" hidden="false" customHeight="true" outlineLevel="0" collapsed="false">
      <c r="A5" s="7" t="s">
        <v>75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5"/>
      <c r="F6" s="35"/>
      <c r="H6" s="51" t="n">
        <f aca="false">INDEX(Monthly!$C$4:$AL$4,($R$2-1)*12+1)</f>
        <v>1</v>
      </c>
      <c r="I6" s="51" t="n">
        <f aca="false">INDEX(Monthly!$C$4:$AL$4,($R$2-1)*12+2)</f>
        <v>2</v>
      </c>
      <c r="J6" s="51" t="n">
        <f aca="false">INDEX(Monthly!$C$4:$AL$4,($R$2-1)*12+3)</f>
        <v>3</v>
      </c>
      <c r="K6" s="51" t="n">
        <f aca="false">INDEX(Monthly!$C$4:$AL$4,($R$2-1)*12+4)</f>
        <v>4</v>
      </c>
      <c r="L6" s="51" t="n">
        <f aca="false">INDEX(Monthly!$C$4:$AL$4,($R$2-1)*12+5)</f>
        <v>5</v>
      </c>
      <c r="M6" s="51" t="n">
        <f aca="false">INDEX(Monthly!$C$4:$AL$4,($R$2-1)*12+6)</f>
        <v>6</v>
      </c>
      <c r="N6" s="51" t="n">
        <f aca="false">INDEX(Monthly!$C$4:$AL$4,($R$2-1)*12+7)</f>
        <v>7</v>
      </c>
      <c r="O6" s="51" t="n">
        <f aca="false">INDEX(Monthly!$C$4:$AL$4,($R$2-1)*12+8)</f>
        <v>8</v>
      </c>
      <c r="P6" s="51" t="n">
        <f aca="false">INDEX(Monthly!$C$4:$AL$4,($R$2-1)*12+9)</f>
        <v>9</v>
      </c>
      <c r="Q6" s="51" t="n">
        <f aca="false">INDEX(Monthly!$C$4:$AL$4,($R$2-1)*12+10)</f>
        <v>10</v>
      </c>
      <c r="R6" s="51" t="n">
        <f aca="false">INDEX(Monthly!$C$4:$AL$4,($R$2-1)*12+11)</f>
        <v>11</v>
      </c>
      <c r="S6" s="51" t="n">
        <f aca="false">INDEX(Monthly!$C$4:$AL$4,($R$2-1)*12+12)</f>
        <v>12</v>
      </c>
    </row>
    <row r="7" customFormat="false" ht="15" hidden="false" customHeight="false" outlineLevel="0" collapsed="false">
      <c r="A7" s="52" t="s">
        <v>44</v>
      </c>
      <c r="B7" s="36" t="n">
        <f aca="false">'P&amp;L'!B5</f>
        <v>574501.9488</v>
      </c>
      <c r="C7" s="36" t="n">
        <f aca="false">'P&amp;L'!C5</f>
        <v>835486.75776</v>
      </c>
      <c r="D7" s="36" t="n">
        <f aca="false">'P&amp;L'!D5</f>
        <v>886367.901307584</v>
      </c>
      <c r="H7" s="36" t="n">
        <f aca="false">INDEX(Monthly!$C$31:$AL$31,($R$2-1)*12+1)</f>
        <v>25006.912</v>
      </c>
      <c r="I7" s="36" t="n">
        <f aca="false">INDEX(Monthly!$C$31:$AL$31,($R$2-1)*12+2)</f>
        <v>28757.9488</v>
      </c>
      <c r="J7" s="36" t="n">
        <f aca="false">INDEX(Monthly!$C$31:$AL$31,($R$2-1)*12+3)</f>
        <v>32508.9856</v>
      </c>
      <c r="K7" s="36" t="n">
        <f aca="false">INDEX(Monthly!$C$31:$AL$31,($R$2-1)*12+4)</f>
        <v>36260.0224</v>
      </c>
      <c r="L7" s="36" t="n">
        <f aca="false">INDEX(Monthly!$C$31:$AL$31,($R$2-1)*12+5)</f>
        <v>40011.0592</v>
      </c>
      <c r="M7" s="36" t="n">
        <f aca="false">INDEX(Monthly!$C$31:$AL$31,($R$2-1)*12+6)</f>
        <v>50292.928</v>
      </c>
      <c r="N7" s="36" t="n">
        <f aca="false">INDEX(Monthly!$C$31:$AL$31,($R$2-1)*12+7)</f>
        <v>54603.7504</v>
      </c>
      <c r="O7" s="36" t="n">
        <f aca="false">INDEX(Monthly!$C$31:$AL$31,($R$2-1)*12+8)</f>
        <v>58914.5728</v>
      </c>
      <c r="P7" s="36" t="n">
        <f aca="false">INDEX(Monthly!$C$31:$AL$31,($R$2-1)*12+9)</f>
        <v>55015.2064</v>
      </c>
      <c r="Q7" s="36" t="n">
        <f aca="false">INDEX(Monthly!$C$31:$AL$31,($R$2-1)*12+10)</f>
        <v>58766.2432</v>
      </c>
      <c r="R7" s="36" t="n">
        <f aca="false">INDEX(Monthly!$C$31:$AL$31,($R$2-1)*12+11)</f>
        <v>62517.28</v>
      </c>
      <c r="S7" s="36" t="n">
        <f aca="false">INDEX(Monthly!$C$31:$AL$31,($R$2-1)*12+12)</f>
        <v>71847.04</v>
      </c>
    </row>
    <row r="8" customFormat="false" ht="15" hidden="false" customHeight="false" outlineLevel="0" collapsed="false">
      <c r="A8" s="52" t="s">
        <v>76</v>
      </c>
      <c r="B8" s="36" t="n">
        <f aca="false">'P&amp;L'!B6</f>
        <v>-204565.28896</v>
      </c>
      <c r="C8" s="36" t="n">
        <f aca="false">'P&amp;L'!C6</f>
        <v>-278844.276352</v>
      </c>
      <c r="D8" s="36" t="n">
        <f aca="false">'P&amp;L'!D6</f>
        <v>-294361.850781837</v>
      </c>
      <c r="H8" s="36" t="n">
        <f aca="false">INDEX(Monthly!$C$39:$AL$39,($R$2-1)*12+1)</f>
        <v>-10970.2037333333</v>
      </c>
      <c r="I8" s="36" t="n">
        <f aca="false">INDEX(Monthly!$C$39:$AL$39,($R$2-1)*12+2)</f>
        <v>-12040.7342933333</v>
      </c>
      <c r="J8" s="36" t="n">
        <f aca="false">INDEX(Monthly!$C$39:$AL$39,($R$2-1)*12+3)</f>
        <v>-13111.2648533333</v>
      </c>
      <c r="K8" s="36" t="n">
        <f aca="false">INDEX(Monthly!$C$39:$AL$39,($R$2-1)*12+4)</f>
        <v>-14181.7954133333</v>
      </c>
      <c r="L8" s="36" t="n">
        <f aca="false">INDEX(Monthly!$C$39:$AL$39,($R$2-1)*12+5)</f>
        <v>-15252.3259733333</v>
      </c>
      <c r="M8" s="36" t="n">
        <f aca="false">INDEX(Monthly!$C$39:$AL$39,($R$2-1)*12+6)</f>
        <v>-17035.3109333333</v>
      </c>
      <c r="N8" s="36" t="n">
        <f aca="false">INDEX(Monthly!$C$39:$AL$39,($R$2-1)*12+7)</f>
        <v>-18166.9090133333</v>
      </c>
      <c r="O8" s="36" t="n">
        <f aca="false">INDEX(Monthly!$C$39:$AL$39,($R$2-1)*12+8)</f>
        <v>-19298.5070933333</v>
      </c>
      <c r="P8" s="36" t="n">
        <f aca="false">INDEX(Monthly!$C$39:$AL$39,($R$2-1)*12+9)</f>
        <v>-19534.4482133333</v>
      </c>
      <c r="Q8" s="36" t="n">
        <f aca="false">INDEX(Monthly!$C$39:$AL$39,($R$2-1)*12+10)</f>
        <v>-20604.9787733333</v>
      </c>
      <c r="R8" s="36" t="n">
        <f aca="false">INDEX(Monthly!$C$39:$AL$39,($R$2-1)*12+11)</f>
        <v>-21675.5093333333</v>
      </c>
      <c r="S8" s="36" t="n">
        <f aca="false">INDEX(Monthly!$C$39:$AL$39,($R$2-1)*12+12)</f>
        <v>-22693.3013333333</v>
      </c>
    </row>
    <row r="9" customFormat="false" ht="15" hidden="false" customHeight="false" outlineLevel="0" collapsed="false">
      <c r="A9" s="37" t="s">
        <v>45</v>
      </c>
      <c r="B9" s="38" t="n">
        <f aca="false">'P&amp;L'!B7</f>
        <v>369936.65984</v>
      </c>
      <c r="C9" s="38" t="n">
        <f aca="false">'P&amp;L'!C7</f>
        <v>556642.481408</v>
      </c>
      <c r="D9" s="38" t="n">
        <f aca="false">'P&amp;L'!D7</f>
        <v>592006.050525747</v>
      </c>
      <c r="E9" s="37"/>
      <c r="F9" s="37"/>
      <c r="H9" s="38" t="n">
        <f aca="false">INDEX(Monthly!$C$40:$AL$40,($R$2-1)*12+1)</f>
        <v>14036.7082666667</v>
      </c>
      <c r="I9" s="38" t="n">
        <f aca="false">INDEX(Monthly!$C$40:$AL$40,($R$2-1)*12+2)</f>
        <v>16717.2145066667</v>
      </c>
      <c r="J9" s="38" t="n">
        <f aca="false">INDEX(Monthly!$C$40:$AL$40,($R$2-1)*12+3)</f>
        <v>19397.7207466667</v>
      </c>
      <c r="K9" s="38" t="n">
        <f aca="false">INDEX(Monthly!$C$40:$AL$40,($R$2-1)*12+4)</f>
        <v>22078.2269866667</v>
      </c>
      <c r="L9" s="38" t="n">
        <f aca="false">INDEX(Monthly!$C$40:$AL$40,($R$2-1)*12+5)</f>
        <v>24758.7332266667</v>
      </c>
      <c r="M9" s="38" t="n">
        <f aca="false">INDEX(Monthly!$C$40:$AL$40,($R$2-1)*12+6)</f>
        <v>33257.6170666667</v>
      </c>
      <c r="N9" s="38" t="n">
        <f aca="false">INDEX(Monthly!$C$40:$AL$40,($R$2-1)*12+7)</f>
        <v>36436.8413866667</v>
      </c>
      <c r="O9" s="38" t="n">
        <f aca="false">INDEX(Monthly!$C$40:$AL$40,($R$2-1)*12+8)</f>
        <v>39616.0657066667</v>
      </c>
      <c r="P9" s="38" t="n">
        <f aca="false">INDEX(Monthly!$C$40:$AL$40,($R$2-1)*12+9)</f>
        <v>35480.7581866667</v>
      </c>
      <c r="Q9" s="38" t="n">
        <f aca="false">INDEX(Monthly!$C$40:$AL$40,($R$2-1)*12+10)</f>
        <v>38161.2644266667</v>
      </c>
      <c r="R9" s="38" t="n">
        <f aca="false">INDEX(Monthly!$C$40:$AL$40,($R$2-1)*12+11)</f>
        <v>40841.7706666667</v>
      </c>
      <c r="S9" s="38" t="n">
        <f aca="false">INDEX(Monthly!$C$40:$AL$40,($R$2-1)*12+12)</f>
        <v>49153.7386666667</v>
      </c>
    </row>
    <row r="10" customFormat="false" ht="15" hidden="false" customHeight="false" outlineLevel="0" collapsed="false">
      <c r="A10" s="39" t="s">
        <v>46</v>
      </c>
      <c r="B10" s="40" t="n">
        <f aca="false">'P&amp;L'!B8</f>
        <v>0.643925857192845</v>
      </c>
      <c r="C10" s="40" t="n">
        <f aca="false">'P&amp;L'!C8</f>
        <v>0.666249316626392</v>
      </c>
      <c r="D10" s="40" t="n">
        <f aca="false">'P&amp;L'!D8</f>
        <v>0.66790104837101</v>
      </c>
      <c r="H10" s="40" t="n">
        <f aca="false">IF(H7=0,0,H9/H7)</f>
        <v>0.561313138810049</v>
      </c>
      <c r="I10" s="40" t="n">
        <f aca="false">IF(I7=0,0,I9/I7)</f>
        <v>0.58130761073845</v>
      </c>
      <c r="J10" s="40" t="n">
        <f aca="false">IF(J7=0,0,J9/J7)</f>
        <v>0.596687973760297</v>
      </c>
      <c r="K10" s="40" t="n">
        <f aca="false">IF(K7=0,0,K9/K7)</f>
        <v>0.608886192708658</v>
      </c>
      <c r="L10" s="40" t="n">
        <f aca="false">IF(L7=0,0,L9/L7)</f>
        <v>0.618797245604202</v>
      </c>
      <c r="M10" s="40" t="n">
        <f aca="false">IF(M7=0,0,M9/M7)</f>
        <v>0.661278203302593</v>
      </c>
      <c r="N10" s="40" t="n">
        <f aca="false">IF(N7=0,0,N9/N7)</f>
        <v>0.667295581709103</v>
      </c>
      <c r="O10" s="40" t="n">
        <f aca="false">IF(O7=0,0,O9/O7)</f>
        <v>0.672432368153685</v>
      </c>
      <c r="P10" s="40" t="n">
        <f aca="false">IF(P7=0,0,P9/P7)</f>
        <v>0.64492638505609</v>
      </c>
      <c r="Q10" s="40" t="n">
        <f aca="false">IF(Q7=0,0,Q9/Q7)</f>
        <v>0.649373898154284</v>
      </c>
      <c r="R10" s="40" t="n">
        <f aca="false">IF(R7=0,0,R9/R7)</f>
        <v>0.653287709680694</v>
      </c>
      <c r="S10" s="40" t="n">
        <f aca="false">IF(S7=0,0,S9/S7)</f>
        <v>0.684144241247331</v>
      </c>
    </row>
    <row r="11" customFormat="false" ht="15" hidden="false" customHeight="false" outlineLevel="0" collapsed="false">
      <c r="A11" s="52" t="s">
        <v>77</v>
      </c>
      <c r="B11" s="36" t="n">
        <f aca="false">'P&amp;L'!B15</f>
        <v>-434085.058464</v>
      </c>
      <c r="C11" s="36" t="n">
        <f aca="false">'P&amp;L'!C15</f>
        <v>-444760.1027328</v>
      </c>
      <c r="D11" s="36" t="n">
        <f aca="false">'P&amp;L'!D15</f>
        <v>-451149.402039228</v>
      </c>
      <c r="H11" s="36" t="n">
        <f aca="false">INDEX(Monthly!$C$49:$AL$49,($R$2-1)*12+1)</f>
        <v>-35487.70736</v>
      </c>
      <c r="I11" s="36" t="n">
        <f aca="false">INDEX(Monthly!$C$49:$AL$49,($R$2-1)*12+2)</f>
        <v>-35600.238464</v>
      </c>
      <c r="J11" s="36" t="n">
        <f aca="false">INDEX(Monthly!$C$49:$AL$49,($R$2-1)*12+3)</f>
        <v>-35712.769568</v>
      </c>
      <c r="K11" s="36" t="n">
        <f aca="false">INDEX(Monthly!$C$49:$AL$49,($R$2-1)*12+4)</f>
        <v>-35825.300672</v>
      </c>
      <c r="L11" s="36" t="n">
        <f aca="false">INDEX(Monthly!$C$49:$AL$49,($R$2-1)*12+5)</f>
        <v>-35937.831776</v>
      </c>
      <c r="M11" s="36" t="n">
        <f aca="false">INDEX(Monthly!$C$49:$AL$49,($R$2-1)*12+6)</f>
        <v>-36246.28784</v>
      </c>
      <c r="N11" s="36" t="n">
        <f aca="false">INDEX(Monthly!$C$49:$AL$49,($R$2-1)*12+7)</f>
        <v>-36375.612512</v>
      </c>
      <c r="O11" s="36" t="n">
        <f aca="false">INDEX(Monthly!$C$49:$AL$49,($R$2-1)*12+8)</f>
        <v>-36504.937184</v>
      </c>
      <c r="P11" s="36" t="n">
        <f aca="false">INDEX(Monthly!$C$49:$AL$49,($R$2-1)*12+9)</f>
        <v>-36387.956192</v>
      </c>
      <c r="Q11" s="36" t="n">
        <f aca="false">INDEX(Monthly!$C$49:$AL$49,($R$2-1)*12+10)</f>
        <v>-36500.487296</v>
      </c>
      <c r="R11" s="36" t="n">
        <f aca="false">INDEX(Monthly!$C$49:$AL$49,($R$2-1)*12+11)</f>
        <v>-36613.0184</v>
      </c>
      <c r="S11" s="36" t="n">
        <f aca="false">INDEX(Monthly!$C$49:$AL$49,($R$2-1)*12+12)</f>
        <v>-36892.9112</v>
      </c>
    </row>
    <row r="12" customFormat="false" ht="15" hidden="false" customHeight="false" outlineLevel="0" collapsed="false">
      <c r="A12" s="37" t="s">
        <v>48</v>
      </c>
      <c r="B12" s="38" t="n">
        <f aca="false">'P&amp;L'!B16</f>
        <v>-64148.398624</v>
      </c>
      <c r="C12" s="38" t="n">
        <f aca="false">'P&amp;L'!C16</f>
        <v>111882.3786752</v>
      </c>
      <c r="D12" s="38" t="n">
        <f aca="false">'P&amp;L'!D16</f>
        <v>140856.64848652</v>
      </c>
      <c r="E12" s="37"/>
      <c r="F12" s="37"/>
      <c r="H12" s="38" t="n">
        <f aca="false">INDEX(Monthly!$C$50:$AL$50,($R$2-1)*12+1)</f>
        <v>-21450.9990933333</v>
      </c>
      <c r="I12" s="38" t="n">
        <f aca="false">INDEX(Monthly!$C$50:$AL$50,($R$2-1)*12+2)</f>
        <v>-18883.0239573333</v>
      </c>
      <c r="J12" s="38" t="n">
        <f aca="false">INDEX(Monthly!$C$50:$AL$50,($R$2-1)*12+3)</f>
        <v>-16315.0488213333</v>
      </c>
      <c r="K12" s="38" t="n">
        <f aca="false">INDEX(Monthly!$C$50:$AL$50,($R$2-1)*12+4)</f>
        <v>-13747.0736853333</v>
      </c>
      <c r="L12" s="38" t="n">
        <f aca="false">INDEX(Monthly!$C$50:$AL$50,($R$2-1)*12+5)</f>
        <v>-11179.0985493333</v>
      </c>
      <c r="M12" s="38" t="n">
        <f aca="false">INDEX(Monthly!$C$50:$AL$50,($R$2-1)*12+6)</f>
        <v>-2988.67077333334</v>
      </c>
      <c r="N12" s="38" t="n">
        <f aca="false">INDEX(Monthly!$C$50:$AL$50,($R$2-1)*12+7)</f>
        <v>61.2288746666673</v>
      </c>
      <c r="O12" s="38" t="n">
        <f aca="false">INDEX(Monthly!$C$50:$AL$50,($R$2-1)*12+8)</f>
        <v>3111.12852266667</v>
      </c>
      <c r="P12" s="38" t="n">
        <f aca="false">INDEX(Monthly!$C$50:$AL$50,($R$2-1)*12+9)</f>
        <v>-907.198005333339</v>
      </c>
      <c r="Q12" s="38" t="n">
        <f aca="false">INDEX(Monthly!$C$50:$AL$50,($R$2-1)*12+10)</f>
        <v>1660.77713066666</v>
      </c>
      <c r="R12" s="38" t="n">
        <f aca="false">INDEX(Monthly!$C$50:$AL$50,($R$2-1)*12+11)</f>
        <v>4228.75226666666</v>
      </c>
      <c r="S12" s="38" t="n">
        <f aca="false">INDEX(Monthly!$C$50:$AL$50,($R$2-1)*12+12)</f>
        <v>12260.8274666667</v>
      </c>
    </row>
    <row r="13" customFormat="false" ht="15" hidden="false" customHeight="false" outlineLevel="0" collapsed="false">
      <c r="A13" s="39" t="s">
        <v>49</v>
      </c>
      <c r="B13" s="40" t="n">
        <f aca="false">'P&amp;L'!B17</f>
        <v>-0.111659148864492</v>
      </c>
      <c r="C13" s="40" t="n">
        <f aca="false">'P&amp;L'!C17</f>
        <v>0.133912809073318</v>
      </c>
      <c r="D13" s="40" t="n">
        <f aca="false">'P&amp;L'!D17</f>
        <v>0.158914428510696</v>
      </c>
      <c r="H13" s="40" t="n">
        <f aca="false">IF(H7=0,0,H12/H7)</f>
        <v>-0.857802798415628</v>
      </c>
      <c r="I13" s="40" t="n">
        <f aca="false">IF(I7=0,0,I12/I7)</f>
        <v>-0.656619291196921</v>
      </c>
      <c r="J13" s="40" t="n">
        <f aca="false">IF(J7=0,0,J12/J7)</f>
        <v>-0.501862747182531</v>
      </c>
      <c r="K13" s="40" t="n">
        <f aca="false">IF(K7=0,0,K12/K7)</f>
        <v>-0.379124798481463</v>
      </c>
      <c r="L13" s="40" t="n">
        <f aca="false">IF(L7=0,0,L12/L7)</f>
        <v>-0.279400215161845</v>
      </c>
      <c r="M13" s="40" t="n">
        <f aca="false">IF(M7=0,0,M12/M7)</f>
        <v>-0.0594252689629313</v>
      </c>
      <c r="N13" s="40" t="n">
        <f aca="false">IF(N7=0,0,N12/N7)</f>
        <v>0.00112133093822558</v>
      </c>
      <c r="O13" s="40" t="n">
        <f aca="false">IF(O7=0,0,O12/O7)</f>
        <v>0.0528074528050667</v>
      </c>
      <c r="P13" s="40" t="n">
        <f aca="false">IF(P7=0,0,P12/P7)</f>
        <v>-0.01648995004649</v>
      </c>
      <c r="Q13" s="40" t="n">
        <f aca="false">IF(Q7=0,0,Q12/Q7)</f>
        <v>0.0282607333774003</v>
      </c>
      <c r="R13" s="40" t="n">
        <f aca="false">IF(R7=0,0,R12/R7)</f>
        <v>0.0676413347904238</v>
      </c>
      <c r="S13" s="40" t="n">
        <f aca="false">IF(S7=0,0,S12/S7)</f>
        <v>0.170651810661465</v>
      </c>
    </row>
    <row r="14" customFormat="false" ht="15" hidden="false" customHeight="false" outlineLevel="0" collapsed="false">
      <c r="A14" s="52" t="s">
        <v>78</v>
      </c>
      <c r="B14" s="36" t="n">
        <f aca="false">'P&amp;L'!B18</f>
        <v>-23625</v>
      </c>
      <c r="C14" s="36" t="n">
        <f aca="false">'P&amp;L'!C18</f>
        <v>-24875</v>
      </c>
      <c r="D14" s="36" t="n">
        <f aca="false">'P&amp;L'!D18</f>
        <v>-26125</v>
      </c>
      <c r="H14" s="36" t="n">
        <f aca="false">INDEX(Monthly!$C$70:$AL$70,($R$2-1)*12+1)</f>
        <v>-1968.75</v>
      </c>
      <c r="I14" s="36" t="n">
        <f aca="false">INDEX(Monthly!$C$70:$AL$70,($R$2-1)*12+2)</f>
        <v>-1968.75</v>
      </c>
      <c r="J14" s="36" t="n">
        <f aca="false">INDEX(Monthly!$C$70:$AL$70,($R$2-1)*12+3)</f>
        <v>-1968.75</v>
      </c>
      <c r="K14" s="36" t="n">
        <f aca="false">INDEX(Monthly!$C$70:$AL$70,($R$2-1)*12+4)</f>
        <v>-1968.75</v>
      </c>
      <c r="L14" s="36" t="n">
        <f aca="false">INDEX(Monthly!$C$70:$AL$70,($R$2-1)*12+5)</f>
        <v>-1968.75</v>
      </c>
      <c r="M14" s="36" t="n">
        <f aca="false">INDEX(Monthly!$C$70:$AL$70,($R$2-1)*12+6)</f>
        <v>-1968.75</v>
      </c>
      <c r="N14" s="36" t="n">
        <f aca="false">INDEX(Monthly!$C$70:$AL$70,($R$2-1)*12+7)</f>
        <v>-1968.75</v>
      </c>
      <c r="O14" s="36" t="n">
        <f aca="false">INDEX(Monthly!$C$70:$AL$70,($R$2-1)*12+8)</f>
        <v>-1968.75</v>
      </c>
      <c r="P14" s="36" t="n">
        <f aca="false">INDEX(Monthly!$C$70:$AL$70,($R$2-1)*12+9)</f>
        <v>-1968.75</v>
      </c>
      <c r="Q14" s="36" t="n">
        <f aca="false">INDEX(Monthly!$C$70:$AL$70,($R$2-1)*12+10)</f>
        <v>-1968.75</v>
      </c>
      <c r="R14" s="36" t="n">
        <f aca="false">INDEX(Monthly!$C$70:$AL$70,($R$2-1)*12+11)</f>
        <v>-1968.75</v>
      </c>
      <c r="S14" s="36" t="n">
        <f aca="false">INDEX(Monthly!$C$70:$AL$70,($R$2-1)*12+12)</f>
        <v>-1968.75</v>
      </c>
    </row>
    <row r="15" customFormat="false" ht="15" hidden="false" customHeight="false" outlineLevel="0" collapsed="false">
      <c r="A15" s="37" t="s">
        <v>79</v>
      </c>
      <c r="B15" s="38" t="n">
        <f aca="false">'P&amp;L'!B19</f>
        <v>-87773.398624</v>
      </c>
      <c r="C15" s="38" t="n">
        <f aca="false">'P&amp;L'!C19</f>
        <v>87007.3786752</v>
      </c>
      <c r="D15" s="38" t="n">
        <f aca="false">'P&amp;L'!D19</f>
        <v>114731.64848652</v>
      </c>
      <c r="E15" s="37"/>
      <c r="F15" s="37"/>
      <c r="H15" s="38" t="n">
        <f aca="false">INDEX(Monthly!$C$53:$AL$53,($R$2-1)*12+1)</f>
        <v>-23419.7490933333</v>
      </c>
      <c r="I15" s="38" t="n">
        <f aca="false">INDEX(Monthly!$C$53:$AL$53,($R$2-1)*12+2)</f>
        <v>-20851.7739573333</v>
      </c>
      <c r="J15" s="38" t="n">
        <f aca="false">INDEX(Monthly!$C$53:$AL$53,($R$2-1)*12+3)</f>
        <v>-18283.7988213333</v>
      </c>
      <c r="K15" s="38" t="n">
        <f aca="false">INDEX(Monthly!$C$53:$AL$53,($R$2-1)*12+4)</f>
        <v>-15715.8236853333</v>
      </c>
      <c r="L15" s="38" t="n">
        <f aca="false">INDEX(Monthly!$C$53:$AL$53,($R$2-1)*12+5)</f>
        <v>-13147.8485493333</v>
      </c>
      <c r="M15" s="38" t="n">
        <f aca="false">INDEX(Monthly!$C$53:$AL$53,($R$2-1)*12+6)</f>
        <v>-4957.42077333334</v>
      </c>
      <c r="N15" s="38" t="n">
        <f aca="false">INDEX(Monthly!$C$53:$AL$53,($R$2-1)*12+7)</f>
        <v>-1907.52112533333</v>
      </c>
      <c r="O15" s="38" t="n">
        <f aca="false">INDEX(Monthly!$C$53:$AL$53,($R$2-1)*12+8)</f>
        <v>1142.37852266667</v>
      </c>
      <c r="P15" s="38" t="n">
        <f aca="false">INDEX(Monthly!$C$53:$AL$53,($R$2-1)*12+9)</f>
        <v>-2875.94800533334</v>
      </c>
      <c r="Q15" s="38" t="n">
        <f aca="false">INDEX(Monthly!$C$53:$AL$53,($R$2-1)*12+10)</f>
        <v>-307.972869333338</v>
      </c>
      <c r="R15" s="38" t="n">
        <f aca="false">INDEX(Monthly!$C$53:$AL$53,($R$2-1)*12+11)</f>
        <v>2260.00226666666</v>
      </c>
      <c r="S15" s="38" t="n">
        <f aca="false">INDEX(Monthly!$C$53:$AL$53,($R$2-1)*12+12)</f>
        <v>10292.0774666667</v>
      </c>
    </row>
    <row r="16" customFormat="false" ht="15" hidden="false" customHeight="false" outlineLevel="0" collapsed="false">
      <c r="A16" s="52" t="s">
        <v>80</v>
      </c>
      <c r="B16" s="36" t="n">
        <f aca="false">'P&amp;L'!B20</f>
        <v>-8243.75</v>
      </c>
      <c r="C16" s="36" t="n">
        <f aca="false">'P&amp;L'!C20</f>
        <v>-6449.99999999999</v>
      </c>
      <c r="D16" s="36" t="n">
        <f aca="false">'P&amp;L'!D20</f>
        <v>-4649.99999999999</v>
      </c>
      <c r="H16" s="36" t="n">
        <f aca="false">INDEX(Monthly!$C$54:$AL$54,($R$2-1)*12+1)</f>
        <v>-750</v>
      </c>
      <c r="I16" s="36" t="n">
        <f aca="false">INDEX(Monthly!$C$54:$AL$54,($R$2-1)*12+2)</f>
        <v>-743.75</v>
      </c>
      <c r="J16" s="36" t="n">
        <f aca="false">INDEX(Monthly!$C$54:$AL$54,($R$2-1)*12+3)</f>
        <v>-731.25</v>
      </c>
      <c r="K16" s="36" t="n">
        <f aca="false">INDEX(Monthly!$C$54:$AL$54,($R$2-1)*12+4)</f>
        <v>-718.75</v>
      </c>
      <c r="L16" s="36" t="n">
        <f aca="false">INDEX(Monthly!$C$54:$AL$54,($R$2-1)*12+5)</f>
        <v>-706.25</v>
      </c>
      <c r="M16" s="36" t="n">
        <f aca="false">INDEX(Monthly!$C$54:$AL$54,($R$2-1)*12+6)</f>
        <v>-693.75</v>
      </c>
      <c r="N16" s="36" t="n">
        <f aca="false">INDEX(Monthly!$C$54:$AL$54,($R$2-1)*12+7)</f>
        <v>-681.25</v>
      </c>
      <c r="O16" s="36" t="n">
        <f aca="false">INDEX(Monthly!$C$54:$AL$54,($R$2-1)*12+8)</f>
        <v>-668.75</v>
      </c>
      <c r="P16" s="36" t="n">
        <f aca="false">INDEX(Monthly!$C$54:$AL$54,($R$2-1)*12+9)</f>
        <v>-656.25</v>
      </c>
      <c r="Q16" s="36" t="n">
        <f aca="false">INDEX(Monthly!$C$54:$AL$54,($R$2-1)*12+10)</f>
        <v>-643.75</v>
      </c>
      <c r="R16" s="36" t="n">
        <f aca="false">INDEX(Monthly!$C$54:$AL$54,($R$2-1)*12+11)</f>
        <v>-631.25</v>
      </c>
      <c r="S16" s="36" t="n">
        <f aca="false">INDEX(Monthly!$C$54:$AL$54,($R$2-1)*12+12)</f>
        <v>-618.75</v>
      </c>
    </row>
    <row r="17" customFormat="false" ht="15" hidden="false" customHeight="false" outlineLevel="0" collapsed="false">
      <c r="A17" s="52" t="s">
        <v>81</v>
      </c>
      <c r="B17" s="36" t="n">
        <f aca="false">'P&amp;L'!B21</f>
        <v>-96017.148624</v>
      </c>
      <c r="C17" s="36" t="n">
        <f aca="false">'P&amp;L'!C21</f>
        <v>80557.3786752</v>
      </c>
      <c r="D17" s="36" t="n">
        <f aca="false">'P&amp;L'!D21</f>
        <v>110081.64848652</v>
      </c>
      <c r="H17" s="36" t="n">
        <f aca="false">INDEX(Monthly!$C$55:$AL$55,($R$2-1)*12+1)</f>
        <v>-24169.7490933333</v>
      </c>
      <c r="I17" s="36" t="n">
        <f aca="false">INDEX(Monthly!$C$55:$AL$55,($R$2-1)*12+2)</f>
        <v>-21595.5239573333</v>
      </c>
      <c r="J17" s="36" t="n">
        <f aca="false">INDEX(Monthly!$C$55:$AL$55,($R$2-1)*12+3)</f>
        <v>-19015.0488213333</v>
      </c>
      <c r="K17" s="36" t="n">
        <f aca="false">INDEX(Monthly!$C$55:$AL$55,($R$2-1)*12+4)</f>
        <v>-16434.5736853333</v>
      </c>
      <c r="L17" s="36" t="n">
        <f aca="false">INDEX(Monthly!$C$55:$AL$55,($R$2-1)*12+5)</f>
        <v>-13854.0985493333</v>
      </c>
      <c r="M17" s="36" t="n">
        <f aca="false">INDEX(Monthly!$C$55:$AL$55,($R$2-1)*12+6)</f>
        <v>-5651.17077333334</v>
      </c>
      <c r="N17" s="36" t="n">
        <f aca="false">INDEX(Monthly!$C$55:$AL$55,($R$2-1)*12+7)</f>
        <v>-2588.77112533333</v>
      </c>
      <c r="O17" s="36" t="n">
        <f aca="false">INDEX(Monthly!$C$55:$AL$55,($R$2-1)*12+8)</f>
        <v>473.628522666666</v>
      </c>
      <c r="P17" s="36" t="n">
        <f aca="false">INDEX(Monthly!$C$55:$AL$55,($R$2-1)*12+9)</f>
        <v>-3532.19800533334</v>
      </c>
      <c r="Q17" s="36" t="n">
        <f aca="false">INDEX(Monthly!$C$55:$AL$55,($R$2-1)*12+10)</f>
        <v>-951.722869333338</v>
      </c>
      <c r="R17" s="36" t="n">
        <f aca="false">INDEX(Monthly!$C$55:$AL$55,($R$2-1)*12+11)</f>
        <v>1628.75226666666</v>
      </c>
      <c r="S17" s="36" t="n">
        <f aca="false">INDEX(Monthly!$C$55:$AL$55,($R$2-1)*12+12)</f>
        <v>9673.32746666667</v>
      </c>
    </row>
    <row r="18" customFormat="false" ht="15" hidden="false" customHeight="false" outlineLevel="0" collapsed="false">
      <c r="A18" s="52" t="s">
        <v>82</v>
      </c>
      <c r="B18" s="36" t="n">
        <f aca="false">'P&amp;L'!B22</f>
        <v>0</v>
      </c>
      <c r="C18" s="36" t="n">
        <f aca="false">'P&amp;L'!C22</f>
        <v>0</v>
      </c>
      <c r="D18" s="36" t="n">
        <f aca="false">'P&amp;L'!D22</f>
        <v>-19870.5944929211</v>
      </c>
      <c r="H18" s="36" t="n">
        <f aca="false">INDEX(Monthly!$C$58:$AL$58,($R$2-1)*12+1)</f>
        <v>-0</v>
      </c>
      <c r="I18" s="36" t="n">
        <f aca="false">INDEX(Monthly!$C$58:$AL$58,($R$2-1)*12+2)</f>
        <v>-0</v>
      </c>
      <c r="J18" s="36" t="n">
        <f aca="false">INDEX(Monthly!$C$58:$AL$58,($R$2-1)*12+3)</f>
        <v>-0</v>
      </c>
      <c r="K18" s="36" t="n">
        <f aca="false">INDEX(Monthly!$C$58:$AL$58,($R$2-1)*12+4)</f>
        <v>-0</v>
      </c>
      <c r="L18" s="36" t="n">
        <f aca="false">INDEX(Monthly!$C$58:$AL$58,($R$2-1)*12+5)</f>
        <v>-0</v>
      </c>
      <c r="M18" s="36" t="n">
        <f aca="false">INDEX(Monthly!$C$58:$AL$58,($R$2-1)*12+6)</f>
        <v>-0</v>
      </c>
      <c r="N18" s="36" t="n">
        <f aca="false">INDEX(Monthly!$C$58:$AL$58,($R$2-1)*12+7)</f>
        <v>-0</v>
      </c>
      <c r="O18" s="36" t="n">
        <f aca="false">INDEX(Monthly!$C$58:$AL$58,($R$2-1)*12+8)</f>
        <v>-0</v>
      </c>
      <c r="P18" s="36" t="n">
        <f aca="false">INDEX(Monthly!$C$58:$AL$58,($R$2-1)*12+9)</f>
        <v>-0</v>
      </c>
      <c r="Q18" s="36" t="n">
        <f aca="false">INDEX(Monthly!$C$58:$AL$58,($R$2-1)*12+10)</f>
        <v>-0</v>
      </c>
      <c r="R18" s="36" t="n">
        <f aca="false">INDEX(Monthly!$C$58:$AL$58,($R$2-1)*12+11)</f>
        <v>-0</v>
      </c>
      <c r="S18" s="36" t="n">
        <f aca="false">INDEX(Monthly!$C$58:$AL$58,($R$2-1)*12+12)</f>
        <v>-0</v>
      </c>
    </row>
    <row r="19" customFormat="false" ht="15" hidden="false" customHeight="false" outlineLevel="0" collapsed="false">
      <c r="A19" s="41" t="s">
        <v>50</v>
      </c>
      <c r="B19" s="42" t="n">
        <f aca="false">'P&amp;L'!B23</f>
        <v>-96017.148624</v>
      </c>
      <c r="C19" s="42" t="n">
        <f aca="false">'P&amp;L'!C23</f>
        <v>80557.3786752</v>
      </c>
      <c r="D19" s="42" t="n">
        <f aca="false">'P&amp;L'!D23</f>
        <v>90211.0539935985</v>
      </c>
      <c r="E19" s="41"/>
      <c r="F19" s="41"/>
      <c r="H19" s="42" t="n">
        <f aca="false">INDEX(Monthly!$C$59:$AL$59,($R$2-1)*12+1)</f>
        <v>-24169.7490933333</v>
      </c>
      <c r="I19" s="42" t="n">
        <f aca="false">INDEX(Monthly!$C$59:$AL$59,($R$2-1)*12+2)</f>
        <v>-21595.5239573333</v>
      </c>
      <c r="J19" s="42" t="n">
        <f aca="false">INDEX(Monthly!$C$59:$AL$59,($R$2-1)*12+3)</f>
        <v>-19015.0488213333</v>
      </c>
      <c r="K19" s="42" t="n">
        <f aca="false">INDEX(Monthly!$C$59:$AL$59,($R$2-1)*12+4)</f>
        <v>-16434.5736853333</v>
      </c>
      <c r="L19" s="42" t="n">
        <f aca="false">INDEX(Monthly!$C$59:$AL$59,($R$2-1)*12+5)</f>
        <v>-13854.0985493333</v>
      </c>
      <c r="M19" s="42" t="n">
        <f aca="false">INDEX(Monthly!$C$59:$AL$59,($R$2-1)*12+6)</f>
        <v>-5651.17077333334</v>
      </c>
      <c r="N19" s="42" t="n">
        <f aca="false">INDEX(Monthly!$C$59:$AL$59,($R$2-1)*12+7)</f>
        <v>-2588.77112533333</v>
      </c>
      <c r="O19" s="42" t="n">
        <f aca="false">INDEX(Monthly!$C$59:$AL$59,($R$2-1)*12+8)</f>
        <v>473.628522666666</v>
      </c>
      <c r="P19" s="42" t="n">
        <f aca="false">INDEX(Monthly!$C$59:$AL$59,($R$2-1)*12+9)</f>
        <v>-3532.19800533334</v>
      </c>
      <c r="Q19" s="42" t="n">
        <f aca="false">INDEX(Monthly!$C$59:$AL$59,($R$2-1)*12+10)</f>
        <v>-951.722869333338</v>
      </c>
      <c r="R19" s="42" t="n">
        <f aca="false">INDEX(Monthly!$C$59:$AL$59,($R$2-1)*12+11)</f>
        <v>1628.75226666666</v>
      </c>
      <c r="S19" s="42" t="n">
        <f aca="false">INDEX(Monthly!$C$59:$AL$59,($R$2-1)*12+12)</f>
        <v>9673.32746666667</v>
      </c>
    </row>
    <row r="20" customFormat="false" ht="15" hidden="false" customHeight="false" outlineLevel="0" collapsed="false">
      <c r="A20" s="39" t="s">
        <v>51</v>
      </c>
      <c r="B20" s="40" t="n">
        <f aca="false">'P&amp;L'!B24</f>
        <v>-0.167131110389716</v>
      </c>
      <c r="C20" s="40" t="n">
        <f aca="false">'P&amp;L'!C24</f>
        <v>0.0964196953775547</v>
      </c>
      <c r="D20" s="40" t="n">
        <f aca="false">'P&amp;L'!D24</f>
        <v>0.101776084017165</v>
      </c>
      <c r="H20" s="40" t="n">
        <f aca="false">IF(H7=0,0,H19/H7)</f>
        <v>-0.966522739526309</v>
      </c>
      <c r="I20" s="40" t="n">
        <f aca="false">IF(I7=0,0,I19/I7)</f>
        <v>-0.750941039206988</v>
      </c>
      <c r="J20" s="40" t="n">
        <f aca="false">IF(J7=0,0,J19/J7)</f>
        <v>-0.584916707500505</v>
      </c>
      <c r="K20" s="40" t="n">
        <f aca="false">IF(K7=0,0,K19/K7)</f>
        <v>-0.453242237526399</v>
      </c>
      <c r="L20" s="40" t="n">
        <f aca="false">IF(L7=0,0,L19/L7)</f>
        <v>-0.346256730672437</v>
      </c>
      <c r="M20" s="40" t="n">
        <f aca="false">IF(M7=0,0,M19/M7)</f>
        <v>-0.112365117682815</v>
      </c>
      <c r="N20" s="40" t="n">
        <f aca="false">IF(N7=0,0,N19/N7)</f>
        <v>-0.0474101340360191</v>
      </c>
      <c r="O20" s="40" t="n">
        <f aca="false">IF(O7=0,0,O19/O7)</f>
        <v>0.00803924224783085</v>
      </c>
      <c r="P20" s="40" t="n">
        <f aca="false">IF(P7=0,0,P19/P7)</f>
        <v>-0.0642040307847203</v>
      </c>
      <c r="Q20" s="40" t="n">
        <f aca="false">IF(Q7=0,0,Q19/Q7)</f>
        <v>-0.0161950605910663</v>
      </c>
      <c r="R20" s="40" t="n">
        <f aca="false">IF(R7=0,0,R19/R7)</f>
        <v>0.0260528331793492</v>
      </c>
      <c r="S20" s="40" t="n">
        <f aca="false">IF(S7=0,0,S19/S7)</f>
        <v>0.134637800898501</v>
      </c>
    </row>
    <row r="22" customFormat="false" ht="15.75" hidden="false" customHeight="true" outlineLevel="0" collapsed="false">
      <c r="A22" s="7" t="s">
        <v>83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5"/>
      <c r="F23" s="35"/>
      <c r="H23" s="51" t="n">
        <f aca="false">INDEX(Monthly!$C$4:$AL$4,($R$2-1)*12+1)</f>
        <v>1</v>
      </c>
      <c r="I23" s="51" t="n">
        <f aca="false">INDEX(Monthly!$C$4:$AL$4,($R$2-1)*12+2)</f>
        <v>2</v>
      </c>
      <c r="J23" s="51" t="n">
        <f aca="false">INDEX(Monthly!$C$4:$AL$4,($R$2-1)*12+3)</f>
        <v>3</v>
      </c>
      <c r="K23" s="51" t="n">
        <f aca="false">INDEX(Monthly!$C$4:$AL$4,($R$2-1)*12+4)</f>
        <v>4</v>
      </c>
      <c r="L23" s="51" t="n">
        <f aca="false">INDEX(Monthly!$C$4:$AL$4,($R$2-1)*12+5)</f>
        <v>5</v>
      </c>
      <c r="M23" s="51" t="n">
        <f aca="false">INDEX(Monthly!$C$4:$AL$4,($R$2-1)*12+6)</f>
        <v>6</v>
      </c>
      <c r="N23" s="51" t="n">
        <f aca="false">INDEX(Monthly!$C$4:$AL$4,($R$2-1)*12+7)</f>
        <v>7</v>
      </c>
      <c r="O23" s="51" t="n">
        <f aca="false">INDEX(Monthly!$C$4:$AL$4,($R$2-1)*12+8)</f>
        <v>8</v>
      </c>
      <c r="P23" s="51" t="n">
        <f aca="false">INDEX(Monthly!$C$4:$AL$4,($R$2-1)*12+9)</f>
        <v>9</v>
      </c>
      <c r="Q23" s="51" t="n">
        <f aca="false">INDEX(Monthly!$C$4:$AL$4,($R$2-1)*12+10)</f>
        <v>10</v>
      </c>
      <c r="R23" s="51" t="n">
        <f aca="false">INDEX(Monthly!$C$4:$AL$4,($R$2-1)*12+11)</f>
        <v>11</v>
      </c>
      <c r="S23" s="51" t="n">
        <f aca="false">INDEX(Monthly!$C$4:$AL$4,($R$2-1)*12+12)</f>
        <v>12</v>
      </c>
    </row>
    <row r="24" customFormat="false" ht="15" hidden="false" customHeight="false" outlineLevel="0" collapsed="false">
      <c r="A24" s="37" t="s">
        <v>52</v>
      </c>
      <c r="B24" s="38" t="n">
        <f aca="false">'Cash Flow'!B10</f>
        <v>-62809.5271128889</v>
      </c>
      <c r="C24" s="38" t="n">
        <f aca="false">'Cash Flow'!C10</f>
        <v>105940.941991893</v>
      </c>
      <c r="D24" s="38" t="n">
        <f aca="false">'Cash Flow'!D10</f>
        <v>116873.338266278</v>
      </c>
      <c r="E24" s="37"/>
      <c r="F24" s="37"/>
      <c r="H24" s="38" t="n">
        <f aca="false">INDEX(Monthly!$C$89:$AL$89,($R$2-1)*12+1)</f>
        <v>-16920.3308622222</v>
      </c>
      <c r="I24" s="38" t="n">
        <f aca="false">INDEX(Monthly!$C$89:$AL$89,($R$2-1)*12+2)</f>
        <v>-19198.8403893333</v>
      </c>
      <c r="J24" s="38" t="n">
        <f aca="false">INDEX(Monthly!$C$89:$AL$89,($R$2-1)*12+3)</f>
        <v>-16618.3652533333</v>
      </c>
      <c r="K24" s="38" t="n">
        <f aca="false">INDEX(Monthly!$C$89:$AL$89,($R$2-1)*12+4)</f>
        <v>-14037.8901173333</v>
      </c>
      <c r="L24" s="38" t="n">
        <f aca="false">INDEX(Monthly!$C$89:$AL$89,($R$2-1)*12+5)</f>
        <v>-11457.4149813333</v>
      </c>
      <c r="M24" s="38" t="n">
        <f aca="false">INDEX(Monthly!$C$89:$AL$89,($R$2-1)*12+6)</f>
        <v>-3238.65488533334</v>
      </c>
      <c r="N24" s="38" t="n">
        <f aca="false">INDEX(Monthly!$C$89:$AL$89,($R$2-1)*12+7)</f>
        <v>-190.730501333334</v>
      </c>
      <c r="O24" s="38" t="n">
        <f aca="false">INDEX(Monthly!$C$89:$AL$89,($R$2-1)*12+8)</f>
        <v>2871.66914666667</v>
      </c>
      <c r="P24" s="38" t="n">
        <f aca="false">INDEX(Monthly!$C$89:$AL$89,($R$2-1)*12+9)</f>
        <v>-1154.06086933334</v>
      </c>
      <c r="Q24" s="38" t="n">
        <f aca="false">INDEX(Monthly!$C$89:$AL$89,($R$2-1)*12+10)</f>
        <v>1444.96069866666</v>
      </c>
      <c r="R24" s="38" t="n">
        <f aca="false">INDEX(Monthly!$C$89:$AL$89,($R$2-1)*12+11)</f>
        <v>4025.43583466666</v>
      </c>
      <c r="S24" s="38" t="n">
        <f aca="false">INDEX(Monthly!$C$89:$AL$89,($R$2-1)*12+12)</f>
        <v>11664.6950666667</v>
      </c>
    </row>
    <row r="25" customFormat="false" ht="15" hidden="false" customHeight="false" outlineLevel="0" collapsed="false">
      <c r="A25" s="52" t="s">
        <v>84</v>
      </c>
      <c r="B25" s="36" t="n">
        <f aca="false">'Cash Flow'!B11</f>
        <v>-189000</v>
      </c>
      <c r="C25" s="36" t="n">
        <f aca="false">'Cash Flow'!C11</f>
        <v>-10000</v>
      </c>
      <c r="D25" s="36" t="n">
        <f aca="false">'Cash Flow'!D11</f>
        <v>-10000</v>
      </c>
      <c r="H25" s="36" t="n">
        <f aca="false">INDEX(Monthly!$C$90:$AL$90,($R$2-1)*12+1)</f>
        <v>-189000</v>
      </c>
      <c r="I25" s="36" t="n">
        <f aca="false">INDEX(Monthly!$C$90:$AL$90,($R$2-1)*12+2)</f>
        <v>-0</v>
      </c>
      <c r="J25" s="36" t="n">
        <f aca="false">INDEX(Monthly!$C$90:$AL$90,($R$2-1)*12+3)</f>
        <v>-0</v>
      </c>
      <c r="K25" s="36" t="n">
        <f aca="false">INDEX(Monthly!$C$90:$AL$90,($R$2-1)*12+4)</f>
        <v>-0</v>
      </c>
      <c r="L25" s="36" t="n">
        <f aca="false">INDEX(Monthly!$C$90:$AL$90,($R$2-1)*12+5)</f>
        <v>-0</v>
      </c>
      <c r="M25" s="36" t="n">
        <f aca="false">INDEX(Monthly!$C$90:$AL$90,($R$2-1)*12+6)</f>
        <v>-0</v>
      </c>
      <c r="N25" s="36" t="n">
        <f aca="false">INDEX(Monthly!$C$90:$AL$90,($R$2-1)*12+7)</f>
        <v>-0</v>
      </c>
      <c r="O25" s="36" t="n">
        <f aca="false">INDEX(Monthly!$C$90:$AL$90,($R$2-1)*12+8)</f>
        <v>-0</v>
      </c>
      <c r="P25" s="36" t="n">
        <f aca="false">INDEX(Monthly!$C$90:$AL$90,($R$2-1)*12+9)</f>
        <v>-0</v>
      </c>
      <c r="Q25" s="36" t="n">
        <f aca="false">INDEX(Monthly!$C$90:$AL$90,($R$2-1)*12+10)</f>
        <v>-0</v>
      </c>
      <c r="R25" s="36" t="n">
        <f aca="false">INDEX(Monthly!$C$90:$AL$90,($R$2-1)*12+11)</f>
        <v>-0</v>
      </c>
      <c r="S25" s="36" t="n">
        <f aca="false">INDEX(Monthly!$C$90:$AL$90,($R$2-1)*12+12)</f>
        <v>-0</v>
      </c>
    </row>
    <row r="26" customFormat="false" ht="15" hidden="false" customHeight="false" outlineLevel="0" collapsed="false">
      <c r="A26" s="52" t="s">
        <v>64</v>
      </c>
      <c r="B26" s="36" t="n">
        <f aca="false">'Cash Flow'!B12</f>
        <v>330000</v>
      </c>
      <c r="C26" s="36" t="n">
        <f aca="false">'Cash Flow'!C12</f>
        <v>0</v>
      </c>
      <c r="D26" s="36" t="n">
        <f aca="false">'Cash Flow'!D12</f>
        <v>0</v>
      </c>
      <c r="H26" s="36" t="n">
        <f aca="false">INDEX(Monthly!$C$91:$AL$91,($R$2-1)*12+1)</f>
        <v>330000</v>
      </c>
      <c r="I26" s="36" t="n">
        <f aca="false">INDEX(Monthly!$C$91:$AL$91,($R$2-1)*12+2)</f>
        <v>0</v>
      </c>
      <c r="J26" s="36" t="n">
        <f aca="false">INDEX(Monthly!$C$91:$AL$91,($R$2-1)*12+3)</f>
        <v>0</v>
      </c>
      <c r="K26" s="36" t="n">
        <f aca="false">INDEX(Monthly!$C$91:$AL$91,($R$2-1)*12+4)</f>
        <v>0</v>
      </c>
      <c r="L26" s="36" t="n">
        <f aca="false">INDEX(Monthly!$C$91:$AL$91,($R$2-1)*12+5)</f>
        <v>0</v>
      </c>
      <c r="M26" s="36" t="n">
        <f aca="false">INDEX(Monthly!$C$91:$AL$91,($R$2-1)*12+6)</f>
        <v>0</v>
      </c>
      <c r="N26" s="36" t="n">
        <f aca="false">INDEX(Monthly!$C$91:$AL$91,($R$2-1)*12+7)</f>
        <v>0</v>
      </c>
      <c r="O26" s="36" t="n">
        <f aca="false">INDEX(Monthly!$C$91:$AL$91,($R$2-1)*12+8)</f>
        <v>0</v>
      </c>
      <c r="P26" s="36" t="n">
        <f aca="false">INDEX(Monthly!$C$91:$AL$91,($R$2-1)*12+9)</f>
        <v>0</v>
      </c>
      <c r="Q26" s="36" t="n">
        <f aca="false">INDEX(Monthly!$C$91:$AL$91,($R$2-1)*12+10)</f>
        <v>0</v>
      </c>
      <c r="R26" s="36" t="n">
        <f aca="false">INDEX(Monthly!$C$91:$AL$91,($R$2-1)*12+11)</f>
        <v>0</v>
      </c>
      <c r="S26" s="36" t="n">
        <f aca="false">INDEX(Monthly!$C$91:$AL$91,($R$2-1)*12+12)</f>
        <v>0</v>
      </c>
    </row>
    <row r="27" customFormat="false" ht="15" hidden="false" customHeight="false" outlineLevel="0" collapsed="false">
      <c r="A27" s="52" t="s">
        <v>85</v>
      </c>
      <c r="B27" s="36" t="n">
        <f aca="false">'Cash Flow'!B13</f>
        <v>100000</v>
      </c>
      <c r="C27" s="36" t="n">
        <f aca="false">'Cash Flow'!C13</f>
        <v>0</v>
      </c>
      <c r="D27" s="36" t="n">
        <f aca="false">'Cash Flow'!D13</f>
        <v>0</v>
      </c>
      <c r="H27" s="36" t="n">
        <f aca="false">INDEX(Monthly!$C$76:$AL$76,($R$2-1)*12+1)</f>
        <v>100000</v>
      </c>
      <c r="I27" s="36" t="n">
        <f aca="false">INDEX(Monthly!$C$76:$AL$76,($R$2-1)*12+2)</f>
        <v>0</v>
      </c>
      <c r="J27" s="36" t="n">
        <f aca="false">INDEX(Monthly!$C$76:$AL$76,($R$2-1)*12+3)</f>
        <v>0</v>
      </c>
      <c r="K27" s="36" t="n">
        <f aca="false">INDEX(Monthly!$C$76:$AL$76,($R$2-1)*12+4)</f>
        <v>0</v>
      </c>
      <c r="L27" s="36" t="n">
        <f aca="false">INDEX(Monthly!$C$76:$AL$76,($R$2-1)*12+5)</f>
        <v>0</v>
      </c>
      <c r="M27" s="36" t="n">
        <f aca="false">INDEX(Monthly!$C$76:$AL$76,($R$2-1)*12+6)</f>
        <v>0</v>
      </c>
      <c r="N27" s="36" t="n">
        <f aca="false">INDEX(Monthly!$C$76:$AL$76,($R$2-1)*12+7)</f>
        <v>0</v>
      </c>
      <c r="O27" s="36" t="n">
        <f aca="false">INDEX(Monthly!$C$76:$AL$76,($R$2-1)*12+8)</f>
        <v>0</v>
      </c>
      <c r="P27" s="36" t="n">
        <f aca="false">INDEX(Monthly!$C$76:$AL$76,($R$2-1)*12+9)</f>
        <v>0</v>
      </c>
      <c r="Q27" s="36" t="n">
        <f aca="false">INDEX(Monthly!$C$76:$AL$76,($R$2-1)*12+10)</f>
        <v>0</v>
      </c>
      <c r="R27" s="36" t="n">
        <f aca="false">INDEX(Monthly!$C$76:$AL$76,($R$2-1)*12+11)</f>
        <v>0</v>
      </c>
      <c r="S27" s="36" t="n">
        <f aca="false">INDEX(Monthly!$C$76:$AL$76,($R$2-1)*12+12)</f>
        <v>0</v>
      </c>
    </row>
    <row r="28" customFormat="false" ht="15" hidden="false" customHeight="false" outlineLevel="0" collapsed="false">
      <c r="A28" s="52" t="s">
        <v>86</v>
      </c>
      <c r="B28" s="36" t="n">
        <f aca="false">'Cash Flow'!B14</f>
        <v>-18333.3333333333</v>
      </c>
      <c r="C28" s="36" t="n">
        <f aca="false">'Cash Flow'!C14</f>
        <v>-20000</v>
      </c>
      <c r="D28" s="36" t="n">
        <f aca="false">'Cash Flow'!D14</f>
        <v>-20000</v>
      </c>
      <c r="H28" s="36" t="n">
        <f aca="false">INDEX(Monthly!$C$77:$AL$77,($R$2-1)*12+1)</f>
        <v>-0</v>
      </c>
      <c r="I28" s="36" t="n">
        <f aca="false">INDEX(Monthly!$C$77:$AL$77,($R$2-1)*12+2)</f>
        <v>-1666.66666666667</v>
      </c>
      <c r="J28" s="36" t="n">
        <f aca="false">INDEX(Monthly!$C$77:$AL$77,($R$2-1)*12+3)</f>
        <v>-1666.66666666667</v>
      </c>
      <c r="K28" s="36" t="n">
        <f aca="false">INDEX(Monthly!$C$77:$AL$77,($R$2-1)*12+4)</f>
        <v>-1666.66666666667</v>
      </c>
      <c r="L28" s="36" t="n">
        <f aca="false">INDEX(Monthly!$C$77:$AL$77,($R$2-1)*12+5)</f>
        <v>-1666.66666666667</v>
      </c>
      <c r="M28" s="36" t="n">
        <f aca="false">INDEX(Monthly!$C$77:$AL$77,($R$2-1)*12+6)</f>
        <v>-1666.66666666667</v>
      </c>
      <c r="N28" s="36" t="n">
        <f aca="false">INDEX(Monthly!$C$77:$AL$77,($R$2-1)*12+7)</f>
        <v>-1666.66666666667</v>
      </c>
      <c r="O28" s="36" t="n">
        <f aca="false">INDEX(Monthly!$C$77:$AL$77,($R$2-1)*12+8)</f>
        <v>-1666.66666666667</v>
      </c>
      <c r="P28" s="36" t="n">
        <f aca="false">INDEX(Monthly!$C$77:$AL$77,($R$2-1)*12+9)</f>
        <v>-1666.66666666667</v>
      </c>
      <c r="Q28" s="36" t="n">
        <f aca="false">INDEX(Monthly!$C$77:$AL$77,($R$2-1)*12+10)</f>
        <v>-1666.66666666667</v>
      </c>
      <c r="R28" s="36" t="n">
        <f aca="false">INDEX(Monthly!$C$77:$AL$77,($R$2-1)*12+11)</f>
        <v>-1666.66666666667</v>
      </c>
      <c r="S28" s="36" t="n">
        <f aca="false">INDEX(Monthly!$C$77:$AL$77,($R$2-1)*12+12)</f>
        <v>-1666.66666666667</v>
      </c>
    </row>
    <row r="29" customFormat="false" ht="15" hidden="false" customHeight="false" outlineLevel="0" collapsed="false">
      <c r="A29" s="37" t="s">
        <v>54</v>
      </c>
      <c r="B29" s="38" t="n">
        <f aca="false">'Cash Flow'!B15</f>
        <v>411666.666666667</v>
      </c>
      <c r="C29" s="38" t="n">
        <f aca="false">'Cash Flow'!C15</f>
        <v>-20000</v>
      </c>
      <c r="D29" s="38" t="n">
        <f aca="false">'Cash Flow'!D15</f>
        <v>-20000</v>
      </c>
      <c r="E29" s="37"/>
      <c r="F29" s="37"/>
      <c r="H29" s="38" t="n">
        <f aca="false">INDEX(Monthly!$C$92:$AL$92,($R$2-1)*12+1)</f>
        <v>430000</v>
      </c>
      <c r="I29" s="38" t="n">
        <f aca="false">INDEX(Monthly!$C$92:$AL$92,($R$2-1)*12+2)</f>
        <v>-1666.66666666667</v>
      </c>
      <c r="J29" s="38" t="n">
        <f aca="false">INDEX(Monthly!$C$92:$AL$92,($R$2-1)*12+3)</f>
        <v>-1666.66666666667</v>
      </c>
      <c r="K29" s="38" t="n">
        <f aca="false">INDEX(Monthly!$C$92:$AL$92,($R$2-1)*12+4)</f>
        <v>-1666.66666666667</v>
      </c>
      <c r="L29" s="38" t="n">
        <f aca="false">INDEX(Monthly!$C$92:$AL$92,($R$2-1)*12+5)</f>
        <v>-1666.66666666667</v>
      </c>
      <c r="M29" s="38" t="n">
        <f aca="false">INDEX(Monthly!$C$92:$AL$92,($R$2-1)*12+6)</f>
        <v>-1666.66666666667</v>
      </c>
      <c r="N29" s="38" t="n">
        <f aca="false">INDEX(Monthly!$C$92:$AL$92,($R$2-1)*12+7)</f>
        <v>-1666.66666666667</v>
      </c>
      <c r="O29" s="38" t="n">
        <f aca="false">INDEX(Monthly!$C$92:$AL$92,($R$2-1)*12+8)</f>
        <v>-1666.66666666667</v>
      </c>
      <c r="P29" s="38" t="n">
        <f aca="false">INDEX(Monthly!$C$92:$AL$92,($R$2-1)*12+9)</f>
        <v>-1666.66666666667</v>
      </c>
      <c r="Q29" s="38" t="n">
        <f aca="false">INDEX(Monthly!$C$92:$AL$92,($R$2-1)*12+10)</f>
        <v>-1666.66666666667</v>
      </c>
      <c r="R29" s="38" t="n">
        <f aca="false">INDEX(Monthly!$C$92:$AL$92,($R$2-1)*12+11)</f>
        <v>-1666.66666666667</v>
      </c>
      <c r="S29" s="38" t="n">
        <f aca="false">INDEX(Monthly!$C$92:$AL$92,($R$2-1)*12+12)</f>
        <v>-1666.66666666667</v>
      </c>
    </row>
    <row r="30" customFormat="false" ht="15" hidden="false" customHeight="false" outlineLevel="0" collapsed="false">
      <c r="A30" s="37" t="s">
        <v>55</v>
      </c>
      <c r="B30" s="38" t="n">
        <f aca="false">'Cash Flow'!B16</f>
        <v>159857.139553778</v>
      </c>
      <c r="C30" s="38" t="n">
        <f aca="false">'Cash Flow'!C16</f>
        <v>75940.9419918933</v>
      </c>
      <c r="D30" s="38" t="n">
        <f aca="false">'Cash Flow'!D16</f>
        <v>86873.3382662784</v>
      </c>
      <c r="E30" s="37"/>
      <c r="F30" s="37"/>
      <c r="H30" s="38" t="n">
        <f aca="false">INDEX(Monthly!$C$93:$AL$93,($R$2-1)*12+1)</f>
        <v>224079.669137778</v>
      </c>
      <c r="I30" s="38" t="n">
        <f aca="false">INDEX(Monthly!$C$93:$AL$93,($R$2-1)*12+2)</f>
        <v>-20865.507056</v>
      </c>
      <c r="J30" s="38" t="n">
        <f aca="false">INDEX(Monthly!$C$93:$AL$93,($R$2-1)*12+3)</f>
        <v>-18285.03192</v>
      </c>
      <c r="K30" s="38" t="n">
        <f aca="false">INDEX(Monthly!$C$93:$AL$93,($R$2-1)*12+4)</f>
        <v>-15704.556784</v>
      </c>
      <c r="L30" s="38" t="n">
        <f aca="false">INDEX(Monthly!$C$93:$AL$93,($R$2-1)*12+5)</f>
        <v>-13124.081648</v>
      </c>
      <c r="M30" s="38" t="n">
        <f aca="false">INDEX(Monthly!$C$93:$AL$93,($R$2-1)*12+6)</f>
        <v>-4905.32155200001</v>
      </c>
      <c r="N30" s="38" t="n">
        <f aca="false">INDEX(Monthly!$C$93:$AL$93,($R$2-1)*12+7)</f>
        <v>-1857.397168</v>
      </c>
      <c r="O30" s="38" t="n">
        <f aca="false">INDEX(Monthly!$C$93:$AL$93,($R$2-1)*12+8)</f>
        <v>1205.00248</v>
      </c>
      <c r="P30" s="38" t="n">
        <f aca="false">INDEX(Monthly!$C$93:$AL$93,($R$2-1)*12+9)</f>
        <v>-2820.72753600001</v>
      </c>
      <c r="Q30" s="38" t="n">
        <f aca="false">INDEX(Monthly!$C$93:$AL$93,($R$2-1)*12+10)</f>
        <v>-221.705968000009</v>
      </c>
      <c r="R30" s="38" t="n">
        <f aca="false">INDEX(Monthly!$C$93:$AL$93,($R$2-1)*12+11)</f>
        <v>2358.769168</v>
      </c>
      <c r="S30" s="38" t="n">
        <f aca="false">INDEX(Monthly!$C$93:$AL$93,($R$2-1)*12+12)</f>
        <v>9998.02840000001</v>
      </c>
    </row>
    <row r="31" customFormat="false" ht="15" hidden="false" customHeight="false" outlineLevel="0" collapsed="false">
      <c r="A31" s="41" t="s">
        <v>87</v>
      </c>
      <c r="B31" s="42" t="n">
        <f aca="false">'Cash Flow'!B18</f>
        <v>159857.139553778</v>
      </c>
      <c r="C31" s="42" t="n">
        <f aca="false">'Cash Flow'!C18</f>
        <v>235798.081545671</v>
      </c>
      <c r="D31" s="42" t="n">
        <f aca="false">'Cash Flow'!D18</f>
        <v>322671.41981195</v>
      </c>
      <c r="E31" s="41"/>
      <c r="F31" s="41"/>
      <c r="H31" s="42" t="n">
        <f aca="false">INDEX(Monthly!$C$95:$AL$95,($R$2-1)*12+1)</f>
        <v>224079.669137778</v>
      </c>
      <c r="I31" s="42" t="n">
        <f aca="false">INDEX(Monthly!$C$95:$AL$95,($R$2-1)*12+2)</f>
        <v>203214.162081778</v>
      </c>
      <c r="J31" s="42" t="n">
        <f aca="false">INDEX(Monthly!$C$95:$AL$95,($R$2-1)*12+3)</f>
        <v>184929.130161778</v>
      </c>
      <c r="K31" s="42" t="n">
        <f aca="false">INDEX(Monthly!$C$95:$AL$95,($R$2-1)*12+4)</f>
        <v>169224.573377778</v>
      </c>
      <c r="L31" s="42" t="n">
        <f aca="false">INDEX(Monthly!$C$95:$AL$95,($R$2-1)*12+5)</f>
        <v>156100.491729778</v>
      </c>
      <c r="M31" s="42" t="n">
        <f aca="false">INDEX(Monthly!$C$95:$AL$95,($R$2-1)*12+6)</f>
        <v>151195.170177778</v>
      </c>
      <c r="N31" s="42" t="n">
        <f aca="false">INDEX(Monthly!$C$95:$AL$95,($R$2-1)*12+7)</f>
        <v>149337.773009778</v>
      </c>
      <c r="O31" s="42" t="n">
        <f aca="false">INDEX(Monthly!$C$95:$AL$95,($R$2-1)*12+8)</f>
        <v>150542.775489778</v>
      </c>
      <c r="P31" s="42" t="n">
        <f aca="false">INDEX(Monthly!$C$95:$AL$95,($R$2-1)*12+9)</f>
        <v>147722.047953778</v>
      </c>
      <c r="Q31" s="42" t="n">
        <f aca="false">INDEX(Monthly!$C$95:$AL$95,($R$2-1)*12+10)</f>
        <v>147500.341985778</v>
      </c>
      <c r="R31" s="42" t="n">
        <f aca="false">INDEX(Monthly!$C$95:$AL$95,($R$2-1)*12+11)</f>
        <v>149859.111153778</v>
      </c>
      <c r="S31" s="42" t="n">
        <f aca="false">INDEX(Monthly!$C$95:$AL$95,($R$2-1)*12+12)</f>
        <v>159857.139553778</v>
      </c>
    </row>
    <row r="39" customFormat="false" ht="15.75" hidden="false" customHeight="true" outlineLevel="0" collapsed="false">
      <c r="A39" s="7" t="s">
        <v>88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5"/>
      <c r="F40" s="35"/>
      <c r="H40" s="51" t="n">
        <f aca="false">INDEX(Monthly!$C$4:$AL$4,($R$2-1)*12+1)</f>
        <v>1</v>
      </c>
      <c r="I40" s="51" t="n">
        <f aca="false">INDEX(Monthly!$C$4:$AL$4,($R$2-1)*12+2)</f>
        <v>2</v>
      </c>
      <c r="J40" s="51" t="n">
        <f aca="false">INDEX(Monthly!$C$4:$AL$4,($R$2-1)*12+3)</f>
        <v>3</v>
      </c>
      <c r="K40" s="51" t="n">
        <f aca="false">INDEX(Monthly!$C$4:$AL$4,($R$2-1)*12+4)</f>
        <v>4</v>
      </c>
      <c r="L40" s="51" t="n">
        <f aca="false">INDEX(Monthly!$C$4:$AL$4,($R$2-1)*12+5)</f>
        <v>5</v>
      </c>
      <c r="M40" s="51" t="n">
        <f aca="false">INDEX(Monthly!$C$4:$AL$4,($R$2-1)*12+6)</f>
        <v>6</v>
      </c>
      <c r="N40" s="51" t="n">
        <f aca="false">INDEX(Monthly!$C$4:$AL$4,($R$2-1)*12+7)</f>
        <v>7</v>
      </c>
      <c r="O40" s="51" t="n">
        <f aca="false">INDEX(Monthly!$C$4:$AL$4,($R$2-1)*12+8)</f>
        <v>8</v>
      </c>
      <c r="P40" s="51" t="n">
        <f aca="false">INDEX(Monthly!$C$4:$AL$4,($R$2-1)*12+9)</f>
        <v>9</v>
      </c>
      <c r="Q40" s="51" t="n">
        <f aca="false">INDEX(Monthly!$C$4:$AL$4,($R$2-1)*12+10)</f>
        <v>10</v>
      </c>
      <c r="R40" s="51" t="n">
        <f aca="false">INDEX(Monthly!$C$4:$AL$4,($R$2-1)*12+11)</f>
        <v>11</v>
      </c>
      <c r="S40" s="51" t="n">
        <f aca="false">INDEX(Monthly!$C$4:$AL$4,($R$2-1)*12+12)</f>
        <v>12</v>
      </c>
    </row>
    <row r="41" customFormat="false" ht="15" hidden="false" customHeight="false" outlineLevel="0" collapsed="false">
      <c r="A41" s="52" t="s">
        <v>89</v>
      </c>
      <c r="B41" s="36" t="n">
        <f aca="false">'Balance Sheet'!B5</f>
        <v>159857.139553778</v>
      </c>
      <c r="C41" s="36" t="n">
        <f aca="false">'Balance Sheet'!C5</f>
        <v>235798.081545671</v>
      </c>
      <c r="D41" s="36" t="n">
        <f aca="false">'Balance Sheet'!D5</f>
        <v>322671.41981195</v>
      </c>
      <c r="H41" s="36" t="n">
        <f aca="false">INDEX(Monthly!$C$95:$AL$95,($R$2-1)*12+1)</f>
        <v>224079.669137778</v>
      </c>
      <c r="I41" s="36" t="n">
        <f aca="false">INDEX(Monthly!$C$95:$AL$95,($R$2-1)*12+2)</f>
        <v>203214.162081778</v>
      </c>
      <c r="J41" s="36" t="n">
        <f aca="false">INDEX(Monthly!$C$95:$AL$95,($R$2-1)*12+3)</f>
        <v>184929.130161778</v>
      </c>
      <c r="K41" s="36" t="n">
        <f aca="false">INDEX(Monthly!$C$95:$AL$95,($R$2-1)*12+4)</f>
        <v>169224.573377778</v>
      </c>
      <c r="L41" s="36" t="n">
        <f aca="false">INDEX(Monthly!$C$95:$AL$95,($R$2-1)*12+5)</f>
        <v>156100.491729778</v>
      </c>
      <c r="M41" s="36" t="n">
        <f aca="false">INDEX(Monthly!$C$95:$AL$95,($R$2-1)*12+6)</f>
        <v>151195.170177778</v>
      </c>
      <c r="N41" s="36" t="n">
        <f aca="false">INDEX(Monthly!$C$95:$AL$95,($R$2-1)*12+7)</f>
        <v>149337.773009778</v>
      </c>
      <c r="O41" s="36" t="n">
        <f aca="false">INDEX(Monthly!$C$95:$AL$95,($R$2-1)*12+8)</f>
        <v>150542.775489778</v>
      </c>
      <c r="P41" s="36" t="n">
        <f aca="false">INDEX(Monthly!$C$95:$AL$95,($R$2-1)*12+9)</f>
        <v>147722.047953778</v>
      </c>
      <c r="Q41" s="36" t="n">
        <f aca="false">INDEX(Monthly!$C$95:$AL$95,($R$2-1)*12+10)</f>
        <v>147500.341985778</v>
      </c>
      <c r="R41" s="36" t="n">
        <f aca="false">INDEX(Monthly!$C$95:$AL$95,($R$2-1)*12+11)</f>
        <v>149859.111153778</v>
      </c>
      <c r="S41" s="36" t="n">
        <f aca="false">INDEX(Monthly!$C$95:$AL$95,($R$2-1)*12+12)</f>
        <v>159857.139553778</v>
      </c>
    </row>
    <row r="42" customFormat="false" ht="15" hidden="false" customHeight="false" outlineLevel="0" collapsed="false">
      <c r="A42" s="52" t="s">
        <v>90</v>
      </c>
      <c r="B42" s="36" t="n">
        <f aca="false">'Balance Sheet'!B6</f>
        <v>4789.80266666667</v>
      </c>
      <c r="C42" s="36" t="n">
        <f aca="false">'Balance Sheet'!C6</f>
        <v>5081.50164906667</v>
      </c>
      <c r="D42" s="36" t="n">
        <f aca="false">'Balance Sheet'!D6</f>
        <v>5390.96509949483</v>
      </c>
      <c r="H42" s="36" t="n">
        <f aca="false">INDEX(Monthly!$C$81:$AL$81,($R$2-1)*12+1)</f>
        <v>1667.12746666667</v>
      </c>
      <c r="I42" s="36" t="n">
        <f aca="false">INDEX(Monthly!$C$81:$AL$81,($R$2-1)*12+2)</f>
        <v>1917.19658666667</v>
      </c>
      <c r="J42" s="36" t="n">
        <f aca="false">INDEX(Monthly!$C$81:$AL$81,($R$2-1)*12+3)</f>
        <v>2167.26570666667</v>
      </c>
      <c r="K42" s="36" t="n">
        <f aca="false">INDEX(Monthly!$C$81:$AL$81,($R$2-1)*12+4)</f>
        <v>2417.33482666667</v>
      </c>
      <c r="L42" s="36" t="n">
        <f aca="false">INDEX(Monthly!$C$81:$AL$81,($R$2-1)*12+5)</f>
        <v>2667.40394666667</v>
      </c>
      <c r="M42" s="36" t="n">
        <f aca="false">INDEX(Monthly!$C$81:$AL$81,($R$2-1)*12+6)</f>
        <v>3352.86186666667</v>
      </c>
      <c r="N42" s="36" t="n">
        <f aca="false">INDEX(Monthly!$C$81:$AL$81,($R$2-1)*12+7)</f>
        <v>3640.25002666667</v>
      </c>
      <c r="O42" s="36" t="n">
        <f aca="false">INDEX(Monthly!$C$81:$AL$81,($R$2-1)*12+8)</f>
        <v>3927.63818666667</v>
      </c>
      <c r="P42" s="36" t="n">
        <f aca="false">INDEX(Monthly!$C$81:$AL$81,($R$2-1)*12+9)</f>
        <v>3667.68042666667</v>
      </c>
      <c r="Q42" s="36" t="n">
        <f aca="false">INDEX(Monthly!$C$81:$AL$81,($R$2-1)*12+10)</f>
        <v>3917.74954666667</v>
      </c>
      <c r="R42" s="36" t="n">
        <f aca="false">INDEX(Monthly!$C$81:$AL$81,($R$2-1)*12+11)</f>
        <v>4167.81866666667</v>
      </c>
      <c r="S42" s="36" t="n">
        <f aca="false">INDEX(Monthly!$C$81:$AL$81,($R$2-1)*12+12)</f>
        <v>4789.80266666667</v>
      </c>
    </row>
    <row r="43" customFormat="false" ht="15" hidden="false" customHeight="false" outlineLevel="0" collapsed="false">
      <c r="A43" s="52" t="s">
        <v>91</v>
      </c>
      <c r="B43" s="36" t="n">
        <f aca="false">'Balance Sheet'!B7</f>
        <v>4538.66026666667</v>
      </c>
      <c r="C43" s="36" t="n">
        <f aca="false">'Balance Sheet'!C7</f>
        <v>4791.37467690667</v>
      </c>
      <c r="D43" s="36" t="n">
        <f aca="false">'Balance Sheet'!D7</f>
        <v>5058.76869473028</v>
      </c>
      <c r="H43" s="36" t="n">
        <f aca="false">INDEX(Monthly!$C$82:$AL$82,($R$2-1)*12+1)</f>
        <v>2194.04074666667</v>
      </c>
      <c r="I43" s="36" t="n">
        <f aca="false">INDEX(Monthly!$C$82:$AL$82,($R$2-1)*12+2)</f>
        <v>2408.14685866667</v>
      </c>
      <c r="J43" s="36" t="n">
        <f aca="false">INDEX(Monthly!$C$82:$AL$82,($R$2-1)*12+3)</f>
        <v>2622.25297066667</v>
      </c>
      <c r="K43" s="36" t="n">
        <f aca="false">INDEX(Monthly!$C$82:$AL$82,($R$2-1)*12+4)</f>
        <v>2836.35908266667</v>
      </c>
      <c r="L43" s="36" t="n">
        <f aca="false">INDEX(Monthly!$C$82:$AL$82,($R$2-1)*12+5)</f>
        <v>3050.46519466667</v>
      </c>
      <c r="M43" s="36" t="n">
        <f aca="false">INDEX(Monthly!$C$82:$AL$82,($R$2-1)*12+6)</f>
        <v>3407.06218666667</v>
      </c>
      <c r="N43" s="36" t="n">
        <f aca="false">INDEX(Monthly!$C$82:$AL$82,($R$2-1)*12+7)</f>
        <v>3633.38180266667</v>
      </c>
      <c r="O43" s="36" t="n">
        <f aca="false">INDEX(Monthly!$C$82:$AL$82,($R$2-1)*12+8)</f>
        <v>3859.70141866667</v>
      </c>
      <c r="P43" s="36" t="n">
        <f aca="false">INDEX(Monthly!$C$82:$AL$82,($R$2-1)*12+9)</f>
        <v>3906.88964266667</v>
      </c>
      <c r="Q43" s="36" t="n">
        <f aca="false">INDEX(Monthly!$C$82:$AL$82,($R$2-1)*12+10)</f>
        <v>4120.99575466667</v>
      </c>
      <c r="R43" s="36" t="n">
        <f aca="false">INDEX(Monthly!$C$82:$AL$82,($R$2-1)*12+11)</f>
        <v>4335.10186666667</v>
      </c>
      <c r="S43" s="36" t="n">
        <f aca="false">INDEX(Monthly!$C$82:$AL$82,($R$2-1)*12+12)</f>
        <v>4538.66026666667</v>
      </c>
    </row>
    <row r="44" customFormat="false" ht="15" hidden="false" customHeight="false" outlineLevel="0" collapsed="false">
      <c r="A44" s="52" t="s">
        <v>92</v>
      </c>
      <c r="B44" s="36" t="n">
        <f aca="false">'Balance Sheet'!B8</f>
        <v>165375</v>
      </c>
      <c r="C44" s="36" t="n">
        <f aca="false">'Balance Sheet'!C8</f>
        <v>150500</v>
      </c>
      <c r="D44" s="36" t="n">
        <f aca="false">'Balance Sheet'!D8</f>
        <v>134375</v>
      </c>
      <c r="H44" s="36" t="n">
        <f aca="false">INDEX(Monthly!$C$72:$AL$72,($R$2-1)*12+1)</f>
        <v>187031.25</v>
      </c>
      <c r="I44" s="36" t="n">
        <f aca="false">INDEX(Monthly!$C$72:$AL$72,($R$2-1)*12+2)</f>
        <v>185062.5</v>
      </c>
      <c r="J44" s="36" t="n">
        <f aca="false">INDEX(Monthly!$C$72:$AL$72,($R$2-1)*12+3)</f>
        <v>183093.75</v>
      </c>
      <c r="K44" s="36" t="n">
        <f aca="false">INDEX(Monthly!$C$72:$AL$72,($R$2-1)*12+4)</f>
        <v>181125</v>
      </c>
      <c r="L44" s="36" t="n">
        <f aca="false">INDEX(Monthly!$C$72:$AL$72,($R$2-1)*12+5)</f>
        <v>179156.25</v>
      </c>
      <c r="M44" s="36" t="n">
        <f aca="false">INDEX(Monthly!$C$72:$AL$72,($R$2-1)*12+6)</f>
        <v>177187.5</v>
      </c>
      <c r="N44" s="36" t="n">
        <f aca="false">INDEX(Monthly!$C$72:$AL$72,($R$2-1)*12+7)</f>
        <v>175218.75</v>
      </c>
      <c r="O44" s="36" t="n">
        <f aca="false">INDEX(Monthly!$C$72:$AL$72,($R$2-1)*12+8)</f>
        <v>173250</v>
      </c>
      <c r="P44" s="36" t="n">
        <f aca="false">INDEX(Monthly!$C$72:$AL$72,($R$2-1)*12+9)</f>
        <v>171281.25</v>
      </c>
      <c r="Q44" s="36" t="n">
        <f aca="false">INDEX(Monthly!$C$72:$AL$72,($R$2-1)*12+10)</f>
        <v>169312.5</v>
      </c>
      <c r="R44" s="36" t="n">
        <f aca="false">INDEX(Monthly!$C$72:$AL$72,($R$2-1)*12+11)</f>
        <v>167343.75</v>
      </c>
      <c r="S44" s="36" t="n">
        <f aca="false">INDEX(Monthly!$C$72:$AL$72,($R$2-1)*12+12)</f>
        <v>165375</v>
      </c>
    </row>
    <row r="45" customFormat="false" ht="15" hidden="false" customHeight="false" outlineLevel="0" collapsed="false">
      <c r="A45" s="37" t="s">
        <v>93</v>
      </c>
      <c r="B45" s="38" t="n">
        <f aca="false">'Balance Sheet'!B9</f>
        <v>334560.602487111</v>
      </c>
      <c r="C45" s="38" t="n">
        <f aca="false">'Balance Sheet'!C9</f>
        <v>396170.957871644</v>
      </c>
      <c r="D45" s="38" t="n">
        <f aca="false">'Balance Sheet'!D9</f>
        <v>467496.153606175</v>
      </c>
      <c r="E45" s="37"/>
      <c r="F45" s="37"/>
      <c r="H45" s="38" t="n">
        <f aca="false">INDEX(Monthly!$C$109:$AL$109,($R$2-1)*12+1)</f>
        <v>414972.087351111</v>
      </c>
      <c r="I45" s="38" t="n">
        <f aca="false">INDEX(Monthly!$C$109:$AL$109,($R$2-1)*12+2)</f>
        <v>392602.005527111</v>
      </c>
      <c r="J45" s="38" t="n">
        <f aca="false">INDEX(Monthly!$C$109:$AL$109,($R$2-1)*12+3)</f>
        <v>372812.398839111</v>
      </c>
      <c r="K45" s="38" t="n">
        <f aca="false">INDEX(Monthly!$C$109:$AL$109,($R$2-1)*12+4)</f>
        <v>355603.267287111</v>
      </c>
      <c r="L45" s="38" t="n">
        <f aca="false">INDEX(Monthly!$C$109:$AL$109,($R$2-1)*12+5)</f>
        <v>340974.610871111</v>
      </c>
      <c r="M45" s="38" t="n">
        <f aca="false">INDEX(Monthly!$C$109:$AL$109,($R$2-1)*12+6)</f>
        <v>335142.594231111</v>
      </c>
      <c r="N45" s="38" t="n">
        <f aca="false">INDEX(Monthly!$C$109:$AL$109,($R$2-1)*12+7)</f>
        <v>331830.154839111</v>
      </c>
      <c r="O45" s="38" t="n">
        <f aca="false">INDEX(Monthly!$C$109:$AL$109,($R$2-1)*12+8)</f>
        <v>331580.115095111</v>
      </c>
      <c r="P45" s="38" t="n">
        <f aca="false">INDEX(Monthly!$C$109:$AL$109,($R$2-1)*12+9)</f>
        <v>326577.868023111</v>
      </c>
      <c r="Q45" s="38" t="n">
        <f aca="false">INDEX(Monthly!$C$109:$AL$109,($R$2-1)*12+10)</f>
        <v>324851.587287111</v>
      </c>
      <c r="R45" s="38" t="n">
        <f aca="false">INDEX(Monthly!$C$109:$AL$109,($R$2-1)*12+11)</f>
        <v>325705.781687111</v>
      </c>
      <c r="S45" s="38" t="n">
        <f aca="false">INDEX(Monthly!$C$109:$AL$109,($R$2-1)*12+12)</f>
        <v>334560.602487111</v>
      </c>
    </row>
    <row r="46" customFormat="false" ht="15" hidden="false" customHeight="false" outlineLevel="0" collapsed="false">
      <c r="A46" s="52" t="s">
        <v>94</v>
      </c>
      <c r="B46" s="36" t="n">
        <f aca="false">'Balance Sheet'!B10</f>
        <v>18911.0844444444</v>
      </c>
      <c r="C46" s="36" t="n">
        <f aca="false">'Balance Sheet'!C10</f>
        <v>19964.0611537778</v>
      </c>
      <c r="D46" s="36" t="n">
        <f aca="false">'Balance Sheet'!D10</f>
        <v>21078.2028947095</v>
      </c>
      <c r="H46" s="36" t="n">
        <f aca="false">INDEX(Monthly!$C$83:$AL$83,($R$2-1)*12+1)</f>
        <v>9141.83644444444</v>
      </c>
      <c r="I46" s="36" t="n">
        <f aca="false">INDEX(Monthly!$C$83:$AL$83,($R$2-1)*12+2)</f>
        <v>10033.9452444444</v>
      </c>
      <c r="J46" s="36" t="n">
        <f aca="false">INDEX(Monthly!$C$83:$AL$83,($R$2-1)*12+3)</f>
        <v>10926.0540444444</v>
      </c>
      <c r="K46" s="36" t="n">
        <f aca="false">INDEX(Monthly!$C$83:$AL$83,($R$2-1)*12+4)</f>
        <v>11818.1628444444</v>
      </c>
      <c r="L46" s="36" t="n">
        <f aca="false">INDEX(Monthly!$C$83:$AL$83,($R$2-1)*12+5)</f>
        <v>12710.2716444444</v>
      </c>
      <c r="M46" s="36" t="n">
        <f aca="false">INDEX(Monthly!$C$83:$AL$83,($R$2-1)*12+6)</f>
        <v>14196.0924444444</v>
      </c>
      <c r="N46" s="36" t="n">
        <f aca="false">INDEX(Monthly!$C$83:$AL$83,($R$2-1)*12+7)</f>
        <v>15139.0908444444</v>
      </c>
      <c r="O46" s="36" t="n">
        <f aca="false">INDEX(Monthly!$C$83:$AL$83,($R$2-1)*12+8)</f>
        <v>16082.0892444444</v>
      </c>
      <c r="P46" s="36" t="n">
        <f aca="false">INDEX(Monthly!$C$83:$AL$83,($R$2-1)*12+9)</f>
        <v>16278.7068444444</v>
      </c>
      <c r="Q46" s="36" t="n">
        <f aca="false">INDEX(Monthly!$C$83:$AL$83,($R$2-1)*12+10)</f>
        <v>17170.8156444444</v>
      </c>
      <c r="R46" s="36" t="n">
        <f aca="false">INDEX(Monthly!$C$83:$AL$83,($R$2-1)*12+11)</f>
        <v>18062.9244444444</v>
      </c>
      <c r="S46" s="36" t="n">
        <f aca="false">INDEX(Monthly!$C$83:$AL$83,($R$2-1)*12+12)</f>
        <v>18911.0844444444</v>
      </c>
    </row>
    <row r="47" customFormat="false" ht="15" hidden="false" customHeight="false" outlineLevel="0" collapsed="false">
      <c r="A47" s="52" t="s">
        <v>95</v>
      </c>
      <c r="B47" s="36" t="n">
        <f aca="false">'Balance Sheet'!B11</f>
        <v>81666.6666666666</v>
      </c>
      <c r="C47" s="36" t="n">
        <f aca="false">'Balance Sheet'!C11</f>
        <v>61666.6666666666</v>
      </c>
      <c r="D47" s="36" t="n">
        <f aca="false">'Balance Sheet'!D11</f>
        <v>41666.6666666666</v>
      </c>
      <c r="H47" s="36" t="n">
        <f aca="false">INDEX(Monthly!$C$78:$AL$78,($R$2-1)*12+1)</f>
        <v>100000</v>
      </c>
      <c r="I47" s="36" t="n">
        <f aca="false">INDEX(Monthly!$C$78:$AL$78,($R$2-1)*12+2)</f>
        <v>98333.3333333333</v>
      </c>
      <c r="J47" s="36" t="n">
        <f aca="false">INDEX(Monthly!$C$78:$AL$78,($R$2-1)*12+3)</f>
        <v>96666.6666666667</v>
      </c>
      <c r="K47" s="36" t="n">
        <f aca="false">INDEX(Monthly!$C$78:$AL$78,($R$2-1)*12+4)</f>
        <v>95000</v>
      </c>
      <c r="L47" s="36" t="n">
        <f aca="false">INDEX(Monthly!$C$78:$AL$78,($R$2-1)*12+5)</f>
        <v>93333.3333333333</v>
      </c>
      <c r="M47" s="36" t="n">
        <f aca="false">INDEX(Monthly!$C$78:$AL$78,($R$2-1)*12+6)</f>
        <v>91666.6666666666</v>
      </c>
      <c r="N47" s="36" t="n">
        <f aca="false">INDEX(Monthly!$C$78:$AL$78,($R$2-1)*12+7)</f>
        <v>90000</v>
      </c>
      <c r="O47" s="36" t="n">
        <f aca="false">INDEX(Monthly!$C$78:$AL$78,($R$2-1)*12+8)</f>
        <v>88333.3333333333</v>
      </c>
      <c r="P47" s="36" t="n">
        <f aca="false">INDEX(Monthly!$C$78:$AL$78,($R$2-1)*12+9)</f>
        <v>86666.6666666666</v>
      </c>
      <c r="Q47" s="36" t="n">
        <f aca="false">INDEX(Monthly!$C$78:$AL$78,($R$2-1)*12+10)</f>
        <v>85000</v>
      </c>
      <c r="R47" s="36" t="n">
        <f aca="false">INDEX(Monthly!$C$78:$AL$78,($R$2-1)*12+11)</f>
        <v>83333.3333333333</v>
      </c>
      <c r="S47" s="36" t="n">
        <f aca="false">INDEX(Monthly!$C$78:$AL$78,($R$2-1)*12+12)</f>
        <v>81666.6666666666</v>
      </c>
    </row>
    <row r="48" customFormat="false" ht="15" hidden="false" customHeight="false" outlineLevel="0" collapsed="false">
      <c r="A48" s="37" t="s">
        <v>96</v>
      </c>
      <c r="B48" s="38" t="n">
        <f aca="false">'Balance Sheet'!B12</f>
        <v>100577.751111111</v>
      </c>
      <c r="C48" s="38" t="n">
        <f aca="false">'Balance Sheet'!C12</f>
        <v>81630.7278204444</v>
      </c>
      <c r="D48" s="38" t="n">
        <f aca="false">'Balance Sheet'!D12</f>
        <v>62744.8695613761</v>
      </c>
      <c r="E48" s="37"/>
      <c r="F48" s="37"/>
      <c r="H48" s="38" t="n">
        <f aca="false">INDEX(Monthly!$C$110:$AL$110,($R$2-1)*12+1)</f>
        <v>109141.836444444</v>
      </c>
      <c r="I48" s="38" t="n">
        <f aca="false">INDEX(Monthly!$C$110:$AL$110,($R$2-1)*12+2)</f>
        <v>108367.278577778</v>
      </c>
      <c r="J48" s="38" t="n">
        <f aca="false">INDEX(Monthly!$C$110:$AL$110,($R$2-1)*12+3)</f>
        <v>107592.720711111</v>
      </c>
      <c r="K48" s="38" t="n">
        <f aca="false">INDEX(Monthly!$C$110:$AL$110,($R$2-1)*12+4)</f>
        <v>106818.162844444</v>
      </c>
      <c r="L48" s="38" t="n">
        <f aca="false">INDEX(Monthly!$C$110:$AL$110,($R$2-1)*12+5)</f>
        <v>106043.604977778</v>
      </c>
      <c r="M48" s="38" t="n">
        <f aca="false">INDEX(Monthly!$C$110:$AL$110,($R$2-1)*12+6)</f>
        <v>105862.759111111</v>
      </c>
      <c r="N48" s="38" t="n">
        <f aca="false">INDEX(Monthly!$C$110:$AL$110,($R$2-1)*12+7)</f>
        <v>105139.090844444</v>
      </c>
      <c r="O48" s="38" t="n">
        <f aca="false">INDEX(Monthly!$C$110:$AL$110,($R$2-1)*12+8)</f>
        <v>104415.422577778</v>
      </c>
      <c r="P48" s="38" t="n">
        <f aca="false">INDEX(Monthly!$C$110:$AL$110,($R$2-1)*12+9)</f>
        <v>102945.373511111</v>
      </c>
      <c r="Q48" s="38" t="n">
        <f aca="false">INDEX(Monthly!$C$110:$AL$110,($R$2-1)*12+10)</f>
        <v>102170.815644444</v>
      </c>
      <c r="R48" s="38" t="n">
        <f aca="false">INDEX(Monthly!$C$110:$AL$110,($R$2-1)*12+11)</f>
        <v>101396.257777778</v>
      </c>
      <c r="S48" s="38" t="n">
        <f aca="false">INDEX(Monthly!$C$110:$AL$110,($R$2-1)*12+12)</f>
        <v>100577.751111111</v>
      </c>
    </row>
    <row r="49" customFormat="false" ht="15" hidden="false" customHeight="false" outlineLevel="0" collapsed="false">
      <c r="A49" s="52" t="s">
        <v>97</v>
      </c>
      <c r="B49" s="36" t="n">
        <f aca="false">'Balance Sheet'!B13</f>
        <v>330000</v>
      </c>
      <c r="C49" s="36" t="n">
        <f aca="false">'Balance Sheet'!C13</f>
        <v>330000</v>
      </c>
      <c r="D49" s="36" t="n">
        <f aca="false">'Balance Sheet'!D13</f>
        <v>330000</v>
      </c>
      <c r="H49" s="36" t="n">
        <f aca="false">INDEX(Monthly!$C$107:$AL$107,($R$2-1)*12+1)</f>
        <v>330000</v>
      </c>
      <c r="I49" s="36" t="n">
        <f aca="false">INDEX(Monthly!$C$107:$AL$107,($R$2-1)*12+2)</f>
        <v>330000</v>
      </c>
      <c r="J49" s="36" t="n">
        <f aca="false">INDEX(Monthly!$C$107:$AL$107,($R$2-1)*12+3)</f>
        <v>330000</v>
      </c>
      <c r="K49" s="36" t="n">
        <f aca="false">INDEX(Monthly!$C$107:$AL$107,($R$2-1)*12+4)</f>
        <v>330000</v>
      </c>
      <c r="L49" s="36" t="n">
        <f aca="false">INDEX(Monthly!$C$107:$AL$107,($R$2-1)*12+5)</f>
        <v>330000</v>
      </c>
      <c r="M49" s="36" t="n">
        <f aca="false">INDEX(Monthly!$C$107:$AL$107,($R$2-1)*12+6)</f>
        <v>330000</v>
      </c>
      <c r="N49" s="36" t="n">
        <f aca="false">INDEX(Monthly!$C$107:$AL$107,($R$2-1)*12+7)</f>
        <v>330000</v>
      </c>
      <c r="O49" s="36" t="n">
        <f aca="false">INDEX(Monthly!$C$107:$AL$107,($R$2-1)*12+8)</f>
        <v>330000</v>
      </c>
      <c r="P49" s="36" t="n">
        <f aca="false">INDEX(Monthly!$C$107:$AL$107,($R$2-1)*12+9)</f>
        <v>330000</v>
      </c>
      <c r="Q49" s="36" t="n">
        <f aca="false">INDEX(Monthly!$C$107:$AL$107,($R$2-1)*12+10)</f>
        <v>330000</v>
      </c>
      <c r="R49" s="36" t="n">
        <f aca="false">INDEX(Monthly!$C$107:$AL$107,($R$2-1)*12+11)</f>
        <v>330000</v>
      </c>
      <c r="S49" s="36" t="n">
        <f aca="false">INDEX(Monthly!$C$107:$AL$107,($R$2-1)*12+12)</f>
        <v>330000</v>
      </c>
    </row>
    <row r="50" customFormat="false" ht="15" hidden="false" customHeight="false" outlineLevel="0" collapsed="false">
      <c r="A50" s="52" t="s">
        <v>98</v>
      </c>
      <c r="B50" s="36" t="n">
        <f aca="false">'Balance Sheet'!B14</f>
        <v>-96017.148624</v>
      </c>
      <c r="C50" s="36" t="n">
        <f aca="false">'Balance Sheet'!C14</f>
        <v>-15459.7699488</v>
      </c>
      <c r="D50" s="36" t="n">
        <f aca="false">'Balance Sheet'!D14</f>
        <v>74751.2840447985</v>
      </c>
      <c r="H50" s="36" t="n">
        <f aca="false">INDEX(Monthly!$C$108:$AL$108,($R$2-1)*12+1)</f>
        <v>-24169.7490933333</v>
      </c>
      <c r="I50" s="36" t="n">
        <f aca="false">INDEX(Monthly!$C$108:$AL$108,($R$2-1)*12+2)</f>
        <v>-45765.2730506667</v>
      </c>
      <c r="J50" s="36" t="n">
        <f aca="false">INDEX(Monthly!$C$108:$AL$108,($R$2-1)*12+3)</f>
        <v>-64780.321872</v>
      </c>
      <c r="K50" s="36" t="n">
        <f aca="false">INDEX(Monthly!$C$108:$AL$108,($R$2-1)*12+4)</f>
        <v>-81214.8955573333</v>
      </c>
      <c r="L50" s="36" t="n">
        <f aca="false">INDEX(Monthly!$C$108:$AL$108,($R$2-1)*12+5)</f>
        <v>-95068.9941066667</v>
      </c>
      <c r="M50" s="36" t="n">
        <f aca="false">INDEX(Monthly!$C$108:$AL$108,($R$2-1)*12+6)</f>
        <v>-100720.16488</v>
      </c>
      <c r="N50" s="36" t="n">
        <f aca="false">INDEX(Monthly!$C$108:$AL$108,($R$2-1)*12+7)</f>
        <v>-103308.936005333</v>
      </c>
      <c r="O50" s="36" t="n">
        <f aca="false">INDEX(Monthly!$C$108:$AL$108,($R$2-1)*12+8)</f>
        <v>-102835.307482667</v>
      </c>
      <c r="P50" s="36" t="n">
        <f aca="false">INDEX(Monthly!$C$108:$AL$108,($R$2-1)*12+9)</f>
        <v>-106367.505488</v>
      </c>
      <c r="Q50" s="36" t="n">
        <f aca="false">INDEX(Monthly!$C$108:$AL$108,($R$2-1)*12+10)</f>
        <v>-107319.228357333</v>
      </c>
      <c r="R50" s="36" t="n">
        <f aca="false">INDEX(Monthly!$C$108:$AL$108,($R$2-1)*12+11)</f>
        <v>-105690.476090667</v>
      </c>
      <c r="S50" s="36" t="n">
        <f aca="false">INDEX(Monthly!$C$108:$AL$108,($R$2-1)*12+12)</f>
        <v>-96017.148624</v>
      </c>
    </row>
    <row r="51" customFormat="false" ht="15" hidden="false" customHeight="false" outlineLevel="0" collapsed="false">
      <c r="A51" s="37" t="s">
        <v>99</v>
      </c>
      <c r="B51" s="38" t="n">
        <f aca="false">'Balance Sheet'!B15</f>
        <v>233982.851376</v>
      </c>
      <c r="C51" s="38" t="n">
        <f aca="false">'Balance Sheet'!C15</f>
        <v>314540.2300512</v>
      </c>
      <c r="D51" s="38" t="n">
        <f aca="false">'Balance Sheet'!D15</f>
        <v>404751.284044798</v>
      </c>
      <c r="E51" s="37"/>
      <c r="F51" s="37"/>
      <c r="H51" s="38" t="n">
        <f aca="false">INDEX(Monthly!$C$111:$AL$111,($R$2-1)*12+1)</f>
        <v>305830.250906667</v>
      </c>
      <c r="I51" s="38" t="n">
        <f aca="false">INDEX(Monthly!$C$111:$AL$111,($R$2-1)*12+2)</f>
        <v>284234.726949333</v>
      </c>
      <c r="J51" s="38" t="n">
        <f aca="false">INDEX(Monthly!$C$111:$AL$111,($R$2-1)*12+3)</f>
        <v>265219.678128</v>
      </c>
      <c r="K51" s="38" t="n">
        <f aca="false">INDEX(Monthly!$C$111:$AL$111,($R$2-1)*12+4)</f>
        <v>248785.104442667</v>
      </c>
      <c r="L51" s="38" t="n">
        <f aca="false">INDEX(Monthly!$C$111:$AL$111,($R$2-1)*12+5)</f>
        <v>234931.005893333</v>
      </c>
      <c r="M51" s="38" t="n">
        <f aca="false">INDEX(Monthly!$C$111:$AL$111,($R$2-1)*12+6)</f>
        <v>229279.83512</v>
      </c>
      <c r="N51" s="38" t="n">
        <f aca="false">INDEX(Monthly!$C$111:$AL$111,($R$2-1)*12+7)</f>
        <v>226691.063994667</v>
      </c>
      <c r="O51" s="38" t="n">
        <f aca="false">INDEX(Monthly!$C$111:$AL$111,($R$2-1)*12+8)</f>
        <v>227164.692517333</v>
      </c>
      <c r="P51" s="38" t="n">
        <f aca="false">INDEX(Monthly!$C$111:$AL$111,($R$2-1)*12+9)</f>
        <v>223632.494512</v>
      </c>
      <c r="Q51" s="38" t="n">
        <f aca="false">INDEX(Monthly!$C$111:$AL$111,($R$2-1)*12+10)</f>
        <v>222680.771642667</v>
      </c>
      <c r="R51" s="38" t="n">
        <f aca="false">INDEX(Monthly!$C$111:$AL$111,($R$2-1)*12+11)</f>
        <v>224309.523909333</v>
      </c>
      <c r="S51" s="38" t="n">
        <f aca="false">INDEX(Monthly!$C$111:$AL$111,($R$2-1)*12+12)</f>
        <v>233982.851376</v>
      </c>
    </row>
    <row r="52" customFormat="false" ht="15" hidden="false" customHeight="false" outlineLevel="0" collapsed="false">
      <c r="A52" s="41" t="s">
        <v>100</v>
      </c>
      <c r="B52" s="42" t="n">
        <f aca="false">'Balance Sheet'!B16</f>
        <v>334560.602487111</v>
      </c>
      <c r="C52" s="42" t="n">
        <f aca="false">'Balance Sheet'!C16</f>
        <v>396170.957871644</v>
      </c>
      <c r="D52" s="42" t="n">
        <f aca="false">'Balance Sheet'!D16</f>
        <v>467496.153606175</v>
      </c>
      <c r="E52" s="41"/>
      <c r="F52" s="41"/>
      <c r="H52" s="42" t="n">
        <f aca="false">INDEX(Monthly!$C$112:$AL$112,($R$2-1)*12+1)</f>
        <v>414972.087351111</v>
      </c>
      <c r="I52" s="42" t="n">
        <f aca="false">INDEX(Monthly!$C$112:$AL$112,($R$2-1)*12+2)</f>
        <v>392602.005527111</v>
      </c>
      <c r="J52" s="42" t="n">
        <f aca="false">INDEX(Monthly!$C$112:$AL$112,($R$2-1)*12+3)</f>
        <v>372812.398839111</v>
      </c>
      <c r="K52" s="42" t="n">
        <f aca="false">INDEX(Monthly!$C$112:$AL$112,($R$2-1)*12+4)</f>
        <v>355603.267287111</v>
      </c>
      <c r="L52" s="42" t="n">
        <f aca="false">INDEX(Monthly!$C$112:$AL$112,($R$2-1)*12+5)</f>
        <v>340974.610871111</v>
      </c>
      <c r="M52" s="42" t="n">
        <f aca="false">INDEX(Monthly!$C$112:$AL$112,($R$2-1)*12+6)</f>
        <v>335142.594231111</v>
      </c>
      <c r="N52" s="42" t="n">
        <f aca="false">INDEX(Monthly!$C$112:$AL$112,($R$2-1)*12+7)</f>
        <v>331830.154839111</v>
      </c>
      <c r="O52" s="42" t="n">
        <f aca="false">INDEX(Monthly!$C$112:$AL$112,($R$2-1)*12+8)</f>
        <v>331580.115095111</v>
      </c>
      <c r="P52" s="42" t="n">
        <f aca="false">INDEX(Monthly!$C$112:$AL$112,($R$2-1)*12+9)</f>
        <v>326577.868023111</v>
      </c>
      <c r="Q52" s="42" t="n">
        <f aca="false">INDEX(Monthly!$C$112:$AL$112,($R$2-1)*12+10)</f>
        <v>324851.587287111</v>
      </c>
      <c r="R52" s="42" t="n">
        <f aca="false">INDEX(Monthly!$C$112:$AL$112,($R$2-1)*12+11)</f>
        <v>325705.781687111</v>
      </c>
      <c r="S52" s="42" t="n">
        <f aca="false">INDEX(Monthly!$C$112:$AL$112,($R$2-1)*12+12)</f>
        <v>334560.602487111</v>
      </c>
    </row>
  </sheetData>
  <mergeCells count="1">
    <mergeCell ref="R2:S2"/>
  </mergeCells>
  <dataValidations count="1">
    <dataValidation allowBlank="false" error="Enter a year from 1 to 3" errorStyle="stop" errorTitle="Detailed year" operator="between" prompt="Pick the year shown month by month on the right" promptTitle="Detailed year" showDropDown="false" showErrorMessage="true" showInputMessage="true" sqref="R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102</v>
      </c>
    </row>
    <row r="5" customFormat="false" ht="15.75" hidden="false" customHeight="true" outlineLevel="0" collapsed="false">
      <c r="A5" s="7" t="s">
        <v>103</v>
      </c>
      <c r="B5" s="7"/>
      <c r="C5" s="7"/>
      <c r="D5" s="7"/>
      <c r="E5" s="7"/>
    </row>
    <row r="6" customFormat="false" ht="15" hidden="false" customHeight="false" outlineLevel="0" collapsed="false">
      <c r="A6" s="33" t="s">
        <v>104</v>
      </c>
      <c r="B6" s="35" t="s">
        <v>105</v>
      </c>
      <c r="C6" s="35" t="s">
        <v>106</v>
      </c>
      <c r="D6" s="35" t="s">
        <v>107</v>
      </c>
      <c r="E6" s="35" t="s">
        <v>108</v>
      </c>
    </row>
    <row r="7" customFormat="false" ht="15" hidden="false" customHeight="false" outlineLevel="0" collapsed="false">
      <c r="A7" s="6" t="s">
        <v>109</v>
      </c>
      <c r="B7" s="53" t="n">
        <f aca="false">Inputs!$B$7</f>
        <v>13</v>
      </c>
      <c r="C7" s="53" t="n">
        <f aca="false">Inputs!$C$7</f>
        <v>16</v>
      </c>
      <c r="D7" s="53" t="n">
        <f aca="false">Inputs!$D$7</f>
        <v>19</v>
      </c>
      <c r="E7" s="54" t="n">
        <f aca="false">Inputs!$E$7</f>
        <v>16</v>
      </c>
    </row>
    <row r="8" customFormat="false" ht="15" hidden="false" customHeight="false" outlineLevel="0" collapsed="false">
      <c r="A8" s="6" t="s">
        <v>110</v>
      </c>
      <c r="B8" s="55" t="n">
        <f aca="false">Inputs!$B$19</f>
        <v>68</v>
      </c>
      <c r="C8" s="55" t="n">
        <f aca="false">Inputs!$C$19</f>
        <v>75</v>
      </c>
      <c r="D8" s="55" t="n">
        <f aca="false">Inputs!$D$19</f>
        <v>82</v>
      </c>
      <c r="E8" s="56" t="n">
        <f aca="false">Inputs!$E$19</f>
        <v>75</v>
      </c>
    </row>
    <row r="9" customFormat="false" ht="15" hidden="false" customHeight="false" outlineLevel="0" collapsed="false">
      <c r="A9" s="6" t="s">
        <v>111</v>
      </c>
      <c r="B9" s="57" t="n">
        <f aca="false">Inputs!$B$25</f>
        <v>30</v>
      </c>
      <c r="C9" s="57" t="n">
        <f aca="false">Inputs!$C$25</f>
        <v>30</v>
      </c>
      <c r="D9" s="57" t="n">
        <f aca="false">Inputs!$D$25</f>
        <v>30</v>
      </c>
      <c r="E9" s="58" t="n">
        <f aca="false">Inputs!$E$25</f>
        <v>30</v>
      </c>
    </row>
    <row r="10" customFormat="false" ht="15" hidden="false" customHeight="false" outlineLevel="0" collapsed="false">
      <c r="A10" s="6" t="s">
        <v>112</v>
      </c>
      <c r="B10" s="59" t="n">
        <f aca="false">Inputs!$B$26</f>
        <v>0.5</v>
      </c>
      <c r="C10" s="59" t="n">
        <f aca="false">Inputs!$C$26</f>
        <v>0.62</v>
      </c>
      <c r="D10" s="59" t="n">
        <f aca="false">Inputs!$D$26</f>
        <v>0.72</v>
      </c>
      <c r="E10" s="60" t="n">
        <f aca="false">Inputs!$E$26</f>
        <v>0.62</v>
      </c>
    </row>
    <row r="11" customFormat="false" ht="15" hidden="false" customHeight="false" outlineLevel="0" collapsed="false">
      <c r="A11" s="6" t="s">
        <v>113</v>
      </c>
      <c r="B11" s="55" t="n">
        <f aca="false">Inputs!$B$30</f>
        <v>50</v>
      </c>
      <c r="C11" s="55" t="n">
        <f aca="false">Inputs!$C$30</f>
        <v>55</v>
      </c>
      <c r="D11" s="55" t="n">
        <f aca="false">Inputs!$D$30</f>
        <v>60</v>
      </c>
      <c r="E11" s="56" t="n">
        <f aca="false">Inputs!$E$30</f>
        <v>55</v>
      </c>
    </row>
    <row r="12" customFormat="false" ht="15" hidden="false" customHeight="false" outlineLevel="0" collapsed="false">
      <c r="A12" s="6" t="s">
        <v>114</v>
      </c>
      <c r="B12" s="61" t="n">
        <f aca="false">Inputs!$B$38</f>
        <v>9000</v>
      </c>
      <c r="C12" s="61" t="n">
        <f aca="false">Inputs!$C$38</f>
        <v>9000</v>
      </c>
      <c r="D12" s="61" t="n">
        <f aca="false">Inputs!$D$38</f>
        <v>9000</v>
      </c>
      <c r="E12" s="62" t="n">
        <f aca="false">Inputs!$E$38</f>
        <v>9000</v>
      </c>
    </row>
    <row r="13" customFormat="false" ht="15" hidden="false" customHeight="false" outlineLevel="0" collapsed="false">
      <c r="A13" s="6" t="s">
        <v>115</v>
      </c>
      <c r="B13" s="61" t="n">
        <f aca="false">Inputs!$B$71</f>
        <v>330000</v>
      </c>
      <c r="C13" s="61" t="n">
        <f aca="false">Inputs!$C$71</f>
        <v>330000</v>
      </c>
      <c r="D13" s="61" t="n">
        <f aca="false">Inputs!$D$71</f>
        <v>330000</v>
      </c>
      <c r="E13" s="62" t="n">
        <f aca="false">Inputs!$E$71</f>
        <v>330000</v>
      </c>
    </row>
    <row r="15" customFormat="false" ht="15.75" hidden="false" customHeight="true" outlineLevel="0" collapsed="false">
      <c r="A15" s="7" t="s">
        <v>116</v>
      </c>
      <c r="B15" s="7"/>
      <c r="C15" s="7"/>
      <c r="D15" s="7"/>
      <c r="E15" s="7"/>
    </row>
    <row r="16" customFormat="false" ht="15" hidden="false" customHeight="false" outlineLevel="0" collapsed="false">
      <c r="A16" s="33" t="s">
        <v>117</v>
      </c>
      <c r="B16" s="35" t="s">
        <v>105</v>
      </c>
      <c r="C16" s="35" t="s">
        <v>106</v>
      </c>
      <c r="D16" s="35" t="s">
        <v>107</v>
      </c>
      <c r="E16" s="35" t="s">
        <v>108</v>
      </c>
    </row>
    <row r="17" customFormat="false" ht="15" hidden="false" customHeight="false" outlineLevel="0" collapsed="false">
      <c r="A17" s="6" t="s">
        <v>118</v>
      </c>
      <c r="B17" s="63" t="n">
        <f aca="false">D30</f>
        <v>585276.2544</v>
      </c>
      <c r="C17" s="63" t="n">
        <f aca="false">D31</f>
        <v>886367.901307584</v>
      </c>
      <c r="D17" s="63" t="n">
        <f aca="false">D32</f>
        <v>1226561.77053696</v>
      </c>
      <c r="E17" s="64" t="n">
        <f aca="false">'P&amp;L'!D5</f>
        <v>886367.901307584</v>
      </c>
    </row>
    <row r="18" customFormat="false" ht="15" hidden="false" customHeight="false" outlineLevel="0" collapsed="false">
      <c r="A18" s="6" t="s">
        <v>119</v>
      </c>
      <c r="B18" s="63" t="n">
        <f aca="false">SUM(B30:D30)</f>
        <v>1489471.5414</v>
      </c>
      <c r="C18" s="63" t="n">
        <f aca="false">SUM(B31:D31)</f>
        <v>2296356.60786758</v>
      </c>
      <c r="D18" s="63" t="n">
        <f aca="false">SUM(B32:D32)</f>
        <v>3176853.70653696</v>
      </c>
      <c r="E18" s="64" t="n">
        <f aca="false">SUM('P&amp;L'!$B$5:$D$5)</f>
        <v>2296356.60786758</v>
      </c>
    </row>
    <row r="19" customFormat="false" ht="15" hidden="false" customHeight="false" outlineLevel="0" collapsed="false">
      <c r="A19" s="6" t="s">
        <v>120</v>
      </c>
      <c r="B19" s="63" t="n">
        <f aca="false">D36</f>
        <v>-90341.0425408001</v>
      </c>
      <c r="C19" s="63" t="n">
        <f aca="false">D37</f>
        <v>140856.64848652</v>
      </c>
      <c r="D19" s="63" t="n">
        <f aca="false">D38</f>
        <v>399100.85925468</v>
      </c>
      <c r="E19" s="64" t="n">
        <f aca="false">'P&amp;L'!D16</f>
        <v>140856.64848652</v>
      </c>
    </row>
    <row r="20" customFormat="false" ht="15" hidden="false" customHeight="false" outlineLevel="0" collapsed="false">
      <c r="A20" s="6" t="s">
        <v>121</v>
      </c>
      <c r="B20" s="65" t="n">
        <f aca="false">IF(B17=0,0,B19/B17)</f>
        <v>-0.154356240940296</v>
      </c>
      <c r="C20" s="65" t="n">
        <f aca="false">IF(C17=0,0,C19/C17)</f>
        <v>0.158914428510696</v>
      </c>
      <c r="D20" s="65" t="n">
        <f aca="false">IF(D17=0,0,D19/D17)</f>
        <v>0.325381785770123</v>
      </c>
      <c r="E20" s="66" t="n">
        <f aca="false">IF(E17=0,0,E19/E17)</f>
        <v>0.158914428510696</v>
      </c>
    </row>
    <row r="21" customFormat="false" ht="15" hidden="false" customHeight="false" outlineLevel="0" collapsed="false">
      <c r="A21" s="6" t="s">
        <v>122</v>
      </c>
      <c r="B21" s="63" t="n">
        <f aca="false">D42</f>
        <v>-121116.0425408</v>
      </c>
      <c r="C21" s="63" t="n">
        <f aca="false">D43</f>
        <v>90211.0539935985</v>
      </c>
      <c r="D21" s="63" t="n">
        <f aca="false">D44</f>
        <v>290977.428811198</v>
      </c>
      <c r="E21" s="64" t="n">
        <f aca="false">'P&amp;L'!D23</f>
        <v>90211.0539935985</v>
      </c>
    </row>
    <row r="22" customFormat="false" ht="15" hidden="false" customHeight="false" outlineLevel="0" collapsed="false">
      <c r="A22" s="6" t="s">
        <v>123</v>
      </c>
      <c r="B22" s="63" t="n">
        <f aca="false">SUM(B42:D42)</f>
        <v>-516992.0761248</v>
      </c>
      <c r="C22" s="63" t="n">
        <f aca="false">SUM(B43:D43)</f>
        <v>74751.2840447985</v>
      </c>
      <c r="D22" s="63" t="n">
        <f aca="false">SUM(B44:D44)</f>
        <v>607492.172776797</v>
      </c>
      <c r="E22" s="64" t="n">
        <f aca="false">SUM('P&amp;L'!$B$23:$D$23)</f>
        <v>74751.2840447985</v>
      </c>
    </row>
    <row r="23" customFormat="false" ht="15" hidden="false" customHeight="false" outlineLevel="0" collapsed="false">
      <c r="A23" s="6" t="s">
        <v>124</v>
      </c>
      <c r="B23" s="63" t="n">
        <f aca="false">D48</f>
        <v>-270553.710289689</v>
      </c>
      <c r="C23" s="63" t="n">
        <f aca="false">D49</f>
        <v>322671.41981195</v>
      </c>
      <c r="D23" s="63" t="n">
        <f aca="false">D50</f>
        <v>856969.374097323</v>
      </c>
      <c r="E23" s="64" t="n">
        <f aca="false">'Balance Sheet'!D5</f>
        <v>322671.41981195</v>
      </c>
    </row>
    <row r="24" customFormat="false" ht="15" hidden="false" customHeight="false" outlineLevel="0" collapsed="false">
      <c r="A24" s="6" t="s">
        <v>125</v>
      </c>
      <c r="B24" s="63" t="n">
        <f aca="false">MIN('Scenario calc'!$C$97:$AL$97)</f>
        <v>-270553.710289689</v>
      </c>
      <c r="C24" s="63" t="n">
        <f aca="false">MIN('Scenario calc'!$C$223:$AL$223)</f>
        <v>147500.341985778</v>
      </c>
      <c r="D24" s="63" t="n">
        <f aca="false">MIN('Scenario calc'!$C$349:$AL$349)</f>
        <v>220781.464461111</v>
      </c>
      <c r="E24" s="64" t="n">
        <f aca="false">'Break-even'!B18</f>
        <v>147500.341985778</v>
      </c>
    </row>
    <row r="25" customFormat="false" ht="15" hidden="false" customHeight="false" outlineLevel="0" collapsed="false">
      <c r="A25" s="6" t="s">
        <v>126</v>
      </c>
      <c r="B25" s="67" t="n">
        <f aca="false">MATCH(MIN('Scenario calc'!$C$97:$AL$97),'Scenario calc'!$C$97:$AL$97,0)</f>
        <v>36</v>
      </c>
      <c r="C25" s="67" t="n">
        <f aca="false">MATCH(MIN('Scenario calc'!$C$223:$AL$223),'Scenario calc'!$C$223:$AL$223,0)</f>
        <v>10</v>
      </c>
      <c r="D25" s="67" t="n">
        <f aca="false">MATCH(MIN('Scenario calc'!$C$349:$AL$349),'Scenario calc'!$C$349:$AL$349,0)</f>
        <v>4</v>
      </c>
      <c r="E25" s="68" t="n">
        <f aca="false">'Break-even'!B6</f>
        <v>10</v>
      </c>
    </row>
    <row r="26" customFormat="false" ht="15" hidden="false" customHeight="false" outlineLevel="0" collapsed="false">
      <c r="A26" s="4" t="s">
        <v>66</v>
      </c>
      <c r="B26" s="63" t="n">
        <f aca="false">SUMPRODUCT(--('Scenario calc'!$C$6:$AL$6&lt;=B25),'Scenario calc'!$C$69:$AL$69)-SUMPRODUCT(--('Scenario calc'!$C$6:$AL$6&lt;=B25),'Scenario calc'!$C$91:$AL$91)-SUMPRODUCT(--('Scenario calc'!$C$6:$AL$6&lt;=B25),'Scenario calc'!$C$79:$AL$79)+Inputs!$B$86</f>
        <v>809553.710289689</v>
      </c>
      <c r="C26" s="63" t="n">
        <f aca="false">SUMPRODUCT(--('Scenario calc'!$C$132:$AL$132&lt;=C25),'Scenario calc'!$C$195:$AL$195)-SUMPRODUCT(--('Scenario calc'!$C$132:$AL$132&lt;=C25),'Scenario calc'!$C$217:$AL$217)-SUMPRODUCT(--('Scenario calc'!$C$132:$AL$132&lt;=C25),'Scenario calc'!$C$205:$AL$205)+Inputs!$C$86</f>
        <v>391499.658014222</v>
      </c>
      <c r="D26" s="63" t="n">
        <f aca="false">SUMPRODUCT(--('Scenario calc'!$C$258:$AL$258&lt;=D25),'Scenario calc'!$C$321:$AL$321)-SUMPRODUCT(--('Scenario calc'!$C$258:$AL$258&lt;=D25),'Scenario calc'!$C$343:$AL$343)-SUMPRODUCT(--('Scenario calc'!$C$258:$AL$258&lt;=D25),'Scenario calc'!$C$331:$AL$331)+Inputs!$D$86</f>
        <v>318218.535538889</v>
      </c>
      <c r="E26" s="64" t="n">
        <f aca="false">'Break-even'!B12</f>
        <v>391499.658014222</v>
      </c>
    </row>
    <row r="28" customFormat="false" ht="15.75" hidden="false" customHeight="true" outlineLevel="0" collapsed="false">
      <c r="A28" s="7" t="s">
        <v>127</v>
      </c>
      <c r="B28" s="7"/>
      <c r="C28" s="7"/>
      <c r="D28" s="7"/>
      <c r="E28" s="7"/>
    </row>
    <row r="29" customFormat="false" ht="15" hidden="false" customHeight="false" outlineLevel="0" collapsed="false">
      <c r="A29" s="33" t="s">
        <v>128</v>
      </c>
      <c r="B29" s="34" t="n">
        <v>1</v>
      </c>
      <c r="C29" s="34" t="n">
        <v>2</v>
      </c>
      <c r="D29" s="34" t="n">
        <v>3</v>
      </c>
    </row>
    <row r="30" customFormat="false" ht="15" hidden="false" customHeight="false" outlineLevel="0" collapsed="false">
      <c r="A30" s="6" t="s">
        <v>105</v>
      </c>
      <c r="B30" s="63" t="n">
        <f aca="false">SUMIF('Scenario calc'!$C$7:$AL$7,B$29,'Scenario calc'!$C$33:$AL$33)</f>
        <v>331698.3</v>
      </c>
      <c r="C30" s="63" t="n">
        <f aca="false">SUMIF('Scenario calc'!$C$7:$AL$7,C$29,'Scenario calc'!$C$33:$AL$33)</f>
        <v>572496.987</v>
      </c>
      <c r="D30" s="63" t="n">
        <f aca="false">SUMIF('Scenario calc'!$C$7:$AL$7,D$29,'Scenario calc'!$C$33:$AL$33)</f>
        <v>585276.2544</v>
      </c>
    </row>
    <row r="31" customFormat="false" ht="15" hidden="false" customHeight="false" outlineLevel="0" collapsed="false">
      <c r="A31" s="6" t="s">
        <v>106</v>
      </c>
      <c r="B31" s="63" t="n">
        <f aca="false">SUMIF('Scenario calc'!$C$133:$AL$133,B$29,'Scenario calc'!$C$159:$AL$159)</f>
        <v>574501.9488</v>
      </c>
      <c r="C31" s="63" t="n">
        <f aca="false">SUMIF('Scenario calc'!$C$133:$AL$133,C$29,'Scenario calc'!$C$159:$AL$159)</f>
        <v>835486.75776</v>
      </c>
      <c r="D31" s="63" t="n">
        <f aca="false">SUMIF('Scenario calc'!$C$133:$AL$133,D$29,'Scenario calc'!$C$159:$AL$159)</f>
        <v>886367.901307584</v>
      </c>
    </row>
    <row r="32" customFormat="false" ht="15" hidden="false" customHeight="false" outlineLevel="0" collapsed="false">
      <c r="A32" s="6" t="s">
        <v>107</v>
      </c>
      <c r="B32" s="63" t="n">
        <f aca="false">SUMIF('Scenario calc'!$C$259:$AL$259,B$29,'Scenario calc'!$C$285:$AL$285)</f>
        <v>832792.8</v>
      </c>
      <c r="C32" s="63" t="n">
        <f aca="false">SUMIF('Scenario calc'!$C$259:$AL$259,C$29,'Scenario calc'!$C$285:$AL$285)</f>
        <v>1117499.136</v>
      </c>
      <c r="D32" s="63" t="n">
        <f aca="false">SUMIF('Scenario calc'!$C$259:$AL$259,D$29,'Scenario calc'!$C$285:$AL$285)</f>
        <v>1226561.77053696</v>
      </c>
    </row>
    <row r="34" customFormat="false" ht="15.75" hidden="false" customHeight="true" outlineLevel="0" collapsed="false">
      <c r="A34" s="7" t="s">
        <v>129</v>
      </c>
      <c r="B34" s="7"/>
      <c r="C34" s="7"/>
      <c r="D34" s="7"/>
      <c r="E34" s="7"/>
    </row>
    <row r="35" customFormat="false" ht="15" hidden="false" customHeight="false" outlineLevel="0" collapsed="false">
      <c r="A35" s="33" t="s">
        <v>128</v>
      </c>
      <c r="B35" s="34" t="n">
        <v>1</v>
      </c>
      <c r="C35" s="34" t="n">
        <v>2</v>
      </c>
      <c r="D35" s="34" t="n">
        <v>3</v>
      </c>
    </row>
    <row r="36" customFormat="false" ht="15" hidden="false" customHeight="false" outlineLevel="0" collapsed="false">
      <c r="A36" s="6" t="s">
        <v>105</v>
      </c>
      <c r="B36" s="63" t="n">
        <f aca="false">SUMIF('Scenario calc'!$C$7:$AL$7,B$35,'Scenario calc'!$C$52:$AL$52)</f>
        <v>-243337.0156</v>
      </c>
      <c r="C36" s="63" t="n">
        <f aca="false">SUMIF('Scenario calc'!$C$7:$AL$7,C$35,'Scenario calc'!$C$52:$AL$52)</f>
        <v>-89345.267984</v>
      </c>
      <c r="D36" s="63" t="n">
        <f aca="false">SUMIF('Scenario calc'!$C$7:$AL$7,D$35,'Scenario calc'!$C$52:$AL$52)</f>
        <v>-90341.0425408001</v>
      </c>
    </row>
    <row r="37" customFormat="false" ht="15" hidden="false" customHeight="false" outlineLevel="0" collapsed="false">
      <c r="A37" s="6" t="s">
        <v>106</v>
      </c>
      <c r="B37" s="63" t="n">
        <f aca="false">SUMIF('Scenario calc'!$C$133:$AL$133,B$35,'Scenario calc'!$C$178:$AL$178)</f>
        <v>-64148.398624</v>
      </c>
      <c r="C37" s="63" t="n">
        <f aca="false">SUMIF('Scenario calc'!$C$133:$AL$133,C$35,'Scenario calc'!$C$178:$AL$178)</f>
        <v>111882.3786752</v>
      </c>
      <c r="D37" s="63" t="n">
        <f aca="false">SUMIF('Scenario calc'!$C$133:$AL$133,D$35,'Scenario calc'!$C$178:$AL$178)</f>
        <v>140856.64848652</v>
      </c>
    </row>
    <row r="38" customFormat="false" ht="15" hidden="false" customHeight="false" outlineLevel="0" collapsed="false">
      <c r="A38" s="6" t="s">
        <v>107</v>
      </c>
      <c r="B38" s="63" t="n">
        <f aca="false">SUMIF('Scenario calc'!$C$259:$AL$259,B$35,'Scenario calc'!$C$304:$AL$304)</f>
        <v>134331.5216</v>
      </c>
      <c r="C38" s="63" t="n">
        <f aca="false">SUMIF('Scenario calc'!$C$259:$AL$259,C$35,'Scenario calc'!$C$304:$AL$304)</f>
        <v>329513.80304</v>
      </c>
      <c r="D38" s="63" t="n">
        <f aca="false">SUMIF('Scenario calc'!$C$259:$AL$259,D$35,'Scenario calc'!$C$304:$AL$304)</f>
        <v>399100.85925468</v>
      </c>
    </row>
    <row r="40" customFormat="false" ht="15.75" hidden="false" customHeight="true" outlineLevel="0" collapsed="false">
      <c r="A40" s="7" t="s">
        <v>130</v>
      </c>
      <c r="B40" s="7"/>
      <c r="C40" s="7"/>
      <c r="D40" s="7"/>
      <c r="E40" s="7"/>
    </row>
    <row r="41" customFormat="false" ht="15" hidden="false" customHeight="false" outlineLevel="0" collapsed="false">
      <c r="A41" s="33" t="s">
        <v>128</v>
      </c>
      <c r="B41" s="34" t="n">
        <v>1</v>
      </c>
      <c r="C41" s="34" t="n">
        <v>2</v>
      </c>
      <c r="D41" s="34" t="n">
        <v>3</v>
      </c>
    </row>
    <row r="42" customFormat="false" ht="15" hidden="false" customHeight="false" outlineLevel="0" collapsed="false">
      <c r="A42" s="6" t="s">
        <v>105</v>
      </c>
      <c r="B42" s="63" t="n">
        <f aca="false">SUMIF('Scenario calc'!$C$7:$AL$7,B$41,'Scenario calc'!$C$61:$AL$61)</f>
        <v>-275205.7656</v>
      </c>
      <c r="C42" s="63" t="n">
        <f aca="false">SUMIF('Scenario calc'!$C$7:$AL$7,C$41,'Scenario calc'!$C$61:$AL$61)</f>
        <v>-120670.267984</v>
      </c>
      <c r="D42" s="63" t="n">
        <f aca="false">SUMIF('Scenario calc'!$C$7:$AL$7,D$41,'Scenario calc'!$C$61:$AL$61)</f>
        <v>-121116.0425408</v>
      </c>
    </row>
    <row r="43" customFormat="false" ht="15" hidden="false" customHeight="false" outlineLevel="0" collapsed="false">
      <c r="A43" s="6" t="s">
        <v>106</v>
      </c>
      <c r="B43" s="63" t="n">
        <f aca="false">SUMIF('Scenario calc'!$C$133:$AL$133,B$41,'Scenario calc'!$C$187:$AL$187)</f>
        <v>-96017.148624</v>
      </c>
      <c r="C43" s="63" t="n">
        <f aca="false">SUMIF('Scenario calc'!$C$133:$AL$133,C$41,'Scenario calc'!$C$187:$AL$187)</f>
        <v>80557.3786752</v>
      </c>
      <c r="D43" s="63" t="n">
        <f aca="false">SUMIF('Scenario calc'!$C$133:$AL$133,D$41,'Scenario calc'!$C$187:$AL$187)</f>
        <v>90211.0539935985</v>
      </c>
    </row>
    <row r="44" customFormat="false" ht="15" hidden="false" customHeight="false" outlineLevel="0" collapsed="false">
      <c r="A44" s="6" t="s">
        <v>107</v>
      </c>
      <c r="B44" s="63" t="n">
        <f aca="false">SUMIF('Scenario calc'!$C$259:$AL$259,B$41,'Scenario calc'!$C$313:$AL$313)</f>
        <v>80945.589564</v>
      </c>
      <c r="C44" s="63" t="n">
        <f aca="false">SUMIF('Scenario calc'!$C$259:$AL$259,C$41,'Scenario calc'!$C$313:$AL$313)</f>
        <v>235569.1544016</v>
      </c>
      <c r="D44" s="63" t="n">
        <f aca="false">SUMIF('Scenario calc'!$C$259:$AL$259,D$41,'Scenario calc'!$C$313:$AL$313)</f>
        <v>290977.428811198</v>
      </c>
    </row>
    <row r="46" customFormat="false" ht="15.75" hidden="false" customHeight="true" outlineLevel="0" collapsed="false">
      <c r="A46" s="7" t="s">
        <v>131</v>
      </c>
      <c r="B46" s="7"/>
      <c r="C46" s="7"/>
      <c r="D46" s="7"/>
      <c r="E46" s="7"/>
    </row>
    <row r="47" customFormat="false" ht="15" hidden="false" customHeight="false" outlineLevel="0" collapsed="false">
      <c r="A47" s="33" t="s">
        <v>128</v>
      </c>
      <c r="B47" s="34" t="n">
        <v>1</v>
      </c>
      <c r="C47" s="34" t="n">
        <v>2</v>
      </c>
      <c r="D47" s="34" t="n">
        <v>3</v>
      </c>
    </row>
    <row r="48" customFormat="false" ht="15" hidden="false" customHeight="false" outlineLevel="0" collapsed="false">
      <c r="A48" s="6" t="s">
        <v>105</v>
      </c>
      <c r="B48" s="63" t="n">
        <f aca="false">INDEX('Scenario calc'!$C$97:$AL$97,B$47*12)</f>
        <v>-21226.8271555556</v>
      </c>
      <c r="C48" s="63" t="n">
        <f aca="false">INDEX('Scenario calc'!$C$97:$AL$97,C$47*12)</f>
        <v>-145833.106428444</v>
      </c>
      <c r="D48" s="63" t="n">
        <f aca="false">INDEX('Scenario calc'!$C$97:$AL$97,D$47*12)</f>
        <v>-270553.710289689</v>
      </c>
    </row>
    <row r="49" customFormat="false" ht="15" hidden="false" customHeight="false" outlineLevel="0" collapsed="false">
      <c r="A49" s="6" t="s">
        <v>106</v>
      </c>
      <c r="B49" s="63" t="n">
        <f aca="false">INDEX('Scenario calc'!$C$223:$AL$223,B$47*12)</f>
        <v>159857.139553778</v>
      </c>
      <c r="C49" s="63" t="n">
        <f aca="false">INDEX('Scenario calc'!$C$223:$AL$223,C$47*12)</f>
        <v>235798.081545671</v>
      </c>
      <c r="D49" s="63" t="n">
        <f aca="false">INDEX('Scenario calc'!$C$223:$AL$223,D$47*12)</f>
        <v>322671.41981195</v>
      </c>
    </row>
    <row r="50" customFormat="false" ht="15" hidden="false" customHeight="false" outlineLevel="0" collapsed="false">
      <c r="A50" s="6" t="s">
        <v>107</v>
      </c>
      <c r="B50" s="63" t="n">
        <f aca="false">INDEX('Scenario calc'!$C$349:$AL$349,B$47*12)</f>
        <v>337680.779341778</v>
      </c>
      <c r="C50" s="63" t="n">
        <f aca="false">INDEX('Scenario calc'!$C$349:$AL$349,C$47*12)</f>
        <v>568958.060370844</v>
      </c>
      <c r="D50" s="63" t="n">
        <f aca="false">INDEX('Scenario calc'!$C$349:$AL$349,D$47*12)</f>
        <v>856969.374097323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21.75" hidden="false" customHeight="true" outlineLevel="0" collapsed="false">
      <c r="A1" s="16" t="s">
        <v>132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133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135</v>
      </c>
      <c r="B5" s="7"/>
      <c r="C5" s="7"/>
      <c r="D5" s="7"/>
    </row>
    <row r="6" customFormat="false" ht="15" hidden="false" customHeight="false" outlineLevel="0" collapsed="false">
      <c r="A6" s="6" t="s">
        <v>126</v>
      </c>
      <c r="B6" s="67" t="n">
        <f aca="false">MATCH(MIN(Monthly!$C$95:$AL$95),Monthly!$C$95:$AL$95,0)</f>
        <v>10</v>
      </c>
    </row>
    <row r="7" customFormat="false" ht="15" hidden="false" customHeight="false" outlineLevel="0" collapsed="false">
      <c r="A7" s="6" t="s">
        <v>136</v>
      </c>
      <c r="B7" s="69" t="n">
        <f aca="false">SUMPRODUCT(--(Monthly!$C$4:$AL$4&lt;=$B$6),Monthly!$C$67:$AL$67)</f>
        <v>189000</v>
      </c>
    </row>
    <row r="8" customFormat="false" ht="15" hidden="false" customHeight="false" outlineLevel="0" collapsed="false">
      <c r="A8" s="6" t="s">
        <v>137</v>
      </c>
      <c r="B8" s="69" t="n">
        <f aca="false">-SUMPRODUCT(--(Monthly!$C$4:$AL$4&lt;=$B$6),Monthly!$C$89:$AL$89)</f>
        <v>78499.6580142222</v>
      </c>
      <c r="D8" s="18" t="s">
        <v>138</v>
      </c>
    </row>
    <row r="9" customFormat="false" ht="15" hidden="false" customHeight="false" outlineLevel="0" collapsed="false">
      <c r="A9" s="6" t="s">
        <v>139</v>
      </c>
      <c r="B9" s="69" t="n">
        <f aca="false">-SUMPRODUCT(--(Monthly!$C$4:$AL$4&lt;=$B$6),Monthly!$C$77:$AL$77)</f>
        <v>15000</v>
      </c>
    </row>
    <row r="10" customFormat="false" ht="15" hidden="false" customHeight="false" outlineLevel="0" collapsed="false">
      <c r="A10" s="4" t="s">
        <v>140</v>
      </c>
      <c r="B10" s="70" t="n">
        <f aca="false">B7+B8+B9</f>
        <v>282499.658014222</v>
      </c>
    </row>
    <row r="11" customFormat="false" ht="15" hidden="false" customHeight="false" outlineLevel="0" collapsed="false">
      <c r="A11" s="6" t="s">
        <v>141</v>
      </c>
      <c r="B11" s="71" t="n">
        <f aca="false">Inputs!$E$86</f>
        <v>109000</v>
      </c>
      <c r="D11" s="18" t="s">
        <v>142</v>
      </c>
    </row>
    <row r="12" customFormat="false" ht="15" hidden="false" customHeight="false" outlineLevel="0" collapsed="false">
      <c r="A12" s="4" t="s">
        <v>143</v>
      </c>
      <c r="B12" s="70" t="n">
        <f aca="false">B10+B11</f>
        <v>391499.658014222</v>
      </c>
    </row>
    <row r="14" customFormat="false" ht="15" hidden="false" customHeight="false" outlineLevel="0" collapsed="false">
      <c r="A14" s="6" t="s">
        <v>64</v>
      </c>
      <c r="B14" s="71" t="n">
        <f aca="false">Inputs!$E$71</f>
        <v>330000</v>
      </c>
    </row>
    <row r="15" customFormat="false" ht="15" hidden="false" customHeight="false" outlineLevel="0" collapsed="false">
      <c r="A15" s="6" t="s">
        <v>65</v>
      </c>
      <c r="B15" s="71" t="n">
        <f aca="false">Inputs!$E$72</f>
        <v>100000</v>
      </c>
    </row>
    <row r="16" customFormat="false" ht="15" hidden="false" customHeight="false" outlineLevel="0" collapsed="false">
      <c r="A16" s="4" t="s">
        <v>144</v>
      </c>
      <c r="B16" s="70" t="n">
        <f aca="false">B14+B15</f>
        <v>430000</v>
      </c>
    </row>
    <row r="17" customFormat="false" ht="15" hidden="false" customHeight="false" outlineLevel="0" collapsed="false">
      <c r="A17" s="72" t="s">
        <v>67</v>
      </c>
      <c r="B17" s="73" t="n">
        <f aca="false">B16-B12</f>
        <v>38500.3419857778</v>
      </c>
      <c r="D17" s="18" t="s">
        <v>145</v>
      </c>
    </row>
    <row r="18" customFormat="false" ht="15" hidden="false" customHeight="false" outlineLevel="0" collapsed="false">
      <c r="A18" s="6" t="s">
        <v>146</v>
      </c>
      <c r="B18" s="69" t="n">
        <f aca="false">MIN(Monthly!$C$95:$AL$95)</f>
        <v>147500.341985778</v>
      </c>
      <c r="D18" s="18" t="s">
        <v>147</v>
      </c>
    </row>
    <row r="20" customFormat="false" ht="15.75" hidden="false" customHeight="true" outlineLevel="0" collapsed="false">
      <c r="A20" s="7" t="s">
        <v>148</v>
      </c>
      <c r="B20" s="7"/>
      <c r="C20" s="7"/>
      <c r="D20" s="7"/>
    </row>
    <row r="21" customFormat="false" ht="15" hidden="false" customHeight="false" outlineLevel="0" collapsed="false">
      <c r="A21" s="6" t="s">
        <v>149</v>
      </c>
      <c r="B21" s="67" t="n">
        <f aca="false">IFERROR(MATCH(1,Monthly!$C$96:$AL$96,0),"Not within horizon")</f>
        <v>7</v>
      </c>
    </row>
    <row r="22" customFormat="false" ht="15" hidden="false" customHeight="false" outlineLevel="0" collapsed="false">
      <c r="A22" s="6" t="s">
        <v>150</v>
      </c>
      <c r="B22" s="67" t="n">
        <f aca="false">IFERROR(MATCH(1,Monthly!$C$99:$AL$99,0),"Not within horizon")</f>
        <v>8</v>
      </c>
    </row>
    <row r="23" customFormat="false" ht="15" hidden="false" customHeight="false" outlineLevel="0" collapsed="false">
      <c r="A23" s="6" t="s">
        <v>151</v>
      </c>
      <c r="B23" s="67" t="str">
        <f aca="false">IF(MIN(Monthly!$C$101:$AL$101)&gt;=0,"No investment to pay back",IFERROR(MATCH(1,Monthly!$C$103:$AL$103,0),"Not within horizon"))</f>
        <v>Not within horizon</v>
      </c>
      <c r="D23" s="18" t="s">
        <v>152</v>
      </c>
    </row>
    <row r="25" customFormat="false" ht="15.75" hidden="false" customHeight="true" outlineLevel="0" collapsed="false">
      <c r="A25" s="7" t="s">
        <v>153</v>
      </c>
      <c r="B25" s="7"/>
      <c r="C25" s="7"/>
      <c r="D25" s="7"/>
    </row>
    <row r="26" customFormat="false" ht="15" hidden="false" customHeight="false" outlineLevel="0" collapsed="false">
      <c r="A26" s="74" t="s">
        <v>154</v>
      </c>
      <c r="B26" s="74" t="n">
        <v>1</v>
      </c>
      <c r="C26" s="74" t="n">
        <v>2</v>
      </c>
      <c r="D26" s="74" t="n">
        <v>3</v>
      </c>
    </row>
    <row r="27" customFormat="false" ht="15" hidden="false" customHeight="false" outlineLevel="0" collapsed="false">
      <c r="A27" s="33"/>
      <c r="B27" s="35" t="s">
        <v>155</v>
      </c>
      <c r="C27" s="35" t="s">
        <v>156</v>
      </c>
      <c r="D27" s="35" t="s">
        <v>157</v>
      </c>
    </row>
    <row r="28" customFormat="false" ht="15" hidden="false" customHeight="false" outlineLevel="0" collapsed="false">
      <c r="A28" s="4" t="s">
        <v>44</v>
      </c>
      <c r="B28" s="75" t="n">
        <f aca="false">SUMIF(Monthly!$C$5:$AL$5,B$26,Monthly!$C$31:$AL$31)</f>
        <v>574501.9488</v>
      </c>
      <c r="C28" s="75" t="n">
        <f aca="false">SUMIF(Monthly!$C$5:$AL$5,C$26,Monthly!$C$31:$AL$31)</f>
        <v>835486.75776</v>
      </c>
      <c r="D28" s="75" t="n">
        <f aca="false">SUMIF(Monthly!$C$5:$AL$5,D$26,Monthly!$C$31:$AL$31)</f>
        <v>886367.901307584</v>
      </c>
    </row>
    <row r="29" customFormat="false" ht="15" hidden="false" customHeight="false" outlineLevel="0" collapsed="false">
      <c r="A29" s="6" t="s">
        <v>45</v>
      </c>
      <c r="B29" s="69" t="n">
        <f aca="false">SUMIF(Monthly!$C$5:$AL$5,B$26,Monthly!$C$40:$AL$40)</f>
        <v>369936.65984</v>
      </c>
      <c r="C29" s="69" t="n">
        <f aca="false">SUMIF(Monthly!$C$5:$AL$5,C$26,Monthly!$C$40:$AL$40)</f>
        <v>556642.481408</v>
      </c>
      <c r="D29" s="69" t="n">
        <f aca="false">SUMIF(Monthly!$C$5:$AL$5,D$26,Monthly!$C$40:$AL$40)</f>
        <v>592006.050525747</v>
      </c>
    </row>
    <row r="30" customFormat="false" ht="15" hidden="false" customHeight="false" outlineLevel="0" collapsed="false">
      <c r="A30" s="39" t="s">
        <v>158</v>
      </c>
      <c r="B30" s="76" t="n">
        <f aca="false">IF(B28=0,0,B29/B28)</f>
        <v>0.643925857192845</v>
      </c>
      <c r="C30" s="76" t="n">
        <f aca="false">IF(C28=0,0,C29/C28)</f>
        <v>0.666249316626392</v>
      </c>
      <c r="D30" s="76" t="n">
        <f aca="false">IF(D28=0,0,D29/D28)</f>
        <v>0.66790104837101</v>
      </c>
    </row>
    <row r="31" customFormat="false" ht="15" hidden="false" customHeight="false" outlineLevel="0" collapsed="false">
      <c r="A31" s="6" t="s">
        <v>159</v>
      </c>
      <c r="B31" s="69" t="n">
        <f aca="false">-SUMIF(Monthly!$C$5:$AL$5,B$26,Monthly!$C$49:$AL$49)</f>
        <v>434085.058464</v>
      </c>
      <c r="C31" s="69" t="n">
        <f aca="false">-SUMIF(Monthly!$C$5:$AL$5,C$26,Monthly!$C$49:$AL$49)</f>
        <v>444760.1027328</v>
      </c>
      <c r="D31" s="69" t="n">
        <f aca="false">-SUMIF(Monthly!$C$5:$AL$5,D$26,Monthly!$C$49:$AL$49)</f>
        <v>451149.402039228</v>
      </c>
    </row>
    <row r="32" customFormat="false" ht="15" hidden="false" customHeight="false" outlineLevel="0" collapsed="false">
      <c r="A32" s="4" t="s">
        <v>160</v>
      </c>
      <c r="B32" s="75" t="n">
        <f aca="false">IF(B30&gt;0,B31/B30,"n/a")</f>
        <v>674122.732633175</v>
      </c>
      <c r="C32" s="75" t="n">
        <f aca="false">IF(C30&gt;0,C31/C30,"n/a")</f>
        <v>667558.062175402</v>
      </c>
      <c r="D32" s="75" t="n">
        <f aca="false">IF(D30&gt;0,D31/D30,"n/a")</f>
        <v>675473.415020933</v>
      </c>
    </row>
    <row r="33" customFormat="false" ht="15" hidden="false" customHeight="false" outlineLevel="0" collapsed="false">
      <c r="A33" s="39" t="s">
        <v>161</v>
      </c>
      <c r="B33" s="76" t="n">
        <f aca="false">IF(AND(ISNUMBER(B32),B28&gt;0),(B28-B32)/B28,"n/a")</f>
        <v>-0.173403735254961</v>
      </c>
      <c r="C33" s="76" t="n">
        <f aca="false">IF(AND(ISNUMBER(C32),C28&gt;0),(C28-C32)/C28,"n/a")</f>
        <v>0.200995041543001</v>
      </c>
      <c r="D33" s="76" t="n">
        <f aca="false">IF(AND(ISNUMBER(D32),D28&gt;0),(D28-D32)/D28,"n/a")</f>
        <v>0.237931096078204</v>
      </c>
    </row>
    <row r="35" customFormat="false" ht="15" hidden="false" customHeight="false" outlineLevel="0" collapsed="false">
      <c r="A35" s="39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163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164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165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9" t="s">
        <v>166</v>
      </c>
      <c r="B6" s="77" t="n">
        <f aca="false">Inputs!$E$89</f>
        <v>0.25</v>
      </c>
    </row>
    <row r="7" customFormat="false" ht="15" hidden="false" customHeight="false" outlineLevel="0" collapsed="false">
      <c r="A7" s="39" t="s">
        <v>167</v>
      </c>
      <c r="B7" s="77" t="n">
        <f aca="false">Inputs!$E$90</f>
        <v>0.02</v>
      </c>
    </row>
    <row r="8" customFormat="false" ht="15" hidden="false" customHeight="false" outlineLevel="0" collapsed="false">
      <c r="A8" s="6" t="s">
        <v>168</v>
      </c>
      <c r="B8" s="78" t="n">
        <f aca="false">Inputs!$E$91</f>
        <v>4</v>
      </c>
    </row>
    <row r="9" customFormat="false" ht="15" hidden="false" customHeight="false" outlineLevel="0" collapsed="false">
      <c r="A9" s="39" t="s">
        <v>169</v>
      </c>
      <c r="B9" s="77" t="n">
        <f aca="false">Inputs!$E$83</f>
        <v>0.21</v>
      </c>
    </row>
    <row r="10" customFormat="false" ht="15" hidden="false" customHeight="false" outlineLevel="0" collapsed="false">
      <c r="A10" s="39" t="s">
        <v>170</v>
      </c>
      <c r="B10" s="77" t="n">
        <f aca="false">Inputs!$E$92</f>
        <v>0.01</v>
      </c>
    </row>
    <row r="11" customFormat="false" ht="15" hidden="false" customHeight="false" outlineLevel="0" collapsed="false">
      <c r="A11" s="39" t="s">
        <v>171</v>
      </c>
      <c r="B11" s="77" t="n">
        <f aca="false">Inputs!$E$93</f>
        <v>0.005</v>
      </c>
    </row>
    <row r="13" customFormat="false" ht="15.75" hidden="false" customHeight="true" outlineLevel="0" collapsed="false">
      <c r="A13" s="7" t="s">
        <v>172</v>
      </c>
      <c r="B13" s="7"/>
      <c r="C13" s="7"/>
      <c r="D13" s="7"/>
    </row>
    <row r="14" customFormat="false" ht="15" hidden="false" customHeight="false" outlineLevel="0" collapsed="false">
      <c r="A14" s="74" t="s">
        <v>154</v>
      </c>
      <c r="B14" s="74" t="n">
        <v>1</v>
      </c>
      <c r="C14" s="74" t="n">
        <v>2</v>
      </c>
      <c r="D14" s="74" t="n">
        <v>3</v>
      </c>
    </row>
    <row r="15" customFormat="false" ht="15" hidden="false" customHeight="false" outlineLevel="0" collapsed="false">
      <c r="A15" s="33"/>
      <c r="B15" s="35" t="s">
        <v>155</v>
      </c>
      <c r="C15" s="35" t="s">
        <v>156</v>
      </c>
      <c r="D15" s="35" t="s">
        <v>157</v>
      </c>
    </row>
    <row r="16" customFormat="false" ht="15" hidden="false" customHeight="false" outlineLevel="0" collapsed="false">
      <c r="A16" s="6" t="s">
        <v>48</v>
      </c>
      <c r="B16" s="69" t="n">
        <f aca="false">SUMIF(Monthly!$C$5:$AL$5,B$14,Monthly!$C$50:$AL$50)</f>
        <v>-64148.398624</v>
      </c>
      <c r="C16" s="69" t="n">
        <f aca="false">SUMIF(Monthly!$C$5:$AL$5,C$14,Monthly!$C$50:$AL$50)</f>
        <v>111882.3786752</v>
      </c>
      <c r="D16" s="69" t="n">
        <f aca="false">SUMIF(Monthly!$C$5:$AL$5,D$14,Monthly!$C$50:$AL$50)</f>
        <v>140856.64848652</v>
      </c>
    </row>
    <row r="17" customFormat="false" ht="15" hidden="false" customHeight="false" outlineLevel="0" collapsed="false">
      <c r="A17" s="4" t="s">
        <v>173</v>
      </c>
      <c r="B17" s="75" t="n">
        <f aca="false">SUMIF(Monthly!$C$5:$AL$5,B$14,Monthly!$C$104:$AL$104)</f>
        <v>-245296.964612889</v>
      </c>
      <c r="C17" s="75" t="n">
        <f aca="false">SUMIF(Monthly!$C$5:$AL$5,C$14,Monthly!$C$104:$AL$104)</f>
        <v>101036.441991893</v>
      </c>
      <c r="D17" s="75" t="n">
        <f aca="false">SUMIF(Monthly!$C$5:$AL$5,D$14,Monthly!$C$104:$AL$104)</f>
        <v>110546.838266278</v>
      </c>
    </row>
    <row r="18" customFormat="false" ht="15" hidden="false" customHeight="false" outlineLevel="0" collapsed="false">
      <c r="A18" s="6" t="s">
        <v>174</v>
      </c>
      <c r="B18" s="79" t="n">
        <f aca="false">1/(1+Inputs!$E$89)^B$14</f>
        <v>0.8</v>
      </c>
      <c r="C18" s="79" t="n">
        <f aca="false">1/(1+Inputs!$E$89)^C$14</f>
        <v>0.64</v>
      </c>
      <c r="D18" s="79" t="n">
        <f aca="false">1/(1+Inputs!$E$89)^D$14</f>
        <v>0.512</v>
      </c>
    </row>
    <row r="19" customFormat="false" ht="15" hidden="false" customHeight="false" outlineLevel="0" collapsed="false">
      <c r="A19" s="6" t="s">
        <v>175</v>
      </c>
      <c r="B19" s="69" t="n">
        <f aca="false">B17*B18</f>
        <v>-196237.571690311</v>
      </c>
      <c r="C19" s="69" t="n">
        <f aca="false">C17*C18</f>
        <v>64663.3228748117</v>
      </c>
      <c r="D19" s="69" t="n">
        <f aca="false">D17*D18</f>
        <v>56599.9811923346</v>
      </c>
    </row>
    <row r="21" customFormat="false" ht="15.75" hidden="false" customHeight="true" outlineLevel="0" collapsed="false">
      <c r="A21" s="7" t="s">
        <v>176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35" t="s">
        <v>177</v>
      </c>
      <c r="C22" s="35" t="s">
        <v>178</v>
      </c>
    </row>
    <row r="23" customFormat="false" ht="15" hidden="false" customHeight="false" outlineLevel="0" collapsed="false">
      <c r="A23" s="6" t="s">
        <v>179</v>
      </c>
      <c r="B23" s="69" t="n">
        <f aca="false">SUM($B$19:$D$19)</f>
        <v>-74974.2676231648</v>
      </c>
      <c r="C23" s="69" t="n">
        <f aca="false">B23</f>
        <v>-74974.2676231648</v>
      </c>
    </row>
    <row r="24" customFormat="false" ht="15" hidden="false" customHeight="false" outlineLevel="0" collapsed="false">
      <c r="A24" s="6" t="s">
        <v>180</v>
      </c>
      <c r="B24" s="69" t="n">
        <f aca="false">$D$17</f>
        <v>110546.838266278</v>
      </c>
      <c r="C24" s="69" t="n">
        <f aca="false">$D$16</f>
        <v>140856.64848652</v>
      </c>
    </row>
    <row r="25" customFormat="false" ht="15" hidden="false" customHeight="false" outlineLevel="0" collapsed="false">
      <c r="A25" s="6" t="s">
        <v>181</v>
      </c>
      <c r="B25" s="69" t="n">
        <f aca="false">IF($B$6&gt;$B$7,B24*(1+$B$7)/($B$6-$B$7),0)</f>
        <v>490251.195789583</v>
      </c>
      <c r="C25" s="69" t="n">
        <f aca="false">C24*$B$8</f>
        <v>563426.593946078</v>
      </c>
    </row>
    <row r="26" customFormat="false" ht="15" hidden="false" customHeight="false" outlineLevel="0" collapsed="false">
      <c r="A26" s="6" t="s">
        <v>182</v>
      </c>
      <c r="B26" s="69" t="n">
        <f aca="false">B25/(1+$B$6)^$D$14</f>
        <v>251008.612244266</v>
      </c>
      <c r="C26" s="69" t="n">
        <f aca="false">C25/(1+$B$6)^$D$14</f>
        <v>288474.416100392</v>
      </c>
    </row>
    <row r="27" customFormat="false" ht="15" hidden="false" customHeight="false" outlineLevel="0" collapsed="false">
      <c r="A27" s="4" t="s">
        <v>176</v>
      </c>
      <c r="B27" s="70" t="n">
        <f aca="false">B23+B26</f>
        <v>176034.344621101</v>
      </c>
      <c r="C27" s="70" t="n">
        <f aca="false">C23+C26</f>
        <v>213500.148477227</v>
      </c>
    </row>
    <row r="28" customFormat="false" ht="15" hidden="false" customHeight="false" outlineLevel="0" collapsed="false">
      <c r="A28" s="39" t="s">
        <v>183</v>
      </c>
      <c r="B28" s="76" t="n">
        <f aca="false">IF(B27&lt;&gt;0,B26/B27,0)</f>
        <v>1.42590704549468</v>
      </c>
      <c r="C28" s="76" t="n">
        <f aca="false">IF(C27&lt;&gt;0,C26/C27,0)</f>
        <v>1.35116728563382</v>
      </c>
    </row>
    <row r="29" customFormat="false" ht="15" hidden="false" customHeight="false" outlineLevel="0" collapsed="false">
      <c r="A29" s="6" t="s">
        <v>184</v>
      </c>
      <c r="B29" s="80" t="n">
        <f aca="false">IF(C24&gt;0,B25/C24,"n/a")</f>
        <v>3.48049737841449</v>
      </c>
      <c r="C29" s="76" t="n">
        <f aca="false">IF(C25+B24&lt;&gt;0,(C25*$B$6-B24)/(C25+B24),"n/a")</f>
        <v>0.0449718175399696</v>
      </c>
    </row>
    <row r="30" customFormat="false" ht="15" hidden="false" customHeight="false" outlineLevel="0" collapsed="false">
      <c r="A30" s="72" t="s">
        <v>185</v>
      </c>
      <c r="B30" s="73" t="n">
        <f aca="false">AVERAGE(B27,C27)</f>
        <v>194767.246549164</v>
      </c>
    </row>
    <row r="32" customFormat="false" ht="15.75" hidden="false" customHeight="true" outlineLevel="0" collapsed="false">
      <c r="A32" s="7" t="s">
        <v>186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187</v>
      </c>
      <c r="B33" s="81" t="n">
        <f aca="false">$B$7+(-2)*$B$11</f>
        <v>0.01</v>
      </c>
      <c r="C33" s="81" t="n">
        <f aca="false">$B$7+(-1)*$B$11</f>
        <v>0.015</v>
      </c>
      <c r="D33" s="81" t="n">
        <f aca="false">$B$7+(0)*$B$11</f>
        <v>0.02</v>
      </c>
      <c r="E33" s="81" t="n">
        <f aca="false">$B$7+(1)*$B$11</f>
        <v>0.025</v>
      </c>
      <c r="F33" s="81" t="n">
        <f aca="false">$B$7+(2)*$B$11</f>
        <v>0.03</v>
      </c>
    </row>
    <row r="34" customFormat="false" ht="15" hidden="false" customHeight="false" outlineLevel="0" collapsed="false">
      <c r="A34" s="76" t="n">
        <f aca="false">$B$6+(-2)*$B$10</f>
        <v>0.23</v>
      </c>
      <c r="B34" s="69" t="n">
        <f aca="false">IF($A34&gt;B$33,SUMPRODUCT($B$17:$D$17/(1+$A34)^$B$14:$D$14)+$D$17*(1+B$33)/($A34-B$33)/(1+$A34)^$D$14,"n/a")</f>
        <v>199488.931192494</v>
      </c>
      <c r="C34" s="69" t="n">
        <f aca="false">IF($A34&gt;C$33,SUMPRODUCT($B$17:$D$17/(1+$A34)^$B$14:$D$14)+$D$17*(1+C$33)/($A34-C$33)/(1+$A34)^$D$14,"n/a")</f>
        <v>207212.979239492</v>
      </c>
      <c r="D34" s="69" t="n">
        <f aca="false">IF($A34&gt;D$33,SUMPRODUCT($B$17:$D$17/(1+$A34)^$B$14:$D$14)+$D$17*(1+D$33)/($A34-D$33)/(1+$A34)^$D$14,"n/a")</f>
        <v>215304.839098253</v>
      </c>
      <c r="E34" s="69" t="n">
        <f aca="false">IF($A34&gt;E$33,SUMPRODUCT($B$17:$D$17/(1+$A34)^$B$14:$D$14)+$D$17*(1+E$33)/($A34-E$33)/(1+$A34)^$D$14,"n/a")</f>
        <v>223791.423828172</v>
      </c>
      <c r="F34" s="69" t="n">
        <f aca="false">IF($A34&gt;F$33,SUMPRODUCT($B$17:$D$17/(1+$A34)^$B$14:$D$14)+$D$17*(1+F$33)/($A34-F$33)/(1+$A34)^$D$14,"n/a")</f>
        <v>232702.337794588</v>
      </c>
    </row>
    <row r="35" customFormat="false" ht="15" hidden="false" customHeight="false" outlineLevel="0" collapsed="false">
      <c r="A35" s="76" t="n">
        <f aca="false">$B$6+(-1)*$B$10</f>
        <v>0.24</v>
      </c>
      <c r="B35" s="69" t="n">
        <f aca="false">IF($A35&gt;B$33,SUMPRODUCT($B$17:$D$17/(1+$A35)^$B$14:$D$14)+$D$17*(1+B$33)/($A35-B$33)/(1+$A35)^$D$14,"n/a")</f>
        <v>180480.380538892</v>
      </c>
      <c r="C35" s="69" t="n">
        <f aca="false">IF($A35&gt;C$33,SUMPRODUCT($B$17:$D$17/(1+$A35)^$B$14:$D$14)+$D$17*(1+C$33)/($A35-C$33)/(1+$A35)^$D$14,"n/a")</f>
        <v>187426.825608332</v>
      </c>
      <c r="D35" s="69" t="n">
        <f aca="false">IF($A35&gt;D$33,SUMPRODUCT($B$17:$D$17/(1+$A35)^$B$14:$D$14)+$D$17*(1+D$33)/($A35-D$33)/(1+$A35)^$D$14,"n/a")</f>
        <v>194689.018180928</v>
      </c>
      <c r="E35" s="69" t="n">
        <f aca="false">IF($A35&gt;E$33,SUMPRODUCT($B$17:$D$17/(1+$A35)^$B$14:$D$14)+$D$17*(1+E$33)/($A35-E$33)/(1+$A35)^$D$14,"n/a")</f>
        <v>202288.98715225</v>
      </c>
      <c r="F35" s="69" t="n">
        <f aca="false">IF($A35&gt;F$33,SUMPRODUCT($B$17:$D$17/(1+$A35)^$B$14:$D$14)+$D$17*(1+F$33)/($A35-F$33)/(1+$A35)^$D$14,"n/a")</f>
        <v>210250.85940792</v>
      </c>
    </row>
    <row r="36" customFormat="false" ht="15" hidden="false" customHeight="false" outlineLevel="0" collapsed="false">
      <c r="A36" s="76" t="n">
        <f aca="false">$B$6+(0)*$B$10</f>
        <v>0.25</v>
      </c>
      <c r="B36" s="69" t="n">
        <f aca="false">IF($A36&gt;B$33,SUMPRODUCT($B$17:$D$17/(1+$A36)^$B$14:$D$14)+$D$17*(1+B$33)/($A36-B$33)/(1+$A36)^$D$14,"n/a")</f>
        <v>163217.319894576</v>
      </c>
      <c r="C36" s="69" t="n">
        <f aca="false">IF($A36&gt;C$33,SUMPRODUCT($B$17:$D$17/(1+$A36)^$B$14:$D$14)+$D$17*(1+C$33)/($A36-C$33)/(1+$A36)^$D$14,"n/a")</f>
        <v>169489.480930961</v>
      </c>
      <c r="D36" s="69" t="n">
        <f aca="false">IF($A36&gt;D$33,SUMPRODUCT($B$17:$D$17/(1+$A36)^$B$14:$D$14)+$D$17*(1+D$33)/($A36-D$33)/(1+$A36)^$D$14,"n/a")</f>
        <v>176034.344621101</v>
      </c>
      <c r="E36" s="69" t="n">
        <f aca="false">IF($A36&gt;E$33,SUMPRODUCT($B$17:$D$17/(1+$A36)^$B$14:$D$14)+$D$17*(1+E$33)/($A36-E$33)/(1+$A36)^$D$14,"n/a")</f>
        <v>182870.091141915</v>
      </c>
      <c r="F36" s="69" t="n">
        <f aca="false">IF($A36&gt;F$33,SUMPRODUCT($B$17:$D$17/(1+$A36)^$B$14:$D$14)+$D$17*(1+F$33)/($A36-F$33)/(1+$A36)^$D$14,"n/a")</f>
        <v>190016.553413674</v>
      </c>
    </row>
    <row r="37" customFormat="false" ht="15" hidden="false" customHeight="false" outlineLevel="0" collapsed="false">
      <c r="A37" s="76" t="n">
        <f aca="false">$B$6+(1)*$B$10</f>
        <v>0.26</v>
      </c>
      <c r="B37" s="69" t="n">
        <f aca="false">IF($A37&gt;B$33,SUMPRODUCT($B$17:$D$17/(1+$A37)^$B$14:$D$14)+$D$17*(1+B$33)/($A37-B$33)/(1+$A37)^$D$14,"n/a")</f>
        <v>147486.532908016</v>
      </c>
      <c r="C37" s="69" t="n">
        <f aca="false">IF($A37&gt;C$33,SUMPRODUCT($B$17:$D$17/(1+$A37)^$B$14:$D$14)+$D$17*(1+C$33)/($A37-C$33)/(1+$A37)^$D$14,"n/a")</f>
        <v>153170.730246897</v>
      </c>
      <c r="D37" s="69" t="n">
        <f aca="false">IF($A37&gt;D$33,SUMPRODUCT($B$17:$D$17/(1+$A37)^$B$14:$D$14)+$D$17*(1+D$33)/($A37-D$33)/(1+$A37)^$D$14,"n/a")</f>
        <v>159091.769141564</v>
      </c>
      <c r="E37" s="69" t="n">
        <f aca="false">IF($A37&gt;E$33,SUMPRODUCT($B$17:$D$17/(1+$A37)^$B$14:$D$14)+$D$17*(1+E$33)/($A37-E$33)/(1+$A37)^$D$14,"n/a")</f>
        <v>165264.767138131</v>
      </c>
      <c r="F37" s="69" t="n">
        <f aca="false">IF($A37&gt;F$33,SUMPRODUCT($B$17:$D$17/(1+$A37)^$B$14:$D$14)+$D$17*(1+F$33)/($A37-F$33)/(1+$A37)^$D$14,"n/a")</f>
        <v>171706.156351941</v>
      </c>
    </row>
    <row r="38" customFormat="false" ht="15" hidden="false" customHeight="false" outlineLevel="0" collapsed="false">
      <c r="A38" s="76" t="n">
        <f aca="false">$B$6+(2)*$B$10</f>
        <v>0.27</v>
      </c>
      <c r="B38" s="69" t="n">
        <f aca="false">IF($A38&gt;B$33,SUMPRODUCT($B$17:$D$17/(1+$A38)^$B$14:$D$14)+$D$17*(1+B$33)/($A38-B$33)/(1+$A38)^$D$14,"n/a")</f>
        <v>133107.721564584</v>
      </c>
      <c r="C38" s="69" t="n">
        <f aca="false">IF($A38&gt;C$33,SUMPRODUCT($B$17:$D$17/(1+$A38)^$B$14:$D$14)+$D$17*(1+C$33)/($A38-C$33)/(1+$A38)^$D$14,"n/a")</f>
        <v>138276.588593502</v>
      </c>
      <c r="D38" s="69" t="n">
        <f aca="false">IF($A38&gt;D$33,SUMPRODUCT($B$17:$D$17/(1+$A38)^$B$14:$D$14)+$D$17*(1+D$33)/($A38-D$33)/(1+$A38)^$D$14,"n/a")</f>
        <v>143652.210303576</v>
      </c>
      <c r="E38" s="69" t="n">
        <f aca="false">IF($A38&gt;E$33,SUMPRODUCT($B$17:$D$17/(1+$A38)^$B$14:$D$14)+$D$17*(1+E$33)/($A38-E$33)/(1+$A38)^$D$14,"n/a")</f>
        <v>149247.245144674</v>
      </c>
      <c r="F38" s="69" t="n">
        <f aca="false">IF($A38&gt;F$33,SUMPRODUCT($B$17:$D$17/(1+$A38)^$B$14:$D$14)+$D$17*(1+F$33)/($A38-F$33)/(1+$A38)^$D$14,"n/a")</f>
        <v>155075.406437484</v>
      </c>
    </row>
    <row r="40" customFormat="false" ht="15" hidden="false" customHeight="false" outlineLevel="0" collapsed="false">
      <c r="A40" s="39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189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190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191</v>
      </c>
      <c r="B5" s="7"/>
      <c r="C5" s="7"/>
    </row>
    <row r="6" customFormat="false" ht="15" hidden="false" customHeight="false" outlineLevel="0" collapsed="false">
      <c r="B6" s="35" t="s">
        <v>192</v>
      </c>
      <c r="C6" s="35" t="s">
        <v>193</v>
      </c>
    </row>
    <row r="7" customFormat="false" ht="15" hidden="false" customHeight="false" outlineLevel="0" collapsed="false">
      <c r="A7" s="6" t="s">
        <v>194</v>
      </c>
      <c r="B7" s="82" t="n">
        <f aca="false">Inputs!$E$71</f>
        <v>330000</v>
      </c>
      <c r="C7" s="76" t="n">
        <f aca="false">IF($B$9=0,0,B7/$B$9)</f>
        <v>0.767441860465116</v>
      </c>
    </row>
    <row r="8" customFormat="false" ht="15" hidden="false" customHeight="false" outlineLevel="0" collapsed="false">
      <c r="A8" s="6" t="s">
        <v>195</v>
      </c>
      <c r="B8" s="82" t="n">
        <f aca="false">Inputs!$E$72</f>
        <v>100000</v>
      </c>
      <c r="C8" s="76" t="n">
        <f aca="false">IF($B$9=0,0,B8/$B$9)</f>
        <v>0.232558139534884</v>
      </c>
    </row>
    <row r="9" customFormat="false" ht="15" hidden="false" customHeight="false" outlineLevel="0" collapsed="false">
      <c r="A9" s="4" t="s">
        <v>196</v>
      </c>
      <c r="B9" s="83" t="n">
        <f aca="false">B7+B8</f>
        <v>430000</v>
      </c>
      <c r="C9" s="84" t="n">
        <f aca="false">IF(B9=0,0,1)</f>
        <v>1</v>
      </c>
    </row>
    <row r="10" customFormat="false" ht="15" hidden="false" customHeight="false" outlineLevel="0" collapsed="false">
      <c r="A10" s="6" t="s">
        <v>197</v>
      </c>
      <c r="B10" s="80" t="n">
        <f aca="false">IF(B7&lt;=0,IF(B8&gt;0,"n/a",0),B8/B7)</f>
        <v>0.303030303030303</v>
      </c>
      <c r="D10" s="18" t="s">
        <v>198</v>
      </c>
    </row>
    <row r="11" customFormat="false" ht="15" hidden="false" customHeight="false" outlineLevel="0" collapsed="false">
      <c r="A11" s="6" t="s">
        <v>199</v>
      </c>
      <c r="B11" s="82" t="n">
        <f aca="false">'Break-even'!B12</f>
        <v>391499.658014222</v>
      </c>
    </row>
    <row r="12" customFormat="false" ht="15" hidden="false" customHeight="false" outlineLevel="0" collapsed="false">
      <c r="A12" s="72" t="s">
        <v>67</v>
      </c>
      <c r="B12" s="85" t="n">
        <f aca="false">'Break-even'!B17</f>
        <v>38500.3419857778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200</v>
      </c>
      <c r="B15" s="86" t="n">
        <v>12</v>
      </c>
      <c r="D15" s="18" t="s">
        <v>201</v>
      </c>
    </row>
    <row r="16" customFormat="false" ht="15" hidden="false" customHeight="false" outlineLevel="0" collapsed="false">
      <c r="A16" s="6" t="s">
        <v>202</v>
      </c>
      <c r="B16" s="67" t="n">
        <f aca="false">MIN(36,MAX(1,ROUND(B15,0)))</f>
        <v>12</v>
      </c>
    </row>
    <row r="17" customFormat="false" ht="15" hidden="false" customHeight="false" outlineLevel="0" collapsed="false">
      <c r="A17" s="33" t="s">
        <v>203</v>
      </c>
      <c r="B17" s="35" t="s">
        <v>192</v>
      </c>
      <c r="C17" s="35" t="s">
        <v>193</v>
      </c>
    </row>
    <row r="18" customFormat="false" ht="15" hidden="false" customHeight="false" outlineLevel="0" collapsed="false">
      <c r="A18" s="6" t="s">
        <v>64</v>
      </c>
      <c r="B18" s="63" t="n">
        <f aca="false">SUMPRODUCT(--(Monthly!$C$4:$AL$4&lt;=$B$16),Monthly!$C$91:$AL$91)</f>
        <v>330000</v>
      </c>
      <c r="C18" s="76" t="n">
        <f aca="false">IF($B$21=0,0,B18/$B$21)</f>
        <v>0.767441860465116</v>
      </c>
    </row>
    <row r="19" customFormat="false" ht="15" hidden="false" customHeight="false" outlineLevel="0" collapsed="false">
      <c r="A19" s="6" t="s">
        <v>204</v>
      </c>
      <c r="B19" s="63" t="n">
        <f aca="false">SUMPRODUCT(--(Monthly!$C$4:$AL$4&lt;=$B$16),Monthly!$C$76:$AL$76)</f>
        <v>100000</v>
      </c>
      <c r="C19" s="76" t="n">
        <f aca="false">IF($B$21=0,0,B19/$B$21)</f>
        <v>0.232558139534884</v>
      </c>
    </row>
    <row r="20" customFormat="false" ht="15" hidden="false" customHeight="false" outlineLevel="0" collapsed="false">
      <c r="A20" s="6" t="s">
        <v>205</v>
      </c>
      <c r="B20" s="63" t="n">
        <f aca="false">MAX(0,SUMPRODUCT(--(Monthly!$C$4:$AL$4&lt;=$B$16),Monthly!$C$89:$AL$89))</f>
        <v>0</v>
      </c>
      <c r="C20" s="76" t="n">
        <f aca="false">IF($B$21=0,0,B20/$B$21)</f>
        <v>0</v>
      </c>
    </row>
    <row r="21" customFormat="false" ht="15" hidden="false" customHeight="false" outlineLevel="0" collapsed="false">
      <c r="A21" s="4" t="s">
        <v>206</v>
      </c>
      <c r="B21" s="83" t="n">
        <f aca="false">SUM(B18:B20)</f>
        <v>430000</v>
      </c>
      <c r="C21" s="84" t="n">
        <f aca="false">IF(B21=0,0,1)</f>
        <v>1</v>
      </c>
    </row>
    <row r="23" customFormat="false" ht="15" hidden="false" customHeight="false" outlineLevel="0" collapsed="false">
      <c r="A23" s="33" t="s">
        <v>207</v>
      </c>
      <c r="B23" s="35" t="s">
        <v>192</v>
      </c>
      <c r="C23" s="35" t="s">
        <v>193</v>
      </c>
    </row>
    <row r="24" customFormat="false" ht="15" hidden="false" customHeight="false" outlineLevel="0" collapsed="false">
      <c r="A24" s="6" t="s">
        <v>208</v>
      </c>
      <c r="B24" s="63" t="n">
        <f aca="false">MAX(0,-SUMPRODUCT(--(Monthly!$C$4:$AL$4&lt;=$B$16),Monthly!$C$89:$AL$89))</f>
        <v>62809.5271128889</v>
      </c>
      <c r="C24" s="76" t="n">
        <f aca="false">IF($B$28=0,0,B24/$B$28)</f>
        <v>0.146068667704393</v>
      </c>
    </row>
    <row r="25" customFormat="false" ht="15" hidden="false" customHeight="false" outlineLevel="0" collapsed="false">
      <c r="A25" s="6" t="s">
        <v>84</v>
      </c>
      <c r="B25" s="63" t="n">
        <f aca="false">-SUMPRODUCT(--(Monthly!$C$4:$AL$4&lt;=$B$16),Monthly!$C$90:$AL$90)</f>
        <v>189000</v>
      </c>
      <c r="C25" s="76" t="n">
        <f aca="false">IF($B$28=0,0,B25/$B$28)</f>
        <v>0.43953488372093</v>
      </c>
    </row>
    <row r="26" customFormat="false" ht="15" hidden="false" customHeight="false" outlineLevel="0" collapsed="false">
      <c r="A26" s="6" t="s">
        <v>209</v>
      </c>
      <c r="B26" s="63" t="n">
        <f aca="false">-SUMPRODUCT(--(Monthly!$C$4:$AL$4&lt;=$B$16),Monthly!$C$77:$AL$77)</f>
        <v>18333.3333333333</v>
      </c>
      <c r="C26" s="76" t="n">
        <f aca="false">IF($B$28=0,0,B26/$B$28)</f>
        <v>0.0426356589147287</v>
      </c>
    </row>
    <row r="27" customFormat="false" ht="15" hidden="false" customHeight="false" outlineLevel="0" collapsed="false">
      <c r="A27" s="6" t="s">
        <v>210</v>
      </c>
      <c r="B27" s="63" t="n">
        <f aca="false">INDEX(Monthly!$C$95:$AL$95,$B$16)</f>
        <v>159857.139553778</v>
      </c>
      <c r="C27" s="76" t="n">
        <f aca="false">IF($B$28=0,0,B27/$B$28)</f>
        <v>0.371760789659948</v>
      </c>
    </row>
    <row r="28" customFormat="false" ht="15" hidden="false" customHeight="false" outlineLevel="0" collapsed="false">
      <c r="A28" s="4" t="s">
        <v>211</v>
      </c>
      <c r="B28" s="83" t="n">
        <f aca="false">SUM(B24:B27)</f>
        <v>430000</v>
      </c>
      <c r="C28" s="84" t="n">
        <f aca="false">IF(B28=0,0,1)</f>
        <v>1</v>
      </c>
    </row>
    <row r="29" customFormat="false" ht="15" hidden="false" customHeight="false" outlineLevel="0" collapsed="false">
      <c r="A29" s="6" t="s">
        <v>212</v>
      </c>
      <c r="B29" s="63" t="n">
        <f aca="false">B21-B28</f>
        <v>0</v>
      </c>
    </row>
  </sheetData>
  <dataValidations count="1">
    <dataValidation allowBlank="false" errorStyle="stop" operator="between" prompt="A whole number from 1 to 36" promptTitle="Period" showDropDown="false" showErrorMessage="false" showInputMessage="true" sqref="B15" type="whole">
      <formula1>1</formula1>
      <formula2>36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1.5"/>
    <col collapsed="false" customWidth="true" hidden="false" outlineLevel="0" max="6" min="6" style="0" width="2"/>
    <col collapsed="false" customWidth="true" hidden="false" outlineLevel="0" max="22" min="7" style="0" width="9"/>
  </cols>
  <sheetData>
    <row r="1" customFormat="false" ht="21.75" hidden="false" customHeight="true" outlineLevel="0" collapsed="false">
      <c r="A1" s="16" t="s">
        <v>213</v>
      </c>
      <c r="G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214</v>
      </c>
    </row>
    <row r="4" customFormat="false" ht="15.75" hidden="false" customHeight="true" outlineLevel="0" collapsed="false">
      <c r="A4" s="7" t="s">
        <v>215</v>
      </c>
      <c r="B4" s="7"/>
      <c r="C4" s="7"/>
      <c r="D4" s="7"/>
      <c r="E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5" t="s">
        <v>216</v>
      </c>
    </row>
    <row r="6" customFormat="false" ht="15" hidden="false" customHeight="false" outlineLevel="0" collapsed="false">
      <c r="A6" s="39" t="s">
        <v>217</v>
      </c>
      <c r="B6" s="40" t="str">
        <f aca="false">IF(N('P&amp;L'!A5)&lt;=0,"n/a",'P&amp;L'!B5/'P&amp;L'!A5-1)</f>
        <v>n/a</v>
      </c>
      <c r="C6" s="40" t="n">
        <f aca="false">IF(N('P&amp;L'!B5)&lt;=0,"n/a",'P&amp;L'!C5/'P&amp;L'!B5-1)</f>
        <v>0.45428011080752</v>
      </c>
      <c r="D6" s="40" t="n">
        <f aca="false">IF(N('P&amp;L'!C5)&lt;=0,"n/a",'P&amp;L'!D5/'P&amp;L'!C5-1)</f>
        <v>0.0608999999999997</v>
      </c>
      <c r="E6" s="87"/>
    </row>
    <row r="7" customFormat="false" ht="15" hidden="false" customHeight="false" outlineLevel="0" collapsed="false">
      <c r="A7" s="39" t="s">
        <v>46</v>
      </c>
      <c r="B7" s="40" t="n">
        <f aca="false">IF('P&amp;L'!B5&lt;=0,"n/a",'P&amp;L'!B7/'P&amp;L'!B5)</f>
        <v>0.643925857192845</v>
      </c>
      <c r="C7" s="40" t="n">
        <f aca="false">IF('P&amp;L'!C5&lt;=0,"n/a",'P&amp;L'!C7/'P&amp;L'!C5)</f>
        <v>0.666249316626392</v>
      </c>
      <c r="D7" s="40" t="n">
        <f aca="false">IF('P&amp;L'!D5&lt;=0,"n/a",'P&amp;L'!D7/'P&amp;L'!D5)</f>
        <v>0.66790104837101</v>
      </c>
      <c r="E7" s="87"/>
    </row>
    <row r="8" customFormat="false" ht="15" hidden="false" customHeight="false" outlineLevel="0" collapsed="false">
      <c r="A8" s="39" t="s">
        <v>49</v>
      </c>
      <c r="B8" s="40" t="n">
        <f aca="false">IF('P&amp;L'!B5&lt;=0,"n/a",'P&amp;L'!B16/'P&amp;L'!B5)</f>
        <v>-0.111659148864492</v>
      </c>
      <c r="C8" s="40" t="n">
        <f aca="false">IF('P&amp;L'!C5&lt;=0,"n/a",'P&amp;L'!C16/'P&amp;L'!C5)</f>
        <v>0.133912809073318</v>
      </c>
      <c r="D8" s="40" t="n">
        <f aca="false">IF('P&amp;L'!D5&lt;=0,"n/a",'P&amp;L'!D16/'P&amp;L'!D5)</f>
        <v>0.158914428510696</v>
      </c>
      <c r="E8" s="87"/>
    </row>
    <row r="9" customFormat="false" ht="15" hidden="false" customHeight="false" outlineLevel="0" collapsed="false">
      <c r="A9" s="39" t="s">
        <v>51</v>
      </c>
      <c r="B9" s="40" t="n">
        <f aca="false">IF('P&amp;L'!B5&lt;=0,"n/a",'P&amp;L'!B23/'P&amp;L'!B5)</f>
        <v>-0.167131110389716</v>
      </c>
      <c r="C9" s="40" t="n">
        <f aca="false">IF('P&amp;L'!C5&lt;=0,"n/a",'P&amp;L'!C23/'P&amp;L'!C5)</f>
        <v>0.0964196953775547</v>
      </c>
      <c r="D9" s="40" t="n">
        <f aca="false">IF('P&amp;L'!D5&lt;=0,"n/a",'P&amp;L'!D23/'P&amp;L'!D5)</f>
        <v>0.101776084017165</v>
      </c>
      <c r="E9" s="87"/>
    </row>
    <row r="10" customFormat="false" ht="15" hidden="false" customHeight="false" outlineLevel="0" collapsed="false">
      <c r="A10" s="39" t="s">
        <v>218</v>
      </c>
      <c r="B10" s="40" t="n">
        <f aca="false">IF('P&amp;L'!B5&lt;=0,"n/a",-SUMIF(Headcount!$C$5:$AL$5,B$5,Headcount!$C$17:$AL$17)/'P&amp;L'!B5)</f>
        <v>0.398345036910691</v>
      </c>
      <c r="C10" s="40" t="n">
        <f aca="false">IF('P&amp;L'!C5&lt;=0,"n/a",-SUMIF(Headcount!$C$5:$AL$5,C$5,Headcount!$C$17:$AL$17)/'P&amp;L'!C5)</f>
        <v>0.282129546411927</v>
      </c>
      <c r="D10" s="40" t="n">
        <f aca="false">IF('P&amp;L'!D5&lt;=0,"n/a",-SUMIF(Headcount!$C$5:$AL$5,D$5,Headcount!$C$17:$AL$17)/'P&amp;L'!D5)</f>
        <v>0.273912180982453</v>
      </c>
      <c r="E10" s="87"/>
    </row>
    <row r="11" customFormat="false" ht="15" hidden="false" customHeight="false" outlineLevel="0" collapsed="false">
      <c r="A11" s="39" t="s">
        <v>219</v>
      </c>
      <c r="B11" s="40" t="n">
        <f aca="false">IF('P&amp;L'!B5&lt;=0,"n/a",-'P&amp;L'!B13/'P&amp;L'!B5)</f>
        <v>0.0731068016178677</v>
      </c>
      <c r="C11" s="40" t="n">
        <f aca="false">IF('P&amp;L'!C5&lt;=0,"n/a",-'P&amp;L'!C13/'P&amp;L'!C5)</f>
        <v>0.0402160772602597</v>
      </c>
      <c r="D11" s="40" t="n">
        <f aca="false">IF('P&amp;L'!D5&lt;=0,"n/a",-'P&amp;L'!D13/'P&amp;L'!D5)</f>
        <v>0.0303260079255422</v>
      </c>
      <c r="E11" s="87"/>
    </row>
    <row r="12" customFormat="false" ht="15" hidden="false" customHeight="false" outlineLevel="0" collapsed="false">
      <c r="A12" s="39" t="s">
        <v>220</v>
      </c>
      <c r="B12" s="40" t="n">
        <f aca="false">IF('P&amp;L'!B5&lt;=0,"n/a",-'P&amp;L'!B15/'P&amp;L'!B5)</f>
        <v>0.755585006057337</v>
      </c>
      <c r="C12" s="40" t="n">
        <f aca="false">IF('P&amp;L'!C5&lt;=0,"n/a",-'P&amp;L'!C15/'P&amp;L'!C5)</f>
        <v>0.532336507553075</v>
      </c>
      <c r="D12" s="40" t="n">
        <f aca="false">IF('P&amp;L'!D5&lt;=0,"n/a",-'P&amp;L'!D15/'P&amp;L'!D5)</f>
        <v>0.508986619860314</v>
      </c>
      <c r="E12" s="87"/>
    </row>
    <row r="13" customFormat="false" ht="15" hidden="false" customHeight="false" outlineLevel="0" collapsed="false">
      <c r="A13" s="6" t="s">
        <v>221</v>
      </c>
      <c r="B13" s="88" t="n">
        <f aca="false">IF(('Balance Sheet'!B12-'Balance Sheet'!B11)&lt;=0,"n/a",('Balance Sheet'!B5+'Balance Sheet'!B6+'Balance Sheet'!B7)/('Balance Sheet'!B12-'Balance Sheet'!B11))</f>
        <v>8.94637232381527</v>
      </c>
      <c r="C13" s="88" t="n">
        <f aca="false">IF(('Balance Sheet'!C12-'Balance Sheet'!C11)&lt;=0,"n/a",('Balance Sheet'!C5+'Balance Sheet'!C6+'Balance Sheet'!C7)/('Balance Sheet'!C12-'Balance Sheet'!C11))</f>
        <v>12.3056604555209</v>
      </c>
      <c r="D13" s="88" t="n">
        <f aca="false">IF(('Balance Sheet'!D12-'Balance Sheet'!D11)&lt;=0,"n/a",('Balance Sheet'!D5+'Balance Sheet'!D6+'Balance Sheet'!D7)/('Balance Sheet'!D12-'Balance Sheet'!D11))</f>
        <v>15.8040585940932</v>
      </c>
      <c r="E13" s="89"/>
    </row>
    <row r="14" customFormat="false" ht="15" hidden="false" customHeight="false" outlineLevel="0" collapsed="false">
      <c r="A14" s="6" t="s">
        <v>222</v>
      </c>
      <c r="B14" s="88" t="n">
        <f aca="false">IF('Balance Sheet'!B15&lt;=0,"n/a",'Balance Sheet'!B11/'Balance Sheet'!B15)</f>
        <v>0.349028427452711</v>
      </c>
      <c r="C14" s="88" t="n">
        <f aca="false">IF('Balance Sheet'!C15&lt;=0,"n/a",'Balance Sheet'!C11/'Balance Sheet'!C15)</f>
        <v>0.196053352719392</v>
      </c>
      <c r="D14" s="88" t="n">
        <f aca="false">IF('Balance Sheet'!D15&lt;=0,"n/a",'Balance Sheet'!D11/'Balance Sheet'!D15)</f>
        <v>0.1029438776581</v>
      </c>
      <c r="E14" s="89"/>
    </row>
    <row r="15" customFormat="false" ht="15" hidden="false" customHeight="false" outlineLevel="0" collapsed="false">
      <c r="A15" s="39" t="s">
        <v>223</v>
      </c>
      <c r="B15" s="40" t="n">
        <f aca="false">IF('Balance Sheet'!B9&lt;=0,"n/a",'P&amp;L'!B23/'Balance Sheet'!B9)</f>
        <v>-0.28699478632634</v>
      </c>
      <c r="C15" s="40" t="n">
        <f aca="false">IF('Balance Sheet'!C9&lt;=0,"n/a",'P&amp;L'!C23/'Balance Sheet'!C9)</f>
        <v>0.203339939676496</v>
      </c>
      <c r="D15" s="40" t="n">
        <f aca="false">IF('Balance Sheet'!D9&lt;=0,"n/a",'P&amp;L'!D23/'Balance Sheet'!D9)</f>
        <v>0.192966409023321</v>
      </c>
      <c r="E15" s="87"/>
    </row>
    <row r="16" customFormat="false" ht="15" hidden="false" customHeight="false" outlineLevel="0" collapsed="false">
      <c r="A16" s="39" t="s">
        <v>224</v>
      </c>
      <c r="B16" s="40" t="n">
        <f aca="false">IF('Balance Sheet'!B15&lt;=0,"n/a",'P&amp;L'!B23/'Balance Sheet'!B15)</f>
        <v>-0.41035976807422</v>
      </c>
      <c r="C16" s="40" t="n">
        <f aca="false">IF('Balance Sheet'!C15&lt;=0,"n/a",'P&amp;L'!C23/'Balance Sheet'!C15)</f>
        <v>0.256111527171221</v>
      </c>
      <c r="D16" s="40" t="n">
        <f aca="false">IF('Balance Sheet'!D15&lt;=0,"n/a",'P&amp;L'!D23/'Balance Sheet'!D15)</f>
        <v>0.222880216937406</v>
      </c>
      <c r="E16" s="87"/>
    </row>
    <row r="18" customFormat="false" ht="15.75" hidden="false" customHeight="true" outlineLevel="0" collapsed="false">
      <c r="A18" s="7" t="s">
        <v>225</v>
      </c>
      <c r="B18" s="7"/>
      <c r="C18" s="7"/>
      <c r="D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</row>
    <row r="20" customFormat="false" ht="15" hidden="false" customHeight="false" outlineLevel="0" collapsed="false">
      <c r="A20" s="52" t="s">
        <v>51</v>
      </c>
      <c r="B20" s="40" t="n">
        <f aca="false">IF('P&amp;L'!B5&lt;=0,"n/a",'P&amp;L'!B23/'P&amp;L'!B5)</f>
        <v>-0.167131110389716</v>
      </c>
      <c r="C20" s="40" t="n">
        <f aca="false">IF('P&amp;L'!C5&lt;=0,"n/a",'P&amp;L'!C23/'P&amp;L'!C5)</f>
        <v>0.0964196953775547</v>
      </c>
      <c r="D20" s="40" t="n">
        <f aca="false">IF('P&amp;L'!D5&lt;=0,"n/a",'P&amp;L'!D23/'P&amp;L'!D5)</f>
        <v>0.101776084017165</v>
      </c>
    </row>
    <row r="21" customFormat="false" ht="15" hidden="false" customHeight="false" outlineLevel="0" collapsed="false">
      <c r="A21" s="52" t="s">
        <v>226</v>
      </c>
      <c r="B21" s="88" t="n">
        <f aca="false">IF('Balance Sheet'!B9&lt;=0,"n/a",'P&amp;L'!B5/'Balance Sheet'!B9)</f>
        <v>1.71718350735016</v>
      </c>
      <c r="C21" s="88" t="n">
        <f aca="false">IF('Balance Sheet'!C9&lt;=0,"n/a",'P&amp;L'!C5/'Balance Sheet'!C9)</f>
        <v>2.10890460585122</v>
      </c>
      <c r="D21" s="88" t="n">
        <f aca="false">IF('Balance Sheet'!D9&lt;=0,"n/a",'P&amp;L'!D5/'Balance Sheet'!D9)</f>
        <v>1.89598971985184</v>
      </c>
    </row>
    <row r="22" customFormat="false" ht="15" hidden="false" customHeight="false" outlineLevel="0" collapsed="false">
      <c r="A22" s="52" t="s">
        <v>227</v>
      </c>
      <c r="B22" s="88" t="n">
        <f aca="false">IF('Balance Sheet'!B15&lt;=0,"n/a",'Balance Sheet'!B9/'Balance Sheet'!B15)</f>
        <v>1.42985095069846</v>
      </c>
      <c r="C22" s="88" t="n">
        <f aca="false">IF('Balance Sheet'!C15&lt;=0,"n/a",'Balance Sheet'!C9/'Balance Sheet'!C15)</f>
        <v>1.25952396552631</v>
      </c>
      <c r="D22" s="88" t="n">
        <f aca="false">IF('Balance Sheet'!D15&lt;=0,"n/a",'Balance Sheet'!D9/'Balance Sheet'!D15)</f>
        <v>1.15502080421919</v>
      </c>
    </row>
    <row r="23" customFormat="false" ht="15" hidden="false" customHeight="false" outlineLevel="0" collapsed="false">
      <c r="A23" s="41" t="s">
        <v>228</v>
      </c>
      <c r="B23" s="90" t="n">
        <f aca="false">IF(AND(ISNUMBER(B20),ISNUMBER(B21),ISNUMBER(B22)),B20*B21*B22,"n/a")</f>
        <v>-0.41035976807422</v>
      </c>
      <c r="C23" s="90" t="n">
        <f aca="false">IF(AND(ISNUMBER(C20),ISNUMBER(C21),ISNUMBER(C22)),C20*C21*C22,"n/a")</f>
        <v>0.256111527171221</v>
      </c>
      <c r="D23" s="90" t="n">
        <f aca="false">IF(AND(ISNUMBER(D20),ISNUMBER(D21),ISNUMBER(D22)),D20*D21*D22,"n/a")</f>
        <v>0.222880216937406</v>
      </c>
    </row>
    <row r="24" customFormat="false" ht="15" hidden="false" customHeight="false" outlineLevel="0" collapsed="false">
      <c r="A24" s="21" t="s">
        <v>229</v>
      </c>
      <c r="B24" s="40" t="n">
        <f aca="false">IF(AND(ISNUMBER(B23),ISNUMBER(B16)),B23-B16,IF(ISNUMBER(B23),1,IF(AND(ISNUMBER(B16),ISNUMBER(B20),ISNUMBER(B21)),1,0)))</f>
        <v>0</v>
      </c>
      <c r="C24" s="40" t="n">
        <f aca="false">IF(AND(ISNUMBER(C23),ISNUMBER(C16)),C23-C16,IF(ISNUMBER(C23),1,IF(AND(ISNUMBER(C16),ISNUMBER(C20),ISNUMBER(C21)),1,0)))</f>
        <v>0</v>
      </c>
      <c r="D24" s="40" t="n">
        <f aca="false">IF(AND(ISNUMBER(D23),ISNUMBER(D16)),D23-D16,IF(ISNUMBER(D23),1,IF(AND(ISNUMBER(D16),ISNUMBER(D20),ISNUMBER(D21)),1,0)))</f>
        <v>0</v>
      </c>
    </row>
    <row r="26" customFormat="false" ht="15.75" hidden="false" customHeight="true" outlineLevel="0" collapsed="false">
      <c r="A26" s="7" t="s">
        <v>230</v>
      </c>
      <c r="B26" s="7"/>
      <c r="C26" s="7"/>
      <c r="D26" s="7"/>
      <c r="E26" s="7"/>
    </row>
    <row r="27" customFormat="false" ht="15" hidden="false" customHeight="false" outlineLevel="0" collapsed="false">
      <c r="A27" s="74" t="s">
        <v>154</v>
      </c>
      <c r="B27" s="74" t="n">
        <v>1</v>
      </c>
      <c r="C27" s="74" t="n">
        <v>2</v>
      </c>
      <c r="D27" s="74" t="n">
        <v>3</v>
      </c>
    </row>
    <row r="28" customFormat="false" ht="15" hidden="false" customHeight="false" outlineLevel="0" collapsed="false">
      <c r="A28" s="33"/>
      <c r="B28" s="35" t="s">
        <v>155</v>
      </c>
      <c r="C28" s="35" t="s">
        <v>156</v>
      </c>
      <c r="D28" s="35" t="s">
        <v>157</v>
      </c>
      <c r="E28" s="35" t="s">
        <v>216</v>
      </c>
    </row>
    <row r="29" customFormat="false" ht="15" hidden="false" customHeight="false" outlineLevel="0" collapsed="false">
      <c r="A29" s="4" t="s">
        <v>231</v>
      </c>
      <c r="B29" s="91" t="n">
        <f aca="false">INDEX(Monthly!$C$13:$AL$13,B$27*12)</f>
        <v>4</v>
      </c>
      <c r="C29" s="91" t="n">
        <f aca="false">INDEX(Monthly!$C$13:$AL$13,C$27*12)</f>
        <v>4</v>
      </c>
      <c r="D29" s="91" t="n">
        <f aca="false">INDEX(Monthly!$C$13:$AL$13,D$27*12)</f>
        <v>4</v>
      </c>
      <c r="E29" s="92"/>
    </row>
    <row r="30" customFormat="false" ht="15" hidden="false" customHeight="false" outlineLevel="0" collapsed="false">
      <c r="A30" s="4" t="s">
        <v>58</v>
      </c>
      <c r="B30" s="93" t="n">
        <f aca="false">SUMIF(Monthly!$C$5:$AL$5,B$27,Monthly!$C$17:$AL$17)</f>
        <v>3619.2</v>
      </c>
      <c r="C30" s="93" t="n">
        <f aca="false">SUMIF(Monthly!$C$5:$AL$5,C$27,Monthly!$C$17:$AL$17)</f>
        <v>5141.76</v>
      </c>
      <c r="D30" s="93" t="n">
        <f aca="false">SUMIF(Monthly!$C$5:$AL$5,D$27,Monthly!$C$17:$AL$17)</f>
        <v>5296.0128</v>
      </c>
      <c r="E30" s="94"/>
    </row>
    <row r="31" customFormat="false" ht="15" hidden="false" customHeight="false" outlineLevel="0" collapsed="false">
      <c r="A31" s="6" t="s">
        <v>232</v>
      </c>
      <c r="B31" s="95" t="n">
        <f aca="false">SUMIF(Monthly!$C$5:$AL$5,B$27,Monthly!$C$16:$AL$16)</f>
        <v>6864</v>
      </c>
      <c r="C31" s="95" t="n">
        <f aca="false">SUMIF(Monthly!$C$5:$AL$5,C$27,Monthly!$C$16:$AL$16)</f>
        <v>6864</v>
      </c>
      <c r="D31" s="95" t="n">
        <f aca="false">SUMIF(Monthly!$C$5:$AL$5,D$27,Monthly!$C$16:$AL$16)</f>
        <v>6864</v>
      </c>
      <c r="E31" s="94"/>
    </row>
    <row r="32" customFormat="false" ht="15" hidden="false" customHeight="false" outlineLevel="0" collapsed="false">
      <c r="A32" s="39" t="s">
        <v>59</v>
      </c>
      <c r="B32" s="96" t="n">
        <f aca="false">IF(B31=0,0,B30/B31)</f>
        <v>0.527272727272727</v>
      </c>
      <c r="C32" s="96" t="n">
        <f aca="false">IF(C31=0,0,C30/C31)</f>
        <v>0.749090909090909</v>
      </c>
      <c r="D32" s="96" t="n">
        <f aca="false">IF(D31=0,0,D30/D31)</f>
        <v>0.771563636363636</v>
      </c>
      <c r="E32" s="97"/>
    </row>
    <row r="33" customFormat="false" ht="15" hidden="false" customHeight="false" outlineLevel="0" collapsed="false">
      <c r="A33" s="6" t="s">
        <v>233</v>
      </c>
      <c r="B33" s="95" t="n">
        <f aca="false">SUMIF(Monthly!$C$5:$AL$5,B$27,Monthly!$C$18:$AL$18)</f>
        <v>0</v>
      </c>
      <c r="C33" s="95" t="n">
        <f aca="false">SUMIF(Monthly!$C$5:$AL$5,C$27,Monthly!$C$18:$AL$18)</f>
        <v>0</v>
      </c>
      <c r="D33" s="95" t="n">
        <f aca="false">SUMIF(Monthly!$C$5:$AL$5,D$27,Monthly!$C$18:$AL$18)</f>
        <v>0</v>
      </c>
      <c r="E33" s="94"/>
    </row>
    <row r="34" customFormat="false" ht="15" hidden="false" customHeight="false" outlineLevel="0" collapsed="false">
      <c r="A34" s="4" t="s">
        <v>234</v>
      </c>
      <c r="B34" s="93" t="n">
        <f aca="false">SUMIF(Monthly!$C$5:$AL$5,B$27,Monthly!$C$24:$AL$24)</f>
        <v>4983.78816</v>
      </c>
      <c r="C34" s="93" t="n">
        <f aca="false">SUMIF(Monthly!$C$5:$AL$5,C$27,Monthly!$C$24:$AL$24)</f>
        <v>6988.8384</v>
      </c>
      <c r="D34" s="93" t="n">
        <f aca="false">SUMIF(Monthly!$C$5:$AL$5,D$27,Monthly!$C$24:$AL$24)</f>
        <v>7198.503552</v>
      </c>
      <c r="E34" s="94"/>
    </row>
    <row r="35" customFormat="false" ht="15" hidden="false" customHeight="false" outlineLevel="0" collapsed="false">
      <c r="A35" s="6" t="s">
        <v>235</v>
      </c>
      <c r="B35" s="95" t="n">
        <f aca="false">SUMIF(Monthly!$C$5:$AL$5,B$27,Monthly!$C$22:$AL$22)</f>
        <v>10944</v>
      </c>
      <c r="C35" s="95" t="n">
        <f aca="false">SUMIF(Monthly!$C$5:$AL$5,C$27,Monthly!$C$22:$AL$22)</f>
        <v>10944</v>
      </c>
      <c r="D35" s="95" t="n">
        <f aca="false">SUMIF(Monthly!$C$5:$AL$5,D$27,Monthly!$C$22:$AL$22)</f>
        <v>10944</v>
      </c>
      <c r="E35" s="94"/>
    </row>
    <row r="36" customFormat="false" ht="15" hidden="false" customHeight="false" outlineLevel="0" collapsed="false">
      <c r="A36" s="39" t="s">
        <v>60</v>
      </c>
      <c r="B36" s="96" t="n">
        <f aca="false">IF(B35=0,0,B34/B35)</f>
        <v>0.45539</v>
      </c>
      <c r="C36" s="96" t="n">
        <f aca="false">IF(C35=0,0,C34/C35)</f>
        <v>0.6386</v>
      </c>
      <c r="D36" s="96" t="n">
        <f aca="false">IF(D35=0,0,D34/D35)</f>
        <v>0.657758</v>
      </c>
      <c r="E36" s="97"/>
    </row>
    <row r="37" customFormat="false" ht="15" hidden="false" customHeight="false" outlineLevel="0" collapsed="false">
      <c r="A37" s="4" t="s">
        <v>44</v>
      </c>
      <c r="B37" s="98" t="n">
        <f aca="false">SUMIF(Monthly!$C$5:$AL$5,B$27,Monthly!$C$31:$AL$31)</f>
        <v>574501.9488</v>
      </c>
      <c r="C37" s="98" t="n">
        <f aca="false">SUMIF(Monthly!$C$5:$AL$5,C$27,Monthly!$C$31:$AL$31)</f>
        <v>835486.75776</v>
      </c>
      <c r="D37" s="98" t="n">
        <f aca="false">SUMIF(Monthly!$C$5:$AL$5,D$27,Monthly!$C$31:$AL$31)</f>
        <v>886367.901307584</v>
      </c>
      <c r="E37" s="99"/>
    </row>
    <row r="38" customFormat="false" ht="15" hidden="false" customHeight="false" outlineLevel="0" collapsed="false">
      <c r="A38" s="6" t="s">
        <v>236</v>
      </c>
      <c r="B38" s="36" t="n">
        <f aca="false">SUMIF(Monthly!$C$5:$AL$5,B$27,Monthly!$C$28:$AL$28)</f>
        <v>271440</v>
      </c>
      <c r="C38" s="36" t="n">
        <f aca="false">SUMIF(Monthly!$C$5:$AL$5,C$27,Monthly!$C$28:$AL$28)</f>
        <v>397200.96</v>
      </c>
      <c r="D38" s="36" t="n">
        <f aca="false">SUMIF(Monthly!$C$5:$AL$5,D$27,Monthly!$C$28:$AL$28)</f>
        <v>421390.498464</v>
      </c>
      <c r="E38" s="99"/>
    </row>
    <row r="39" customFormat="false" ht="15" hidden="false" customHeight="false" outlineLevel="0" collapsed="false">
      <c r="A39" s="6" t="s">
        <v>237</v>
      </c>
      <c r="B39" s="36" t="n">
        <f aca="false">SUMIF(Monthly!$C$5:$AL$5,B$27,Monthly!$C$29:$AL$29)</f>
        <v>274108.3488</v>
      </c>
      <c r="C39" s="36" t="n">
        <f aca="false">SUMIF(Monthly!$C$5:$AL$5,C$27,Monthly!$C$29:$AL$29)</f>
        <v>395917.69536</v>
      </c>
      <c r="D39" s="36" t="n">
        <f aca="false">SUMIF(Monthly!$C$5:$AL$5,D$27,Monthly!$C$29:$AL$29)</f>
        <v>420029.083007424</v>
      </c>
      <c r="E39" s="99"/>
    </row>
    <row r="40" customFormat="false" ht="15" hidden="false" customHeight="false" outlineLevel="0" collapsed="false">
      <c r="A40" s="6" t="s">
        <v>238</v>
      </c>
      <c r="B40" s="36" t="n">
        <f aca="false">SUMIF(Monthly!$C$5:$AL$5,B$27,Monthly!$C$30:$AL$30)</f>
        <v>28953.6</v>
      </c>
      <c r="C40" s="36" t="n">
        <f aca="false">SUMIF(Monthly!$C$5:$AL$5,C$27,Monthly!$C$30:$AL$30)</f>
        <v>42368.1024</v>
      </c>
      <c r="D40" s="36" t="n">
        <f aca="false">SUMIF(Monthly!$C$5:$AL$5,D$27,Monthly!$C$30:$AL$30)</f>
        <v>44948.31983616</v>
      </c>
      <c r="E40" s="99"/>
    </row>
    <row r="41" customFormat="false" ht="15" hidden="false" customHeight="false" outlineLevel="0" collapsed="false">
      <c r="A41" s="39" t="s">
        <v>239</v>
      </c>
      <c r="B41" s="96" t="n">
        <f aca="false">IF(B37=0,0,B39/B37)</f>
        <v>0.477123444702926</v>
      </c>
      <c r="C41" s="96" t="n">
        <f aca="false">IF(C37=0,0,C39/C37)</f>
        <v>0.473876685276836</v>
      </c>
      <c r="D41" s="96" t="n">
        <f aca="false">IF(D37=0,0,D39/D37)</f>
        <v>0.473876685276837</v>
      </c>
      <c r="E41" s="97"/>
    </row>
    <row r="42" customFormat="false" ht="15" hidden="false" customHeight="false" outlineLevel="0" collapsed="false">
      <c r="A42" s="6" t="s">
        <v>240</v>
      </c>
      <c r="B42" s="100" t="n">
        <f aca="false">IF(B30=0,0,(B38+B40)/B30)</f>
        <v>83</v>
      </c>
      <c r="C42" s="100" t="n">
        <f aca="false">IF(C30=0,0,(C38+C40)/C30)</f>
        <v>85.49</v>
      </c>
      <c r="D42" s="100" t="n">
        <f aca="false">IF(D30=0,0,(D38+D40)/D30)</f>
        <v>88.0547</v>
      </c>
      <c r="E42" s="101"/>
    </row>
    <row r="43" customFormat="false" ht="15" hidden="false" customHeight="false" outlineLevel="0" collapsed="false">
      <c r="A43" s="6" t="s">
        <v>241</v>
      </c>
      <c r="B43" s="100" t="n">
        <f aca="false">IF(B35=0,0,B39/B35)</f>
        <v>25.04645</v>
      </c>
      <c r="C43" s="100" t="n">
        <f aca="false">IF(C35=0,0,C39/C35)</f>
        <v>36.17669</v>
      </c>
      <c r="D43" s="100" t="n">
        <f aca="false">IF(D35=0,0,D39/D35)</f>
        <v>38.379850421</v>
      </c>
      <c r="E43" s="101"/>
    </row>
    <row r="44" customFormat="false" ht="15" hidden="false" customHeight="false" outlineLevel="0" collapsed="false">
      <c r="A44" s="6" t="s">
        <v>242</v>
      </c>
      <c r="B44" s="36" t="n">
        <f aca="false">IF(B29=0,0,B37/B29)</f>
        <v>143625.4872</v>
      </c>
      <c r="C44" s="36" t="n">
        <f aca="false">IF(C29=0,0,C37/C29)</f>
        <v>208871.68944</v>
      </c>
      <c r="D44" s="36" t="n">
        <f aca="false">IF(D29=0,0,D37/D29)</f>
        <v>221591.975326896</v>
      </c>
      <c r="E44" s="99"/>
    </row>
    <row r="45" customFormat="false" ht="15" hidden="false" customHeight="false" outlineLevel="0" collapsed="false">
      <c r="A45" s="6" t="s">
        <v>45</v>
      </c>
      <c r="B45" s="36" t="n">
        <f aca="false">SUMIF(Monthly!$C$5:$AL$5,B$27,Monthly!$C$40:$AL$40)</f>
        <v>369936.65984</v>
      </c>
      <c r="C45" s="36" t="n">
        <f aca="false">SUMIF(Monthly!$C$5:$AL$5,C$27,Monthly!$C$40:$AL$40)</f>
        <v>556642.481408</v>
      </c>
      <c r="D45" s="36" t="n">
        <f aca="false">SUMIF(Monthly!$C$5:$AL$5,D$27,Monthly!$C$40:$AL$40)</f>
        <v>592006.050525747</v>
      </c>
      <c r="E45" s="99"/>
    </row>
    <row r="46" customFormat="false" ht="15" hidden="false" customHeight="false" outlineLevel="0" collapsed="false">
      <c r="A46" s="39" t="s">
        <v>46</v>
      </c>
      <c r="B46" s="96" t="n">
        <f aca="false">IF(B37=0,0,B45/B37)</f>
        <v>0.643925857192845</v>
      </c>
      <c r="C46" s="96" t="n">
        <f aca="false">IF(C37=0,0,C45/C37)</f>
        <v>0.666249316626392</v>
      </c>
      <c r="D46" s="96" t="n">
        <f aca="false">IF(D37=0,0,D45/D37)</f>
        <v>0.66790104837101</v>
      </c>
      <c r="E46" s="97"/>
    </row>
    <row r="47" customFormat="false" ht="15" hidden="false" customHeight="false" outlineLevel="0" collapsed="false">
      <c r="A47" s="6" t="s">
        <v>48</v>
      </c>
      <c r="B47" s="36" t="n">
        <f aca="false">SUMIF(Monthly!$C$5:$AL$5,B$27,Monthly!$C$50:$AL$50)</f>
        <v>-64148.398624</v>
      </c>
      <c r="C47" s="36" t="n">
        <f aca="false">SUMIF(Monthly!$C$5:$AL$5,C$27,Monthly!$C$50:$AL$50)</f>
        <v>111882.3786752</v>
      </c>
      <c r="D47" s="36" t="n">
        <f aca="false">SUMIF(Monthly!$C$5:$AL$5,D$27,Monthly!$C$50:$AL$50)</f>
        <v>140856.64848652</v>
      </c>
      <c r="E47" s="99"/>
    </row>
    <row r="48" customFormat="false" ht="15" hidden="false" customHeight="false" outlineLevel="0" collapsed="false">
      <c r="A48" s="39" t="s">
        <v>49</v>
      </c>
      <c r="B48" s="96" t="n">
        <f aca="false">IF(B37=0,0,B47/B37)</f>
        <v>-0.111659148864492</v>
      </c>
      <c r="C48" s="96" t="n">
        <f aca="false">IF(C37=0,0,C47/C37)</f>
        <v>0.133912809073318</v>
      </c>
      <c r="D48" s="96" t="n">
        <f aca="false">IF(D37=0,0,D47/D37)</f>
        <v>0.158914428510696</v>
      </c>
      <c r="E48" s="97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243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244</v>
      </c>
    </row>
    <row r="5" customFormat="false" ht="15" hidden="false" customHeight="false" outlineLevel="0" collapsed="false">
      <c r="A5" s="33" t="s">
        <v>104</v>
      </c>
      <c r="B5" s="35" t="s">
        <v>105</v>
      </c>
      <c r="C5" s="35" t="s">
        <v>106</v>
      </c>
      <c r="D5" s="35" t="s">
        <v>107</v>
      </c>
      <c r="E5" s="35" t="s">
        <v>108</v>
      </c>
      <c r="F5" s="33" t="s">
        <v>245</v>
      </c>
      <c r="G5" s="33" t="s">
        <v>246</v>
      </c>
    </row>
    <row r="6" customFormat="false" ht="15.75" hidden="false" customHeight="true" outlineLevel="0" collapsed="false">
      <c r="A6" s="7" t="s">
        <v>247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248</v>
      </c>
      <c r="B7" s="102" t="n">
        <v>13</v>
      </c>
      <c r="C7" s="102" t="n">
        <v>16</v>
      </c>
      <c r="D7" s="102" t="n">
        <v>19</v>
      </c>
      <c r="E7" s="103" t="n">
        <f aca="false">CHOOSE(Dashboard!$B$4,B7,C7,D7)</f>
        <v>16</v>
      </c>
      <c r="F7" s="39" t="s">
        <v>249</v>
      </c>
      <c r="G7" s="104" t="s">
        <v>250</v>
      </c>
    </row>
    <row r="8" customFormat="false" ht="15" hidden="false" customHeight="false" outlineLevel="0" collapsed="false">
      <c r="A8" s="6" t="s">
        <v>251</v>
      </c>
      <c r="B8" s="105" t="n">
        <v>0</v>
      </c>
      <c r="C8" s="105" t="n">
        <v>0.03</v>
      </c>
      <c r="D8" s="105" t="n">
        <v>0.06</v>
      </c>
      <c r="E8" s="106" t="n">
        <f aca="false">CHOOSE(Dashboard!$B$4,B8,C8,D8)</f>
        <v>0.03</v>
      </c>
      <c r="F8" s="39" t="s">
        <v>252</v>
      </c>
      <c r="G8" s="104" t="s">
        <v>250</v>
      </c>
    </row>
    <row r="9" customFormat="false" ht="15" hidden="false" customHeight="false" outlineLevel="0" collapsed="false">
      <c r="A9" s="6" t="s">
        <v>253</v>
      </c>
      <c r="B9" s="102" t="n">
        <v>26</v>
      </c>
      <c r="C9" s="102" t="n">
        <v>26</v>
      </c>
      <c r="D9" s="102" t="n">
        <v>26</v>
      </c>
      <c r="E9" s="103" t="n">
        <f aca="false">CHOOSE(Dashboard!$B$4,B9,C9,D9)</f>
        <v>26</v>
      </c>
      <c r="F9" s="39" t="s">
        <v>254</v>
      </c>
      <c r="G9" s="104"/>
    </row>
    <row r="10" customFormat="false" ht="15" hidden="false" customHeight="false" outlineLevel="0" collapsed="false">
      <c r="A10" s="6" t="s">
        <v>255</v>
      </c>
      <c r="B10" s="107" t="n">
        <v>14</v>
      </c>
      <c r="C10" s="107" t="n">
        <v>10</v>
      </c>
      <c r="D10" s="107" t="n">
        <v>8</v>
      </c>
      <c r="E10" s="108" t="n">
        <f aca="false">CHOOSE(Dashboard!$B$4,B10,C10,D10)</f>
        <v>10</v>
      </c>
      <c r="F10" s="39" t="s">
        <v>256</v>
      </c>
      <c r="G10" s="104" t="s">
        <v>257</v>
      </c>
    </row>
    <row r="11" customFormat="false" ht="15" hidden="false" customHeight="false" outlineLevel="0" collapsed="false">
      <c r="A11" s="6" t="s">
        <v>258</v>
      </c>
      <c r="B11" s="105" t="n">
        <v>0.3</v>
      </c>
      <c r="C11" s="105" t="n">
        <v>0.4</v>
      </c>
      <c r="D11" s="105" t="n">
        <v>0.5</v>
      </c>
      <c r="E11" s="106" t="n">
        <f aca="false">CHOOSE(Dashboard!$B$4,B11,C11,D11)</f>
        <v>0.4</v>
      </c>
      <c r="F11" s="39" t="s">
        <v>252</v>
      </c>
      <c r="G11" s="104" t="s">
        <v>250</v>
      </c>
    </row>
    <row r="13" customFormat="false" ht="15.75" hidden="false" customHeight="true" outlineLevel="0" collapsed="false">
      <c r="A13" s="7" t="s">
        <v>259</v>
      </c>
      <c r="B13" s="7"/>
      <c r="C13" s="7"/>
      <c r="D13" s="7"/>
      <c r="E13" s="7"/>
      <c r="F13" s="7"/>
      <c r="G13" s="7"/>
    </row>
    <row r="14" customFormat="false" ht="15" hidden="false" customHeight="false" outlineLevel="0" collapsed="false">
      <c r="A14" s="6" t="s">
        <v>260</v>
      </c>
      <c r="B14" s="107" t="n">
        <v>4</v>
      </c>
      <c r="C14" s="107" t="n">
        <v>4</v>
      </c>
      <c r="D14" s="107" t="n">
        <v>4</v>
      </c>
      <c r="E14" s="108" t="n">
        <f aca="false">CHOOSE(Dashboard!$B$4,B14,C14,D14)</f>
        <v>4</v>
      </c>
      <c r="F14" s="39" t="s">
        <v>261</v>
      </c>
      <c r="G14" s="104"/>
    </row>
    <row r="15" customFormat="false" ht="15" hidden="false" customHeight="false" outlineLevel="0" collapsed="false">
      <c r="A15" s="6" t="s">
        <v>262</v>
      </c>
      <c r="B15" s="102" t="n">
        <v>6</v>
      </c>
      <c r="C15" s="102" t="n">
        <v>6</v>
      </c>
      <c r="D15" s="102" t="n">
        <v>6</v>
      </c>
      <c r="E15" s="103" t="n">
        <f aca="false">CHOOSE(Dashboard!$B$4,B15,C15,D15)</f>
        <v>6</v>
      </c>
      <c r="F15" s="39" t="s">
        <v>249</v>
      </c>
      <c r="G15" s="104" t="s">
        <v>250</v>
      </c>
    </row>
    <row r="16" customFormat="false" ht="15" hidden="false" customHeight="false" outlineLevel="0" collapsed="false">
      <c r="A16" s="6" t="s">
        <v>263</v>
      </c>
      <c r="B16" s="102" t="n">
        <v>5</v>
      </c>
      <c r="C16" s="102" t="n">
        <v>5.5</v>
      </c>
      <c r="D16" s="102" t="n">
        <v>6</v>
      </c>
      <c r="E16" s="103" t="n">
        <f aca="false">CHOOSE(Dashboard!$B$4,B16,C16,D16)</f>
        <v>5.5</v>
      </c>
      <c r="F16" s="39" t="s">
        <v>249</v>
      </c>
      <c r="G16" s="104" t="s">
        <v>250</v>
      </c>
    </row>
    <row r="18" customFormat="false" ht="15.75" hidden="false" customHeight="true" outlineLevel="0" collapsed="false">
      <c r="A18" s="7" t="s">
        <v>264</v>
      </c>
      <c r="B18" s="7"/>
      <c r="C18" s="7"/>
      <c r="D18" s="7"/>
      <c r="E18" s="7"/>
      <c r="F18" s="7"/>
      <c r="G18" s="7"/>
    </row>
    <row r="19" customFormat="false" ht="15" hidden="false" customHeight="false" outlineLevel="0" collapsed="false">
      <c r="A19" s="6" t="s">
        <v>265</v>
      </c>
      <c r="B19" s="109" t="n">
        <v>68</v>
      </c>
      <c r="C19" s="109" t="n">
        <v>75</v>
      </c>
      <c r="D19" s="109" t="n">
        <v>82</v>
      </c>
      <c r="E19" s="110" t="n">
        <f aca="false">CHOOSE(Dashboard!$B$4,B19,C19,D19)</f>
        <v>75</v>
      </c>
      <c r="F19" s="39" t="s">
        <v>266</v>
      </c>
      <c r="G19" s="104" t="s">
        <v>250</v>
      </c>
    </row>
    <row r="20" customFormat="false" ht="15" hidden="false" customHeight="false" outlineLevel="0" collapsed="false">
      <c r="A20" s="6" t="s">
        <v>267</v>
      </c>
      <c r="B20" s="105" t="n">
        <v>0.01</v>
      </c>
      <c r="C20" s="105" t="n">
        <v>0.03</v>
      </c>
      <c r="D20" s="105" t="n">
        <v>0.04</v>
      </c>
      <c r="E20" s="106" t="n">
        <f aca="false">CHOOSE(Dashboard!$B$4,B20,C20,D20)</f>
        <v>0.03</v>
      </c>
      <c r="F20" s="39" t="s">
        <v>252</v>
      </c>
      <c r="G20" s="104" t="s">
        <v>250</v>
      </c>
    </row>
    <row r="21" customFormat="false" ht="15" hidden="false" customHeight="false" outlineLevel="0" collapsed="false">
      <c r="A21" s="6" t="s">
        <v>268</v>
      </c>
      <c r="B21" s="109" t="n">
        <v>6</v>
      </c>
      <c r="C21" s="109" t="n">
        <v>8</v>
      </c>
      <c r="D21" s="109" t="n">
        <v>10</v>
      </c>
      <c r="E21" s="110" t="n">
        <f aca="false">CHOOSE(Dashboard!$B$4,B21,C21,D21)</f>
        <v>8</v>
      </c>
      <c r="F21" s="39" t="s">
        <v>266</v>
      </c>
      <c r="G21" s="104" t="s">
        <v>250</v>
      </c>
    </row>
    <row r="22" customFormat="false" ht="15" hidden="false" customHeight="false" outlineLevel="0" collapsed="false">
      <c r="A22" s="6" t="s">
        <v>269</v>
      </c>
      <c r="B22" s="105" t="n">
        <v>0.36</v>
      </c>
      <c r="C22" s="105" t="n">
        <v>0.4</v>
      </c>
      <c r="D22" s="105" t="n">
        <v>0.44</v>
      </c>
      <c r="E22" s="106" t="n">
        <f aca="false">CHOOSE(Dashboard!$B$4,B22,C22,D22)</f>
        <v>0.4</v>
      </c>
      <c r="F22" s="39" t="s">
        <v>252</v>
      </c>
      <c r="G22" s="104" t="s">
        <v>250</v>
      </c>
    </row>
    <row r="24" customFormat="false" ht="15.75" hidden="false" customHeight="true" outlineLevel="0" collapsed="false">
      <c r="A24" s="7" t="s">
        <v>270</v>
      </c>
      <c r="B24" s="7"/>
      <c r="C24" s="7"/>
      <c r="D24" s="7"/>
      <c r="E24" s="7"/>
      <c r="F24" s="7"/>
      <c r="G24" s="7"/>
    </row>
    <row r="25" customFormat="false" ht="15" hidden="false" customHeight="false" outlineLevel="0" collapsed="false">
      <c r="A25" s="6" t="s">
        <v>271</v>
      </c>
      <c r="B25" s="107" t="n">
        <v>30</v>
      </c>
      <c r="C25" s="107" t="n">
        <v>30</v>
      </c>
      <c r="D25" s="107" t="n">
        <v>30</v>
      </c>
      <c r="E25" s="108" t="n">
        <f aca="false">CHOOSE(Dashboard!$B$4,B25,C25,D25)</f>
        <v>30</v>
      </c>
      <c r="F25" s="39" t="s">
        <v>272</v>
      </c>
      <c r="G25" s="104"/>
    </row>
    <row r="26" customFormat="false" ht="15" hidden="false" customHeight="false" outlineLevel="0" collapsed="false">
      <c r="A26" s="6" t="s">
        <v>273</v>
      </c>
      <c r="B26" s="105" t="n">
        <v>0.5</v>
      </c>
      <c r="C26" s="105" t="n">
        <v>0.62</v>
      </c>
      <c r="D26" s="105" t="n">
        <v>0.72</v>
      </c>
      <c r="E26" s="106" t="n">
        <f aca="false">CHOOSE(Dashboard!$B$4,B26,C26,D26)</f>
        <v>0.62</v>
      </c>
      <c r="F26" s="39" t="s">
        <v>252</v>
      </c>
      <c r="G26" s="104" t="s">
        <v>250</v>
      </c>
    </row>
    <row r="27" customFormat="false" ht="15" hidden="false" customHeight="false" outlineLevel="0" collapsed="false">
      <c r="A27" s="6" t="s">
        <v>274</v>
      </c>
      <c r="B27" s="105" t="n">
        <v>0</v>
      </c>
      <c r="C27" s="105" t="n">
        <v>0.03</v>
      </c>
      <c r="D27" s="105" t="n">
        <v>0.05</v>
      </c>
      <c r="E27" s="106" t="n">
        <f aca="false">CHOOSE(Dashboard!$B$4,B27,C27,D27)</f>
        <v>0.03</v>
      </c>
      <c r="F27" s="39" t="s">
        <v>252</v>
      </c>
      <c r="G27" s="104" t="s">
        <v>250</v>
      </c>
    </row>
    <row r="28" customFormat="false" ht="15" hidden="false" customHeight="false" outlineLevel="0" collapsed="false">
      <c r="A28" s="6" t="s">
        <v>275</v>
      </c>
      <c r="B28" s="105" t="n">
        <v>0.15</v>
      </c>
      <c r="C28" s="105" t="n">
        <v>0.2</v>
      </c>
      <c r="D28" s="105" t="n">
        <v>0.25</v>
      </c>
      <c r="E28" s="106" t="n">
        <f aca="false">CHOOSE(Dashboard!$B$4,B28,C28,D28)</f>
        <v>0.2</v>
      </c>
      <c r="F28" s="39" t="s">
        <v>252</v>
      </c>
      <c r="G28" s="104"/>
    </row>
    <row r="29" customFormat="false" ht="15" hidden="false" customHeight="false" outlineLevel="0" collapsed="false">
      <c r="A29" s="6" t="s">
        <v>276</v>
      </c>
      <c r="B29" s="102" t="n">
        <v>30.4</v>
      </c>
      <c r="C29" s="102" t="n">
        <v>30.4</v>
      </c>
      <c r="D29" s="102" t="n">
        <v>30.4</v>
      </c>
      <c r="E29" s="103" t="n">
        <f aca="false">CHOOSE(Dashboard!$B$4,B29,C29,D29)</f>
        <v>30.4</v>
      </c>
      <c r="F29" s="39" t="s">
        <v>277</v>
      </c>
      <c r="G29" s="104"/>
    </row>
    <row r="30" customFormat="false" ht="15" hidden="false" customHeight="false" outlineLevel="0" collapsed="false">
      <c r="A30" s="6" t="s">
        <v>278</v>
      </c>
      <c r="B30" s="109" t="n">
        <v>50</v>
      </c>
      <c r="C30" s="109" t="n">
        <v>55</v>
      </c>
      <c r="D30" s="109" t="n">
        <v>60</v>
      </c>
      <c r="E30" s="110" t="n">
        <f aca="false">CHOOSE(Dashboard!$B$4,B30,C30,D30)</f>
        <v>55</v>
      </c>
      <c r="F30" s="39" t="s">
        <v>266</v>
      </c>
      <c r="G30" s="104" t="s">
        <v>250</v>
      </c>
    </row>
    <row r="32" customFormat="false" ht="15.75" hidden="false" customHeight="true" outlineLevel="0" collapsed="false">
      <c r="A32" s="7" t="s">
        <v>76</v>
      </c>
      <c r="B32" s="7"/>
      <c r="C32" s="7"/>
      <c r="D32" s="7"/>
      <c r="E32" s="7"/>
      <c r="F32" s="7"/>
      <c r="G32" s="7"/>
    </row>
    <row r="33" customFormat="false" ht="15" hidden="false" customHeight="false" outlineLevel="0" collapsed="false">
      <c r="A33" s="6" t="s">
        <v>279</v>
      </c>
      <c r="B33" s="105" t="n">
        <v>0.37</v>
      </c>
      <c r="C33" s="105" t="n">
        <v>0.35</v>
      </c>
      <c r="D33" s="105" t="n">
        <v>0.33</v>
      </c>
      <c r="E33" s="106" t="n">
        <f aca="false">CHOOSE(Dashboard!$B$4,B33,C33,D33)</f>
        <v>0.35</v>
      </c>
      <c r="F33" s="39" t="s">
        <v>252</v>
      </c>
      <c r="G33" s="104" t="s">
        <v>257</v>
      </c>
    </row>
    <row r="34" customFormat="false" ht="15" hidden="false" customHeight="false" outlineLevel="0" collapsed="false">
      <c r="A34" s="6" t="s">
        <v>280</v>
      </c>
      <c r="B34" s="109" t="n">
        <v>5</v>
      </c>
      <c r="C34" s="109" t="n">
        <v>4.5</v>
      </c>
      <c r="D34" s="109" t="n">
        <v>4</v>
      </c>
      <c r="E34" s="110" t="n">
        <f aca="false">CHOOSE(Dashboard!$B$4,B34,C34,D34)</f>
        <v>4.5</v>
      </c>
      <c r="F34" s="39" t="s">
        <v>266</v>
      </c>
      <c r="G34" s="104" t="s">
        <v>257</v>
      </c>
    </row>
    <row r="35" customFormat="false" ht="15" hidden="false" customHeight="false" outlineLevel="0" collapsed="false">
      <c r="A35" s="6" t="s">
        <v>281</v>
      </c>
      <c r="B35" s="109" t="n">
        <v>7</v>
      </c>
      <c r="C35" s="109" t="n">
        <v>6</v>
      </c>
      <c r="D35" s="109" t="n">
        <v>5.5</v>
      </c>
      <c r="E35" s="110" t="n">
        <f aca="false">CHOOSE(Dashboard!$B$4,B35,C35,D35)</f>
        <v>6</v>
      </c>
      <c r="F35" s="39" t="s">
        <v>266</v>
      </c>
      <c r="G35" s="104" t="s">
        <v>257</v>
      </c>
    </row>
    <row r="37" customFormat="false" ht="15.75" hidden="false" customHeight="true" outlineLevel="0" collapsed="false">
      <c r="A37" s="7" t="s">
        <v>282</v>
      </c>
      <c r="B37" s="7"/>
      <c r="C37" s="7"/>
      <c r="D37" s="7"/>
      <c r="E37" s="7"/>
      <c r="F37" s="7"/>
      <c r="G37" s="7"/>
    </row>
    <row r="38" customFormat="false" ht="15" hidden="false" customHeight="false" outlineLevel="0" collapsed="false">
      <c r="A38" s="6" t="s">
        <v>283</v>
      </c>
      <c r="B38" s="111" t="n">
        <v>9000</v>
      </c>
      <c r="C38" s="111" t="n">
        <v>9000</v>
      </c>
      <c r="D38" s="111" t="n">
        <v>9000</v>
      </c>
      <c r="E38" s="112" t="n">
        <f aca="false">CHOOSE(Dashboard!$B$4,B38,C38,D38)</f>
        <v>9000</v>
      </c>
      <c r="F38" s="39" t="s">
        <v>266</v>
      </c>
      <c r="G38" s="104"/>
    </row>
    <row r="39" customFormat="false" ht="15" hidden="false" customHeight="false" outlineLevel="0" collapsed="false">
      <c r="A39" s="6" t="s">
        <v>284</v>
      </c>
      <c r="B39" s="105" t="n">
        <v>0.03</v>
      </c>
      <c r="C39" s="105" t="n">
        <v>0.03</v>
      </c>
      <c r="D39" s="105" t="n">
        <v>0.03</v>
      </c>
      <c r="E39" s="106" t="n">
        <f aca="false">CHOOSE(Dashboard!$B$4,B39,C39,D39)</f>
        <v>0.03</v>
      </c>
      <c r="F39" s="39" t="s">
        <v>252</v>
      </c>
      <c r="G39" s="104"/>
    </row>
    <row r="40" customFormat="false" ht="15" hidden="false" customHeight="false" outlineLevel="0" collapsed="false">
      <c r="A40" s="6" t="s">
        <v>285</v>
      </c>
      <c r="B40" s="111" t="n">
        <v>2500</v>
      </c>
      <c r="C40" s="111" t="n">
        <v>2500</v>
      </c>
      <c r="D40" s="111" t="n">
        <v>2500</v>
      </c>
      <c r="E40" s="112" t="n">
        <f aca="false">CHOOSE(Dashboard!$B$4,B40,C40,D40)</f>
        <v>2500</v>
      </c>
      <c r="F40" s="39" t="s">
        <v>266</v>
      </c>
      <c r="G40" s="104"/>
    </row>
    <row r="41" customFormat="false" ht="15" hidden="false" customHeight="false" outlineLevel="0" collapsed="false">
      <c r="A41" s="6" t="s">
        <v>286</v>
      </c>
      <c r="B41" s="111" t="n">
        <v>4500</v>
      </c>
      <c r="C41" s="111" t="n">
        <v>4500</v>
      </c>
      <c r="D41" s="111" t="n">
        <v>4500</v>
      </c>
      <c r="E41" s="112" t="n">
        <f aca="false">CHOOSE(Dashboard!$B$4,B41,C41,D41)</f>
        <v>4500</v>
      </c>
      <c r="F41" s="39" t="s">
        <v>266</v>
      </c>
      <c r="G41" s="104"/>
    </row>
    <row r="42" customFormat="false" ht="15" hidden="false" customHeight="false" outlineLevel="0" collapsed="false">
      <c r="A42" s="6" t="s">
        <v>287</v>
      </c>
      <c r="B42" s="111" t="n">
        <v>3500</v>
      </c>
      <c r="C42" s="111" t="n">
        <v>3500</v>
      </c>
      <c r="D42" s="111" t="n">
        <v>3500</v>
      </c>
      <c r="E42" s="112" t="n">
        <f aca="false">CHOOSE(Dashboard!$B$4,B42,C42,D42)</f>
        <v>3500</v>
      </c>
      <c r="F42" s="39" t="s">
        <v>266</v>
      </c>
      <c r="G42" s="104"/>
    </row>
    <row r="43" customFormat="false" ht="15" hidden="false" customHeight="false" outlineLevel="0" collapsed="false">
      <c r="A43" s="6" t="s">
        <v>288</v>
      </c>
      <c r="B43" s="105" t="n">
        <v>-0.3</v>
      </c>
      <c r="C43" s="105" t="n">
        <v>-0.2</v>
      </c>
      <c r="D43" s="105" t="n">
        <v>-0.1</v>
      </c>
      <c r="E43" s="106" t="n">
        <f aca="false">CHOOSE(Dashboard!$B$4,B43,C43,D43)</f>
        <v>-0.2</v>
      </c>
      <c r="F43" s="39" t="s">
        <v>252</v>
      </c>
      <c r="G43" s="104" t="s">
        <v>250</v>
      </c>
    </row>
    <row r="44" customFormat="false" ht="15" hidden="false" customHeight="false" outlineLevel="0" collapsed="false">
      <c r="A44" s="6" t="s">
        <v>289</v>
      </c>
      <c r="B44" s="105" t="n">
        <v>0.032</v>
      </c>
      <c r="C44" s="105" t="n">
        <v>0.03</v>
      </c>
      <c r="D44" s="105" t="n">
        <v>0.028</v>
      </c>
      <c r="E44" s="106" t="n">
        <f aca="false">CHOOSE(Dashboard!$B$4,B44,C44,D44)</f>
        <v>0.03</v>
      </c>
      <c r="F44" s="39" t="s">
        <v>252</v>
      </c>
      <c r="G44" s="104" t="s">
        <v>257</v>
      </c>
    </row>
    <row r="45" customFormat="false" ht="15" hidden="false" customHeight="false" outlineLevel="0" collapsed="false">
      <c r="A45" s="6" t="s">
        <v>290</v>
      </c>
      <c r="B45" s="105" t="n">
        <v>0.04</v>
      </c>
      <c r="C45" s="105" t="n">
        <v>0.03</v>
      </c>
      <c r="D45" s="105" t="n">
        <v>0.025</v>
      </c>
      <c r="E45" s="106" t="n">
        <f aca="false">CHOOSE(Dashboard!$B$4,B45,C45,D45)</f>
        <v>0.03</v>
      </c>
      <c r="F45" s="39" t="s">
        <v>252</v>
      </c>
      <c r="G45" s="104" t="s">
        <v>257</v>
      </c>
    </row>
    <row r="47" customFormat="false" ht="15.75" hidden="false" customHeight="true" outlineLevel="0" collapsed="false">
      <c r="A47" s="7" t="s">
        <v>84</v>
      </c>
      <c r="B47" s="7"/>
      <c r="C47" s="7"/>
      <c r="D47" s="7"/>
      <c r="E47" s="7"/>
      <c r="F47" s="7"/>
      <c r="G47" s="7"/>
    </row>
    <row r="48" customFormat="false" ht="15" hidden="false" customHeight="false" outlineLevel="0" collapsed="false">
      <c r="A48" s="6" t="s">
        <v>291</v>
      </c>
      <c r="B48" s="111" t="n">
        <v>6000</v>
      </c>
      <c r="C48" s="111" t="n">
        <v>6000</v>
      </c>
      <c r="D48" s="111" t="n">
        <v>6000</v>
      </c>
      <c r="E48" s="112" t="n">
        <f aca="false">CHOOSE(Dashboard!$B$4,B48,C48,D48)</f>
        <v>6000</v>
      </c>
      <c r="F48" s="39" t="s">
        <v>266</v>
      </c>
      <c r="G48" s="104"/>
    </row>
    <row r="49" customFormat="false" ht="15" hidden="false" customHeight="false" outlineLevel="0" collapsed="false">
      <c r="A49" s="6" t="s">
        <v>292</v>
      </c>
      <c r="B49" s="111" t="n">
        <v>2500</v>
      </c>
      <c r="C49" s="111" t="n">
        <v>2500</v>
      </c>
      <c r="D49" s="111" t="n">
        <v>2500</v>
      </c>
      <c r="E49" s="112" t="n">
        <f aca="false">CHOOSE(Dashboard!$B$4,B49,C49,D49)</f>
        <v>2500</v>
      </c>
      <c r="F49" s="39" t="s">
        <v>266</v>
      </c>
      <c r="G49" s="104"/>
    </row>
    <row r="50" customFormat="false" ht="15" hidden="false" customHeight="false" outlineLevel="0" collapsed="false">
      <c r="A50" s="6" t="s">
        <v>293</v>
      </c>
      <c r="B50" s="111" t="n">
        <v>90000</v>
      </c>
      <c r="C50" s="111" t="n">
        <v>90000</v>
      </c>
      <c r="D50" s="111" t="n">
        <v>90000</v>
      </c>
      <c r="E50" s="112" t="n">
        <f aca="false">CHOOSE(Dashboard!$B$4,B50,C50,D50)</f>
        <v>90000</v>
      </c>
      <c r="F50" s="39" t="s">
        <v>266</v>
      </c>
      <c r="G50" s="104"/>
    </row>
    <row r="51" customFormat="false" ht="15" hidden="false" customHeight="false" outlineLevel="0" collapsed="false">
      <c r="A51" s="6" t="s">
        <v>294</v>
      </c>
      <c r="B51" s="111" t="n">
        <v>0</v>
      </c>
      <c r="C51" s="111" t="n">
        <v>0</v>
      </c>
      <c r="D51" s="111" t="n">
        <v>0</v>
      </c>
      <c r="E51" s="112" t="n">
        <f aca="false">CHOOSE(Dashboard!$B$4,B51,C51,D51)</f>
        <v>0</v>
      </c>
      <c r="F51" s="39" t="s">
        <v>266</v>
      </c>
      <c r="G51" s="104"/>
    </row>
    <row r="52" customFormat="false" ht="15" hidden="false" customHeight="false" outlineLevel="0" collapsed="false">
      <c r="A52" s="6" t="s">
        <v>295</v>
      </c>
      <c r="B52" s="111" t="n">
        <v>10000</v>
      </c>
      <c r="C52" s="111" t="n">
        <v>10000</v>
      </c>
      <c r="D52" s="111" t="n">
        <v>10000</v>
      </c>
      <c r="E52" s="112" t="n">
        <f aca="false">CHOOSE(Dashboard!$B$4,B52,C52,D52)</f>
        <v>10000</v>
      </c>
      <c r="F52" s="39" t="s">
        <v>266</v>
      </c>
      <c r="G52" s="104"/>
    </row>
    <row r="54" customFormat="false" ht="15.75" hidden="false" customHeight="true" outlineLevel="0" collapsed="false">
      <c r="A54" s="7" t="s">
        <v>296</v>
      </c>
      <c r="B54" s="7"/>
      <c r="C54" s="7"/>
      <c r="D54" s="7"/>
      <c r="E54" s="7"/>
      <c r="F54" s="7"/>
      <c r="G54" s="7"/>
    </row>
    <row r="55" customFormat="false" ht="15" hidden="false" customHeight="false" outlineLevel="0" collapsed="false">
      <c r="A55" s="6" t="s">
        <v>297</v>
      </c>
      <c r="B55" s="102" t="n">
        <v>4</v>
      </c>
      <c r="C55" s="102" t="n">
        <v>4</v>
      </c>
      <c r="D55" s="102" t="n">
        <v>4</v>
      </c>
      <c r="E55" s="103" t="n">
        <f aca="false">CHOOSE(Dashboard!$B$4,B55,C55,D55)</f>
        <v>4</v>
      </c>
      <c r="F55" s="39" t="s">
        <v>298</v>
      </c>
      <c r="G55" s="104" t="s">
        <v>250</v>
      </c>
    </row>
    <row r="56" customFormat="false" ht="15" hidden="false" customHeight="false" outlineLevel="0" collapsed="false">
      <c r="A56" s="6" t="s">
        <v>299</v>
      </c>
      <c r="B56" s="111" t="n">
        <v>10000</v>
      </c>
      <c r="C56" s="111" t="n">
        <v>10000</v>
      </c>
      <c r="D56" s="111" t="n">
        <v>10000</v>
      </c>
      <c r="E56" s="112" t="n">
        <f aca="false">CHOOSE(Dashboard!$B$4,B56,C56,D56)</f>
        <v>10000</v>
      </c>
      <c r="F56" s="39" t="s">
        <v>266</v>
      </c>
      <c r="G56" s="104"/>
    </row>
    <row r="57" customFormat="false" ht="15" hidden="false" customHeight="false" outlineLevel="0" collapsed="false">
      <c r="A57" s="6" t="s">
        <v>300</v>
      </c>
      <c r="B57" s="105" t="n">
        <v>0</v>
      </c>
      <c r="C57" s="105" t="n">
        <v>0</v>
      </c>
      <c r="D57" s="105" t="n">
        <v>0</v>
      </c>
      <c r="E57" s="106" t="n">
        <f aca="false">CHOOSE(Dashboard!$B$4,B57,C57,D57)</f>
        <v>0</v>
      </c>
      <c r="F57" s="39" t="s">
        <v>252</v>
      </c>
      <c r="G57" s="104" t="s">
        <v>250</v>
      </c>
    </row>
    <row r="58" customFormat="false" ht="15" hidden="false" customHeight="false" outlineLevel="0" collapsed="false">
      <c r="A58" s="6" t="s">
        <v>301</v>
      </c>
      <c r="B58" s="107" t="n">
        <v>1</v>
      </c>
      <c r="C58" s="107" t="n">
        <v>1</v>
      </c>
      <c r="D58" s="107" t="n">
        <v>1</v>
      </c>
      <c r="E58" s="108" t="n">
        <f aca="false">CHOOSE(Dashboard!$B$4,B58,C58,D58)</f>
        <v>1</v>
      </c>
      <c r="F58" s="39" t="s">
        <v>302</v>
      </c>
      <c r="G58" s="104"/>
    </row>
    <row r="59" customFormat="false" ht="15" hidden="false" customHeight="false" outlineLevel="0" collapsed="false">
      <c r="A59" s="6" t="s">
        <v>303</v>
      </c>
      <c r="B59" s="102" t="n">
        <v>3</v>
      </c>
      <c r="C59" s="102" t="n">
        <v>3</v>
      </c>
      <c r="D59" s="102" t="n">
        <v>3</v>
      </c>
      <c r="E59" s="103" t="n">
        <f aca="false">CHOOSE(Dashboard!$B$4,B59,C59,D59)</f>
        <v>3</v>
      </c>
      <c r="F59" s="39" t="s">
        <v>298</v>
      </c>
      <c r="G59" s="104" t="s">
        <v>250</v>
      </c>
    </row>
    <row r="60" customFormat="false" ht="15" hidden="false" customHeight="false" outlineLevel="0" collapsed="false">
      <c r="A60" s="6" t="s">
        <v>304</v>
      </c>
      <c r="B60" s="111" t="n">
        <v>33000</v>
      </c>
      <c r="C60" s="111" t="n">
        <v>33000</v>
      </c>
      <c r="D60" s="111" t="n">
        <v>33000</v>
      </c>
      <c r="E60" s="112" t="n">
        <f aca="false">CHOOSE(Dashboard!$B$4,B60,C60,D60)</f>
        <v>33000</v>
      </c>
      <c r="F60" s="39" t="s">
        <v>266</v>
      </c>
      <c r="G60" s="104"/>
    </row>
    <row r="61" customFormat="false" ht="15" hidden="false" customHeight="false" outlineLevel="0" collapsed="false">
      <c r="A61" s="6" t="s">
        <v>305</v>
      </c>
      <c r="B61" s="105" t="n">
        <v>0</v>
      </c>
      <c r="C61" s="105" t="n">
        <v>0</v>
      </c>
      <c r="D61" s="105" t="n">
        <v>0</v>
      </c>
      <c r="E61" s="106" t="n">
        <f aca="false">CHOOSE(Dashboard!$B$4,B61,C61,D61)</f>
        <v>0</v>
      </c>
      <c r="F61" s="39" t="s">
        <v>252</v>
      </c>
      <c r="G61" s="104" t="s">
        <v>250</v>
      </c>
    </row>
    <row r="62" customFormat="false" ht="15" hidden="false" customHeight="false" outlineLevel="0" collapsed="false">
      <c r="A62" s="6" t="s">
        <v>306</v>
      </c>
      <c r="B62" s="107" t="n">
        <v>1</v>
      </c>
      <c r="C62" s="107" t="n">
        <v>1</v>
      </c>
      <c r="D62" s="107" t="n">
        <v>1</v>
      </c>
      <c r="E62" s="108" t="n">
        <f aca="false">CHOOSE(Dashboard!$B$4,B62,C62,D62)</f>
        <v>1</v>
      </c>
      <c r="F62" s="39" t="s">
        <v>302</v>
      </c>
      <c r="G62" s="104"/>
    </row>
    <row r="63" customFormat="false" ht="15" hidden="false" customHeight="false" outlineLevel="0" collapsed="false">
      <c r="A63" s="6" t="s">
        <v>307</v>
      </c>
      <c r="B63" s="102" t="n">
        <v>1</v>
      </c>
      <c r="C63" s="102" t="n">
        <v>1</v>
      </c>
      <c r="D63" s="102" t="n">
        <v>1</v>
      </c>
      <c r="E63" s="103" t="n">
        <f aca="false">CHOOSE(Dashboard!$B$4,B63,C63,D63)</f>
        <v>1</v>
      </c>
      <c r="F63" s="39" t="s">
        <v>298</v>
      </c>
      <c r="G63" s="104" t="s">
        <v>250</v>
      </c>
    </row>
    <row r="64" customFormat="false" ht="15" hidden="false" customHeight="false" outlineLevel="0" collapsed="false">
      <c r="A64" s="6" t="s">
        <v>308</v>
      </c>
      <c r="B64" s="111" t="n">
        <v>60000</v>
      </c>
      <c r="C64" s="111" t="n">
        <v>60000</v>
      </c>
      <c r="D64" s="111" t="n">
        <v>60000</v>
      </c>
      <c r="E64" s="112" t="n">
        <f aca="false">CHOOSE(Dashboard!$B$4,B64,C64,D64)</f>
        <v>60000</v>
      </c>
      <c r="F64" s="39" t="s">
        <v>266</v>
      </c>
      <c r="G64" s="104"/>
    </row>
    <row r="65" customFormat="false" ht="15" hidden="false" customHeight="false" outlineLevel="0" collapsed="false">
      <c r="A65" s="6" t="s">
        <v>309</v>
      </c>
      <c r="B65" s="105" t="n">
        <v>0</v>
      </c>
      <c r="C65" s="105" t="n">
        <v>0</v>
      </c>
      <c r="D65" s="105" t="n">
        <v>0</v>
      </c>
      <c r="E65" s="106" t="n">
        <f aca="false">CHOOSE(Dashboard!$B$4,B65,C65,D65)</f>
        <v>0</v>
      </c>
      <c r="F65" s="39" t="s">
        <v>252</v>
      </c>
      <c r="G65" s="104" t="s">
        <v>250</v>
      </c>
    </row>
    <row r="66" customFormat="false" ht="15" hidden="false" customHeight="false" outlineLevel="0" collapsed="false">
      <c r="A66" s="6" t="s">
        <v>310</v>
      </c>
      <c r="B66" s="107" t="n">
        <v>1</v>
      </c>
      <c r="C66" s="107" t="n">
        <v>1</v>
      </c>
      <c r="D66" s="107" t="n">
        <v>1</v>
      </c>
      <c r="E66" s="108" t="n">
        <f aca="false">CHOOSE(Dashboard!$B$4,B66,C66,D66)</f>
        <v>1</v>
      </c>
      <c r="F66" s="39" t="s">
        <v>302</v>
      </c>
      <c r="G66" s="104"/>
    </row>
    <row r="67" customFormat="false" ht="15" hidden="false" customHeight="false" outlineLevel="0" collapsed="false">
      <c r="A67" s="6" t="s">
        <v>311</v>
      </c>
      <c r="B67" s="105" t="n">
        <v>0.15</v>
      </c>
      <c r="C67" s="105" t="n">
        <v>0.15</v>
      </c>
      <c r="D67" s="105" t="n">
        <v>0.15</v>
      </c>
      <c r="E67" s="106" t="n">
        <f aca="false">CHOOSE(Dashboard!$B$4,B67,C67,D67)</f>
        <v>0.15</v>
      </c>
      <c r="F67" s="39" t="s">
        <v>252</v>
      </c>
      <c r="G67" s="104"/>
    </row>
    <row r="68" customFormat="false" ht="15" hidden="false" customHeight="false" outlineLevel="0" collapsed="false">
      <c r="A68" s="6" t="s">
        <v>312</v>
      </c>
      <c r="B68" s="105" t="n">
        <v>0.04</v>
      </c>
      <c r="C68" s="105" t="n">
        <v>0.03</v>
      </c>
      <c r="D68" s="105" t="n">
        <v>0.03</v>
      </c>
      <c r="E68" s="106" t="n">
        <f aca="false">CHOOSE(Dashboard!$B$4,B68,C68,D68)</f>
        <v>0.03</v>
      </c>
      <c r="F68" s="39" t="s">
        <v>252</v>
      </c>
      <c r="G68" s="104"/>
    </row>
    <row r="70" customFormat="false" ht="15.75" hidden="false" customHeight="true" outlineLevel="0" collapsed="false">
      <c r="A70" s="7" t="s">
        <v>313</v>
      </c>
      <c r="B70" s="7"/>
      <c r="C70" s="7"/>
      <c r="D70" s="7"/>
      <c r="E70" s="7"/>
      <c r="F70" s="7"/>
      <c r="G70" s="7"/>
    </row>
    <row r="71" customFormat="false" ht="15" hidden="false" customHeight="false" outlineLevel="0" collapsed="false">
      <c r="A71" s="6" t="s">
        <v>314</v>
      </c>
      <c r="B71" s="111" t="n">
        <v>330000</v>
      </c>
      <c r="C71" s="111" t="n">
        <v>330000</v>
      </c>
      <c r="D71" s="111" t="n">
        <v>330000</v>
      </c>
      <c r="E71" s="112" t="n">
        <f aca="false">CHOOSE(Dashboard!$B$4,B71,C71,D71)</f>
        <v>330000</v>
      </c>
      <c r="F71" s="39" t="s">
        <v>266</v>
      </c>
      <c r="G71" s="104"/>
    </row>
    <row r="72" customFormat="false" ht="15" hidden="false" customHeight="false" outlineLevel="0" collapsed="false">
      <c r="A72" s="6" t="s">
        <v>315</v>
      </c>
      <c r="B72" s="111" t="n">
        <v>100000</v>
      </c>
      <c r="C72" s="111" t="n">
        <v>100000</v>
      </c>
      <c r="D72" s="111" t="n">
        <v>100000</v>
      </c>
      <c r="E72" s="112" t="n">
        <f aca="false">CHOOSE(Dashboard!$B$4,B72,C72,D72)</f>
        <v>100000</v>
      </c>
      <c r="F72" s="39" t="s">
        <v>266</v>
      </c>
      <c r="G72" s="104"/>
    </row>
    <row r="73" customFormat="false" ht="15" hidden="false" customHeight="false" outlineLevel="0" collapsed="false">
      <c r="A73" s="6" t="s">
        <v>316</v>
      </c>
      <c r="B73" s="105" t="n">
        <v>0.09</v>
      </c>
      <c r="C73" s="105" t="n">
        <v>0.09</v>
      </c>
      <c r="D73" s="105" t="n">
        <v>0.09</v>
      </c>
      <c r="E73" s="106" t="n">
        <f aca="false">CHOOSE(Dashboard!$B$4,B73,C73,D73)</f>
        <v>0.09</v>
      </c>
      <c r="F73" s="39" t="s">
        <v>252</v>
      </c>
      <c r="G73" s="104"/>
    </row>
    <row r="74" customFormat="false" ht="15" hidden="false" customHeight="false" outlineLevel="0" collapsed="false">
      <c r="A74" s="6" t="s">
        <v>317</v>
      </c>
      <c r="B74" s="107" t="n">
        <v>5</v>
      </c>
      <c r="C74" s="107" t="n">
        <v>5</v>
      </c>
      <c r="D74" s="107" t="n">
        <v>5</v>
      </c>
      <c r="E74" s="108" t="n">
        <f aca="false">CHOOSE(Dashboard!$B$4,B74,C74,D74)</f>
        <v>5</v>
      </c>
      <c r="F74" s="39" t="s">
        <v>318</v>
      </c>
      <c r="G74" s="104"/>
    </row>
    <row r="76" customFormat="false" ht="15.75" hidden="false" customHeight="true" outlineLevel="0" collapsed="false">
      <c r="A76" s="7" t="s">
        <v>319</v>
      </c>
      <c r="B76" s="7"/>
      <c r="C76" s="7"/>
      <c r="D76" s="7"/>
      <c r="E76" s="7"/>
      <c r="F76" s="7"/>
      <c r="G76" s="7"/>
    </row>
    <row r="77" customFormat="false" ht="15" hidden="false" customHeight="false" outlineLevel="0" collapsed="false">
      <c r="A77" s="6" t="s">
        <v>320</v>
      </c>
      <c r="B77" s="107" t="n">
        <v>2</v>
      </c>
      <c r="C77" s="107" t="n">
        <v>2</v>
      </c>
      <c r="D77" s="107" t="n">
        <v>2</v>
      </c>
      <c r="E77" s="108" t="n">
        <f aca="false">CHOOSE(Dashboard!$B$4,B77,C77,D77)</f>
        <v>2</v>
      </c>
      <c r="F77" s="39" t="s">
        <v>254</v>
      </c>
      <c r="G77" s="104"/>
    </row>
    <row r="78" customFormat="false" ht="15" hidden="false" customHeight="false" outlineLevel="0" collapsed="false">
      <c r="A78" s="6" t="s">
        <v>321</v>
      </c>
      <c r="B78" s="107" t="n">
        <v>6</v>
      </c>
      <c r="C78" s="107" t="n">
        <v>6</v>
      </c>
      <c r="D78" s="107" t="n">
        <v>6</v>
      </c>
      <c r="E78" s="108" t="n">
        <f aca="false">CHOOSE(Dashboard!$B$4,B78,C78,D78)</f>
        <v>6</v>
      </c>
      <c r="F78" s="39" t="s">
        <v>254</v>
      </c>
      <c r="G78" s="104"/>
    </row>
    <row r="79" customFormat="false" ht="15" hidden="false" customHeight="false" outlineLevel="0" collapsed="false">
      <c r="A79" s="6" t="s">
        <v>322</v>
      </c>
      <c r="B79" s="107" t="n">
        <v>25</v>
      </c>
      <c r="C79" s="107" t="n">
        <v>25</v>
      </c>
      <c r="D79" s="107" t="n">
        <v>25</v>
      </c>
      <c r="E79" s="108" t="n">
        <f aca="false">CHOOSE(Dashboard!$B$4,B79,C79,D79)</f>
        <v>25</v>
      </c>
      <c r="F79" s="39" t="s">
        <v>254</v>
      </c>
      <c r="G79" s="104"/>
    </row>
    <row r="81" customFormat="false" ht="15.75" hidden="false" customHeight="true" outlineLevel="0" collapsed="false">
      <c r="A81" s="7" t="s">
        <v>323</v>
      </c>
      <c r="B81" s="7"/>
      <c r="C81" s="7"/>
      <c r="D81" s="7"/>
      <c r="E81" s="7"/>
      <c r="F81" s="7"/>
      <c r="G81" s="7"/>
    </row>
    <row r="82" customFormat="false" ht="15" hidden="false" customHeight="false" outlineLevel="0" collapsed="false">
      <c r="A82" s="6" t="s">
        <v>324</v>
      </c>
      <c r="B82" s="107" t="n">
        <v>8</v>
      </c>
      <c r="C82" s="107" t="n">
        <v>8</v>
      </c>
      <c r="D82" s="107" t="n">
        <v>8</v>
      </c>
      <c r="E82" s="108" t="n">
        <f aca="false">CHOOSE(Dashboard!$B$4,B82,C82,D82)</f>
        <v>8</v>
      </c>
      <c r="F82" s="39" t="s">
        <v>318</v>
      </c>
      <c r="G82" s="104"/>
    </row>
    <row r="83" customFormat="false" ht="15" hidden="false" customHeight="false" outlineLevel="0" collapsed="false">
      <c r="A83" s="6" t="s">
        <v>325</v>
      </c>
      <c r="B83" s="105" t="n">
        <v>0.21</v>
      </c>
      <c r="C83" s="105" t="n">
        <v>0.21</v>
      </c>
      <c r="D83" s="105" t="n">
        <v>0.21</v>
      </c>
      <c r="E83" s="106" t="n">
        <f aca="false">CHOOSE(Dashboard!$B$4,B83,C83,D83)</f>
        <v>0.21</v>
      </c>
      <c r="F83" s="39" t="s">
        <v>252</v>
      </c>
      <c r="G83" s="104"/>
    </row>
    <row r="85" customFormat="false" ht="15.75" hidden="false" customHeight="true" outlineLevel="0" collapsed="false">
      <c r="A85" s="7" t="s">
        <v>326</v>
      </c>
      <c r="B85" s="7"/>
      <c r="C85" s="7"/>
      <c r="D85" s="7"/>
      <c r="E85" s="7"/>
      <c r="F85" s="7"/>
      <c r="G85" s="7"/>
    </row>
    <row r="86" customFormat="false" ht="15" hidden="false" customHeight="false" outlineLevel="0" collapsed="false">
      <c r="A86" s="6" t="s">
        <v>141</v>
      </c>
      <c r="B86" s="111" t="n">
        <v>109000</v>
      </c>
      <c r="C86" s="111" t="n">
        <v>109000</v>
      </c>
      <c r="D86" s="111" t="n">
        <v>109000</v>
      </c>
      <c r="E86" s="112" t="n">
        <f aca="false">CHOOSE(Dashboard!$B$4,B86,C86,D86)</f>
        <v>109000</v>
      </c>
      <c r="F86" s="39" t="s">
        <v>266</v>
      </c>
      <c r="G86" s="104" t="s">
        <v>327</v>
      </c>
    </row>
    <row r="88" customFormat="false" ht="15.75" hidden="false" customHeight="true" outlineLevel="0" collapsed="false">
      <c r="A88" s="7" t="s">
        <v>328</v>
      </c>
      <c r="B88" s="7"/>
      <c r="C88" s="7"/>
      <c r="D88" s="7"/>
      <c r="E88" s="7"/>
      <c r="F88" s="7"/>
      <c r="G88" s="7"/>
    </row>
    <row r="89" customFormat="false" ht="15" hidden="false" customHeight="false" outlineLevel="0" collapsed="false">
      <c r="A89" s="6" t="s">
        <v>166</v>
      </c>
      <c r="B89" s="105" t="n">
        <v>0.3</v>
      </c>
      <c r="C89" s="105" t="n">
        <v>0.25</v>
      </c>
      <c r="D89" s="105" t="n">
        <v>0.2</v>
      </c>
      <c r="E89" s="106" t="n">
        <f aca="false">CHOOSE(Dashboard!$B$4,B89,C89,D89)</f>
        <v>0.25</v>
      </c>
      <c r="F89" s="39" t="s">
        <v>252</v>
      </c>
      <c r="G89" s="104" t="s">
        <v>257</v>
      </c>
    </row>
    <row r="90" customFormat="false" ht="15" hidden="false" customHeight="false" outlineLevel="0" collapsed="false">
      <c r="A90" s="6" t="s">
        <v>329</v>
      </c>
      <c r="B90" s="105" t="n">
        <v>0.01</v>
      </c>
      <c r="C90" s="105" t="n">
        <v>0.02</v>
      </c>
      <c r="D90" s="105" t="n">
        <v>0.03</v>
      </c>
      <c r="E90" s="106" t="n">
        <f aca="false">CHOOSE(Dashboard!$B$4,B90,C90,D90)</f>
        <v>0.02</v>
      </c>
      <c r="F90" s="39" t="s">
        <v>252</v>
      </c>
      <c r="G90" s="104" t="s">
        <v>250</v>
      </c>
    </row>
    <row r="91" customFormat="false" ht="15" hidden="false" customHeight="false" outlineLevel="0" collapsed="false">
      <c r="A91" s="6" t="s">
        <v>168</v>
      </c>
      <c r="B91" s="113" t="n">
        <v>3</v>
      </c>
      <c r="C91" s="113" t="n">
        <v>4</v>
      </c>
      <c r="D91" s="113" t="n">
        <v>5</v>
      </c>
      <c r="E91" s="114" t="n">
        <f aca="false">CHOOSE(Dashboard!$B$4,B91,C91,D91)</f>
        <v>4</v>
      </c>
      <c r="F91" s="39" t="s">
        <v>330</v>
      </c>
      <c r="G91" s="104" t="s">
        <v>250</v>
      </c>
    </row>
    <row r="92" customFormat="false" ht="15" hidden="false" customHeight="false" outlineLevel="0" collapsed="false">
      <c r="A92" s="6" t="s">
        <v>331</v>
      </c>
      <c r="B92" s="105" t="n">
        <v>0.01</v>
      </c>
      <c r="C92" s="105" t="n">
        <v>0.01</v>
      </c>
      <c r="D92" s="105" t="n">
        <v>0.01</v>
      </c>
      <c r="E92" s="106" t="n">
        <f aca="false">CHOOSE(Dashboard!$B$4,B92,C92,D92)</f>
        <v>0.01</v>
      </c>
      <c r="F92" s="39" t="s">
        <v>252</v>
      </c>
      <c r="G92" s="104"/>
    </row>
    <row r="93" customFormat="false" ht="15" hidden="false" customHeight="false" outlineLevel="0" collapsed="false">
      <c r="A93" s="6" t="s">
        <v>332</v>
      </c>
      <c r="B93" s="105" t="n">
        <v>0.005</v>
      </c>
      <c r="C93" s="105" t="n">
        <v>0.005</v>
      </c>
      <c r="D93" s="105" t="n">
        <v>0.005</v>
      </c>
      <c r="E93" s="106" t="n">
        <f aca="false">CHOOSE(Dashboard!$B$4,B93,C93,D93)</f>
        <v>0.005</v>
      </c>
      <c r="F93" s="39" t="s">
        <v>252</v>
      </c>
      <c r="G93" s="104"/>
    </row>
    <row r="95" customFormat="false" ht="15" hidden="false" customHeight="false" outlineLevel="0" collapsed="false">
      <c r="A95" s="21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20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334</v>
      </c>
    </row>
    <row r="3" customFormat="false" ht="15" hidden="false" customHeight="false" outlineLevel="0" collapsed="false">
      <c r="A3" s="74" t="s">
        <v>154</v>
      </c>
      <c r="B3" s="74" t="n">
        <v>1</v>
      </c>
      <c r="C3" s="74" t="n">
        <v>2</v>
      </c>
      <c r="D3" s="74" t="n">
        <v>3</v>
      </c>
    </row>
    <row r="4" customFormat="false" ht="15" hidden="false" customHeight="false" outlineLevel="0" collapsed="false">
      <c r="A4" s="33"/>
      <c r="B4" s="35" t="s">
        <v>155</v>
      </c>
      <c r="C4" s="35" t="s">
        <v>156</v>
      </c>
      <c r="D4" s="35" t="s">
        <v>157</v>
      </c>
    </row>
    <row r="5" customFormat="false" ht="15" hidden="false" customHeight="false" outlineLevel="0" collapsed="false">
      <c r="A5" s="4" t="s">
        <v>44</v>
      </c>
      <c r="B5" s="75" t="n">
        <f aca="false">SUMIF(Monthly!$C$5:$AL$5,B$3,Monthly!$C$31:$AL$31)</f>
        <v>574501.9488</v>
      </c>
      <c r="C5" s="75" t="n">
        <f aca="false">SUMIF(Monthly!$C$5:$AL$5,C$3,Monthly!$C$31:$AL$31)</f>
        <v>835486.75776</v>
      </c>
      <c r="D5" s="75" t="n">
        <f aca="false">SUMIF(Monthly!$C$5:$AL$5,D$3,Monthly!$C$31:$AL$31)</f>
        <v>886367.901307584</v>
      </c>
    </row>
    <row r="6" customFormat="false" ht="15" hidden="false" customHeight="false" outlineLevel="0" collapsed="false">
      <c r="A6" s="6" t="s">
        <v>76</v>
      </c>
      <c r="B6" s="69" t="n">
        <f aca="false">SUMIF(Monthly!$C$5:$AL$5,B$3,Monthly!$C$39:$AL$39)</f>
        <v>-204565.28896</v>
      </c>
      <c r="C6" s="69" t="n">
        <f aca="false">SUMIF(Monthly!$C$5:$AL$5,C$3,Monthly!$C$39:$AL$39)</f>
        <v>-278844.276352</v>
      </c>
      <c r="D6" s="69" t="n">
        <f aca="false">SUMIF(Monthly!$C$5:$AL$5,D$3,Monthly!$C$39:$AL$39)</f>
        <v>-294361.850781837</v>
      </c>
    </row>
    <row r="7" customFormat="false" ht="15" hidden="false" customHeight="false" outlineLevel="0" collapsed="false">
      <c r="A7" s="115" t="s">
        <v>45</v>
      </c>
      <c r="B7" s="70" t="n">
        <f aca="false">SUMIF(Monthly!$C$5:$AL$5,B$3,Monthly!$C$40:$AL$40)</f>
        <v>369936.65984</v>
      </c>
      <c r="C7" s="70" t="n">
        <f aca="false">SUMIF(Monthly!$C$5:$AL$5,C$3,Monthly!$C$40:$AL$40)</f>
        <v>556642.481408</v>
      </c>
      <c r="D7" s="70" t="n">
        <f aca="false">SUMIF(Monthly!$C$5:$AL$5,D$3,Monthly!$C$40:$AL$40)</f>
        <v>592006.050525747</v>
      </c>
    </row>
    <row r="8" customFormat="false" ht="15" hidden="false" customHeight="false" outlineLevel="0" collapsed="false">
      <c r="A8" s="39" t="s">
        <v>46</v>
      </c>
      <c r="B8" s="76" t="n">
        <f aca="false">IF(B5=0,0,B7/B5)</f>
        <v>0.643925857192845</v>
      </c>
      <c r="C8" s="76" t="n">
        <f aca="false">IF(C5=0,0,C7/C5)</f>
        <v>0.666249316626392</v>
      </c>
      <c r="D8" s="76" t="n">
        <f aca="false">IF(D5=0,0,D7/D5)</f>
        <v>0.66790104837101</v>
      </c>
    </row>
    <row r="9" customFormat="false" ht="15" hidden="false" customHeight="false" outlineLevel="0" collapsed="false">
      <c r="A9" s="6" t="s">
        <v>335</v>
      </c>
      <c r="B9" s="69" t="n">
        <f aca="false">SUMIF(Monthly!$C$5:$AL$5,B$3,Monthly!$C$43:$AL$43)</f>
        <v>-182850</v>
      </c>
      <c r="C9" s="69" t="n">
        <f aca="false">SUMIF(Monthly!$C$5:$AL$5,C$3,Monthly!$C$43:$AL$43)</f>
        <v>-188335.5</v>
      </c>
      <c r="D9" s="69" t="n">
        <f aca="false">SUMIF(Monthly!$C$5:$AL$5,D$3,Monthly!$C$43:$AL$43)</f>
        <v>-193985.565</v>
      </c>
    </row>
    <row r="10" customFormat="false" ht="15" hidden="false" customHeight="false" outlineLevel="0" collapsed="false">
      <c r="A10" s="6" t="s">
        <v>336</v>
      </c>
      <c r="B10" s="69" t="n">
        <f aca="false">SUMIF(Monthly!$C$5:$AL$5,B$3,Monthly!$C$44:$AL$44)</f>
        <v>-108000</v>
      </c>
      <c r="C10" s="69" t="n">
        <f aca="false">SUMIF(Monthly!$C$5:$AL$5,C$3,Monthly!$C$44:$AL$44)</f>
        <v>-111240</v>
      </c>
      <c r="D10" s="69" t="n">
        <f aca="false">SUMIF(Monthly!$C$5:$AL$5,D$3,Monthly!$C$44:$AL$44)</f>
        <v>-114577.2</v>
      </c>
    </row>
    <row r="11" customFormat="false" ht="15" hidden="false" customHeight="false" outlineLevel="0" collapsed="false">
      <c r="A11" s="6" t="s">
        <v>337</v>
      </c>
      <c r="B11" s="69" t="n">
        <f aca="false">SUMIF(Monthly!$C$5:$AL$5,B$3,Monthly!$C$45:$AL$45)</f>
        <v>-30000</v>
      </c>
      <c r="C11" s="69" t="n">
        <f aca="false">SUMIF(Monthly!$C$5:$AL$5,C$3,Monthly!$C$45:$AL$45)</f>
        <v>-30900</v>
      </c>
      <c r="D11" s="69" t="n">
        <f aca="false">SUMIF(Monthly!$C$5:$AL$5,D$3,Monthly!$C$45:$AL$45)</f>
        <v>-31827</v>
      </c>
    </row>
    <row r="12" customFormat="false" ht="15" hidden="false" customHeight="false" outlineLevel="0" collapsed="false">
      <c r="A12" s="6" t="s">
        <v>338</v>
      </c>
      <c r="B12" s="69" t="n">
        <f aca="false">SUMIF(Monthly!$C$5:$AL$5,B$3,Monthly!$C$46:$AL$46)</f>
        <v>-54000</v>
      </c>
      <c r="C12" s="69" t="n">
        <f aca="false">SUMIF(Monthly!$C$5:$AL$5,C$3,Monthly!$C$46:$AL$46)</f>
        <v>-55620</v>
      </c>
      <c r="D12" s="69" t="n">
        <f aca="false">SUMIF(Monthly!$C$5:$AL$5,D$3,Monthly!$C$46:$AL$46)</f>
        <v>-57288.6</v>
      </c>
    </row>
    <row r="13" customFormat="false" ht="15" hidden="false" customHeight="false" outlineLevel="0" collapsed="false">
      <c r="A13" s="6" t="s">
        <v>339</v>
      </c>
      <c r="B13" s="69" t="n">
        <f aca="false">SUMIF(Monthly!$C$5:$AL$5,B$3,Monthly!$C$47:$AL$47)</f>
        <v>-42000</v>
      </c>
      <c r="C13" s="69" t="n">
        <f aca="false">SUMIF(Monthly!$C$5:$AL$5,C$3,Monthly!$C$47:$AL$47)</f>
        <v>-33600</v>
      </c>
      <c r="D13" s="69" t="n">
        <f aca="false">SUMIF(Monthly!$C$5:$AL$5,D$3,Monthly!$C$47:$AL$47)</f>
        <v>-26880</v>
      </c>
    </row>
    <row r="14" customFormat="false" ht="15" hidden="false" customHeight="false" outlineLevel="0" collapsed="false">
      <c r="A14" s="6" t="s">
        <v>340</v>
      </c>
      <c r="B14" s="69" t="n">
        <f aca="false">SUMIF(Monthly!$C$5:$AL$5,B$3,Monthly!$C$48:$AL$48)</f>
        <v>-17235.058464</v>
      </c>
      <c r="C14" s="69" t="n">
        <f aca="false">SUMIF(Monthly!$C$5:$AL$5,C$3,Monthly!$C$48:$AL$48)</f>
        <v>-25064.6027328</v>
      </c>
      <c r="D14" s="69" t="n">
        <f aca="false">SUMIF(Monthly!$C$5:$AL$5,D$3,Monthly!$C$48:$AL$48)</f>
        <v>-26591.0370392275</v>
      </c>
    </row>
    <row r="15" customFormat="false" ht="15" hidden="false" customHeight="false" outlineLevel="0" collapsed="false">
      <c r="A15" s="115" t="s">
        <v>77</v>
      </c>
      <c r="B15" s="70" t="n">
        <f aca="false">SUMIF(Monthly!$C$5:$AL$5,B$3,Monthly!$C$49:$AL$49)</f>
        <v>-434085.058464</v>
      </c>
      <c r="C15" s="70" t="n">
        <f aca="false">SUMIF(Monthly!$C$5:$AL$5,C$3,Monthly!$C$49:$AL$49)</f>
        <v>-444760.1027328</v>
      </c>
      <c r="D15" s="70" t="n">
        <f aca="false">SUMIF(Monthly!$C$5:$AL$5,D$3,Monthly!$C$49:$AL$49)</f>
        <v>-451149.402039228</v>
      </c>
    </row>
    <row r="16" customFormat="false" ht="15" hidden="false" customHeight="false" outlineLevel="0" collapsed="false">
      <c r="A16" s="115" t="s">
        <v>48</v>
      </c>
      <c r="B16" s="70" t="n">
        <f aca="false">SUMIF(Monthly!$C$5:$AL$5,B$3,Monthly!$C$50:$AL$50)</f>
        <v>-64148.398624</v>
      </c>
      <c r="C16" s="70" t="n">
        <f aca="false">SUMIF(Monthly!$C$5:$AL$5,C$3,Monthly!$C$50:$AL$50)</f>
        <v>111882.3786752</v>
      </c>
      <c r="D16" s="70" t="n">
        <f aca="false">SUMIF(Monthly!$C$5:$AL$5,D$3,Monthly!$C$50:$AL$50)</f>
        <v>140856.64848652</v>
      </c>
    </row>
    <row r="17" customFormat="false" ht="15" hidden="false" customHeight="false" outlineLevel="0" collapsed="false">
      <c r="A17" s="39" t="s">
        <v>49</v>
      </c>
      <c r="B17" s="76" t="n">
        <f aca="false">IF(B5=0,0,B16/B5)</f>
        <v>-0.111659148864492</v>
      </c>
      <c r="C17" s="76" t="n">
        <f aca="false">IF(C5=0,0,C16/C5)</f>
        <v>0.133912809073318</v>
      </c>
      <c r="D17" s="76" t="n">
        <f aca="false">IF(D5=0,0,D16/D5)</f>
        <v>0.158914428510696</v>
      </c>
    </row>
    <row r="18" customFormat="false" ht="15" hidden="false" customHeight="false" outlineLevel="0" collapsed="false">
      <c r="A18" s="6" t="s">
        <v>78</v>
      </c>
      <c r="B18" s="69" t="n">
        <f aca="false">SUMIF(Monthly!$C$5:$AL$5,B$3,Monthly!$C$70:$AL$70)</f>
        <v>-23625</v>
      </c>
      <c r="C18" s="69" t="n">
        <f aca="false">SUMIF(Monthly!$C$5:$AL$5,C$3,Monthly!$C$70:$AL$70)</f>
        <v>-24875</v>
      </c>
      <c r="D18" s="69" t="n">
        <f aca="false">SUMIF(Monthly!$C$5:$AL$5,D$3,Monthly!$C$70:$AL$70)</f>
        <v>-26125</v>
      </c>
    </row>
    <row r="19" customFormat="false" ht="15" hidden="false" customHeight="false" outlineLevel="0" collapsed="false">
      <c r="A19" s="4" t="s">
        <v>79</v>
      </c>
      <c r="B19" s="75" t="n">
        <f aca="false">SUMIF(Monthly!$C$5:$AL$5,B$3,Monthly!$C$53:$AL$53)</f>
        <v>-87773.398624</v>
      </c>
      <c r="C19" s="75" t="n">
        <f aca="false">SUMIF(Monthly!$C$5:$AL$5,C$3,Monthly!$C$53:$AL$53)</f>
        <v>87007.3786752</v>
      </c>
      <c r="D19" s="75" t="n">
        <f aca="false">SUMIF(Monthly!$C$5:$AL$5,D$3,Monthly!$C$53:$AL$53)</f>
        <v>114731.64848652</v>
      </c>
    </row>
    <row r="20" customFormat="false" ht="15" hidden="false" customHeight="false" outlineLevel="0" collapsed="false">
      <c r="A20" s="6" t="s">
        <v>80</v>
      </c>
      <c r="B20" s="69" t="n">
        <f aca="false">SUMIF(Monthly!$C$5:$AL$5,B$3,Monthly!$C$54:$AL$54)</f>
        <v>-8243.75</v>
      </c>
      <c r="C20" s="69" t="n">
        <f aca="false">SUMIF(Monthly!$C$5:$AL$5,C$3,Monthly!$C$54:$AL$54)</f>
        <v>-6449.99999999999</v>
      </c>
      <c r="D20" s="69" t="n">
        <f aca="false">SUMIF(Monthly!$C$5:$AL$5,D$3,Monthly!$C$54:$AL$54)</f>
        <v>-4649.99999999999</v>
      </c>
    </row>
    <row r="21" customFormat="false" ht="15" hidden="false" customHeight="false" outlineLevel="0" collapsed="false">
      <c r="A21" s="116" t="s">
        <v>81</v>
      </c>
      <c r="B21" s="117" t="n">
        <f aca="false">SUMIF(Monthly!$C$5:$AL$5,B$3,Monthly!$C$55:$AL$55)</f>
        <v>-96017.148624</v>
      </c>
      <c r="C21" s="117" t="n">
        <f aca="false">SUMIF(Monthly!$C$5:$AL$5,C$3,Monthly!$C$55:$AL$55)</f>
        <v>80557.3786752</v>
      </c>
      <c r="D21" s="117" t="n">
        <f aca="false">SUMIF(Monthly!$C$5:$AL$5,D$3,Monthly!$C$55:$AL$55)</f>
        <v>110081.64848652</v>
      </c>
    </row>
    <row r="22" customFormat="false" ht="15" hidden="false" customHeight="false" outlineLevel="0" collapsed="false">
      <c r="A22" s="6" t="s">
        <v>82</v>
      </c>
      <c r="B22" s="69" t="n">
        <f aca="false">SUMIF(Monthly!$C$5:$AL$5,B$3,Monthly!$C$58:$AL$58)</f>
        <v>0</v>
      </c>
      <c r="C22" s="69" t="n">
        <f aca="false">SUMIF(Monthly!$C$5:$AL$5,C$3,Monthly!$C$58:$AL$58)</f>
        <v>0</v>
      </c>
      <c r="D22" s="69" t="n">
        <f aca="false">SUMIF(Monthly!$C$5:$AL$5,D$3,Monthly!$C$58:$AL$58)</f>
        <v>-19870.5944929211</v>
      </c>
    </row>
    <row r="23" customFormat="false" ht="15" hidden="false" customHeight="false" outlineLevel="0" collapsed="false">
      <c r="A23" s="72" t="s">
        <v>50</v>
      </c>
      <c r="B23" s="73" t="n">
        <f aca="false">SUMIF(Monthly!$C$5:$AL$5,B$3,Monthly!$C$59:$AL$59)</f>
        <v>-96017.148624</v>
      </c>
      <c r="C23" s="73" t="n">
        <f aca="false">SUMIF(Monthly!$C$5:$AL$5,C$3,Monthly!$C$59:$AL$59)</f>
        <v>80557.3786752</v>
      </c>
      <c r="D23" s="73" t="n">
        <f aca="false">SUMIF(Monthly!$C$5:$AL$5,D$3,Monthly!$C$59:$AL$59)</f>
        <v>90211.0539935985</v>
      </c>
    </row>
    <row r="24" customFormat="false" ht="15" hidden="false" customHeight="false" outlineLevel="0" collapsed="false">
      <c r="A24" s="39" t="s">
        <v>51</v>
      </c>
      <c r="B24" s="76" t="n">
        <f aca="false">IF(B5=0,0,B23/B5)</f>
        <v>-0.167131110389716</v>
      </c>
      <c r="C24" s="76" t="n">
        <f aca="false">IF(C5=0,0,C23/C5)</f>
        <v>0.0964196953775547</v>
      </c>
      <c r="D24" s="76" t="n">
        <f aca="false">IF(D5=0,0,D23/D5)</f>
        <v>0.101776084017165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21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334</v>
      </c>
    </row>
    <row r="3" customFormat="false" ht="15" hidden="false" customHeight="false" outlineLevel="0" collapsed="false">
      <c r="A3" s="74" t="s">
        <v>154</v>
      </c>
      <c r="B3" s="74" t="n">
        <v>1</v>
      </c>
      <c r="C3" s="74" t="n">
        <v>2</v>
      </c>
      <c r="D3" s="74" t="n">
        <v>3</v>
      </c>
    </row>
    <row r="4" customFormat="false" ht="15" hidden="false" customHeight="false" outlineLevel="0" collapsed="false">
      <c r="A4" s="33"/>
      <c r="B4" s="35" t="s">
        <v>155</v>
      </c>
      <c r="C4" s="35" t="s">
        <v>156</v>
      </c>
      <c r="D4" s="35" t="s">
        <v>157</v>
      </c>
    </row>
    <row r="5" customFormat="false" ht="15" hidden="false" customHeight="false" outlineLevel="0" collapsed="false">
      <c r="A5" s="6" t="s">
        <v>50</v>
      </c>
      <c r="B5" s="69" t="n">
        <f aca="false">SUMIF(Monthly!$C$5:$AL$5,B$3,Monthly!$C$59:$AL$59)</f>
        <v>-96017.148624</v>
      </c>
      <c r="C5" s="69" t="n">
        <f aca="false">SUMIF(Monthly!$C$5:$AL$5,C$3,Monthly!$C$59:$AL$59)</f>
        <v>80557.3786752</v>
      </c>
      <c r="D5" s="69" t="n">
        <f aca="false">SUMIF(Monthly!$C$5:$AL$5,D$3,Monthly!$C$59:$AL$59)</f>
        <v>90211.0539935985</v>
      </c>
    </row>
    <row r="6" customFormat="false" ht="15" hidden="false" customHeight="false" outlineLevel="0" collapsed="false">
      <c r="A6" s="6" t="s">
        <v>341</v>
      </c>
      <c r="B6" s="69" t="n">
        <f aca="false">-SUMIF(Monthly!$C$5:$AL$5,B$3,Monthly!$C$70:$AL$70)</f>
        <v>23625</v>
      </c>
      <c r="C6" s="69" t="n">
        <f aca="false">-SUMIF(Monthly!$C$5:$AL$5,C$3,Monthly!$C$70:$AL$70)</f>
        <v>24875</v>
      </c>
      <c r="D6" s="69" t="n">
        <f aca="false">-SUMIF(Monthly!$C$5:$AL$5,D$3,Monthly!$C$70:$AL$70)</f>
        <v>26125</v>
      </c>
    </row>
    <row r="7" customFormat="false" ht="15" hidden="false" customHeight="false" outlineLevel="0" collapsed="false">
      <c r="A7" s="6" t="s">
        <v>342</v>
      </c>
      <c r="B7" s="69" t="n">
        <f aca="false">SUMIF(Monthly!$C$5:$AL$5,B$3,Monthly!$C$84:$AL$84)</f>
        <v>-4789.80266666667</v>
      </c>
      <c r="C7" s="69" t="n">
        <f aca="false">SUMIF(Monthly!$C$5:$AL$5,C$3,Monthly!$C$84:$AL$84)</f>
        <v>-291.698982399998</v>
      </c>
      <c r="D7" s="69" t="n">
        <f aca="false">SUMIF(Monthly!$C$5:$AL$5,D$3,Monthly!$C$84:$AL$84)</f>
        <v>-309.46345042816</v>
      </c>
    </row>
    <row r="8" customFormat="false" ht="15" hidden="false" customHeight="false" outlineLevel="0" collapsed="false">
      <c r="A8" s="6" t="s">
        <v>343</v>
      </c>
      <c r="B8" s="69" t="n">
        <f aca="false">SUMIF(Monthly!$C$5:$AL$5,B$3,Monthly!$C$85:$AL$85)</f>
        <v>-4538.66026666667</v>
      </c>
      <c r="C8" s="69" t="n">
        <f aca="false">SUMIF(Monthly!$C$5:$AL$5,C$3,Monthly!$C$85:$AL$85)</f>
        <v>-252.71441024</v>
      </c>
      <c r="D8" s="69" t="n">
        <f aca="false">SUMIF(Monthly!$C$5:$AL$5,D$3,Monthly!$C$85:$AL$85)</f>
        <v>-267.394017823615</v>
      </c>
    </row>
    <row r="9" customFormat="false" ht="15" hidden="false" customHeight="false" outlineLevel="0" collapsed="false">
      <c r="A9" s="6" t="s">
        <v>344</v>
      </c>
      <c r="B9" s="69" t="n">
        <f aca="false">SUMIF(Monthly!$C$5:$AL$5,B$3,Monthly!$C$86:$AL$86)</f>
        <v>18911.0844444444</v>
      </c>
      <c r="C9" s="69" t="n">
        <f aca="false">SUMIF(Monthly!$C$5:$AL$5,C$3,Monthly!$C$86:$AL$86)</f>
        <v>1052.97670933333</v>
      </c>
      <c r="D9" s="69" t="n">
        <f aca="false">SUMIF(Monthly!$C$5:$AL$5,D$3,Monthly!$C$86:$AL$86)</f>
        <v>1114.14174093173</v>
      </c>
    </row>
    <row r="10" customFormat="false" ht="15" hidden="false" customHeight="false" outlineLevel="0" collapsed="false">
      <c r="A10" s="115" t="s">
        <v>52</v>
      </c>
      <c r="B10" s="70" t="n">
        <f aca="false">SUMIF(Monthly!$C$5:$AL$5,B$3,Monthly!$C$89:$AL$89)</f>
        <v>-62809.5271128889</v>
      </c>
      <c r="C10" s="70" t="n">
        <f aca="false">SUMIF(Monthly!$C$5:$AL$5,C$3,Monthly!$C$89:$AL$89)</f>
        <v>105940.941991893</v>
      </c>
      <c r="D10" s="70" t="n">
        <f aca="false">SUMIF(Monthly!$C$5:$AL$5,D$3,Monthly!$C$89:$AL$89)</f>
        <v>116873.338266278</v>
      </c>
    </row>
    <row r="11" customFormat="false" ht="15" hidden="false" customHeight="false" outlineLevel="0" collapsed="false">
      <c r="A11" s="6" t="s">
        <v>84</v>
      </c>
      <c r="B11" s="69" t="n">
        <f aca="false">SUMIF(Monthly!$C$5:$AL$5,B$3,Monthly!$C$90:$AL$90)</f>
        <v>-189000</v>
      </c>
      <c r="C11" s="69" t="n">
        <f aca="false">SUMIF(Monthly!$C$5:$AL$5,C$3,Monthly!$C$90:$AL$90)</f>
        <v>-10000</v>
      </c>
      <c r="D11" s="69" t="n">
        <f aca="false">SUMIF(Monthly!$C$5:$AL$5,D$3,Monthly!$C$90:$AL$90)</f>
        <v>-10000</v>
      </c>
    </row>
    <row r="12" customFormat="false" ht="15" hidden="false" customHeight="false" outlineLevel="0" collapsed="false">
      <c r="A12" s="6" t="s">
        <v>64</v>
      </c>
      <c r="B12" s="69" t="n">
        <f aca="false">SUMIF(Monthly!$C$5:$AL$5,B$3,Monthly!$C$91:$AL$91)</f>
        <v>330000</v>
      </c>
      <c r="C12" s="69" t="n">
        <f aca="false">SUMIF(Monthly!$C$5:$AL$5,C$3,Monthly!$C$91:$AL$91)</f>
        <v>0</v>
      </c>
      <c r="D12" s="69" t="n">
        <f aca="false">SUMIF(Monthly!$C$5:$AL$5,D$3,Monthly!$C$91:$AL$91)</f>
        <v>0</v>
      </c>
    </row>
    <row r="13" customFormat="false" ht="15" hidden="false" customHeight="false" outlineLevel="0" collapsed="false">
      <c r="A13" s="6" t="s">
        <v>85</v>
      </c>
      <c r="B13" s="69" t="n">
        <f aca="false">SUMIF(Monthly!$C$5:$AL$5,B$3,Monthly!$C$76:$AL$76)</f>
        <v>100000</v>
      </c>
      <c r="C13" s="69" t="n">
        <f aca="false">SUMIF(Monthly!$C$5:$AL$5,C$3,Monthly!$C$76:$AL$76)</f>
        <v>0</v>
      </c>
      <c r="D13" s="69" t="n">
        <f aca="false">SUMIF(Monthly!$C$5:$AL$5,D$3,Monthly!$C$76:$AL$76)</f>
        <v>0</v>
      </c>
    </row>
    <row r="14" customFormat="false" ht="15" hidden="false" customHeight="false" outlineLevel="0" collapsed="false">
      <c r="A14" s="6" t="s">
        <v>86</v>
      </c>
      <c r="B14" s="69" t="n">
        <f aca="false">SUMIF(Monthly!$C$5:$AL$5,B$3,Monthly!$C$77:$AL$77)</f>
        <v>-18333.3333333333</v>
      </c>
      <c r="C14" s="69" t="n">
        <f aca="false">SUMIF(Monthly!$C$5:$AL$5,C$3,Monthly!$C$77:$AL$77)</f>
        <v>-20000</v>
      </c>
      <c r="D14" s="69" t="n">
        <f aca="false">SUMIF(Monthly!$C$5:$AL$5,D$3,Monthly!$C$77:$AL$77)</f>
        <v>-20000</v>
      </c>
    </row>
    <row r="15" customFormat="false" ht="15" hidden="false" customHeight="false" outlineLevel="0" collapsed="false">
      <c r="A15" s="115" t="s">
        <v>54</v>
      </c>
      <c r="B15" s="70" t="n">
        <f aca="false">SUMIF(Monthly!$C$5:$AL$5,B$3,Monthly!$C$92:$AL$92)</f>
        <v>411666.666666667</v>
      </c>
      <c r="C15" s="70" t="n">
        <f aca="false">SUMIF(Monthly!$C$5:$AL$5,C$3,Monthly!$C$92:$AL$92)</f>
        <v>-20000</v>
      </c>
      <c r="D15" s="70" t="n">
        <f aca="false">SUMIF(Monthly!$C$5:$AL$5,D$3,Monthly!$C$92:$AL$92)</f>
        <v>-20000</v>
      </c>
    </row>
    <row r="16" customFormat="false" ht="15" hidden="false" customHeight="false" outlineLevel="0" collapsed="false">
      <c r="A16" s="4" t="s">
        <v>55</v>
      </c>
      <c r="B16" s="75" t="n">
        <f aca="false">SUMIF(Monthly!$C$5:$AL$5,B$3,Monthly!$C$93:$AL$93)</f>
        <v>159857.139553778</v>
      </c>
      <c r="C16" s="75" t="n">
        <f aca="false">SUMIF(Monthly!$C$5:$AL$5,C$3,Monthly!$C$93:$AL$93)</f>
        <v>75940.9419918933</v>
      </c>
      <c r="D16" s="75" t="n">
        <f aca="false">SUMIF(Monthly!$C$5:$AL$5,D$3,Monthly!$C$93:$AL$93)</f>
        <v>86873.3382662784</v>
      </c>
    </row>
    <row r="17" customFormat="false" ht="15" hidden="false" customHeight="false" outlineLevel="0" collapsed="false">
      <c r="A17" s="6" t="s">
        <v>345</v>
      </c>
      <c r="B17" s="69" t="n">
        <f aca="false">INDEX(Monthly!$C$94:$AL$94,(B$3-1)*12+1)</f>
        <v>0</v>
      </c>
      <c r="C17" s="69" t="n">
        <f aca="false">INDEX(Monthly!$C$94:$AL$94,(C$3-1)*12+1)</f>
        <v>159857.139553778</v>
      </c>
      <c r="D17" s="69" t="n">
        <f aca="false">INDEX(Monthly!$C$94:$AL$94,(D$3-1)*12+1)</f>
        <v>235798.081545671</v>
      </c>
    </row>
    <row r="18" customFormat="false" ht="15" hidden="false" customHeight="false" outlineLevel="0" collapsed="false">
      <c r="A18" s="72" t="s">
        <v>87</v>
      </c>
      <c r="B18" s="73" t="n">
        <f aca="false">INDEX(Monthly!$C$95:$AL$95,B$3*12)</f>
        <v>159857.139553778</v>
      </c>
      <c r="C18" s="73" t="n">
        <f aca="false">INDEX(Monthly!$C$95:$AL$95,C$3*12)</f>
        <v>235798.081545671</v>
      </c>
      <c r="D18" s="73" t="n">
        <f aca="false">INDEX(Monthly!$C$95:$AL$95,D$3*12)</f>
        <v>322671.41981195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22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334</v>
      </c>
    </row>
    <row r="3" customFormat="false" ht="15" hidden="false" customHeight="false" outlineLevel="0" collapsed="false">
      <c r="A3" s="74" t="s">
        <v>154</v>
      </c>
      <c r="B3" s="74" t="n">
        <v>1</v>
      </c>
      <c r="C3" s="74" t="n">
        <v>2</v>
      </c>
      <c r="D3" s="74" t="n">
        <v>3</v>
      </c>
    </row>
    <row r="4" customFormat="false" ht="15" hidden="false" customHeight="false" outlineLevel="0" collapsed="false">
      <c r="A4" s="33"/>
      <c r="B4" s="35" t="s">
        <v>155</v>
      </c>
      <c r="C4" s="35" t="s">
        <v>156</v>
      </c>
      <c r="D4" s="35" t="s">
        <v>157</v>
      </c>
    </row>
    <row r="5" customFormat="false" ht="15" hidden="false" customHeight="false" outlineLevel="0" collapsed="false">
      <c r="A5" s="6" t="s">
        <v>89</v>
      </c>
      <c r="B5" s="69" t="n">
        <f aca="false">INDEX(Monthly!$C$95:$AL$95,B$3*12)</f>
        <v>159857.139553778</v>
      </c>
      <c r="C5" s="69" t="n">
        <f aca="false">INDEX(Monthly!$C$95:$AL$95,C$3*12)</f>
        <v>235798.081545671</v>
      </c>
      <c r="D5" s="69" t="n">
        <f aca="false">INDEX(Monthly!$C$95:$AL$95,D$3*12)</f>
        <v>322671.41981195</v>
      </c>
    </row>
    <row r="6" customFormat="false" ht="15" hidden="false" customHeight="false" outlineLevel="0" collapsed="false">
      <c r="A6" s="6" t="s">
        <v>90</v>
      </c>
      <c r="B6" s="69" t="n">
        <f aca="false">INDEX(Monthly!$C$81:$AL$81,B$3*12)</f>
        <v>4789.80266666667</v>
      </c>
      <c r="C6" s="69" t="n">
        <f aca="false">INDEX(Monthly!$C$81:$AL$81,C$3*12)</f>
        <v>5081.50164906667</v>
      </c>
      <c r="D6" s="69" t="n">
        <f aca="false">INDEX(Monthly!$C$81:$AL$81,D$3*12)</f>
        <v>5390.96509949483</v>
      </c>
    </row>
    <row r="7" customFormat="false" ht="15" hidden="false" customHeight="false" outlineLevel="0" collapsed="false">
      <c r="A7" s="6" t="s">
        <v>91</v>
      </c>
      <c r="B7" s="69" t="n">
        <f aca="false">INDEX(Monthly!$C$82:$AL$82,B$3*12)</f>
        <v>4538.66026666667</v>
      </c>
      <c r="C7" s="69" t="n">
        <f aca="false">INDEX(Monthly!$C$82:$AL$82,C$3*12)</f>
        <v>4791.37467690667</v>
      </c>
      <c r="D7" s="69" t="n">
        <f aca="false">INDEX(Monthly!$C$82:$AL$82,D$3*12)</f>
        <v>5058.76869473028</v>
      </c>
    </row>
    <row r="8" customFormat="false" ht="15" hidden="false" customHeight="false" outlineLevel="0" collapsed="false">
      <c r="A8" s="6" t="s">
        <v>92</v>
      </c>
      <c r="B8" s="69" t="n">
        <f aca="false">INDEX(Monthly!$C$72:$AL$72,B$3*12)</f>
        <v>165375</v>
      </c>
      <c r="C8" s="69" t="n">
        <f aca="false">INDEX(Monthly!$C$72:$AL$72,C$3*12)</f>
        <v>150500</v>
      </c>
      <c r="D8" s="69" t="n">
        <f aca="false">INDEX(Monthly!$C$72:$AL$72,D$3*12)</f>
        <v>134375</v>
      </c>
    </row>
    <row r="9" customFormat="false" ht="15" hidden="false" customHeight="false" outlineLevel="0" collapsed="false">
      <c r="A9" s="115" t="s">
        <v>93</v>
      </c>
      <c r="B9" s="70" t="n">
        <f aca="false">INDEX(Monthly!$C$109:$AL$109,B$3*12)</f>
        <v>334560.602487111</v>
      </c>
      <c r="C9" s="70" t="n">
        <f aca="false">INDEX(Monthly!$C$109:$AL$109,C$3*12)</f>
        <v>396170.957871644</v>
      </c>
      <c r="D9" s="70" t="n">
        <f aca="false">INDEX(Monthly!$C$109:$AL$109,D$3*12)</f>
        <v>467496.153606175</v>
      </c>
    </row>
    <row r="10" customFormat="false" ht="15" hidden="false" customHeight="false" outlineLevel="0" collapsed="false">
      <c r="A10" s="6" t="s">
        <v>94</v>
      </c>
      <c r="B10" s="69" t="n">
        <f aca="false">INDEX(Monthly!$C$83:$AL$83,B$3*12)</f>
        <v>18911.0844444444</v>
      </c>
      <c r="C10" s="69" t="n">
        <f aca="false">INDEX(Monthly!$C$83:$AL$83,C$3*12)</f>
        <v>19964.0611537778</v>
      </c>
      <c r="D10" s="69" t="n">
        <f aca="false">INDEX(Monthly!$C$83:$AL$83,D$3*12)</f>
        <v>21078.2028947095</v>
      </c>
    </row>
    <row r="11" customFormat="false" ht="15" hidden="false" customHeight="false" outlineLevel="0" collapsed="false">
      <c r="A11" s="6" t="s">
        <v>95</v>
      </c>
      <c r="B11" s="69" t="n">
        <f aca="false">INDEX(Monthly!$C$78:$AL$78,B$3*12)</f>
        <v>81666.6666666666</v>
      </c>
      <c r="C11" s="69" t="n">
        <f aca="false">INDEX(Monthly!$C$78:$AL$78,C$3*12)</f>
        <v>61666.6666666666</v>
      </c>
      <c r="D11" s="69" t="n">
        <f aca="false">INDEX(Monthly!$C$78:$AL$78,D$3*12)</f>
        <v>41666.6666666666</v>
      </c>
    </row>
    <row r="12" customFormat="false" ht="15" hidden="false" customHeight="false" outlineLevel="0" collapsed="false">
      <c r="A12" s="116" t="s">
        <v>96</v>
      </c>
      <c r="B12" s="117" t="n">
        <f aca="false">INDEX(Monthly!$C$110:$AL$110,B$3*12)</f>
        <v>100577.751111111</v>
      </c>
      <c r="C12" s="117" t="n">
        <f aca="false">INDEX(Monthly!$C$110:$AL$110,C$3*12)</f>
        <v>81630.7278204444</v>
      </c>
      <c r="D12" s="117" t="n">
        <f aca="false">INDEX(Monthly!$C$110:$AL$110,D$3*12)</f>
        <v>62744.8695613761</v>
      </c>
    </row>
    <row r="13" customFormat="false" ht="15" hidden="false" customHeight="false" outlineLevel="0" collapsed="false">
      <c r="A13" s="6" t="s">
        <v>97</v>
      </c>
      <c r="B13" s="69" t="n">
        <f aca="false">INDEX(Monthly!$C$107:$AL$107,B$3*12)</f>
        <v>330000</v>
      </c>
      <c r="C13" s="69" t="n">
        <f aca="false">INDEX(Monthly!$C$107:$AL$107,C$3*12)</f>
        <v>330000</v>
      </c>
      <c r="D13" s="69" t="n">
        <f aca="false">INDEX(Monthly!$C$107:$AL$107,D$3*12)</f>
        <v>330000</v>
      </c>
    </row>
    <row r="14" customFormat="false" ht="15" hidden="false" customHeight="false" outlineLevel="0" collapsed="false">
      <c r="A14" s="6" t="s">
        <v>98</v>
      </c>
      <c r="B14" s="69" t="n">
        <f aca="false">INDEX(Monthly!$C$108:$AL$108,B$3*12)</f>
        <v>-96017.148624</v>
      </c>
      <c r="C14" s="69" t="n">
        <f aca="false">INDEX(Monthly!$C$108:$AL$108,C$3*12)</f>
        <v>-15459.7699488</v>
      </c>
      <c r="D14" s="69" t="n">
        <f aca="false">INDEX(Monthly!$C$108:$AL$108,D$3*12)</f>
        <v>74751.2840447985</v>
      </c>
    </row>
    <row r="15" customFormat="false" ht="15" hidden="false" customHeight="false" outlineLevel="0" collapsed="false">
      <c r="A15" s="116" t="s">
        <v>99</v>
      </c>
      <c r="B15" s="117" t="n">
        <f aca="false">INDEX(Monthly!$C$111:$AL$111,B$3*12)</f>
        <v>233982.851376</v>
      </c>
      <c r="C15" s="117" t="n">
        <f aca="false">INDEX(Monthly!$C$111:$AL$111,C$3*12)</f>
        <v>314540.2300512</v>
      </c>
      <c r="D15" s="117" t="n">
        <f aca="false">INDEX(Monthly!$C$111:$AL$111,D$3*12)</f>
        <v>404751.284044798</v>
      </c>
    </row>
    <row r="16" customFormat="false" ht="15" hidden="false" customHeight="false" outlineLevel="0" collapsed="false">
      <c r="A16" s="72" t="s">
        <v>100</v>
      </c>
      <c r="B16" s="73" t="n">
        <f aca="false">INDEX(Monthly!$C$112:$AL$112,B$3*12)</f>
        <v>334560.602487111</v>
      </c>
      <c r="C16" s="73" t="n">
        <f aca="false">INDEX(Monthly!$C$112:$AL$112,C$3*12)</f>
        <v>396170.957871644</v>
      </c>
      <c r="D16" s="73" t="n">
        <f aca="false">INDEX(Monthly!$C$112:$AL$112,D$3*12)</f>
        <v>467496.153606175</v>
      </c>
    </row>
    <row r="17" customFormat="false" ht="15" hidden="false" customHeight="false" outlineLevel="0" collapsed="false">
      <c r="A17" s="6" t="s">
        <v>346</v>
      </c>
      <c r="B17" s="69" t="n">
        <f aca="false">INDEX(Monthly!$C$113:$AL$113,B$3*12)</f>
        <v>0</v>
      </c>
      <c r="C17" s="69" t="n">
        <f aca="false">INDEX(Monthly!$C$113:$AL$113,C$3*12)</f>
        <v>0</v>
      </c>
      <c r="D17" s="69" t="n">
        <f aca="false">INDEX(Monthly!$C$113:$AL$113,D$3*12)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347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348</v>
      </c>
    </row>
    <row r="3" customFormat="false" ht="15" hidden="false" customHeight="false" outlineLevel="0" collapsed="false">
      <c r="A3" s="33" t="s">
        <v>349</v>
      </c>
      <c r="C3" s="35" t="s">
        <v>350</v>
      </c>
      <c r="D3" s="35" t="s">
        <v>351</v>
      </c>
      <c r="E3" s="35" t="s">
        <v>352</v>
      </c>
      <c r="F3" s="35" t="s">
        <v>353</v>
      </c>
      <c r="G3" s="35" t="s">
        <v>354</v>
      </c>
      <c r="H3" s="35" t="s">
        <v>355</v>
      </c>
      <c r="I3" s="35" t="s">
        <v>356</v>
      </c>
      <c r="J3" s="35" t="s">
        <v>357</v>
      </c>
      <c r="K3" s="35" t="s">
        <v>358</v>
      </c>
      <c r="L3" s="35" t="s">
        <v>359</v>
      </c>
      <c r="M3" s="35" t="s">
        <v>360</v>
      </c>
      <c r="N3" s="35" t="s">
        <v>361</v>
      </c>
      <c r="O3" s="35" t="s">
        <v>362</v>
      </c>
      <c r="P3" s="35" t="s">
        <v>363</v>
      </c>
      <c r="Q3" s="35" t="s">
        <v>364</v>
      </c>
      <c r="R3" s="35" t="s">
        <v>365</v>
      </c>
      <c r="S3" s="35" t="s">
        <v>366</v>
      </c>
      <c r="T3" s="35" t="s">
        <v>367</v>
      </c>
      <c r="U3" s="35" t="s">
        <v>368</v>
      </c>
      <c r="V3" s="35" t="s">
        <v>369</v>
      </c>
      <c r="W3" s="35" t="s">
        <v>370</v>
      </c>
      <c r="X3" s="35" t="s">
        <v>371</v>
      </c>
      <c r="Y3" s="35" t="s">
        <v>372</v>
      </c>
      <c r="Z3" s="35" t="s">
        <v>373</v>
      </c>
      <c r="AA3" s="35" t="s">
        <v>374</v>
      </c>
      <c r="AB3" s="35" t="s">
        <v>375</v>
      </c>
      <c r="AC3" s="35" t="s">
        <v>376</v>
      </c>
      <c r="AD3" s="35" t="s">
        <v>377</v>
      </c>
      <c r="AE3" s="35" t="s">
        <v>378</v>
      </c>
      <c r="AF3" s="35" t="s">
        <v>379</v>
      </c>
      <c r="AG3" s="35" t="s">
        <v>380</v>
      </c>
      <c r="AH3" s="35" t="s">
        <v>381</v>
      </c>
      <c r="AI3" s="35" t="s">
        <v>382</v>
      </c>
      <c r="AJ3" s="35" t="s">
        <v>383</v>
      </c>
      <c r="AK3" s="35" t="s">
        <v>384</v>
      </c>
      <c r="AL3" s="35" t="s">
        <v>385</v>
      </c>
    </row>
    <row r="4" customFormat="false" ht="15" hidden="false" customHeight="false" outlineLevel="0" collapsed="false">
      <c r="A4" s="74" t="s">
        <v>386</v>
      </c>
      <c r="C4" s="74" t="n">
        <v>1</v>
      </c>
      <c r="D4" s="74" t="n">
        <v>2</v>
      </c>
      <c r="E4" s="74" t="n">
        <v>3</v>
      </c>
      <c r="F4" s="74" t="n">
        <v>4</v>
      </c>
      <c r="G4" s="74" t="n">
        <v>5</v>
      </c>
      <c r="H4" s="74" t="n">
        <v>6</v>
      </c>
      <c r="I4" s="74" t="n">
        <v>7</v>
      </c>
      <c r="J4" s="74" t="n">
        <v>8</v>
      </c>
      <c r="K4" s="74" t="n">
        <v>9</v>
      </c>
      <c r="L4" s="74" t="n">
        <v>10</v>
      </c>
      <c r="M4" s="74" t="n">
        <v>11</v>
      </c>
      <c r="N4" s="74" t="n">
        <v>12</v>
      </c>
      <c r="O4" s="74" t="n">
        <v>13</v>
      </c>
      <c r="P4" s="74" t="n">
        <v>14</v>
      </c>
      <c r="Q4" s="74" t="n">
        <v>15</v>
      </c>
      <c r="R4" s="74" t="n">
        <v>16</v>
      </c>
      <c r="S4" s="74" t="n">
        <v>17</v>
      </c>
      <c r="T4" s="74" t="n">
        <v>18</v>
      </c>
      <c r="U4" s="74" t="n">
        <v>19</v>
      </c>
      <c r="V4" s="74" t="n">
        <v>20</v>
      </c>
      <c r="W4" s="74" t="n">
        <v>21</v>
      </c>
      <c r="X4" s="74" t="n">
        <v>22</v>
      </c>
      <c r="Y4" s="74" t="n">
        <v>23</v>
      </c>
      <c r="Z4" s="74" t="n">
        <v>24</v>
      </c>
      <c r="AA4" s="74" t="n">
        <v>25</v>
      </c>
      <c r="AB4" s="74" t="n">
        <v>26</v>
      </c>
      <c r="AC4" s="74" t="n">
        <v>27</v>
      </c>
      <c r="AD4" s="74" t="n">
        <v>28</v>
      </c>
      <c r="AE4" s="74" t="n">
        <v>29</v>
      </c>
      <c r="AF4" s="74" t="n">
        <v>30</v>
      </c>
      <c r="AG4" s="74" t="n">
        <v>31</v>
      </c>
      <c r="AH4" s="74" t="n">
        <v>32</v>
      </c>
      <c r="AI4" s="74" t="n">
        <v>33</v>
      </c>
      <c r="AJ4" s="74" t="n">
        <v>34</v>
      </c>
      <c r="AK4" s="74" t="n">
        <v>35</v>
      </c>
      <c r="AL4" s="74" t="n">
        <v>36</v>
      </c>
    </row>
    <row r="5" customFormat="false" ht="15" hidden="false" customHeight="false" outlineLevel="0" collapsed="false">
      <c r="A5" s="74" t="s">
        <v>154</v>
      </c>
      <c r="C5" s="74" t="n">
        <f aca="false">ROUNDUP(C4*1/12,0)</f>
        <v>1</v>
      </c>
      <c r="D5" s="74" t="n">
        <f aca="false">ROUNDUP(D4*1/12,0)</f>
        <v>1</v>
      </c>
      <c r="E5" s="74" t="n">
        <f aca="false">ROUNDUP(E4*1/12,0)</f>
        <v>1</v>
      </c>
      <c r="F5" s="74" t="n">
        <f aca="false">ROUNDUP(F4*1/12,0)</f>
        <v>1</v>
      </c>
      <c r="G5" s="74" t="n">
        <f aca="false">ROUNDUP(G4*1/12,0)</f>
        <v>1</v>
      </c>
      <c r="H5" s="74" t="n">
        <f aca="false">ROUNDUP(H4*1/12,0)</f>
        <v>1</v>
      </c>
      <c r="I5" s="74" t="n">
        <f aca="false">ROUNDUP(I4*1/12,0)</f>
        <v>1</v>
      </c>
      <c r="J5" s="74" t="n">
        <f aca="false">ROUNDUP(J4*1/12,0)</f>
        <v>1</v>
      </c>
      <c r="K5" s="74" t="n">
        <f aca="false">ROUNDUP(K4*1/12,0)</f>
        <v>1</v>
      </c>
      <c r="L5" s="74" t="n">
        <f aca="false">ROUNDUP(L4*1/12,0)</f>
        <v>1</v>
      </c>
      <c r="M5" s="74" t="n">
        <f aca="false">ROUNDUP(M4*1/12,0)</f>
        <v>1</v>
      </c>
      <c r="N5" s="74" t="n">
        <f aca="false">ROUNDUP(N4*1/12,0)</f>
        <v>1</v>
      </c>
      <c r="O5" s="74" t="n">
        <f aca="false">ROUNDUP(O4*1/12,0)</f>
        <v>2</v>
      </c>
      <c r="P5" s="74" t="n">
        <f aca="false">ROUNDUP(P4*1/12,0)</f>
        <v>2</v>
      </c>
      <c r="Q5" s="74" t="n">
        <f aca="false">ROUNDUP(Q4*1/12,0)</f>
        <v>2</v>
      </c>
      <c r="R5" s="74" t="n">
        <f aca="false">ROUNDUP(R4*1/12,0)</f>
        <v>2</v>
      </c>
      <c r="S5" s="74" t="n">
        <f aca="false">ROUNDUP(S4*1/12,0)</f>
        <v>2</v>
      </c>
      <c r="T5" s="74" t="n">
        <f aca="false">ROUNDUP(T4*1/12,0)</f>
        <v>2</v>
      </c>
      <c r="U5" s="74" t="n">
        <f aca="false">ROUNDUP(U4*1/12,0)</f>
        <v>2</v>
      </c>
      <c r="V5" s="74" t="n">
        <f aca="false">ROUNDUP(V4*1/12,0)</f>
        <v>2</v>
      </c>
      <c r="W5" s="74" t="n">
        <f aca="false">ROUNDUP(W4*1/12,0)</f>
        <v>2</v>
      </c>
      <c r="X5" s="74" t="n">
        <f aca="false">ROUNDUP(X4*1/12,0)</f>
        <v>2</v>
      </c>
      <c r="Y5" s="74" t="n">
        <f aca="false">ROUNDUP(Y4*1/12,0)</f>
        <v>2</v>
      </c>
      <c r="Z5" s="74" t="n">
        <f aca="false">ROUNDUP(Z4*1/12,0)</f>
        <v>2</v>
      </c>
      <c r="AA5" s="74" t="n">
        <f aca="false">ROUNDUP(AA4*1/12,0)</f>
        <v>3</v>
      </c>
      <c r="AB5" s="74" t="n">
        <f aca="false">ROUNDUP(AB4*1/12,0)</f>
        <v>3</v>
      </c>
      <c r="AC5" s="74" t="n">
        <f aca="false">ROUNDUP(AC4*1/12,0)</f>
        <v>3</v>
      </c>
      <c r="AD5" s="74" t="n">
        <f aca="false">ROUNDUP(AD4*1/12,0)</f>
        <v>3</v>
      </c>
      <c r="AE5" s="74" t="n">
        <f aca="false">ROUNDUP(AE4*1/12,0)</f>
        <v>3</v>
      </c>
      <c r="AF5" s="74" t="n">
        <f aca="false">ROUNDUP(AF4*1/12,0)</f>
        <v>3</v>
      </c>
      <c r="AG5" s="74" t="n">
        <f aca="false">ROUNDUP(AG4*1/12,0)</f>
        <v>3</v>
      </c>
      <c r="AH5" s="74" t="n">
        <f aca="false">ROUNDUP(AH4*1/12,0)</f>
        <v>3</v>
      </c>
      <c r="AI5" s="74" t="n">
        <f aca="false">ROUNDUP(AI4*1/12,0)</f>
        <v>3</v>
      </c>
      <c r="AJ5" s="74" t="n">
        <f aca="false">ROUNDUP(AJ4*1/12,0)</f>
        <v>3</v>
      </c>
      <c r="AK5" s="74" t="n">
        <f aca="false">ROUNDUP(AK4*1/12,0)</f>
        <v>3</v>
      </c>
      <c r="AL5" s="74" t="n">
        <f aca="false">ROUNDUP(AL4*1/12,0)</f>
        <v>3</v>
      </c>
    </row>
    <row r="7" customFormat="false" ht="15.75" hidden="false" customHeight="true" outlineLevel="0" collapsed="false">
      <c r="A7" s="7" t="s">
        <v>247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118" t="s">
        <v>387</v>
      </c>
      <c r="C8" s="119" t="n">
        <f aca="false">MAX(0,MIN(1,Inputs!$E$10-(C$4-1)*1))</f>
        <v>1</v>
      </c>
      <c r="D8" s="119" t="n">
        <f aca="false">MAX(0,MIN(1,Inputs!$E$10-(D$4-1)*1))</f>
        <v>1</v>
      </c>
      <c r="E8" s="119" t="n">
        <f aca="false">MAX(0,MIN(1,Inputs!$E$10-(E$4-1)*1))</f>
        <v>1</v>
      </c>
      <c r="F8" s="119" t="n">
        <f aca="false">MAX(0,MIN(1,Inputs!$E$10-(F$4-1)*1))</f>
        <v>1</v>
      </c>
      <c r="G8" s="119" t="n">
        <f aca="false">MAX(0,MIN(1,Inputs!$E$10-(G$4-1)*1))</f>
        <v>1</v>
      </c>
      <c r="H8" s="119" t="n">
        <f aca="false">MAX(0,MIN(1,Inputs!$E$10-(H$4-1)*1))</f>
        <v>1</v>
      </c>
      <c r="I8" s="119" t="n">
        <f aca="false">MAX(0,MIN(1,Inputs!$E$10-(I$4-1)*1))</f>
        <v>1</v>
      </c>
      <c r="J8" s="119" t="n">
        <f aca="false">MAX(0,MIN(1,Inputs!$E$10-(J$4-1)*1))</f>
        <v>1</v>
      </c>
      <c r="K8" s="119" t="n">
        <f aca="false">MAX(0,MIN(1,Inputs!$E$10-(K$4-1)*1))</f>
        <v>1</v>
      </c>
      <c r="L8" s="119" t="n">
        <f aca="false">MAX(0,MIN(1,Inputs!$E$10-(L$4-1)*1))</f>
        <v>1</v>
      </c>
      <c r="M8" s="119" t="n">
        <f aca="false">MAX(0,MIN(1,Inputs!$E$10-(M$4-1)*1))</f>
        <v>0</v>
      </c>
      <c r="N8" s="119" t="n">
        <f aca="false">MAX(0,MIN(1,Inputs!$E$10-(N$4-1)*1))</f>
        <v>0</v>
      </c>
      <c r="O8" s="119" t="n">
        <f aca="false">MAX(0,MIN(1,Inputs!$E$10-(O$4-1)*1))</f>
        <v>0</v>
      </c>
      <c r="P8" s="119" t="n">
        <f aca="false">MAX(0,MIN(1,Inputs!$E$10-(P$4-1)*1))</f>
        <v>0</v>
      </c>
      <c r="Q8" s="119" t="n">
        <f aca="false">MAX(0,MIN(1,Inputs!$E$10-(Q$4-1)*1))</f>
        <v>0</v>
      </c>
      <c r="R8" s="119" t="n">
        <f aca="false">MAX(0,MIN(1,Inputs!$E$10-(R$4-1)*1))</f>
        <v>0</v>
      </c>
      <c r="S8" s="119" t="n">
        <f aca="false">MAX(0,MIN(1,Inputs!$E$10-(S$4-1)*1))</f>
        <v>0</v>
      </c>
      <c r="T8" s="119" t="n">
        <f aca="false">MAX(0,MIN(1,Inputs!$E$10-(T$4-1)*1))</f>
        <v>0</v>
      </c>
      <c r="U8" s="119" t="n">
        <f aca="false">MAX(0,MIN(1,Inputs!$E$10-(U$4-1)*1))</f>
        <v>0</v>
      </c>
      <c r="V8" s="119" t="n">
        <f aca="false">MAX(0,MIN(1,Inputs!$E$10-(V$4-1)*1))</f>
        <v>0</v>
      </c>
      <c r="W8" s="119" t="n">
        <f aca="false">MAX(0,MIN(1,Inputs!$E$10-(W$4-1)*1))</f>
        <v>0</v>
      </c>
      <c r="X8" s="119" t="n">
        <f aca="false">MAX(0,MIN(1,Inputs!$E$10-(X$4-1)*1))</f>
        <v>0</v>
      </c>
      <c r="Y8" s="119" t="n">
        <f aca="false">MAX(0,MIN(1,Inputs!$E$10-(Y$4-1)*1))</f>
        <v>0</v>
      </c>
      <c r="Z8" s="119" t="n">
        <f aca="false">MAX(0,MIN(1,Inputs!$E$10-(Z$4-1)*1))</f>
        <v>0</v>
      </c>
      <c r="AA8" s="119" t="n">
        <f aca="false">MAX(0,MIN(1,Inputs!$E$10-(AA$4-1)*1))</f>
        <v>0</v>
      </c>
      <c r="AB8" s="119" t="n">
        <f aca="false">MAX(0,MIN(1,Inputs!$E$10-(AB$4-1)*1))</f>
        <v>0</v>
      </c>
      <c r="AC8" s="119" t="n">
        <f aca="false">MAX(0,MIN(1,Inputs!$E$10-(AC$4-1)*1))</f>
        <v>0</v>
      </c>
      <c r="AD8" s="119" t="n">
        <f aca="false">MAX(0,MIN(1,Inputs!$E$10-(AD$4-1)*1))</f>
        <v>0</v>
      </c>
      <c r="AE8" s="119" t="n">
        <f aca="false">MAX(0,MIN(1,Inputs!$E$10-(AE$4-1)*1))</f>
        <v>0</v>
      </c>
      <c r="AF8" s="119" t="n">
        <f aca="false">MAX(0,MIN(1,Inputs!$E$10-(AF$4-1)*1))</f>
        <v>0</v>
      </c>
      <c r="AG8" s="119" t="n">
        <f aca="false">MAX(0,MIN(1,Inputs!$E$10-(AG$4-1)*1))</f>
        <v>0</v>
      </c>
      <c r="AH8" s="119" t="n">
        <f aca="false">MAX(0,MIN(1,Inputs!$E$10-(AH$4-1)*1))</f>
        <v>0</v>
      </c>
      <c r="AI8" s="119" t="n">
        <f aca="false">MAX(0,MIN(1,Inputs!$E$10-(AI$4-1)*1))</f>
        <v>0</v>
      </c>
      <c r="AJ8" s="119" t="n">
        <f aca="false">MAX(0,MIN(1,Inputs!$E$10-(AJ$4-1)*1))</f>
        <v>0</v>
      </c>
      <c r="AK8" s="119" t="n">
        <f aca="false">MAX(0,MIN(1,Inputs!$E$10-(AK$4-1)*1))</f>
        <v>0</v>
      </c>
      <c r="AL8" s="119" t="n">
        <f aca="false">MAX(0,MIN(1,Inputs!$E$10-(AL$4-1)*1))</f>
        <v>0</v>
      </c>
    </row>
    <row r="9" customFormat="false" ht="15" hidden="false" customHeight="false" outlineLevel="0" collapsed="false">
      <c r="A9" s="39" t="s">
        <v>388</v>
      </c>
      <c r="C9" s="76" t="n">
        <f aca="false">IF(Inputs!$E$10&lt;=0,1,(C8*Inputs!$E$11+(1-Inputs!$E$11)/MAX(1,Inputs!$E$10)*(C8*(C$4-1)*1+C8*(C8-1)/2)+1-C8)/1)</f>
        <v>0.4</v>
      </c>
      <c r="D9" s="76" t="n">
        <f aca="false">IF(Inputs!$E$10&lt;=0,1,(D8*Inputs!$E$11+(1-Inputs!$E$11)/MAX(1,Inputs!$E$10)*(D8*(D$4-1)*1+D8*(D8-1)/2)+1-D8)/1)</f>
        <v>0.46</v>
      </c>
      <c r="E9" s="76" t="n">
        <f aca="false">IF(Inputs!$E$10&lt;=0,1,(E8*Inputs!$E$11+(1-Inputs!$E$11)/MAX(1,Inputs!$E$10)*(E8*(E$4-1)*1+E8*(E8-1)/2)+1-E8)/1)</f>
        <v>0.52</v>
      </c>
      <c r="F9" s="76" t="n">
        <f aca="false">IF(Inputs!$E$10&lt;=0,1,(F8*Inputs!$E$11+(1-Inputs!$E$11)/MAX(1,Inputs!$E$10)*(F8*(F$4-1)*1+F8*(F8-1)/2)+1-F8)/1)</f>
        <v>0.58</v>
      </c>
      <c r="G9" s="76" t="n">
        <f aca="false">IF(Inputs!$E$10&lt;=0,1,(G8*Inputs!$E$11+(1-Inputs!$E$11)/MAX(1,Inputs!$E$10)*(G8*(G$4-1)*1+G8*(G8-1)/2)+1-G8)/1)</f>
        <v>0.64</v>
      </c>
      <c r="H9" s="76" t="n">
        <f aca="false">IF(Inputs!$E$10&lt;=0,1,(H8*Inputs!$E$11+(1-Inputs!$E$11)/MAX(1,Inputs!$E$10)*(H8*(H$4-1)*1+H8*(H8-1)/2)+1-H8)/1)</f>
        <v>0.7</v>
      </c>
      <c r="I9" s="76" t="n">
        <f aca="false">IF(Inputs!$E$10&lt;=0,1,(I8*Inputs!$E$11+(1-Inputs!$E$11)/MAX(1,Inputs!$E$10)*(I8*(I$4-1)*1+I8*(I8-1)/2)+1-I8)/1)</f>
        <v>0.76</v>
      </c>
      <c r="J9" s="76" t="n">
        <f aca="false">IF(Inputs!$E$10&lt;=0,1,(J8*Inputs!$E$11+(1-Inputs!$E$11)/MAX(1,Inputs!$E$10)*(J8*(J$4-1)*1+J8*(J8-1)/2)+1-J8)/1)</f>
        <v>0.82</v>
      </c>
      <c r="K9" s="76" t="n">
        <f aca="false">IF(Inputs!$E$10&lt;=0,1,(K8*Inputs!$E$11+(1-Inputs!$E$11)/MAX(1,Inputs!$E$10)*(K8*(K$4-1)*1+K8*(K8-1)/2)+1-K8)/1)</f>
        <v>0.88</v>
      </c>
      <c r="L9" s="76" t="n">
        <f aca="false">IF(Inputs!$E$10&lt;=0,1,(L8*Inputs!$E$11+(1-Inputs!$E$11)/MAX(1,Inputs!$E$10)*(L8*(L$4-1)*1+L8*(L8-1)/2)+1-L8)/1)</f>
        <v>0.94</v>
      </c>
      <c r="M9" s="76" t="n">
        <f aca="false">IF(Inputs!$E$10&lt;=0,1,(M8*Inputs!$E$11+(1-Inputs!$E$11)/MAX(1,Inputs!$E$10)*(M8*(M$4-1)*1+M8*(M8-1)/2)+1-M8)/1)</f>
        <v>1</v>
      </c>
      <c r="N9" s="76" t="n">
        <f aca="false">IF(Inputs!$E$10&lt;=0,1,(N8*Inputs!$E$11+(1-Inputs!$E$11)/MAX(1,Inputs!$E$10)*(N8*(N$4-1)*1+N8*(N8-1)/2)+1-N8)/1)</f>
        <v>1</v>
      </c>
      <c r="O9" s="76" t="n">
        <f aca="false">IF(Inputs!$E$10&lt;=0,1,(O8*Inputs!$E$11+(1-Inputs!$E$11)/MAX(1,Inputs!$E$10)*(O8*(O$4-1)*1+O8*(O8-1)/2)+1-O8)/1)</f>
        <v>1</v>
      </c>
      <c r="P9" s="76" t="n">
        <f aca="false">IF(Inputs!$E$10&lt;=0,1,(P8*Inputs!$E$11+(1-Inputs!$E$11)/MAX(1,Inputs!$E$10)*(P8*(P$4-1)*1+P8*(P8-1)/2)+1-P8)/1)</f>
        <v>1</v>
      </c>
      <c r="Q9" s="76" t="n">
        <f aca="false">IF(Inputs!$E$10&lt;=0,1,(Q8*Inputs!$E$11+(1-Inputs!$E$11)/MAX(1,Inputs!$E$10)*(Q8*(Q$4-1)*1+Q8*(Q8-1)/2)+1-Q8)/1)</f>
        <v>1</v>
      </c>
      <c r="R9" s="76" t="n">
        <f aca="false">IF(Inputs!$E$10&lt;=0,1,(R8*Inputs!$E$11+(1-Inputs!$E$11)/MAX(1,Inputs!$E$10)*(R8*(R$4-1)*1+R8*(R8-1)/2)+1-R8)/1)</f>
        <v>1</v>
      </c>
      <c r="S9" s="76" t="n">
        <f aca="false">IF(Inputs!$E$10&lt;=0,1,(S8*Inputs!$E$11+(1-Inputs!$E$11)/MAX(1,Inputs!$E$10)*(S8*(S$4-1)*1+S8*(S8-1)/2)+1-S8)/1)</f>
        <v>1</v>
      </c>
      <c r="T9" s="76" t="n">
        <f aca="false">IF(Inputs!$E$10&lt;=0,1,(T8*Inputs!$E$11+(1-Inputs!$E$11)/MAX(1,Inputs!$E$10)*(T8*(T$4-1)*1+T8*(T8-1)/2)+1-T8)/1)</f>
        <v>1</v>
      </c>
      <c r="U9" s="76" t="n">
        <f aca="false">IF(Inputs!$E$10&lt;=0,1,(U8*Inputs!$E$11+(1-Inputs!$E$11)/MAX(1,Inputs!$E$10)*(U8*(U$4-1)*1+U8*(U8-1)/2)+1-U8)/1)</f>
        <v>1</v>
      </c>
      <c r="V9" s="76" t="n">
        <f aca="false">IF(Inputs!$E$10&lt;=0,1,(V8*Inputs!$E$11+(1-Inputs!$E$11)/MAX(1,Inputs!$E$10)*(V8*(V$4-1)*1+V8*(V8-1)/2)+1-V8)/1)</f>
        <v>1</v>
      </c>
      <c r="W9" s="76" t="n">
        <f aca="false">IF(Inputs!$E$10&lt;=0,1,(W8*Inputs!$E$11+(1-Inputs!$E$11)/MAX(1,Inputs!$E$10)*(W8*(W$4-1)*1+W8*(W8-1)/2)+1-W8)/1)</f>
        <v>1</v>
      </c>
      <c r="X9" s="76" t="n">
        <f aca="false">IF(Inputs!$E$10&lt;=0,1,(X8*Inputs!$E$11+(1-Inputs!$E$11)/MAX(1,Inputs!$E$10)*(X8*(X$4-1)*1+X8*(X8-1)/2)+1-X8)/1)</f>
        <v>1</v>
      </c>
      <c r="Y9" s="76" t="n">
        <f aca="false">IF(Inputs!$E$10&lt;=0,1,(Y8*Inputs!$E$11+(1-Inputs!$E$11)/MAX(1,Inputs!$E$10)*(Y8*(Y$4-1)*1+Y8*(Y8-1)/2)+1-Y8)/1)</f>
        <v>1</v>
      </c>
      <c r="Z9" s="76" t="n">
        <f aca="false">IF(Inputs!$E$10&lt;=0,1,(Z8*Inputs!$E$11+(1-Inputs!$E$11)/MAX(1,Inputs!$E$10)*(Z8*(Z$4-1)*1+Z8*(Z8-1)/2)+1-Z8)/1)</f>
        <v>1</v>
      </c>
      <c r="AA9" s="76" t="n">
        <f aca="false">IF(Inputs!$E$10&lt;=0,1,(AA8*Inputs!$E$11+(1-Inputs!$E$11)/MAX(1,Inputs!$E$10)*(AA8*(AA$4-1)*1+AA8*(AA8-1)/2)+1-AA8)/1)</f>
        <v>1</v>
      </c>
      <c r="AB9" s="76" t="n">
        <f aca="false">IF(Inputs!$E$10&lt;=0,1,(AB8*Inputs!$E$11+(1-Inputs!$E$11)/MAX(1,Inputs!$E$10)*(AB8*(AB$4-1)*1+AB8*(AB8-1)/2)+1-AB8)/1)</f>
        <v>1</v>
      </c>
      <c r="AC9" s="76" t="n">
        <f aca="false">IF(Inputs!$E$10&lt;=0,1,(AC8*Inputs!$E$11+(1-Inputs!$E$11)/MAX(1,Inputs!$E$10)*(AC8*(AC$4-1)*1+AC8*(AC8-1)/2)+1-AC8)/1)</f>
        <v>1</v>
      </c>
      <c r="AD9" s="76" t="n">
        <f aca="false">IF(Inputs!$E$10&lt;=0,1,(AD8*Inputs!$E$11+(1-Inputs!$E$11)/MAX(1,Inputs!$E$10)*(AD8*(AD$4-1)*1+AD8*(AD8-1)/2)+1-AD8)/1)</f>
        <v>1</v>
      </c>
      <c r="AE9" s="76" t="n">
        <f aca="false">IF(Inputs!$E$10&lt;=0,1,(AE8*Inputs!$E$11+(1-Inputs!$E$11)/MAX(1,Inputs!$E$10)*(AE8*(AE$4-1)*1+AE8*(AE8-1)/2)+1-AE8)/1)</f>
        <v>1</v>
      </c>
      <c r="AF9" s="76" t="n">
        <f aca="false">IF(Inputs!$E$10&lt;=0,1,(AF8*Inputs!$E$11+(1-Inputs!$E$11)/MAX(1,Inputs!$E$10)*(AF8*(AF$4-1)*1+AF8*(AF8-1)/2)+1-AF8)/1)</f>
        <v>1</v>
      </c>
      <c r="AG9" s="76" t="n">
        <f aca="false">IF(Inputs!$E$10&lt;=0,1,(AG8*Inputs!$E$11+(1-Inputs!$E$11)/MAX(1,Inputs!$E$10)*(AG8*(AG$4-1)*1+AG8*(AG8-1)/2)+1-AG8)/1)</f>
        <v>1</v>
      </c>
      <c r="AH9" s="76" t="n">
        <f aca="false">IF(Inputs!$E$10&lt;=0,1,(AH8*Inputs!$E$11+(1-Inputs!$E$11)/MAX(1,Inputs!$E$10)*(AH8*(AH$4-1)*1+AH8*(AH8-1)/2)+1-AH8)/1)</f>
        <v>1</v>
      </c>
      <c r="AI9" s="76" t="n">
        <f aca="false">IF(Inputs!$E$10&lt;=0,1,(AI8*Inputs!$E$11+(1-Inputs!$E$11)/MAX(1,Inputs!$E$10)*(AI8*(AI$4-1)*1+AI8*(AI8-1)/2)+1-AI8)/1)</f>
        <v>1</v>
      </c>
      <c r="AJ9" s="76" t="n">
        <f aca="false">IF(Inputs!$E$10&lt;=0,1,(AJ8*Inputs!$E$11+(1-Inputs!$E$11)/MAX(1,Inputs!$E$10)*(AJ8*(AJ$4-1)*1+AJ8*(AJ8-1)/2)+1-AJ8)/1)</f>
        <v>1</v>
      </c>
      <c r="AK9" s="76" t="n">
        <f aca="false">IF(Inputs!$E$10&lt;=0,1,(AK8*Inputs!$E$11+(1-Inputs!$E$11)/MAX(1,Inputs!$E$10)*(AK8*(AK$4-1)*1+AK8*(AK8-1)/2)+1-AK8)/1)</f>
        <v>1</v>
      </c>
      <c r="AL9" s="76" t="n">
        <f aca="false">IF(Inputs!$E$10&lt;=0,1,(AL8*Inputs!$E$11+(1-Inputs!$E$11)/MAX(1,Inputs!$E$10)*(AL8*(AL$4-1)*1+AL8*(AL8-1)/2)+1-AL8)/1)</f>
        <v>1</v>
      </c>
    </row>
    <row r="10" customFormat="false" ht="15" hidden="false" customHeight="false" outlineLevel="0" collapsed="false">
      <c r="A10" s="6" t="s">
        <v>389</v>
      </c>
      <c r="C10" s="120" t="n">
        <f aca="false">Inputs!$E$7*(1+Inputs!$E$8)^(C$5-1)*Inputs!$E$9*1*C9</f>
        <v>166.4</v>
      </c>
      <c r="D10" s="120" t="n">
        <f aca="false">Inputs!$E$7*(1+Inputs!$E$8)^(D$5-1)*Inputs!$E$9*1*D9</f>
        <v>191.36</v>
      </c>
      <c r="E10" s="120" t="n">
        <f aca="false">Inputs!$E$7*(1+Inputs!$E$8)^(E$5-1)*Inputs!$E$9*1*E9</f>
        <v>216.32</v>
      </c>
      <c r="F10" s="120" t="n">
        <f aca="false">Inputs!$E$7*(1+Inputs!$E$8)^(F$5-1)*Inputs!$E$9*1*F9</f>
        <v>241.28</v>
      </c>
      <c r="G10" s="120" t="n">
        <f aca="false">Inputs!$E$7*(1+Inputs!$E$8)^(G$5-1)*Inputs!$E$9*1*G9</f>
        <v>266.24</v>
      </c>
      <c r="H10" s="120" t="n">
        <f aca="false">Inputs!$E$7*(1+Inputs!$E$8)^(H$5-1)*Inputs!$E$9*1*H9</f>
        <v>291.2</v>
      </c>
      <c r="I10" s="120" t="n">
        <f aca="false">Inputs!$E$7*(1+Inputs!$E$8)^(I$5-1)*Inputs!$E$9*1*I9</f>
        <v>316.16</v>
      </c>
      <c r="J10" s="120" t="n">
        <f aca="false">Inputs!$E$7*(1+Inputs!$E$8)^(J$5-1)*Inputs!$E$9*1*J9</f>
        <v>341.12</v>
      </c>
      <c r="K10" s="120" t="n">
        <f aca="false">Inputs!$E$7*(1+Inputs!$E$8)^(K$5-1)*Inputs!$E$9*1*K9</f>
        <v>366.08</v>
      </c>
      <c r="L10" s="120" t="n">
        <f aca="false">Inputs!$E$7*(1+Inputs!$E$8)^(L$5-1)*Inputs!$E$9*1*L9</f>
        <v>391.04</v>
      </c>
      <c r="M10" s="120" t="n">
        <f aca="false">Inputs!$E$7*(1+Inputs!$E$8)^(M$5-1)*Inputs!$E$9*1*M9</f>
        <v>416</v>
      </c>
      <c r="N10" s="120" t="n">
        <f aca="false">Inputs!$E$7*(1+Inputs!$E$8)^(N$5-1)*Inputs!$E$9*1*N9</f>
        <v>416</v>
      </c>
      <c r="O10" s="120" t="n">
        <f aca="false">Inputs!$E$7*(1+Inputs!$E$8)^(O$5-1)*Inputs!$E$9*1*O9</f>
        <v>428.48</v>
      </c>
      <c r="P10" s="120" t="n">
        <f aca="false">Inputs!$E$7*(1+Inputs!$E$8)^(P$5-1)*Inputs!$E$9*1*P9</f>
        <v>428.48</v>
      </c>
      <c r="Q10" s="120" t="n">
        <f aca="false">Inputs!$E$7*(1+Inputs!$E$8)^(Q$5-1)*Inputs!$E$9*1*Q9</f>
        <v>428.48</v>
      </c>
      <c r="R10" s="120" t="n">
        <f aca="false">Inputs!$E$7*(1+Inputs!$E$8)^(R$5-1)*Inputs!$E$9*1*R9</f>
        <v>428.48</v>
      </c>
      <c r="S10" s="120" t="n">
        <f aca="false">Inputs!$E$7*(1+Inputs!$E$8)^(S$5-1)*Inputs!$E$9*1*S9</f>
        <v>428.48</v>
      </c>
      <c r="T10" s="120" t="n">
        <f aca="false">Inputs!$E$7*(1+Inputs!$E$8)^(T$5-1)*Inputs!$E$9*1*T9</f>
        <v>428.48</v>
      </c>
      <c r="U10" s="120" t="n">
        <f aca="false">Inputs!$E$7*(1+Inputs!$E$8)^(U$5-1)*Inputs!$E$9*1*U9</f>
        <v>428.48</v>
      </c>
      <c r="V10" s="120" t="n">
        <f aca="false">Inputs!$E$7*(1+Inputs!$E$8)^(V$5-1)*Inputs!$E$9*1*V9</f>
        <v>428.48</v>
      </c>
      <c r="W10" s="120" t="n">
        <f aca="false">Inputs!$E$7*(1+Inputs!$E$8)^(W$5-1)*Inputs!$E$9*1*W9</f>
        <v>428.48</v>
      </c>
      <c r="X10" s="120" t="n">
        <f aca="false">Inputs!$E$7*(1+Inputs!$E$8)^(X$5-1)*Inputs!$E$9*1*X9</f>
        <v>428.48</v>
      </c>
      <c r="Y10" s="120" t="n">
        <f aca="false">Inputs!$E$7*(1+Inputs!$E$8)^(Y$5-1)*Inputs!$E$9*1*Y9</f>
        <v>428.48</v>
      </c>
      <c r="Z10" s="120" t="n">
        <f aca="false">Inputs!$E$7*(1+Inputs!$E$8)^(Z$5-1)*Inputs!$E$9*1*Z9</f>
        <v>428.48</v>
      </c>
      <c r="AA10" s="120" t="n">
        <f aca="false">Inputs!$E$7*(1+Inputs!$E$8)^(AA$5-1)*Inputs!$E$9*1*AA9</f>
        <v>441.3344</v>
      </c>
      <c r="AB10" s="120" t="n">
        <f aca="false">Inputs!$E$7*(1+Inputs!$E$8)^(AB$5-1)*Inputs!$E$9*1*AB9</f>
        <v>441.3344</v>
      </c>
      <c r="AC10" s="120" t="n">
        <f aca="false">Inputs!$E$7*(1+Inputs!$E$8)^(AC$5-1)*Inputs!$E$9*1*AC9</f>
        <v>441.3344</v>
      </c>
      <c r="AD10" s="120" t="n">
        <f aca="false">Inputs!$E$7*(1+Inputs!$E$8)^(AD$5-1)*Inputs!$E$9*1*AD9</f>
        <v>441.3344</v>
      </c>
      <c r="AE10" s="120" t="n">
        <f aca="false">Inputs!$E$7*(1+Inputs!$E$8)^(AE$5-1)*Inputs!$E$9*1*AE9</f>
        <v>441.3344</v>
      </c>
      <c r="AF10" s="120" t="n">
        <f aca="false">Inputs!$E$7*(1+Inputs!$E$8)^(AF$5-1)*Inputs!$E$9*1*AF9</f>
        <v>441.3344</v>
      </c>
      <c r="AG10" s="120" t="n">
        <f aca="false">Inputs!$E$7*(1+Inputs!$E$8)^(AG$5-1)*Inputs!$E$9*1*AG9</f>
        <v>441.3344</v>
      </c>
      <c r="AH10" s="120" t="n">
        <f aca="false">Inputs!$E$7*(1+Inputs!$E$8)^(AH$5-1)*Inputs!$E$9*1*AH9</f>
        <v>441.3344</v>
      </c>
      <c r="AI10" s="120" t="n">
        <f aca="false">Inputs!$E$7*(1+Inputs!$E$8)^(AI$5-1)*Inputs!$E$9*1*AI9</f>
        <v>441.3344</v>
      </c>
      <c r="AJ10" s="120" t="n">
        <f aca="false">Inputs!$E$7*(1+Inputs!$E$8)^(AJ$5-1)*Inputs!$E$9*1*AJ9</f>
        <v>441.3344</v>
      </c>
      <c r="AK10" s="120" t="n">
        <f aca="false">Inputs!$E$7*(1+Inputs!$E$8)^(AK$5-1)*Inputs!$E$9*1*AK9</f>
        <v>441.3344</v>
      </c>
      <c r="AL10" s="120" t="n">
        <f aca="false">Inputs!$E$7*(1+Inputs!$E$8)^(AL$5-1)*Inputs!$E$9*1*AL9</f>
        <v>441.3344</v>
      </c>
    </row>
    <row r="12" customFormat="false" ht="15.75" hidden="false" customHeight="true" outlineLevel="0" collapsed="false">
      <c r="A12" s="7" t="s">
        <v>259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customFormat="false" ht="15" hidden="false" customHeight="false" outlineLevel="0" collapsed="false">
      <c r="A13" s="6" t="s">
        <v>231</v>
      </c>
      <c r="C13" s="121" t="n">
        <f aca="false">Headcount!C8</f>
        <v>4</v>
      </c>
      <c r="D13" s="121" t="n">
        <f aca="false">Headcount!D8</f>
        <v>4</v>
      </c>
      <c r="E13" s="121" t="n">
        <f aca="false">Headcount!E8</f>
        <v>4</v>
      </c>
      <c r="F13" s="121" t="n">
        <f aca="false">Headcount!F8</f>
        <v>4</v>
      </c>
      <c r="G13" s="121" t="n">
        <f aca="false">Headcount!G8</f>
        <v>4</v>
      </c>
      <c r="H13" s="121" t="n">
        <f aca="false">Headcount!H8</f>
        <v>4</v>
      </c>
      <c r="I13" s="121" t="n">
        <f aca="false">Headcount!I8</f>
        <v>4</v>
      </c>
      <c r="J13" s="121" t="n">
        <f aca="false">Headcount!J8</f>
        <v>4</v>
      </c>
      <c r="K13" s="121" t="n">
        <f aca="false">Headcount!K8</f>
        <v>4</v>
      </c>
      <c r="L13" s="121" t="n">
        <f aca="false">Headcount!L8</f>
        <v>4</v>
      </c>
      <c r="M13" s="121" t="n">
        <f aca="false">Headcount!M8</f>
        <v>4</v>
      </c>
      <c r="N13" s="121" t="n">
        <f aca="false">Headcount!N8</f>
        <v>4</v>
      </c>
      <c r="O13" s="121" t="n">
        <f aca="false">Headcount!O8</f>
        <v>4</v>
      </c>
      <c r="P13" s="121" t="n">
        <f aca="false">Headcount!P8</f>
        <v>4</v>
      </c>
      <c r="Q13" s="121" t="n">
        <f aca="false">Headcount!Q8</f>
        <v>4</v>
      </c>
      <c r="R13" s="121" t="n">
        <f aca="false">Headcount!R8</f>
        <v>4</v>
      </c>
      <c r="S13" s="121" t="n">
        <f aca="false">Headcount!S8</f>
        <v>4</v>
      </c>
      <c r="T13" s="121" t="n">
        <f aca="false">Headcount!T8</f>
        <v>4</v>
      </c>
      <c r="U13" s="121" t="n">
        <f aca="false">Headcount!U8</f>
        <v>4</v>
      </c>
      <c r="V13" s="121" t="n">
        <f aca="false">Headcount!V8</f>
        <v>4</v>
      </c>
      <c r="W13" s="121" t="n">
        <f aca="false">Headcount!W8</f>
        <v>4</v>
      </c>
      <c r="X13" s="121" t="n">
        <f aca="false">Headcount!X8</f>
        <v>4</v>
      </c>
      <c r="Y13" s="121" t="n">
        <f aca="false">Headcount!Y8</f>
        <v>4</v>
      </c>
      <c r="Z13" s="121" t="n">
        <f aca="false">Headcount!Z8</f>
        <v>4</v>
      </c>
      <c r="AA13" s="121" t="n">
        <f aca="false">Headcount!AA8</f>
        <v>4</v>
      </c>
      <c r="AB13" s="121" t="n">
        <f aca="false">Headcount!AB8</f>
        <v>4</v>
      </c>
      <c r="AC13" s="121" t="n">
        <f aca="false">Headcount!AC8</f>
        <v>4</v>
      </c>
      <c r="AD13" s="121" t="n">
        <f aca="false">Headcount!AD8</f>
        <v>4</v>
      </c>
      <c r="AE13" s="121" t="n">
        <f aca="false">Headcount!AE8</f>
        <v>4</v>
      </c>
      <c r="AF13" s="121" t="n">
        <f aca="false">Headcount!AF8</f>
        <v>4</v>
      </c>
      <c r="AG13" s="121" t="n">
        <f aca="false">Headcount!AG8</f>
        <v>4</v>
      </c>
      <c r="AH13" s="121" t="n">
        <f aca="false">Headcount!AH8</f>
        <v>4</v>
      </c>
      <c r="AI13" s="121" t="n">
        <f aca="false">Headcount!AI8</f>
        <v>4</v>
      </c>
      <c r="AJ13" s="121" t="n">
        <f aca="false">Headcount!AJ8</f>
        <v>4</v>
      </c>
      <c r="AK13" s="121" t="n">
        <f aca="false">Headcount!AK8</f>
        <v>4</v>
      </c>
      <c r="AL13" s="121" t="n">
        <f aca="false">Headcount!AL8</f>
        <v>4</v>
      </c>
    </row>
    <row r="14" customFormat="false" ht="15" hidden="false" customHeight="false" outlineLevel="0" collapsed="false">
      <c r="A14" s="6" t="s">
        <v>390</v>
      </c>
      <c r="C14" s="120" t="n">
        <f aca="false">Inputs!$E$14*Inputs!$E$15*Inputs!$E$9*1</f>
        <v>624</v>
      </c>
      <c r="D14" s="120" t="n">
        <f aca="false">Inputs!$E$14*Inputs!$E$15*Inputs!$E$9*1</f>
        <v>624</v>
      </c>
      <c r="E14" s="120" t="n">
        <f aca="false">Inputs!$E$14*Inputs!$E$15*Inputs!$E$9*1</f>
        <v>624</v>
      </c>
      <c r="F14" s="120" t="n">
        <f aca="false">Inputs!$E$14*Inputs!$E$15*Inputs!$E$9*1</f>
        <v>624</v>
      </c>
      <c r="G14" s="120" t="n">
        <f aca="false">Inputs!$E$14*Inputs!$E$15*Inputs!$E$9*1</f>
        <v>624</v>
      </c>
      <c r="H14" s="120" t="n">
        <f aca="false">Inputs!$E$14*Inputs!$E$15*Inputs!$E$9*1</f>
        <v>624</v>
      </c>
      <c r="I14" s="120" t="n">
        <f aca="false">Inputs!$E$14*Inputs!$E$15*Inputs!$E$9*1</f>
        <v>624</v>
      </c>
      <c r="J14" s="120" t="n">
        <f aca="false">Inputs!$E$14*Inputs!$E$15*Inputs!$E$9*1</f>
        <v>624</v>
      </c>
      <c r="K14" s="120" t="n">
        <f aca="false">Inputs!$E$14*Inputs!$E$15*Inputs!$E$9*1</f>
        <v>624</v>
      </c>
      <c r="L14" s="120" t="n">
        <f aca="false">Inputs!$E$14*Inputs!$E$15*Inputs!$E$9*1</f>
        <v>624</v>
      </c>
      <c r="M14" s="120" t="n">
        <f aca="false">Inputs!$E$14*Inputs!$E$15*Inputs!$E$9*1</f>
        <v>624</v>
      </c>
      <c r="N14" s="120" t="n">
        <f aca="false">Inputs!$E$14*Inputs!$E$15*Inputs!$E$9*1</f>
        <v>624</v>
      </c>
      <c r="O14" s="120" t="n">
        <f aca="false">Inputs!$E$14*Inputs!$E$15*Inputs!$E$9*1</f>
        <v>624</v>
      </c>
      <c r="P14" s="120" t="n">
        <f aca="false">Inputs!$E$14*Inputs!$E$15*Inputs!$E$9*1</f>
        <v>624</v>
      </c>
      <c r="Q14" s="120" t="n">
        <f aca="false">Inputs!$E$14*Inputs!$E$15*Inputs!$E$9*1</f>
        <v>624</v>
      </c>
      <c r="R14" s="120" t="n">
        <f aca="false">Inputs!$E$14*Inputs!$E$15*Inputs!$E$9*1</f>
        <v>624</v>
      </c>
      <c r="S14" s="120" t="n">
        <f aca="false">Inputs!$E$14*Inputs!$E$15*Inputs!$E$9*1</f>
        <v>624</v>
      </c>
      <c r="T14" s="120" t="n">
        <f aca="false">Inputs!$E$14*Inputs!$E$15*Inputs!$E$9*1</f>
        <v>624</v>
      </c>
      <c r="U14" s="120" t="n">
        <f aca="false">Inputs!$E$14*Inputs!$E$15*Inputs!$E$9*1</f>
        <v>624</v>
      </c>
      <c r="V14" s="120" t="n">
        <f aca="false">Inputs!$E$14*Inputs!$E$15*Inputs!$E$9*1</f>
        <v>624</v>
      </c>
      <c r="W14" s="120" t="n">
        <f aca="false">Inputs!$E$14*Inputs!$E$15*Inputs!$E$9*1</f>
        <v>624</v>
      </c>
      <c r="X14" s="120" t="n">
        <f aca="false">Inputs!$E$14*Inputs!$E$15*Inputs!$E$9*1</f>
        <v>624</v>
      </c>
      <c r="Y14" s="120" t="n">
        <f aca="false">Inputs!$E$14*Inputs!$E$15*Inputs!$E$9*1</f>
        <v>624</v>
      </c>
      <c r="Z14" s="120" t="n">
        <f aca="false">Inputs!$E$14*Inputs!$E$15*Inputs!$E$9*1</f>
        <v>624</v>
      </c>
      <c r="AA14" s="120" t="n">
        <f aca="false">Inputs!$E$14*Inputs!$E$15*Inputs!$E$9*1</f>
        <v>624</v>
      </c>
      <c r="AB14" s="120" t="n">
        <f aca="false">Inputs!$E$14*Inputs!$E$15*Inputs!$E$9*1</f>
        <v>624</v>
      </c>
      <c r="AC14" s="120" t="n">
        <f aca="false">Inputs!$E$14*Inputs!$E$15*Inputs!$E$9*1</f>
        <v>624</v>
      </c>
      <c r="AD14" s="120" t="n">
        <f aca="false">Inputs!$E$14*Inputs!$E$15*Inputs!$E$9*1</f>
        <v>624</v>
      </c>
      <c r="AE14" s="120" t="n">
        <f aca="false">Inputs!$E$14*Inputs!$E$15*Inputs!$E$9*1</f>
        <v>624</v>
      </c>
      <c r="AF14" s="120" t="n">
        <f aca="false">Inputs!$E$14*Inputs!$E$15*Inputs!$E$9*1</f>
        <v>624</v>
      </c>
      <c r="AG14" s="120" t="n">
        <f aca="false">Inputs!$E$14*Inputs!$E$15*Inputs!$E$9*1</f>
        <v>624</v>
      </c>
      <c r="AH14" s="120" t="n">
        <f aca="false">Inputs!$E$14*Inputs!$E$15*Inputs!$E$9*1</f>
        <v>624</v>
      </c>
      <c r="AI14" s="120" t="n">
        <f aca="false">Inputs!$E$14*Inputs!$E$15*Inputs!$E$9*1</f>
        <v>624</v>
      </c>
      <c r="AJ14" s="120" t="n">
        <f aca="false">Inputs!$E$14*Inputs!$E$15*Inputs!$E$9*1</f>
        <v>624</v>
      </c>
      <c r="AK14" s="120" t="n">
        <f aca="false">Inputs!$E$14*Inputs!$E$15*Inputs!$E$9*1</f>
        <v>624</v>
      </c>
      <c r="AL14" s="120" t="n">
        <f aca="false">Inputs!$E$14*Inputs!$E$15*Inputs!$E$9*1</f>
        <v>624</v>
      </c>
    </row>
    <row r="15" customFormat="false" ht="15" hidden="false" customHeight="false" outlineLevel="0" collapsed="false">
      <c r="A15" s="6" t="s">
        <v>391</v>
      </c>
      <c r="C15" s="120" t="n">
        <f aca="false">C13*Inputs!$E$16*Inputs!$E$9*1</f>
        <v>572</v>
      </c>
      <c r="D15" s="120" t="n">
        <f aca="false">D13*Inputs!$E$16*Inputs!$E$9*1</f>
        <v>572</v>
      </c>
      <c r="E15" s="120" t="n">
        <f aca="false">E13*Inputs!$E$16*Inputs!$E$9*1</f>
        <v>572</v>
      </c>
      <c r="F15" s="120" t="n">
        <f aca="false">F13*Inputs!$E$16*Inputs!$E$9*1</f>
        <v>572</v>
      </c>
      <c r="G15" s="120" t="n">
        <f aca="false">G13*Inputs!$E$16*Inputs!$E$9*1</f>
        <v>572</v>
      </c>
      <c r="H15" s="120" t="n">
        <f aca="false">H13*Inputs!$E$16*Inputs!$E$9*1</f>
        <v>572</v>
      </c>
      <c r="I15" s="120" t="n">
        <f aca="false">I13*Inputs!$E$16*Inputs!$E$9*1</f>
        <v>572</v>
      </c>
      <c r="J15" s="120" t="n">
        <f aca="false">J13*Inputs!$E$16*Inputs!$E$9*1</f>
        <v>572</v>
      </c>
      <c r="K15" s="120" t="n">
        <f aca="false">K13*Inputs!$E$16*Inputs!$E$9*1</f>
        <v>572</v>
      </c>
      <c r="L15" s="120" t="n">
        <f aca="false">L13*Inputs!$E$16*Inputs!$E$9*1</f>
        <v>572</v>
      </c>
      <c r="M15" s="120" t="n">
        <f aca="false">M13*Inputs!$E$16*Inputs!$E$9*1</f>
        <v>572</v>
      </c>
      <c r="N15" s="120" t="n">
        <f aca="false">N13*Inputs!$E$16*Inputs!$E$9*1</f>
        <v>572</v>
      </c>
      <c r="O15" s="120" t="n">
        <f aca="false">O13*Inputs!$E$16*Inputs!$E$9*1</f>
        <v>572</v>
      </c>
      <c r="P15" s="120" t="n">
        <f aca="false">P13*Inputs!$E$16*Inputs!$E$9*1</f>
        <v>572</v>
      </c>
      <c r="Q15" s="120" t="n">
        <f aca="false">Q13*Inputs!$E$16*Inputs!$E$9*1</f>
        <v>572</v>
      </c>
      <c r="R15" s="120" t="n">
        <f aca="false">R13*Inputs!$E$16*Inputs!$E$9*1</f>
        <v>572</v>
      </c>
      <c r="S15" s="120" t="n">
        <f aca="false">S13*Inputs!$E$16*Inputs!$E$9*1</f>
        <v>572</v>
      </c>
      <c r="T15" s="120" t="n">
        <f aca="false">T13*Inputs!$E$16*Inputs!$E$9*1</f>
        <v>572</v>
      </c>
      <c r="U15" s="120" t="n">
        <f aca="false">U13*Inputs!$E$16*Inputs!$E$9*1</f>
        <v>572</v>
      </c>
      <c r="V15" s="120" t="n">
        <f aca="false">V13*Inputs!$E$16*Inputs!$E$9*1</f>
        <v>572</v>
      </c>
      <c r="W15" s="120" t="n">
        <f aca="false">W13*Inputs!$E$16*Inputs!$E$9*1</f>
        <v>572</v>
      </c>
      <c r="X15" s="120" t="n">
        <f aca="false">X13*Inputs!$E$16*Inputs!$E$9*1</f>
        <v>572</v>
      </c>
      <c r="Y15" s="120" t="n">
        <f aca="false">Y13*Inputs!$E$16*Inputs!$E$9*1</f>
        <v>572</v>
      </c>
      <c r="Z15" s="120" t="n">
        <f aca="false">Z13*Inputs!$E$16*Inputs!$E$9*1</f>
        <v>572</v>
      </c>
      <c r="AA15" s="120" t="n">
        <f aca="false">AA13*Inputs!$E$16*Inputs!$E$9*1</f>
        <v>572</v>
      </c>
      <c r="AB15" s="120" t="n">
        <f aca="false">AB13*Inputs!$E$16*Inputs!$E$9*1</f>
        <v>572</v>
      </c>
      <c r="AC15" s="120" t="n">
        <f aca="false">AC13*Inputs!$E$16*Inputs!$E$9*1</f>
        <v>572</v>
      </c>
      <c r="AD15" s="120" t="n">
        <f aca="false">AD13*Inputs!$E$16*Inputs!$E$9*1</f>
        <v>572</v>
      </c>
      <c r="AE15" s="120" t="n">
        <f aca="false">AE13*Inputs!$E$16*Inputs!$E$9*1</f>
        <v>572</v>
      </c>
      <c r="AF15" s="120" t="n">
        <f aca="false">AF13*Inputs!$E$16*Inputs!$E$9*1</f>
        <v>572</v>
      </c>
      <c r="AG15" s="120" t="n">
        <f aca="false">AG13*Inputs!$E$16*Inputs!$E$9*1</f>
        <v>572</v>
      </c>
      <c r="AH15" s="120" t="n">
        <f aca="false">AH13*Inputs!$E$16*Inputs!$E$9*1</f>
        <v>572</v>
      </c>
      <c r="AI15" s="120" t="n">
        <f aca="false">AI13*Inputs!$E$16*Inputs!$E$9*1</f>
        <v>572</v>
      </c>
      <c r="AJ15" s="120" t="n">
        <f aca="false">AJ13*Inputs!$E$16*Inputs!$E$9*1</f>
        <v>572</v>
      </c>
      <c r="AK15" s="120" t="n">
        <f aca="false">AK13*Inputs!$E$16*Inputs!$E$9*1</f>
        <v>572</v>
      </c>
      <c r="AL15" s="120" t="n">
        <f aca="false">AL13*Inputs!$E$16*Inputs!$E$9*1</f>
        <v>572</v>
      </c>
    </row>
    <row r="16" customFormat="false" ht="15" hidden="false" customHeight="false" outlineLevel="0" collapsed="false">
      <c r="A16" s="6" t="s">
        <v>232</v>
      </c>
      <c r="C16" s="120" t="n">
        <f aca="false">MIN(C14,C15)</f>
        <v>572</v>
      </c>
      <c r="D16" s="120" t="n">
        <f aca="false">MIN(D14,D15)</f>
        <v>572</v>
      </c>
      <c r="E16" s="120" t="n">
        <f aca="false">MIN(E14,E15)</f>
        <v>572</v>
      </c>
      <c r="F16" s="120" t="n">
        <f aca="false">MIN(F14,F15)</f>
        <v>572</v>
      </c>
      <c r="G16" s="120" t="n">
        <f aca="false">MIN(G14,G15)</f>
        <v>572</v>
      </c>
      <c r="H16" s="120" t="n">
        <f aca="false">MIN(H14,H15)</f>
        <v>572</v>
      </c>
      <c r="I16" s="120" t="n">
        <f aca="false">MIN(I14,I15)</f>
        <v>572</v>
      </c>
      <c r="J16" s="120" t="n">
        <f aca="false">MIN(J14,J15)</f>
        <v>572</v>
      </c>
      <c r="K16" s="120" t="n">
        <f aca="false">MIN(K14,K15)</f>
        <v>572</v>
      </c>
      <c r="L16" s="120" t="n">
        <f aca="false">MIN(L14,L15)</f>
        <v>572</v>
      </c>
      <c r="M16" s="120" t="n">
        <f aca="false">MIN(M14,M15)</f>
        <v>572</v>
      </c>
      <c r="N16" s="120" t="n">
        <f aca="false">MIN(N14,N15)</f>
        <v>572</v>
      </c>
      <c r="O16" s="120" t="n">
        <f aca="false">MIN(O14,O15)</f>
        <v>572</v>
      </c>
      <c r="P16" s="120" t="n">
        <f aca="false">MIN(P14,P15)</f>
        <v>572</v>
      </c>
      <c r="Q16" s="120" t="n">
        <f aca="false">MIN(Q14,Q15)</f>
        <v>572</v>
      </c>
      <c r="R16" s="120" t="n">
        <f aca="false">MIN(R14,R15)</f>
        <v>572</v>
      </c>
      <c r="S16" s="120" t="n">
        <f aca="false">MIN(S14,S15)</f>
        <v>572</v>
      </c>
      <c r="T16" s="120" t="n">
        <f aca="false">MIN(T14,T15)</f>
        <v>572</v>
      </c>
      <c r="U16" s="120" t="n">
        <f aca="false">MIN(U14,U15)</f>
        <v>572</v>
      </c>
      <c r="V16" s="120" t="n">
        <f aca="false">MIN(V14,V15)</f>
        <v>572</v>
      </c>
      <c r="W16" s="120" t="n">
        <f aca="false">MIN(W14,W15)</f>
        <v>572</v>
      </c>
      <c r="X16" s="120" t="n">
        <f aca="false">MIN(X14,X15)</f>
        <v>572</v>
      </c>
      <c r="Y16" s="120" t="n">
        <f aca="false">MIN(Y14,Y15)</f>
        <v>572</v>
      </c>
      <c r="Z16" s="120" t="n">
        <f aca="false">MIN(Z14,Z15)</f>
        <v>572</v>
      </c>
      <c r="AA16" s="120" t="n">
        <f aca="false">MIN(AA14,AA15)</f>
        <v>572</v>
      </c>
      <c r="AB16" s="120" t="n">
        <f aca="false">MIN(AB14,AB15)</f>
        <v>572</v>
      </c>
      <c r="AC16" s="120" t="n">
        <f aca="false">MIN(AC14,AC15)</f>
        <v>572</v>
      </c>
      <c r="AD16" s="120" t="n">
        <f aca="false">MIN(AD14,AD15)</f>
        <v>572</v>
      </c>
      <c r="AE16" s="120" t="n">
        <f aca="false">MIN(AE14,AE15)</f>
        <v>572</v>
      </c>
      <c r="AF16" s="120" t="n">
        <f aca="false">MIN(AF14,AF15)</f>
        <v>572</v>
      </c>
      <c r="AG16" s="120" t="n">
        <f aca="false">MIN(AG14,AG15)</f>
        <v>572</v>
      </c>
      <c r="AH16" s="120" t="n">
        <f aca="false">MIN(AH14,AH15)</f>
        <v>572</v>
      </c>
      <c r="AI16" s="120" t="n">
        <f aca="false">MIN(AI14,AI15)</f>
        <v>572</v>
      </c>
      <c r="AJ16" s="120" t="n">
        <f aca="false">MIN(AJ14,AJ15)</f>
        <v>572</v>
      </c>
      <c r="AK16" s="120" t="n">
        <f aca="false">MIN(AK14,AK15)</f>
        <v>572</v>
      </c>
      <c r="AL16" s="120" t="n">
        <f aca="false">MIN(AL14,AL15)</f>
        <v>572</v>
      </c>
    </row>
    <row r="17" customFormat="false" ht="15" hidden="false" customHeight="false" outlineLevel="0" collapsed="false">
      <c r="A17" s="4" t="s">
        <v>392</v>
      </c>
      <c r="C17" s="122" t="n">
        <f aca="false">MIN(C10,C16)</f>
        <v>166.4</v>
      </c>
      <c r="D17" s="122" t="n">
        <f aca="false">MIN(D10,D16)</f>
        <v>191.36</v>
      </c>
      <c r="E17" s="122" t="n">
        <f aca="false">MIN(E10,E16)</f>
        <v>216.32</v>
      </c>
      <c r="F17" s="122" t="n">
        <f aca="false">MIN(F10,F16)</f>
        <v>241.28</v>
      </c>
      <c r="G17" s="122" t="n">
        <f aca="false">MIN(G10,G16)</f>
        <v>266.24</v>
      </c>
      <c r="H17" s="122" t="n">
        <f aca="false">MIN(H10,H16)</f>
        <v>291.2</v>
      </c>
      <c r="I17" s="122" t="n">
        <f aca="false">MIN(I10,I16)</f>
        <v>316.16</v>
      </c>
      <c r="J17" s="122" t="n">
        <f aca="false">MIN(J10,J16)</f>
        <v>341.12</v>
      </c>
      <c r="K17" s="122" t="n">
        <f aca="false">MIN(K10,K16)</f>
        <v>366.08</v>
      </c>
      <c r="L17" s="122" t="n">
        <f aca="false">MIN(L10,L16)</f>
        <v>391.04</v>
      </c>
      <c r="M17" s="122" t="n">
        <f aca="false">MIN(M10,M16)</f>
        <v>416</v>
      </c>
      <c r="N17" s="122" t="n">
        <f aca="false">MIN(N10,N16)</f>
        <v>416</v>
      </c>
      <c r="O17" s="122" t="n">
        <f aca="false">MIN(O10,O16)</f>
        <v>428.48</v>
      </c>
      <c r="P17" s="122" t="n">
        <f aca="false">MIN(P10,P16)</f>
        <v>428.48</v>
      </c>
      <c r="Q17" s="122" t="n">
        <f aca="false">MIN(Q10,Q16)</f>
        <v>428.48</v>
      </c>
      <c r="R17" s="122" t="n">
        <f aca="false">MIN(R10,R16)</f>
        <v>428.48</v>
      </c>
      <c r="S17" s="122" t="n">
        <f aca="false">MIN(S10,S16)</f>
        <v>428.48</v>
      </c>
      <c r="T17" s="122" t="n">
        <f aca="false">MIN(T10,T16)</f>
        <v>428.48</v>
      </c>
      <c r="U17" s="122" t="n">
        <f aca="false">MIN(U10,U16)</f>
        <v>428.48</v>
      </c>
      <c r="V17" s="122" t="n">
        <f aca="false">MIN(V10,V16)</f>
        <v>428.48</v>
      </c>
      <c r="W17" s="122" t="n">
        <f aca="false">MIN(W10,W16)</f>
        <v>428.48</v>
      </c>
      <c r="X17" s="122" t="n">
        <f aca="false">MIN(X10,X16)</f>
        <v>428.48</v>
      </c>
      <c r="Y17" s="122" t="n">
        <f aca="false">MIN(Y10,Y16)</f>
        <v>428.48</v>
      </c>
      <c r="Z17" s="122" t="n">
        <f aca="false">MIN(Z10,Z16)</f>
        <v>428.48</v>
      </c>
      <c r="AA17" s="122" t="n">
        <f aca="false">MIN(AA10,AA16)</f>
        <v>441.3344</v>
      </c>
      <c r="AB17" s="122" t="n">
        <f aca="false">MIN(AB10,AB16)</f>
        <v>441.3344</v>
      </c>
      <c r="AC17" s="122" t="n">
        <f aca="false">MIN(AC10,AC16)</f>
        <v>441.3344</v>
      </c>
      <c r="AD17" s="122" t="n">
        <f aca="false">MIN(AD10,AD16)</f>
        <v>441.3344</v>
      </c>
      <c r="AE17" s="122" t="n">
        <f aca="false">MIN(AE10,AE16)</f>
        <v>441.3344</v>
      </c>
      <c r="AF17" s="122" t="n">
        <f aca="false">MIN(AF10,AF16)</f>
        <v>441.3344</v>
      </c>
      <c r="AG17" s="122" t="n">
        <f aca="false">MIN(AG10,AG16)</f>
        <v>441.3344</v>
      </c>
      <c r="AH17" s="122" t="n">
        <f aca="false">MIN(AH10,AH16)</f>
        <v>441.3344</v>
      </c>
      <c r="AI17" s="122" t="n">
        <f aca="false">MIN(AI10,AI16)</f>
        <v>441.3344</v>
      </c>
      <c r="AJ17" s="122" t="n">
        <f aca="false">MIN(AJ10,AJ16)</f>
        <v>441.3344</v>
      </c>
      <c r="AK17" s="122" t="n">
        <f aca="false">MIN(AK10,AK16)</f>
        <v>441.3344</v>
      </c>
      <c r="AL17" s="122" t="n">
        <f aca="false">MIN(AL10,AL16)</f>
        <v>441.3344</v>
      </c>
    </row>
    <row r="18" customFormat="false" ht="15" hidden="false" customHeight="false" outlineLevel="0" collapsed="false">
      <c r="A18" s="6" t="s">
        <v>233</v>
      </c>
      <c r="C18" s="120" t="n">
        <f aca="false">C10-C17</f>
        <v>0</v>
      </c>
      <c r="D18" s="120" t="n">
        <f aca="false">D10-D17</f>
        <v>0</v>
      </c>
      <c r="E18" s="120" t="n">
        <f aca="false">E10-E17</f>
        <v>0</v>
      </c>
      <c r="F18" s="120" t="n">
        <f aca="false">F10-F17</f>
        <v>0</v>
      </c>
      <c r="G18" s="120" t="n">
        <f aca="false">G10-G17</f>
        <v>0</v>
      </c>
      <c r="H18" s="120" t="n">
        <f aca="false">H10-H17</f>
        <v>0</v>
      </c>
      <c r="I18" s="120" t="n">
        <f aca="false">I10-I17</f>
        <v>0</v>
      </c>
      <c r="J18" s="120" t="n">
        <f aca="false">J10-J17</f>
        <v>0</v>
      </c>
      <c r="K18" s="120" t="n">
        <f aca="false">K10-K17</f>
        <v>0</v>
      </c>
      <c r="L18" s="120" t="n">
        <f aca="false">L10-L17</f>
        <v>0</v>
      </c>
      <c r="M18" s="120" t="n">
        <f aca="false">M10-M17</f>
        <v>0</v>
      </c>
      <c r="N18" s="120" t="n">
        <f aca="false">N10-N17</f>
        <v>0</v>
      </c>
      <c r="O18" s="120" t="n">
        <f aca="false">O10-O17</f>
        <v>0</v>
      </c>
      <c r="P18" s="120" t="n">
        <f aca="false">P10-P17</f>
        <v>0</v>
      </c>
      <c r="Q18" s="120" t="n">
        <f aca="false">Q10-Q17</f>
        <v>0</v>
      </c>
      <c r="R18" s="120" t="n">
        <f aca="false">R10-R17</f>
        <v>0</v>
      </c>
      <c r="S18" s="120" t="n">
        <f aca="false">S10-S17</f>
        <v>0</v>
      </c>
      <c r="T18" s="120" t="n">
        <f aca="false">T10-T17</f>
        <v>0</v>
      </c>
      <c r="U18" s="120" t="n">
        <f aca="false">U10-U17</f>
        <v>0</v>
      </c>
      <c r="V18" s="120" t="n">
        <f aca="false">V10-V17</f>
        <v>0</v>
      </c>
      <c r="W18" s="120" t="n">
        <f aca="false">W10-W17</f>
        <v>0</v>
      </c>
      <c r="X18" s="120" t="n">
        <f aca="false">X10-X17</f>
        <v>0</v>
      </c>
      <c r="Y18" s="120" t="n">
        <f aca="false">Y10-Y17</f>
        <v>0</v>
      </c>
      <c r="Z18" s="120" t="n">
        <f aca="false">Z10-Z17</f>
        <v>0</v>
      </c>
      <c r="AA18" s="120" t="n">
        <f aca="false">AA10-AA17</f>
        <v>0</v>
      </c>
      <c r="AB18" s="120" t="n">
        <f aca="false">AB10-AB17</f>
        <v>0</v>
      </c>
      <c r="AC18" s="120" t="n">
        <f aca="false">AC10-AC17</f>
        <v>0</v>
      </c>
      <c r="AD18" s="120" t="n">
        <f aca="false">AD10-AD17</f>
        <v>0</v>
      </c>
      <c r="AE18" s="120" t="n">
        <f aca="false">AE10-AE17</f>
        <v>0</v>
      </c>
      <c r="AF18" s="120" t="n">
        <f aca="false">AF10-AF17</f>
        <v>0</v>
      </c>
      <c r="AG18" s="120" t="n">
        <f aca="false">AG10-AG17</f>
        <v>0</v>
      </c>
      <c r="AH18" s="120" t="n">
        <f aca="false">AH10-AH17</f>
        <v>0</v>
      </c>
      <c r="AI18" s="120" t="n">
        <f aca="false">AI10-AI17</f>
        <v>0</v>
      </c>
      <c r="AJ18" s="120" t="n">
        <f aca="false">AJ10-AJ17</f>
        <v>0</v>
      </c>
      <c r="AK18" s="120" t="n">
        <f aca="false">AK10-AK17</f>
        <v>0</v>
      </c>
      <c r="AL18" s="120" t="n">
        <f aca="false">AL10-AL17</f>
        <v>0</v>
      </c>
    </row>
    <row r="20" customFormat="false" ht="15.75" hidden="false" customHeight="true" outlineLevel="0" collapsed="false">
      <c r="A20" s="7" t="s">
        <v>270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customFormat="false" ht="15" hidden="false" customHeight="false" outlineLevel="0" collapsed="false">
      <c r="A21" s="6" t="s">
        <v>393</v>
      </c>
      <c r="C21" s="79" t="n">
        <f aca="false">IF(OR(AND(MOD(C$4-1,12)&gt;=5,MOD(C$4-1,12)&lt;=7),MOD(C$4-1,12)=11),1+Inputs!$E$28,1-Inputs!$E$28/2)</f>
        <v>0.9</v>
      </c>
      <c r="D21" s="79" t="n">
        <f aca="false">IF(OR(AND(MOD(D$4-1,12)&gt;=5,MOD(D$4-1,12)&lt;=7),MOD(D$4-1,12)=11),1+Inputs!$E$28,1-Inputs!$E$28/2)</f>
        <v>0.9</v>
      </c>
      <c r="E21" s="79" t="n">
        <f aca="false">IF(OR(AND(MOD(E$4-1,12)&gt;=5,MOD(E$4-1,12)&lt;=7),MOD(E$4-1,12)=11),1+Inputs!$E$28,1-Inputs!$E$28/2)</f>
        <v>0.9</v>
      </c>
      <c r="F21" s="79" t="n">
        <f aca="false">IF(OR(AND(MOD(F$4-1,12)&gt;=5,MOD(F$4-1,12)&lt;=7),MOD(F$4-1,12)=11),1+Inputs!$E$28,1-Inputs!$E$28/2)</f>
        <v>0.9</v>
      </c>
      <c r="G21" s="79" t="n">
        <f aca="false">IF(OR(AND(MOD(G$4-1,12)&gt;=5,MOD(G$4-1,12)&lt;=7),MOD(G$4-1,12)=11),1+Inputs!$E$28,1-Inputs!$E$28/2)</f>
        <v>0.9</v>
      </c>
      <c r="H21" s="79" t="n">
        <f aca="false">IF(OR(AND(MOD(H$4-1,12)&gt;=5,MOD(H$4-1,12)&lt;=7),MOD(H$4-1,12)=11),1+Inputs!$E$28,1-Inputs!$E$28/2)</f>
        <v>1.2</v>
      </c>
      <c r="I21" s="79" t="n">
        <f aca="false">IF(OR(AND(MOD(I$4-1,12)&gt;=5,MOD(I$4-1,12)&lt;=7),MOD(I$4-1,12)=11),1+Inputs!$E$28,1-Inputs!$E$28/2)</f>
        <v>1.2</v>
      </c>
      <c r="J21" s="79" t="n">
        <f aca="false">IF(OR(AND(MOD(J$4-1,12)&gt;=5,MOD(J$4-1,12)&lt;=7),MOD(J$4-1,12)=11),1+Inputs!$E$28,1-Inputs!$E$28/2)</f>
        <v>1.2</v>
      </c>
      <c r="K21" s="79" t="n">
        <f aca="false">IF(OR(AND(MOD(K$4-1,12)&gt;=5,MOD(K$4-1,12)&lt;=7),MOD(K$4-1,12)=11),1+Inputs!$E$28,1-Inputs!$E$28/2)</f>
        <v>0.9</v>
      </c>
      <c r="L21" s="79" t="n">
        <f aca="false">IF(OR(AND(MOD(L$4-1,12)&gt;=5,MOD(L$4-1,12)&lt;=7),MOD(L$4-1,12)=11),1+Inputs!$E$28,1-Inputs!$E$28/2)</f>
        <v>0.9</v>
      </c>
      <c r="M21" s="79" t="n">
        <f aca="false">IF(OR(AND(MOD(M$4-1,12)&gt;=5,MOD(M$4-1,12)&lt;=7),MOD(M$4-1,12)=11),1+Inputs!$E$28,1-Inputs!$E$28/2)</f>
        <v>0.9</v>
      </c>
      <c r="N21" s="79" t="n">
        <f aca="false">IF(OR(AND(MOD(N$4-1,12)&gt;=5,MOD(N$4-1,12)&lt;=7),MOD(N$4-1,12)=11),1+Inputs!$E$28,1-Inputs!$E$28/2)</f>
        <v>1.2</v>
      </c>
      <c r="O21" s="79" t="n">
        <f aca="false">IF(OR(AND(MOD(O$4-1,12)&gt;=5,MOD(O$4-1,12)&lt;=7),MOD(O$4-1,12)=11),1+Inputs!$E$28,1-Inputs!$E$28/2)</f>
        <v>0.9</v>
      </c>
      <c r="P21" s="79" t="n">
        <f aca="false">IF(OR(AND(MOD(P$4-1,12)&gt;=5,MOD(P$4-1,12)&lt;=7),MOD(P$4-1,12)=11),1+Inputs!$E$28,1-Inputs!$E$28/2)</f>
        <v>0.9</v>
      </c>
      <c r="Q21" s="79" t="n">
        <f aca="false">IF(OR(AND(MOD(Q$4-1,12)&gt;=5,MOD(Q$4-1,12)&lt;=7),MOD(Q$4-1,12)=11),1+Inputs!$E$28,1-Inputs!$E$28/2)</f>
        <v>0.9</v>
      </c>
      <c r="R21" s="79" t="n">
        <f aca="false">IF(OR(AND(MOD(R$4-1,12)&gt;=5,MOD(R$4-1,12)&lt;=7),MOD(R$4-1,12)=11),1+Inputs!$E$28,1-Inputs!$E$28/2)</f>
        <v>0.9</v>
      </c>
      <c r="S21" s="79" t="n">
        <f aca="false">IF(OR(AND(MOD(S$4-1,12)&gt;=5,MOD(S$4-1,12)&lt;=7),MOD(S$4-1,12)=11),1+Inputs!$E$28,1-Inputs!$E$28/2)</f>
        <v>0.9</v>
      </c>
      <c r="T21" s="79" t="n">
        <f aca="false">IF(OR(AND(MOD(T$4-1,12)&gt;=5,MOD(T$4-1,12)&lt;=7),MOD(T$4-1,12)=11),1+Inputs!$E$28,1-Inputs!$E$28/2)</f>
        <v>1.2</v>
      </c>
      <c r="U21" s="79" t="n">
        <f aca="false">IF(OR(AND(MOD(U$4-1,12)&gt;=5,MOD(U$4-1,12)&lt;=7),MOD(U$4-1,12)=11),1+Inputs!$E$28,1-Inputs!$E$28/2)</f>
        <v>1.2</v>
      </c>
      <c r="V21" s="79" t="n">
        <f aca="false">IF(OR(AND(MOD(V$4-1,12)&gt;=5,MOD(V$4-1,12)&lt;=7),MOD(V$4-1,12)=11),1+Inputs!$E$28,1-Inputs!$E$28/2)</f>
        <v>1.2</v>
      </c>
      <c r="W21" s="79" t="n">
        <f aca="false">IF(OR(AND(MOD(W$4-1,12)&gt;=5,MOD(W$4-1,12)&lt;=7),MOD(W$4-1,12)=11),1+Inputs!$E$28,1-Inputs!$E$28/2)</f>
        <v>0.9</v>
      </c>
      <c r="X21" s="79" t="n">
        <f aca="false">IF(OR(AND(MOD(X$4-1,12)&gt;=5,MOD(X$4-1,12)&lt;=7),MOD(X$4-1,12)=11),1+Inputs!$E$28,1-Inputs!$E$28/2)</f>
        <v>0.9</v>
      </c>
      <c r="Y21" s="79" t="n">
        <f aca="false">IF(OR(AND(MOD(Y$4-1,12)&gt;=5,MOD(Y$4-1,12)&lt;=7),MOD(Y$4-1,12)=11),1+Inputs!$E$28,1-Inputs!$E$28/2)</f>
        <v>0.9</v>
      </c>
      <c r="Z21" s="79" t="n">
        <f aca="false">IF(OR(AND(MOD(Z$4-1,12)&gt;=5,MOD(Z$4-1,12)&lt;=7),MOD(Z$4-1,12)=11),1+Inputs!$E$28,1-Inputs!$E$28/2)</f>
        <v>1.2</v>
      </c>
      <c r="AA21" s="79" t="n">
        <f aca="false">IF(OR(AND(MOD(AA$4-1,12)&gt;=5,MOD(AA$4-1,12)&lt;=7),MOD(AA$4-1,12)=11),1+Inputs!$E$28,1-Inputs!$E$28/2)</f>
        <v>0.9</v>
      </c>
      <c r="AB21" s="79" t="n">
        <f aca="false">IF(OR(AND(MOD(AB$4-1,12)&gt;=5,MOD(AB$4-1,12)&lt;=7),MOD(AB$4-1,12)=11),1+Inputs!$E$28,1-Inputs!$E$28/2)</f>
        <v>0.9</v>
      </c>
      <c r="AC21" s="79" t="n">
        <f aca="false">IF(OR(AND(MOD(AC$4-1,12)&gt;=5,MOD(AC$4-1,12)&lt;=7),MOD(AC$4-1,12)=11),1+Inputs!$E$28,1-Inputs!$E$28/2)</f>
        <v>0.9</v>
      </c>
      <c r="AD21" s="79" t="n">
        <f aca="false">IF(OR(AND(MOD(AD$4-1,12)&gt;=5,MOD(AD$4-1,12)&lt;=7),MOD(AD$4-1,12)=11),1+Inputs!$E$28,1-Inputs!$E$28/2)</f>
        <v>0.9</v>
      </c>
      <c r="AE21" s="79" t="n">
        <f aca="false">IF(OR(AND(MOD(AE$4-1,12)&gt;=5,MOD(AE$4-1,12)&lt;=7),MOD(AE$4-1,12)=11),1+Inputs!$E$28,1-Inputs!$E$28/2)</f>
        <v>0.9</v>
      </c>
      <c r="AF21" s="79" t="n">
        <f aca="false">IF(OR(AND(MOD(AF$4-1,12)&gt;=5,MOD(AF$4-1,12)&lt;=7),MOD(AF$4-1,12)=11),1+Inputs!$E$28,1-Inputs!$E$28/2)</f>
        <v>1.2</v>
      </c>
      <c r="AG21" s="79" t="n">
        <f aca="false">IF(OR(AND(MOD(AG$4-1,12)&gt;=5,MOD(AG$4-1,12)&lt;=7),MOD(AG$4-1,12)=11),1+Inputs!$E$28,1-Inputs!$E$28/2)</f>
        <v>1.2</v>
      </c>
      <c r="AH21" s="79" t="n">
        <f aca="false">IF(OR(AND(MOD(AH$4-1,12)&gt;=5,MOD(AH$4-1,12)&lt;=7),MOD(AH$4-1,12)=11),1+Inputs!$E$28,1-Inputs!$E$28/2)</f>
        <v>1.2</v>
      </c>
      <c r="AI21" s="79" t="n">
        <f aca="false">IF(OR(AND(MOD(AI$4-1,12)&gt;=5,MOD(AI$4-1,12)&lt;=7),MOD(AI$4-1,12)=11),1+Inputs!$E$28,1-Inputs!$E$28/2)</f>
        <v>0.9</v>
      </c>
      <c r="AJ21" s="79" t="n">
        <f aca="false">IF(OR(AND(MOD(AJ$4-1,12)&gt;=5,MOD(AJ$4-1,12)&lt;=7),MOD(AJ$4-1,12)=11),1+Inputs!$E$28,1-Inputs!$E$28/2)</f>
        <v>0.9</v>
      </c>
      <c r="AK21" s="79" t="n">
        <f aca="false">IF(OR(AND(MOD(AK$4-1,12)&gt;=5,MOD(AK$4-1,12)&lt;=7),MOD(AK$4-1,12)=11),1+Inputs!$E$28,1-Inputs!$E$28/2)</f>
        <v>0.9</v>
      </c>
      <c r="AL21" s="79" t="n">
        <f aca="false">IF(OR(AND(MOD(AL$4-1,12)&gt;=5,MOD(AL$4-1,12)&lt;=7),MOD(AL$4-1,12)=11),1+Inputs!$E$28,1-Inputs!$E$28/2)</f>
        <v>1.2</v>
      </c>
    </row>
    <row r="22" customFormat="false" ht="15" hidden="false" customHeight="false" outlineLevel="0" collapsed="false">
      <c r="A22" s="6" t="s">
        <v>394</v>
      </c>
      <c r="C22" s="120" t="n">
        <f aca="false">Inputs!$E$25*Inputs!$E$29*1</f>
        <v>912</v>
      </c>
      <c r="D22" s="120" t="n">
        <f aca="false">Inputs!$E$25*Inputs!$E$29*1</f>
        <v>912</v>
      </c>
      <c r="E22" s="120" t="n">
        <f aca="false">Inputs!$E$25*Inputs!$E$29*1</f>
        <v>912</v>
      </c>
      <c r="F22" s="120" t="n">
        <f aca="false">Inputs!$E$25*Inputs!$E$29*1</f>
        <v>912</v>
      </c>
      <c r="G22" s="120" t="n">
        <f aca="false">Inputs!$E$25*Inputs!$E$29*1</f>
        <v>912</v>
      </c>
      <c r="H22" s="120" t="n">
        <f aca="false">Inputs!$E$25*Inputs!$E$29*1</f>
        <v>912</v>
      </c>
      <c r="I22" s="120" t="n">
        <f aca="false">Inputs!$E$25*Inputs!$E$29*1</f>
        <v>912</v>
      </c>
      <c r="J22" s="120" t="n">
        <f aca="false">Inputs!$E$25*Inputs!$E$29*1</f>
        <v>912</v>
      </c>
      <c r="K22" s="120" t="n">
        <f aca="false">Inputs!$E$25*Inputs!$E$29*1</f>
        <v>912</v>
      </c>
      <c r="L22" s="120" t="n">
        <f aca="false">Inputs!$E$25*Inputs!$E$29*1</f>
        <v>912</v>
      </c>
      <c r="M22" s="120" t="n">
        <f aca="false">Inputs!$E$25*Inputs!$E$29*1</f>
        <v>912</v>
      </c>
      <c r="N22" s="120" t="n">
        <f aca="false">Inputs!$E$25*Inputs!$E$29*1</f>
        <v>912</v>
      </c>
      <c r="O22" s="120" t="n">
        <f aca="false">Inputs!$E$25*Inputs!$E$29*1</f>
        <v>912</v>
      </c>
      <c r="P22" s="120" t="n">
        <f aca="false">Inputs!$E$25*Inputs!$E$29*1</f>
        <v>912</v>
      </c>
      <c r="Q22" s="120" t="n">
        <f aca="false">Inputs!$E$25*Inputs!$E$29*1</f>
        <v>912</v>
      </c>
      <c r="R22" s="120" t="n">
        <f aca="false">Inputs!$E$25*Inputs!$E$29*1</f>
        <v>912</v>
      </c>
      <c r="S22" s="120" t="n">
        <f aca="false">Inputs!$E$25*Inputs!$E$29*1</f>
        <v>912</v>
      </c>
      <c r="T22" s="120" t="n">
        <f aca="false">Inputs!$E$25*Inputs!$E$29*1</f>
        <v>912</v>
      </c>
      <c r="U22" s="120" t="n">
        <f aca="false">Inputs!$E$25*Inputs!$E$29*1</f>
        <v>912</v>
      </c>
      <c r="V22" s="120" t="n">
        <f aca="false">Inputs!$E$25*Inputs!$E$29*1</f>
        <v>912</v>
      </c>
      <c r="W22" s="120" t="n">
        <f aca="false">Inputs!$E$25*Inputs!$E$29*1</f>
        <v>912</v>
      </c>
      <c r="X22" s="120" t="n">
        <f aca="false">Inputs!$E$25*Inputs!$E$29*1</f>
        <v>912</v>
      </c>
      <c r="Y22" s="120" t="n">
        <f aca="false">Inputs!$E$25*Inputs!$E$29*1</f>
        <v>912</v>
      </c>
      <c r="Z22" s="120" t="n">
        <f aca="false">Inputs!$E$25*Inputs!$E$29*1</f>
        <v>912</v>
      </c>
      <c r="AA22" s="120" t="n">
        <f aca="false">Inputs!$E$25*Inputs!$E$29*1</f>
        <v>912</v>
      </c>
      <c r="AB22" s="120" t="n">
        <f aca="false">Inputs!$E$25*Inputs!$E$29*1</f>
        <v>912</v>
      </c>
      <c r="AC22" s="120" t="n">
        <f aca="false">Inputs!$E$25*Inputs!$E$29*1</f>
        <v>912</v>
      </c>
      <c r="AD22" s="120" t="n">
        <f aca="false">Inputs!$E$25*Inputs!$E$29*1</f>
        <v>912</v>
      </c>
      <c r="AE22" s="120" t="n">
        <f aca="false">Inputs!$E$25*Inputs!$E$29*1</f>
        <v>912</v>
      </c>
      <c r="AF22" s="120" t="n">
        <f aca="false">Inputs!$E$25*Inputs!$E$29*1</f>
        <v>912</v>
      </c>
      <c r="AG22" s="120" t="n">
        <f aca="false">Inputs!$E$25*Inputs!$E$29*1</f>
        <v>912</v>
      </c>
      <c r="AH22" s="120" t="n">
        <f aca="false">Inputs!$E$25*Inputs!$E$29*1</f>
        <v>912</v>
      </c>
      <c r="AI22" s="120" t="n">
        <f aca="false">Inputs!$E$25*Inputs!$E$29*1</f>
        <v>912</v>
      </c>
      <c r="AJ22" s="120" t="n">
        <f aca="false">Inputs!$E$25*Inputs!$E$29*1</f>
        <v>912</v>
      </c>
      <c r="AK22" s="120" t="n">
        <f aca="false">Inputs!$E$25*Inputs!$E$29*1</f>
        <v>912</v>
      </c>
      <c r="AL22" s="120" t="n">
        <f aca="false">Inputs!$E$25*Inputs!$E$29*1</f>
        <v>912</v>
      </c>
    </row>
    <row r="23" customFormat="false" ht="15" hidden="false" customHeight="false" outlineLevel="0" collapsed="false">
      <c r="A23" s="39" t="s">
        <v>395</v>
      </c>
      <c r="C23" s="76" t="n">
        <f aca="false">MIN(1,Inputs!$E$26*(1+Inputs!$E$27)^(C$5-1)*C9*C21)</f>
        <v>0.2232</v>
      </c>
      <c r="D23" s="76" t="n">
        <f aca="false">MIN(1,Inputs!$E$26*(1+Inputs!$E$27)^(D$5-1)*D9*D21)</f>
        <v>0.25668</v>
      </c>
      <c r="E23" s="76" t="n">
        <f aca="false">MIN(1,Inputs!$E$26*(1+Inputs!$E$27)^(E$5-1)*E9*E21)</f>
        <v>0.29016</v>
      </c>
      <c r="F23" s="76" t="n">
        <f aca="false">MIN(1,Inputs!$E$26*(1+Inputs!$E$27)^(F$5-1)*F9*F21)</f>
        <v>0.32364</v>
      </c>
      <c r="G23" s="76" t="n">
        <f aca="false">MIN(1,Inputs!$E$26*(1+Inputs!$E$27)^(G$5-1)*G9*G21)</f>
        <v>0.35712</v>
      </c>
      <c r="H23" s="76" t="n">
        <f aca="false">MIN(1,Inputs!$E$26*(1+Inputs!$E$27)^(H$5-1)*H9*H21)</f>
        <v>0.5208</v>
      </c>
      <c r="I23" s="76" t="n">
        <f aca="false">MIN(1,Inputs!$E$26*(1+Inputs!$E$27)^(I$5-1)*I9*I21)</f>
        <v>0.56544</v>
      </c>
      <c r="J23" s="76" t="n">
        <f aca="false">MIN(1,Inputs!$E$26*(1+Inputs!$E$27)^(J$5-1)*J9*J21)</f>
        <v>0.61008</v>
      </c>
      <c r="K23" s="76" t="n">
        <f aca="false">MIN(1,Inputs!$E$26*(1+Inputs!$E$27)^(K$5-1)*K9*K21)</f>
        <v>0.49104</v>
      </c>
      <c r="L23" s="76" t="n">
        <f aca="false">MIN(1,Inputs!$E$26*(1+Inputs!$E$27)^(L$5-1)*L9*L21)</f>
        <v>0.52452</v>
      </c>
      <c r="M23" s="76" t="n">
        <f aca="false">MIN(1,Inputs!$E$26*(1+Inputs!$E$27)^(M$5-1)*M9*M21)</f>
        <v>0.558</v>
      </c>
      <c r="N23" s="76" t="n">
        <f aca="false">MIN(1,Inputs!$E$26*(1+Inputs!$E$27)^(N$5-1)*N9*N21)</f>
        <v>0.744</v>
      </c>
      <c r="O23" s="76" t="n">
        <f aca="false">MIN(1,Inputs!$E$26*(1+Inputs!$E$27)^(O$5-1)*O9*O21)</f>
        <v>0.57474</v>
      </c>
      <c r="P23" s="76" t="n">
        <f aca="false">MIN(1,Inputs!$E$26*(1+Inputs!$E$27)^(P$5-1)*P9*P21)</f>
        <v>0.57474</v>
      </c>
      <c r="Q23" s="76" t="n">
        <f aca="false">MIN(1,Inputs!$E$26*(1+Inputs!$E$27)^(Q$5-1)*Q9*Q21)</f>
        <v>0.57474</v>
      </c>
      <c r="R23" s="76" t="n">
        <f aca="false">MIN(1,Inputs!$E$26*(1+Inputs!$E$27)^(R$5-1)*R9*R21)</f>
        <v>0.57474</v>
      </c>
      <c r="S23" s="76" t="n">
        <f aca="false">MIN(1,Inputs!$E$26*(1+Inputs!$E$27)^(S$5-1)*S9*S21)</f>
        <v>0.57474</v>
      </c>
      <c r="T23" s="76" t="n">
        <f aca="false">MIN(1,Inputs!$E$26*(1+Inputs!$E$27)^(T$5-1)*T9*T21)</f>
        <v>0.76632</v>
      </c>
      <c r="U23" s="76" t="n">
        <f aca="false">MIN(1,Inputs!$E$26*(1+Inputs!$E$27)^(U$5-1)*U9*U21)</f>
        <v>0.76632</v>
      </c>
      <c r="V23" s="76" t="n">
        <f aca="false">MIN(1,Inputs!$E$26*(1+Inputs!$E$27)^(V$5-1)*V9*V21)</f>
        <v>0.76632</v>
      </c>
      <c r="W23" s="76" t="n">
        <f aca="false">MIN(1,Inputs!$E$26*(1+Inputs!$E$27)^(W$5-1)*W9*W21)</f>
        <v>0.57474</v>
      </c>
      <c r="X23" s="76" t="n">
        <f aca="false">MIN(1,Inputs!$E$26*(1+Inputs!$E$27)^(X$5-1)*X9*X21)</f>
        <v>0.57474</v>
      </c>
      <c r="Y23" s="76" t="n">
        <f aca="false">MIN(1,Inputs!$E$26*(1+Inputs!$E$27)^(Y$5-1)*Y9*Y21)</f>
        <v>0.57474</v>
      </c>
      <c r="Z23" s="76" t="n">
        <f aca="false">MIN(1,Inputs!$E$26*(1+Inputs!$E$27)^(Z$5-1)*Z9*Z21)</f>
        <v>0.76632</v>
      </c>
      <c r="AA23" s="76" t="n">
        <f aca="false">MIN(1,Inputs!$E$26*(1+Inputs!$E$27)^(AA$5-1)*AA9*AA21)</f>
        <v>0.5919822</v>
      </c>
      <c r="AB23" s="76" t="n">
        <f aca="false">MIN(1,Inputs!$E$26*(1+Inputs!$E$27)^(AB$5-1)*AB9*AB21)</f>
        <v>0.5919822</v>
      </c>
      <c r="AC23" s="76" t="n">
        <f aca="false">MIN(1,Inputs!$E$26*(1+Inputs!$E$27)^(AC$5-1)*AC9*AC21)</f>
        <v>0.5919822</v>
      </c>
      <c r="AD23" s="76" t="n">
        <f aca="false">MIN(1,Inputs!$E$26*(1+Inputs!$E$27)^(AD$5-1)*AD9*AD21)</f>
        <v>0.5919822</v>
      </c>
      <c r="AE23" s="76" t="n">
        <f aca="false">MIN(1,Inputs!$E$26*(1+Inputs!$E$27)^(AE$5-1)*AE9*AE21)</f>
        <v>0.5919822</v>
      </c>
      <c r="AF23" s="76" t="n">
        <f aca="false">MIN(1,Inputs!$E$26*(1+Inputs!$E$27)^(AF$5-1)*AF9*AF21)</f>
        <v>0.7893096</v>
      </c>
      <c r="AG23" s="76" t="n">
        <f aca="false">MIN(1,Inputs!$E$26*(1+Inputs!$E$27)^(AG$5-1)*AG9*AG21)</f>
        <v>0.7893096</v>
      </c>
      <c r="AH23" s="76" t="n">
        <f aca="false">MIN(1,Inputs!$E$26*(1+Inputs!$E$27)^(AH$5-1)*AH9*AH21)</f>
        <v>0.7893096</v>
      </c>
      <c r="AI23" s="76" t="n">
        <f aca="false">MIN(1,Inputs!$E$26*(1+Inputs!$E$27)^(AI$5-1)*AI9*AI21)</f>
        <v>0.5919822</v>
      </c>
      <c r="AJ23" s="76" t="n">
        <f aca="false">MIN(1,Inputs!$E$26*(1+Inputs!$E$27)^(AJ$5-1)*AJ9*AJ21)</f>
        <v>0.5919822</v>
      </c>
      <c r="AK23" s="76" t="n">
        <f aca="false">MIN(1,Inputs!$E$26*(1+Inputs!$E$27)^(AK$5-1)*AK9*AK21)</f>
        <v>0.5919822</v>
      </c>
      <c r="AL23" s="76" t="n">
        <f aca="false">MIN(1,Inputs!$E$26*(1+Inputs!$E$27)^(AL$5-1)*AL9*AL21)</f>
        <v>0.7893096</v>
      </c>
    </row>
    <row r="24" customFormat="false" ht="15" hidden="false" customHeight="false" outlineLevel="0" collapsed="false">
      <c r="A24" s="4" t="s">
        <v>234</v>
      </c>
      <c r="C24" s="122" t="n">
        <f aca="false">C22*C23</f>
        <v>203.5584</v>
      </c>
      <c r="D24" s="122" t="n">
        <f aca="false">D22*D23</f>
        <v>234.09216</v>
      </c>
      <c r="E24" s="122" t="n">
        <f aca="false">E22*E23</f>
        <v>264.62592</v>
      </c>
      <c r="F24" s="122" t="n">
        <f aca="false">F22*F23</f>
        <v>295.15968</v>
      </c>
      <c r="G24" s="122" t="n">
        <f aca="false">G22*G23</f>
        <v>325.69344</v>
      </c>
      <c r="H24" s="122" t="n">
        <f aca="false">H22*H23</f>
        <v>474.9696</v>
      </c>
      <c r="I24" s="122" t="n">
        <f aca="false">I22*I23</f>
        <v>515.68128</v>
      </c>
      <c r="J24" s="122" t="n">
        <f aca="false">J22*J23</f>
        <v>556.39296</v>
      </c>
      <c r="K24" s="122" t="n">
        <f aca="false">K22*K23</f>
        <v>447.82848</v>
      </c>
      <c r="L24" s="122" t="n">
        <f aca="false">L22*L23</f>
        <v>478.36224</v>
      </c>
      <c r="M24" s="122" t="n">
        <f aca="false">M22*M23</f>
        <v>508.896</v>
      </c>
      <c r="N24" s="122" t="n">
        <f aca="false">N22*N23</f>
        <v>678.528</v>
      </c>
      <c r="O24" s="122" t="n">
        <f aca="false">O22*O23</f>
        <v>524.16288</v>
      </c>
      <c r="P24" s="122" t="n">
        <f aca="false">P22*P23</f>
        <v>524.16288</v>
      </c>
      <c r="Q24" s="122" t="n">
        <f aca="false">Q22*Q23</f>
        <v>524.16288</v>
      </c>
      <c r="R24" s="122" t="n">
        <f aca="false">R22*R23</f>
        <v>524.16288</v>
      </c>
      <c r="S24" s="122" t="n">
        <f aca="false">S22*S23</f>
        <v>524.16288</v>
      </c>
      <c r="T24" s="122" t="n">
        <f aca="false">T22*T23</f>
        <v>698.88384</v>
      </c>
      <c r="U24" s="122" t="n">
        <f aca="false">U22*U23</f>
        <v>698.88384</v>
      </c>
      <c r="V24" s="122" t="n">
        <f aca="false">V22*V23</f>
        <v>698.88384</v>
      </c>
      <c r="W24" s="122" t="n">
        <f aca="false">W22*W23</f>
        <v>524.16288</v>
      </c>
      <c r="X24" s="122" t="n">
        <f aca="false">X22*X23</f>
        <v>524.16288</v>
      </c>
      <c r="Y24" s="122" t="n">
        <f aca="false">Y22*Y23</f>
        <v>524.16288</v>
      </c>
      <c r="Z24" s="122" t="n">
        <f aca="false">Z22*Z23</f>
        <v>698.88384</v>
      </c>
      <c r="AA24" s="122" t="n">
        <f aca="false">AA22*AA23</f>
        <v>539.8877664</v>
      </c>
      <c r="AB24" s="122" t="n">
        <f aca="false">AB22*AB23</f>
        <v>539.8877664</v>
      </c>
      <c r="AC24" s="122" t="n">
        <f aca="false">AC22*AC23</f>
        <v>539.8877664</v>
      </c>
      <c r="AD24" s="122" t="n">
        <f aca="false">AD22*AD23</f>
        <v>539.8877664</v>
      </c>
      <c r="AE24" s="122" t="n">
        <f aca="false">AE22*AE23</f>
        <v>539.8877664</v>
      </c>
      <c r="AF24" s="122" t="n">
        <f aca="false">AF22*AF23</f>
        <v>719.8503552</v>
      </c>
      <c r="AG24" s="122" t="n">
        <f aca="false">AG22*AG23</f>
        <v>719.8503552</v>
      </c>
      <c r="AH24" s="122" t="n">
        <f aca="false">AH22*AH23</f>
        <v>719.8503552</v>
      </c>
      <c r="AI24" s="122" t="n">
        <f aca="false">AI22*AI23</f>
        <v>539.8877664</v>
      </c>
      <c r="AJ24" s="122" t="n">
        <f aca="false">AJ22*AJ23</f>
        <v>539.8877664</v>
      </c>
      <c r="AK24" s="122" t="n">
        <f aca="false">AK22*AK23</f>
        <v>539.8877664</v>
      </c>
      <c r="AL24" s="122" t="n">
        <f aca="false">AL22*AL23</f>
        <v>719.8503552</v>
      </c>
    </row>
    <row r="26" customFormat="false" ht="15.75" hidden="false" customHeight="true" outlineLevel="0" collapsed="false">
      <c r="A26" s="7" t="s">
        <v>44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customFormat="false" ht="15" hidden="false" customHeight="false" outlineLevel="0" collapsed="false">
      <c r="A27" s="6" t="s">
        <v>396</v>
      </c>
      <c r="C27" s="123" t="n">
        <f aca="false">Inputs!$E$19*(1+Inputs!$E$20)^(C$5-1)</f>
        <v>75</v>
      </c>
      <c r="D27" s="123" t="n">
        <f aca="false">Inputs!$E$19*(1+Inputs!$E$20)^(D$5-1)</f>
        <v>75</v>
      </c>
      <c r="E27" s="123" t="n">
        <f aca="false">Inputs!$E$19*(1+Inputs!$E$20)^(E$5-1)</f>
        <v>75</v>
      </c>
      <c r="F27" s="123" t="n">
        <f aca="false">Inputs!$E$19*(1+Inputs!$E$20)^(F$5-1)</f>
        <v>75</v>
      </c>
      <c r="G27" s="123" t="n">
        <f aca="false">Inputs!$E$19*(1+Inputs!$E$20)^(G$5-1)</f>
        <v>75</v>
      </c>
      <c r="H27" s="123" t="n">
        <f aca="false">Inputs!$E$19*(1+Inputs!$E$20)^(H$5-1)</f>
        <v>75</v>
      </c>
      <c r="I27" s="123" t="n">
        <f aca="false">Inputs!$E$19*(1+Inputs!$E$20)^(I$5-1)</f>
        <v>75</v>
      </c>
      <c r="J27" s="123" t="n">
        <f aca="false">Inputs!$E$19*(1+Inputs!$E$20)^(J$5-1)</f>
        <v>75</v>
      </c>
      <c r="K27" s="123" t="n">
        <f aca="false">Inputs!$E$19*(1+Inputs!$E$20)^(K$5-1)</f>
        <v>75</v>
      </c>
      <c r="L27" s="123" t="n">
        <f aca="false">Inputs!$E$19*(1+Inputs!$E$20)^(L$5-1)</f>
        <v>75</v>
      </c>
      <c r="M27" s="123" t="n">
        <f aca="false">Inputs!$E$19*(1+Inputs!$E$20)^(M$5-1)</f>
        <v>75</v>
      </c>
      <c r="N27" s="123" t="n">
        <f aca="false">Inputs!$E$19*(1+Inputs!$E$20)^(N$5-1)</f>
        <v>75</v>
      </c>
      <c r="O27" s="123" t="n">
        <f aca="false">Inputs!$E$19*(1+Inputs!$E$20)^(O$5-1)</f>
        <v>77.25</v>
      </c>
      <c r="P27" s="123" t="n">
        <f aca="false">Inputs!$E$19*(1+Inputs!$E$20)^(P$5-1)</f>
        <v>77.25</v>
      </c>
      <c r="Q27" s="123" t="n">
        <f aca="false">Inputs!$E$19*(1+Inputs!$E$20)^(Q$5-1)</f>
        <v>77.25</v>
      </c>
      <c r="R27" s="123" t="n">
        <f aca="false">Inputs!$E$19*(1+Inputs!$E$20)^(R$5-1)</f>
        <v>77.25</v>
      </c>
      <c r="S27" s="123" t="n">
        <f aca="false">Inputs!$E$19*(1+Inputs!$E$20)^(S$5-1)</f>
        <v>77.25</v>
      </c>
      <c r="T27" s="123" t="n">
        <f aca="false">Inputs!$E$19*(1+Inputs!$E$20)^(T$5-1)</f>
        <v>77.25</v>
      </c>
      <c r="U27" s="123" t="n">
        <f aca="false">Inputs!$E$19*(1+Inputs!$E$20)^(U$5-1)</f>
        <v>77.25</v>
      </c>
      <c r="V27" s="123" t="n">
        <f aca="false">Inputs!$E$19*(1+Inputs!$E$20)^(V$5-1)</f>
        <v>77.25</v>
      </c>
      <c r="W27" s="123" t="n">
        <f aca="false">Inputs!$E$19*(1+Inputs!$E$20)^(W$5-1)</f>
        <v>77.25</v>
      </c>
      <c r="X27" s="123" t="n">
        <f aca="false">Inputs!$E$19*(1+Inputs!$E$20)^(X$5-1)</f>
        <v>77.25</v>
      </c>
      <c r="Y27" s="123" t="n">
        <f aca="false">Inputs!$E$19*(1+Inputs!$E$20)^(Y$5-1)</f>
        <v>77.25</v>
      </c>
      <c r="Z27" s="123" t="n">
        <f aca="false">Inputs!$E$19*(1+Inputs!$E$20)^(Z$5-1)</f>
        <v>77.25</v>
      </c>
      <c r="AA27" s="123" t="n">
        <f aca="false">Inputs!$E$19*(1+Inputs!$E$20)^(AA$5-1)</f>
        <v>79.5675</v>
      </c>
      <c r="AB27" s="123" t="n">
        <f aca="false">Inputs!$E$19*(1+Inputs!$E$20)^(AB$5-1)</f>
        <v>79.5675</v>
      </c>
      <c r="AC27" s="123" t="n">
        <f aca="false">Inputs!$E$19*(1+Inputs!$E$20)^(AC$5-1)</f>
        <v>79.5675</v>
      </c>
      <c r="AD27" s="123" t="n">
        <f aca="false">Inputs!$E$19*(1+Inputs!$E$20)^(AD$5-1)</f>
        <v>79.5675</v>
      </c>
      <c r="AE27" s="123" t="n">
        <f aca="false">Inputs!$E$19*(1+Inputs!$E$20)^(AE$5-1)</f>
        <v>79.5675</v>
      </c>
      <c r="AF27" s="123" t="n">
        <f aca="false">Inputs!$E$19*(1+Inputs!$E$20)^(AF$5-1)</f>
        <v>79.5675</v>
      </c>
      <c r="AG27" s="123" t="n">
        <f aca="false">Inputs!$E$19*(1+Inputs!$E$20)^(AG$5-1)</f>
        <v>79.5675</v>
      </c>
      <c r="AH27" s="123" t="n">
        <f aca="false">Inputs!$E$19*(1+Inputs!$E$20)^(AH$5-1)</f>
        <v>79.5675</v>
      </c>
      <c r="AI27" s="123" t="n">
        <f aca="false">Inputs!$E$19*(1+Inputs!$E$20)^(AI$5-1)</f>
        <v>79.5675</v>
      </c>
      <c r="AJ27" s="123" t="n">
        <f aca="false">Inputs!$E$19*(1+Inputs!$E$20)^(AJ$5-1)</f>
        <v>79.5675</v>
      </c>
      <c r="AK27" s="123" t="n">
        <f aca="false">Inputs!$E$19*(1+Inputs!$E$20)^(AK$5-1)</f>
        <v>79.5675</v>
      </c>
      <c r="AL27" s="123" t="n">
        <f aca="false">Inputs!$E$19*(1+Inputs!$E$20)^(AL$5-1)</f>
        <v>79.5675</v>
      </c>
    </row>
    <row r="28" customFormat="false" ht="15" hidden="false" customHeight="false" outlineLevel="0" collapsed="false">
      <c r="A28" s="6" t="s">
        <v>236</v>
      </c>
      <c r="C28" s="69" t="n">
        <f aca="false">C17*C27</f>
        <v>12480</v>
      </c>
      <c r="D28" s="69" t="n">
        <f aca="false">D17*D27</f>
        <v>14352</v>
      </c>
      <c r="E28" s="69" t="n">
        <f aca="false">E17*E27</f>
        <v>16224</v>
      </c>
      <c r="F28" s="69" t="n">
        <f aca="false">F17*F27</f>
        <v>18096</v>
      </c>
      <c r="G28" s="69" t="n">
        <f aca="false">G17*G27</f>
        <v>19968</v>
      </c>
      <c r="H28" s="69" t="n">
        <f aca="false">H17*H27</f>
        <v>21840</v>
      </c>
      <c r="I28" s="69" t="n">
        <f aca="false">I17*I27</f>
        <v>23712</v>
      </c>
      <c r="J28" s="69" t="n">
        <f aca="false">J17*J27</f>
        <v>25584</v>
      </c>
      <c r="K28" s="69" t="n">
        <f aca="false">K17*K27</f>
        <v>27456</v>
      </c>
      <c r="L28" s="69" t="n">
        <f aca="false">L17*L27</f>
        <v>29328</v>
      </c>
      <c r="M28" s="69" t="n">
        <f aca="false">M17*M27</f>
        <v>31200</v>
      </c>
      <c r="N28" s="69" t="n">
        <f aca="false">N17*N27</f>
        <v>31200</v>
      </c>
      <c r="O28" s="69" t="n">
        <f aca="false">O17*O27</f>
        <v>33100.08</v>
      </c>
      <c r="P28" s="69" t="n">
        <f aca="false">P17*P27</f>
        <v>33100.08</v>
      </c>
      <c r="Q28" s="69" t="n">
        <f aca="false">Q17*Q27</f>
        <v>33100.08</v>
      </c>
      <c r="R28" s="69" t="n">
        <f aca="false">R17*R27</f>
        <v>33100.08</v>
      </c>
      <c r="S28" s="69" t="n">
        <f aca="false">S17*S27</f>
        <v>33100.08</v>
      </c>
      <c r="T28" s="69" t="n">
        <f aca="false">T17*T27</f>
        <v>33100.08</v>
      </c>
      <c r="U28" s="69" t="n">
        <f aca="false">U17*U27</f>
        <v>33100.08</v>
      </c>
      <c r="V28" s="69" t="n">
        <f aca="false">V17*V27</f>
        <v>33100.08</v>
      </c>
      <c r="W28" s="69" t="n">
        <f aca="false">W17*W27</f>
        <v>33100.08</v>
      </c>
      <c r="X28" s="69" t="n">
        <f aca="false">X17*X27</f>
        <v>33100.08</v>
      </c>
      <c r="Y28" s="69" t="n">
        <f aca="false">Y17*Y27</f>
        <v>33100.08</v>
      </c>
      <c r="Z28" s="69" t="n">
        <f aca="false">Z17*Z27</f>
        <v>33100.08</v>
      </c>
      <c r="AA28" s="69" t="n">
        <f aca="false">AA17*AA27</f>
        <v>35115.874872</v>
      </c>
      <c r="AB28" s="69" t="n">
        <f aca="false">AB17*AB27</f>
        <v>35115.874872</v>
      </c>
      <c r="AC28" s="69" t="n">
        <f aca="false">AC17*AC27</f>
        <v>35115.874872</v>
      </c>
      <c r="AD28" s="69" t="n">
        <f aca="false">AD17*AD27</f>
        <v>35115.874872</v>
      </c>
      <c r="AE28" s="69" t="n">
        <f aca="false">AE17*AE27</f>
        <v>35115.874872</v>
      </c>
      <c r="AF28" s="69" t="n">
        <f aca="false">AF17*AF27</f>
        <v>35115.874872</v>
      </c>
      <c r="AG28" s="69" t="n">
        <f aca="false">AG17*AG27</f>
        <v>35115.874872</v>
      </c>
      <c r="AH28" s="69" t="n">
        <f aca="false">AH17*AH27</f>
        <v>35115.874872</v>
      </c>
      <c r="AI28" s="69" t="n">
        <f aca="false">AI17*AI27</f>
        <v>35115.874872</v>
      </c>
      <c r="AJ28" s="69" t="n">
        <f aca="false">AJ17*AJ27</f>
        <v>35115.874872</v>
      </c>
      <c r="AK28" s="69" t="n">
        <f aca="false">AK17*AK27</f>
        <v>35115.874872</v>
      </c>
      <c r="AL28" s="69" t="n">
        <f aca="false">AL17*AL27</f>
        <v>35115.874872</v>
      </c>
    </row>
    <row r="29" customFormat="false" ht="15" hidden="false" customHeight="false" outlineLevel="0" collapsed="false">
      <c r="A29" s="6" t="s">
        <v>237</v>
      </c>
      <c r="C29" s="69" t="n">
        <f aca="false">C24*Inputs!$E$30*(1+Inputs!$E$20)^(C$5-1)</f>
        <v>11195.712</v>
      </c>
      <c r="D29" s="69" t="n">
        <f aca="false">D24*Inputs!$E$30*(1+Inputs!$E$20)^(D$5-1)</f>
        <v>12875.0688</v>
      </c>
      <c r="E29" s="69" t="n">
        <f aca="false">E24*Inputs!$E$30*(1+Inputs!$E$20)^(E$5-1)</f>
        <v>14554.4256</v>
      </c>
      <c r="F29" s="69" t="n">
        <f aca="false">F24*Inputs!$E$30*(1+Inputs!$E$20)^(F$5-1)</f>
        <v>16233.7824</v>
      </c>
      <c r="G29" s="69" t="n">
        <f aca="false">G24*Inputs!$E$30*(1+Inputs!$E$20)^(G$5-1)</f>
        <v>17913.1392</v>
      </c>
      <c r="H29" s="69" t="n">
        <f aca="false">H24*Inputs!$E$30*(1+Inputs!$E$20)^(H$5-1)</f>
        <v>26123.328</v>
      </c>
      <c r="I29" s="69" t="n">
        <f aca="false">I24*Inputs!$E$30*(1+Inputs!$E$20)^(I$5-1)</f>
        <v>28362.4704</v>
      </c>
      <c r="J29" s="69" t="n">
        <f aca="false">J24*Inputs!$E$30*(1+Inputs!$E$20)^(J$5-1)</f>
        <v>30601.6128</v>
      </c>
      <c r="K29" s="69" t="n">
        <f aca="false">K24*Inputs!$E$30*(1+Inputs!$E$20)^(K$5-1)</f>
        <v>24630.5664</v>
      </c>
      <c r="L29" s="69" t="n">
        <f aca="false">L24*Inputs!$E$30*(1+Inputs!$E$20)^(L$5-1)</f>
        <v>26309.9232</v>
      </c>
      <c r="M29" s="69" t="n">
        <f aca="false">M24*Inputs!$E$30*(1+Inputs!$E$20)^(M$5-1)</f>
        <v>27989.28</v>
      </c>
      <c r="N29" s="69" t="n">
        <f aca="false">N24*Inputs!$E$30*(1+Inputs!$E$20)^(N$5-1)</f>
        <v>37319.04</v>
      </c>
      <c r="O29" s="69" t="n">
        <f aca="false">O24*Inputs!$E$30*(1+Inputs!$E$20)^(O$5-1)</f>
        <v>29693.827152</v>
      </c>
      <c r="P29" s="69" t="n">
        <f aca="false">P24*Inputs!$E$30*(1+Inputs!$E$20)^(P$5-1)</f>
        <v>29693.827152</v>
      </c>
      <c r="Q29" s="69" t="n">
        <f aca="false">Q24*Inputs!$E$30*(1+Inputs!$E$20)^(Q$5-1)</f>
        <v>29693.827152</v>
      </c>
      <c r="R29" s="69" t="n">
        <f aca="false">R24*Inputs!$E$30*(1+Inputs!$E$20)^(R$5-1)</f>
        <v>29693.827152</v>
      </c>
      <c r="S29" s="69" t="n">
        <f aca="false">S24*Inputs!$E$30*(1+Inputs!$E$20)^(S$5-1)</f>
        <v>29693.827152</v>
      </c>
      <c r="T29" s="69" t="n">
        <f aca="false">T24*Inputs!$E$30*(1+Inputs!$E$20)^(T$5-1)</f>
        <v>39591.769536</v>
      </c>
      <c r="U29" s="69" t="n">
        <f aca="false">U24*Inputs!$E$30*(1+Inputs!$E$20)^(U$5-1)</f>
        <v>39591.769536</v>
      </c>
      <c r="V29" s="69" t="n">
        <f aca="false">V24*Inputs!$E$30*(1+Inputs!$E$20)^(V$5-1)</f>
        <v>39591.769536</v>
      </c>
      <c r="W29" s="69" t="n">
        <f aca="false">W24*Inputs!$E$30*(1+Inputs!$E$20)^(W$5-1)</f>
        <v>29693.827152</v>
      </c>
      <c r="X29" s="69" t="n">
        <f aca="false">X24*Inputs!$E$30*(1+Inputs!$E$20)^(X$5-1)</f>
        <v>29693.827152</v>
      </c>
      <c r="Y29" s="69" t="n">
        <f aca="false">Y24*Inputs!$E$30*(1+Inputs!$E$20)^(Y$5-1)</f>
        <v>29693.827152</v>
      </c>
      <c r="Z29" s="69" t="n">
        <f aca="false">Z24*Inputs!$E$30*(1+Inputs!$E$20)^(Z$5-1)</f>
        <v>39591.769536</v>
      </c>
      <c r="AA29" s="69" t="n">
        <f aca="false">AA24*Inputs!$E$30*(1+Inputs!$E$20)^(AA$5-1)</f>
        <v>31502.1812255568</v>
      </c>
      <c r="AB29" s="69" t="n">
        <f aca="false">AB24*Inputs!$E$30*(1+Inputs!$E$20)^(AB$5-1)</f>
        <v>31502.1812255568</v>
      </c>
      <c r="AC29" s="69" t="n">
        <f aca="false">AC24*Inputs!$E$30*(1+Inputs!$E$20)^(AC$5-1)</f>
        <v>31502.1812255568</v>
      </c>
      <c r="AD29" s="69" t="n">
        <f aca="false">AD24*Inputs!$E$30*(1+Inputs!$E$20)^(AD$5-1)</f>
        <v>31502.1812255568</v>
      </c>
      <c r="AE29" s="69" t="n">
        <f aca="false">AE24*Inputs!$E$30*(1+Inputs!$E$20)^(AE$5-1)</f>
        <v>31502.1812255568</v>
      </c>
      <c r="AF29" s="69" t="n">
        <f aca="false">AF24*Inputs!$E$30*(1+Inputs!$E$20)^(AF$5-1)</f>
        <v>42002.9083007424</v>
      </c>
      <c r="AG29" s="69" t="n">
        <f aca="false">AG24*Inputs!$E$30*(1+Inputs!$E$20)^(AG$5-1)</f>
        <v>42002.9083007424</v>
      </c>
      <c r="AH29" s="69" t="n">
        <f aca="false">AH24*Inputs!$E$30*(1+Inputs!$E$20)^(AH$5-1)</f>
        <v>42002.9083007424</v>
      </c>
      <c r="AI29" s="69" t="n">
        <f aca="false">AI24*Inputs!$E$30*(1+Inputs!$E$20)^(AI$5-1)</f>
        <v>31502.1812255568</v>
      </c>
      <c r="AJ29" s="69" t="n">
        <f aca="false">AJ24*Inputs!$E$30*(1+Inputs!$E$20)^(AJ$5-1)</f>
        <v>31502.1812255568</v>
      </c>
      <c r="AK29" s="69" t="n">
        <f aca="false">AK24*Inputs!$E$30*(1+Inputs!$E$20)^(AK$5-1)</f>
        <v>31502.1812255568</v>
      </c>
      <c r="AL29" s="69" t="n">
        <f aca="false">AL24*Inputs!$E$30*(1+Inputs!$E$20)^(AL$5-1)</f>
        <v>42002.9083007424</v>
      </c>
    </row>
    <row r="30" customFormat="false" ht="15" hidden="false" customHeight="false" outlineLevel="0" collapsed="false">
      <c r="A30" s="6" t="s">
        <v>238</v>
      </c>
      <c r="C30" s="69" t="n">
        <f aca="false">C17*Inputs!$E$21*(1+Inputs!$E$20)^(C$5-1)</f>
        <v>1331.2</v>
      </c>
      <c r="D30" s="69" t="n">
        <f aca="false">D17*Inputs!$E$21*(1+Inputs!$E$20)^(D$5-1)</f>
        <v>1530.88</v>
      </c>
      <c r="E30" s="69" t="n">
        <f aca="false">E17*Inputs!$E$21*(1+Inputs!$E$20)^(E$5-1)</f>
        <v>1730.56</v>
      </c>
      <c r="F30" s="69" t="n">
        <f aca="false">F17*Inputs!$E$21*(1+Inputs!$E$20)^(F$5-1)</f>
        <v>1930.24</v>
      </c>
      <c r="G30" s="69" t="n">
        <f aca="false">G17*Inputs!$E$21*(1+Inputs!$E$20)^(G$5-1)</f>
        <v>2129.92</v>
      </c>
      <c r="H30" s="69" t="n">
        <f aca="false">H17*Inputs!$E$21*(1+Inputs!$E$20)^(H$5-1)</f>
        <v>2329.6</v>
      </c>
      <c r="I30" s="69" t="n">
        <f aca="false">I17*Inputs!$E$21*(1+Inputs!$E$20)^(I$5-1)</f>
        <v>2529.28</v>
      </c>
      <c r="J30" s="69" t="n">
        <f aca="false">J17*Inputs!$E$21*(1+Inputs!$E$20)^(J$5-1)</f>
        <v>2728.96</v>
      </c>
      <c r="K30" s="69" t="n">
        <f aca="false">K17*Inputs!$E$21*(1+Inputs!$E$20)^(K$5-1)</f>
        <v>2928.64</v>
      </c>
      <c r="L30" s="69" t="n">
        <f aca="false">L17*Inputs!$E$21*(1+Inputs!$E$20)^(L$5-1)</f>
        <v>3128.32</v>
      </c>
      <c r="M30" s="69" t="n">
        <f aca="false">M17*Inputs!$E$21*(1+Inputs!$E$20)^(M$5-1)</f>
        <v>3328</v>
      </c>
      <c r="N30" s="69" t="n">
        <f aca="false">N17*Inputs!$E$21*(1+Inputs!$E$20)^(N$5-1)</f>
        <v>3328</v>
      </c>
      <c r="O30" s="69" t="n">
        <f aca="false">O17*Inputs!$E$21*(1+Inputs!$E$20)^(O$5-1)</f>
        <v>3530.6752</v>
      </c>
      <c r="P30" s="69" t="n">
        <f aca="false">P17*Inputs!$E$21*(1+Inputs!$E$20)^(P$5-1)</f>
        <v>3530.6752</v>
      </c>
      <c r="Q30" s="69" t="n">
        <f aca="false">Q17*Inputs!$E$21*(1+Inputs!$E$20)^(Q$5-1)</f>
        <v>3530.6752</v>
      </c>
      <c r="R30" s="69" t="n">
        <f aca="false">R17*Inputs!$E$21*(1+Inputs!$E$20)^(R$5-1)</f>
        <v>3530.6752</v>
      </c>
      <c r="S30" s="69" t="n">
        <f aca="false">S17*Inputs!$E$21*(1+Inputs!$E$20)^(S$5-1)</f>
        <v>3530.6752</v>
      </c>
      <c r="T30" s="69" t="n">
        <f aca="false">T17*Inputs!$E$21*(1+Inputs!$E$20)^(T$5-1)</f>
        <v>3530.6752</v>
      </c>
      <c r="U30" s="69" t="n">
        <f aca="false">U17*Inputs!$E$21*(1+Inputs!$E$20)^(U$5-1)</f>
        <v>3530.6752</v>
      </c>
      <c r="V30" s="69" t="n">
        <f aca="false">V17*Inputs!$E$21*(1+Inputs!$E$20)^(V$5-1)</f>
        <v>3530.6752</v>
      </c>
      <c r="W30" s="69" t="n">
        <f aca="false">W17*Inputs!$E$21*(1+Inputs!$E$20)^(W$5-1)</f>
        <v>3530.6752</v>
      </c>
      <c r="X30" s="69" t="n">
        <f aca="false">X17*Inputs!$E$21*(1+Inputs!$E$20)^(X$5-1)</f>
        <v>3530.6752</v>
      </c>
      <c r="Y30" s="69" t="n">
        <f aca="false">Y17*Inputs!$E$21*(1+Inputs!$E$20)^(Y$5-1)</f>
        <v>3530.6752</v>
      </c>
      <c r="Z30" s="69" t="n">
        <f aca="false">Z17*Inputs!$E$21*(1+Inputs!$E$20)^(Z$5-1)</f>
        <v>3530.6752</v>
      </c>
      <c r="AA30" s="69" t="n">
        <f aca="false">AA17*Inputs!$E$21*(1+Inputs!$E$20)^(AA$5-1)</f>
        <v>3745.69331968</v>
      </c>
      <c r="AB30" s="69" t="n">
        <f aca="false">AB17*Inputs!$E$21*(1+Inputs!$E$20)^(AB$5-1)</f>
        <v>3745.69331968</v>
      </c>
      <c r="AC30" s="69" t="n">
        <f aca="false">AC17*Inputs!$E$21*(1+Inputs!$E$20)^(AC$5-1)</f>
        <v>3745.69331968</v>
      </c>
      <c r="AD30" s="69" t="n">
        <f aca="false">AD17*Inputs!$E$21*(1+Inputs!$E$20)^(AD$5-1)</f>
        <v>3745.69331968</v>
      </c>
      <c r="AE30" s="69" t="n">
        <f aca="false">AE17*Inputs!$E$21*(1+Inputs!$E$20)^(AE$5-1)</f>
        <v>3745.69331968</v>
      </c>
      <c r="AF30" s="69" t="n">
        <f aca="false">AF17*Inputs!$E$21*(1+Inputs!$E$20)^(AF$5-1)</f>
        <v>3745.69331968</v>
      </c>
      <c r="AG30" s="69" t="n">
        <f aca="false">AG17*Inputs!$E$21*(1+Inputs!$E$20)^(AG$5-1)</f>
        <v>3745.69331968</v>
      </c>
      <c r="AH30" s="69" t="n">
        <f aca="false">AH17*Inputs!$E$21*(1+Inputs!$E$20)^(AH$5-1)</f>
        <v>3745.69331968</v>
      </c>
      <c r="AI30" s="69" t="n">
        <f aca="false">AI17*Inputs!$E$21*(1+Inputs!$E$20)^(AI$5-1)</f>
        <v>3745.69331968</v>
      </c>
      <c r="AJ30" s="69" t="n">
        <f aca="false">AJ17*Inputs!$E$21*(1+Inputs!$E$20)^(AJ$5-1)</f>
        <v>3745.69331968</v>
      </c>
      <c r="AK30" s="69" t="n">
        <f aca="false">AK17*Inputs!$E$21*(1+Inputs!$E$20)^(AK$5-1)</f>
        <v>3745.69331968</v>
      </c>
      <c r="AL30" s="69" t="n">
        <f aca="false">AL17*Inputs!$E$21*(1+Inputs!$E$20)^(AL$5-1)</f>
        <v>3745.69331968</v>
      </c>
    </row>
    <row r="31" customFormat="false" ht="15" hidden="false" customHeight="false" outlineLevel="0" collapsed="false">
      <c r="A31" s="115" t="s">
        <v>44</v>
      </c>
      <c r="C31" s="70" t="n">
        <f aca="false">C28+C29+C30</f>
        <v>25006.912</v>
      </c>
      <c r="D31" s="70" t="n">
        <f aca="false">D28+D29+D30</f>
        <v>28757.9488</v>
      </c>
      <c r="E31" s="70" t="n">
        <f aca="false">E28+E29+E30</f>
        <v>32508.9856</v>
      </c>
      <c r="F31" s="70" t="n">
        <f aca="false">F28+F29+F30</f>
        <v>36260.0224</v>
      </c>
      <c r="G31" s="70" t="n">
        <f aca="false">G28+G29+G30</f>
        <v>40011.0592</v>
      </c>
      <c r="H31" s="70" t="n">
        <f aca="false">H28+H29+H30</f>
        <v>50292.928</v>
      </c>
      <c r="I31" s="70" t="n">
        <f aca="false">I28+I29+I30</f>
        <v>54603.7504</v>
      </c>
      <c r="J31" s="70" t="n">
        <f aca="false">J28+J29+J30</f>
        <v>58914.5728</v>
      </c>
      <c r="K31" s="70" t="n">
        <f aca="false">K28+K29+K30</f>
        <v>55015.2064</v>
      </c>
      <c r="L31" s="70" t="n">
        <f aca="false">L28+L29+L30</f>
        <v>58766.2432</v>
      </c>
      <c r="M31" s="70" t="n">
        <f aca="false">M28+M29+M30</f>
        <v>62517.28</v>
      </c>
      <c r="N31" s="70" t="n">
        <f aca="false">N28+N29+N30</f>
        <v>71847.04</v>
      </c>
      <c r="O31" s="70" t="n">
        <f aca="false">O28+O29+O30</f>
        <v>66324.582352</v>
      </c>
      <c r="P31" s="70" t="n">
        <f aca="false">P28+P29+P30</f>
        <v>66324.582352</v>
      </c>
      <c r="Q31" s="70" t="n">
        <f aca="false">Q28+Q29+Q30</f>
        <v>66324.582352</v>
      </c>
      <c r="R31" s="70" t="n">
        <f aca="false">R28+R29+R30</f>
        <v>66324.582352</v>
      </c>
      <c r="S31" s="70" t="n">
        <f aca="false">S28+S29+S30</f>
        <v>66324.582352</v>
      </c>
      <c r="T31" s="70" t="n">
        <f aca="false">T28+T29+T30</f>
        <v>76222.524736</v>
      </c>
      <c r="U31" s="70" t="n">
        <f aca="false">U28+U29+U30</f>
        <v>76222.524736</v>
      </c>
      <c r="V31" s="70" t="n">
        <f aca="false">V28+V29+V30</f>
        <v>76222.524736</v>
      </c>
      <c r="W31" s="70" t="n">
        <f aca="false">W28+W29+W30</f>
        <v>66324.582352</v>
      </c>
      <c r="X31" s="70" t="n">
        <f aca="false">X28+X29+X30</f>
        <v>66324.582352</v>
      </c>
      <c r="Y31" s="70" t="n">
        <f aca="false">Y28+Y29+Y30</f>
        <v>66324.582352</v>
      </c>
      <c r="Z31" s="70" t="n">
        <f aca="false">Z28+Z29+Z30</f>
        <v>76222.524736</v>
      </c>
      <c r="AA31" s="70" t="n">
        <f aca="false">AA28+AA29+AA30</f>
        <v>70363.7494172368</v>
      </c>
      <c r="AB31" s="70" t="n">
        <f aca="false">AB28+AB29+AB30</f>
        <v>70363.7494172368</v>
      </c>
      <c r="AC31" s="70" t="n">
        <f aca="false">AC28+AC29+AC30</f>
        <v>70363.7494172368</v>
      </c>
      <c r="AD31" s="70" t="n">
        <f aca="false">AD28+AD29+AD30</f>
        <v>70363.7494172368</v>
      </c>
      <c r="AE31" s="70" t="n">
        <f aca="false">AE28+AE29+AE30</f>
        <v>70363.7494172368</v>
      </c>
      <c r="AF31" s="70" t="n">
        <f aca="false">AF28+AF29+AF30</f>
        <v>80864.4764924224</v>
      </c>
      <c r="AG31" s="70" t="n">
        <f aca="false">AG28+AG29+AG30</f>
        <v>80864.4764924224</v>
      </c>
      <c r="AH31" s="70" t="n">
        <f aca="false">AH28+AH29+AH30</f>
        <v>80864.4764924224</v>
      </c>
      <c r="AI31" s="70" t="n">
        <f aca="false">AI28+AI29+AI30</f>
        <v>70363.7494172368</v>
      </c>
      <c r="AJ31" s="70" t="n">
        <f aca="false">AJ28+AJ29+AJ30</f>
        <v>70363.7494172368</v>
      </c>
      <c r="AK31" s="70" t="n">
        <f aca="false">AK28+AK29+AK30</f>
        <v>70363.7494172368</v>
      </c>
      <c r="AL31" s="70" t="n">
        <f aca="false">AL28+AL29+AL30</f>
        <v>80864.4764924224</v>
      </c>
    </row>
    <row r="33" customFormat="false" ht="15.75" hidden="false" customHeight="true" outlineLevel="0" collapsed="false">
      <c r="A33" s="7" t="s">
        <v>76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customFormat="false" ht="15" hidden="false" customHeight="false" outlineLevel="0" collapsed="false">
      <c r="A34" s="6" t="s">
        <v>397</v>
      </c>
      <c r="C34" s="71" t="n">
        <f aca="false">Headcount!C14</f>
        <v>-3833.33333333333</v>
      </c>
      <c r="D34" s="71" t="n">
        <f aca="false">Headcount!D14</f>
        <v>-3833.33333333333</v>
      </c>
      <c r="E34" s="71" t="n">
        <f aca="false">Headcount!E14</f>
        <v>-3833.33333333333</v>
      </c>
      <c r="F34" s="71" t="n">
        <f aca="false">Headcount!F14</f>
        <v>-3833.33333333333</v>
      </c>
      <c r="G34" s="71" t="n">
        <f aca="false">Headcount!G14</f>
        <v>-3833.33333333333</v>
      </c>
      <c r="H34" s="71" t="n">
        <f aca="false">Headcount!H14</f>
        <v>-3833.33333333333</v>
      </c>
      <c r="I34" s="71" t="n">
        <f aca="false">Headcount!I14</f>
        <v>-3833.33333333333</v>
      </c>
      <c r="J34" s="71" t="n">
        <f aca="false">Headcount!J14</f>
        <v>-3833.33333333333</v>
      </c>
      <c r="K34" s="71" t="n">
        <f aca="false">Headcount!K14</f>
        <v>-3833.33333333333</v>
      </c>
      <c r="L34" s="71" t="n">
        <f aca="false">Headcount!L14</f>
        <v>-3833.33333333333</v>
      </c>
      <c r="M34" s="71" t="n">
        <f aca="false">Headcount!M14</f>
        <v>-3833.33333333333</v>
      </c>
      <c r="N34" s="71" t="n">
        <f aca="false">Headcount!N14</f>
        <v>-3833.33333333333</v>
      </c>
      <c r="O34" s="71" t="n">
        <f aca="false">Headcount!O14</f>
        <v>-3948.33333333333</v>
      </c>
      <c r="P34" s="71" t="n">
        <f aca="false">Headcount!P14</f>
        <v>-3948.33333333333</v>
      </c>
      <c r="Q34" s="71" t="n">
        <f aca="false">Headcount!Q14</f>
        <v>-3948.33333333333</v>
      </c>
      <c r="R34" s="71" t="n">
        <f aca="false">Headcount!R14</f>
        <v>-3948.33333333333</v>
      </c>
      <c r="S34" s="71" t="n">
        <f aca="false">Headcount!S14</f>
        <v>-3948.33333333333</v>
      </c>
      <c r="T34" s="71" t="n">
        <f aca="false">Headcount!T14</f>
        <v>-3948.33333333333</v>
      </c>
      <c r="U34" s="71" t="n">
        <f aca="false">Headcount!U14</f>
        <v>-3948.33333333333</v>
      </c>
      <c r="V34" s="71" t="n">
        <f aca="false">Headcount!V14</f>
        <v>-3948.33333333333</v>
      </c>
      <c r="W34" s="71" t="n">
        <f aca="false">Headcount!W14</f>
        <v>-3948.33333333333</v>
      </c>
      <c r="X34" s="71" t="n">
        <f aca="false">Headcount!X14</f>
        <v>-3948.33333333333</v>
      </c>
      <c r="Y34" s="71" t="n">
        <f aca="false">Headcount!Y14</f>
        <v>-3948.33333333333</v>
      </c>
      <c r="Z34" s="71" t="n">
        <f aca="false">Headcount!Z14</f>
        <v>-3948.33333333333</v>
      </c>
      <c r="AA34" s="71" t="n">
        <f aca="false">Headcount!AA14</f>
        <v>-4066.78333333333</v>
      </c>
      <c r="AB34" s="71" t="n">
        <f aca="false">Headcount!AB14</f>
        <v>-4066.78333333333</v>
      </c>
      <c r="AC34" s="71" t="n">
        <f aca="false">Headcount!AC14</f>
        <v>-4066.78333333333</v>
      </c>
      <c r="AD34" s="71" t="n">
        <f aca="false">Headcount!AD14</f>
        <v>-4066.78333333333</v>
      </c>
      <c r="AE34" s="71" t="n">
        <f aca="false">Headcount!AE14</f>
        <v>-4066.78333333333</v>
      </c>
      <c r="AF34" s="71" t="n">
        <f aca="false">Headcount!AF14</f>
        <v>-4066.78333333333</v>
      </c>
      <c r="AG34" s="71" t="n">
        <f aca="false">Headcount!AG14</f>
        <v>-4066.78333333333</v>
      </c>
      <c r="AH34" s="71" t="n">
        <f aca="false">Headcount!AH14</f>
        <v>-4066.78333333333</v>
      </c>
      <c r="AI34" s="71" t="n">
        <f aca="false">Headcount!AI14</f>
        <v>-4066.78333333333</v>
      </c>
      <c r="AJ34" s="71" t="n">
        <f aca="false">Headcount!AJ14</f>
        <v>-4066.78333333333</v>
      </c>
      <c r="AK34" s="71" t="n">
        <f aca="false">Headcount!AK14</f>
        <v>-4066.78333333333</v>
      </c>
      <c r="AL34" s="71" t="n">
        <f aca="false">Headcount!AL14</f>
        <v>-4066.78333333333</v>
      </c>
    </row>
    <row r="35" customFormat="false" ht="15" hidden="false" customHeight="false" outlineLevel="0" collapsed="false">
      <c r="A35" s="6" t="s">
        <v>398</v>
      </c>
      <c r="C35" s="69" t="n">
        <f aca="false">-C28*Inputs!$E$33</f>
        <v>-4368</v>
      </c>
      <c r="D35" s="69" t="n">
        <f aca="false">-D28*Inputs!$E$33</f>
        <v>-5023.2</v>
      </c>
      <c r="E35" s="69" t="n">
        <f aca="false">-E28*Inputs!$E$33</f>
        <v>-5678.4</v>
      </c>
      <c r="F35" s="69" t="n">
        <f aca="false">-F28*Inputs!$E$33</f>
        <v>-6333.6</v>
      </c>
      <c r="G35" s="69" t="n">
        <f aca="false">-G28*Inputs!$E$33</f>
        <v>-6988.8</v>
      </c>
      <c r="H35" s="69" t="n">
        <f aca="false">-H28*Inputs!$E$33</f>
        <v>-7644</v>
      </c>
      <c r="I35" s="69" t="n">
        <f aca="false">-I28*Inputs!$E$33</f>
        <v>-8299.2</v>
      </c>
      <c r="J35" s="69" t="n">
        <f aca="false">-J28*Inputs!$E$33</f>
        <v>-8954.4</v>
      </c>
      <c r="K35" s="69" t="n">
        <f aca="false">-K28*Inputs!$E$33</f>
        <v>-9609.6</v>
      </c>
      <c r="L35" s="69" t="n">
        <f aca="false">-L28*Inputs!$E$33</f>
        <v>-10264.8</v>
      </c>
      <c r="M35" s="69" t="n">
        <f aca="false">-M28*Inputs!$E$33</f>
        <v>-10920</v>
      </c>
      <c r="N35" s="69" t="n">
        <f aca="false">-N28*Inputs!$E$33</f>
        <v>-10920</v>
      </c>
      <c r="O35" s="69" t="n">
        <f aca="false">-O28*Inputs!$E$33</f>
        <v>-11585.028</v>
      </c>
      <c r="P35" s="69" t="n">
        <f aca="false">-P28*Inputs!$E$33</f>
        <v>-11585.028</v>
      </c>
      <c r="Q35" s="69" t="n">
        <f aca="false">-Q28*Inputs!$E$33</f>
        <v>-11585.028</v>
      </c>
      <c r="R35" s="69" t="n">
        <f aca="false">-R28*Inputs!$E$33</f>
        <v>-11585.028</v>
      </c>
      <c r="S35" s="69" t="n">
        <f aca="false">-S28*Inputs!$E$33</f>
        <v>-11585.028</v>
      </c>
      <c r="T35" s="69" t="n">
        <f aca="false">-T28*Inputs!$E$33</f>
        <v>-11585.028</v>
      </c>
      <c r="U35" s="69" t="n">
        <f aca="false">-U28*Inputs!$E$33</f>
        <v>-11585.028</v>
      </c>
      <c r="V35" s="69" t="n">
        <f aca="false">-V28*Inputs!$E$33</f>
        <v>-11585.028</v>
      </c>
      <c r="W35" s="69" t="n">
        <f aca="false">-W28*Inputs!$E$33</f>
        <v>-11585.028</v>
      </c>
      <c r="X35" s="69" t="n">
        <f aca="false">-X28*Inputs!$E$33</f>
        <v>-11585.028</v>
      </c>
      <c r="Y35" s="69" t="n">
        <f aca="false">-Y28*Inputs!$E$33</f>
        <v>-11585.028</v>
      </c>
      <c r="Z35" s="69" t="n">
        <f aca="false">-Z28*Inputs!$E$33</f>
        <v>-11585.028</v>
      </c>
      <c r="AA35" s="69" t="n">
        <f aca="false">-AA28*Inputs!$E$33</f>
        <v>-12290.5562052</v>
      </c>
      <c r="AB35" s="69" t="n">
        <f aca="false">-AB28*Inputs!$E$33</f>
        <v>-12290.5562052</v>
      </c>
      <c r="AC35" s="69" t="n">
        <f aca="false">-AC28*Inputs!$E$33</f>
        <v>-12290.5562052</v>
      </c>
      <c r="AD35" s="69" t="n">
        <f aca="false">-AD28*Inputs!$E$33</f>
        <v>-12290.5562052</v>
      </c>
      <c r="AE35" s="69" t="n">
        <f aca="false">-AE28*Inputs!$E$33</f>
        <v>-12290.5562052</v>
      </c>
      <c r="AF35" s="69" t="n">
        <f aca="false">-AF28*Inputs!$E$33</f>
        <v>-12290.5562052</v>
      </c>
      <c r="AG35" s="69" t="n">
        <f aca="false">-AG28*Inputs!$E$33</f>
        <v>-12290.5562052</v>
      </c>
      <c r="AH35" s="69" t="n">
        <f aca="false">-AH28*Inputs!$E$33</f>
        <v>-12290.5562052</v>
      </c>
      <c r="AI35" s="69" t="n">
        <f aca="false">-AI28*Inputs!$E$33</f>
        <v>-12290.5562052</v>
      </c>
      <c r="AJ35" s="69" t="n">
        <f aca="false">-AJ28*Inputs!$E$33</f>
        <v>-12290.5562052</v>
      </c>
      <c r="AK35" s="69" t="n">
        <f aca="false">-AK28*Inputs!$E$33</f>
        <v>-12290.5562052</v>
      </c>
      <c r="AL35" s="69" t="n">
        <f aca="false">-AL28*Inputs!$E$33</f>
        <v>-12290.5562052</v>
      </c>
    </row>
    <row r="36" customFormat="false" ht="15" hidden="false" customHeight="false" outlineLevel="0" collapsed="false">
      <c r="A36" s="6" t="s">
        <v>399</v>
      </c>
      <c r="C36" s="69" t="n">
        <f aca="false">-C17*Inputs!$E$34*(1+Inputs!$E$45)^(C$5-1)</f>
        <v>-748.8</v>
      </c>
      <c r="D36" s="69" t="n">
        <f aca="false">-D17*Inputs!$E$34*(1+Inputs!$E$45)^(D$5-1)</f>
        <v>-861.12</v>
      </c>
      <c r="E36" s="69" t="n">
        <f aca="false">-E17*Inputs!$E$34*(1+Inputs!$E$45)^(E$5-1)</f>
        <v>-973.44</v>
      </c>
      <c r="F36" s="69" t="n">
        <f aca="false">-F17*Inputs!$E$34*(1+Inputs!$E$45)^(F$5-1)</f>
        <v>-1085.76</v>
      </c>
      <c r="G36" s="69" t="n">
        <f aca="false">-G17*Inputs!$E$34*(1+Inputs!$E$45)^(G$5-1)</f>
        <v>-1198.08</v>
      </c>
      <c r="H36" s="69" t="n">
        <f aca="false">-H17*Inputs!$E$34*(1+Inputs!$E$45)^(H$5-1)</f>
        <v>-1310.4</v>
      </c>
      <c r="I36" s="69" t="n">
        <f aca="false">-I17*Inputs!$E$34*(1+Inputs!$E$45)^(I$5-1)</f>
        <v>-1422.72</v>
      </c>
      <c r="J36" s="69" t="n">
        <f aca="false">-J17*Inputs!$E$34*(1+Inputs!$E$45)^(J$5-1)</f>
        <v>-1535.04</v>
      </c>
      <c r="K36" s="69" t="n">
        <f aca="false">-K17*Inputs!$E$34*(1+Inputs!$E$45)^(K$5-1)</f>
        <v>-1647.36</v>
      </c>
      <c r="L36" s="69" t="n">
        <f aca="false">-L17*Inputs!$E$34*(1+Inputs!$E$45)^(L$5-1)</f>
        <v>-1759.68</v>
      </c>
      <c r="M36" s="69" t="n">
        <f aca="false">-M17*Inputs!$E$34*(1+Inputs!$E$45)^(M$5-1)</f>
        <v>-1872</v>
      </c>
      <c r="N36" s="69" t="n">
        <f aca="false">-N17*Inputs!$E$34*(1+Inputs!$E$45)^(N$5-1)</f>
        <v>-1872</v>
      </c>
      <c r="O36" s="69" t="n">
        <f aca="false">-O17*Inputs!$E$34*(1+Inputs!$E$45)^(O$5-1)</f>
        <v>-1986.0048</v>
      </c>
      <c r="P36" s="69" t="n">
        <f aca="false">-P17*Inputs!$E$34*(1+Inputs!$E$45)^(P$5-1)</f>
        <v>-1986.0048</v>
      </c>
      <c r="Q36" s="69" t="n">
        <f aca="false">-Q17*Inputs!$E$34*(1+Inputs!$E$45)^(Q$5-1)</f>
        <v>-1986.0048</v>
      </c>
      <c r="R36" s="69" t="n">
        <f aca="false">-R17*Inputs!$E$34*(1+Inputs!$E$45)^(R$5-1)</f>
        <v>-1986.0048</v>
      </c>
      <c r="S36" s="69" t="n">
        <f aca="false">-S17*Inputs!$E$34*(1+Inputs!$E$45)^(S$5-1)</f>
        <v>-1986.0048</v>
      </c>
      <c r="T36" s="69" t="n">
        <f aca="false">-T17*Inputs!$E$34*(1+Inputs!$E$45)^(T$5-1)</f>
        <v>-1986.0048</v>
      </c>
      <c r="U36" s="69" t="n">
        <f aca="false">-U17*Inputs!$E$34*(1+Inputs!$E$45)^(U$5-1)</f>
        <v>-1986.0048</v>
      </c>
      <c r="V36" s="69" t="n">
        <f aca="false">-V17*Inputs!$E$34*(1+Inputs!$E$45)^(V$5-1)</f>
        <v>-1986.0048</v>
      </c>
      <c r="W36" s="69" t="n">
        <f aca="false">-W17*Inputs!$E$34*(1+Inputs!$E$45)^(W$5-1)</f>
        <v>-1986.0048</v>
      </c>
      <c r="X36" s="69" t="n">
        <f aca="false">-X17*Inputs!$E$34*(1+Inputs!$E$45)^(X$5-1)</f>
        <v>-1986.0048</v>
      </c>
      <c r="Y36" s="69" t="n">
        <f aca="false">-Y17*Inputs!$E$34*(1+Inputs!$E$45)^(Y$5-1)</f>
        <v>-1986.0048</v>
      </c>
      <c r="Z36" s="69" t="n">
        <f aca="false">-Z17*Inputs!$E$34*(1+Inputs!$E$45)^(Z$5-1)</f>
        <v>-1986.0048</v>
      </c>
      <c r="AA36" s="69" t="n">
        <f aca="false">-AA17*Inputs!$E$34*(1+Inputs!$E$45)^(AA$5-1)</f>
        <v>-2106.95249232</v>
      </c>
      <c r="AB36" s="69" t="n">
        <f aca="false">-AB17*Inputs!$E$34*(1+Inputs!$E$45)^(AB$5-1)</f>
        <v>-2106.95249232</v>
      </c>
      <c r="AC36" s="69" t="n">
        <f aca="false">-AC17*Inputs!$E$34*(1+Inputs!$E$45)^(AC$5-1)</f>
        <v>-2106.95249232</v>
      </c>
      <c r="AD36" s="69" t="n">
        <f aca="false">-AD17*Inputs!$E$34*(1+Inputs!$E$45)^(AD$5-1)</f>
        <v>-2106.95249232</v>
      </c>
      <c r="AE36" s="69" t="n">
        <f aca="false">-AE17*Inputs!$E$34*(1+Inputs!$E$45)^(AE$5-1)</f>
        <v>-2106.95249232</v>
      </c>
      <c r="AF36" s="69" t="n">
        <f aca="false">-AF17*Inputs!$E$34*(1+Inputs!$E$45)^(AF$5-1)</f>
        <v>-2106.95249232</v>
      </c>
      <c r="AG36" s="69" t="n">
        <f aca="false">-AG17*Inputs!$E$34*(1+Inputs!$E$45)^(AG$5-1)</f>
        <v>-2106.95249232</v>
      </c>
      <c r="AH36" s="69" t="n">
        <f aca="false">-AH17*Inputs!$E$34*(1+Inputs!$E$45)^(AH$5-1)</f>
        <v>-2106.95249232</v>
      </c>
      <c r="AI36" s="69" t="n">
        <f aca="false">-AI17*Inputs!$E$34*(1+Inputs!$E$45)^(AI$5-1)</f>
        <v>-2106.95249232</v>
      </c>
      <c r="AJ36" s="69" t="n">
        <f aca="false">-AJ17*Inputs!$E$34*(1+Inputs!$E$45)^(AJ$5-1)</f>
        <v>-2106.95249232</v>
      </c>
      <c r="AK36" s="69" t="n">
        <f aca="false">-AK17*Inputs!$E$34*(1+Inputs!$E$45)^(AK$5-1)</f>
        <v>-2106.95249232</v>
      </c>
      <c r="AL36" s="69" t="n">
        <f aca="false">-AL17*Inputs!$E$34*(1+Inputs!$E$45)^(AL$5-1)</f>
        <v>-2106.95249232</v>
      </c>
    </row>
    <row r="37" customFormat="false" ht="15" hidden="false" customHeight="false" outlineLevel="0" collapsed="false">
      <c r="A37" s="6" t="s">
        <v>400</v>
      </c>
      <c r="C37" s="69" t="n">
        <f aca="false">-C24*Inputs!$E$35*(1+Inputs!$E$45)^(C$5-1)</f>
        <v>-1221.3504</v>
      </c>
      <c r="D37" s="69" t="n">
        <f aca="false">-D24*Inputs!$E$35*(1+Inputs!$E$45)^(D$5-1)</f>
        <v>-1404.55296</v>
      </c>
      <c r="E37" s="69" t="n">
        <f aca="false">-E24*Inputs!$E$35*(1+Inputs!$E$45)^(E$5-1)</f>
        <v>-1587.75552</v>
      </c>
      <c r="F37" s="69" t="n">
        <f aca="false">-F24*Inputs!$E$35*(1+Inputs!$E$45)^(F$5-1)</f>
        <v>-1770.95808</v>
      </c>
      <c r="G37" s="69" t="n">
        <f aca="false">-G24*Inputs!$E$35*(1+Inputs!$E$45)^(G$5-1)</f>
        <v>-1954.16064</v>
      </c>
      <c r="H37" s="69" t="n">
        <f aca="false">-H24*Inputs!$E$35*(1+Inputs!$E$45)^(H$5-1)</f>
        <v>-2849.8176</v>
      </c>
      <c r="I37" s="69" t="n">
        <f aca="false">-I24*Inputs!$E$35*(1+Inputs!$E$45)^(I$5-1)</f>
        <v>-3094.08768</v>
      </c>
      <c r="J37" s="69" t="n">
        <f aca="false">-J24*Inputs!$E$35*(1+Inputs!$E$45)^(J$5-1)</f>
        <v>-3338.35776</v>
      </c>
      <c r="K37" s="69" t="n">
        <f aca="false">-K24*Inputs!$E$35*(1+Inputs!$E$45)^(K$5-1)</f>
        <v>-2686.97088</v>
      </c>
      <c r="L37" s="69" t="n">
        <f aca="false">-L24*Inputs!$E$35*(1+Inputs!$E$45)^(L$5-1)</f>
        <v>-2870.17344</v>
      </c>
      <c r="M37" s="69" t="n">
        <f aca="false">-M24*Inputs!$E$35*(1+Inputs!$E$45)^(M$5-1)</f>
        <v>-3053.376</v>
      </c>
      <c r="N37" s="69" t="n">
        <f aca="false">-N24*Inputs!$E$35*(1+Inputs!$E$45)^(N$5-1)</f>
        <v>-4071.168</v>
      </c>
      <c r="O37" s="69" t="n">
        <f aca="false">-O24*Inputs!$E$35*(1+Inputs!$E$45)^(O$5-1)</f>
        <v>-3239.3265984</v>
      </c>
      <c r="P37" s="69" t="n">
        <f aca="false">-P24*Inputs!$E$35*(1+Inputs!$E$45)^(P$5-1)</f>
        <v>-3239.3265984</v>
      </c>
      <c r="Q37" s="69" t="n">
        <f aca="false">-Q24*Inputs!$E$35*(1+Inputs!$E$45)^(Q$5-1)</f>
        <v>-3239.3265984</v>
      </c>
      <c r="R37" s="69" t="n">
        <f aca="false">-R24*Inputs!$E$35*(1+Inputs!$E$45)^(R$5-1)</f>
        <v>-3239.3265984</v>
      </c>
      <c r="S37" s="69" t="n">
        <f aca="false">-S24*Inputs!$E$35*(1+Inputs!$E$45)^(S$5-1)</f>
        <v>-3239.3265984</v>
      </c>
      <c r="T37" s="69" t="n">
        <f aca="false">-T24*Inputs!$E$35*(1+Inputs!$E$45)^(T$5-1)</f>
        <v>-4319.1021312</v>
      </c>
      <c r="U37" s="69" t="n">
        <f aca="false">-U24*Inputs!$E$35*(1+Inputs!$E$45)^(U$5-1)</f>
        <v>-4319.1021312</v>
      </c>
      <c r="V37" s="69" t="n">
        <f aca="false">-V24*Inputs!$E$35*(1+Inputs!$E$45)^(V$5-1)</f>
        <v>-4319.1021312</v>
      </c>
      <c r="W37" s="69" t="n">
        <f aca="false">-W24*Inputs!$E$35*(1+Inputs!$E$45)^(W$5-1)</f>
        <v>-3239.3265984</v>
      </c>
      <c r="X37" s="69" t="n">
        <f aca="false">-X24*Inputs!$E$35*(1+Inputs!$E$45)^(X$5-1)</f>
        <v>-3239.3265984</v>
      </c>
      <c r="Y37" s="69" t="n">
        <f aca="false">-Y24*Inputs!$E$35*(1+Inputs!$E$45)^(Y$5-1)</f>
        <v>-3239.3265984</v>
      </c>
      <c r="Z37" s="69" t="n">
        <f aca="false">-Z24*Inputs!$E$35*(1+Inputs!$E$45)^(Z$5-1)</f>
        <v>-4319.1021312</v>
      </c>
      <c r="AA37" s="69" t="n">
        <f aca="false">-AA24*Inputs!$E$35*(1+Inputs!$E$45)^(AA$5-1)</f>
        <v>-3436.60158824256</v>
      </c>
      <c r="AB37" s="69" t="n">
        <f aca="false">-AB24*Inputs!$E$35*(1+Inputs!$E$45)^(AB$5-1)</f>
        <v>-3436.60158824256</v>
      </c>
      <c r="AC37" s="69" t="n">
        <f aca="false">-AC24*Inputs!$E$35*(1+Inputs!$E$45)^(AC$5-1)</f>
        <v>-3436.60158824256</v>
      </c>
      <c r="AD37" s="69" t="n">
        <f aca="false">-AD24*Inputs!$E$35*(1+Inputs!$E$45)^(AD$5-1)</f>
        <v>-3436.60158824256</v>
      </c>
      <c r="AE37" s="69" t="n">
        <f aca="false">-AE24*Inputs!$E$35*(1+Inputs!$E$45)^(AE$5-1)</f>
        <v>-3436.60158824256</v>
      </c>
      <c r="AF37" s="69" t="n">
        <f aca="false">-AF24*Inputs!$E$35*(1+Inputs!$E$45)^(AF$5-1)</f>
        <v>-4582.13545099008</v>
      </c>
      <c r="AG37" s="69" t="n">
        <f aca="false">-AG24*Inputs!$E$35*(1+Inputs!$E$45)^(AG$5-1)</f>
        <v>-4582.13545099008</v>
      </c>
      <c r="AH37" s="69" t="n">
        <f aca="false">-AH24*Inputs!$E$35*(1+Inputs!$E$45)^(AH$5-1)</f>
        <v>-4582.13545099008</v>
      </c>
      <c r="AI37" s="69" t="n">
        <f aca="false">-AI24*Inputs!$E$35*(1+Inputs!$E$45)^(AI$5-1)</f>
        <v>-3436.60158824256</v>
      </c>
      <c r="AJ37" s="69" t="n">
        <f aca="false">-AJ24*Inputs!$E$35*(1+Inputs!$E$45)^(AJ$5-1)</f>
        <v>-3436.60158824256</v>
      </c>
      <c r="AK37" s="69" t="n">
        <f aca="false">-AK24*Inputs!$E$35*(1+Inputs!$E$45)^(AK$5-1)</f>
        <v>-3436.60158824256</v>
      </c>
      <c r="AL37" s="69" t="n">
        <f aca="false">-AL24*Inputs!$E$35*(1+Inputs!$E$45)^(AL$5-1)</f>
        <v>-4582.13545099008</v>
      </c>
    </row>
    <row r="38" customFormat="false" ht="15" hidden="false" customHeight="false" outlineLevel="0" collapsed="false">
      <c r="A38" s="6" t="s">
        <v>401</v>
      </c>
      <c r="C38" s="69" t="n">
        <f aca="false">-C30*(1-Inputs!$E$22)</f>
        <v>-798.72</v>
      </c>
      <c r="D38" s="69" t="n">
        <f aca="false">-D30*(1-Inputs!$E$22)</f>
        <v>-918.528</v>
      </c>
      <c r="E38" s="69" t="n">
        <f aca="false">-E30*(1-Inputs!$E$22)</f>
        <v>-1038.336</v>
      </c>
      <c r="F38" s="69" t="n">
        <f aca="false">-F30*(1-Inputs!$E$22)</f>
        <v>-1158.144</v>
      </c>
      <c r="G38" s="69" t="n">
        <f aca="false">-G30*(1-Inputs!$E$22)</f>
        <v>-1277.952</v>
      </c>
      <c r="H38" s="69" t="n">
        <f aca="false">-H30*(1-Inputs!$E$22)</f>
        <v>-1397.76</v>
      </c>
      <c r="I38" s="69" t="n">
        <f aca="false">-I30*(1-Inputs!$E$22)</f>
        <v>-1517.568</v>
      </c>
      <c r="J38" s="69" t="n">
        <f aca="false">-J30*(1-Inputs!$E$22)</f>
        <v>-1637.376</v>
      </c>
      <c r="K38" s="69" t="n">
        <f aca="false">-K30*(1-Inputs!$E$22)</f>
        <v>-1757.184</v>
      </c>
      <c r="L38" s="69" t="n">
        <f aca="false">-L30*(1-Inputs!$E$22)</f>
        <v>-1876.992</v>
      </c>
      <c r="M38" s="69" t="n">
        <f aca="false">-M30*(1-Inputs!$E$22)</f>
        <v>-1996.8</v>
      </c>
      <c r="N38" s="69" t="n">
        <f aca="false">-N30*(1-Inputs!$E$22)</f>
        <v>-1996.8</v>
      </c>
      <c r="O38" s="69" t="n">
        <f aca="false">-O30*(1-Inputs!$E$22)</f>
        <v>-2118.40512</v>
      </c>
      <c r="P38" s="69" t="n">
        <f aca="false">-P30*(1-Inputs!$E$22)</f>
        <v>-2118.40512</v>
      </c>
      <c r="Q38" s="69" t="n">
        <f aca="false">-Q30*(1-Inputs!$E$22)</f>
        <v>-2118.40512</v>
      </c>
      <c r="R38" s="69" t="n">
        <f aca="false">-R30*(1-Inputs!$E$22)</f>
        <v>-2118.40512</v>
      </c>
      <c r="S38" s="69" t="n">
        <f aca="false">-S30*(1-Inputs!$E$22)</f>
        <v>-2118.40512</v>
      </c>
      <c r="T38" s="69" t="n">
        <f aca="false">-T30*(1-Inputs!$E$22)</f>
        <v>-2118.40512</v>
      </c>
      <c r="U38" s="69" t="n">
        <f aca="false">-U30*(1-Inputs!$E$22)</f>
        <v>-2118.40512</v>
      </c>
      <c r="V38" s="69" t="n">
        <f aca="false">-V30*(1-Inputs!$E$22)</f>
        <v>-2118.40512</v>
      </c>
      <c r="W38" s="69" t="n">
        <f aca="false">-W30*(1-Inputs!$E$22)</f>
        <v>-2118.40512</v>
      </c>
      <c r="X38" s="69" t="n">
        <f aca="false">-X30*(1-Inputs!$E$22)</f>
        <v>-2118.40512</v>
      </c>
      <c r="Y38" s="69" t="n">
        <f aca="false">-Y30*(1-Inputs!$E$22)</f>
        <v>-2118.40512</v>
      </c>
      <c r="Z38" s="69" t="n">
        <f aca="false">-Z30*(1-Inputs!$E$22)</f>
        <v>-2118.40512</v>
      </c>
      <c r="AA38" s="69" t="n">
        <f aca="false">-AA30*(1-Inputs!$E$22)</f>
        <v>-2247.415991808</v>
      </c>
      <c r="AB38" s="69" t="n">
        <f aca="false">-AB30*(1-Inputs!$E$22)</f>
        <v>-2247.415991808</v>
      </c>
      <c r="AC38" s="69" t="n">
        <f aca="false">-AC30*(1-Inputs!$E$22)</f>
        <v>-2247.415991808</v>
      </c>
      <c r="AD38" s="69" t="n">
        <f aca="false">-AD30*(1-Inputs!$E$22)</f>
        <v>-2247.415991808</v>
      </c>
      <c r="AE38" s="69" t="n">
        <f aca="false">-AE30*(1-Inputs!$E$22)</f>
        <v>-2247.415991808</v>
      </c>
      <c r="AF38" s="69" t="n">
        <f aca="false">-AF30*(1-Inputs!$E$22)</f>
        <v>-2247.415991808</v>
      </c>
      <c r="AG38" s="69" t="n">
        <f aca="false">-AG30*(1-Inputs!$E$22)</f>
        <v>-2247.415991808</v>
      </c>
      <c r="AH38" s="69" t="n">
        <f aca="false">-AH30*(1-Inputs!$E$22)</f>
        <v>-2247.415991808</v>
      </c>
      <c r="AI38" s="69" t="n">
        <f aca="false">-AI30*(1-Inputs!$E$22)</f>
        <v>-2247.415991808</v>
      </c>
      <c r="AJ38" s="69" t="n">
        <f aca="false">-AJ30*(1-Inputs!$E$22)</f>
        <v>-2247.415991808</v>
      </c>
      <c r="AK38" s="69" t="n">
        <f aca="false">-AK30*(1-Inputs!$E$22)</f>
        <v>-2247.415991808</v>
      </c>
      <c r="AL38" s="69" t="n">
        <f aca="false">-AL30*(1-Inputs!$E$22)</f>
        <v>-2247.415991808</v>
      </c>
    </row>
    <row r="39" customFormat="false" ht="15" hidden="false" customHeight="false" outlineLevel="0" collapsed="false">
      <c r="A39" s="4" t="s">
        <v>76</v>
      </c>
      <c r="C39" s="75" t="n">
        <f aca="false">C34+C35+C36+C37+C38</f>
        <v>-10970.2037333333</v>
      </c>
      <c r="D39" s="75" t="n">
        <f aca="false">D34+D35+D36+D37+D38</f>
        <v>-12040.7342933333</v>
      </c>
      <c r="E39" s="75" t="n">
        <f aca="false">E34+E35+E36+E37+E38</f>
        <v>-13111.2648533333</v>
      </c>
      <c r="F39" s="75" t="n">
        <f aca="false">F34+F35+F36+F37+F38</f>
        <v>-14181.7954133333</v>
      </c>
      <c r="G39" s="75" t="n">
        <f aca="false">G34+G35+G36+G37+G38</f>
        <v>-15252.3259733333</v>
      </c>
      <c r="H39" s="75" t="n">
        <f aca="false">H34+H35+H36+H37+H38</f>
        <v>-17035.3109333333</v>
      </c>
      <c r="I39" s="75" t="n">
        <f aca="false">I34+I35+I36+I37+I38</f>
        <v>-18166.9090133333</v>
      </c>
      <c r="J39" s="75" t="n">
        <f aca="false">J34+J35+J36+J37+J38</f>
        <v>-19298.5070933333</v>
      </c>
      <c r="K39" s="75" t="n">
        <f aca="false">K34+K35+K36+K37+K38</f>
        <v>-19534.4482133333</v>
      </c>
      <c r="L39" s="75" t="n">
        <f aca="false">L34+L35+L36+L37+L38</f>
        <v>-20604.9787733333</v>
      </c>
      <c r="M39" s="75" t="n">
        <f aca="false">M34+M35+M36+M37+M38</f>
        <v>-21675.5093333333</v>
      </c>
      <c r="N39" s="75" t="n">
        <f aca="false">N34+N35+N36+N37+N38</f>
        <v>-22693.3013333333</v>
      </c>
      <c r="O39" s="75" t="n">
        <f aca="false">O34+O35+O36+O37+O38</f>
        <v>-22877.0978517333</v>
      </c>
      <c r="P39" s="75" t="n">
        <f aca="false">P34+P35+P36+P37+P38</f>
        <v>-22877.0978517333</v>
      </c>
      <c r="Q39" s="75" t="n">
        <f aca="false">Q34+Q35+Q36+Q37+Q38</f>
        <v>-22877.0978517333</v>
      </c>
      <c r="R39" s="75" t="n">
        <f aca="false">R34+R35+R36+R37+R38</f>
        <v>-22877.0978517333</v>
      </c>
      <c r="S39" s="75" t="n">
        <f aca="false">S34+S35+S36+S37+S38</f>
        <v>-22877.0978517333</v>
      </c>
      <c r="T39" s="75" t="n">
        <f aca="false">T34+T35+T36+T37+T38</f>
        <v>-23956.8733845333</v>
      </c>
      <c r="U39" s="75" t="n">
        <f aca="false">U34+U35+U36+U37+U38</f>
        <v>-23956.8733845333</v>
      </c>
      <c r="V39" s="75" t="n">
        <f aca="false">V34+V35+V36+V37+V38</f>
        <v>-23956.8733845333</v>
      </c>
      <c r="W39" s="75" t="n">
        <f aca="false">W34+W35+W36+W37+W38</f>
        <v>-22877.0978517333</v>
      </c>
      <c r="X39" s="75" t="n">
        <f aca="false">X34+X35+X36+X37+X38</f>
        <v>-22877.0978517333</v>
      </c>
      <c r="Y39" s="75" t="n">
        <f aca="false">Y34+Y35+Y36+Y37+Y38</f>
        <v>-22877.0978517333</v>
      </c>
      <c r="Z39" s="75" t="n">
        <f aca="false">Z34+Z35+Z36+Z37+Z38</f>
        <v>-23956.8733845333</v>
      </c>
      <c r="AA39" s="75" t="n">
        <f aca="false">AA34+AA35+AA36+AA37+AA38</f>
        <v>-24148.3096109039</v>
      </c>
      <c r="AB39" s="75" t="n">
        <f aca="false">AB34+AB35+AB36+AB37+AB38</f>
        <v>-24148.3096109039</v>
      </c>
      <c r="AC39" s="75" t="n">
        <f aca="false">AC34+AC35+AC36+AC37+AC38</f>
        <v>-24148.3096109039</v>
      </c>
      <c r="AD39" s="75" t="n">
        <f aca="false">AD34+AD35+AD36+AD37+AD38</f>
        <v>-24148.3096109039</v>
      </c>
      <c r="AE39" s="75" t="n">
        <f aca="false">AE34+AE35+AE36+AE37+AE38</f>
        <v>-24148.3096109039</v>
      </c>
      <c r="AF39" s="75" t="n">
        <f aca="false">AF34+AF35+AF36+AF37+AF38</f>
        <v>-25293.8434736514</v>
      </c>
      <c r="AG39" s="75" t="n">
        <f aca="false">AG34+AG35+AG36+AG37+AG38</f>
        <v>-25293.8434736514</v>
      </c>
      <c r="AH39" s="75" t="n">
        <f aca="false">AH34+AH35+AH36+AH37+AH38</f>
        <v>-25293.8434736514</v>
      </c>
      <c r="AI39" s="75" t="n">
        <f aca="false">AI34+AI35+AI36+AI37+AI38</f>
        <v>-24148.3096109039</v>
      </c>
      <c r="AJ39" s="75" t="n">
        <f aca="false">AJ34+AJ35+AJ36+AJ37+AJ38</f>
        <v>-24148.3096109039</v>
      </c>
      <c r="AK39" s="75" t="n">
        <f aca="false">AK34+AK35+AK36+AK37+AK38</f>
        <v>-24148.3096109039</v>
      </c>
      <c r="AL39" s="75" t="n">
        <f aca="false">AL34+AL35+AL36+AL37+AL38</f>
        <v>-25293.8434736514</v>
      </c>
    </row>
    <row r="40" customFormat="false" ht="15" hidden="false" customHeight="false" outlineLevel="0" collapsed="false">
      <c r="A40" s="115" t="s">
        <v>45</v>
      </c>
      <c r="C40" s="70" t="n">
        <f aca="false">C31+C39</f>
        <v>14036.7082666667</v>
      </c>
      <c r="D40" s="70" t="n">
        <f aca="false">D31+D39</f>
        <v>16717.2145066667</v>
      </c>
      <c r="E40" s="70" t="n">
        <f aca="false">E31+E39</f>
        <v>19397.7207466667</v>
      </c>
      <c r="F40" s="70" t="n">
        <f aca="false">F31+F39</f>
        <v>22078.2269866667</v>
      </c>
      <c r="G40" s="70" t="n">
        <f aca="false">G31+G39</f>
        <v>24758.7332266667</v>
      </c>
      <c r="H40" s="70" t="n">
        <f aca="false">H31+H39</f>
        <v>33257.6170666667</v>
      </c>
      <c r="I40" s="70" t="n">
        <f aca="false">I31+I39</f>
        <v>36436.8413866667</v>
      </c>
      <c r="J40" s="70" t="n">
        <f aca="false">J31+J39</f>
        <v>39616.0657066667</v>
      </c>
      <c r="K40" s="70" t="n">
        <f aca="false">K31+K39</f>
        <v>35480.7581866667</v>
      </c>
      <c r="L40" s="70" t="n">
        <f aca="false">L31+L39</f>
        <v>38161.2644266667</v>
      </c>
      <c r="M40" s="70" t="n">
        <f aca="false">M31+M39</f>
        <v>40841.7706666667</v>
      </c>
      <c r="N40" s="70" t="n">
        <f aca="false">N31+N39</f>
        <v>49153.7386666667</v>
      </c>
      <c r="O40" s="70" t="n">
        <f aca="false">O31+O39</f>
        <v>43447.4845002667</v>
      </c>
      <c r="P40" s="70" t="n">
        <f aca="false">P31+P39</f>
        <v>43447.4845002667</v>
      </c>
      <c r="Q40" s="70" t="n">
        <f aca="false">Q31+Q39</f>
        <v>43447.4845002667</v>
      </c>
      <c r="R40" s="70" t="n">
        <f aca="false">R31+R39</f>
        <v>43447.4845002667</v>
      </c>
      <c r="S40" s="70" t="n">
        <f aca="false">S31+S39</f>
        <v>43447.4845002667</v>
      </c>
      <c r="T40" s="70" t="n">
        <f aca="false">T31+T39</f>
        <v>52265.6513514667</v>
      </c>
      <c r="U40" s="70" t="n">
        <f aca="false">U31+U39</f>
        <v>52265.6513514667</v>
      </c>
      <c r="V40" s="70" t="n">
        <f aca="false">V31+V39</f>
        <v>52265.6513514667</v>
      </c>
      <c r="W40" s="70" t="n">
        <f aca="false">W31+W39</f>
        <v>43447.4845002667</v>
      </c>
      <c r="X40" s="70" t="n">
        <f aca="false">X31+X39</f>
        <v>43447.4845002667</v>
      </c>
      <c r="Y40" s="70" t="n">
        <f aca="false">Y31+Y39</f>
        <v>43447.4845002667</v>
      </c>
      <c r="Z40" s="70" t="n">
        <f aca="false">Z31+Z39</f>
        <v>52265.6513514667</v>
      </c>
      <c r="AA40" s="70" t="n">
        <f aca="false">AA31+AA39</f>
        <v>46215.4398063329</v>
      </c>
      <c r="AB40" s="70" t="n">
        <f aca="false">AB31+AB39</f>
        <v>46215.4398063329</v>
      </c>
      <c r="AC40" s="70" t="n">
        <f aca="false">AC31+AC39</f>
        <v>46215.4398063329</v>
      </c>
      <c r="AD40" s="70" t="n">
        <f aca="false">AD31+AD39</f>
        <v>46215.4398063329</v>
      </c>
      <c r="AE40" s="70" t="n">
        <f aca="false">AE31+AE39</f>
        <v>46215.4398063329</v>
      </c>
      <c r="AF40" s="70" t="n">
        <f aca="false">AF31+AF39</f>
        <v>55570.633018771</v>
      </c>
      <c r="AG40" s="70" t="n">
        <f aca="false">AG31+AG39</f>
        <v>55570.633018771</v>
      </c>
      <c r="AH40" s="70" t="n">
        <f aca="false">AH31+AH39</f>
        <v>55570.633018771</v>
      </c>
      <c r="AI40" s="70" t="n">
        <f aca="false">AI31+AI39</f>
        <v>46215.4398063329</v>
      </c>
      <c r="AJ40" s="70" t="n">
        <f aca="false">AJ31+AJ39</f>
        <v>46215.4398063329</v>
      </c>
      <c r="AK40" s="70" t="n">
        <f aca="false">AK31+AK39</f>
        <v>46215.4398063329</v>
      </c>
      <c r="AL40" s="70" t="n">
        <f aca="false">AL31+AL39</f>
        <v>55570.633018771</v>
      </c>
    </row>
    <row r="42" customFormat="false" ht="15.75" hidden="false" customHeight="true" outlineLevel="0" collapsed="false">
      <c r="A42" s="7" t="s">
        <v>47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customFormat="false" ht="15" hidden="false" customHeight="false" outlineLevel="0" collapsed="false">
      <c r="A43" s="6" t="s">
        <v>335</v>
      </c>
      <c r="C43" s="69" t="n">
        <f aca="false">Headcount!C17-Headcount!C14</f>
        <v>-15237.5</v>
      </c>
      <c r="D43" s="69" t="n">
        <f aca="false">Headcount!D17-Headcount!D14</f>
        <v>-15237.5</v>
      </c>
      <c r="E43" s="69" t="n">
        <f aca="false">Headcount!E17-Headcount!E14</f>
        <v>-15237.5</v>
      </c>
      <c r="F43" s="69" t="n">
        <f aca="false">Headcount!F17-Headcount!F14</f>
        <v>-15237.5</v>
      </c>
      <c r="G43" s="69" t="n">
        <f aca="false">Headcount!G17-Headcount!G14</f>
        <v>-15237.5</v>
      </c>
      <c r="H43" s="69" t="n">
        <f aca="false">Headcount!H17-Headcount!H14</f>
        <v>-15237.5</v>
      </c>
      <c r="I43" s="69" t="n">
        <f aca="false">Headcount!I17-Headcount!I14</f>
        <v>-15237.5</v>
      </c>
      <c r="J43" s="69" t="n">
        <f aca="false">Headcount!J17-Headcount!J14</f>
        <v>-15237.5</v>
      </c>
      <c r="K43" s="69" t="n">
        <f aca="false">Headcount!K17-Headcount!K14</f>
        <v>-15237.5</v>
      </c>
      <c r="L43" s="69" t="n">
        <f aca="false">Headcount!L17-Headcount!L14</f>
        <v>-15237.5</v>
      </c>
      <c r="M43" s="69" t="n">
        <f aca="false">Headcount!M17-Headcount!M14</f>
        <v>-15237.5</v>
      </c>
      <c r="N43" s="69" t="n">
        <f aca="false">Headcount!N17-Headcount!N14</f>
        <v>-15237.5</v>
      </c>
      <c r="O43" s="69" t="n">
        <f aca="false">Headcount!O17-Headcount!O14</f>
        <v>-15694.625</v>
      </c>
      <c r="P43" s="69" t="n">
        <f aca="false">Headcount!P17-Headcount!P14</f>
        <v>-15694.625</v>
      </c>
      <c r="Q43" s="69" t="n">
        <f aca="false">Headcount!Q17-Headcount!Q14</f>
        <v>-15694.625</v>
      </c>
      <c r="R43" s="69" t="n">
        <f aca="false">Headcount!R17-Headcount!R14</f>
        <v>-15694.625</v>
      </c>
      <c r="S43" s="69" t="n">
        <f aca="false">Headcount!S17-Headcount!S14</f>
        <v>-15694.625</v>
      </c>
      <c r="T43" s="69" t="n">
        <f aca="false">Headcount!T17-Headcount!T14</f>
        <v>-15694.625</v>
      </c>
      <c r="U43" s="69" t="n">
        <f aca="false">Headcount!U17-Headcount!U14</f>
        <v>-15694.625</v>
      </c>
      <c r="V43" s="69" t="n">
        <f aca="false">Headcount!V17-Headcount!V14</f>
        <v>-15694.625</v>
      </c>
      <c r="W43" s="69" t="n">
        <f aca="false">Headcount!W17-Headcount!W14</f>
        <v>-15694.625</v>
      </c>
      <c r="X43" s="69" t="n">
        <f aca="false">Headcount!X17-Headcount!X14</f>
        <v>-15694.625</v>
      </c>
      <c r="Y43" s="69" t="n">
        <f aca="false">Headcount!Y17-Headcount!Y14</f>
        <v>-15694.625</v>
      </c>
      <c r="Z43" s="69" t="n">
        <f aca="false">Headcount!Z17-Headcount!Z14</f>
        <v>-15694.625</v>
      </c>
      <c r="AA43" s="69" t="n">
        <f aca="false">Headcount!AA17-Headcount!AA14</f>
        <v>-16165.46375</v>
      </c>
      <c r="AB43" s="69" t="n">
        <f aca="false">Headcount!AB17-Headcount!AB14</f>
        <v>-16165.46375</v>
      </c>
      <c r="AC43" s="69" t="n">
        <f aca="false">Headcount!AC17-Headcount!AC14</f>
        <v>-16165.46375</v>
      </c>
      <c r="AD43" s="69" t="n">
        <f aca="false">Headcount!AD17-Headcount!AD14</f>
        <v>-16165.46375</v>
      </c>
      <c r="AE43" s="69" t="n">
        <f aca="false">Headcount!AE17-Headcount!AE14</f>
        <v>-16165.46375</v>
      </c>
      <c r="AF43" s="69" t="n">
        <f aca="false">Headcount!AF17-Headcount!AF14</f>
        <v>-16165.46375</v>
      </c>
      <c r="AG43" s="69" t="n">
        <f aca="false">Headcount!AG17-Headcount!AG14</f>
        <v>-16165.46375</v>
      </c>
      <c r="AH43" s="69" t="n">
        <f aca="false">Headcount!AH17-Headcount!AH14</f>
        <v>-16165.46375</v>
      </c>
      <c r="AI43" s="69" t="n">
        <f aca="false">Headcount!AI17-Headcount!AI14</f>
        <v>-16165.46375</v>
      </c>
      <c r="AJ43" s="69" t="n">
        <f aca="false">Headcount!AJ17-Headcount!AJ14</f>
        <v>-16165.46375</v>
      </c>
      <c r="AK43" s="69" t="n">
        <f aca="false">Headcount!AK17-Headcount!AK14</f>
        <v>-16165.46375</v>
      </c>
      <c r="AL43" s="69" t="n">
        <f aca="false">Headcount!AL17-Headcount!AL14</f>
        <v>-16165.46375</v>
      </c>
    </row>
    <row r="44" customFormat="false" ht="15" hidden="false" customHeight="false" outlineLevel="0" collapsed="false">
      <c r="A44" s="6" t="s">
        <v>336</v>
      </c>
      <c r="C44" s="69" t="n">
        <f aca="false">-Inputs!$E$38*(1+Inputs!$E$39)^(C$5-1)*1</f>
        <v>-9000</v>
      </c>
      <c r="D44" s="69" t="n">
        <f aca="false">-Inputs!$E$38*(1+Inputs!$E$39)^(D$5-1)*1</f>
        <v>-9000</v>
      </c>
      <c r="E44" s="69" t="n">
        <f aca="false">-Inputs!$E$38*(1+Inputs!$E$39)^(E$5-1)*1</f>
        <v>-9000</v>
      </c>
      <c r="F44" s="69" t="n">
        <f aca="false">-Inputs!$E$38*(1+Inputs!$E$39)^(F$5-1)*1</f>
        <v>-9000</v>
      </c>
      <c r="G44" s="69" t="n">
        <f aca="false">-Inputs!$E$38*(1+Inputs!$E$39)^(G$5-1)*1</f>
        <v>-9000</v>
      </c>
      <c r="H44" s="69" t="n">
        <f aca="false">-Inputs!$E$38*(1+Inputs!$E$39)^(H$5-1)*1</f>
        <v>-9000</v>
      </c>
      <c r="I44" s="69" t="n">
        <f aca="false">-Inputs!$E$38*(1+Inputs!$E$39)^(I$5-1)*1</f>
        <v>-9000</v>
      </c>
      <c r="J44" s="69" t="n">
        <f aca="false">-Inputs!$E$38*(1+Inputs!$E$39)^(J$5-1)*1</f>
        <v>-9000</v>
      </c>
      <c r="K44" s="69" t="n">
        <f aca="false">-Inputs!$E$38*(1+Inputs!$E$39)^(K$5-1)*1</f>
        <v>-9000</v>
      </c>
      <c r="L44" s="69" t="n">
        <f aca="false">-Inputs!$E$38*(1+Inputs!$E$39)^(L$5-1)*1</f>
        <v>-9000</v>
      </c>
      <c r="M44" s="69" t="n">
        <f aca="false">-Inputs!$E$38*(1+Inputs!$E$39)^(M$5-1)*1</f>
        <v>-9000</v>
      </c>
      <c r="N44" s="69" t="n">
        <f aca="false">-Inputs!$E$38*(1+Inputs!$E$39)^(N$5-1)*1</f>
        <v>-9000</v>
      </c>
      <c r="O44" s="69" t="n">
        <f aca="false">-Inputs!$E$38*(1+Inputs!$E$39)^(O$5-1)*1</f>
        <v>-9270</v>
      </c>
      <c r="P44" s="69" t="n">
        <f aca="false">-Inputs!$E$38*(1+Inputs!$E$39)^(P$5-1)*1</f>
        <v>-9270</v>
      </c>
      <c r="Q44" s="69" t="n">
        <f aca="false">-Inputs!$E$38*(1+Inputs!$E$39)^(Q$5-1)*1</f>
        <v>-9270</v>
      </c>
      <c r="R44" s="69" t="n">
        <f aca="false">-Inputs!$E$38*(1+Inputs!$E$39)^(R$5-1)*1</f>
        <v>-9270</v>
      </c>
      <c r="S44" s="69" t="n">
        <f aca="false">-Inputs!$E$38*(1+Inputs!$E$39)^(S$5-1)*1</f>
        <v>-9270</v>
      </c>
      <c r="T44" s="69" t="n">
        <f aca="false">-Inputs!$E$38*(1+Inputs!$E$39)^(T$5-1)*1</f>
        <v>-9270</v>
      </c>
      <c r="U44" s="69" t="n">
        <f aca="false">-Inputs!$E$38*(1+Inputs!$E$39)^(U$5-1)*1</f>
        <v>-9270</v>
      </c>
      <c r="V44" s="69" t="n">
        <f aca="false">-Inputs!$E$38*(1+Inputs!$E$39)^(V$5-1)*1</f>
        <v>-9270</v>
      </c>
      <c r="W44" s="69" t="n">
        <f aca="false">-Inputs!$E$38*(1+Inputs!$E$39)^(W$5-1)*1</f>
        <v>-9270</v>
      </c>
      <c r="X44" s="69" t="n">
        <f aca="false">-Inputs!$E$38*(1+Inputs!$E$39)^(X$5-1)*1</f>
        <v>-9270</v>
      </c>
      <c r="Y44" s="69" t="n">
        <f aca="false">-Inputs!$E$38*(1+Inputs!$E$39)^(Y$5-1)*1</f>
        <v>-9270</v>
      </c>
      <c r="Z44" s="69" t="n">
        <f aca="false">-Inputs!$E$38*(1+Inputs!$E$39)^(Z$5-1)*1</f>
        <v>-9270</v>
      </c>
      <c r="AA44" s="69" t="n">
        <f aca="false">-Inputs!$E$38*(1+Inputs!$E$39)^(AA$5-1)*1</f>
        <v>-9548.1</v>
      </c>
      <c r="AB44" s="69" t="n">
        <f aca="false">-Inputs!$E$38*(1+Inputs!$E$39)^(AB$5-1)*1</f>
        <v>-9548.1</v>
      </c>
      <c r="AC44" s="69" t="n">
        <f aca="false">-Inputs!$E$38*(1+Inputs!$E$39)^(AC$5-1)*1</f>
        <v>-9548.1</v>
      </c>
      <c r="AD44" s="69" t="n">
        <f aca="false">-Inputs!$E$38*(1+Inputs!$E$39)^(AD$5-1)*1</f>
        <v>-9548.1</v>
      </c>
      <c r="AE44" s="69" t="n">
        <f aca="false">-Inputs!$E$38*(1+Inputs!$E$39)^(AE$5-1)*1</f>
        <v>-9548.1</v>
      </c>
      <c r="AF44" s="69" t="n">
        <f aca="false">-Inputs!$E$38*(1+Inputs!$E$39)^(AF$5-1)*1</f>
        <v>-9548.1</v>
      </c>
      <c r="AG44" s="69" t="n">
        <f aca="false">-Inputs!$E$38*(1+Inputs!$E$39)^(AG$5-1)*1</f>
        <v>-9548.1</v>
      </c>
      <c r="AH44" s="69" t="n">
        <f aca="false">-Inputs!$E$38*(1+Inputs!$E$39)^(AH$5-1)*1</f>
        <v>-9548.1</v>
      </c>
      <c r="AI44" s="69" t="n">
        <f aca="false">-Inputs!$E$38*(1+Inputs!$E$39)^(AI$5-1)*1</f>
        <v>-9548.1</v>
      </c>
      <c r="AJ44" s="69" t="n">
        <f aca="false">-Inputs!$E$38*(1+Inputs!$E$39)^(AJ$5-1)*1</f>
        <v>-9548.1</v>
      </c>
      <c r="AK44" s="69" t="n">
        <f aca="false">-Inputs!$E$38*(1+Inputs!$E$39)^(AK$5-1)*1</f>
        <v>-9548.1</v>
      </c>
      <c r="AL44" s="69" t="n">
        <f aca="false">-Inputs!$E$38*(1+Inputs!$E$39)^(AL$5-1)*1</f>
        <v>-9548.1</v>
      </c>
    </row>
    <row r="45" customFormat="false" ht="15" hidden="false" customHeight="false" outlineLevel="0" collapsed="false">
      <c r="A45" s="6" t="s">
        <v>337</v>
      </c>
      <c r="C45" s="69" t="n">
        <f aca="false">-Inputs!$E$40*(1+Inputs!$E$45)^(C$5-1)*1</f>
        <v>-2500</v>
      </c>
      <c r="D45" s="69" t="n">
        <f aca="false">-Inputs!$E$40*(1+Inputs!$E$45)^(D$5-1)*1</f>
        <v>-2500</v>
      </c>
      <c r="E45" s="69" t="n">
        <f aca="false">-Inputs!$E$40*(1+Inputs!$E$45)^(E$5-1)*1</f>
        <v>-2500</v>
      </c>
      <c r="F45" s="69" t="n">
        <f aca="false">-Inputs!$E$40*(1+Inputs!$E$45)^(F$5-1)*1</f>
        <v>-2500</v>
      </c>
      <c r="G45" s="69" t="n">
        <f aca="false">-Inputs!$E$40*(1+Inputs!$E$45)^(G$5-1)*1</f>
        <v>-2500</v>
      </c>
      <c r="H45" s="69" t="n">
        <f aca="false">-Inputs!$E$40*(1+Inputs!$E$45)^(H$5-1)*1</f>
        <v>-2500</v>
      </c>
      <c r="I45" s="69" t="n">
        <f aca="false">-Inputs!$E$40*(1+Inputs!$E$45)^(I$5-1)*1</f>
        <v>-2500</v>
      </c>
      <c r="J45" s="69" t="n">
        <f aca="false">-Inputs!$E$40*(1+Inputs!$E$45)^(J$5-1)*1</f>
        <v>-2500</v>
      </c>
      <c r="K45" s="69" t="n">
        <f aca="false">-Inputs!$E$40*(1+Inputs!$E$45)^(K$5-1)*1</f>
        <v>-2500</v>
      </c>
      <c r="L45" s="69" t="n">
        <f aca="false">-Inputs!$E$40*(1+Inputs!$E$45)^(L$5-1)*1</f>
        <v>-2500</v>
      </c>
      <c r="M45" s="69" t="n">
        <f aca="false">-Inputs!$E$40*(1+Inputs!$E$45)^(M$5-1)*1</f>
        <v>-2500</v>
      </c>
      <c r="N45" s="69" t="n">
        <f aca="false">-Inputs!$E$40*(1+Inputs!$E$45)^(N$5-1)*1</f>
        <v>-2500</v>
      </c>
      <c r="O45" s="69" t="n">
        <f aca="false">-Inputs!$E$40*(1+Inputs!$E$45)^(O$5-1)*1</f>
        <v>-2575</v>
      </c>
      <c r="P45" s="69" t="n">
        <f aca="false">-Inputs!$E$40*(1+Inputs!$E$45)^(P$5-1)*1</f>
        <v>-2575</v>
      </c>
      <c r="Q45" s="69" t="n">
        <f aca="false">-Inputs!$E$40*(1+Inputs!$E$45)^(Q$5-1)*1</f>
        <v>-2575</v>
      </c>
      <c r="R45" s="69" t="n">
        <f aca="false">-Inputs!$E$40*(1+Inputs!$E$45)^(R$5-1)*1</f>
        <v>-2575</v>
      </c>
      <c r="S45" s="69" t="n">
        <f aca="false">-Inputs!$E$40*(1+Inputs!$E$45)^(S$5-1)*1</f>
        <v>-2575</v>
      </c>
      <c r="T45" s="69" t="n">
        <f aca="false">-Inputs!$E$40*(1+Inputs!$E$45)^(T$5-1)*1</f>
        <v>-2575</v>
      </c>
      <c r="U45" s="69" t="n">
        <f aca="false">-Inputs!$E$40*(1+Inputs!$E$45)^(U$5-1)*1</f>
        <v>-2575</v>
      </c>
      <c r="V45" s="69" t="n">
        <f aca="false">-Inputs!$E$40*(1+Inputs!$E$45)^(V$5-1)*1</f>
        <v>-2575</v>
      </c>
      <c r="W45" s="69" t="n">
        <f aca="false">-Inputs!$E$40*(1+Inputs!$E$45)^(W$5-1)*1</f>
        <v>-2575</v>
      </c>
      <c r="X45" s="69" t="n">
        <f aca="false">-Inputs!$E$40*(1+Inputs!$E$45)^(X$5-1)*1</f>
        <v>-2575</v>
      </c>
      <c r="Y45" s="69" t="n">
        <f aca="false">-Inputs!$E$40*(1+Inputs!$E$45)^(Y$5-1)*1</f>
        <v>-2575</v>
      </c>
      <c r="Z45" s="69" t="n">
        <f aca="false">-Inputs!$E$40*(1+Inputs!$E$45)^(Z$5-1)*1</f>
        <v>-2575</v>
      </c>
      <c r="AA45" s="69" t="n">
        <f aca="false">-Inputs!$E$40*(1+Inputs!$E$45)^(AA$5-1)*1</f>
        <v>-2652.25</v>
      </c>
      <c r="AB45" s="69" t="n">
        <f aca="false">-Inputs!$E$40*(1+Inputs!$E$45)^(AB$5-1)*1</f>
        <v>-2652.25</v>
      </c>
      <c r="AC45" s="69" t="n">
        <f aca="false">-Inputs!$E$40*(1+Inputs!$E$45)^(AC$5-1)*1</f>
        <v>-2652.25</v>
      </c>
      <c r="AD45" s="69" t="n">
        <f aca="false">-Inputs!$E$40*(1+Inputs!$E$45)^(AD$5-1)*1</f>
        <v>-2652.25</v>
      </c>
      <c r="AE45" s="69" t="n">
        <f aca="false">-Inputs!$E$40*(1+Inputs!$E$45)^(AE$5-1)*1</f>
        <v>-2652.25</v>
      </c>
      <c r="AF45" s="69" t="n">
        <f aca="false">-Inputs!$E$40*(1+Inputs!$E$45)^(AF$5-1)*1</f>
        <v>-2652.25</v>
      </c>
      <c r="AG45" s="69" t="n">
        <f aca="false">-Inputs!$E$40*(1+Inputs!$E$45)^(AG$5-1)*1</f>
        <v>-2652.25</v>
      </c>
      <c r="AH45" s="69" t="n">
        <f aca="false">-Inputs!$E$40*(1+Inputs!$E$45)^(AH$5-1)*1</f>
        <v>-2652.25</v>
      </c>
      <c r="AI45" s="69" t="n">
        <f aca="false">-Inputs!$E$40*(1+Inputs!$E$45)^(AI$5-1)*1</f>
        <v>-2652.25</v>
      </c>
      <c r="AJ45" s="69" t="n">
        <f aca="false">-Inputs!$E$40*(1+Inputs!$E$45)^(AJ$5-1)*1</f>
        <v>-2652.25</v>
      </c>
      <c r="AK45" s="69" t="n">
        <f aca="false">-Inputs!$E$40*(1+Inputs!$E$45)^(AK$5-1)*1</f>
        <v>-2652.25</v>
      </c>
      <c r="AL45" s="69" t="n">
        <f aca="false">-Inputs!$E$40*(1+Inputs!$E$45)^(AL$5-1)*1</f>
        <v>-2652.25</v>
      </c>
    </row>
    <row r="46" customFormat="false" ht="15" hidden="false" customHeight="false" outlineLevel="0" collapsed="false">
      <c r="A46" s="6" t="s">
        <v>338</v>
      </c>
      <c r="C46" s="69" t="n">
        <f aca="false">-Inputs!$E$41*(1+Inputs!$E$45)^(C$5-1)*1</f>
        <v>-4500</v>
      </c>
      <c r="D46" s="69" t="n">
        <f aca="false">-Inputs!$E$41*(1+Inputs!$E$45)^(D$5-1)*1</f>
        <v>-4500</v>
      </c>
      <c r="E46" s="69" t="n">
        <f aca="false">-Inputs!$E$41*(1+Inputs!$E$45)^(E$5-1)*1</f>
        <v>-4500</v>
      </c>
      <c r="F46" s="69" t="n">
        <f aca="false">-Inputs!$E$41*(1+Inputs!$E$45)^(F$5-1)*1</f>
        <v>-4500</v>
      </c>
      <c r="G46" s="69" t="n">
        <f aca="false">-Inputs!$E$41*(1+Inputs!$E$45)^(G$5-1)*1</f>
        <v>-4500</v>
      </c>
      <c r="H46" s="69" t="n">
        <f aca="false">-Inputs!$E$41*(1+Inputs!$E$45)^(H$5-1)*1</f>
        <v>-4500</v>
      </c>
      <c r="I46" s="69" t="n">
        <f aca="false">-Inputs!$E$41*(1+Inputs!$E$45)^(I$5-1)*1</f>
        <v>-4500</v>
      </c>
      <c r="J46" s="69" t="n">
        <f aca="false">-Inputs!$E$41*(1+Inputs!$E$45)^(J$5-1)*1</f>
        <v>-4500</v>
      </c>
      <c r="K46" s="69" t="n">
        <f aca="false">-Inputs!$E$41*(1+Inputs!$E$45)^(K$5-1)*1</f>
        <v>-4500</v>
      </c>
      <c r="L46" s="69" t="n">
        <f aca="false">-Inputs!$E$41*(1+Inputs!$E$45)^(L$5-1)*1</f>
        <v>-4500</v>
      </c>
      <c r="M46" s="69" t="n">
        <f aca="false">-Inputs!$E$41*(1+Inputs!$E$45)^(M$5-1)*1</f>
        <v>-4500</v>
      </c>
      <c r="N46" s="69" t="n">
        <f aca="false">-Inputs!$E$41*(1+Inputs!$E$45)^(N$5-1)*1</f>
        <v>-4500</v>
      </c>
      <c r="O46" s="69" t="n">
        <f aca="false">-Inputs!$E$41*(1+Inputs!$E$45)^(O$5-1)*1</f>
        <v>-4635</v>
      </c>
      <c r="P46" s="69" t="n">
        <f aca="false">-Inputs!$E$41*(1+Inputs!$E$45)^(P$5-1)*1</f>
        <v>-4635</v>
      </c>
      <c r="Q46" s="69" t="n">
        <f aca="false">-Inputs!$E$41*(1+Inputs!$E$45)^(Q$5-1)*1</f>
        <v>-4635</v>
      </c>
      <c r="R46" s="69" t="n">
        <f aca="false">-Inputs!$E$41*(1+Inputs!$E$45)^(R$5-1)*1</f>
        <v>-4635</v>
      </c>
      <c r="S46" s="69" t="n">
        <f aca="false">-Inputs!$E$41*(1+Inputs!$E$45)^(S$5-1)*1</f>
        <v>-4635</v>
      </c>
      <c r="T46" s="69" t="n">
        <f aca="false">-Inputs!$E$41*(1+Inputs!$E$45)^(T$5-1)*1</f>
        <v>-4635</v>
      </c>
      <c r="U46" s="69" t="n">
        <f aca="false">-Inputs!$E$41*(1+Inputs!$E$45)^(U$5-1)*1</f>
        <v>-4635</v>
      </c>
      <c r="V46" s="69" t="n">
        <f aca="false">-Inputs!$E$41*(1+Inputs!$E$45)^(V$5-1)*1</f>
        <v>-4635</v>
      </c>
      <c r="W46" s="69" t="n">
        <f aca="false">-Inputs!$E$41*(1+Inputs!$E$45)^(W$5-1)*1</f>
        <v>-4635</v>
      </c>
      <c r="X46" s="69" t="n">
        <f aca="false">-Inputs!$E$41*(1+Inputs!$E$45)^(X$5-1)*1</f>
        <v>-4635</v>
      </c>
      <c r="Y46" s="69" t="n">
        <f aca="false">-Inputs!$E$41*(1+Inputs!$E$45)^(Y$5-1)*1</f>
        <v>-4635</v>
      </c>
      <c r="Z46" s="69" t="n">
        <f aca="false">-Inputs!$E$41*(1+Inputs!$E$45)^(Z$5-1)*1</f>
        <v>-4635</v>
      </c>
      <c r="AA46" s="69" t="n">
        <f aca="false">-Inputs!$E$41*(1+Inputs!$E$45)^(AA$5-1)*1</f>
        <v>-4774.05</v>
      </c>
      <c r="AB46" s="69" t="n">
        <f aca="false">-Inputs!$E$41*(1+Inputs!$E$45)^(AB$5-1)*1</f>
        <v>-4774.05</v>
      </c>
      <c r="AC46" s="69" t="n">
        <f aca="false">-Inputs!$E$41*(1+Inputs!$E$45)^(AC$5-1)*1</f>
        <v>-4774.05</v>
      </c>
      <c r="AD46" s="69" t="n">
        <f aca="false">-Inputs!$E$41*(1+Inputs!$E$45)^(AD$5-1)*1</f>
        <v>-4774.05</v>
      </c>
      <c r="AE46" s="69" t="n">
        <f aca="false">-Inputs!$E$41*(1+Inputs!$E$45)^(AE$5-1)*1</f>
        <v>-4774.05</v>
      </c>
      <c r="AF46" s="69" t="n">
        <f aca="false">-Inputs!$E$41*(1+Inputs!$E$45)^(AF$5-1)*1</f>
        <v>-4774.05</v>
      </c>
      <c r="AG46" s="69" t="n">
        <f aca="false">-Inputs!$E$41*(1+Inputs!$E$45)^(AG$5-1)*1</f>
        <v>-4774.05</v>
      </c>
      <c r="AH46" s="69" t="n">
        <f aca="false">-Inputs!$E$41*(1+Inputs!$E$45)^(AH$5-1)*1</f>
        <v>-4774.05</v>
      </c>
      <c r="AI46" s="69" t="n">
        <f aca="false">-Inputs!$E$41*(1+Inputs!$E$45)^(AI$5-1)*1</f>
        <v>-4774.05</v>
      </c>
      <c r="AJ46" s="69" t="n">
        <f aca="false">-Inputs!$E$41*(1+Inputs!$E$45)^(AJ$5-1)*1</f>
        <v>-4774.05</v>
      </c>
      <c r="AK46" s="69" t="n">
        <f aca="false">-Inputs!$E$41*(1+Inputs!$E$45)^(AK$5-1)*1</f>
        <v>-4774.05</v>
      </c>
      <c r="AL46" s="69" t="n">
        <f aca="false">-Inputs!$E$41*(1+Inputs!$E$45)^(AL$5-1)*1</f>
        <v>-4774.05</v>
      </c>
    </row>
    <row r="47" customFormat="false" ht="15" hidden="false" customHeight="false" outlineLevel="0" collapsed="false">
      <c r="A47" s="6" t="s">
        <v>339</v>
      </c>
      <c r="C47" s="69" t="n">
        <f aca="false">-Inputs!$E$42*(1+Inputs!$E$43)^(C$5-1)*1</f>
        <v>-3500</v>
      </c>
      <c r="D47" s="69" t="n">
        <f aca="false">-Inputs!$E$42*(1+Inputs!$E$43)^(D$5-1)*1</f>
        <v>-3500</v>
      </c>
      <c r="E47" s="69" t="n">
        <f aca="false">-Inputs!$E$42*(1+Inputs!$E$43)^(E$5-1)*1</f>
        <v>-3500</v>
      </c>
      <c r="F47" s="69" t="n">
        <f aca="false">-Inputs!$E$42*(1+Inputs!$E$43)^(F$5-1)*1</f>
        <v>-3500</v>
      </c>
      <c r="G47" s="69" t="n">
        <f aca="false">-Inputs!$E$42*(1+Inputs!$E$43)^(G$5-1)*1</f>
        <v>-3500</v>
      </c>
      <c r="H47" s="69" t="n">
        <f aca="false">-Inputs!$E$42*(1+Inputs!$E$43)^(H$5-1)*1</f>
        <v>-3500</v>
      </c>
      <c r="I47" s="69" t="n">
        <f aca="false">-Inputs!$E$42*(1+Inputs!$E$43)^(I$5-1)*1</f>
        <v>-3500</v>
      </c>
      <c r="J47" s="69" t="n">
        <f aca="false">-Inputs!$E$42*(1+Inputs!$E$43)^(J$5-1)*1</f>
        <v>-3500</v>
      </c>
      <c r="K47" s="69" t="n">
        <f aca="false">-Inputs!$E$42*(1+Inputs!$E$43)^(K$5-1)*1</f>
        <v>-3500</v>
      </c>
      <c r="L47" s="69" t="n">
        <f aca="false">-Inputs!$E$42*(1+Inputs!$E$43)^(L$5-1)*1</f>
        <v>-3500</v>
      </c>
      <c r="M47" s="69" t="n">
        <f aca="false">-Inputs!$E$42*(1+Inputs!$E$43)^(M$5-1)*1</f>
        <v>-3500</v>
      </c>
      <c r="N47" s="69" t="n">
        <f aca="false">-Inputs!$E$42*(1+Inputs!$E$43)^(N$5-1)*1</f>
        <v>-3500</v>
      </c>
      <c r="O47" s="69" t="n">
        <f aca="false">-Inputs!$E$42*(1+Inputs!$E$43)^(O$5-1)*1</f>
        <v>-2800</v>
      </c>
      <c r="P47" s="69" t="n">
        <f aca="false">-Inputs!$E$42*(1+Inputs!$E$43)^(P$5-1)*1</f>
        <v>-2800</v>
      </c>
      <c r="Q47" s="69" t="n">
        <f aca="false">-Inputs!$E$42*(1+Inputs!$E$43)^(Q$5-1)*1</f>
        <v>-2800</v>
      </c>
      <c r="R47" s="69" t="n">
        <f aca="false">-Inputs!$E$42*(1+Inputs!$E$43)^(R$5-1)*1</f>
        <v>-2800</v>
      </c>
      <c r="S47" s="69" t="n">
        <f aca="false">-Inputs!$E$42*(1+Inputs!$E$43)^(S$5-1)*1</f>
        <v>-2800</v>
      </c>
      <c r="T47" s="69" t="n">
        <f aca="false">-Inputs!$E$42*(1+Inputs!$E$43)^(T$5-1)*1</f>
        <v>-2800</v>
      </c>
      <c r="U47" s="69" t="n">
        <f aca="false">-Inputs!$E$42*(1+Inputs!$E$43)^(U$5-1)*1</f>
        <v>-2800</v>
      </c>
      <c r="V47" s="69" t="n">
        <f aca="false">-Inputs!$E$42*(1+Inputs!$E$43)^(V$5-1)*1</f>
        <v>-2800</v>
      </c>
      <c r="W47" s="69" t="n">
        <f aca="false">-Inputs!$E$42*(1+Inputs!$E$43)^(W$5-1)*1</f>
        <v>-2800</v>
      </c>
      <c r="X47" s="69" t="n">
        <f aca="false">-Inputs!$E$42*(1+Inputs!$E$43)^(X$5-1)*1</f>
        <v>-2800</v>
      </c>
      <c r="Y47" s="69" t="n">
        <f aca="false">-Inputs!$E$42*(1+Inputs!$E$43)^(Y$5-1)*1</f>
        <v>-2800</v>
      </c>
      <c r="Z47" s="69" t="n">
        <f aca="false">-Inputs!$E$42*(1+Inputs!$E$43)^(Z$5-1)*1</f>
        <v>-2800</v>
      </c>
      <c r="AA47" s="69" t="n">
        <f aca="false">-Inputs!$E$42*(1+Inputs!$E$43)^(AA$5-1)*1</f>
        <v>-2240</v>
      </c>
      <c r="AB47" s="69" t="n">
        <f aca="false">-Inputs!$E$42*(1+Inputs!$E$43)^(AB$5-1)*1</f>
        <v>-2240</v>
      </c>
      <c r="AC47" s="69" t="n">
        <f aca="false">-Inputs!$E$42*(1+Inputs!$E$43)^(AC$5-1)*1</f>
        <v>-2240</v>
      </c>
      <c r="AD47" s="69" t="n">
        <f aca="false">-Inputs!$E$42*(1+Inputs!$E$43)^(AD$5-1)*1</f>
        <v>-2240</v>
      </c>
      <c r="AE47" s="69" t="n">
        <f aca="false">-Inputs!$E$42*(1+Inputs!$E$43)^(AE$5-1)*1</f>
        <v>-2240</v>
      </c>
      <c r="AF47" s="69" t="n">
        <f aca="false">-Inputs!$E$42*(1+Inputs!$E$43)^(AF$5-1)*1</f>
        <v>-2240</v>
      </c>
      <c r="AG47" s="69" t="n">
        <f aca="false">-Inputs!$E$42*(1+Inputs!$E$43)^(AG$5-1)*1</f>
        <v>-2240</v>
      </c>
      <c r="AH47" s="69" t="n">
        <f aca="false">-Inputs!$E$42*(1+Inputs!$E$43)^(AH$5-1)*1</f>
        <v>-2240</v>
      </c>
      <c r="AI47" s="69" t="n">
        <f aca="false">-Inputs!$E$42*(1+Inputs!$E$43)^(AI$5-1)*1</f>
        <v>-2240</v>
      </c>
      <c r="AJ47" s="69" t="n">
        <f aca="false">-Inputs!$E$42*(1+Inputs!$E$43)^(AJ$5-1)*1</f>
        <v>-2240</v>
      </c>
      <c r="AK47" s="69" t="n">
        <f aca="false">-Inputs!$E$42*(1+Inputs!$E$43)^(AK$5-1)*1</f>
        <v>-2240</v>
      </c>
      <c r="AL47" s="69" t="n">
        <f aca="false">-Inputs!$E$42*(1+Inputs!$E$43)^(AL$5-1)*1</f>
        <v>-2240</v>
      </c>
    </row>
    <row r="48" customFormat="false" ht="15" hidden="false" customHeight="false" outlineLevel="0" collapsed="false">
      <c r="A48" s="6" t="s">
        <v>340</v>
      </c>
      <c r="C48" s="69" t="n">
        <f aca="false">-C31*Inputs!$E$44</f>
        <v>-750.20736</v>
      </c>
      <c r="D48" s="69" t="n">
        <f aca="false">-D31*Inputs!$E$44</f>
        <v>-862.738464</v>
      </c>
      <c r="E48" s="69" t="n">
        <f aca="false">-E31*Inputs!$E$44</f>
        <v>-975.269568</v>
      </c>
      <c r="F48" s="69" t="n">
        <f aca="false">-F31*Inputs!$E$44</f>
        <v>-1087.800672</v>
      </c>
      <c r="G48" s="69" t="n">
        <f aca="false">-G31*Inputs!$E$44</f>
        <v>-1200.331776</v>
      </c>
      <c r="H48" s="69" t="n">
        <f aca="false">-H31*Inputs!$E$44</f>
        <v>-1508.78784</v>
      </c>
      <c r="I48" s="69" t="n">
        <f aca="false">-I31*Inputs!$E$44</f>
        <v>-1638.112512</v>
      </c>
      <c r="J48" s="69" t="n">
        <f aca="false">-J31*Inputs!$E$44</f>
        <v>-1767.437184</v>
      </c>
      <c r="K48" s="69" t="n">
        <f aca="false">-K31*Inputs!$E$44</f>
        <v>-1650.456192</v>
      </c>
      <c r="L48" s="69" t="n">
        <f aca="false">-L31*Inputs!$E$44</f>
        <v>-1762.987296</v>
      </c>
      <c r="M48" s="69" t="n">
        <f aca="false">-M31*Inputs!$E$44</f>
        <v>-1875.5184</v>
      </c>
      <c r="N48" s="69" t="n">
        <f aca="false">-N31*Inputs!$E$44</f>
        <v>-2155.4112</v>
      </c>
      <c r="O48" s="69" t="n">
        <f aca="false">-O31*Inputs!$E$44</f>
        <v>-1989.73747056</v>
      </c>
      <c r="P48" s="69" t="n">
        <f aca="false">-P31*Inputs!$E$44</f>
        <v>-1989.73747056</v>
      </c>
      <c r="Q48" s="69" t="n">
        <f aca="false">-Q31*Inputs!$E$44</f>
        <v>-1989.73747056</v>
      </c>
      <c r="R48" s="69" t="n">
        <f aca="false">-R31*Inputs!$E$44</f>
        <v>-1989.73747056</v>
      </c>
      <c r="S48" s="69" t="n">
        <f aca="false">-S31*Inputs!$E$44</f>
        <v>-1989.73747056</v>
      </c>
      <c r="T48" s="69" t="n">
        <f aca="false">-T31*Inputs!$E$44</f>
        <v>-2286.67574208</v>
      </c>
      <c r="U48" s="69" t="n">
        <f aca="false">-U31*Inputs!$E$44</f>
        <v>-2286.67574208</v>
      </c>
      <c r="V48" s="69" t="n">
        <f aca="false">-V31*Inputs!$E$44</f>
        <v>-2286.67574208</v>
      </c>
      <c r="W48" s="69" t="n">
        <f aca="false">-W31*Inputs!$E$44</f>
        <v>-1989.73747056</v>
      </c>
      <c r="X48" s="69" t="n">
        <f aca="false">-X31*Inputs!$E$44</f>
        <v>-1989.73747056</v>
      </c>
      <c r="Y48" s="69" t="n">
        <f aca="false">-Y31*Inputs!$E$44</f>
        <v>-1989.73747056</v>
      </c>
      <c r="Z48" s="69" t="n">
        <f aca="false">-Z31*Inputs!$E$44</f>
        <v>-2286.67574208</v>
      </c>
      <c r="AA48" s="69" t="n">
        <f aca="false">-AA31*Inputs!$E$44</f>
        <v>-2110.9124825171</v>
      </c>
      <c r="AB48" s="69" t="n">
        <f aca="false">-AB31*Inputs!$E$44</f>
        <v>-2110.9124825171</v>
      </c>
      <c r="AC48" s="69" t="n">
        <f aca="false">-AC31*Inputs!$E$44</f>
        <v>-2110.9124825171</v>
      </c>
      <c r="AD48" s="69" t="n">
        <f aca="false">-AD31*Inputs!$E$44</f>
        <v>-2110.9124825171</v>
      </c>
      <c r="AE48" s="69" t="n">
        <f aca="false">-AE31*Inputs!$E$44</f>
        <v>-2110.9124825171</v>
      </c>
      <c r="AF48" s="69" t="n">
        <f aca="false">-AF31*Inputs!$E$44</f>
        <v>-2425.93429477267</v>
      </c>
      <c r="AG48" s="69" t="n">
        <f aca="false">-AG31*Inputs!$E$44</f>
        <v>-2425.93429477267</v>
      </c>
      <c r="AH48" s="69" t="n">
        <f aca="false">-AH31*Inputs!$E$44</f>
        <v>-2425.93429477267</v>
      </c>
      <c r="AI48" s="69" t="n">
        <f aca="false">-AI31*Inputs!$E$44</f>
        <v>-2110.9124825171</v>
      </c>
      <c r="AJ48" s="69" t="n">
        <f aca="false">-AJ31*Inputs!$E$44</f>
        <v>-2110.9124825171</v>
      </c>
      <c r="AK48" s="69" t="n">
        <f aca="false">-AK31*Inputs!$E$44</f>
        <v>-2110.9124825171</v>
      </c>
      <c r="AL48" s="69" t="n">
        <f aca="false">-AL31*Inputs!$E$44</f>
        <v>-2425.93429477267</v>
      </c>
    </row>
    <row r="49" customFormat="false" ht="15" hidden="false" customHeight="false" outlineLevel="0" collapsed="false">
      <c r="A49" s="115" t="s">
        <v>77</v>
      </c>
      <c r="C49" s="70" t="n">
        <f aca="false">C43+C44+C45+C46+C47+C48</f>
        <v>-35487.70736</v>
      </c>
      <c r="D49" s="70" t="n">
        <f aca="false">D43+D44+D45+D46+D47+D48</f>
        <v>-35600.238464</v>
      </c>
      <c r="E49" s="70" t="n">
        <f aca="false">E43+E44+E45+E46+E47+E48</f>
        <v>-35712.769568</v>
      </c>
      <c r="F49" s="70" t="n">
        <f aca="false">F43+F44+F45+F46+F47+F48</f>
        <v>-35825.300672</v>
      </c>
      <c r="G49" s="70" t="n">
        <f aca="false">G43+G44+G45+G46+G47+G48</f>
        <v>-35937.831776</v>
      </c>
      <c r="H49" s="70" t="n">
        <f aca="false">H43+H44+H45+H46+H47+H48</f>
        <v>-36246.28784</v>
      </c>
      <c r="I49" s="70" t="n">
        <f aca="false">I43+I44+I45+I46+I47+I48</f>
        <v>-36375.612512</v>
      </c>
      <c r="J49" s="70" t="n">
        <f aca="false">J43+J44+J45+J46+J47+J48</f>
        <v>-36504.937184</v>
      </c>
      <c r="K49" s="70" t="n">
        <f aca="false">K43+K44+K45+K46+K47+K48</f>
        <v>-36387.956192</v>
      </c>
      <c r="L49" s="70" t="n">
        <f aca="false">L43+L44+L45+L46+L47+L48</f>
        <v>-36500.487296</v>
      </c>
      <c r="M49" s="70" t="n">
        <f aca="false">M43+M44+M45+M46+M47+M48</f>
        <v>-36613.0184</v>
      </c>
      <c r="N49" s="70" t="n">
        <f aca="false">N43+N44+N45+N46+N47+N48</f>
        <v>-36892.9112</v>
      </c>
      <c r="O49" s="70" t="n">
        <f aca="false">O43+O44+O45+O46+O47+O48</f>
        <v>-36964.36247056</v>
      </c>
      <c r="P49" s="70" t="n">
        <f aca="false">P43+P44+P45+P46+P47+P48</f>
        <v>-36964.36247056</v>
      </c>
      <c r="Q49" s="70" t="n">
        <f aca="false">Q43+Q44+Q45+Q46+Q47+Q48</f>
        <v>-36964.36247056</v>
      </c>
      <c r="R49" s="70" t="n">
        <f aca="false">R43+R44+R45+R46+R47+R48</f>
        <v>-36964.36247056</v>
      </c>
      <c r="S49" s="70" t="n">
        <f aca="false">S43+S44+S45+S46+S47+S48</f>
        <v>-36964.36247056</v>
      </c>
      <c r="T49" s="70" t="n">
        <f aca="false">T43+T44+T45+T46+T47+T48</f>
        <v>-37261.30074208</v>
      </c>
      <c r="U49" s="70" t="n">
        <f aca="false">U43+U44+U45+U46+U47+U48</f>
        <v>-37261.30074208</v>
      </c>
      <c r="V49" s="70" t="n">
        <f aca="false">V43+V44+V45+V46+V47+V48</f>
        <v>-37261.30074208</v>
      </c>
      <c r="W49" s="70" t="n">
        <f aca="false">W43+W44+W45+W46+W47+W48</f>
        <v>-36964.36247056</v>
      </c>
      <c r="X49" s="70" t="n">
        <f aca="false">X43+X44+X45+X46+X47+X48</f>
        <v>-36964.36247056</v>
      </c>
      <c r="Y49" s="70" t="n">
        <f aca="false">Y43+Y44+Y45+Y46+Y47+Y48</f>
        <v>-36964.36247056</v>
      </c>
      <c r="Z49" s="70" t="n">
        <f aca="false">Z43+Z44+Z45+Z46+Z47+Z48</f>
        <v>-37261.30074208</v>
      </c>
      <c r="AA49" s="70" t="n">
        <f aca="false">AA43+AA44+AA45+AA46+AA47+AA48</f>
        <v>-37490.7762325171</v>
      </c>
      <c r="AB49" s="70" t="n">
        <f aca="false">AB43+AB44+AB45+AB46+AB47+AB48</f>
        <v>-37490.7762325171</v>
      </c>
      <c r="AC49" s="70" t="n">
        <f aca="false">AC43+AC44+AC45+AC46+AC47+AC48</f>
        <v>-37490.7762325171</v>
      </c>
      <c r="AD49" s="70" t="n">
        <f aca="false">AD43+AD44+AD45+AD46+AD47+AD48</f>
        <v>-37490.7762325171</v>
      </c>
      <c r="AE49" s="70" t="n">
        <f aca="false">AE43+AE44+AE45+AE46+AE47+AE48</f>
        <v>-37490.7762325171</v>
      </c>
      <c r="AF49" s="70" t="n">
        <f aca="false">AF43+AF44+AF45+AF46+AF47+AF48</f>
        <v>-37805.7980447727</v>
      </c>
      <c r="AG49" s="70" t="n">
        <f aca="false">AG43+AG44+AG45+AG46+AG47+AG48</f>
        <v>-37805.7980447727</v>
      </c>
      <c r="AH49" s="70" t="n">
        <f aca="false">AH43+AH44+AH45+AH46+AH47+AH48</f>
        <v>-37805.7980447727</v>
      </c>
      <c r="AI49" s="70" t="n">
        <f aca="false">AI43+AI44+AI45+AI46+AI47+AI48</f>
        <v>-37490.7762325171</v>
      </c>
      <c r="AJ49" s="70" t="n">
        <f aca="false">AJ43+AJ44+AJ45+AJ46+AJ47+AJ48</f>
        <v>-37490.7762325171</v>
      </c>
      <c r="AK49" s="70" t="n">
        <f aca="false">AK43+AK44+AK45+AK46+AK47+AK48</f>
        <v>-37490.7762325171</v>
      </c>
      <c r="AL49" s="70" t="n">
        <f aca="false">AL43+AL44+AL45+AL46+AL47+AL48</f>
        <v>-37805.7980447727</v>
      </c>
    </row>
    <row r="50" customFormat="false" ht="15" hidden="false" customHeight="false" outlineLevel="0" collapsed="false">
      <c r="A50" s="115" t="s">
        <v>48</v>
      </c>
      <c r="C50" s="70" t="n">
        <f aca="false">C40+C49</f>
        <v>-21450.9990933333</v>
      </c>
      <c r="D50" s="70" t="n">
        <f aca="false">D40+D49</f>
        <v>-18883.0239573333</v>
      </c>
      <c r="E50" s="70" t="n">
        <f aca="false">E40+E49</f>
        <v>-16315.0488213333</v>
      </c>
      <c r="F50" s="70" t="n">
        <f aca="false">F40+F49</f>
        <v>-13747.0736853333</v>
      </c>
      <c r="G50" s="70" t="n">
        <f aca="false">G40+G49</f>
        <v>-11179.0985493333</v>
      </c>
      <c r="H50" s="70" t="n">
        <f aca="false">H40+H49</f>
        <v>-2988.67077333334</v>
      </c>
      <c r="I50" s="70" t="n">
        <f aca="false">I40+I49</f>
        <v>61.2288746666673</v>
      </c>
      <c r="J50" s="70" t="n">
        <f aca="false">J40+J49</f>
        <v>3111.12852266667</v>
      </c>
      <c r="K50" s="70" t="n">
        <f aca="false">K40+K49</f>
        <v>-907.198005333339</v>
      </c>
      <c r="L50" s="70" t="n">
        <f aca="false">L40+L49</f>
        <v>1660.77713066666</v>
      </c>
      <c r="M50" s="70" t="n">
        <f aca="false">M40+M49</f>
        <v>4228.75226666666</v>
      </c>
      <c r="N50" s="70" t="n">
        <f aca="false">N40+N49</f>
        <v>12260.8274666667</v>
      </c>
      <c r="O50" s="70" t="n">
        <f aca="false">O40+O49</f>
        <v>6483.12202970667</v>
      </c>
      <c r="P50" s="70" t="n">
        <f aca="false">P40+P49</f>
        <v>6483.12202970667</v>
      </c>
      <c r="Q50" s="70" t="n">
        <f aca="false">Q40+Q49</f>
        <v>6483.12202970667</v>
      </c>
      <c r="R50" s="70" t="n">
        <f aca="false">R40+R49</f>
        <v>6483.12202970667</v>
      </c>
      <c r="S50" s="70" t="n">
        <f aca="false">S40+S49</f>
        <v>6483.12202970667</v>
      </c>
      <c r="T50" s="70" t="n">
        <f aca="false">T40+T49</f>
        <v>15004.3506093867</v>
      </c>
      <c r="U50" s="70" t="n">
        <f aca="false">U40+U49</f>
        <v>15004.3506093867</v>
      </c>
      <c r="V50" s="70" t="n">
        <f aca="false">V40+V49</f>
        <v>15004.3506093867</v>
      </c>
      <c r="W50" s="70" t="n">
        <f aca="false">W40+W49</f>
        <v>6483.12202970667</v>
      </c>
      <c r="X50" s="70" t="n">
        <f aca="false">X40+X49</f>
        <v>6483.12202970667</v>
      </c>
      <c r="Y50" s="70" t="n">
        <f aca="false">Y40+Y49</f>
        <v>6483.12202970667</v>
      </c>
      <c r="Z50" s="70" t="n">
        <f aca="false">Z40+Z49</f>
        <v>15004.3506093867</v>
      </c>
      <c r="AA50" s="70" t="n">
        <f aca="false">AA40+AA49</f>
        <v>8724.66357381579</v>
      </c>
      <c r="AB50" s="70" t="n">
        <f aca="false">AB40+AB49</f>
        <v>8724.66357381579</v>
      </c>
      <c r="AC50" s="70" t="n">
        <f aca="false">AC40+AC49</f>
        <v>8724.66357381579</v>
      </c>
      <c r="AD50" s="70" t="n">
        <f aca="false">AD40+AD49</f>
        <v>8724.66357381579</v>
      </c>
      <c r="AE50" s="70" t="n">
        <f aca="false">AE40+AE49</f>
        <v>8724.66357381579</v>
      </c>
      <c r="AF50" s="70" t="n">
        <f aca="false">AF40+AF49</f>
        <v>17764.8349739983</v>
      </c>
      <c r="AG50" s="70" t="n">
        <f aca="false">AG40+AG49</f>
        <v>17764.8349739983</v>
      </c>
      <c r="AH50" s="70" t="n">
        <f aca="false">AH40+AH49</f>
        <v>17764.8349739983</v>
      </c>
      <c r="AI50" s="70" t="n">
        <f aca="false">AI40+AI49</f>
        <v>8724.66357381579</v>
      </c>
      <c r="AJ50" s="70" t="n">
        <f aca="false">AJ40+AJ49</f>
        <v>8724.66357381579</v>
      </c>
      <c r="AK50" s="70" t="n">
        <f aca="false">AK40+AK49</f>
        <v>8724.66357381579</v>
      </c>
      <c r="AL50" s="70" t="n">
        <f aca="false">AL40+AL49</f>
        <v>17764.8349739983</v>
      </c>
    </row>
    <row r="52" customFormat="false" ht="15.75" hidden="false" customHeight="true" outlineLevel="0" collapsed="false">
      <c r="A52" s="7" t="s">
        <v>402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customFormat="false" ht="15" hidden="false" customHeight="false" outlineLevel="0" collapsed="false">
      <c r="A53" s="4" t="s">
        <v>79</v>
      </c>
      <c r="C53" s="75" t="n">
        <f aca="false">C50+C70</f>
        <v>-23419.7490933333</v>
      </c>
      <c r="D53" s="75" t="n">
        <f aca="false">D50+D70</f>
        <v>-20851.7739573333</v>
      </c>
      <c r="E53" s="75" t="n">
        <f aca="false">E50+E70</f>
        <v>-18283.7988213333</v>
      </c>
      <c r="F53" s="75" t="n">
        <f aca="false">F50+F70</f>
        <v>-15715.8236853333</v>
      </c>
      <c r="G53" s="75" t="n">
        <f aca="false">G50+G70</f>
        <v>-13147.8485493333</v>
      </c>
      <c r="H53" s="75" t="n">
        <f aca="false">H50+H70</f>
        <v>-4957.42077333334</v>
      </c>
      <c r="I53" s="75" t="n">
        <f aca="false">I50+I70</f>
        <v>-1907.52112533333</v>
      </c>
      <c r="J53" s="75" t="n">
        <f aca="false">J50+J70</f>
        <v>1142.37852266667</v>
      </c>
      <c r="K53" s="75" t="n">
        <f aca="false">K50+K70</f>
        <v>-2875.94800533334</v>
      </c>
      <c r="L53" s="75" t="n">
        <f aca="false">L50+L70</f>
        <v>-307.972869333338</v>
      </c>
      <c r="M53" s="75" t="n">
        <f aca="false">M50+M70</f>
        <v>2260.00226666666</v>
      </c>
      <c r="N53" s="75" t="n">
        <f aca="false">N50+N70</f>
        <v>10292.0774666667</v>
      </c>
      <c r="O53" s="75" t="n">
        <f aca="false">O50+O70</f>
        <v>4410.20536304</v>
      </c>
      <c r="P53" s="75" t="n">
        <f aca="false">P50+P70</f>
        <v>4410.20536304</v>
      </c>
      <c r="Q53" s="75" t="n">
        <f aca="false">Q50+Q70</f>
        <v>4410.20536304</v>
      </c>
      <c r="R53" s="75" t="n">
        <f aca="false">R50+R70</f>
        <v>4410.20536304</v>
      </c>
      <c r="S53" s="75" t="n">
        <f aca="false">S50+S70</f>
        <v>4410.20536304</v>
      </c>
      <c r="T53" s="75" t="n">
        <f aca="false">T50+T70</f>
        <v>12931.43394272</v>
      </c>
      <c r="U53" s="75" t="n">
        <f aca="false">U50+U70</f>
        <v>12931.43394272</v>
      </c>
      <c r="V53" s="75" t="n">
        <f aca="false">V50+V70</f>
        <v>12931.43394272</v>
      </c>
      <c r="W53" s="75" t="n">
        <f aca="false">W50+W70</f>
        <v>4410.20536304</v>
      </c>
      <c r="X53" s="75" t="n">
        <f aca="false">X50+X70</f>
        <v>4410.20536304</v>
      </c>
      <c r="Y53" s="75" t="n">
        <f aca="false">Y50+Y70</f>
        <v>4410.20536304</v>
      </c>
      <c r="Z53" s="75" t="n">
        <f aca="false">Z50+Z70</f>
        <v>12931.43394272</v>
      </c>
      <c r="AA53" s="75" t="n">
        <f aca="false">AA50+AA70</f>
        <v>6547.58024048246</v>
      </c>
      <c r="AB53" s="75" t="n">
        <f aca="false">AB50+AB70</f>
        <v>6547.58024048246</v>
      </c>
      <c r="AC53" s="75" t="n">
        <f aca="false">AC50+AC70</f>
        <v>6547.58024048246</v>
      </c>
      <c r="AD53" s="75" t="n">
        <f aca="false">AD50+AD70</f>
        <v>6547.58024048246</v>
      </c>
      <c r="AE53" s="75" t="n">
        <f aca="false">AE50+AE70</f>
        <v>6547.58024048246</v>
      </c>
      <c r="AF53" s="75" t="n">
        <f aca="false">AF50+AF70</f>
        <v>15587.751640665</v>
      </c>
      <c r="AG53" s="75" t="n">
        <f aca="false">AG50+AG70</f>
        <v>15587.751640665</v>
      </c>
      <c r="AH53" s="75" t="n">
        <f aca="false">AH50+AH70</f>
        <v>15587.751640665</v>
      </c>
      <c r="AI53" s="75" t="n">
        <f aca="false">AI50+AI70</f>
        <v>6547.58024048246</v>
      </c>
      <c r="AJ53" s="75" t="n">
        <f aca="false">AJ50+AJ70</f>
        <v>6547.58024048246</v>
      </c>
      <c r="AK53" s="75" t="n">
        <f aca="false">AK50+AK70</f>
        <v>6547.58024048246</v>
      </c>
      <c r="AL53" s="75" t="n">
        <f aca="false">AL50+AL70</f>
        <v>15587.751640665</v>
      </c>
    </row>
    <row r="54" customFormat="false" ht="15" hidden="false" customHeight="false" outlineLevel="0" collapsed="false">
      <c r="A54" s="6" t="s">
        <v>403</v>
      </c>
      <c r="C54" s="69" t="n">
        <f aca="false">-(C75+C76+C78)/2*Inputs!$E$73/12</f>
        <v>-750</v>
      </c>
      <c r="D54" s="69" t="n">
        <f aca="false">-(D75+D76+D78)/2*Inputs!$E$73/12</f>
        <v>-743.75</v>
      </c>
      <c r="E54" s="69" t="n">
        <f aca="false">-(E75+E76+E78)/2*Inputs!$E$73/12</f>
        <v>-731.25</v>
      </c>
      <c r="F54" s="69" t="n">
        <f aca="false">-(F75+F76+F78)/2*Inputs!$E$73/12</f>
        <v>-718.75</v>
      </c>
      <c r="G54" s="69" t="n">
        <f aca="false">-(G75+G76+G78)/2*Inputs!$E$73/12</f>
        <v>-706.25</v>
      </c>
      <c r="H54" s="69" t="n">
        <f aca="false">-(H75+H76+H78)/2*Inputs!$E$73/12</f>
        <v>-693.75</v>
      </c>
      <c r="I54" s="69" t="n">
        <f aca="false">-(I75+I76+I78)/2*Inputs!$E$73/12</f>
        <v>-681.25</v>
      </c>
      <c r="J54" s="69" t="n">
        <f aca="false">-(J75+J76+J78)/2*Inputs!$E$73/12</f>
        <v>-668.75</v>
      </c>
      <c r="K54" s="69" t="n">
        <f aca="false">-(K75+K76+K78)/2*Inputs!$E$73/12</f>
        <v>-656.25</v>
      </c>
      <c r="L54" s="69" t="n">
        <f aca="false">-(L75+L76+L78)/2*Inputs!$E$73/12</f>
        <v>-643.75</v>
      </c>
      <c r="M54" s="69" t="n">
        <f aca="false">-(M75+M76+M78)/2*Inputs!$E$73/12</f>
        <v>-631.25</v>
      </c>
      <c r="N54" s="69" t="n">
        <f aca="false">-(N75+N76+N78)/2*Inputs!$E$73/12</f>
        <v>-618.75</v>
      </c>
      <c r="O54" s="69" t="n">
        <f aca="false">-(O75+O76+O78)/2*Inputs!$E$73/12</f>
        <v>-606.25</v>
      </c>
      <c r="P54" s="69" t="n">
        <f aca="false">-(P75+P76+P78)/2*Inputs!$E$73/12</f>
        <v>-593.749999999999</v>
      </c>
      <c r="Q54" s="69" t="n">
        <f aca="false">-(Q75+Q76+Q78)/2*Inputs!$E$73/12</f>
        <v>-581.25</v>
      </c>
      <c r="R54" s="69" t="n">
        <f aca="false">-(R75+R76+R78)/2*Inputs!$E$73/12</f>
        <v>-568.749999999999</v>
      </c>
      <c r="S54" s="69" t="n">
        <f aca="false">-(S75+S76+S78)/2*Inputs!$E$73/12</f>
        <v>-556.249999999999</v>
      </c>
      <c r="T54" s="69" t="n">
        <f aca="false">-(T75+T76+T78)/2*Inputs!$E$73/12</f>
        <v>-543.749999999999</v>
      </c>
      <c r="U54" s="69" t="n">
        <f aca="false">-(U75+U76+U78)/2*Inputs!$E$73/12</f>
        <v>-531.249999999999</v>
      </c>
      <c r="V54" s="69" t="n">
        <f aca="false">-(V75+V76+V78)/2*Inputs!$E$73/12</f>
        <v>-518.749999999999</v>
      </c>
      <c r="W54" s="69" t="n">
        <f aca="false">-(W75+W76+W78)/2*Inputs!$E$73/12</f>
        <v>-506.249999999999</v>
      </c>
      <c r="X54" s="69" t="n">
        <f aca="false">-(X75+X76+X78)/2*Inputs!$E$73/12</f>
        <v>-493.749999999999</v>
      </c>
      <c r="Y54" s="69" t="n">
        <f aca="false">-(Y75+Y76+Y78)/2*Inputs!$E$73/12</f>
        <v>-481.249999999999</v>
      </c>
      <c r="Z54" s="69" t="n">
        <f aca="false">-(Z75+Z76+Z78)/2*Inputs!$E$73/12</f>
        <v>-468.749999999999</v>
      </c>
      <c r="AA54" s="69" t="n">
        <f aca="false">-(AA75+AA76+AA78)/2*Inputs!$E$73/12</f>
        <v>-456.249999999999</v>
      </c>
      <c r="AB54" s="69" t="n">
        <f aca="false">-(AB75+AB76+AB78)/2*Inputs!$E$73/12</f>
        <v>-443.749999999999</v>
      </c>
      <c r="AC54" s="69" t="n">
        <f aca="false">-(AC75+AC76+AC78)/2*Inputs!$E$73/12</f>
        <v>-431.249999999999</v>
      </c>
      <c r="AD54" s="69" t="n">
        <f aca="false">-(AD75+AD76+AD78)/2*Inputs!$E$73/12</f>
        <v>-418.749999999999</v>
      </c>
      <c r="AE54" s="69" t="n">
        <f aca="false">-(AE75+AE76+AE78)/2*Inputs!$E$73/12</f>
        <v>-406.249999999999</v>
      </c>
      <c r="AF54" s="69" t="n">
        <f aca="false">-(AF75+AF76+AF78)/2*Inputs!$E$73/12</f>
        <v>-393.75</v>
      </c>
      <c r="AG54" s="69" t="n">
        <f aca="false">-(AG75+AG76+AG78)/2*Inputs!$E$73/12</f>
        <v>-381.249999999999</v>
      </c>
      <c r="AH54" s="69" t="n">
        <f aca="false">-(AH75+AH76+AH78)/2*Inputs!$E$73/12</f>
        <v>-368.75</v>
      </c>
      <c r="AI54" s="69" t="n">
        <f aca="false">-(AI75+AI76+AI78)/2*Inputs!$E$73/12</f>
        <v>-356.25</v>
      </c>
      <c r="AJ54" s="69" t="n">
        <f aca="false">-(AJ75+AJ76+AJ78)/2*Inputs!$E$73/12</f>
        <v>-343.75</v>
      </c>
      <c r="AK54" s="69" t="n">
        <f aca="false">-(AK75+AK76+AK78)/2*Inputs!$E$73/12</f>
        <v>-331.25</v>
      </c>
      <c r="AL54" s="69" t="n">
        <f aca="false">-(AL75+AL76+AL78)/2*Inputs!$E$73/12</f>
        <v>-318.75</v>
      </c>
    </row>
    <row r="55" customFormat="false" ht="15" hidden="false" customHeight="false" outlineLevel="0" collapsed="false">
      <c r="A55" s="115" t="s">
        <v>81</v>
      </c>
      <c r="C55" s="70" t="n">
        <f aca="false">C53+C54</f>
        <v>-24169.7490933333</v>
      </c>
      <c r="D55" s="70" t="n">
        <f aca="false">D53+D54</f>
        <v>-21595.5239573333</v>
      </c>
      <c r="E55" s="70" t="n">
        <f aca="false">E53+E54</f>
        <v>-19015.0488213333</v>
      </c>
      <c r="F55" s="70" t="n">
        <f aca="false">F53+F54</f>
        <v>-16434.5736853333</v>
      </c>
      <c r="G55" s="70" t="n">
        <f aca="false">G53+G54</f>
        <v>-13854.0985493333</v>
      </c>
      <c r="H55" s="70" t="n">
        <f aca="false">H53+H54</f>
        <v>-5651.17077333334</v>
      </c>
      <c r="I55" s="70" t="n">
        <f aca="false">I53+I54</f>
        <v>-2588.77112533333</v>
      </c>
      <c r="J55" s="70" t="n">
        <f aca="false">J53+J54</f>
        <v>473.628522666666</v>
      </c>
      <c r="K55" s="70" t="n">
        <f aca="false">K53+K54</f>
        <v>-3532.19800533334</v>
      </c>
      <c r="L55" s="70" t="n">
        <f aca="false">L53+L54</f>
        <v>-951.722869333338</v>
      </c>
      <c r="M55" s="70" t="n">
        <f aca="false">M53+M54</f>
        <v>1628.75226666666</v>
      </c>
      <c r="N55" s="70" t="n">
        <f aca="false">N53+N54</f>
        <v>9673.32746666667</v>
      </c>
      <c r="O55" s="70" t="n">
        <f aca="false">O53+O54</f>
        <v>3803.95536304</v>
      </c>
      <c r="P55" s="70" t="n">
        <f aca="false">P53+P54</f>
        <v>3816.45536304</v>
      </c>
      <c r="Q55" s="70" t="n">
        <f aca="false">Q53+Q54</f>
        <v>3828.95536304</v>
      </c>
      <c r="R55" s="70" t="n">
        <f aca="false">R53+R54</f>
        <v>3841.45536304</v>
      </c>
      <c r="S55" s="70" t="n">
        <f aca="false">S53+S54</f>
        <v>3853.95536304</v>
      </c>
      <c r="T55" s="70" t="n">
        <f aca="false">T53+T54</f>
        <v>12387.68394272</v>
      </c>
      <c r="U55" s="70" t="n">
        <f aca="false">U53+U54</f>
        <v>12400.18394272</v>
      </c>
      <c r="V55" s="70" t="n">
        <f aca="false">V53+V54</f>
        <v>12412.68394272</v>
      </c>
      <c r="W55" s="70" t="n">
        <f aca="false">W53+W54</f>
        <v>3903.95536304</v>
      </c>
      <c r="X55" s="70" t="n">
        <f aca="false">X53+X54</f>
        <v>3916.45536304</v>
      </c>
      <c r="Y55" s="70" t="n">
        <f aca="false">Y53+Y54</f>
        <v>3928.95536304</v>
      </c>
      <c r="Z55" s="70" t="n">
        <f aca="false">Z53+Z54</f>
        <v>12462.68394272</v>
      </c>
      <c r="AA55" s="70" t="n">
        <f aca="false">AA53+AA54</f>
        <v>6091.33024048246</v>
      </c>
      <c r="AB55" s="70" t="n">
        <f aca="false">AB53+AB54</f>
        <v>6103.83024048246</v>
      </c>
      <c r="AC55" s="70" t="n">
        <f aca="false">AC53+AC54</f>
        <v>6116.33024048246</v>
      </c>
      <c r="AD55" s="70" t="n">
        <f aca="false">AD53+AD54</f>
        <v>6128.83024048246</v>
      </c>
      <c r="AE55" s="70" t="n">
        <f aca="false">AE53+AE54</f>
        <v>6141.33024048246</v>
      </c>
      <c r="AF55" s="70" t="n">
        <f aca="false">AF53+AF54</f>
        <v>15194.001640665</v>
      </c>
      <c r="AG55" s="70" t="n">
        <f aca="false">AG53+AG54</f>
        <v>15206.501640665</v>
      </c>
      <c r="AH55" s="70" t="n">
        <f aca="false">AH53+AH54</f>
        <v>15219.001640665</v>
      </c>
      <c r="AI55" s="70" t="n">
        <f aca="false">AI53+AI54</f>
        <v>6191.33024048246</v>
      </c>
      <c r="AJ55" s="70" t="n">
        <f aca="false">AJ53+AJ54</f>
        <v>6203.83024048246</v>
      </c>
      <c r="AK55" s="70" t="n">
        <f aca="false">AK53+AK54</f>
        <v>6216.33024048246</v>
      </c>
      <c r="AL55" s="70" t="n">
        <f aca="false">AL53+AL54</f>
        <v>15269.001640665</v>
      </c>
    </row>
    <row r="56" customFormat="false" ht="15" hidden="false" customHeight="false" outlineLevel="0" collapsed="false">
      <c r="A56" s="118" t="s">
        <v>404</v>
      </c>
      <c r="C56" s="69" t="n">
        <f aca="false">C55</f>
        <v>-24169.7490933333</v>
      </c>
      <c r="D56" s="69" t="n">
        <f aca="false">C56+D55</f>
        <v>-45765.2730506667</v>
      </c>
      <c r="E56" s="69" t="n">
        <f aca="false">D56+E55</f>
        <v>-64780.321872</v>
      </c>
      <c r="F56" s="69" t="n">
        <f aca="false">E56+F55</f>
        <v>-81214.8955573333</v>
      </c>
      <c r="G56" s="69" t="n">
        <f aca="false">F56+G55</f>
        <v>-95068.9941066667</v>
      </c>
      <c r="H56" s="69" t="n">
        <f aca="false">G56+H55</f>
        <v>-100720.16488</v>
      </c>
      <c r="I56" s="69" t="n">
        <f aca="false">H56+I55</f>
        <v>-103308.936005333</v>
      </c>
      <c r="J56" s="69" t="n">
        <f aca="false">I56+J55</f>
        <v>-102835.307482667</v>
      </c>
      <c r="K56" s="69" t="n">
        <f aca="false">J56+K55</f>
        <v>-106367.505488</v>
      </c>
      <c r="L56" s="69" t="n">
        <f aca="false">K56+L55</f>
        <v>-107319.228357333</v>
      </c>
      <c r="M56" s="69" t="n">
        <f aca="false">L56+M55</f>
        <v>-105690.476090667</v>
      </c>
      <c r="N56" s="69" t="n">
        <f aca="false">M56+N55</f>
        <v>-96017.148624</v>
      </c>
      <c r="O56" s="69" t="n">
        <f aca="false">N56+O55</f>
        <v>-92213.19326096</v>
      </c>
      <c r="P56" s="69" t="n">
        <f aca="false">O56+P55</f>
        <v>-88396.73789792</v>
      </c>
      <c r="Q56" s="69" t="n">
        <f aca="false">P56+Q55</f>
        <v>-84567.78253488</v>
      </c>
      <c r="R56" s="69" t="n">
        <f aca="false">Q56+R55</f>
        <v>-80726.32717184</v>
      </c>
      <c r="S56" s="69" t="n">
        <f aca="false">R56+S55</f>
        <v>-76872.3718088</v>
      </c>
      <c r="T56" s="69" t="n">
        <f aca="false">S56+T55</f>
        <v>-64484.68786608</v>
      </c>
      <c r="U56" s="69" t="n">
        <f aca="false">T56+U55</f>
        <v>-52084.50392336</v>
      </c>
      <c r="V56" s="69" t="n">
        <f aca="false">U56+V55</f>
        <v>-39671.81998064</v>
      </c>
      <c r="W56" s="69" t="n">
        <f aca="false">V56+W55</f>
        <v>-35767.8646176</v>
      </c>
      <c r="X56" s="69" t="n">
        <f aca="false">W56+X55</f>
        <v>-31851.40925456</v>
      </c>
      <c r="Y56" s="69" t="n">
        <f aca="false">X56+Y55</f>
        <v>-27922.45389152</v>
      </c>
      <c r="Z56" s="69" t="n">
        <f aca="false">Y56+Z55</f>
        <v>-15459.7699488</v>
      </c>
      <c r="AA56" s="69" t="n">
        <f aca="false">Z56+AA55</f>
        <v>-9368.43970831752</v>
      </c>
      <c r="AB56" s="69" t="n">
        <f aca="false">AA56+AB55</f>
        <v>-3264.60946783506</v>
      </c>
      <c r="AC56" s="69" t="n">
        <f aca="false">AB56+AC55</f>
        <v>2851.7207726474</v>
      </c>
      <c r="AD56" s="69" t="n">
        <f aca="false">AC56+AD55</f>
        <v>8980.55101312986</v>
      </c>
      <c r="AE56" s="69" t="n">
        <f aca="false">AD56+AE55</f>
        <v>15121.8812536123</v>
      </c>
      <c r="AF56" s="69" t="n">
        <f aca="false">AE56+AF55</f>
        <v>30315.8828942773</v>
      </c>
      <c r="AG56" s="69" t="n">
        <f aca="false">AF56+AG55</f>
        <v>45522.3845349423</v>
      </c>
      <c r="AH56" s="69" t="n">
        <f aca="false">AG56+AH55</f>
        <v>60741.3861756072</v>
      </c>
      <c r="AI56" s="69" t="n">
        <f aca="false">AH56+AI55</f>
        <v>66932.7164160897</v>
      </c>
      <c r="AJ56" s="69" t="n">
        <f aca="false">AI56+AJ55</f>
        <v>73136.5466565722</v>
      </c>
      <c r="AK56" s="69" t="n">
        <f aca="false">AJ56+AK55</f>
        <v>79352.8768970546</v>
      </c>
      <c r="AL56" s="69" t="n">
        <f aca="false">AK56+AL55</f>
        <v>94621.8785377196</v>
      </c>
    </row>
    <row r="57" customFormat="false" ht="15" hidden="false" customHeight="false" outlineLevel="0" collapsed="false">
      <c r="A57" s="118" t="s">
        <v>405</v>
      </c>
      <c r="C57" s="69" t="n">
        <f aca="false">MAX(0,C56)</f>
        <v>0</v>
      </c>
      <c r="D57" s="69" t="n">
        <f aca="false">MAX(C57,D56)</f>
        <v>0</v>
      </c>
      <c r="E57" s="69" t="n">
        <f aca="false">MAX(D57,E56)</f>
        <v>0</v>
      </c>
      <c r="F57" s="69" t="n">
        <f aca="false">MAX(E57,F56)</f>
        <v>0</v>
      </c>
      <c r="G57" s="69" t="n">
        <f aca="false">MAX(F57,G56)</f>
        <v>0</v>
      </c>
      <c r="H57" s="69" t="n">
        <f aca="false">MAX(G57,H56)</f>
        <v>0</v>
      </c>
      <c r="I57" s="69" t="n">
        <f aca="false">MAX(H57,I56)</f>
        <v>0</v>
      </c>
      <c r="J57" s="69" t="n">
        <f aca="false">MAX(I57,J56)</f>
        <v>0</v>
      </c>
      <c r="K57" s="69" t="n">
        <f aca="false">MAX(J57,K56)</f>
        <v>0</v>
      </c>
      <c r="L57" s="69" t="n">
        <f aca="false">MAX(K57,L56)</f>
        <v>0</v>
      </c>
      <c r="M57" s="69" t="n">
        <f aca="false">MAX(L57,M56)</f>
        <v>0</v>
      </c>
      <c r="N57" s="69" t="n">
        <f aca="false">MAX(M57,N56)</f>
        <v>0</v>
      </c>
      <c r="O57" s="69" t="n">
        <f aca="false">MAX(N57,O56)</f>
        <v>0</v>
      </c>
      <c r="P57" s="69" t="n">
        <f aca="false">MAX(O57,P56)</f>
        <v>0</v>
      </c>
      <c r="Q57" s="69" t="n">
        <f aca="false">MAX(P57,Q56)</f>
        <v>0</v>
      </c>
      <c r="R57" s="69" t="n">
        <f aca="false">MAX(Q57,R56)</f>
        <v>0</v>
      </c>
      <c r="S57" s="69" t="n">
        <f aca="false">MAX(R57,S56)</f>
        <v>0</v>
      </c>
      <c r="T57" s="69" t="n">
        <f aca="false">MAX(S57,T56)</f>
        <v>0</v>
      </c>
      <c r="U57" s="69" t="n">
        <f aca="false">MAX(T57,U56)</f>
        <v>0</v>
      </c>
      <c r="V57" s="69" t="n">
        <f aca="false">MAX(U57,V56)</f>
        <v>0</v>
      </c>
      <c r="W57" s="69" t="n">
        <f aca="false">MAX(V57,W56)</f>
        <v>0</v>
      </c>
      <c r="X57" s="69" t="n">
        <f aca="false">MAX(W57,X56)</f>
        <v>0</v>
      </c>
      <c r="Y57" s="69" t="n">
        <f aca="false">MAX(X57,Y56)</f>
        <v>0</v>
      </c>
      <c r="Z57" s="69" t="n">
        <f aca="false">MAX(Y57,Z56)</f>
        <v>0</v>
      </c>
      <c r="AA57" s="69" t="n">
        <f aca="false">MAX(Z57,AA56)</f>
        <v>0</v>
      </c>
      <c r="AB57" s="69" t="n">
        <f aca="false">MAX(AA57,AB56)</f>
        <v>0</v>
      </c>
      <c r="AC57" s="69" t="n">
        <f aca="false">MAX(AB57,AC56)</f>
        <v>2851.7207726474</v>
      </c>
      <c r="AD57" s="69" t="n">
        <f aca="false">MAX(AC57,AD56)</f>
        <v>8980.55101312986</v>
      </c>
      <c r="AE57" s="69" t="n">
        <f aca="false">MAX(AD57,AE56)</f>
        <v>15121.8812536123</v>
      </c>
      <c r="AF57" s="69" t="n">
        <f aca="false">MAX(AE57,AF56)</f>
        <v>30315.8828942773</v>
      </c>
      <c r="AG57" s="69" t="n">
        <f aca="false">MAX(AF57,AG56)</f>
        <v>45522.3845349423</v>
      </c>
      <c r="AH57" s="69" t="n">
        <f aca="false">MAX(AG57,AH56)</f>
        <v>60741.3861756072</v>
      </c>
      <c r="AI57" s="69" t="n">
        <f aca="false">MAX(AH57,AI56)</f>
        <v>66932.7164160897</v>
      </c>
      <c r="AJ57" s="69" t="n">
        <f aca="false">MAX(AI57,AJ56)</f>
        <v>73136.5466565722</v>
      </c>
      <c r="AK57" s="69" t="n">
        <f aca="false">MAX(AJ57,AK56)</f>
        <v>79352.8768970546</v>
      </c>
      <c r="AL57" s="69" t="n">
        <f aca="false">MAX(AK57,AL56)</f>
        <v>94621.8785377196</v>
      </c>
    </row>
    <row r="58" customFormat="false" ht="15" hidden="false" customHeight="false" outlineLevel="0" collapsed="false">
      <c r="A58" s="6" t="s">
        <v>82</v>
      </c>
      <c r="C58" s="69" t="n">
        <f aca="false">-C57*Inputs!$E$83</f>
        <v>-0</v>
      </c>
      <c r="D58" s="69" t="n">
        <f aca="false">-(D57-C57)*Inputs!$E$83</f>
        <v>-0</v>
      </c>
      <c r="E58" s="69" t="n">
        <f aca="false">-(E57-D57)*Inputs!$E$83</f>
        <v>-0</v>
      </c>
      <c r="F58" s="69" t="n">
        <f aca="false">-(F57-E57)*Inputs!$E$83</f>
        <v>-0</v>
      </c>
      <c r="G58" s="69" t="n">
        <f aca="false">-(G57-F57)*Inputs!$E$83</f>
        <v>-0</v>
      </c>
      <c r="H58" s="69" t="n">
        <f aca="false">-(H57-G57)*Inputs!$E$83</f>
        <v>-0</v>
      </c>
      <c r="I58" s="69" t="n">
        <f aca="false">-(I57-H57)*Inputs!$E$83</f>
        <v>-0</v>
      </c>
      <c r="J58" s="69" t="n">
        <f aca="false">-(J57-I57)*Inputs!$E$83</f>
        <v>-0</v>
      </c>
      <c r="K58" s="69" t="n">
        <f aca="false">-(K57-J57)*Inputs!$E$83</f>
        <v>-0</v>
      </c>
      <c r="L58" s="69" t="n">
        <f aca="false">-(L57-K57)*Inputs!$E$83</f>
        <v>-0</v>
      </c>
      <c r="M58" s="69" t="n">
        <f aca="false">-(M57-L57)*Inputs!$E$83</f>
        <v>-0</v>
      </c>
      <c r="N58" s="69" t="n">
        <f aca="false">-(N57-M57)*Inputs!$E$83</f>
        <v>-0</v>
      </c>
      <c r="O58" s="69" t="n">
        <f aca="false">-(O57-N57)*Inputs!$E$83</f>
        <v>-0</v>
      </c>
      <c r="P58" s="69" t="n">
        <f aca="false">-(P57-O57)*Inputs!$E$83</f>
        <v>-0</v>
      </c>
      <c r="Q58" s="69" t="n">
        <f aca="false">-(Q57-P57)*Inputs!$E$83</f>
        <v>-0</v>
      </c>
      <c r="R58" s="69" t="n">
        <f aca="false">-(R57-Q57)*Inputs!$E$83</f>
        <v>-0</v>
      </c>
      <c r="S58" s="69" t="n">
        <f aca="false">-(S57-R57)*Inputs!$E$83</f>
        <v>-0</v>
      </c>
      <c r="T58" s="69" t="n">
        <f aca="false">-(T57-S57)*Inputs!$E$83</f>
        <v>-0</v>
      </c>
      <c r="U58" s="69" t="n">
        <f aca="false">-(U57-T57)*Inputs!$E$83</f>
        <v>-0</v>
      </c>
      <c r="V58" s="69" t="n">
        <f aca="false">-(V57-U57)*Inputs!$E$83</f>
        <v>-0</v>
      </c>
      <c r="W58" s="69" t="n">
        <f aca="false">-(W57-V57)*Inputs!$E$83</f>
        <v>-0</v>
      </c>
      <c r="X58" s="69" t="n">
        <f aca="false">-(X57-W57)*Inputs!$E$83</f>
        <v>-0</v>
      </c>
      <c r="Y58" s="69" t="n">
        <f aca="false">-(Y57-X57)*Inputs!$E$83</f>
        <v>-0</v>
      </c>
      <c r="Z58" s="69" t="n">
        <f aca="false">-(Z57-Y57)*Inputs!$E$83</f>
        <v>-0</v>
      </c>
      <c r="AA58" s="69" t="n">
        <f aca="false">-(AA57-Z57)*Inputs!$E$83</f>
        <v>-0</v>
      </c>
      <c r="AB58" s="69" t="n">
        <f aca="false">-(AB57-AA57)*Inputs!$E$83</f>
        <v>-0</v>
      </c>
      <c r="AC58" s="69" t="n">
        <f aca="false">-(AC57-AB57)*Inputs!$E$83</f>
        <v>-598.861362255954</v>
      </c>
      <c r="AD58" s="69" t="n">
        <f aca="false">-(AD57-AC57)*Inputs!$E$83</f>
        <v>-1287.05435050132</v>
      </c>
      <c r="AE58" s="69" t="n">
        <f aca="false">-(AE57-AD57)*Inputs!$E$83</f>
        <v>-1289.67935050132</v>
      </c>
      <c r="AF58" s="69" t="n">
        <f aca="false">-(AF57-AE57)*Inputs!$E$83</f>
        <v>-3190.74034453965</v>
      </c>
      <c r="AG58" s="69" t="n">
        <f aca="false">-(AG57-AF57)*Inputs!$E$83</f>
        <v>-3193.36534453964</v>
      </c>
      <c r="AH58" s="69" t="n">
        <f aca="false">-(AH57-AG57)*Inputs!$E$83</f>
        <v>-3195.99034453964</v>
      </c>
      <c r="AI58" s="69" t="n">
        <f aca="false">-(AI57-AH57)*Inputs!$E$83</f>
        <v>-1300.17935050132</v>
      </c>
      <c r="AJ58" s="69" t="n">
        <f aca="false">-(AJ57-AI57)*Inputs!$E$83</f>
        <v>-1302.80435050132</v>
      </c>
      <c r="AK58" s="69" t="n">
        <f aca="false">-(AK57-AJ57)*Inputs!$E$83</f>
        <v>-1305.42935050132</v>
      </c>
      <c r="AL58" s="69" t="n">
        <f aca="false">-(AL57-AK57)*Inputs!$E$83</f>
        <v>-3206.49034453965</v>
      </c>
    </row>
    <row r="59" customFormat="false" ht="15" hidden="false" customHeight="false" outlineLevel="0" collapsed="false">
      <c r="A59" s="115" t="s">
        <v>50</v>
      </c>
      <c r="C59" s="70" t="n">
        <f aca="false">C55+C58</f>
        <v>-24169.7490933333</v>
      </c>
      <c r="D59" s="70" t="n">
        <f aca="false">D55+D58</f>
        <v>-21595.5239573333</v>
      </c>
      <c r="E59" s="70" t="n">
        <f aca="false">E55+E58</f>
        <v>-19015.0488213333</v>
      </c>
      <c r="F59" s="70" t="n">
        <f aca="false">F55+F58</f>
        <v>-16434.5736853333</v>
      </c>
      <c r="G59" s="70" t="n">
        <f aca="false">G55+G58</f>
        <v>-13854.0985493333</v>
      </c>
      <c r="H59" s="70" t="n">
        <f aca="false">H55+H58</f>
        <v>-5651.17077333334</v>
      </c>
      <c r="I59" s="70" t="n">
        <f aca="false">I55+I58</f>
        <v>-2588.77112533333</v>
      </c>
      <c r="J59" s="70" t="n">
        <f aca="false">J55+J58</f>
        <v>473.628522666666</v>
      </c>
      <c r="K59" s="70" t="n">
        <f aca="false">K55+K58</f>
        <v>-3532.19800533334</v>
      </c>
      <c r="L59" s="70" t="n">
        <f aca="false">L55+L58</f>
        <v>-951.722869333338</v>
      </c>
      <c r="M59" s="70" t="n">
        <f aca="false">M55+M58</f>
        <v>1628.75226666666</v>
      </c>
      <c r="N59" s="70" t="n">
        <f aca="false">N55+N58</f>
        <v>9673.32746666667</v>
      </c>
      <c r="O59" s="70" t="n">
        <f aca="false">O55+O58</f>
        <v>3803.95536304</v>
      </c>
      <c r="P59" s="70" t="n">
        <f aca="false">P55+P58</f>
        <v>3816.45536304</v>
      </c>
      <c r="Q59" s="70" t="n">
        <f aca="false">Q55+Q58</f>
        <v>3828.95536304</v>
      </c>
      <c r="R59" s="70" t="n">
        <f aca="false">R55+R58</f>
        <v>3841.45536304</v>
      </c>
      <c r="S59" s="70" t="n">
        <f aca="false">S55+S58</f>
        <v>3853.95536304</v>
      </c>
      <c r="T59" s="70" t="n">
        <f aca="false">T55+T58</f>
        <v>12387.68394272</v>
      </c>
      <c r="U59" s="70" t="n">
        <f aca="false">U55+U58</f>
        <v>12400.18394272</v>
      </c>
      <c r="V59" s="70" t="n">
        <f aca="false">V55+V58</f>
        <v>12412.68394272</v>
      </c>
      <c r="W59" s="70" t="n">
        <f aca="false">W55+W58</f>
        <v>3903.95536304</v>
      </c>
      <c r="X59" s="70" t="n">
        <f aca="false">X55+X58</f>
        <v>3916.45536304</v>
      </c>
      <c r="Y59" s="70" t="n">
        <f aca="false">Y55+Y58</f>
        <v>3928.95536304</v>
      </c>
      <c r="Z59" s="70" t="n">
        <f aca="false">Z55+Z58</f>
        <v>12462.68394272</v>
      </c>
      <c r="AA59" s="70" t="n">
        <f aca="false">AA55+AA58</f>
        <v>6091.33024048246</v>
      </c>
      <c r="AB59" s="70" t="n">
        <f aca="false">AB55+AB58</f>
        <v>6103.83024048246</v>
      </c>
      <c r="AC59" s="70" t="n">
        <f aca="false">AC55+AC58</f>
        <v>5517.46887822651</v>
      </c>
      <c r="AD59" s="70" t="n">
        <f aca="false">AD55+AD58</f>
        <v>4841.77588998114</v>
      </c>
      <c r="AE59" s="70" t="n">
        <f aca="false">AE55+AE58</f>
        <v>4851.65088998114</v>
      </c>
      <c r="AF59" s="70" t="n">
        <f aca="false">AF55+AF58</f>
        <v>12003.2612961253</v>
      </c>
      <c r="AG59" s="70" t="n">
        <f aca="false">AG55+AG58</f>
        <v>12013.1362961253</v>
      </c>
      <c r="AH59" s="70" t="n">
        <f aca="false">AH55+AH58</f>
        <v>12023.0112961253</v>
      </c>
      <c r="AI59" s="70" t="n">
        <f aca="false">AI55+AI58</f>
        <v>4891.15088998114</v>
      </c>
      <c r="AJ59" s="70" t="n">
        <f aca="false">AJ55+AJ58</f>
        <v>4901.02588998114</v>
      </c>
      <c r="AK59" s="70" t="n">
        <f aca="false">AK55+AK58</f>
        <v>4910.90088998114</v>
      </c>
      <c r="AL59" s="70" t="n">
        <f aca="false">AL55+AL58</f>
        <v>12062.5112961253</v>
      </c>
    </row>
    <row r="61" customFormat="false" ht="15.75" hidden="false" customHeight="true" outlineLevel="0" collapsed="false">
      <c r="A61" s="7" t="s">
        <v>406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customFormat="false" ht="15" hidden="false" customHeight="false" outlineLevel="0" collapsed="false">
      <c r="A62" s="6" t="s">
        <v>407</v>
      </c>
      <c r="C62" s="69" t="n">
        <f aca="false">IF(C$4=1,Inputs!$E$14*Inputs!$E$48,0)</f>
        <v>24000</v>
      </c>
      <c r="D62" s="69" t="n">
        <f aca="false">IF(D$4=1,Inputs!$E$14*Inputs!$E$48,0)</f>
        <v>0</v>
      </c>
      <c r="E62" s="69" t="n">
        <f aca="false">IF(E$4=1,Inputs!$E$14*Inputs!$E$48,0)</f>
        <v>0</v>
      </c>
      <c r="F62" s="69" t="n">
        <f aca="false">IF(F$4=1,Inputs!$E$14*Inputs!$E$48,0)</f>
        <v>0</v>
      </c>
      <c r="G62" s="69" t="n">
        <f aca="false">IF(G$4=1,Inputs!$E$14*Inputs!$E$48,0)</f>
        <v>0</v>
      </c>
      <c r="H62" s="69" t="n">
        <f aca="false">IF(H$4=1,Inputs!$E$14*Inputs!$E$48,0)</f>
        <v>0</v>
      </c>
      <c r="I62" s="69" t="n">
        <f aca="false">IF(I$4=1,Inputs!$E$14*Inputs!$E$48,0)</f>
        <v>0</v>
      </c>
      <c r="J62" s="69" t="n">
        <f aca="false">IF(J$4=1,Inputs!$E$14*Inputs!$E$48,0)</f>
        <v>0</v>
      </c>
      <c r="K62" s="69" t="n">
        <f aca="false">IF(K$4=1,Inputs!$E$14*Inputs!$E$48,0)</f>
        <v>0</v>
      </c>
      <c r="L62" s="69" t="n">
        <f aca="false">IF(L$4=1,Inputs!$E$14*Inputs!$E$48,0)</f>
        <v>0</v>
      </c>
      <c r="M62" s="69" t="n">
        <f aca="false">IF(M$4=1,Inputs!$E$14*Inputs!$E$48,0)</f>
        <v>0</v>
      </c>
      <c r="N62" s="69" t="n">
        <f aca="false">IF(N$4=1,Inputs!$E$14*Inputs!$E$48,0)</f>
        <v>0</v>
      </c>
      <c r="O62" s="69" t="n">
        <f aca="false">IF(O$4=1,Inputs!$E$14*Inputs!$E$48,0)</f>
        <v>0</v>
      </c>
      <c r="P62" s="69" t="n">
        <f aca="false">IF(P$4=1,Inputs!$E$14*Inputs!$E$48,0)</f>
        <v>0</v>
      </c>
      <c r="Q62" s="69" t="n">
        <f aca="false">IF(Q$4=1,Inputs!$E$14*Inputs!$E$48,0)</f>
        <v>0</v>
      </c>
      <c r="R62" s="69" t="n">
        <f aca="false">IF(R$4=1,Inputs!$E$14*Inputs!$E$48,0)</f>
        <v>0</v>
      </c>
      <c r="S62" s="69" t="n">
        <f aca="false">IF(S$4=1,Inputs!$E$14*Inputs!$E$48,0)</f>
        <v>0</v>
      </c>
      <c r="T62" s="69" t="n">
        <f aca="false">IF(T$4=1,Inputs!$E$14*Inputs!$E$48,0)</f>
        <v>0</v>
      </c>
      <c r="U62" s="69" t="n">
        <f aca="false">IF(U$4=1,Inputs!$E$14*Inputs!$E$48,0)</f>
        <v>0</v>
      </c>
      <c r="V62" s="69" t="n">
        <f aca="false">IF(V$4=1,Inputs!$E$14*Inputs!$E$48,0)</f>
        <v>0</v>
      </c>
      <c r="W62" s="69" t="n">
        <f aca="false">IF(W$4=1,Inputs!$E$14*Inputs!$E$48,0)</f>
        <v>0</v>
      </c>
      <c r="X62" s="69" t="n">
        <f aca="false">IF(X$4=1,Inputs!$E$14*Inputs!$E$48,0)</f>
        <v>0</v>
      </c>
      <c r="Y62" s="69" t="n">
        <f aca="false">IF(Y$4=1,Inputs!$E$14*Inputs!$E$48,0)</f>
        <v>0</v>
      </c>
      <c r="Z62" s="69" t="n">
        <f aca="false">IF(Z$4=1,Inputs!$E$14*Inputs!$E$48,0)</f>
        <v>0</v>
      </c>
      <c r="AA62" s="69" t="n">
        <f aca="false">IF(AA$4=1,Inputs!$E$14*Inputs!$E$48,0)</f>
        <v>0</v>
      </c>
      <c r="AB62" s="69" t="n">
        <f aca="false">IF(AB$4=1,Inputs!$E$14*Inputs!$E$48,0)</f>
        <v>0</v>
      </c>
      <c r="AC62" s="69" t="n">
        <f aca="false">IF(AC$4=1,Inputs!$E$14*Inputs!$E$48,0)</f>
        <v>0</v>
      </c>
      <c r="AD62" s="69" t="n">
        <f aca="false">IF(AD$4=1,Inputs!$E$14*Inputs!$E$48,0)</f>
        <v>0</v>
      </c>
      <c r="AE62" s="69" t="n">
        <f aca="false">IF(AE$4=1,Inputs!$E$14*Inputs!$E$48,0)</f>
        <v>0</v>
      </c>
      <c r="AF62" s="69" t="n">
        <f aca="false">IF(AF$4=1,Inputs!$E$14*Inputs!$E$48,0)</f>
        <v>0</v>
      </c>
      <c r="AG62" s="69" t="n">
        <f aca="false">IF(AG$4=1,Inputs!$E$14*Inputs!$E$48,0)</f>
        <v>0</v>
      </c>
      <c r="AH62" s="69" t="n">
        <f aca="false">IF(AH$4=1,Inputs!$E$14*Inputs!$E$48,0)</f>
        <v>0</v>
      </c>
      <c r="AI62" s="69" t="n">
        <f aca="false">IF(AI$4=1,Inputs!$E$14*Inputs!$E$48,0)</f>
        <v>0</v>
      </c>
      <c r="AJ62" s="69" t="n">
        <f aca="false">IF(AJ$4=1,Inputs!$E$14*Inputs!$E$48,0)</f>
        <v>0</v>
      </c>
      <c r="AK62" s="69" t="n">
        <f aca="false">IF(AK$4=1,Inputs!$E$14*Inputs!$E$48,0)</f>
        <v>0</v>
      </c>
      <c r="AL62" s="69" t="n">
        <f aca="false">IF(AL$4=1,Inputs!$E$14*Inputs!$E$48,0)</f>
        <v>0</v>
      </c>
    </row>
    <row r="63" customFormat="false" ht="15" hidden="false" customHeight="false" outlineLevel="0" collapsed="false">
      <c r="A63" s="6" t="s">
        <v>408</v>
      </c>
      <c r="C63" s="69" t="n">
        <f aca="false">IF(C$4=1,Inputs!$E$25*Inputs!$E$49,0)</f>
        <v>75000</v>
      </c>
      <c r="D63" s="69" t="n">
        <f aca="false">IF(D$4=1,Inputs!$E$25*Inputs!$E$49,0)</f>
        <v>0</v>
      </c>
      <c r="E63" s="69" t="n">
        <f aca="false">IF(E$4=1,Inputs!$E$25*Inputs!$E$49,0)</f>
        <v>0</v>
      </c>
      <c r="F63" s="69" t="n">
        <f aca="false">IF(F$4=1,Inputs!$E$25*Inputs!$E$49,0)</f>
        <v>0</v>
      </c>
      <c r="G63" s="69" t="n">
        <f aca="false">IF(G$4=1,Inputs!$E$25*Inputs!$E$49,0)</f>
        <v>0</v>
      </c>
      <c r="H63" s="69" t="n">
        <f aca="false">IF(H$4=1,Inputs!$E$25*Inputs!$E$49,0)</f>
        <v>0</v>
      </c>
      <c r="I63" s="69" t="n">
        <f aca="false">IF(I$4=1,Inputs!$E$25*Inputs!$E$49,0)</f>
        <v>0</v>
      </c>
      <c r="J63" s="69" t="n">
        <f aca="false">IF(J$4=1,Inputs!$E$25*Inputs!$E$49,0)</f>
        <v>0</v>
      </c>
      <c r="K63" s="69" t="n">
        <f aca="false">IF(K$4=1,Inputs!$E$25*Inputs!$E$49,0)</f>
        <v>0</v>
      </c>
      <c r="L63" s="69" t="n">
        <f aca="false">IF(L$4=1,Inputs!$E$25*Inputs!$E$49,0)</f>
        <v>0</v>
      </c>
      <c r="M63" s="69" t="n">
        <f aca="false">IF(M$4=1,Inputs!$E$25*Inputs!$E$49,0)</f>
        <v>0</v>
      </c>
      <c r="N63" s="69" t="n">
        <f aca="false">IF(N$4=1,Inputs!$E$25*Inputs!$E$49,0)</f>
        <v>0</v>
      </c>
      <c r="O63" s="69" t="n">
        <f aca="false">IF(O$4=1,Inputs!$E$25*Inputs!$E$49,0)</f>
        <v>0</v>
      </c>
      <c r="P63" s="69" t="n">
        <f aca="false">IF(P$4=1,Inputs!$E$25*Inputs!$E$49,0)</f>
        <v>0</v>
      </c>
      <c r="Q63" s="69" t="n">
        <f aca="false">IF(Q$4=1,Inputs!$E$25*Inputs!$E$49,0)</f>
        <v>0</v>
      </c>
      <c r="R63" s="69" t="n">
        <f aca="false">IF(R$4=1,Inputs!$E$25*Inputs!$E$49,0)</f>
        <v>0</v>
      </c>
      <c r="S63" s="69" t="n">
        <f aca="false">IF(S$4=1,Inputs!$E$25*Inputs!$E$49,0)</f>
        <v>0</v>
      </c>
      <c r="T63" s="69" t="n">
        <f aca="false">IF(T$4=1,Inputs!$E$25*Inputs!$E$49,0)</f>
        <v>0</v>
      </c>
      <c r="U63" s="69" t="n">
        <f aca="false">IF(U$4=1,Inputs!$E$25*Inputs!$E$49,0)</f>
        <v>0</v>
      </c>
      <c r="V63" s="69" t="n">
        <f aca="false">IF(V$4=1,Inputs!$E$25*Inputs!$E$49,0)</f>
        <v>0</v>
      </c>
      <c r="W63" s="69" t="n">
        <f aca="false">IF(W$4=1,Inputs!$E$25*Inputs!$E$49,0)</f>
        <v>0</v>
      </c>
      <c r="X63" s="69" t="n">
        <f aca="false">IF(X$4=1,Inputs!$E$25*Inputs!$E$49,0)</f>
        <v>0</v>
      </c>
      <c r="Y63" s="69" t="n">
        <f aca="false">IF(Y$4=1,Inputs!$E$25*Inputs!$E$49,0)</f>
        <v>0</v>
      </c>
      <c r="Z63" s="69" t="n">
        <f aca="false">IF(Z$4=1,Inputs!$E$25*Inputs!$E$49,0)</f>
        <v>0</v>
      </c>
      <c r="AA63" s="69" t="n">
        <f aca="false">IF(AA$4=1,Inputs!$E$25*Inputs!$E$49,0)</f>
        <v>0</v>
      </c>
      <c r="AB63" s="69" t="n">
        <f aca="false">IF(AB$4=1,Inputs!$E$25*Inputs!$E$49,0)</f>
        <v>0</v>
      </c>
      <c r="AC63" s="69" t="n">
        <f aca="false">IF(AC$4=1,Inputs!$E$25*Inputs!$E$49,0)</f>
        <v>0</v>
      </c>
      <c r="AD63" s="69" t="n">
        <f aca="false">IF(AD$4=1,Inputs!$E$25*Inputs!$E$49,0)</f>
        <v>0</v>
      </c>
      <c r="AE63" s="69" t="n">
        <f aca="false">IF(AE$4=1,Inputs!$E$25*Inputs!$E$49,0)</f>
        <v>0</v>
      </c>
      <c r="AF63" s="69" t="n">
        <f aca="false">IF(AF$4=1,Inputs!$E$25*Inputs!$E$49,0)</f>
        <v>0</v>
      </c>
      <c r="AG63" s="69" t="n">
        <f aca="false">IF(AG$4=1,Inputs!$E$25*Inputs!$E$49,0)</f>
        <v>0</v>
      </c>
      <c r="AH63" s="69" t="n">
        <f aca="false">IF(AH$4=1,Inputs!$E$25*Inputs!$E$49,0)</f>
        <v>0</v>
      </c>
      <c r="AI63" s="69" t="n">
        <f aca="false">IF(AI$4=1,Inputs!$E$25*Inputs!$E$49,0)</f>
        <v>0</v>
      </c>
      <c r="AJ63" s="69" t="n">
        <f aca="false">IF(AJ$4=1,Inputs!$E$25*Inputs!$E$49,0)</f>
        <v>0</v>
      </c>
      <c r="AK63" s="69" t="n">
        <f aca="false">IF(AK$4=1,Inputs!$E$25*Inputs!$E$49,0)</f>
        <v>0</v>
      </c>
      <c r="AL63" s="69" t="n">
        <f aca="false">IF(AL$4=1,Inputs!$E$25*Inputs!$E$49,0)</f>
        <v>0</v>
      </c>
    </row>
    <row r="64" customFormat="false" ht="15" hidden="false" customHeight="false" outlineLevel="0" collapsed="false">
      <c r="A64" s="6" t="s">
        <v>409</v>
      </c>
      <c r="C64" s="69" t="n">
        <f aca="false">IF(C$4=1,Inputs!$E$50,0)</f>
        <v>90000</v>
      </c>
      <c r="D64" s="69" t="n">
        <f aca="false">IF(D$4=1,Inputs!$E$50,0)</f>
        <v>0</v>
      </c>
      <c r="E64" s="69" t="n">
        <f aca="false">IF(E$4=1,Inputs!$E$50,0)</f>
        <v>0</v>
      </c>
      <c r="F64" s="69" t="n">
        <f aca="false">IF(F$4=1,Inputs!$E$50,0)</f>
        <v>0</v>
      </c>
      <c r="G64" s="69" t="n">
        <f aca="false">IF(G$4=1,Inputs!$E$50,0)</f>
        <v>0</v>
      </c>
      <c r="H64" s="69" t="n">
        <f aca="false">IF(H$4=1,Inputs!$E$50,0)</f>
        <v>0</v>
      </c>
      <c r="I64" s="69" t="n">
        <f aca="false">IF(I$4=1,Inputs!$E$50,0)</f>
        <v>0</v>
      </c>
      <c r="J64" s="69" t="n">
        <f aca="false">IF(J$4=1,Inputs!$E$50,0)</f>
        <v>0</v>
      </c>
      <c r="K64" s="69" t="n">
        <f aca="false">IF(K$4=1,Inputs!$E$50,0)</f>
        <v>0</v>
      </c>
      <c r="L64" s="69" t="n">
        <f aca="false">IF(L$4=1,Inputs!$E$50,0)</f>
        <v>0</v>
      </c>
      <c r="M64" s="69" t="n">
        <f aca="false">IF(M$4=1,Inputs!$E$50,0)</f>
        <v>0</v>
      </c>
      <c r="N64" s="69" t="n">
        <f aca="false">IF(N$4=1,Inputs!$E$50,0)</f>
        <v>0</v>
      </c>
      <c r="O64" s="69" t="n">
        <f aca="false">IF(O$4=1,Inputs!$E$50,0)</f>
        <v>0</v>
      </c>
      <c r="P64" s="69" t="n">
        <f aca="false">IF(P$4=1,Inputs!$E$50,0)</f>
        <v>0</v>
      </c>
      <c r="Q64" s="69" t="n">
        <f aca="false">IF(Q$4=1,Inputs!$E$50,0)</f>
        <v>0</v>
      </c>
      <c r="R64" s="69" t="n">
        <f aca="false">IF(R$4=1,Inputs!$E$50,0)</f>
        <v>0</v>
      </c>
      <c r="S64" s="69" t="n">
        <f aca="false">IF(S$4=1,Inputs!$E$50,0)</f>
        <v>0</v>
      </c>
      <c r="T64" s="69" t="n">
        <f aca="false">IF(T$4=1,Inputs!$E$50,0)</f>
        <v>0</v>
      </c>
      <c r="U64" s="69" t="n">
        <f aca="false">IF(U$4=1,Inputs!$E$50,0)</f>
        <v>0</v>
      </c>
      <c r="V64" s="69" t="n">
        <f aca="false">IF(V$4=1,Inputs!$E$50,0)</f>
        <v>0</v>
      </c>
      <c r="W64" s="69" t="n">
        <f aca="false">IF(W$4=1,Inputs!$E$50,0)</f>
        <v>0</v>
      </c>
      <c r="X64" s="69" t="n">
        <f aca="false">IF(X$4=1,Inputs!$E$50,0)</f>
        <v>0</v>
      </c>
      <c r="Y64" s="69" t="n">
        <f aca="false">IF(Y$4=1,Inputs!$E$50,0)</f>
        <v>0</v>
      </c>
      <c r="Z64" s="69" t="n">
        <f aca="false">IF(Z$4=1,Inputs!$E$50,0)</f>
        <v>0</v>
      </c>
      <c r="AA64" s="69" t="n">
        <f aca="false">IF(AA$4=1,Inputs!$E$50,0)</f>
        <v>0</v>
      </c>
      <c r="AB64" s="69" t="n">
        <f aca="false">IF(AB$4=1,Inputs!$E$50,0)</f>
        <v>0</v>
      </c>
      <c r="AC64" s="69" t="n">
        <f aca="false">IF(AC$4=1,Inputs!$E$50,0)</f>
        <v>0</v>
      </c>
      <c r="AD64" s="69" t="n">
        <f aca="false">IF(AD$4=1,Inputs!$E$50,0)</f>
        <v>0</v>
      </c>
      <c r="AE64" s="69" t="n">
        <f aca="false">IF(AE$4=1,Inputs!$E$50,0)</f>
        <v>0</v>
      </c>
      <c r="AF64" s="69" t="n">
        <f aca="false">IF(AF$4=1,Inputs!$E$50,0)</f>
        <v>0</v>
      </c>
      <c r="AG64" s="69" t="n">
        <f aca="false">IF(AG$4=1,Inputs!$E$50,0)</f>
        <v>0</v>
      </c>
      <c r="AH64" s="69" t="n">
        <f aca="false">IF(AH$4=1,Inputs!$E$50,0)</f>
        <v>0</v>
      </c>
      <c r="AI64" s="69" t="n">
        <f aca="false">IF(AI$4=1,Inputs!$E$50,0)</f>
        <v>0</v>
      </c>
      <c r="AJ64" s="69" t="n">
        <f aca="false">IF(AJ$4=1,Inputs!$E$50,0)</f>
        <v>0</v>
      </c>
      <c r="AK64" s="69" t="n">
        <f aca="false">IF(AK$4=1,Inputs!$E$50,0)</f>
        <v>0</v>
      </c>
      <c r="AL64" s="69" t="n">
        <f aca="false">IF(AL$4=1,Inputs!$E$50,0)</f>
        <v>0</v>
      </c>
    </row>
    <row r="65" customFormat="false" ht="15" hidden="false" customHeight="false" outlineLevel="0" collapsed="false">
      <c r="A65" s="6" t="s">
        <v>410</v>
      </c>
      <c r="C65" s="69" t="n">
        <f aca="false">IF(C$4=1,Inputs!$E$51,0)</f>
        <v>0</v>
      </c>
      <c r="D65" s="69" t="n">
        <f aca="false">IF(D$4=1,Inputs!$E$51,0)</f>
        <v>0</v>
      </c>
      <c r="E65" s="69" t="n">
        <f aca="false">IF(E$4=1,Inputs!$E$51,0)</f>
        <v>0</v>
      </c>
      <c r="F65" s="69" t="n">
        <f aca="false">IF(F$4=1,Inputs!$E$51,0)</f>
        <v>0</v>
      </c>
      <c r="G65" s="69" t="n">
        <f aca="false">IF(G$4=1,Inputs!$E$51,0)</f>
        <v>0</v>
      </c>
      <c r="H65" s="69" t="n">
        <f aca="false">IF(H$4=1,Inputs!$E$51,0)</f>
        <v>0</v>
      </c>
      <c r="I65" s="69" t="n">
        <f aca="false">IF(I$4=1,Inputs!$E$51,0)</f>
        <v>0</v>
      </c>
      <c r="J65" s="69" t="n">
        <f aca="false">IF(J$4=1,Inputs!$E$51,0)</f>
        <v>0</v>
      </c>
      <c r="K65" s="69" t="n">
        <f aca="false">IF(K$4=1,Inputs!$E$51,0)</f>
        <v>0</v>
      </c>
      <c r="L65" s="69" t="n">
        <f aca="false">IF(L$4=1,Inputs!$E$51,0)</f>
        <v>0</v>
      </c>
      <c r="M65" s="69" t="n">
        <f aca="false">IF(M$4=1,Inputs!$E$51,0)</f>
        <v>0</v>
      </c>
      <c r="N65" s="69" t="n">
        <f aca="false">IF(N$4=1,Inputs!$E$51,0)</f>
        <v>0</v>
      </c>
      <c r="O65" s="69" t="n">
        <f aca="false">IF(O$4=1,Inputs!$E$51,0)</f>
        <v>0</v>
      </c>
      <c r="P65" s="69" t="n">
        <f aca="false">IF(P$4=1,Inputs!$E$51,0)</f>
        <v>0</v>
      </c>
      <c r="Q65" s="69" t="n">
        <f aca="false">IF(Q$4=1,Inputs!$E$51,0)</f>
        <v>0</v>
      </c>
      <c r="R65" s="69" t="n">
        <f aca="false">IF(R$4=1,Inputs!$E$51,0)</f>
        <v>0</v>
      </c>
      <c r="S65" s="69" t="n">
        <f aca="false">IF(S$4=1,Inputs!$E$51,0)</f>
        <v>0</v>
      </c>
      <c r="T65" s="69" t="n">
        <f aca="false">IF(T$4=1,Inputs!$E$51,0)</f>
        <v>0</v>
      </c>
      <c r="U65" s="69" t="n">
        <f aca="false">IF(U$4=1,Inputs!$E$51,0)</f>
        <v>0</v>
      </c>
      <c r="V65" s="69" t="n">
        <f aca="false">IF(V$4=1,Inputs!$E$51,0)</f>
        <v>0</v>
      </c>
      <c r="W65" s="69" t="n">
        <f aca="false">IF(W$4=1,Inputs!$E$51,0)</f>
        <v>0</v>
      </c>
      <c r="X65" s="69" t="n">
        <f aca="false">IF(X$4=1,Inputs!$E$51,0)</f>
        <v>0</v>
      </c>
      <c r="Y65" s="69" t="n">
        <f aca="false">IF(Y$4=1,Inputs!$E$51,0)</f>
        <v>0</v>
      </c>
      <c r="Z65" s="69" t="n">
        <f aca="false">IF(Z$4=1,Inputs!$E$51,0)</f>
        <v>0</v>
      </c>
      <c r="AA65" s="69" t="n">
        <f aca="false">IF(AA$4=1,Inputs!$E$51,0)</f>
        <v>0</v>
      </c>
      <c r="AB65" s="69" t="n">
        <f aca="false">IF(AB$4=1,Inputs!$E$51,0)</f>
        <v>0</v>
      </c>
      <c r="AC65" s="69" t="n">
        <f aca="false">IF(AC$4=1,Inputs!$E$51,0)</f>
        <v>0</v>
      </c>
      <c r="AD65" s="69" t="n">
        <f aca="false">IF(AD$4=1,Inputs!$E$51,0)</f>
        <v>0</v>
      </c>
      <c r="AE65" s="69" t="n">
        <f aca="false">IF(AE$4=1,Inputs!$E$51,0)</f>
        <v>0</v>
      </c>
      <c r="AF65" s="69" t="n">
        <f aca="false">IF(AF$4=1,Inputs!$E$51,0)</f>
        <v>0</v>
      </c>
      <c r="AG65" s="69" t="n">
        <f aca="false">IF(AG$4=1,Inputs!$E$51,0)</f>
        <v>0</v>
      </c>
      <c r="AH65" s="69" t="n">
        <f aca="false">IF(AH$4=1,Inputs!$E$51,0)</f>
        <v>0</v>
      </c>
      <c r="AI65" s="69" t="n">
        <f aca="false">IF(AI$4=1,Inputs!$E$51,0)</f>
        <v>0</v>
      </c>
      <c r="AJ65" s="69" t="n">
        <f aca="false">IF(AJ$4=1,Inputs!$E$51,0)</f>
        <v>0</v>
      </c>
      <c r="AK65" s="69" t="n">
        <f aca="false">IF(AK$4=1,Inputs!$E$51,0)</f>
        <v>0</v>
      </c>
      <c r="AL65" s="69" t="n">
        <f aca="false">IF(AL$4=1,Inputs!$E$51,0)</f>
        <v>0</v>
      </c>
    </row>
    <row r="66" customFormat="false" ht="15" hidden="false" customHeight="false" outlineLevel="0" collapsed="false">
      <c r="A66" s="6" t="s">
        <v>411</v>
      </c>
      <c r="C66" s="69" t="n">
        <f aca="false">IF(AND(C$5&gt;1,MOD(C$4-1,12)=0),Inputs!$E$52,0)</f>
        <v>0</v>
      </c>
      <c r="D66" s="69" t="n">
        <f aca="false">IF(AND(D$5&gt;1,MOD(D$4-1,12)=0),Inputs!$E$52,0)</f>
        <v>0</v>
      </c>
      <c r="E66" s="69" t="n">
        <f aca="false">IF(AND(E$5&gt;1,MOD(E$4-1,12)=0),Inputs!$E$52,0)</f>
        <v>0</v>
      </c>
      <c r="F66" s="69" t="n">
        <f aca="false">IF(AND(F$5&gt;1,MOD(F$4-1,12)=0),Inputs!$E$52,0)</f>
        <v>0</v>
      </c>
      <c r="G66" s="69" t="n">
        <f aca="false">IF(AND(G$5&gt;1,MOD(G$4-1,12)=0),Inputs!$E$52,0)</f>
        <v>0</v>
      </c>
      <c r="H66" s="69" t="n">
        <f aca="false">IF(AND(H$5&gt;1,MOD(H$4-1,12)=0),Inputs!$E$52,0)</f>
        <v>0</v>
      </c>
      <c r="I66" s="69" t="n">
        <f aca="false">IF(AND(I$5&gt;1,MOD(I$4-1,12)=0),Inputs!$E$52,0)</f>
        <v>0</v>
      </c>
      <c r="J66" s="69" t="n">
        <f aca="false">IF(AND(J$5&gt;1,MOD(J$4-1,12)=0),Inputs!$E$52,0)</f>
        <v>0</v>
      </c>
      <c r="K66" s="69" t="n">
        <f aca="false">IF(AND(K$5&gt;1,MOD(K$4-1,12)=0),Inputs!$E$52,0)</f>
        <v>0</v>
      </c>
      <c r="L66" s="69" t="n">
        <f aca="false">IF(AND(L$5&gt;1,MOD(L$4-1,12)=0),Inputs!$E$52,0)</f>
        <v>0</v>
      </c>
      <c r="M66" s="69" t="n">
        <f aca="false">IF(AND(M$5&gt;1,MOD(M$4-1,12)=0),Inputs!$E$52,0)</f>
        <v>0</v>
      </c>
      <c r="N66" s="69" t="n">
        <f aca="false">IF(AND(N$5&gt;1,MOD(N$4-1,12)=0),Inputs!$E$52,0)</f>
        <v>0</v>
      </c>
      <c r="O66" s="69" t="n">
        <f aca="false">IF(AND(O$5&gt;1,MOD(O$4-1,12)=0),Inputs!$E$52,0)</f>
        <v>10000</v>
      </c>
      <c r="P66" s="69" t="n">
        <f aca="false">IF(AND(P$5&gt;1,MOD(P$4-1,12)=0),Inputs!$E$52,0)</f>
        <v>0</v>
      </c>
      <c r="Q66" s="69" t="n">
        <f aca="false">IF(AND(Q$5&gt;1,MOD(Q$4-1,12)=0),Inputs!$E$52,0)</f>
        <v>0</v>
      </c>
      <c r="R66" s="69" t="n">
        <f aca="false">IF(AND(R$5&gt;1,MOD(R$4-1,12)=0),Inputs!$E$52,0)</f>
        <v>0</v>
      </c>
      <c r="S66" s="69" t="n">
        <f aca="false">IF(AND(S$5&gt;1,MOD(S$4-1,12)=0),Inputs!$E$52,0)</f>
        <v>0</v>
      </c>
      <c r="T66" s="69" t="n">
        <f aca="false">IF(AND(T$5&gt;1,MOD(T$4-1,12)=0),Inputs!$E$52,0)</f>
        <v>0</v>
      </c>
      <c r="U66" s="69" t="n">
        <f aca="false">IF(AND(U$5&gt;1,MOD(U$4-1,12)=0),Inputs!$E$52,0)</f>
        <v>0</v>
      </c>
      <c r="V66" s="69" t="n">
        <f aca="false">IF(AND(V$5&gt;1,MOD(V$4-1,12)=0),Inputs!$E$52,0)</f>
        <v>0</v>
      </c>
      <c r="W66" s="69" t="n">
        <f aca="false">IF(AND(W$5&gt;1,MOD(W$4-1,12)=0),Inputs!$E$52,0)</f>
        <v>0</v>
      </c>
      <c r="X66" s="69" t="n">
        <f aca="false">IF(AND(X$5&gt;1,MOD(X$4-1,12)=0),Inputs!$E$52,0)</f>
        <v>0</v>
      </c>
      <c r="Y66" s="69" t="n">
        <f aca="false">IF(AND(Y$5&gt;1,MOD(Y$4-1,12)=0),Inputs!$E$52,0)</f>
        <v>0</v>
      </c>
      <c r="Z66" s="69" t="n">
        <f aca="false">IF(AND(Z$5&gt;1,MOD(Z$4-1,12)=0),Inputs!$E$52,0)</f>
        <v>0</v>
      </c>
      <c r="AA66" s="69" t="n">
        <f aca="false">IF(AND(AA$5&gt;1,MOD(AA$4-1,12)=0),Inputs!$E$52,0)</f>
        <v>10000</v>
      </c>
      <c r="AB66" s="69" t="n">
        <f aca="false">IF(AND(AB$5&gt;1,MOD(AB$4-1,12)=0),Inputs!$E$52,0)</f>
        <v>0</v>
      </c>
      <c r="AC66" s="69" t="n">
        <f aca="false">IF(AND(AC$5&gt;1,MOD(AC$4-1,12)=0),Inputs!$E$52,0)</f>
        <v>0</v>
      </c>
      <c r="AD66" s="69" t="n">
        <f aca="false">IF(AND(AD$5&gt;1,MOD(AD$4-1,12)=0),Inputs!$E$52,0)</f>
        <v>0</v>
      </c>
      <c r="AE66" s="69" t="n">
        <f aca="false">IF(AND(AE$5&gt;1,MOD(AE$4-1,12)=0),Inputs!$E$52,0)</f>
        <v>0</v>
      </c>
      <c r="AF66" s="69" t="n">
        <f aca="false">IF(AND(AF$5&gt;1,MOD(AF$4-1,12)=0),Inputs!$E$52,0)</f>
        <v>0</v>
      </c>
      <c r="AG66" s="69" t="n">
        <f aca="false">IF(AND(AG$5&gt;1,MOD(AG$4-1,12)=0),Inputs!$E$52,0)</f>
        <v>0</v>
      </c>
      <c r="AH66" s="69" t="n">
        <f aca="false">IF(AND(AH$5&gt;1,MOD(AH$4-1,12)=0),Inputs!$E$52,0)</f>
        <v>0</v>
      </c>
      <c r="AI66" s="69" t="n">
        <f aca="false">IF(AND(AI$5&gt;1,MOD(AI$4-1,12)=0),Inputs!$E$52,0)</f>
        <v>0</v>
      </c>
      <c r="AJ66" s="69" t="n">
        <f aca="false">IF(AND(AJ$5&gt;1,MOD(AJ$4-1,12)=0),Inputs!$E$52,0)</f>
        <v>0</v>
      </c>
      <c r="AK66" s="69" t="n">
        <f aca="false">IF(AND(AK$5&gt;1,MOD(AK$4-1,12)=0),Inputs!$E$52,0)</f>
        <v>0</v>
      </c>
      <c r="AL66" s="69" t="n">
        <f aca="false">IF(AND(AL$5&gt;1,MOD(AL$4-1,12)=0),Inputs!$E$52,0)</f>
        <v>0</v>
      </c>
    </row>
    <row r="67" customFormat="false" ht="15" hidden="false" customHeight="false" outlineLevel="0" collapsed="false">
      <c r="A67" s="4" t="s">
        <v>84</v>
      </c>
      <c r="C67" s="75" t="n">
        <f aca="false">C62+C63+C64+C65+C66</f>
        <v>189000</v>
      </c>
      <c r="D67" s="75" t="n">
        <f aca="false">D62+D63+D64+D65+D66</f>
        <v>0</v>
      </c>
      <c r="E67" s="75" t="n">
        <f aca="false">E62+E63+E64+E65+E66</f>
        <v>0</v>
      </c>
      <c r="F67" s="75" t="n">
        <f aca="false">F62+F63+F64+F65+F66</f>
        <v>0</v>
      </c>
      <c r="G67" s="75" t="n">
        <f aca="false">G62+G63+G64+G65+G66</f>
        <v>0</v>
      </c>
      <c r="H67" s="75" t="n">
        <f aca="false">H62+H63+H64+H65+H66</f>
        <v>0</v>
      </c>
      <c r="I67" s="75" t="n">
        <f aca="false">I62+I63+I64+I65+I66</f>
        <v>0</v>
      </c>
      <c r="J67" s="75" t="n">
        <f aca="false">J62+J63+J64+J65+J66</f>
        <v>0</v>
      </c>
      <c r="K67" s="75" t="n">
        <f aca="false">K62+K63+K64+K65+K66</f>
        <v>0</v>
      </c>
      <c r="L67" s="75" t="n">
        <f aca="false">L62+L63+L64+L65+L66</f>
        <v>0</v>
      </c>
      <c r="M67" s="75" t="n">
        <f aca="false">M62+M63+M64+M65+M66</f>
        <v>0</v>
      </c>
      <c r="N67" s="75" t="n">
        <f aca="false">N62+N63+N64+N65+N66</f>
        <v>0</v>
      </c>
      <c r="O67" s="75" t="n">
        <f aca="false">O62+O63+O64+O65+O66</f>
        <v>10000</v>
      </c>
      <c r="P67" s="75" t="n">
        <f aca="false">P62+P63+P64+P65+P66</f>
        <v>0</v>
      </c>
      <c r="Q67" s="75" t="n">
        <f aca="false">Q62+Q63+Q64+Q65+Q66</f>
        <v>0</v>
      </c>
      <c r="R67" s="75" t="n">
        <f aca="false">R62+R63+R64+R65+R66</f>
        <v>0</v>
      </c>
      <c r="S67" s="75" t="n">
        <f aca="false">S62+S63+S64+S65+S66</f>
        <v>0</v>
      </c>
      <c r="T67" s="75" t="n">
        <f aca="false">T62+T63+T64+T65+T66</f>
        <v>0</v>
      </c>
      <c r="U67" s="75" t="n">
        <f aca="false">U62+U63+U64+U65+U66</f>
        <v>0</v>
      </c>
      <c r="V67" s="75" t="n">
        <f aca="false">V62+V63+V64+V65+V66</f>
        <v>0</v>
      </c>
      <c r="W67" s="75" t="n">
        <f aca="false">W62+W63+W64+W65+W66</f>
        <v>0</v>
      </c>
      <c r="X67" s="75" t="n">
        <f aca="false">X62+X63+X64+X65+X66</f>
        <v>0</v>
      </c>
      <c r="Y67" s="75" t="n">
        <f aca="false">Y62+Y63+Y64+Y65+Y66</f>
        <v>0</v>
      </c>
      <c r="Z67" s="75" t="n">
        <f aca="false">Z62+Z63+Z64+Z65+Z66</f>
        <v>0</v>
      </c>
      <c r="AA67" s="75" t="n">
        <f aca="false">AA62+AA63+AA64+AA65+AA66</f>
        <v>10000</v>
      </c>
      <c r="AB67" s="75" t="n">
        <f aca="false">AB62+AB63+AB64+AB65+AB66</f>
        <v>0</v>
      </c>
      <c r="AC67" s="75" t="n">
        <f aca="false">AC62+AC63+AC64+AC65+AC66</f>
        <v>0</v>
      </c>
      <c r="AD67" s="75" t="n">
        <f aca="false">AD62+AD63+AD64+AD65+AD66</f>
        <v>0</v>
      </c>
      <c r="AE67" s="75" t="n">
        <f aca="false">AE62+AE63+AE64+AE65+AE66</f>
        <v>0</v>
      </c>
      <c r="AF67" s="75" t="n">
        <f aca="false">AF62+AF63+AF64+AF65+AF66</f>
        <v>0</v>
      </c>
      <c r="AG67" s="75" t="n">
        <f aca="false">AG62+AG63+AG64+AG65+AG66</f>
        <v>0</v>
      </c>
      <c r="AH67" s="75" t="n">
        <f aca="false">AH62+AH63+AH64+AH65+AH66</f>
        <v>0</v>
      </c>
      <c r="AI67" s="75" t="n">
        <f aca="false">AI62+AI63+AI64+AI65+AI66</f>
        <v>0</v>
      </c>
      <c r="AJ67" s="75" t="n">
        <f aca="false">AJ62+AJ63+AJ64+AJ65+AJ66</f>
        <v>0</v>
      </c>
      <c r="AK67" s="75" t="n">
        <f aca="false">AK62+AK63+AK64+AK65+AK66</f>
        <v>0</v>
      </c>
      <c r="AL67" s="75" t="n">
        <f aca="false">AL62+AL63+AL64+AL65+AL66</f>
        <v>0</v>
      </c>
    </row>
    <row r="68" customFormat="false" ht="15" hidden="false" customHeight="false" outlineLevel="0" collapsed="false">
      <c r="A68" s="6" t="s">
        <v>412</v>
      </c>
      <c r="C68" s="69" t="n">
        <f aca="false">C67</f>
        <v>189000</v>
      </c>
      <c r="D68" s="69" t="n">
        <f aca="false">C68+D67</f>
        <v>189000</v>
      </c>
      <c r="E68" s="69" t="n">
        <f aca="false">D68+E67</f>
        <v>189000</v>
      </c>
      <c r="F68" s="69" t="n">
        <f aca="false">E68+F67</f>
        <v>189000</v>
      </c>
      <c r="G68" s="69" t="n">
        <f aca="false">F68+G67</f>
        <v>189000</v>
      </c>
      <c r="H68" s="69" t="n">
        <f aca="false">G68+H67</f>
        <v>189000</v>
      </c>
      <c r="I68" s="69" t="n">
        <f aca="false">H68+I67</f>
        <v>189000</v>
      </c>
      <c r="J68" s="69" t="n">
        <f aca="false">I68+J67</f>
        <v>189000</v>
      </c>
      <c r="K68" s="69" t="n">
        <f aca="false">J68+K67</f>
        <v>189000</v>
      </c>
      <c r="L68" s="69" t="n">
        <f aca="false">K68+L67</f>
        <v>189000</v>
      </c>
      <c r="M68" s="69" t="n">
        <f aca="false">L68+M67</f>
        <v>189000</v>
      </c>
      <c r="N68" s="69" t="n">
        <f aca="false">M68+N67</f>
        <v>189000</v>
      </c>
      <c r="O68" s="69" t="n">
        <f aca="false">N68+O67</f>
        <v>199000</v>
      </c>
      <c r="P68" s="69" t="n">
        <f aca="false">O68+P67</f>
        <v>199000</v>
      </c>
      <c r="Q68" s="69" t="n">
        <f aca="false">P68+Q67</f>
        <v>199000</v>
      </c>
      <c r="R68" s="69" t="n">
        <f aca="false">Q68+R67</f>
        <v>199000</v>
      </c>
      <c r="S68" s="69" t="n">
        <f aca="false">R68+S67</f>
        <v>199000</v>
      </c>
      <c r="T68" s="69" t="n">
        <f aca="false">S68+T67</f>
        <v>199000</v>
      </c>
      <c r="U68" s="69" t="n">
        <f aca="false">T68+U67</f>
        <v>199000</v>
      </c>
      <c r="V68" s="69" t="n">
        <f aca="false">U68+V67</f>
        <v>199000</v>
      </c>
      <c r="W68" s="69" t="n">
        <f aca="false">V68+W67</f>
        <v>199000</v>
      </c>
      <c r="X68" s="69" t="n">
        <f aca="false">W68+X67</f>
        <v>199000</v>
      </c>
      <c r="Y68" s="69" t="n">
        <f aca="false">X68+Y67</f>
        <v>199000</v>
      </c>
      <c r="Z68" s="69" t="n">
        <f aca="false">Y68+Z67</f>
        <v>199000</v>
      </c>
      <c r="AA68" s="69" t="n">
        <f aca="false">Z68+AA67</f>
        <v>209000</v>
      </c>
      <c r="AB68" s="69" t="n">
        <f aca="false">AA68+AB67</f>
        <v>209000</v>
      </c>
      <c r="AC68" s="69" t="n">
        <f aca="false">AB68+AC67</f>
        <v>209000</v>
      </c>
      <c r="AD68" s="69" t="n">
        <f aca="false">AC68+AD67</f>
        <v>209000</v>
      </c>
      <c r="AE68" s="69" t="n">
        <f aca="false">AD68+AE67</f>
        <v>209000</v>
      </c>
      <c r="AF68" s="69" t="n">
        <f aca="false">AE68+AF67</f>
        <v>209000</v>
      </c>
      <c r="AG68" s="69" t="n">
        <f aca="false">AF68+AG67</f>
        <v>209000</v>
      </c>
      <c r="AH68" s="69" t="n">
        <f aca="false">AG68+AH67</f>
        <v>209000</v>
      </c>
      <c r="AI68" s="69" t="n">
        <f aca="false">AH68+AI67</f>
        <v>209000</v>
      </c>
      <c r="AJ68" s="69" t="n">
        <f aca="false">AI68+AJ67</f>
        <v>209000</v>
      </c>
      <c r="AK68" s="69" t="n">
        <f aca="false">AJ68+AK67</f>
        <v>209000</v>
      </c>
      <c r="AL68" s="69" t="n">
        <f aca="false">AK68+AL67</f>
        <v>209000</v>
      </c>
    </row>
    <row r="69" customFormat="false" ht="15" hidden="false" customHeight="false" outlineLevel="0" collapsed="false">
      <c r="A69" s="6" t="s">
        <v>413</v>
      </c>
      <c r="C69" s="69" t="n">
        <f aca="false">C65</f>
        <v>0</v>
      </c>
      <c r="D69" s="69" t="n">
        <f aca="false">C69+D65</f>
        <v>0</v>
      </c>
      <c r="E69" s="69" t="n">
        <f aca="false">D69+E65</f>
        <v>0</v>
      </c>
      <c r="F69" s="69" t="n">
        <f aca="false">E69+F65</f>
        <v>0</v>
      </c>
      <c r="G69" s="69" t="n">
        <f aca="false">F69+G65</f>
        <v>0</v>
      </c>
      <c r="H69" s="69" t="n">
        <f aca="false">G69+H65</f>
        <v>0</v>
      </c>
      <c r="I69" s="69" t="n">
        <f aca="false">H69+I65</f>
        <v>0</v>
      </c>
      <c r="J69" s="69" t="n">
        <f aca="false">I69+J65</f>
        <v>0</v>
      </c>
      <c r="K69" s="69" t="n">
        <f aca="false">J69+K65</f>
        <v>0</v>
      </c>
      <c r="L69" s="69" t="n">
        <f aca="false">K69+L65</f>
        <v>0</v>
      </c>
      <c r="M69" s="69" t="n">
        <f aca="false">L69+M65</f>
        <v>0</v>
      </c>
      <c r="N69" s="69" t="n">
        <f aca="false">M69+N65</f>
        <v>0</v>
      </c>
      <c r="O69" s="69" t="n">
        <f aca="false">N69+O65</f>
        <v>0</v>
      </c>
      <c r="P69" s="69" t="n">
        <f aca="false">O69+P65</f>
        <v>0</v>
      </c>
      <c r="Q69" s="69" t="n">
        <f aca="false">P69+Q65</f>
        <v>0</v>
      </c>
      <c r="R69" s="69" t="n">
        <f aca="false">Q69+R65</f>
        <v>0</v>
      </c>
      <c r="S69" s="69" t="n">
        <f aca="false">R69+S65</f>
        <v>0</v>
      </c>
      <c r="T69" s="69" t="n">
        <f aca="false">S69+T65</f>
        <v>0</v>
      </c>
      <c r="U69" s="69" t="n">
        <f aca="false">T69+U65</f>
        <v>0</v>
      </c>
      <c r="V69" s="69" t="n">
        <f aca="false">U69+V65</f>
        <v>0</v>
      </c>
      <c r="W69" s="69" t="n">
        <f aca="false">V69+W65</f>
        <v>0</v>
      </c>
      <c r="X69" s="69" t="n">
        <f aca="false">W69+X65</f>
        <v>0</v>
      </c>
      <c r="Y69" s="69" t="n">
        <f aca="false">X69+Y65</f>
        <v>0</v>
      </c>
      <c r="Z69" s="69" t="n">
        <f aca="false">Y69+Z65</f>
        <v>0</v>
      </c>
      <c r="AA69" s="69" t="n">
        <f aca="false">Z69+AA65</f>
        <v>0</v>
      </c>
      <c r="AB69" s="69" t="n">
        <f aca="false">AA69+AB65</f>
        <v>0</v>
      </c>
      <c r="AC69" s="69" t="n">
        <f aca="false">AB69+AC65</f>
        <v>0</v>
      </c>
      <c r="AD69" s="69" t="n">
        <f aca="false">AC69+AD65</f>
        <v>0</v>
      </c>
      <c r="AE69" s="69" t="n">
        <f aca="false">AD69+AE65</f>
        <v>0</v>
      </c>
      <c r="AF69" s="69" t="n">
        <f aca="false">AE69+AF65</f>
        <v>0</v>
      </c>
      <c r="AG69" s="69" t="n">
        <f aca="false">AF69+AG65</f>
        <v>0</v>
      </c>
      <c r="AH69" s="69" t="n">
        <f aca="false">AG69+AH65</f>
        <v>0</v>
      </c>
      <c r="AI69" s="69" t="n">
        <f aca="false">AH69+AI65</f>
        <v>0</v>
      </c>
      <c r="AJ69" s="69" t="n">
        <f aca="false">AI69+AJ65</f>
        <v>0</v>
      </c>
      <c r="AK69" s="69" t="n">
        <f aca="false">AJ69+AK65</f>
        <v>0</v>
      </c>
      <c r="AL69" s="69" t="n">
        <f aca="false">AK69+AL65</f>
        <v>0</v>
      </c>
    </row>
    <row r="70" customFormat="false" ht="15" hidden="false" customHeight="false" outlineLevel="0" collapsed="false">
      <c r="A70" s="6" t="s">
        <v>78</v>
      </c>
      <c r="C70" s="69" t="n">
        <f aca="false">-MIN((C68-C69)/MAX(1,Inputs!$E$82*12),C67-C69)</f>
        <v>-1968.75</v>
      </c>
      <c r="D70" s="69" t="n">
        <f aca="false">-MIN((D68-D69)/MAX(1,Inputs!$E$82*12),C72+D67-D69)</f>
        <v>-1968.75</v>
      </c>
      <c r="E70" s="69" t="n">
        <f aca="false">-MIN((E68-E69)/MAX(1,Inputs!$E$82*12),D72+E67-E69)</f>
        <v>-1968.75</v>
      </c>
      <c r="F70" s="69" t="n">
        <f aca="false">-MIN((F68-F69)/MAX(1,Inputs!$E$82*12),E72+F67-F69)</f>
        <v>-1968.75</v>
      </c>
      <c r="G70" s="69" t="n">
        <f aca="false">-MIN((G68-G69)/MAX(1,Inputs!$E$82*12),F72+G67-G69)</f>
        <v>-1968.75</v>
      </c>
      <c r="H70" s="69" t="n">
        <f aca="false">-MIN((H68-H69)/MAX(1,Inputs!$E$82*12),G72+H67-H69)</f>
        <v>-1968.75</v>
      </c>
      <c r="I70" s="69" t="n">
        <f aca="false">-MIN((I68-I69)/MAX(1,Inputs!$E$82*12),H72+I67-I69)</f>
        <v>-1968.75</v>
      </c>
      <c r="J70" s="69" t="n">
        <f aca="false">-MIN((J68-J69)/MAX(1,Inputs!$E$82*12),I72+J67-J69)</f>
        <v>-1968.75</v>
      </c>
      <c r="K70" s="69" t="n">
        <f aca="false">-MIN((K68-K69)/MAX(1,Inputs!$E$82*12),J72+K67-K69)</f>
        <v>-1968.75</v>
      </c>
      <c r="L70" s="69" t="n">
        <f aca="false">-MIN((L68-L69)/MAX(1,Inputs!$E$82*12),K72+L67-L69)</f>
        <v>-1968.75</v>
      </c>
      <c r="M70" s="69" t="n">
        <f aca="false">-MIN((M68-M69)/MAX(1,Inputs!$E$82*12),L72+M67-M69)</f>
        <v>-1968.75</v>
      </c>
      <c r="N70" s="69" t="n">
        <f aca="false">-MIN((N68-N69)/MAX(1,Inputs!$E$82*12),M72+N67-N69)</f>
        <v>-1968.75</v>
      </c>
      <c r="O70" s="69" t="n">
        <f aca="false">-MIN((O68-O69)/MAX(1,Inputs!$E$82*12),N72+O67-O69)</f>
        <v>-2072.91666666667</v>
      </c>
      <c r="P70" s="69" t="n">
        <f aca="false">-MIN((P68-P69)/MAX(1,Inputs!$E$82*12),O72+P67-P69)</f>
        <v>-2072.91666666667</v>
      </c>
      <c r="Q70" s="69" t="n">
        <f aca="false">-MIN((Q68-Q69)/MAX(1,Inputs!$E$82*12),P72+Q67-Q69)</f>
        <v>-2072.91666666667</v>
      </c>
      <c r="R70" s="69" t="n">
        <f aca="false">-MIN((R68-R69)/MAX(1,Inputs!$E$82*12),Q72+R67-R69)</f>
        <v>-2072.91666666667</v>
      </c>
      <c r="S70" s="69" t="n">
        <f aca="false">-MIN((S68-S69)/MAX(1,Inputs!$E$82*12),R72+S67-S69)</f>
        <v>-2072.91666666667</v>
      </c>
      <c r="T70" s="69" t="n">
        <f aca="false">-MIN((T68-T69)/MAX(1,Inputs!$E$82*12),S72+T67-T69)</f>
        <v>-2072.91666666667</v>
      </c>
      <c r="U70" s="69" t="n">
        <f aca="false">-MIN((U68-U69)/MAX(1,Inputs!$E$82*12),T72+U67-U69)</f>
        <v>-2072.91666666667</v>
      </c>
      <c r="V70" s="69" t="n">
        <f aca="false">-MIN((V68-V69)/MAX(1,Inputs!$E$82*12),U72+V67-V69)</f>
        <v>-2072.91666666667</v>
      </c>
      <c r="W70" s="69" t="n">
        <f aca="false">-MIN((W68-W69)/MAX(1,Inputs!$E$82*12),V72+W67-W69)</f>
        <v>-2072.91666666667</v>
      </c>
      <c r="X70" s="69" t="n">
        <f aca="false">-MIN((X68-X69)/MAX(1,Inputs!$E$82*12),W72+X67-X69)</f>
        <v>-2072.91666666667</v>
      </c>
      <c r="Y70" s="69" t="n">
        <f aca="false">-MIN((Y68-Y69)/MAX(1,Inputs!$E$82*12),X72+Y67-Y69)</f>
        <v>-2072.91666666667</v>
      </c>
      <c r="Z70" s="69" t="n">
        <f aca="false">-MIN((Z68-Z69)/MAX(1,Inputs!$E$82*12),Y72+Z67-Z69)</f>
        <v>-2072.91666666667</v>
      </c>
      <c r="AA70" s="69" t="n">
        <f aca="false">-MIN((AA68-AA69)/MAX(1,Inputs!$E$82*12),Z72+AA67-AA69)</f>
        <v>-2177.08333333333</v>
      </c>
      <c r="AB70" s="69" t="n">
        <f aca="false">-MIN((AB68-AB69)/MAX(1,Inputs!$E$82*12),AA72+AB67-AB69)</f>
        <v>-2177.08333333333</v>
      </c>
      <c r="AC70" s="69" t="n">
        <f aca="false">-MIN((AC68-AC69)/MAX(1,Inputs!$E$82*12),AB72+AC67-AC69)</f>
        <v>-2177.08333333333</v>
      </c>
      <c r="AD70" s="69" t="n">
        <f aca="false">-MIN((AD68-AD69)/MAX(1,Inputs!$E$82*12),AC72+AD67-AD69)</f>
        <v>-2177.08333333333</v>
      </c>
      <c r="AE70" s="69" t="n">
        <f aca="false">-MIN((AE68-AE69)/MAX(1,Inputs!$E$82*12),AD72+AE67-AE69)</f>
        <v>-2177.08333333333</v>
      </c>
      <c r="AF70" s="69" t="n">
        <f aca="false">-MIN((AF68-AF69)/MAX(1,Inputs!$E$82*12),AE72+AF67-AF69)</f>
        <v>-2177.08333333333</v>
      </c>
      <c r="AG70" s="69" t="n">
        <f aca="false">-MIN((AG68-AG69)/MAX(1,Inputs!$E$82*12),AF72+AG67-AG69)</f>
        <v>-2177.08333333333</v>
      </c>
      <c r="AH70" s="69" t="n">
        <f aca="false">-MIN((AH68-AH69)/MAX(1,Inputs!$E$82*12),AG72+AH67-AH69)</f>
        <v>-2177.08333333333</v>
      </c>
      <c r="AI70" s="69" t="n">
        <f aca="false">-MIN((AI68-AI69)/MAX(1,Inputs!$E$82*12),AH72+AI67-AI69)</f>
        <v>-2177.08333333333</v>
      </c>
      <c r="AJ70" s="69" t="n">
        <f aca="false">-MIN((AJ68-AJ69)/MAX(1,Inputs!$E$82*12),AI72+AJ67-AJ69)</f>
        <v>-2177.08333333333</v>
      </c>
      <c r="AK70" s="69" t="n">
        <f aca="false">-MIN((AK68-AK69)/MAX(1,Inputs!$E$82*12),AJ72+AK67-AK69)</f>
        <v>-2177.08333333333</v>
      </c>
      <c r="AL70" s="69" t="n">
        <f aca="false">-MIN((AL68-AL69)/MAX(1,Inputs!$E$82*12),AK72+AL67-AL69)</f>
        <v>-2177.08333333333</v>
      </c>
    </row>
    <row r="71" customFormat="false" ht="15" hidden="false" customHeight="false" outlineLevel="0" collapsed="false">
      <c r="A71" s="6" t="s">
        <v>414</v>
      </c>
      <c r="C71" s="69" t="n">
        <f aca="false">C70</f>
        <v>-1968.75</v>
      </c>
      <c r="D71" s="69" t="n">
        <f aca="false">C71+D70</f>
        <v>-3937.5</v>
      </c>
      <c r="E71" s="69" t="n">
        <f aca="false">D71+E70</f>
        <v>-5906.25</v>
      </c>
      <c r="F71" s="69" t="n">
        <f aca="false">E71+F70</f>
        <v>-7875</v>
      </c>
      <c r="G71" s="69" t="n">
        <f aca="false">F71+G70</f>
        <v>-9843.75</v>
      </c>
      <c r="H71" s="69" t="n">
        <f aca="false">G71+H70</f>
        <v>-11812.5</v>
      </c>
      <c r="I71" s="69" t="n">
        <f aca="false">H71+I70</f>
        <v>-13781.25</v>
      </c>
      <c r="J71" s="69" t="n">
        <f aca="false">I71+J70</f>
        <v>-15750</v>
      </c>
      <c r="K71" s="69" t="n">
        <f aca="false">J71+K70</f>
        <v>-17718.75</v>
      </c>
      <c r="L71" s="69" t="n">
        <f aca="false">K71+L70</f>
        <v>-19687.5</v>
      </c>
      <c r="M71" s="69" t="n">
        <f aca="false">L71+M70</f>
        <v>-21656.25</v>
      </c>
      <c r="N71" s="69" t="n">
        <f aca="false">M71+N70</f>
        <v>-23625</v>
      </c>
      <c r="O71" s="69" t="n">
        <f aca="false">N71+O70</f>
        <v>-25697.9166666667</v>
      </c>
      <c r="P71" s="69" t="n">
        <f aca="false">O71+P70</f>
        <v>-27770.8333333333</v>
      </c>
      <c r="Q71" s="69" t="n">
        <f aca="false">P71+Q70</f>
        <v>-29843.75</v>
      </c>
      <c r="R71" s="69" t="n">
        <f aca="false">Q71+R70</f>
        <v>-31916.6666666667</v>
      </c>
      <c r="S71" s="69" t="n">
        <f aca="false">R71+S70</f>
        <v>-33989.5833333333</v>
      </c>
      <c r="T71" s="69" t="n">
        <f aca="false">S71+T70</f>
        <v>-36062.5</v>
      </c>
      <c r="U71" s="69" t="n">
        <f aca="false">T71+U70</f>
        <v>-38135.4166666667</v>
      </c>
      <c r="V71" s="69" t="n">
        <f aca="false">U71+V70</f>
        <v>-40208.3333333333</v>
      </c>
      <c r="W71" s="69" t="n">
        <f aca="false">V71+W70</f>
        <v>-42281.25</v>
      </c>
      <c r="X71" s="69" t="n">
        <f aca="false">W71+X70</f>
        <v>-44354.1666666667</v>
      </c>
      <c r="Y71" s="69" t="n">
        <f aca="false">X71+Y70</f>
        <v>-46427.0833333333</v>
      </c>
      <c r="Z71" s="69" t="n">
        <f aca="false">Y71+Z70</f>
        <v>-48500</v>
      </c>
      <c r="AA71" s="69" t="n">
        <f aca="false">Z71+AA70</f>
        <v>-50677.0833333333</v>
      </c>
      <c r="AB71" s="69" t="n">
        <f aca="false">AA71+AB70</f>
        <v>-52854.1666666667</v>
      </c>
      <c r="AC71" s="69" t="n">
        <f aca="false">AB71+AC70</f>
        <v>-55031.25</v>
      </c>
      <c r="AD71" s="69" t="n">
        <f aca="false">AC71+AD70</f>
        <v>-57208.3333333333</v>
      </c>
      <c r="AE71" s="69" t="n">
        <f aca="false">AD71+AE70</f>
        <v>-59385.4166666667</v>
      </c>
      <c r="AF71" s="69" t="n">
        <f aca="false">AE71+AF70</f>
        <v>-61562.5</v>
      </c>
      <c r="AG71" s="69" t="n">
        <f aca="false">AF71+AG70</f>
        <v>-63739.5833333333</v>
      </c>
      <c r="AH71" s="69" t="n">
        <f aca="false">AG71+AH70</f>
        <v>-65916.6666666667</v>
      </c>
      <c r="AI71" s="69" t="n">
        <f aca="false">AH71+AI70</f>
        <v>-68093.75</v>
      </c>
      <c r="AJ71" s="69" t="n">
        <f aca="false">AI71+AJ70</f>
        <v>-70270.8333333333</v>
      </c>
      <c r="AK71" s="69" t="n">
        <f aca="false">AJ71+AK70</f>
        <v>-72447.9166666667</v>
      </c>
      <c r="AL71" s="69" t="n">
        <f aca="false">AK71+AL70</f>
        <v>-74625</v>
      </c>
    </row>
    <row r="72" customFormat="false" ht="15" hidden="false" customHeight="false" outlineLevel="0" collapsed="false">
      <c r="A72" s="4" t="s">
        <v>92</v>
      </c>
      <c r="C72" s="75" t="n">
        <f aca="false">C68+C71</f>
        <v>187031.25</v>
      </c>
      <c r="D72" s="75" t="n">
        <f aca="false">D68+D71</f>
        <v>185062.5</v>
      </c>
      <c r="E72" s="75" t="n">
        <f aca="false">E68+E71</f>
        <v>183093.75</v>
      </c>
      <c r="F72" s="75" t="n">
        <f aca="false">F68+F71</f>
        <v>181125</v>
      </c>
      <c r="G72" s="75" t="n">
        <f aca="false">G68+G71</f>
        <v>179156.25</v>
      </c>
      <c r="H72" s="75" t="n">
        <f aca="false">H68+H71</f>
        <v>177187.5</v>
      </c>
      <c r="I72" s="75" t="n">
        <f aca="false">I68+I71</f>
        <v>175218.75</v>
      </c>
      <c r="J72" s="75" t="n">
        <f aca="false">J68+J71</f>
        <v>173250</v>
      </c>
      <c r="K72" s="75" t="n">
        <f aca="false">K68+K71</f>
        <v>171281.25</v>
      </c>
      <c r="L72" s="75" t="n">
        <f aca="false">L68+L71</f>
        <v>169312.5</v>
      </c>
      <c r="M72" s="75" t="n">
        <f aca="false">M68+M71</f>
        <v>167343.75</v>
      </c>
      <c r="N72" s="75" t="n">
        <f aca="false">N68+N71</f>
        <v>165375</v>
      </c>
      <c r="O72" s="75" t="n">
        <f aca="false">O68+O71</f>
        <v>173302.083333333</v>
      </c>
      <c r="P72" s="75" t="n">
        <f aca="false">P68+P71</f>
        <v>171229.166666667</v>
      </c>
      <c r="Q72" s="75" t="n">
        <f aca="false">Q68+Q71</f>
        <v>169156.25</v>
      </c>
      <c r="R72" s="75" t="n">
        <f aca="false">R68+R71</f>
        <v>167083.333333333</v>
      </c>
      <c r="S72" s="75" t="n">
        <f aca="false">S68+S71</f>
        <v>165010.416666667</v>
      </c>
      <c r="T72" s="75" t="n">
        <f aca="false">T68+T71</f>
        <v>162937.5</v>
      </c>
      <c r="U72" s="75" t="n">
        <f aca="false">U68+U71</f>
        <v>160864.583333333</v>
      </c>
      <c r="V72" s="75" t="n">
        <f aca="false">V68+V71</f>
        <v>158791.666666667</v>
      </c>
      <c r="W72" s="75" t="n">
        <f aca="false">W68+W71</f>
        <v>156718.75</v>
      </c>
      <c r="X72" s="75" t="n">
        <f aca="false">X68+X71</f>
        <v>154645.833333333</v>
      </c>
      <c r="Y72" s="75" t="n">
        <f aca="false">Y68+Y71</f>
        <v>152572.916666667</v>
      </c>
      <c r="Z72" s="75" t="n">
        <f aca="false">Z68+Z71</f>
        <v>150500</v>
      </c>
      <c r="AA72" s="75" t="n">
        <f aca="false">AA68+AA71</f>
        <v>158322.916666667</v>
      </c>
      <c r="AB72" s="75" t="n">
        <f aca="false">AB68+AB71</f>
        <v>156145.833333333</v>
      </c>
      <c r="AC72" s="75" t="n">
        <f aca="false">AC68+AC71</f>
        <v>153968.75</v>
      </c>
      <c r="AD72" s="75" t="n">
        <f aca="false">AD68+AD71</f>
        <v>151791.666666667</v>
      </c>
      <c r="AE72" s="75" t="n">
        <f aca="false">AE68+AE71</f>
        <v>149614.583333333</v>
      </c>
      <c r="AF72" s="75" t="n">
        <f aca="false">AF68+AF71</f>
        <v>147437.5</v>
      </c>
      <c r="AG72" s="75" t="n">
        <f aca="false">AG68+AG71</f>
        <v>145260.416666667</v>
      </c>
      <c r="AH72" s="75" t="n">
        <f aca="false">AH68+AH71</f>
        <v>143083.333333333</v>
      </c>
      <c r="AI72" s="75" t="n">
        <f aca="false">AI68+AI71</f>
        <v>140906.25</v>
      </c>
      <c r="AJ72" s="75" t="n">
        <f aca="false">AJ68+AJ71</f>
        <v>138729.166666667</v>
      </c>
      <c r="AK72" s="75" t="n">
        <f aca="false">AK68+AK71</f>
        <v>136552.083333333</v>
      </c>
      <c r="AL72" s="75" t="n">
        <f aca="false">AL68+AL71</f>
        <v>134375</v>
      </c>
    </row>
    <row r="74" customFormat="false" ht="15.75" hidden="false" customHeight="true" outlineLevel="0" collapsed="false">
      <c r="A74" s="7" t="s">
        <v>415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customFormat="false" ht="15" hidden="false" customHeight="false" outlineLevel="0" collapsed="false">
      <c r="A75" s="6" t="s">
        <v>416</v>
      </c>
      <c r="C75" s="69" t="n">
        <f aca="false">0</f>
        <v>0</v>
      </c>
      <c r="D75" s="69" t="n">
        <f aca="false">C78</f>
        <v>100000</v>
      </c>
      <c r="E75" s="69" t="n">
        <f aca="false">D78</f>
        <v>98333.3333333333</v>
      </c>
      <c r="F75" s="69" t="n">
        <f aca="false">E78</f>
        <v>96666.6666666667</v>
      </c>
      <c r="G75" s="69" t="n">
        <f aca="false">F78</f>
        <v>95000</v>
      </c>
      <c r="H75" s="69" t="n">
        <f aca="false">G78</f>
        <v>93333.3333333333</v>
      </c>
      <c r="I75" s="69" t="n">
        <f aca="false">H78</f>
        <v>91666.6666666666</v>
      </c>
      <c r="J75" s="69" t="n">
        <f aca="false">I78</f>
        <v>90000</v>
      </c>
      <c r="K75" s="69" t="n">
        <f aca="false">J78</f>
        <v>88333.3333333333</v>
      </c>
      <c r="L75" s="69" t="n">
        <f aca="false">K78</f>
        <v>86666.6666666666</v>
      </c>
      <c r="M75" s="69" t="n">
        <f aca="false">L78</f>
        <v>85000</v>
      </c>
      <c r="N75" s="69" t="n">
        <f aca="false">M78</f>
        <v>83333.3333333333</v>
      </c>
      <c r="O75" s="69" t="n">
        <f aca="false">N78</f>
        <v>81666.6666666666</v>
      </c>
      <c r="P75" s="69" t="n">
        <f aca="false">O78</f>
        <v>79999.9999999999</v>
      </c>
      <c r="Q75" s="69" t="n">
        <f aca="false">P78</f>
        <v>78333.3333333333</v>
      </c>
      <c r="R75" s="69" t="n">
        <f aca="false">Q78</f>
        <v>76666.6666666666</v>
      </c>
      <c r="S75" s="69" t="n">
        <f aca="false">R78</f>
        <v>74999.9999999999</v>
      </c>
      <c r="T75" s="69" t="n">
        <f aca="false">S78</f>
        <v>73333.3333333333</v>
      </c>
      <c r="U75" s="69" t="n">
        <f aca="false">T78</f>
        <v>71666.6666666666</v>
      </c>
      <c r="V75" s="69" t="n">
        <f aca="false">U78</f>
        <v>69999.9999999999</v>
      </c>
      <c r="W75" s="69" t="n">
        <f aca="false">V78</f>
        <v>68333.3333333332</v>
      </c>
      <c r="X75" s="69" t="n">
        <f aca="false">W78</f>
        <v>66666.6666666666</v>
      </c>
      <c r="Y75" s="69" t="n">
        <f aca="false">X78</f>
        <v>64999.9999999999</v>
      </c>
      <c r="Z75" s="69" t="n">
        <f aca="false">Y78</f>
        <v>63333.3333333332</v>
      </c>
      <c r="AA75" s="69" t="n">
        <f aca="false">Z78</f>
        <v>61666.6666666666</v>
      </c>
      <c r="AB75" s="69" t="n">
        <f aca="false">AA78</f>
        <v>59999.9999999999</v>
      </c>
      <c r="AC75" s="69" t="n">
        <f aca="false">AB78</f>
        <v>58333.3333333333</v>
      </c>
      <c r="AD75" s="69" t="n">
        <f aca="false">AC78</f>
        <v>56666.6666666666</v>
      </c>
      <c r="AE75" s="69" t="n">
        <f aca="false">AD78</f>
        <v>54999.9999999999</v>
      </c>
      <c r="AF75" s="69" t="n">
        <f aca="false">AE78</f>
        <v>53333.3333333333</v>
      </c>
      <c r="AG75" s="69" t="n">
        <f aca="false">AF78</f>
        <v>51666.6666666666</v>
      </c>
      <c r="AH75" s="69" t="n">
        <f aca="false">AG78</f>
        <v>49999.9999999999</v>
      </c>
      <c r="AI75" s="69" t="n">
        <f aca="false">AH78</f>
        <v>48333.3333333333</v>
      </c>
      <c r="AJ75" s="69" t="n">
        <f aca="false">AI78</f>
        <v>46666.6666666666</v>
      </c>
      <c r="AK75" s="69" t="n">
        <f aca="false">AJ78</f>
        <v>44999.9999999999</v>
      </c>
      <c r="AL75" s="69" t="n">
        <f aca="false">AK78</f>
        <v>43333.3333333333</v>
      </c>
    </row>
    <row r="76" customFormat="false" ht="15" hidden="false" customHeight="false" outlineLevel="0" collapsed="false">
      <c r="A76" s="6" t="s">
        <v>85</v>
      </c>
      <c r="C76" s="69" t="n">
        <f aca="false">IF(C$4=1,Inputs!$E$72,0)</f>
        <v>100000</v>
      </c>
      <c r="D76" s="69" t="n">
        <f aca="false">IF(D$4=1,Inputs!$E$72,0)</f>
        <v>0</v>
      </c>
      <c r="E76" s="69" t="n">
        <f aca="false">IF(E$4=1,Inputs!$E$72,0)</f>
        <v>0</v>
      </c>
      <c r="F76" s="69" t="n">
        <f aca="false">IF(F$4=1,Inputs!$E$72,0)</f>
        <v>0</v>
      </c>
      <c r="G76" s="69" t="n">
        <f aca="false">IF(G$4=1,Inputs!$E$72,0)</f>
        <v>0</v>
      </c>
      <c r="H76" s="69" t="n">
        <f aca="false">IF(H$4=1,Inputs!$E$72,0)</f>
        <v>0</v>
      </c>
      <c r="I76" s="69" t="n">
        <f aca="false">IF(I$4=1,Inputs!$E$72,0)</f>
        <v>0</v>
      </c>
      <c r="J76" s="69" t="n">
        <f aca="false">IF(J$4=1,Inputs!$E$72,0)</f>
        <v>0</v>
      </c>
      <c r="K76" s="69" t="n">
        <f aca="false">IF(K$4=1,Inputs!$E$72,0)</f>
        <v>0</v>
      </c>
      <c r="L76" s="69" t="n">
        <f aca="false">IF(L$4=1,Inputs!$E$72,0)</f>
        <v>0</v>
      </c>
      <c r="M76" s="69" t="n">
        <f aca="false">IF(M$4=1,Inputs!$E$72,0)</f>
        <v>0</v>
      </c>
      <c r="N76" s="69" t="n">
        <f aca="false">IF(N$4=1,Inputs!$E$72,0)</f>
        <v>0</v>
      </c>
      <c r="O76" s="69" t="n">
        <f aca="false">IF(O$4=1,Inputs!$E$72,0)</f>
        <v>0</v>
      </c>
      <c r="P76" s="69" t="n">
        <f aca="false">IF(P$4=1,Inputs!$E$72,0)</f>
        <v>0</v>
      </c>
      <c r="Q76" s="69" t="n">
        <f aca="false">IF(Q$4=1,Inputs!$E$72,0)</f>
        <v>0</v>
      </c>
      <c r="R76" s="69" t="n">
        <f aca="false">IF(R$4=1,Inputs!$E$72,0)</f>
        <v>0</v>
      </c>
      <c r="S76" s="69" t="n">
        <f aca="false">IF(S$4=1,Inputs!$E$72,0)</f>
        <v>0</v>
      </c>
      <c r="T76" s="69" t="n">
        <f aca="false">IF(T$4=1,Inputs!$E$72,0)</f>
        <v>0</v>
      </c>
      <c r="U76" s="69" t="n">
        <f aca="false">IF(U$4=1,Inputs!$E$72,0)</f>
        <v>0</v>
      </c>
      <c r="V76" s="69" t="n">
        <f aca="false">IF(V$4=1,Inputs!$E$72,0)</f>
        <v>0</v>
      </c>
      <c r="W76" s="69" t="n">
        <f aca="false">IF(W$4=1,Inputs!$E$72,0)</f>
        <v>0</v>
      </c>
      <c r="X76" s="69" t="n">
        <f aca="false">IF(X$4=1,Inputs!$E$72,0)</f>
        <v>0</v>
      </c>
      <c r="Y76" s="69" t="n">
        <f aca="false">IF(Y$4=1,Inputs!$E$72,0)</f>
        <v>0</v>
      </c>
      <c r="Z76" s="69" t="n">
        <f aca="false">IF(Z$4=1,Inputs!$E$72,0)</f>
        <v>0</v>
      </c>
      <c r="AA76" s="69" t="n">
        <f aca="false">IF(AA$4=1,Inputs!$E$72,0)</f>
        <v>0</v>
      </c>
      <c r="AB76" s="69" t="n">
        <f aca="false">IF(AB$4=1,Inputs!$E$72,0)</f>
        <v>0</v>
      </c>
      <c r="AC76" s="69" t="n">
        <f aca="false">IF(AC$4=1,Inputs!$E$72,0)</f>
        <v>0</v>
      </c>
      <c r="AD76" s="69" t="n">
        <f aca="false">IF(AD$4=1,Inputs!$E$72,0)</f>
        <v>0</v>
      </c>
      <c r="AE76" s="69" t="n">
        <f aca="false">IF(AE$4=1,Inputs!$E$72,0)</f>
        <v>0</v>
      </c>
      <c r="AF76" s="69" t="n">
        <f aca="false">IF(AF$4=1,Inputs!$E$72,0)</f>
        <v>0</v>
      </c>
      <c r="AG76" s="69" t="n">
        <f aca="false">IF(AG$4=1,Inputs!$E$72,0)</f>
        <v>0</v>
      </c>
      <c r="AH76" s="69" t="n">
        <f aca="false">IF(AH$4=1,Inputs!$E$72,0)</f>
        <v>0</v>
      </c>
      <c r="AI76" s="69" t="n">
        <f aca="false">IF(AI$4=1,Inputs!$E$72,0)</f>
        <v>0</v>
      </c>
      <c r="AJ76" s="69" t="n">
        <f aca="false">IF(AJ$4=1,Inputs!$E$72,0)</f>
        <v>0</v>
      </c>
      <c r="AK76" s="69" t="n">
        <f aca="false">IF(AK$4=1,Inputs!$E$72,0)</f>
        <v>0</v>
      </c>
      <c r="AL76" s="69" t="n">
        <f aca="false">IF(AL$4=1,Inputs!$E$72,0)</f>
        <v>0</v>
      </c>
    </row>
    <row r="77" customFormat="false" ht="15" hidden="false" customHeight="false" outlineLevel="0" collapsed="false">
      <c r="A77" s="6" t="s">
        <v>86</v>
      </c>
      <c r="C77" s="69" t="n">
        <f aca="false">-MIN(C75,Inputs!$E$72/MAX(1,Inputs!$E$74*12))</f>
        <v>-0</v>
      </c>
      <c r="D77" s="69" t="n">
        <f aca="false">-MIN(D75,Inputs!$E$72/MAX(1,Inputs!$E$74*12))</f>
        <v>-1666.66666666667</v>
      </c>
      <c r="E77" s="69" t="n">
        <f aca="false">-MIN(E75,Inputs!$E$72/MAX(1,Inputs!$E$74*12))</f>
        <v>-1666.66666666667</v>
      </c>
      <c r="F77" s="69" t="n">
        <f aca="false">-MIN(F75,Inputs!$E$72/MAX(1,Inputs!$E$74*12))</f>
        <v>-1666.66666666667</v>
      </c>
      <c r="G77" s="69" t="n">
        <f aca="false">-MIN(G75,Inputs!$E$72/MAX(1,Inputs!$E$74*12))</f>
        <v>-1666.66666666667</v>
      </c>
      <c r="H77" s="69" t="n">
        <f aca="false">-MIN(H75,Inputs!$E$72/MAX(1,Inputs!$E$74*12))</f>
        <v>-1666.66666666667</v>
      </c>
      <c r="I77" s="69" t="n">
        <f aca="false">-MIN(I75,Inputs!$E$72/MAX(1,Inputs!$E$74*12))</f>
        <v>-1666.66666666667</v>
      </c>
      <c r="J77" s="69" t="n">
        <f aca="false">-MIN(J75,Inputs!$E$72/MAX(1,Inputs!$E$74*12))</f>
        <v>-1666.66666666667</v>
      </c>
      <c r="K77" s="69" t="n">
        <f aca="false">-MIN(K75,Inputs!$E$72/MAX(1,Inputs!$E$74*12))</f>
        <v>-1666.66666666667</v>
      </c>
      <c r="L77" s="69" t="n">
        <f aca="false">-MIN(L75,Inputs!$E$72/MAX(1,Inputs!$E$74*12))</f>
        <v>-1666.66666666667</v>
      </c>
      <c r="M77" s="69" t="n">
        <f aca="false">-MIN(M75,Inputs!$E$72/MAX(1,Inputs!$E$74*12))</f>
        <v>-1666.66666666667</v>
      </c>
      <c r="N77" s="69" t="n">
        <f aca="false">-MIN(N75,Inputs!$E$72/MAX(1,Inputs!$E$74*12))</f>
        <v>-1666.66666666667</v>
      </c>
      <c r="O77" s="69" t="n">
        <f aca="false">-MIN(O75,Inputs!$E$72/MAX(1,Inputs!$E$74*12))</f>
        <v>-1666.66666666667</v>
      </c>
      <c r="P77" s="69" t="n">
        <f aca="false">-MIN(P75,Inputs!$E$72/MAX(1,Inputs!$E$74*12))</f>
        <v>-1666.66666666667</v>
      </c>
      <c r="Q77" s="69" t="n">
        <f aca="false">-MIN(Q75,Inputs!$E$72/MAX(1,Inputs!$E$74*12))</f>
        <v>-1666.66666666667</v>
      </c>
      <c r="R77" s="69" t="n">
        <f aca="false">-MIN(R75,Inputs!$E$72/MAX(1,Inputs!$E$74*12))</f>
        <v>-1666.66666666667</v>
      </c>
      <c r="S77" s="69" t="n">
        <f aca="false">-MIN(S75,Inputs!$E$72/MAX(1,Inputs!$E$74*12))</f>
        <v>-1666.66666666667</v>
      </c>
      <c r="T77" s="69" t="n">
        <f aca="false">-MIN(T75,Inputs!$E$72/MAX(1,Inputs!$E$74*12))</f>
        <v>-1666.66666666667</v>
      </c>
      <c r="U77" s="69" t="n">
        <f aca="false">-MIN(U75,Inputs!$E$72/MAX(1,Inputs!$E$74*12))</f>
        <v>-1666.66666666667</v>
      </c>
      <c r="V77" s="69" t="n">
        <f aca="false">-MIN(V75,Inputs!$E$72/MAX(1,Inputs!$E$74*12))</f>
        <v>-1666.66666666667</v>
      </c>
      <c r="W77" s="69" t="n">
        <f aca="false">-MIN(W75,Inputs!$E$72/MAX(1,Inputs!$E$74*12))</f>
        <v>-1666.66666666667</v>
      </c>
      <c r="X77" s="69" t="n">
        <f aca="false">-MIN(X75,Inputs!$E$72/MAX(1,Inputs!$E$74*12))</f>
        <v>-1666.66666666667</v>
      </c>
      <c r="Y77" s="69" t="n">
        <f aca="false">-MIN(Y75,Inputs!$E$72/MAX(1,Inputs!$E$74*12))</f>
        <v>-1666.66666666667</v>
      </c>
      <c r="Z77" s="69" t="n">
        <f aca="false">-MIN(Z75,Inputs!$E$72/MAX(1,Inputs!$E$74*12))</f>
        <v>-1666.66666666667</v>
      </c>
      <c r="AA77" s="69" t="n">
        <f aca="false">-MIN(AA75,Inputs!$E$72/MAX(1,Inputs!$E$74*12))</f>
        <v>-1666.66666666667</v>
      </c>
      <c r="AB77" s="69" t="n">
        <f aca="false">-MIN(AB75,Inputs!$E$72/MAX(1,Inputs!$E$74*12))</f>
        <v>-1666.66666666667</v>
      </c>
      <c r="AC77" s="69" t="n">
        <f aca="false">-MIN(AC75,Inputs!$E$72/MAX(1,Inputs!$E$74*12))</f>
        <v>-1666.66666666667</v>
      </c>
      <c r="AD77" s="69" t="n">
        <f aca="false">-MIN(AD75,Inputs!$E$72/MAX(1,Inputs!$E$74*12))</f>
        <v>-1666.66666666667</v>
      </c>
      <c r="AE77" s="69" t="n">
        <f aca="false">-MIN(AE75,Inputs!$E$72/MAX(1,Inputs!$E$74*12))</f>
        <v>-1666.66666666667</v>
      </c>
      <c r="AF77" s="69" t="n">
        <f aca="false">-MIN(AF75,Inputs!$E$72/MAX(1,Inputs!$E$74*12))</f>
        <v>-1666.66666666667</v>
      </c>
      <c r="AG77" s="69" t="n">
        <f aca="false">-MIN(AG75,Inputs!$E$72/MAX(1,Inputs!$E$74*12))</f>
        <v>-1666.66666666667</v>
      </c>
      <c r="AH77" s="69" t="n">
        <f aca="false">-MIN(AH75,Inputs!$E$72/MAX(1,Inputs!$E$74*12))</f>
        <v>-1666.66666666667</v>
      </c>
      <c r="AI77" s="69" t="n">
        <f aca="false">-MIN(AI75,Inputs!$E$72/MAX(1,Inputs!$E$74*12))</f>
        <v>-1666.66666666667</v>
      </c>
      <c r="AJ77" s="69" t="n">
        <f aca="false">-MIN(AJ75,Inputs!$E$72/MAX(1,Inputs!$E$74*12))</f>
        <v>-1666.66666666667</v>
      </c>
      <c r="AK77" s="69" t="n">
        <f aca="false">-MIN(AK75,Inputs!$E$72/MAX(1,Inputs!$E$74*12))</f>
        <v>-1666.66666666667</v>
      </c>
      <c r="AL77" s="69" t="n">
        <f aca="false">-MIN(AL75,Inputs!$E$72/MAX(1,Inputs!$E$74*12))</f>
        <v>-1666.66666666667</v>
      </c>
    </row>
    <row r="78" customFormat="false" ht="15" hidden="false" customHeight="false" outlineLevel="0" collapsed="false">
      <c r="A78" s="4" t="s">
        <v>417</v>
      </c>
      <c r="C78" s="75" t="n">
        <f aca="false">C75+C76+C77</f>
        <v>100000</v>
      </c>
      <c r="D78" s="75" t="n">
        <f aca="false">D75+D76+D77</f>
        <v>98333.3333333333</v>
      </c>
      <c r="E78" s="75" t="n">
        <f aca="false">E75+E76+E77</f>
        <v>96666.6666666667</v>
      </c>
      <c r="F78" s="75" t="n">
        <f aca="false">F75+F76+F77</f>
        <v>95000</v>
      </c>
      <c r="G78" s="75" t="n">
        <f aca="false">G75+G76+G77</f>
        <v>93333.3333333333</v>
      </c>
      <c r="H78" s="75" t="n">
        <f aca="false">H75+H76+H77</f>
        <v>91666.6666666666</v>
      </c>
      <c r="I78" s="75" t="n">
        <f aca="false">I75+I76+I77</f>
        <v>90000</v>
      </c>
      <c r="J78" s="75" t="n">
        <f aca="false">J75+J76+J77</f>
        <v>88333.3333333333</v>
      </c>
      <c r="K78" s="75" t="n">
        <f aca="false">K75+K76+K77</f>
        <v>86666.6666666666</v>
      </c>
      <c r="L78" s="75" t="n">
        <f aca="false">L75+L76+L77</f>
        <v>85000</v>
      </c>
      <c r="M78" s="75" t="n">
        <f aca="false">M75+M76+M77</f>
        <v>83333.3333333333</v>
      </c>
      <c r="N78" s="75" t="n">
        <f aca="false">N75+N76+N77</f>
        <v>81666.6666666666</v>
      </c>
      <c r="O78" s="75" t="n">
        <f aca="false">O75+O76+O77</f>
        <v>79999.9999999999</v>
      </c>
      <c r="P78" s="75" t="n">
        <f aca="false">P75+P76+P77</f>
        <v>78333.3333333333</v>
      </c>
      <c r="Q78" s="75" t="n">
        <f aca="false">Q75+Q76+Q77</f>
        <v>76666.6666666666</v>
      </c>
      <c r="R78" s="75" t="n">
        <f aca="false">R75+R76+R77</f>
        <v>74999.9999999999</v>
      </c>
      <c r="S78" s="75" t="n">
        <f aca="false">S75+S76+S77</f>
        <v>73333.3333333333</v>
      </c>
      <c r="T78" s="75" t="n">
        <f aca="false">T75+T76+T77</f>
        <v>71666.6666666666</v>
      </c>
      <c r="U78" s="75" t="n">
        <f aca="false">U75+U76+U77</f>
        <v>69999.9999999999</v>
      </c>
      <c r="V78" s="75" t="n">
        <f aca="false">V75+V76+V77</f>
        <v>68333.3333333332</v>
      </c>
      <c r="W78" s="75" t="n">
        <f aca="false">W75+W76+W77</f>
        <v>66666.6666666666</v>
      </c>
      <c r="X78" s="75" t="n">
        <f aca="false">X75+X76+X77</f>
        <v>64999.9999999999</v>
      </c>
      <c r="Y78" s="75" t="n">
        <f aca="false">Y75+Y76+Y77</f>
        <v>63333.3333333332</v>
      </c>
      <c r="Z78" s="75" t="n">
        <f aca="false">Z75+Z76+Z77</f>
        <v>61666.6666666666</v>
      </c>
      <c r="AA78" s="75" t="n">
        <f aca="false">AA75+AA76+AA77</f>
        <v>59999.9999999999</v>
      </c>
      <c r="AB78" s="75" t="n">
        <f aca="false">AB75+AB76+AB77</f>
        <v>58333.3333333333</v>
      </c>
      <c r="AC78" s="75" t="n">
        <f aca="false">AC75+AC76+AC77</f>
        <v>56666.6666666666</v>
      </c>
      <c r="AD78" s="75" t="n">
        <f aca="false">AD75+AD76+AD77</f>
        <v>54999.9999999999</v>
      </c>
      <c r="AE78" s="75" t="n">
        <f aca="false">AE75+AE76+AE77</f>
        <v>53333.3333333333</v>
      </c>
      <c r="AF78" s="75" t="n">
        <f aca="false">AF75+AF76+AF77</f>
        <v>51666.6666666666</v>
      </c>
      <c r="AG78" s="75" t="n">
        <f aca="false">AG75+AG76+AG77</f>
        <v>49999.9999999999</v>
      </c>
      <c r="AH78" s="75" t="n">
        <f aca="false">AH75+AH76+AH77</f>
        <v>48333.3333333333</v>
      </c>
      <c r="AI78" s="75" t="n">
        <f aca="false">AI75+AI76+AI77</f>
        <v>46666.6666666666</v>
      </c>
      <c r="AJ78" s="75" t="n">
        <f aca="false">AJ75+AJ76+AJ77</f>
        <v>44999.9999999999</v>
      </c>
      <c r="AK78" s="75" t="n">
        <f aca="false">AK75+AK76+AK77</f>
        <v>43333.3333333333</v>
      </c>
      <c r="AL78" s="75" t="n">
        <f aca="false">AL75+AL76+AL77</f>
        <v>41666.6666666666</v>
      </c>
    </row>
    <row r="80" customFormat="false" ht="15.75" hidden="false" customHeight="true" outlineLevel="0" collapsed="false">
      <c r="A80" s="7" t="s">
        <v>319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customFormat="false" ht="15" hidden="false" customHeight="false" outlineLevel="0" collapsed="false">
      <c r="A81" s="6" t="s">
        <v>90</v>
      </c>
      <c r="C81" s="69" t="n">
        <f aca="false">C31*Inputs!$E$77/30</f>
        <v>1667.12746666667</v>
      </c>
      <c r="D81" s="69" t="n">
        <f aca="false">D31*Inputs!$E$77/30</f>
        <v>1917.19658666667</v>
      </c>
      <c r="E81" s="69" t="n">
        <f aca="false">E31*Inputs!$E$77/30</f>
        <v>2167.26570666667</v>
      </c>
      <c r="F81" s="69" t="n">
        <f aca="false">F31*Inputs!$E$77/30</f>
        <v>2417.33482666667</v>
      </c>
      <c r="G81" s="69" t="n">
        <f aca="false">G31*Inputs!$E$77/30</f>
        <v>2667.40394666667</v>
      </c>
      <c r="H81" s="69" t="n">
        <f aca="false">H31*Inputs!$E$77/30</f>
        <v>3352.86186666667</v>
      </c>
      <c r="I81" s="69" t="n">
        <f aca="false">I31*Inputs!$E$77/30</f>
        <v>3640.25002666667</v>
      </c>
      <c r="J81" s="69" t="n">
        <f aca="false">J31*Inputs!$E$77/30</f>
        <v>3927.63818666667</v>
      </c>
      <c r="K81" s="69" t="n">
        <f aca="false">K31*Inputs!$E$77/30</f>
        <v>3667.68042666667</v>
      </c>
      <c r="L81" s="69" t="n">
        <f aca="false">L31*Inputs!$E$77/30</f>
        <v>3917.74954666667</v>
      </c>
      <c r="M81" s="69" t="n">
        <f aca="false">M31*Inputs!$E$77/30</f>
        <v>4167.81866666667</v>
      </c>
      <c r="N81" s="69" t="n">
        <f aca="false">N31*Inputs!$E$77/30</f>
        <v>4789.80266666667</v>
      </c>
      <c r="O81" s="69" t="n">
        <f aca="false">O31*Inputs!$E$77/30</f>
        <v>4421.63882346667</v>
      </c>
      <c r="P81" s="69" t="n">
        <f aca="false">P31*Inputs!$E$77/30</f>
        <v>4421.63882346667</v>
      </c>
      <c r="Q81" s="69" t="n">
        <f aca="false">Q31*Inputs!$E$77/30</f>
        <v>4421.63882346667</v>
      </c>
      <c r="R81" s="69" t="n">
        <f aca="false">R31*Inputs!$E$77/30</f>
        <v>4421.63882346667</v>
      </c>
      <c r="S81" s="69" t="n">
        <f aca="false">S31*Inputs!$E$77/30</f>
        <v>4421.63882346667</v>
      </c>
      <c r="T81" s="69" t="n">
        <f aca="false">T31*Inputs!$E$77/30</f>
        <v>5081.50164906667</v>
      </c>
      <c r="U81" s="69" t="n">
        <f aca="false">U31*Inputs!$E$77/30</f>
        <v>5081.50164906667</v>
      </c>
      <c r="V81" s="69" t="n">
        <f aca="false">V31*Inputs!$E$77/30</f>
        <v>5081.50164906667</v>
      </c>
      <c r="W81" s="69" t="n">
        <f aca="false">W31*Inputs!$E$77/30</f>
        <v>4421.63882346667</v>
      </c>
      <c r="X81" s="69" t="n">
        <f aca="false">X31*Inputs!$E$77/30</f>
        <v>4421.63882346667</v>
      </c>
      <c r="Y81" s="69" t="n">
        <f aca="false">Y31*Inputs!$E$77/30</f>
        <v>4421.63882346667</v>
      </c>
      <c r="Z81" s="69" t="n">
        <f aca="false">Z31*Inputs!$E$77/30</f>
        <v>5081.50164906667</v>
      </c>
      <c r="AA81" s="69" t="n">
        <f aca="false">AA31*Inputs!$E$77/30</f>
        <v>4690.91662781579</v>
      </c>
      <c r="AB81" s="69" t="n">
        <f aca="false">AB31*Inputs!$E$77/30</f>
        <v>4690.91662781579</v>
      </c>
      <c r="AC81" s="69" t="n">
        <f aca="false">AC31*Inputs!$E$77/30</f>
        <v>4690.91662781579</v>
      </c>
      <c r="AD81" s="69" t="n">
        <f aca="false">AD31*Inputs!$E$77/30</f>
        <v>4690.91662781579</v>
      </c>
      <c r="AE81" s="69" t="n">
        <f aca="false">AE31*Inputs!$E$77/30</f>
        <v>4690.91662781579</v>
      </c>
      <c r="AF81" s="69" t="n">
        <f aca="false">AF31*Inputs!$E$77/30</f>
        <v>5390.96509949483</v>
      </c>
      <c r="AG81" s="69" t="n">
        <f aca="false">AG31*Inputs!$E$77/30</f>
        <v>5390.96509949483</v>
      </c>
      <c r="AH81" s="69" t="n">
        <f aca="false">AH31*Inputs!$E$77/30</f>
        <v>5390.96509949483</v>
      </c>
      <c r="AI81" s="69" t="n">
        <f aca="false">AI31*Inputs!$E$77/30</f>
        <v>4690.91662781579</v>
      </c>
      <c r="AJ81" s="69" t="n">
        <f aca="false">AJ31*Inputs!$E$77/30</f>
        <v>4690.91662781579</v>
      </c>
      <c r="AK81" s="69" t="n">
        <f aca="false">AK31*Inputs!$E$77/30</f>
        <v>4690.91662781579</v>
      </c>
      <c r="AL81" s="69" t="n">
        <f aca="false">AL31*Inputs!$E$77/30</f>
        <v>5390.96509949483</v>
      </c>
    </row>
    <row r="82" customFormat="false" ht="15" hidden="false" customHeight="false" outlineLevel="0" collapsed="false">
      <c r="A82" s="6" t="s">
        <v>91</v>
      </c>
      <c r="C82" s="69" t="n">
        <f aca="false">-C39*Inputs!$E$78/30</f>
        <v>2194.04074666667</v>
      </c>
      <c r="D82" s="69" t="n">
        <f aca="false">-D39*Inputs!$E$78/30</f>
        <v>2408.14685866667</v>
      </c>
      <c r="E82" s="69" t="n">
        <f aca="false">-E39*Inputs!$E$78/30</f>
        <v>2622.25297066667</v>
      </c>
      <c r="F82" s="69" t="n">
        <f aca="false">-F39*Inputs!$E$78/30</f>
        <v>2836.35908266667</v>
      </c>
      <c r="G82" s="69" t="n">
        <f aca="false">-G39*Inputs!$E$78/30</f>
        <v>3050.46519466667</v>
      </c>
      <c r="H82" s="69" t="n">
        <f aca="false">-H39*Inputs!$E$78/30</f>
        <v>3407.06218666667</v>
      </c>
      <c r="I82" s="69" t="n">
        <f aca="false">-I39*Inputs!$E$78/30</f>
        <v>3633.38180266667</v>
      </c>
      <c r="J82" s="69" t="n">
        <f aca="false">-J39*Inputs!$E$78/30</f>
        <v>3859.70141866667</v>
      </c>
      <c r="K82" s="69" t="n">
        <f aca="false">-K39*Inputs!$E$78/30</f>
        <v>3906.88964266667</v>
      </c>
      <c r="L82" s="69" t="n">
        <f aca="false">-L39*Inputs!$E$78/30</f>
        <v>4120.99575466667</v>
      </c>
      <c r="M82" s="69" t="n">
        <f aca="false">-M39*Inputs!$E$78/30</f>
        <v>4335.10186666667</v>
      </c>
      <c r="N82" s="69" t="n">
        <f aca="false">-N39*Inputs!$E$78/30</f>
        <v>4538.66026666667</v>
      </c>
      <c r="O82" s="69" t="n">
        <f aca="false">-O39*Inputs!$E$78/30</f>
        <v>4575.41957034667</v>
      </c>
      <c r="P82" s="69" t="n">
        <f aca="false">-P39*Inputs!$E$78/30</f>
        <v>4575.41957034667</v>
      </c>
      <c r="Q82" s="69" t="n">
        <f aca="false">-Q39*Inputs!$E$78/30</f>
        <v>4575.41957034667</v>
      </c>
      <c r="R82" s="69" t="n">
        <f aca="false">-R39*Inputs!$E$78/30</f>
        <v>4575.41957034667</v>
      </c>
      <c r="S82" s="69" t="n">
        <f aca="false">-S39*Inputs!$E$78/30</f>
        <v>4575.41957034667</v>
      </c>
      <c r="T82" s="69" t="n">
        <f aca="false">-T39*Inputs!$E$78/30</f>
        <v>4791.37467690667</v>
      </c>
      <c r="U82" s="69" t="n">
        <f aca="false">-U39*Inputs!$E$78/30</f>
        <v>4791.37467690667</v>
      </c>
      <c r="V82" s="69" t="n">
        <f aca="false">-V39*Inputs!$E$78/30</f>
        <v>4791.37467690667</v>
      </c>
      <c r="W82" s="69" t="n">
        <f aca="false">-W39*Inputs!$E$78/30</f>
        <v>4575.41957034667</v>
      </c>
      <c r="X82" s="69" t="n">
        <f aca="false">-X39*Inputs!$E$78/30</f>
        <v>4575.41957034667</v>
      </c>
      <c r="Y82" s="69" t="n">
        <f aca="false">-Y39*Inputs!$E$78/30</f>
        <v>4575.41957034667</v>
      </c>
      <c r="Z82" s="69" t="n">
        <f aca="false">-Z39*Inputs!$E$78/30</f>
        <v>4791.37467690667</v>
      </c>
      <c r="AA82" s="69" t="n">
        <f aca="false">-AA39*Inputs!$E$78/30</f>
        <v>4829.66192218078</v>
      </c>
      <c r="AB82" s="69" t="n">
        <f aca="false">-AB39*Inputs!$E$78/30</f>
        <v>4829.66192218078</v>
      </c>
      <c r="AC82" s="69" t="n">
        <f aca="false">-AC39*Inputs!$E$78/30</f>
        <v>4829.66192218078</v>
      </c>
      <c r="AD82" s="69" t="n">
        <f aca="false">-AD39*Inputs!$E$78/30</f>
        <v>4829.66192218078</v>
      </c>
      <c r="AE82" s="69" t="n">
        <f aca="false">-AE39*Inputs!$E$78/30</f>
        <v>4829.66192218078</v>
      </c>
      <c r="AF82" s="69" t="n">
        <f aca="false">-AF39*Inputs!$E$78/30</f>
        <v>5058.76869473028</v>
      </c>
      <c r="AG82" s="69" t="n">
        <f aca="false">-AG39*Inputs!$E$78/30</f>
        <v>5058.76869473028</v>
      </c>
      <c r="AH82" s="69" t="n">
        <f aca="false">-AH39*Inputs!$E$78/30</f>
        <v>5058.76869473028</v>
      </c>
      <c r="AI82" s="69" t="n">
        <f aca="false">-AI39*Inputs!$E$78/30</f>
        <v>4829.66192218078</v>
      </c>
      <c r="AJ82" s="69" t="n">
        <f aca="false">-AJ39*Inputs!$E$78/30</f>
        <v>4829.66192218078</v>
      </c>
      <c r="AK82" s="69" t="n">
        <f aca="false">-AK39*Inputs!$E$78/30</f>
        <v>4829.66192218078</v>
      </c>
      <c r="AL82" s="69" t="n">
        <f aca="false">-AL39*Inputs!$E$78/30</f>
        <v>5058.76869473028</v>
      </c>
    </row>
    <row r="83" customFormat="false" ht="15" hidden="false" customHeight="false" outlineLevel="0" collapsed="false">
      <c r="A83" s="6" t="s">
        <v>94</v>
      </c>
      <c r="C83" s="69" t="n">
        <f aca="false">-C39*Inputs!$E$79/30</f>
        <v>9141.83644444444</v>
      </c>
      <c r="D83" s="69" t="n">
        <f aca="false">-D39*Inputs!$E$79/30</f>
        <v>10033.9452444444</v>
      </c>
      <c r="E83" s="69" t="n">
        <f aca="false">-E39*Inputs!$E$79/30</f>
        <v>10926.0540444444</v>
      </c>
      <c r="F83" s="69" t="n">
        <f aca="false">-F39*Inputs!$E$79/30</f>
        <v>11818.1628444444</v>
      </c>
      <c r="G83" s="69" t="n">
        <f aca="false">-G39*Inputs!$E$79/30</f>
        <v>12710.2716444444</v>
      </c>
      <c r="H83" s="69" t="n">
        <f aca="false">-H39*Inputs!$E$79/30</f>
        <v>14196.0924444444</v>
      </c>
      <c r="I83" s="69" t="n">
        <f aca="false">-I39*Inputs!$E$79/30</f>
        <v>15139.0908444444</v>
      </c>
      <c r="J83" s="69" t="n">
        <f aca="false">-J39*Inputs!$E$79/30</f>
        <v>16082.0892444444</v>
      </c>
      <c r="K83" s="69" t="n">
        <f aca="false">-K39*Inputs!$E$79/30</f>
        <v>16278.7068444444</v>
      </c>
      <c r="L83" s="69" t="n">
        <f aca="false">-L39*Inputs!$E$79/30</f>
        <v>17170.8156444444</v>
      </c>
      <c r="M83" s="69" t="n">
        <f aca="false">-M39*Inputs!$E$79/30</f>
        <v>18062.9244444444</v>
      </c>
      <c r="N83" s="69" t="n">
        <f aca="false">-N39*Inputs!$E$79/30</f>
        <v>18911.0844444444</v>
      </c>
      <c r="O83" s="69" t="n">
        <f aca="false">-O39*Inputs!$E$79/30</f>
        <v>19064.2482097778</v>
      </c>
      <c r="P83" s="69" t="n">
        <f aca="false">-P39*Inputs!$E$79/30</f>
        <v>19064.2482097778</v>
      </c>
      <c r="Q83" s="69" t="n">
        <f aca="false">-Q39*Inputs!$E$79/30</f>
        <v>19064.2482097778</v>
      </c>
      <c r="R83" s="69" t="n">
        <f aca="false">-R39*Inputs!$E$79/30</f>
        <v>19064.2482097778</v>
      </c>
      <c r="S83" s="69" t="n">
        <f aca="false">-S39*Inputs!$E$79/30</f>
        <v>19064.2482097778</v>
      </c>
      <c r="T83" s="69" t="n">
        <f aca="false">-T39*Inputs!$E$79/30</f>
        <v>19964.0611537778</v>
      </c>
      <c r="U83" s="69" t="n">
        <f aca="false">-U39*Inputs!$E$79/30</f>
        <v>19964.0611537778</v>
      </c>
      <c r="V83" s="69" t="n">
        <f aca="false">-V39*Inputs!$E$79/30</f>
        <v>19964.0611537778</v>
      </c>
      <c r="W83" s="69" t="n">
        <f aca="false">-W39*Inputs!$E$79/30</f>
        <v>19064.2482097778</v>
      </c>
      <c r="X83" s="69" t="n">
        <f aca="false">-X39*Inputs!$E$79/30</f>
        <v>19064.2482097778</v>
      </c>
      <c r="Y83" s="69" t="n">
        <f aca="false">-Y39*Inputs!$E$79/30</f>
        <v>19064.2482097778</v>
      </c>
      <c r="Z83" s="69" t="n">
        <f aca="false">-Z39*Inputs!$E$79/30</f>
        <v>19964.0611537778</v>
      </c>
      <c r="AA83" s="69" t="n">
        <f aca="false">-AA39*Inputs!$E$79/30</f>
        <v>20123.5913424199</v>
      </c>
      <c r="AB83" s="69" t="n">
        <f aca="false">-AB39*Inputs!$E$79/30</f>
        <v>20123.5913424199</v>
      </c>
      <c r="AC83" s="69" t="n">
        <f aca="false">-AC39*Inputs!$E$79/30</f>
        <v>20123.5913424199</v>
      </c>
      <c r="AD83" s="69" t="n">
        <f aca="false">-AD39*Inputs!$E$79/30</f>
        <v>20123.5913424199</v>
      </c>
      <c r="AE83" s="69" t="n">
        <f aca="false">-AE39*Inputs!$E$79/30</f>
        <v>20123.5913424199</v>
      </c>
      <c r="AF83" s="69" t="n">
        <f aca="false">-AF39*Inputs!$E$79/30</f>
        <v>21078.2028947095</v>
      </c>
      <c r="AG83" s="69" t="n">
        <f aca="false">-AG39*Inputs!$E$79/30</f>
        <v>21078.2028947095</v>
      </c>
      <c r="AH83" s="69" t="n">
        <f aca="false">-AH39*Inputs!$E$79/30</f>
        <v>21078.2028947095</v>
      </c>
      <c r="AI83" s="69" t="n">
        <f aca="false">-AI39*Inputs!$E$79/30</f>
        <v>20123.5913424199</v>
      </c>
      <c r="AJ83" s="69" t="n">
        <f aca="false">-AJ39*Inputs!$E$79/30</f>
        <v>20123.5913424199</v>
      </c>
      <c r="AK83" s="69" t="n">
        <f aca="false">-AK39*Inputs!$E$79/30</f>
        <v>20123.5913424199</v>
      </c>
      <c r="AL83" s="69" t="n">
        <f aca="false">-AL39*Inputs!$E$79/30</f>
        <v>21078.2028947095</v>
      </c>
    </row>
    <row r="84" customFormat="false" ht="15" hidden="false" customHeight="false" outlineLevel="0" collapsed="false">
      <c r="A84" s="6" t="s">
        <v>342</v>
      </c>
      <c r="C84" s="69" t="n">
        <f aca="false">-C81</f>
        <v>-1667.12746666667</v>
      </c>
      <c r="D84" s="69" t="n">
        <f aca="false">C81-D81</f>
        <v>-250.06912</v>
      </c>
      <c r="E84" s="69" t="n">
        <f aca="false">D81-E81</f>
        <v>-250.069120000001</v>
      </c>
      <c r="F84" s="69" t="n">
        <f aca="false">E81-F81</f>
        <v>-250.06912</v>
      </c>
      <c r="G84" s="69" t="n">
        <f aca="false">F81-G81</f>
        <v>-250.06912</v>
      </c>
      <c r="H84" s="69" t="n">
        <f aca="false">G81-H81</f>
        <v>-685.457919999999</v>
      </c>
      <c r="I84" s="69" t="n">
        <f aca="false">H81-I81</f>
        <v>-287.38816</v>
      </c>
      <c r="J84" s="69" t="n">
        <f aca="false">I81-J81</f>
        <v>-287.38816</v>
      </c>
      <c r="K84" s="69" t="n">
        <f aca="false">J81-K81</f>
        <v>259.957760000001</v>
      </c>
      <c r="L84" s="69" t="n">
        <f aca="false">K81-L81</f>
        <v>-250.06912</v>
      </c>
      <c r="M84" s="69" t="n">
        <f aca="false">L81-M81</f>
        <v>-250.069120000001</v>
      </c>
      <c r="N84" s="69" t="n">
        <f aca="false">M81-N81</f>
        <v>-621.984</v>
      </c>
      <c r="O84" s="69" t="n">
        <f aca="false">N81-O81</f>
        <v>368.163843200001</v>
      </c>
      <c r="P84" s="69" t="n">
        <f aca="false">O81-P81</f>
        <v>0</v>
      </c>
      <c r="Q84" s="69" t="n">
        <f aca="false">P81-Q81</f>
        <v>0</v>
      </c>
      <c r="R84" s="69" t="n">
        <f aca="false">Q81-R81</f>
        <v>0</v>
      </c>
      <c r="S84" s="69" t="n">
        <f aca="false">R81-S81</f>
        <v>0</v>
      </c>
      <c r="T84" s="69" t="n">
        <f aca="false">S81-T81</f>
        <v>-659.862825599999</v>
      </c>
      <c r="U84" s="69" t="n">
        <f aca="false">T81-U81</f>
        <v>0</v>
      </c>
      <c r="V84" s="69" t="n">
        <f aca="false">U81-V81</f>
        <v>0</v>
      </c>
      <c r="W84" s="69" t="n">
        <f aca="false">V81-W81</f>
        <v>659.862825599999</v>
      </c>
      <c r="X84" s="69" t="n">
        <f aca="false">W81-X81</f>
        <v>0</v>
      </c>
      <c r="Y84" s="69" t="n">
        <f aca="false">X81-Y81</f>
        <v>0</v>
      </c>
      <c r="Z84" s="69" t="n">
        <f aca="false">Y81-Z81</f>
        <v>-659.862825599999</v>
      </c>
      <c r="AA84" s="69" t="n">
        <f aca="false">Z81-AA81</f>
        <v>390.58502125088</v>
      </c>
      <c r="AB84" s="69" t="n">
        <f aca="false">AA81-AB81</f>
        <v>0</v>
      </c>
      <c r="AC84" s="69" t="n">
        <f aca="false">AB81-AC81</f>
        <v>0</v>
      </c>
      <c r="AD84" s="69" t="n">
        <f aca="false">AC81-AD81</f>
        <v>0</v>
      </c>
      <c r="AE84" s="69" t="n">
        <f aca="false">AD81-AE81</f>
        <v>0</v>
      </c>
      <c r="AF84" s="69" t="n">
        <f aca="false">AE81-AF81</f>
        <v>-700.048471679041</v>
      </c>
      <c r="AG84" s="69" t="n">
        <f aca="false">AF81-AG81</f>
        <v>0</v>
      </c>
      <c r="AH84" s="69" t="n">
        <f aca="false">AG81-AH81</f>
        <v>0</v>
      </c>
      <c r="AI84" s="69" t="n">
        <f aca="false">AH81-AI81</f>
        <v>700.048471679041</v>
      </c>
      <c r="AJ84" s="69" t="n">
        <f aca="false">AI81-AJ81</f>
        <v>0</v>
      </c>
      <c r="AK84" s="69" t="n">
        <f aca="false">AJ81-AK81</f>
        <v>0</v>
      </c>
      <c r="AL84" s="69" t="n">
        <f aca="false">AK81-AL81</f>
        <v>-700.048471679041</v>
      </c>
    </row>
    <row r="85" customFormat="false" ht="15" hidden="false" customHeight="false" outlineLevel="0" collapsed="false">
      <c r="A85" s="6" t="s">
        <v>343</v>
      </c>
      <c r="C85" s="69" t="n">
        <f aca="false">-C82</f>
        <v>-2194.04074666667</v>
      </c>
      <c r="D85" s="69" t="n">
        <f aca="false">C82-D82</f>
        <v>-214.106112</v>
      </c>
      <c r="E85" s="69" t="n">
        <f aca="false">D82-E82</f>
        <v>-214.106112</v>
      </c>
      <c r="F85" s="69" t="n">
        <f aca="false">E82-F82</f>
        <v>-214.106112</v>
      </c>
      <c r="G85" s="69" t="n">
        <f aca="false">F82-G82</f>
        <v>-214.106111999999</v>
      </c>
      <c r="H85" s="69" t="n">
        <f aca="false">G82-H82</f>
        <v>-356.596992</v>
      </c>
      <c r="I85" s="69" t="n">
        <f aca="false">H82-I82</f>
        <v>-226.319615999999</v>
      </c>
      <c r="J85" s="69" t="n">
        <f aca="false">I82-J82</f>
        <v>-226.319616000001</v>
      </c>
      <c r="K85" s="69" t="n">
        <f aca="false">J82-K82</f>
        <v>-47.188224</v>
      </c>
      <c r="L85" s="69" t="n">
        <f aca="false">K82-L82</f>
        <v>-214.106111999999</v>
      </c>
      <c r="M85" s="69" t="n">
        <f aca="false">L82-M82</f>
        <v>-214.106112</v>
      </c>
      <c r="N85" s="69" t="n">
        <f aca="false">M82-N82</f>
        <v>-203.558400000001</v>
      </c>
      <c r="O85" s="69" t="n">
        <f aca="false">N82-O82</f>
        <v>-36.7593036799999</v>
      </c>
      <c r="P85" s="69" t="n">
        <f aca="false">O82-P82</f>
        <v>0</v>
      </c>
      <c r="Q85" s="69" t="n">
        <f aca="false">P82-Q82</f>
        <v>0</v>
      </c>
      <c r="R85" s="69" t="n">
        <f aca="false">Q82-R82</f>
        <v>0</v>
      </c>
      <c r="S85" s="69" t="n">
        <f aca="false">R82-S82</f>
        <v>0</v>
      </c>
      <c r="T85" s="69" t="n">
        <f aca="false">S82-T82</f>
        <v>-215.95510656</v>
      </c>
      <c r="U85" s="69" t="n">
        <f aca="false">T82-U82</f>
        <v>0</v>
      </c>
      <c r="V85" s="69" t="n">
        <f aca="false">U82-V82</f>
        <v>0</v>
      </c>
      <c r="W85" s="69" t="n">
        <f aca="false">V82-W82</f>
        <v>215.95510656</v>
      </c>
      <c r="X85" s="69" t="n">
        <f aca="false">W82-X82</f>
        <v>0</v>
      </c>
      <c r="Y85" s="69" t="n">
        <f aca="false">X82-Y82</f>
        <v>0</v>
      </c>
      <c r="Z85" s="69" t="n">
        <f aca="false">Y82-Z82</f>
        <v>-215.95510656</v>
      </c>
      <c r="AA85" s="69" t="n">
        <f aca="false">Z82-AA82</f>
        <v>-38.2872452741112</v>
      </c>
      <c r="AB85" s="69" t="n">
        <f aca="false">AA82-AB82</f>
        <v>0</v>
      </c>
      <c r="AC85" s="69" t="n">
        <f aca="false">AB82-AC82</f>
        <v>0</v>
      </c>
      <c r="AD85" s="69" t="n">
        <f aca="false">AC82-AD82</f>
        <v>0</v>
      </c>
      <c r="AE85" s="69" t="n">
        <f aca="false">AD82-AE82</f>
        <v>0</v>
      </c>
      <c r="AF85" s="69" t="n">
        <f aca="false">AE82-AF82</f>
        <v>-229.106772549504</v>
      </c>
      <c r="AG85" s="69" t="n">
        <f aca="false">AF82-AG82</f>
        <v>0</v>
      </c>
      <c r="AH85" s="69" t="n">
        <f aca="false">AG82-AH82</f>
        <v>0</v>
      </c>
      <c r="AI85" s="69" t="n">
        <f aca="false">AH82-AI82</f>
        <v>229.106772549504</v>
      </c>
      <c r="AJ85" s="69" t="n">
        <f aca="false">AI82-AJ82</f>
        <v>0</v>
      </c>
      <c r="AK85" s="69" t="n">
        <f aca="false">AJ82-AK82</f>
        <v>0</v>
      </c>
      <c r="AL85" s="69" t="n">
        <f aca="false">AK82-AL82</f>
        <v>-229.106772549504</v>
      </c>
    </row>
    <row r="86" customFormat="false" ht="15" hidden="false" customHeight="false" outlineLevel="0" collapsed="false">
      <c r="A86" s="6" t="s">
        <v>344</v>
      </c>
      <c r="C86" s="69" t="n">
        <f aca="false">C83</f>
        <v>9141.83644444444</v>
      </c>
      <c r="D86" s="69" t="n">
        <f aca="false">D83-C83</f>
        <v>892.108800000004</v>
      </c>
      <c r="E86" s="69" t="n">
        <f aca="false">E83-D83</f>
        <v>892.1088</v>
      </c>
      <c r="F86" s="69" t="n">
        <f aca="false">F83-E83</f>
        <v>892.108800000002</v>
      </c>
      <c r="G86" s="69" t="n">
        <f aca="false">G83-F83</f>
        <v>892.1088</v>
      </c>
      <c r="H86" s="69" t="n">
        <f aca="false">H83-G83</f>
        <v>1485.8208</v>
      </c>
      <c r="I86" s="69" t="n">
        <f aca="false">I83-H83</f>
        <v>942.998399999999</v>
      </c>
      <c r="J86" s="69" t="n">
        <f aca="false">J83-I83</f>
        <v>942.998400000004</v>
      </c>
      <c r="K86" s="69" t="n">
        <f aca="false">K83-J83</f>
        <v>196.6176</v>
      </c>
      <c r="L86" s="69" t="n">
        <f aca="false">L83-K83</f>
        <v>892.108799999995</v>
      </c>
      <c r="M86" s="69" t="n">
        <f aca="false">M83-L83</f>
        <v>892.108800000002</v>
      </c>
      <c r="N86" s="69" t="n">
        <f aca="false">N83-M83</f>
        <v>848.160000000004</v>
      </c>
      <c r="O86" s="69" t="n">
        <f aca="false">O83-N83</f>
        <v>153.163765333331</v>
      </c>
      <c r="P86" s="69" t="n">
        <f aca="false">P83-O83</f>
        <v>0</v>
      </c>
      <c r="Q86" s="69" t="n">
        <f aca="false">Q83-P83</f>
        <v>0</v>
      </c>
      <c r="R86" s="69" t="n">
        <f aca="false">R83-Q83</f>
        <v>0</v>
      </c>
      <c r="S86" s="69" t="n">
        <f aca="false">S83-R83</f>
        <v>0</v>
      </c>
      <c r="T86" s="69" t="n">
        <f aca="false">T83-S83</f>
        <v>899.812944000001</v>
      </c>
      <c r="U86" s="69" t="n">
        <f aca="false">U83-T83</f>
        <v>0</v>
      </c>
      <c r="V86" s="69" t="n">
        <f aca="false">V83-U83</f>
        <v>0</v>
      </c>
      <c r="W86" s="69" t="n">
        <f aca="false">W83-V83</f>
        <v>-899.812944000001</v>
      </c>
      <c r="X86" s="69" t="n">
        <f aca="false">X83-W83</f>
        <v>0</v>
      </c>
      <c r="Y86" s="69" t="n">
        <f aca="false">Y83-X83</f>
        <v>0</v>
      </c>
      <c r="Z86" s="69" t="n">
        <f aca="false">Z83-Y83</f>
        <v>899.812944000001</v>
      </c>
      <c r="AA86" s="69" t="n">
        <f aca="false">AA83-Z83</f>
        <v>159.530188642129</v>
      </c>
      <c r="AB86" s="69" t="n">
        <f aca="false">AB83-AA83</f>
        <v>0</v>
      </c>
      <c r="AC86" s="69" t="n">
        <f aca="false">AC83-AB83</f>
        <v>0</v>
      </c>
      <c r="AD86" s="69" t="n">
        <f aca="false">AD83-AC83</f>
        <v>0</v>
      </c>
      <c r="AE86" s="69" t="n">
        <f aca="false">AE83-AD83</f>
        <v>0</v>
      </c>
      <c r="AF86" s="69" t="n">
        <f aca="false">AF83-AE83</f>
        <v>954.611552289596</v>
      </c>
      <c r="AG86" s="69" t="n">
        <f aca="false">AG83-AF83</f>
        <v>0</v>
      </c>
      <c r="AH86" s="69" t="n">
        <f aca="false">AH83-AG83</f>
        <v>0</v>
      </c>
      <c r="AI86" s="69" t="n">
        <f aca="false">AI83-AH83</f>
        <v>-954.611552289596</v>
      </c>
      <c r="AJ86" s="69" t="n">
        <f aca="false">AJ83-AI83</f>
        <v>0</v>
      </c>
      <c r="AK86" s="69" t="n">
        <f aca="false">AK83-AJ83</f>
        <v>0</v>
      </c>
      <c r="AL86" s="69" t="n">
        <f aca="false">AL83-AK83</f>
        <v>954.611552289596</v>
      </c>
    </row>
    <row r="88" customFormat="false" ht="15.75" hidden="false" customHeight="true" outlineLevel="0" collapsed="false">
      <c r="A88" s="7" t="s">
        <v>418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customFormat="false" ht="15" hidden="false" customHeight="false" outlineLevel="0" collapsed="false">
      <c r="A89" s="4" t="s">
        <v>52</v>
      </c>
      <c r="C89" s="75" t="n">
        <f aca="false">C59-C70+C84+C85+C86</f>
        <v>-16920.3308622222</v>
      </c>
      <c r="D89" s="75" t="n">
        <f aca="false">D59-D70+D84+D85+D86</f>
        <v>-19198.8403893333</v>
      </c>
      <c r="E89" s="75" t="n">
        <f aca="false">E59-E70+E84+E85+E86</f>
        <v>-16618.3652533333</v>
      </c>
      <c r="F89" s="75" t="n">
        <f aca="false">F59-F70+F84+F85+F86</f>
        <v>-14037.8901173333</v>
      </c>
      <c r="G89" s="75" t="n">
        <f aca="false">G59-G70+G84+G85+G86</f>
        <v>-11457.4149813333</v>
      </c>
      <c r="H89" s="75" t="n">
        <f aca="false">H59-H70+H84+H85+H86</f>
        <v>-3238.65488533334</v>
      </c>
      <c r="I89" s="75" t="n">
        <f aca="false">I59-I70+I84+I85+I86</f>
        <v>-190.730501333334</v>
      </c>
      <c r="J89" s="75" t="n">
        <f aca="false">J59-J70+J84+J85+J86</f>
        <v>2871.66914666667</v>
      </c>
      <c r="K89" s="75" t="n">
        <f aca="false">K59-K70+K84+K85+K86</f>
        <v>-1154.06086933334</v>
      </c>
      <c r="L89" s="75" t="n">
        <f aca="false">L59-L70+L84+L85+L86</f>
        <v>1444.96069866666</v>
      </c>
      <c r="M89" s="75" t="n">
        <f aca="false">M59-M70+M84+M85+M86</f>
        <v>4025.43583466666</v>
      </c>
      <c r="N89" s="75" t="n">
        <f aca="false">N59-N70+N84+N85+N86</f>
        <v>11664.6950666667</v>
      </c>
      <c r="O89" s="75" t="n">
        <f aca="false">O59-O70+O84+O85+O86</f>
        <v>6361.44033456</v>
      </c>
      <c r="P89" s="75" t="n">
        <f aca="false">P59-P70+P84+P85+P86</f>
        <v>5889.37202970667</v>
      </c>
      <c r="Q89" s="75" t="n">
        <f aca="false">Q59-Q70+Q84+Q85+Q86</f>
        <v>5901.87202970667</v>
      </c>
      <c r="R89" s="75" t="n">
        <f aca="false">R59-R70+R84+R85+R86</f>
        <v>5914.37202970667</v>
      </c>
      <c r="S89" s="75" t="n">
        <f aca="false">S59-S70+S84+S85+S86</f>
        <v>5926.87202970667</v>
      </c>
      <c r="T89" s="75" t="n">
        <f aca="false">T59-T70+T84+T85+T86</f>
        <v>14484.5956212267</v>
      </c>
      <c r="U89" s="75" t="n">
        <f aca="false">U59-U70+U84+U85+U86</f>
        <v>14473.1006093867</v>
      </c>
      <c r="V89" s="75" t="n">
        <f aca="false">V59-V70+V84+V85+V86</f>
        <v>14485.6006093867</v>
      </c>
      <c r="W89" s="75" t="n">
        <f aca="false">W59-W70+W84+W85+W86</f>
        <v>5952.87701786667</v>
      </c>
      <c r="X89" s="75" t="n">
        <f aca="false">X59-X70+X84+X85+X86</f>
        <v>5989.37202970667</v>
      </c>
      <c r="Y89" s="75" t="n">
        <f aca="false">Y59-Y70+Y84+Y85+Y86</f>
        <v>6001.87202970667</v>
      </c>
      <c r="Z89" s="75" t="n">
        <f aca="false">Z59-Z70+Z84+Z85+Z86</f>
        <v>14559.5956212267</v>
      </c>
      <c r="AA89" s="75" t="n">
        <f aca="false">AA59-AA70+AA84+AA85+AA86</f>
        <v>8780.24153843469</v>
      </c>
      <c r="AB89" s="75" t="n">
        <f aca="false">AB59-AB70+AB84+AB85+AB86</f>
        <v>8280.91357381579</v>
      </c>
      <c r="AC89" s="75" t="n">
        <f aca="false">AC59-AC70+AC84+AC85+AC86</f>
        <v>7694.55221155984</v>
      </c>
      <c r="AD89" s="75" t="n">
        <f aca="false">AD59-AD70+AD84+AD85+AD86</f>
        <v>7018.85922331448</v>
      </c>
      <c r="AE89" s="75" t="n">
        <f aca="false">AE59-AE70+AE84+AE85+AE86</f>
        <v>7028.73422331448</v>
      </c>
      <c r="AF89" s="75" t="n">
        <f aca="false">AF59-AF70+AF84+AF85+AF86</f>
        <v>14205.8009375197</v>
      </c>
      <c r="AG89" s="75" t="n">
        <f aca="false">AG59-AG70+AG84+AG85+AG86</f>
        <v>14190.2196294587</v>
      </c>
      <c r="AH89" s="75" t="n">
        <f aca="false">AH59-AH70+AH84+AH85+AH86</f>
        <v>14200.0946294587</v>
      </c>
      <c r="AI89" s="75" t="n">
        <f aca="false">AI59-AI70+AI84+AI85+AI86</f>
        <v>7042.77791525342</v>
      </c>
      <c r="AJ89" s="75" t="n">
        <f aca="false">AJ59-AJ70+AJ84+AJ85+AJ86</f>
        <v>7078.10922331448</v>
      </c>
      <c r="AK89" s="75" t="n">
        <f aca="false">AK59-AK70+AK84+AK85+AK86</f>
        <v>7087.98422331448</v>
      </c>
      <c r="AL89" s="75" t="n">
        <f aca="false">AL59-AL70+AL84+AL85+AL86</f>
        <v>14265.0509375197</v>
      </c>
    </row>
    <row r="90" customFormat="false" ht="15" hidden="false" customHeight="false" outlineLevel="0" collapsed="false">
      <c r="A90" s="6" t="s">
        <v>419</v>
      </c>
      <c r="C90" s="69" t="n">
        <f aca="false">-C67</f>
        <v>-189000</v>
      </c>
      <c r="D90" s="69" t="n">
        <f aca="false">-D67</f>
        <v>-0</v>
      </c>
      <c r="E90" s="69" t="n">
        <f aca="false">-E67</f>
        <v>-0</v>
      </c>
      <c r="F90" s="69" t="n">
        <f aca="false">-F67</f>
        <v>-0</v>
      </c>
      <c r="G90" s="69" t="n">
        <f aca="false">-G67</f>
        <v>-0</v>
      </c>
      <c r="H90" s="69" t="n">
        <f aca="false">-H67</f>
        <v>-0</v>
      </c>
      <c r="I90" s="69" t="n">
        <f aca="false">-I67</f>
        <v>-0</v>
      </c>
      <c r="J90" s="69" t="n">
        <f aca="false">-J67</f>
        <v>-0</v>
      </c>
      <c r="K90" s="69" t="n">
        <f aca="false">-K67</f>
        <v>-0</v>
      </c>
      <c r="L90" s="69" t="n">
        <f aca="false">-L67</f>
        <v>-0</v>
      </c>
      <c r="M90" s="69" t="n">
        <f aca="false">-M67</f>
        <v>-0</v>
      </c>
      <c r="N90" s="69" t="n">
        <f aca="false">-N67</f>
        <v>-0</v>
      </c>
      <c r="O90" s="69" t="n">
        <f aca="false">-O67</f>
        <v>-10000</v>
      </c>
      <c r="P90" s="69" t="n">
        <f aca="false">-P67</f>
        <v>-0</v>
      </c>
      <c r="Q90" s="69" t="n">
        <f aca="false">-Q67</f>
        <v>-0</v>
      </c>
      <c r="R90" s="69" t="n">
        <f aca="false">-R67</f>
        <v>-0</v>
      </c>
      <c r="S90" s="69" t="n">
        <f aca="false">-S67</f>
        <v>-0</v>
      </c>
      <c r="T90" s="69" t="n">
        <f aca="false">-T67</f>
        <v>-0</v>
      </c>
      <c r="U90" s="69" t="n">
        <f aca="false">-U67</f>
        <v>-0</v>
      </c>
      <c r="V90" s="69" t="n">
        <f aca="false">-V67</f>
        <v>-0</v>
      </c>
      <c r="W90" s="69" t="n">
        <f aca="false">-W67</f>
        <v>-0</v>
      </c>
      <c r="X90" s="69" t="n">
        <f aca="false">-X67</f>
        <v>-0</v>
      </c>
      <c r="Y90" s="69" t="n">
        <f aca="false">-Y67</f>
        <v>-0</v>
      </c>
      <c r="Z90" s="69" t="n">
        <f aca="false">-Z67</f>
        <v>-0</v>
      </c>
      <c r="AA90" s="69" t="n">
        <f aca="false">-AA67</f>
        <v>-10000</v>
      </c>
      <c r="AB90" s="69" t="n">
        <f aca="false">-AB67</f>
        <v>-0</v>
      </c>
      <c r="AC90" s="69" t="n">
        <f aca="false">-AC67</f>
        <v>-0</v>
      </c>
      <c r="AD90" s="69" t="n">
        <f aca="false">-AD67</f>
        <v>-0</v>
      </c>
      <c r="AE90" s="69" t="n">
        <f aca="false">-AE67</f>
        <v>-0</v>
      </c>
      <c r="AF90" s="69" t="n">
        <f aca="false">-AF67</f>
        <v>-0</v>
      </c>
      <c r="AG90" s="69" t="n">
        <f aca="false">-AG67</f>
        <v>-0</v>
      </c>
      <c r="AH90" s="69" t="n">
        <f aca="false">-AH67</f>
        <v>-0</v>
      </c>
      <c r="AI90" s="69" t="n">
        <f aca="false">-AI67</f>
        <v>-0</v>
      </c>
      <c r="AJ90" s="69" t="n">
        <f aca="false">-AJ67</f>
        <v>-0</v>
      </c>
      <c r="AK90" s="69" t="n">
        <f aca="false">-AK67</f>
        <v>-0</v>
      </c>
      <c r="AL90" s="69" t="n">
        <f aca="false">-AL67</f>
        <v>-0</v>
      </c>
    </row>
    <row r="91" customFormat="false" ht="15" hidden="false" customHeight="false" outlineLevel="0" collapsed="false">
      <c r="A91" s="6" t="s">
        <v>64</v>
      </c>
      <c r="C91" s="69" t="n">
        <f aca="false">IF(C$4=1,Inputs!$E$71,0)</f>
        <v>330000</v>
      </c>
      <c r="D91" s="69" t="n">
        <f aca="false">IF(D$4=1,Inputs!$E$71,0)</f>
        <v>0</v>
      </c>
      <c r="E91" s="69" t="n">
        <f aca="false">IF(E$4=1,Inputs!$E$71,0)</f>
        <v>0</v>
      </c>
      <c r="F91" s="69" t="n">
        <f aca="false">IF(F$4=1,Inputs!$E$71,0)</f>
        <v>0</v>
      </c>
      <c r="G91" s="69" t="n">
        <f aca="false">IF(G$4=1,Inputs!$E$71,0)</f>
        <v>0</v>
      </c>
      <c r="H91" s="69" t="n">
        <f aca="false">IF(H$4=1,Inputs!$E$71,0)</f>
        <v>0</v>
      </c>
      <c r="I91" s="69" t="n">
        <f aca="false">IF(I$4=1,Inputs!$E$71,0)</f>
        <v>0</v>
      </c>
      <c r="J91" s="69" t="n">
        <f aca="false">IF(J$4=1,Inputs!$E$71,0)</f>
        <v>0</v>
      </c>
      <c r="K91" s="69" t="n">
        <f aca="false">IF(K$4=1,Inputs!$E$71,0)</f>
        <v>0</v>
      </c>
      <c r="L91" s="69" t="n">
        <f aca="false">IF(L$4=1,Inputs!$E$71,0)</f>
        <v>0</v>
      </c>
      <c r="M91" s="69" t="n">
        <f aca="false">IF(M$4=1,Inputs!$E$71,0)</f>
        <v>0</v>
      </c>
      <c r="N91" s="69" t="n">
        <f aca="false">IF(N$4=1,Inputs!$E$71,0)</f>
        <v>0</v>
      </c>
      <c r="O91" s="69" t="n">
        <f aca="false">IF(O$4=1,Inputs!$E$71,0)</f>
        <v>0</v>
      </c>
      <c r="P91" s="69" t="n">
        <f aca="false">IF(P$4=1,Inputs!$E$71,0)</f>
        <v>0</v>
      </c>
      <c r="Q91" s="69" t="n">
        <f aca="false">IF(Q$4=1,Inputs!$E$71,0)</f>
        <v>0</v>
      </c>
      <c r="R91" s="69" t="n">
        <f aca="false">IF(R$4=1,Inputs!$E$71,0)</f>
        <v>0</v>
      </c>
      <c r="S91" s="69" t="n">
        <f aca="false">IF(S$4=1,Inputs!$E$71,0)</f>
        <v>0</v>
      </c>
      <c r="T91" s="69" t="n">
        <f aca="false">IF(T$4=1,Inputs!$E$71,0)</f>
        <v>0</v>
      </c>
      <c r="U91" s="69" t="n">
        <f aca="false">IF(U$4=1,Inputs!$E$71,0)</f>
        <v>0</v>
      </c>
      <c r="V91" s="69" t="n">
        <f aca="false">IF(V$4=1,Inputs!$E$71,0)</f>
        <v>0</v>
      </c>
      <c r="W91" s="69" t="n">
        <f aca="false">IF(W$4=1,Inputs!$E$71,0)</f>
        <v>0</v>
      </c>
      <c r="X91" s="69" t="n">
        <f aca="false">IF(X$4=1,Inputs!$E$71,0)</f>
        <v>0</v>
      </c>
      <c r="Y91" s="69" t="n">
        <f aca="false">IF(Y$4=1,Inputs!$E$71,0)</f>
        <v>0</v>
      </c>
      <c r="Z91" s="69" t="n">
        <f aca="false">IF(Z$4=1,Inputs!$E$71,0)</f>
        <v>0</v>
      </c>
      <c r="AA91" s="69" t="n">
        <f aca="false">IF(AA$4=1,Inputs!$E$71,0)</f>
        <v>0</v>
      </c>
      <c r="AB91" s="69" t="n">
        <f aca="false">IF(AB$4=1,Inputs!$E$71,0)</f>
        <v>0</v>
      </c>
      <c r="AC91" s="69" t="n">
        <f aca="false">IF(AC$4=1,Inputs!$E$71,0)</f>
        <v>0</v>
      </c>
      <c r="AD91" s="69" t="n">
        <f aca="false">IF(AD$4=1,Inputs!$E$71,0)</f>
        <v>0</v>
      </c>
      <c r="AE91" s="69" t="n">
        <f aca="false">IF(AE$4=1,Inputs!$E$71,0)</f>
        <v>0</v>
      </c>
      <c r="AF91" s="69" t="n">
        <f aca="false">IF(AF$4=1,Inputs!$E$71,0)</f>
        <v>0</v>
      </c>
      <c r="AG91" s="69" t="n">
        <f aca="false">IF(AG$4=1,Inputs!$E$71,0)</f>
        <v>0</v>
      </c>
      <c r="AH91" s="69" t="n">
        <f aca="false">IF(AH$4=1,Inputs!$E$71,0)</f>
        <v>0</v>
      </c>
      <c r="AI91" s="69" t="n">
        <f aca="false">IF(AI$4=1,Inputs!$E$71,0)</f>
        <v>0</v>
      </c>
      <c r="AJ91" s="69" t="n">
        <f aca="false">IF(AJ$4=1,Inputs!$E$71,0)</f>
        <v>0</v>
      </c>
      <c r="AK91" s="69" t="n">
        <f aca="false">IF(AK$4=1,Inputs!$E$71,0)</f>
        <v>0</v>
      </c>
      <c r="AL91" s="69" t="n">
        <f aca="false">IF(AL$4=1,Inputs!$E$71,0)</f>
        <v>0</v>
      </c>
    </row>
    <row r="92" customFormat="false" ht="15" hidden="false" customHeight="false" outlineLevel="0" collapsed="false">
      <c r="A92" s="6" t="s">
        <v>54</v>
      </c>
      <c r="C92" s="69" t="n">
        <f aca="false">C91+C76+C77</f>
        <v>430000</v>
      </c>
      <c r="D92" s="69" t="n">
        <f aca="false">D91+D76+D77</f>
        <v>-1666.66666666667</v>
      </c>
      <c r="E92" s="69" t="n">
        <f aca="false">E91+E76+E77</f>
        <v>-1666.66666666667</v>
      </c>
      <c r="F92" s="69" t="n">
        <f aca="false">F91+F76+F77</f>
        <v>-1666.66666666667</v>
      </c>
      <c r="G92" s="69" t="n">
        <f aca="false">G91+G76+G77</f>
        <v>-1666.66666666667</v>
      </c>
      <c r="H92" s="69" t="n">
        <f aca="false">H91+H76+H77</f>
        <v>-1666.66666666667</v>
      </c>
      <c r="I92" s="69" t="n">
        <f aca="false">I91+I76+I77</f>
        <v>-1666.66666666667</v>
      </c>
      <c r="J92" s="69" t="n">
        <f aca="false">J91+J76+J77</f>
        <v>-1666.66666666667</v>
      </c>
      <c r="K92" s="69" t="n">
        <f aca="false">K91+K76+K77</f>
        <v>-1666.66666666667</v>
      </c>
      <c r="L92" s="69" t="n">
        <f aca="false">L91+L76+L77</f>
        <v>-1666.66666666667</v>
      </c>
      <c r="M92" s="69" t="n">
        <f aca="false">M91+M76+M77</f>
        <v>-1666.66666666667</v>
      </c>
      <c r="N92" s="69" t="n">
        <f aca="false">N91+N76+N77</f>
        <v>-1666.66666666667</v>
      </c>
      <c r="O92" s="69" t="n">
        <f aca="false">O91+O76+O77</f>
        <v>-1666.66666666667</v>
      </c>
      <c r="P92" s="69" t="n">
        <f aca="false">P91+P76+P77</f>
        <v>-1666.66666666667</v>
      </c>
      <c r="Q92" s="69" t="n">
        <f aca="false">Q91+Q76+Q77</f>
        <v>-1666.66666666667</v>
      </c>
      <c r="R92" s="69" t="n">
        <f aca="false">R91+R76+R77</f>
        <v>-1666.66666666667</v>
      </c>
      <c r="S92" s="69" t="n">
        <f aca="false">S91+S76+S77</f>
        <v>-1666.66666666667</v>
      </c>
      <c r="T92" s="69" t="n">
        <f aca="false">T91+T76+T77</f>
        <v>-1666.66666666667</v>
      </c>
      <c r="U92" s="69" t="n">
        <f aca="false">U91+U76+U77</f>
        <v>-1666.66666666667</v>
      </c>
      <c r="V92" s="69" t="n">
        <f aca="false">V91+V76+V77</f>
        <v>-1666.66666666667</v>
      </c>
      <c r="W92" s="69" t="n">
        <f aca="false">W91+W76+W77</f>
        <v>-1666.66666666667</v>
      </c>
      <c r="X92" s="69" t="n">
        <f aca="false">X91+X76+X77</f>
        <v>-1666.66666666667</v>
      </c>
      <c r="Y92" s="69" t="n">
        <f aca="false">Y91+Y76+Y77</f>
        <v>-1666.66666666667</v>
      </c>
      <c r="Z92" s="69" t="n">
        <f aca="false">Z91+Z76+Z77</f>
        <v>-1666.66666666667</v>
      </c>
      <c r="AA92" s="69" t="n">
        <f aca="false">AA91+AA76+AA77</f>
        <v>-1666.66666666667</v>
      </c>
      <c r="AB92" s="69" t="n">
        <f aca="false">AB91+AB76+AB77</f>
        <v>-1666.66666666667</v>
      </c>
      <c r="AC92" s="69" t="n">
        <f aca="false">AC91+AC76+AC77</f>
        <v>-1666.66666666667</v>
      </c>
      <c r="AD92" s="69" t="n">
        <f aca="false">AD91+AD76+AD77</f>
        <v>-1666.66666666667</v>
      </c>
      <c r="AE92" s="69" t="n">
        <f aca="false">AE91+AE76+AE77</f>
        <v>-1666.66666666667</v>
      </c>
      <c r="AF92" s="69" t="n">
        <f aca="false">AF91+AF76+AF77</f>
        <v>-1666.66666666667</v>
      </c>
      <c r="AG92" s="69" t="n">
        <f aca="false">AG91+AG76+AG77</f>
        <v>-1666.66666666667</v>
      </c>
      <c r="AH92" s="69" t="n">
        <f aca="false">AH91+AH76+AH77</f>
        <v>-1666.66666666667</v>
      </c>
      <c r="AI92" s="69" t="n">
        <f aca="false">AI91+AI76+AI77</f>
        <v>-1666.66666666667</v>
      </c>
      <c r="AJ92" s="69" t="n">
        <f aca="false">AJ91+AJ76+AJ77</f>
        <v>-1666.66666666667</v>
      </c>
      <c r="AK92" s="69" t="n">
        <f aca="false">AK91+AK76+AK77</f>
        <v>-1666.66666666667</v>
      </c>
      <c r="AL92" s="69" t="n">
        <f aca="false">AL91+AL76+AL77</f>
        <v>-1666.66666666667</v>
      </c>
    </row>
    <row r="93" customFormat="false" ht="15" hidden="false" customHeight="false" outlineLevel="0" collapsed="false">
      <c r="A93" s="115" t="s">
        <v>420</v>
      </c>
      <c r="C93" s="70" t="n">
        <f aca="false">C89+C90+C92</f>
        <v>224079.669137778</v>
      </c>
      <c r="D93" s="70" t="n">
        <f aca="false">D89+D90+D92</f>
        <v>-20865.507056</v>
      </c>
      <c r="E93" s="70" t="n">
        <f aca="false">E89+E90+E92</f>
        <v>-18285.03192</v>
      </c>
      <c r="F93" s="70" t="n">
        <f aca="false">F89+F90+F92</f>
        <v>-15704.556784</v>
      </c>
      <c r="G93" s="70" t="n">
        <f aca="false">G89+G90+G92</f>
        <v>-13124.081648</v>
      </c>
      <c r="H93" s="70" t="n">
        <f aca="false">H89+H90+H92</f>
        <v>-4905.32155200001</v>
      </c>
      <c r="I93" s="70" t="n">
        <f aca="false">I89+I90+I92</f>
        <v>-1857.397168</v>
      </c>
      <c r="J93" s="70" t="n">
        <f aca="false">J89+J90+J92</f>
        <v>1205.00248</v>
      </c>
      <c r="K93" s="70" t="n">
        <f aca="false">K89+K90+K92</f>
        <v>-2820.72753600001</v>
      </c>
      <c r="L93" s="70" t="n">
        <f aca="false">L89+L90+L92</f>
        <v>-221.705968000009</v>
      </c>
      <c r="M93" s="70" t="n">
        <f aca="false">M89+M90+M92</f>
        <v>2358.769168</v>
      </c>
      <c r="N93" s="70" t="n">
        <f aca="false">N89+N90+N92</f>
        <v>9998.02840000001</v>
      </c>
      <c r="O93" s="70" t="n">
        <f aca="false">O89+O90+O92</f>
        <v>-5305.22633210667</v>
      </c>
      <c r="P93" s="70" t="n">
        <f aca="false">P89+P90+P92</f>
        <v>4222.70536304</v>
      </c>
      <c r="Q93" s="70" t="n">
        <f aca="false">Q89+Q90+Q92</f>
        <v>4235.20536304</v>
      </c>
      <c r="R93" s="70" t="n">
        <f aca="false">R89+R90+R92</f>
        <v>4247.70536304</v>
      </c>
      <c r="S93" s="70" t="n">
        <f aca="false">S89+S90+S92</f>
        <v>4260.20536304</v>
      </c>
      <c r="T93" s="70" t="n">
        <f aca="false">T89+T90+T92</f>
        <v>12817.92895456</v>
      </c>
      <c r="U93" s="70" t="n">
        <f aca="false">U89+U90+U92</f>
        <v>12806.43394272</v>
      </c>
      <c r="V93" s="70" t="n">
        <f aca="false">V89+V90+V92</f>
        <v>12818.93394272</v>
      </c>
      <c r="W93" s="70" t="n">
        <f aca="false">W89+W90+W92</f>
        <v>4286.2103512</v>
      </c>
      <c r="X93" s="70" t="n">
        <f aca="false">X89+X90+X92</f>
        <v>4322.70536304</v>
      </c>
      <c r="Y93" s="70" t="n">
        <f aca="false">Y89+Y90+Y92</f>
        <v>4335.20536304</v>
      </c>
      <c r="Z93" s="70" t="n">
        <f aca="false">Z89+Z90+Z92</f>
        <v>12892.92895456</v>
      </c>
      <c r="AA93" s="70" t="n">
        <f aca="false">AA89+AA90+AA92</f>
        <v>-2886.42512823197</v>
      </c>
      <c r="AB93" s="70" t="n">
        <f aca="false">AB89+AB90+AB92</f>
        <v>6614.24690714913</v>
      </c>
      <c r="AC93" s="70" t="n">
        <f aca="false">AC89+AC90+AC92</f>
        <v>6027.88554489317</v>
      </c>
      <c r="AD93" s="70" t="n">
        <f aca="false">AD89+AD90+AD92</f>
        <v>5352.19255664781</v>
      </c>
      <c r="AE93" s="70" t="n">
        <f aca="false">AE89+AE90+AE92</f>
        <v>5362.06755664781</v>
      </c>
      <c r="AF93" s="70" t="n">
        <f aca="false">AF89+AF90+AF92</f>
        <v>12539.134270853</v>
      </c>
      <c r="AG93" s="70" t="n">
        <f aca="false">AG89+AG90+AG92</f>
        <v>12523.552962792</v>
      </c>
      <c r="AH93" s="70" t="n">
        <f aca="false">AH89+AH90+AH92</f>
        <v>12533.427962792</v>
      </c>
      <c r="AI93" s="70" t="n">
        <f aca="false">AI89+AI90+AI92</f>
        <v>5376.11124858676</v>
      </c>
      <c r="AJ93" s="70" t="n">
        <f aca="false">AJ89+AJ90+AJ92</f>
        <v>5411.44255664781</v>
      </c>
      <c r="AK93" s="70" t="n">
        <f aca="false">AK89+AK90+AK92</f>
        <v>5421.31755664781</v>
      </c>
      <c r="AL93" s="70" t="n">
        <f aca="false">AL89+AL90+AL92</f>
        <v>12598.384270853</v>
      </c>
    </row>
    <row r="94" customFormat="false" ht="15" hidden="false" customHeight="false" outlineLevel="0" collapsed="false">
      <c r="A94" s="6" t="s">
        <v>345</v>
      </c>
      <c r="C94" s="69" t="n">
        <f aca="false">0</f>
        <v>0</v>
      </c>
      <c r="D94" s="69" t="n">
        <f aca="false">C95</f>
        <v>224079.669137778</v>
      </c>
      <c r="E94" s="69" t="n">
        <f aca="false">D95</f>
        <v>203214.162081778</v>
      </c>
      <c r="F94" s="69" t="n">
        <f aca="false">E95</f>
        <v>184929.130161778</v>
      </c>
      <c r="G94" s="69" t="n">
        <f aca="false">F95</f>
        <v>169224.573377778</v>
      </c>
      <c r="H94" s="69" t="n">
        <f aca="false">G95</f>
        <v>156100.491729778</v>
      </c>
      <c r="I94" s="69" t="n">
        <f aca="false">H95</f>
        <v>151195.170177778</v>
      </c>
      <c r="J94" s="69" t="n">
        <f aca="false">I95</f>
        <v>149337.773009778</v>
      </c>
      <c r="K94" s="69" t="n">
        <f aca="false">J95</f>
        <v>150542.775489778</v>
      </c>
      <c r="L94" s="69" t="n">
        <f aca="false">K95</f>
        <v>147722.047953778</v>
      </c>
      <c r="M94" s="69" t="n">
        <f aca="false">L95</f>
        <v>147500.341985778</v>
      </c>
      <c r="N94" s="69" t="n">
        <f aca="false">M95</f>
        <v>149859.111153778</v>
      </c>
      <c r="O94" s="69" t="n">
        <f aca="false">N95</f>
        <v>159857.139553778</v>
      </c>
      <c r="P94" s="69" t="n">
        <f aca="false">O95</f>
        <v>154551.913221671</v>
      </c>
      <c r="Q94" s="69" t="n">
        <f aca="false">P95</f>
        <v>158774.618584711</v>
      </c>
      <c r="R94" s="69" t="n">
        <f aca="false">Q95</f>
        <v>163009.823947751</v>
      </c>
      <c r="S94" s="69" t="n">
        <f aca="false">R95</f>
        <v>167257.529310791</v>
      </c>
      <c r="T94" s="69" t="n">
        <f aca="false">S95</f>
        <v>171517.734673831</v>
      </c>
      <c r="U94" s="69" t="n">
        <f aca="false">T95</f>
        <v>184335.663628391</v>
      </c>
      <c r="V94" s="69" t="n">
        <f aca="false">U95</f>
        <v>197142.097571111</v>
      </c>
      <c r="W94" s="69" t="n">
        <f aca="false">V95</f>
        <v>209961.031513831</v>
      </c>
      <c r="X94" s="69" t="n">
        <f aca="false">W95</f>
        <v>214247.241865031</v>
      </c>
      <c r="Y94" s="69" t="n">
        <f aca="false">X95</f>
        <v>218569.947228071</v>
      </c>
      <c r="Z94" s="69" t="n">
        <f aca="false">Y95</f>
        <v>222905.152591111</v>
      </c>
      <c r="AA94" s="69" t="n">
        <f aca="false">Z95</f>
        <v>235798.081545671</v>
      </c>
      <c r="AB94" s="69" t="n">
        <f aca="false">AA95</f>
        <v>232911.656417439</v>
      </c>
      <c r="AC94" s="69" t="n">
        <f aca="false">AB95</f>
        <v>239525.903324588</v>
      </c>
      <c r="AD94" s="69" t="n">
        <f aca="false">AC95</f>
        <v>245553.788869481</v>
      </c>
      <c r="AE94" s="69" t="n">
        <f aca="false">AD95</f>
        <v>250905.981426129</v>
      </c>
      <c r="AF94" s="69" t="n">
        <f aca="false">AE95</f>
        <v>256268.048982777</v>
      </c>
      <c r="AG94" s="69" t="n">
        <f aca="false">AF95</f>
        <v>268807.18325363</v>
      </c>
      <c r="AH94" s="69" t="n">
        <f aca="false">AG95</f>
        <v>281330.736216422</v>
      </c>
      <c r="AI94" s="69" t="n">
        <f aca="false">AH95</f>
        <v>293864.164179214</v>
      </c>
      <c r="AJ94" s="69" t="n">
        <f aca="false">AI95</f>
        <v>299240.275427801</v>
      </c>
      <c r="AK94" s="69" t="n">
        <f aca="false">AJ95</f>
        <v>304651.717984449</v>
      </c>
      <c r="AL94" s="69" t="n">
        <f aca="false">AK95</f>
        <v>310073.035541097</v>
      </c>
    </row>
    <row r="95" customFormat="false" ht="15" hidden="false" customHeight="false" outlineLevel="0" collapsed="false">
      <c r="A95" s="115" t="s">
        <v>87</v>
      </c>
      <c r="C95" s="70" t="n">
        <f aca="false">C94+C93</f>
        <v>224079.669137778</v>
      </c>
      <c r="D95" s="70" t="n">
        <f aca="false">D94+D93</f>
        <v>203214.162081778</v>
      </c>
      <c r="E95" s="70" t="n">
        <f aca="false">E94+E93</f>
        <v>184929.130161778</v>
      </c>
      <c r="F95" s="70" t="n">
        <f aca="false">F94+F93</f>
        <v>169224.573377778</v>
      </c>
      <c r="G95" s="70" t="n">
        <f aca="false">G94+G93</f>
        <v>156100.491729778</v>
      </c>
      <c r="H95" s="70" t="n">
        <f aca="false">H94+H93</f>
        <v>151195.170177778</v>
      </c>
      <c r="I95" s="70" t="n">
        <f aca="false">I94+I93</f>
        <v>149337.773009778</v>
      </c>
      <c r="J95" s="70" t="n">
        <f aca="false">J94+J93</f>
        <v>150542.775489778</v>
      </c>
      <c r="K95" s="70" t="n">
        <f aca="false">K94+K93</f>
        <v>147722.047953778</v>
      </c>
      <c r="L95" s="70" t="n">
        <f aca="false">L94+L93</f>
        <v>147500.341985778</v>
      </c>
      <c r="M95" s="70" t="n">
        <f aca="false">M94+M93</f>
        <v>149859.111153778</v>
      </c>
      <c r="N95" s="70" t="n">
        <f aca="false">N94+N93</f>
        <v>159857.139553778</v>
      </c>
      <c r="O95" s="70" t="n">
        <f aca="false">O94+O93</f>
        <v>154551.913221671</v>
      </c>
      <c r="P95" s="70" t="n">
        <f aca="false">P94+P93</f>
        <v>158774.618584711</v>
      </c>
      <c r="Q95" s="70" t="n">
        <f aca="false">Q94+Q93</f>
        <v>163009.823947751</v>
      </c>
      <c r="R95" s="70" t="n">
        <f aca="false">R94+R93</f>
        <v>167257.529310791</v>
      </c>
      <c r="S95" s="70" t="n">
        <f aca="false">S94+S93</f>
        <v>171517.734673831</v>
      </c>
      <c r="T95" s="70" t="n">
        <f aca="false">T94+T93</f>
        <v>184335.663628391</v>
      </c>
      <c r="U95" s="70" t="n">
        <f aca="false">U94+U93</f>
        <v>197142.097571111</v>
      </c>
      <c r="V95" s="70" t="n">
        <f aca="false">V94+V93</f>
        <v>209961.031513831</v>
      </c>
      <c r="W95" s="70" t="n">
        <f aca="false">W94+W93</f>
        <v>214247.241865031</v>
      </c>
      <c r="X95" s="70" t="n">
        <f aca="false">X94+X93</f>
        <v>218569.947228071</v>
      </c>
      <c r="Y95" s="70" t="n">
        <f aca="false">Y94+Y93</f>
        <v>222905.152591111</v>
      </c>
      <c r="Z95" s="70" t="n">
        <f aca="false">Z94+Z93</f>
        <v>235798.081545671</v>
      </c>
      <c r="AA95" s="70" t="n">
        <f aca="false">AA94+AA93</f>
        <v>232911.656417439</v>
      </c>
      <c r="AB95" s="70" t="n">
        <f aca="false">AB94+AB93</f>
        <v>239525.903324588</v>
      </c>
      <c r="AC95" s="70" t="n">
        <f aca="false">AC94+AC93</f>
        <v>245553.788869481</v>
      </c>
      <c r="AD95" s="70" t="n">
        <f aca="false">AD94+AD93</f>
        <v>250905.981426129</v>
      </c>
      <c r="AE95" s="70" t="n">
        <f aca="false">AE94+AE93</f>
        <v>256268.048982777</v>
      </c>
      <c r="AF95" s="70" t="n">
        <f aca="false">AF94+AF93</f>
        <v>268807.18325363</v>
      </c>
      <c r="AG95" s="70" t="n">
        <f aca="false">AG94+AG93</f>
        <v>281330.736216422</v>
      </c>
      <c r="AH95" s="70" t="n">
        <f aca="false">AH94+AH93</f>
        <v>293864.164179214</v>
      </c>
      <c r="AI95" s="70" t="n">
        <f aca="false">AI94+AI93</f>
        <v>299240.275427801</v>
      </c>
      <c r="AJ95" s="70" t="n">
        <f aca="false">AJ94+AJ93</f>
        <v>304651.717984449</v>
      </c>
      <c r="AK95" s="70" t="n">
        <f aca="false">AK94+AK93</f>
        <v>310073.035541097</v>
      </c>
      <c r="AL95" s="70" t="n">
        <f aca="false">AL94+AL93</f>
        <v>322671.41981195</v>
      </c>
    </row>
    <row r="96" customFormat="false" ht="15" hidden="false" customHeight="false" outlineLevel="0" collapsed="false">
      <c r="A96" s="118" t="s">
        <v>421</v>
      </c>
      <c r="C96" s="120" t="n">
        <f aca="false">IF(C50&gt;0,1,0)</f>
        <v>0</v>
      </c>
      <c r="D96" s="120" t="n">
        <f aca="false">IF(D50&gt;0,1,0)</f>
        <v>0</v>
      </c>
      <c r="E96" s="120" t="n">
        <f aca="false">IF(E50&gt;0,1,0)</f>
        <v>0</v>
      </c>
      <c r="F96" s="120" t="n">
        <f aca="false">IF(F50&gt;0,1,0)</f>
        <v>0</v>
      </c>
      <c r="G96" s="120" t="n">
        <f aca="false">IF(G50&gt;0,1,0)</f>
        <v>0</v>
      </c>
      <c r="H96" s="120" t="n">
        <f aca="false">IF(H50&gt;0,1,0)</f>
        <v>0</v>
      </c>
      <c r="I96" s="120" t="n">
        <f aca="false">IF(I50&gt;0,1,0)</f>
        <v>1</v>
      </c>
      <c r="J96" s="120" t="n">
        <f aca="false">IF(J50&gt;0,1,0)</f>
        <v>1</v>
      </c>
      <c r="K96" s="120" t="n">
        <f aca="false">IF(K50&gt;0,1,0)</f>
        <v>0</v>
      </c>
      <c r="L96" s="120" t="n">
        <f aca="false">IF(L50&gt;0,1,0)</f>
        <v>1</v>
      </c>
      <c r="M96" s="120" t="n">
        <f aca="false">IF(M50&gt;0,1,0)</f>
        <v>1</v>
      </c>
      <c r="N96" s="120" t="n">
        <f aca="false">IF(N50&gt;0,1,0)</f>
        <v>1</v>
      </c>
      <c r="O96" s="120" t="n">
        <f aca="false">IF(O50&gt;0,1,0)</f>
        <v>1</v>
      </c>
      <c r="P96" s="120" t="n">
        <f aca="false">IF(P50&gt;0,1,0)</f>
        <v>1</v>
      </c>
      <c r="Q96" s="120" t="n">
        <f aca="false">IF(Q50&gt;0,1,0)</f>
        <v>1</v>
      </c>
      <c r="R96" s="120" t="n">
        <f aca="false">IF(R50&gt;0,1,0)</f>
        <v>1</v>
      </c>
      <c r="S96" s="120" t="n">
        <f aca="false">IF(S50&gt;0,1,0)</f>
        <v>1</v>
      </c>
      <c r="T96" s="120" t="n">
        <f aca="false">IF(T50&gt;0,1,0)</f>
        <v>1</v>
      </c>
      <c r="U96" s="120" t="n">
        <f aca="false">IF(U50&gt;0,1,0)</f>
        <v>1</v>
      </c>
      <c r="V96" s="120" t="n">
        <f aca="false">IF(V50&gt;0,1,0)</f>
        <v>1</v>
      </c>
      <c r="W96" s="120" t="n">
        <f aca="false">IF(W50&gt;0,1,0)</f>
        <v>1</v>
      </c>
      <c r="X96" s="120" t="n">
        <f aca="false">IF(X50&gt;0,1,0)</f>
        <v>1</v>
      </c>
      <c r="Y96" s="120" t="n">
        <f aca="false">IF(Y50&gt;0,1,0)</f>
        <v>1</v>
      </c>
      <c r="Z96" s="120" t="n">
        <f aca="false">IF(Z50&gt;0,1,0)</f>
        <v>1</v>
      </c>
      <c r="AA96" s="120" t="n">
        <f aca="false">IF(AA50&gt;0,1,0)</f>
        <v>1</v>
      </c>
      <c r="AB96" s="120" t="n">
        <f aca="false">IF(AB50&gt;0,1,0)</f>
        <v>1</v>
      </c>
      <c r="AC96" s="120" t="n">
        <f aca="false">IF(AC50&gt;0,1,0)</f>
        <v>1</v>
      </c>
      <c r="AD96" s="120" t="n">
        <f aca="false">IF(AD50&gt;0,1,0)</f>
        <v>1</v>
      </c>
      <c r="AE96" s="120" t="n">
        <f aca="false">IF(AE50&gt;0,1,0)</f>
        <v>1</v>
      </c>
      <c r="AF96" s="120" t="n">
        <f aca="false">IF(AF50&gt;0,1,0)</f>
        <v>1</v>
      </c>
      <c r="AG96" s="120" t="n">
        <f aca="false">IF(AG50&gt;0,1,0)</f>
        <v>1</v>
      </c>
      <c r="AH96" s="120" t="n">
        <f aca="false">IF(AH50&gt;0,1,0)</f>
        <v>1</v>
      </c>
      <c r="AI96" s="120" t="n">
        <f aca="false">IF(AI50&gt;0,1,0)</f>
        <v>1</v>
      </c>
      <c r="AJ96" s="120" t="n">
        <f aca="false">IF(AJ50&gt;0,1,0)</f>
        <v>1</v>
      </c>
      <c r="AK96" s="120" t="n">
        <f aca="false">IF(AK50&gt;0,1,0)</f>
        <v>1</v>
      </c>
      <c r="AL96" s="120" t="n">
        <f aca="false">IF(AL50&gt;0,1,0)</f>
        <v>1</v>
      </c>
    </row>
    <row r="98" customFormat="false" ht="15.75" hidden="false" customHeight="true" outlineLevel="0" collapsed="false">
      <c r="A98" s="7" t="s">
        <v>422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customFormat="false" ht="15" hidden="false" customHeight="false" outlineLevel="0" collapsed="false">
      <c r="A99" s="118" t="s">
        <v>423</v>
      </c>
      <c r="C99" s="120" t="n">
        <f aca="false">IF(C59&gt;0,1,0)</f>
        <v>0</v>
      </c>
      <c r="D99" s="120" t="n">
        <f aca="false">IF(D59&gt;0,1,0)</f>
        <v>0</v>
      </c>
      <c r="E99" s="120" t="n">
        <f aca="false">IF(E59&gt;0,1,0)</f>
        <v>0</v>
      </c>
      <c r="F99" s="120" t="n">
        <f aca="false">IF(F59&gt;0,1,0)</f>
        <v>0</v>
      </c>
      <c r="G99" s="120" t="n">
        <f aca="false">IF(G59&gt;0,1,0)</f>
        <v>0</v>
      </c>
      <c r="H99" s="120" t="n">
        <f aca="false">IF(H59&gt;0,1,0)</f>
        <v>0</v>
      </c>
      <c r="I99" s="120" t="n">
        <f aca="false">IF(I59&gt;0,1,0)</f>
        <v>0</v>
      </c>
      <c r="J99" s="120" t="n">
        <f aca="false">IF(J59&gt;0,1,0)</f>
        <v>1</v>
      </c>
      <c r="K99" s="120" t="n">
        <f aca="false">IF(K59&gt;0,1,0)</f>
        <v>0</v>
      </c>
      <c r="L99" s="120" t="n">
        <f aca="false">IF(L59&gt;0,1,0)</f>
        <v>0</v>
      </c>
      <c r="M99" s="120" t="n">
        <f aca="false">IF(M59&gt;0,1,0)</f>
        <v>1</v>
      </c>
      <c r="N99" s="120" t="n">
        <f aca="false">IF(N59&gt;0,1,0)</f>
        <v>1</v>
      </c>
      <c r="O99" s="120" t="n">
        <f aca="false">IF(O59&gt;0,1,0)</f>
        <v>1</v>
      </c>
      <c r="P99" s="120" t="n">
        <f aca="false">IF(P59&gt;0,1,0)</f>
        <v>1</v>
      </c>
      <c r="Q99" s="120" t="n">
        <f aca="false">IF(Q59&gt;0,1,0)</f>
        <v>1</v>
      </c>
      <c r="R99" s="120" t="n">
        <f aca="false">IF(R59&gt;0,1,0)</f>
        <v>1</v>
      </c>
      <c r="S99" s="120" t="n">
        <f aca="false">IF(S59&gt;0,1,0)</f>
        <v>1</v>
      </c>
      <c r="T99" s="120" t="n">
        <f aca="false">IF(T59&gt;0,1,0)</f>
        <v>1</v>
      </c>
      <c r="U99" s="120" t="n">
        <f aca="false">IF(U59&gt;0,1,0)</f>
        <v>1</v>
      </c>
      <c r="V99" s="120" t="n">
        <f aca="false">IF(V59&gt;0,1,0)</f>
        <v>1</v>
      </c>
      <c r="W99" s="120" t="n">
        <f aca="false">IF(W59&gt;0,1,0)</f>
        <v>1</v>
      </c>
      <c r="X99" s="120" t="n">
        <f aca="false">IF(X59&gt;0,1,0)</f>
        <v>1</v>
      </c>
      <c r="Y99" s="120" t="n">
        <f aca="false">IF(Y59&gt;0,1,0)</f>
        <v>1</v>
      </c>
      <c r="Z99" s="120" t="n">
        <f aca="false">IF(Z59&gt;0,1,0)</f>
        <v>1</v>
      </c>
      <c r="AA99" s="120" t="n">
        <f aca="false">IF(AA59&gt;0,1,0)</f>
        <v>1</v>
      </c>
      <c r="AB99" s="120" t="n">
        <f aca="false">IF(AB59&gt;0,1,0)</f>
        <v>1</v>
      </c>
      <c r="AC99" s="120" t="n">
        <f aca="false">IF(AC59&gt;0,1,0)</f>
        <v>1</v>
      </c>
      <c r="AD99" s="120" t="n">
        <f aca="false">IF(AD59&gt;0,1,0)</f>
        <v>1</v>
      </c>
      <c r="AE99" s="120" t="n">
        <f aca="false">IF(AE59&gt;0,1,0)</f>
        <v>1</v>
      </c>
      <c r="AF99" s="120" t="n">
        <f aca="false">IF(AF59&gt;0,1,0)</f>
        <v>1</v>
      </c>
      <c r="AG99" s="120" t="n">
        <f aca="false">IF(AG59&gt;0,1,0)</f>
        <v>1</v>
      </c>
      <c r="AH99" s="120" t="n">
        <f aca="false">IF(AH59&gt;0,1,0)</f>
        <v>1</v>
      </c>
      <c r="AI99" s="120" t="n">
        <f aca="false">IF(AI59&gt;0,1,0)</f>
        <v>1</v>
      </c>
      <c r="AJ99" s="120" t="n">
        <f aca="false">IF(AJ59&gt;0,1,0)</f>
        <v>1</v>
      </c>
      <c r="AK99" s="120" t="n">
        <f aca="false">IF(AK59&gt;0,1,0)</f>
        <v>1</v>
      </c>
      <c r="AL99" s="120" t="n">
        <f aca="false">IF(AL59&gt;0,1,0)</f>
        <v>1</v>
      </c>
    </row>
    <row r="100" customFormat="false" ht="15" hidden="false" customHeight="false" outlineLevel="0" collapsed="false">
      <c r="A100" s="6" t="s">
        <v>424</v>
      </c>
      <c r="C100" s="69" t="n">
        <f aca="false">C89+C90</f>
        <v>-205920.330862222</v>
      </c>
      <c r="D100" s="69" t="n">
        <f aca="false">D89+D90</f>
        <v>-19198.8403893333</v>
      </c>
      <c r="E100" s="69" t="n">
        <f aca="false">E89+E90</f>
        <v>-16618.3652533333</v>
      </c>
      <c r="F100" s="69" t="n">
        <f aca="false">F89+F90</f>
        <v>-14037.8901173333</v>
      </c>
      <c r="G100" s="69" t="n">
        <f aca="false">G89+G90</f>
        <v>-11457.4149813333</v>
      </c>
      <c r="H100" s="69" t="n">
        <f aca="false">H89+H90</f>
        <v>-3238.65488533334</v>
      </c>
      <c r="I100" s="69" t="n">
        <f aca="false">I89+I90</f>
        <v>-190.730501333334</v>
      </c>
      <c r="J100" s="69" t="n">
        <f aca="false">J89+J90</f>
        <v>2871.66914666667</v>
      </c>
      <c r="K100" s="69" t="n">
        <f aca="false">K89+K90</f>
        <v>-1154.06086933334</v>
      </c>
      <c r="L100" s="69" t="n">
        <f aca="false">L89+L90</f>
        <v>1444.96069866666</v>
      </c>
      <c r="M100" s="69" t="n">
        <f aca="false">M89+M90</f>
        <v>4025.43583466666</v>
      </c>
      <c r="N100" s="69" t="n">
        <f aca="false">N89+N90</f>
        <v>11664.6950666667</v>
      </c>
      <c r="O100" s="69" t="n">
        <f aca="false">O89+O90</f>
        <v>-3638.55966544</v>
      </c>
      <c r="P100" s="69" t="n">
        <f aca="false">P89+P90</f>
        <v>5889.37202970667</v>
      </c>
      <c r="Q100" s="69" t="n">
        <f aca="false">Q89+Q90</f>
        <v>5901.87202970667</v>
      </c>
      <c r="R100" s="69" t="n">
        <f aca="false">R89+R90</f>
        <v>5914.37202970667</v>
      </c>
      <c r="S100" s="69" t="n">
        <f aca="false">S89+S90</f>
        <v>5926.87202970667</v>
      </c>
      <c r="T100" s="69" t="n">
        <f aca="false">T89+T90</f>
        <v>14484.5956212267</v>
      </c>
      <c r="U100" s="69" t="n">
        <f aca="false">U89+U90</f>
        <v>14473.1006093867</v>
      </c>
      <c r="V100" s="69" t="n">
        <f aca="false">V89+V90</f>
        <v>14485.6006093867</v>
      </c>
      <c r="W100" s="69" t="n">
        <f aca="false">W89+W90</f>
        <v>5952.87701786667</v>
      </c>
      <c r="X100" s="69" t="n">
        <f aca="false">X89+X90</f>
        <v>5989.37202970667</v>
      </c>
      <c r="Y100" s="69" t="n">
        <f aca="false">Y89+Y90</f>
        <v>6001.87202970667</v>
      </c>
      <c r="Z100" s="69" t="n">
        <f aca="false">Z89+Z90</f>
        <v>14559.5956212267</v>
      </c>
      <c r="AA100" s="69" t="n">
        <f aca="false">AA89+AA90</f>
        <v>-1219.75846156531</v>
      </c>
      <c r="AB100" s="69" t="n">
        <f aca="false">AB89+AB90</f>
        <v>8280.91357381579</v>
      </c>
      <c r="AC100" s="69" t="n">
        <f aca="false">AC89+AC90</f>
        <v>7694.55221155984</v>
      </c>
      <c r="AD100" s="69" t="n">
        <f aca="false">AD89+AD90</f>
        <v>7018.85922331448</v>
      </c>
      <c r="AE100" s="69" t="n">
        <f aca="false">AE89+AE90</f>
        <v>7028.73422331448</v>
      </c>
      <c r="AF100" s="69" t="n">
        <f aca="false">AF89+AF90</f>
        <v>14205.8009375197</v>
      </c>
      <c r="AG100" s="69" t="n">
        <f aca="false">AG89+AG90</f>
        <v>14190.2196294587</v>
      </c>
      <c r="AH100" s="69" t="n">
        <f aca="false">AH89+AH90</f>
        <v>14200.0946294587</v>
      </c>
      <c r="AI100" s="69" t="n">
        <f aca="false">AI89+AI90</f>
        <v>7042.77791525342</v>
      </c>
      <c r="AJ100" s="69" t="n">
        <f aca="false">AJ89+AJ90</f>
        <v>7078.10922331448</v>
      </c>
      <c r="AK100" s="69" t="n">
        <f aca="false">AK89+AK90</f>
        <v>7087.98422331448</v>
      </c>
      <c r="AL100" s="69" t="n">
        <f aca="false">AL89+AL90</f>
        <v>14265.0509375197</v>
      </c>
    </row>
    <row r="101" customFormat="false" ht="15" hidden="false" customHeight="false" outlineLevel="0" collapsed="false">
      <c r="A101" s="6" t="s">
        <v>425</v>
      </c>
      <c r="C101" s="69" t="n">
        <f aca="false">C100</f>
        <v>-205920.330862222</v>
      </c>
      <c r="D101" s="69" t="n">
        <f aca="false">C101+D100</f>
        <v>-225119.171251556</v>
      </c>
      <c r="E101" s="69" t="n">
        <f aca="false">D101+E100</f>
        <v>-241737.536504889</v>
      </c>
      <c r="F101" s="69" t="n">
        <f aca="false">E101+F100</f>
        <v>-255775.426622222</v>
      </c>
      <c r="G101" s="69" t="n">
        <f aca="false">F101+G100</f>
        <v>-267232.841603556</v>
      </c>
      <c r="H101" s="69" t="n">
        <f aca="false">G101+H100</f>
        <v>-270471.496488889</v>
      </c>
      <c r="I101" s="69" t="n">
        <f aca="false">H101+I100</f>
        <v>-270662.226990222</v>
      </c>
      <c r="J101" s="69" t="n">
        <f aca="false">I101+J100</f>
        <v>-267790.557843556</v>
      </c>
      <c r="K101" s="69" t="n">
        <f aca="false">J101+K100</f>
        <v>-268944.618712889</v>
      </c>
      <c r="L101" s="69" t="n">
        <f aca="false">K101+L100</f>
        <v>-267499.658014222</v>
      </c>
      <c r="M101" s="69" t="n">
        <f aca="false">L101+M100</f>
        <v>-263474.222179556</v>
      </c>
      <c r="N101" s="69" t="n">
        <f aca="false">M101+N100</f>
        <v>-251809.527112889</v>
      </c>
      <c r="O101" s="69" t="n">
        <f aca="false">N101+O100</f>
        <v>-255448.086778329</v>
      </c>
      <c r="P101" s="69" t="n">
        <f aca="false">O101+P100</f>
        <v>-249558.714748622</v>
      </c>
      <c r="Q101" s="69" t="n">
        <f aca="false">P101+Q100</f>
        <v>-243656.842718916</v>
      </c>
      <c r="R101" s="69" t="n">
        <f aca="false">Q101+R100</f>
        <v>-237742.470689209</v>
      </c>
      <c r="S101" s="69" t="n">
        <f aca="false">R101+S100</f>
        <v>-231815.598659502</v>
      </c>
      <c r="T101" s="69" t="n">
        <f aca="false">S101+T100</f>
        <v>-217331.003038276</v>
      </c>
      <c r="U101" s="69" t="n">
        <f aca="false">T101+U100</f>
        <v>-202857.902428889</v>
      </c>
      <c r="V101" s="69" t="n">
        <f aca="false">U101+V100</f>
        <v>-188372.301819502</v>
      </c>
      <c r="W101" s="69" t="n">
        <f aca="false">V101+W100</f>
        <v>-182419.424801636</v>
      </c>
      <c r="X101" s="69" t="n">
        <f aca="false">W101+X100</f>
        <v>-176430.052771929</v>
      </c>
      <c r="Y101" s="69" t="n">
        <f aca="false">X101+Y100</f>
        <v>-170428.180742222</v>
      </c>
      <c r="Z101" s="69" t="n">
        <f aca="false">Y101+Z100</f>
        <v>-155868.585120996</v>
      </c>
      <c r="AA101" s="69" t="n">
        <f aca="false">Z101+AA100</f>
        <v>-157088.343582561</v>
      </c>
      <c r="AB101" s="69" t="n">
        <f aca="false">AA101+AB100</f>
        <v>-148807.430008745</v>
      </c>
      <c r="AC101" s="69" t="n">
        <f aca="false">AB101+AC100</f>
        <v>-141112.877797185</v>
      </c>
      <c r="AD101" s="69" t="n">
        <f aca="false">AC101+AD100</f>
        <v>-134094.018573871</v>
      </c>
      <c r="AE101" s="69" t="n">
        <f aca="false">AD101+AE100</f>
        <v>-127065.284350556</v>
      </c>
      <c r="AF101" s="69" t="n">
        <f aca="false">AE101+AF100</f>
        <v>-112859.483413037</v>
      </c>
      <c r="AG101" s="69" t="n">
        <f aca="false">AF101+AG100</f>
        <v>-98669.263783578</v>
      </c>
      <c r="AH101" s="69" t="n">
        <f aca="false">AG101+AH100</f>
        <v>-84469.1691541193</v>
      </c>
      <c r="AI101" s="69" t="n">
        <f aca="false">AH101+AI100</f>
        <v>-77426.3912388659</v>
      </c>
      <c r="AJ101" s="69" t="n">
        <f aca="false">AI101+AJ100</f>
        <v>-70348.2820155514</v>
      </c>
      <c r="AK101" s="69" t="n">
        <f aca="false">AJ101+AK100</f>
        <v>-63260.2977922369</v>
      </c>
      <c r="AL101" s="69" t="n">
        <f aca="false">AK101+AL100</f>
        <v>-48995.2468547172</v>
      </c>
    </row>
    <row r="102" customFormat="false" ht="15" hidden="false" customHeight="false" outlineLevel="0" collapsed="false">
      <c r="A102" s="118" t="s">
        <v>426</v>
      </c>
      <c r="C102" s="69" t="n">
        <f aca="false">C101</f>
        <v>-205920.330862222</v>
      </c>
      <c r="D102" s="69" t="n">
        <f aca="false">MIN(C102,D101)</f>
        <v>-225119.171251556</v>
      </c>
      <c r="E102" s="69" t="n">
        <f aca="false">MIN(D102,E101)</f>
        <v>-241737.536504889</v>
      </c>
      <c r="F102" s="69" t="n">
        <f aca="false">MIN(E102,F101)</f>
        <v>-255775.426622222</v>
      </c>
      <c r="G102" s="69" t="n">
        <f aca="false">MIN(F102,G101)</f>
        <v>-267232.841603556</v>
      </c>
      <c r="H102" s="69" t="n">
        <f aca="false">MIN(G102,H101)</f>
        <v>-270471.496488889</v>
      </c>
      <c r="I102" s="69" t="n">
        <f aca="false">MIN(H102,I101)</f>
        <v>-270662.226990222</v>
      </c>
      <c r="J102" s="69" t="n">
        <f aca="false">MIN(I102,J101)</f>
        <v>-270662.226990222</v>
      </c>
      <c r="K102" s="69" t="n">
        <f aca="false">MIN(J102,K101)</f>
        <v>-270662.226990222</v>
      </c>
      <c r="L102" s="69" t="n">
        <f aca="false">MIN(K102,L101)</f>
        <v>-270662.226990222</v>
      </c>
      <c r="M102" s="69" t="n">
        <f aca="false">MIN(L102,M101)</f>
        <v>-270662.226990222</v>
      </c>
      <c r="N102" s="69" t="n">
        <f aca="false">MIN(M102,N101)</f>
        <v>-270662.226990222</v>
      </c>
      <c r="O102" s="69" t="n">
        <f aca="false">MIN(N102,O101)</f>
        <v>-270662.226990222</v>
      </c>
      <c r="P102" s="69" t="n">
        <f aca="false">MIN(O102,P101)</f>
        <v>-270662.226990222</v>
      </c>
      <c r="Q102" s="69" t="n">
        <f aca="false">MIN(P102,Q101)</f>
        <v>-270662.226990222</v>
      </c>
      <c r="R102" s="69" t="n">
        <f aca="false">MIN(Q102,R101)</f>
        <v>-270662.226990222</v>
      </c>
      <c r="S102" s="69" t="n">
        <f aca="false">MIN(R102,S101)</f>
        <v>-270662.226990222</v>
      </c>
      <c r="T102" s="69" t="n">
        <f aca="false">MIN(S102,T101)</f>
        <v>-270662.226990222</v>
      </c>
      <c r="U102" s="69" t="n">
        <f aca="false">MIN(T102,U101)</f>
        <v>-270662.226990222</v>
      </c>
      <c r="V102" s="69" t="n">
        <f aca="false">MIN(U102,V101)</f>
        <v>-270662.226990222</v>
      </c>
      <c r="W102" s="69" t="n">
        <f aca="false">MIN(V102,W101)</f>
        <v>-270662.226990222</v>
      </c>
      <c r="X102" s="69" t="n">
        <f aca="false">MIN(W102,X101)</f>
        <v>-270662.226990222</v>
      </c>
      <c r="Y102" s="69" t="n">
        <f aca="false">MIN(X102,Y101)</f>
        <v>-270662.226990222</v>
      </c>
      <c r="Z102" s="69" t="n">
        <f aca="false">MIN(Y102,Z101)</f>
        <v>-270662.226990222</v>
      </c>
      <c r="AA102" s="69" t="n">
        <f aca="false">MIN(Z102,AA101)</f>
        <v>-270662.226990222</v>
      </c>
      <c r="AB102" s="69" t="n">
        <f aca="false">MIN(AA102,AB101)</f>
        <v>-270662.226990222</v>
      </c>
      <c r="AC102" s="69" t="n">
        <f aca="false">MIN(AB102,AC101)</f>
        <v>-270662.226990222</v>
      </c>
      <c r="AD102" s="69" t="n">
        <f aca="false">MIN(AC102,AD101)</f>
        <v>-270662.226990222</v>
      </c>
      <c r="AE102" s="69" t="n">
        <f aca="false">MIN(AD102,AE101)</f>
        <v>-270662.226990222</v>
      </c>
      <c r="AF102" s="69" t="n">
        <f aca="false">MIN(AE102,AF101)</f>
        <v>-270662.226990222</v>
      </c>
      <c r="AG102" s="69" t="n">
        <f aca="false">MIN(AF102,AG101)</f>
        <v>-270662.226990222</v>
      </c>
      <c r="AH102" s="69" t="n">
        <f aca="false">MIN(AG102,AH101)</f>
        <v>-270662.226990222</v>
      </c>
      <c r="AI102" s="69" t="n">
        <f aca="false">MIN(AH102,AI101)</f>
        <v>-270662.226990222</v>
      </c>
      <c r="AJ102" s="69" t="n">
        <f aca="false">MIN(AI102,AJ101)</f>
        <v>-270662.226990222</v>
      </c>
      <c r="AK102" s="69" t="n">
        <f aca="false">MIN(AJ102,AK101)</f>
        <v>-270662.226990222</v>
      </c>
      <c r="AL102" s="69" t="n">
        <f aca="false">MIN(AK102,AL101)</f>
        <v>-270662.226990222</v>
      </c>
    </row>
    <row r="103" customFormat="false" ht="15" hidden="false" customHeight="false" outlineLevel="0" collapsed="false">
      <c r="A103" s="118" t="s">
        <v>427</v>
      </c>
      <c r="C103" s="120" t="n">
        <f aca="false">IF(AND(C101&gt;=0,C102&lt;0),1,0)</f>
        <v>0</v>
      </c>
      <c r="D103" s="120" t="n">
        <f aca="false">IF(AND(D101&gt;=0,D102&lt;0),1,0)</f>
        <v>0</v>
      </c>
      <c r="E103" s="120" t="n">
        <f aca="false">IF(AND(E101&gt;=0,E102&lt;0),1,0)</f>
        <v>0</v>
      </c>
      <c r="F103" s="120" t="n">
        <f aca="false">IF(AND(F101&gt;=0,F102&lt;0),1,0)</f>
        <v>0</v>
      </c>
      <c r="G103" s="120" t="n">
        <f aca="false">IF(AND(G101&gt;=0,G102&lt;0),1,0)</f>
        <v>0</v>
      </c>
      <c r="H103" s="120" t="n">
        <f aca="false">IF(AND(H101&gt;=0,H102&lt;0),1,0)</f>
        <v>0</v>
      </c>
      <c r="I103" s="120" t="n">
        <f aca="false">IF(AND(I101&gt;=0,I102&lt;0),1,0)</f>
        <v>0</v>
      </c>
      <c r="J103" s="120" t="n">
        <f aca="false">IF(AND(J101&gt;=0,J102&lt;0),1,0)</f>
        <v>0</v>
      </c>
      <c r="K103" s="120" t="n">
        <f aca="false">IF(AND(K101&gt;=0,K102&lt;0),1,0)</f>
        <v>0</v>
      </c>
      <c r="L103" s="120" t="n">
        <f aca="false">IF(AND(L101&gt;=0,L102&lt;0),1,0)</f>
        <v>0</v>
      </c>
      <c r="M103" s="120" t="n">
        <f aca="false">IF(AND(M101&gt;=0,M102&lt;0),1,0)</f>
        <v>0</v>
      </c>
      <c r="N103" s="120" t="n">
        <f aca="false">IF(AND(N101&gt;=0,N102&lt;0),1,0)</f>
        <v>0</v>
      </c>
      <c r="O103" s="120" t="n">
        <f aca="false">IF(AND(O101&gt;=0,O102&lt;0),1,0)</f>
        <v>0</v>
      </c>
      <c r="P103" s="120" t="n">
        <f aca="false">IF(AND(P101&gt;=0,P102&lt;0),1,0)</f>
        <v>0</v>
      </c>
      <c r="Q103" s="120" t="n">
        <f aca="false">IF(AND(Q101&gt;=0,Q102&lt;0),1,0)</f>
        <v>0</v>
      </c>
      <c r="R103" s="120" t="n">
        <f aca="false">IF(AND(R101&gt;=0,R102&lt;0),1,0)</f>
        <v>0</v>
      </c>
      <c r="S103" s="120" t="n">
        <f aca="false">IF(AND(S101&gt;=0,S102&lt;0),1,0)</f>
        <v>0</v>
      </c>
      <c r="T103" s="120" t="n">
        <f aca="false">IF(AND(T101&gt;=0,T102&lt;0),1,0)</f>
        <v>0</v>
      </c>
      <c r="U103" s="120" t="n">
        <f aca="false">IF(AND(U101&gt;=0,U102&lt;0),1,0)</f>
        <v>0</v>
      </c>
      <c r="V103" s="120" t="n">
        <f aca="false">IF(AND(V101&gt;=0,V102&lt;0),1,0)</f>
        <v>0</v>
      </c>
      <c r="W103" s="120" t="n">
        <f aca="false">IF(AND(W101&gt;=0,W102&lt;0),1,0)</f>
        <v>0</v>
      </c>
      <c r="X103" s="120" t="n">
        <f aca="false">IF(AND(X101&gt;=0,X102&lt;0),1,0)</f>
        <v>0</v>
      </c>
      <c r="Y103" s="120" t="n">
        <f aca="false">IF(AND(Y101&gt;=0,Y102&lt;0),1,0)</f>
        <v>0</v>
      </c>
      <c r="Z103" s="120" t="n">
        <f aca="false">IF(AND(Z101&gt;=0,Z102&lt;0),1,0)</f>
        <v>0</v>
      </c>
      <c r="AA103" s="120" t="n">
        <f aca="false">IF(AND(AA101&gt;=0,AA102&lt;0),1,0)</f>
        <v>0</v>
      </c>
      <c r="AB103" s="120" t="n">
        <f aca="false">IF(AND(AB101&gt;=0,AB102&lt;0),1,0)</f>
        <v>0</v>
      </c>
      <c r="AC103" s="120" t="n">
        <f aca="false">IF(AND(AC101&gt;=0,AC102&lt;0),1,0)</f>
        <v>0</v>
      </c>
      <c r="AD103" s="120" t="n">
        <f aca="false">IF(AND(AD101&gt;=0,AD102&lt;0),1,0)</f>
        <v>0</v>
      </c>
      <c r="AE103" s="120" t="n">
        <f aca="false">IF(AND(AE101&gt;=0,AE102&lt;0),1,0)</f>
        <v>0</v>
      </c>
      <c r="AF103" s="120" t="n">
        <f aca="false">IF(AND(AF101&gt;=0,AF102&lt;0),1,0)</f>
        <v>0</v>
      </c>
      <c r="AG103" s="120" t="n">
        <f aca="false">IF(AND(AG101&gt;=0,AG102&lt;0),1,0)</f>
        <v>0</v>
      </c>
      <c r="AH103" s="120" t="n">
        <f aca="false">IF(AND(AH101&gt;=0,AH102&lt;0),1,0)</f>
        <v>0</v>
      </c>
      <c r="AI103" s="120" t="n">
        <f aca="false">IF(AND(AI101&gt;=0,AI102&lt;0),1,0)</f>
        <v>0</v>
      </c>
      <c r="AJ103" s="120" t="n">
        <f aca="false">IF(AND(AJ101&gt;=0,AJ102&lt;0),1,0)</f>
        <v>0</v>
      </c>
      <c r="AK103" s="120" t="n">
        <f aca="false">IF(AND(AK101&gt;=0,AK102&lt;0),1,0)</f>
        <v>0</v>
      </c>
      <c r="AL103" s="120" t="n">
        <f aca="false">IF(AND(AL101&gt;=0,AL102&lt;0),1,0)</f>
        <v>0</v>
      </c>
    </row>
    <row r="104" customFormat="false" ht="15" hidden="false" customHeight="false" outlineLevel="0" collapsed="false">
      <c r="A104" s="6" t="s">
        <v>428</v>
      </c>
      <c r="C104" s="69" t="n">
        <f aca="false">C89-C54*(1-Inputs!$E$83)+C90</f>
        <v>-205327.830862222</v>
      </c>
      <c r="D104" s="69" t="n">
        <f aca="false">D89-D54*(1-Inputs!$E$83)+D90</f>
        <v>-18611.2778893333</v>
      </c>
      <c r="E104" s="69" t="n">
        <f aca="false">E89-E54*(1-Inputs!$E$83)+E90</f>
        <v>-16040.6777533333</v>
      </c>
      <c r="F104" s="69" t="n">
        <f aca="false">F89-F54*(1-Inputs!$E$83)+F90</f>
        <v>-13470.0776173333</v>
      </c>
      <c r="G104" s="69" t="n">
        <f aca="false">G89-G54*(1-Inputs!$E$83)+G90</f>
        <v>-10899.4774813333</v>
      </c>
      <c r="H104" s="69" t="n">
        <f aca="false">H89-H54*(1-Inputs!$E$83)+H90</f>
        <v>-2690.59238533334</v>
      </c>
      <c r="I104" s="69" t="n">
        <f aca="false">I89-I54*(1-Inputs!$E$83)+I90</f>
        <v>347.456998666666</v>
      </c>
      <c r="J104" s="69" t="n">
        <f aca="false">J89-J54*(1-Inputs!$E$83)+J90</f>
        <v>3399.98164666667</v>
      </c>
      <c r="K104" s="69" t="n">
        <f aca="false">K89-K54*(1-Inputs!$E$83)+K90</f>
        <v>-635.623369333339</v>
      </c>
      <c r="L104" s="69" t="n">
        <f aca="false">L89-L54*(1-Inputs!$E$83)+L90</f>
        <v>1953.52319866666</v>
      </c>
      <c r="M104" s="69" t="n">
        <f aca="false">M89-M54*(1-Inputs!$E$83)+M90</f>
        <v>4524.12333466666</v>
      </c>
      <c r="N104" s="69" t="n">
        <f aca="false">N89-N54*(1-Inputs!$E$83)+N90</f>
        <v>12153.5075666667</v>
      </c>
      <c r="O104" s="69" t="n">
        <f aca="false">O89-O54*(1-Inputs!$E$83)+O90</f>
        <v>-3159.62216544</v>
      </c>
      <c r="P104" s="69" t="n">
        <f aca="false">P89-P54*(1-Inputs!$E$83)+P90</f>
        <v>6358.43452970667</v>
      </c>
      <c r="Q104" s="69" t="n">
        <f aca="false">Q89-Q54*(1-Inputs!$E$83)+Q90</f>
        <v>6361.05952970667</v>
      </c>
      <c r="R104" s="69" t="n">
        <f aca="false">R89-R54*(1-Inputs!$E$83)+R90</f>
        <v>6363.68452970667</v>
      </c>
      <c r="S104" s="69" t="n">
        <f aca="false">S89-S54*(1-Inputs!$E$83)+S90</f>
        <v>6366.30952970667</v>
      </c>
      <c r="T104" s="69" t="n">
        <f aca="false">T89-T54*(1-Inputs!$E$83)+T90</f>
        <v>14914.1581212267</v>
      </c>
      <c r="U104" s="69" t="n">
        <f aca="false">U89-U54*(1-Inputs!$E$83)+U90</f>
        <v>14892.7881093867</v>
      </c>
      <c r="V104" s="69" t="n">
        <f aca="false">V89-V54*(1-Inputs!$E$83)+V90</f>
        <v>14895.4131093867</v>
      </c>
      <c r="W104" s="69" t="n">
        <f aca="false">W89-W54*(1-Inputs!$E$83)+W90</f>
        <v>6352.81451786667</v>
      </c>
      <c r="X104" s="69" t="n">
        <f aca="false">X89-X54*(1-Inputs!$E$83)+X90</f>
        <v>6379.43452970667</v>
      </c>
      <c r="Y104" s="69" t="n">
        <f aca="false">Y89-Y54*(1-Inputs!$E$83)+Y90</f>
        <v>6382.05952970667</v>
      </c>
      <c r="Z104" s="69" t="n">
        <f aca="false">Z89-Z54*(1-Inputs!$E$83)+Z90</f>
        <v>14929.9081212267</v>
      </c>
      <c r="AA104" s="69" t="n">
        <f aca="false">AA89-AA54*(1-Inputs!$E$83)+AA90</f>
        <v>-859.320961565307</v>
      </c>
      <c r="AB104" s="69" t="n">
        <f aca="false">AB89-AB54*(1-Inputs!$E$83)+AB90</f>
        <v>8631.47607381579</v>
      </c>
      <c r="AC104" s="69" t="n">
        <f aca="false">AC89-AC54*(1-Inputs!$E$83)+AC90</f>
        <v>8035.23971155984</v>
      </c>
      <c r="AD104" s="69" t="n">
        <f aca="false">AD89-AD54*(1-Inputs!$E$83)+AD90</f>
        <v>7349.67172331448</v>
      </c>
      <c r="AE104" s="69" t="n">
        <f aca="false">AE89-AE54*(1-Inputs!$E$83)+AE90</f>
        <v>7349.67172331448</v>
      </c>
      <c r="AF104" s="69" t="n">
        <f aca="false">AF89-AF54*(1-Inputs!$E$83)+AF90</f>
        <v>14516.8634375197</v>
      </c>
      <c r="AG104" s="69" t="n">
        <f aca="false">AG89-AG54*(1-Inputs!$E$83)+AG90</f>
        <v>14491.4071294587</v>
      </c>
      <c r="AH104" s="69" t="n">
        <f aca="false">AH89-AH54*(1-Inputs!$E$83)+AH90</f>
        <v>14491.4071294587</v>
      </c>
      <c r="AI104" s="69" t="n">
        <f aca="false">AI89-AI54*(1-Inputs!$E$83)+AI90</f>
        <v>7324.21541525342</v>
      </c>
      <c r="AJ104" s="69" t="n">
        <f aca="false">AJ89-AJ54*(1-Inputs!$E$83)+AJ90</f>
        <v>7349.67172331448</v>
      </c>
      <c r="AK104" s="69" t="n">
        <f aca="false">AK89-AK54*(1-Inputs!$E$83)+AK90</f>
        <v>7349.67172331448</v>
      </c>
      <c r="AL104" s="69" t="n">
        <f aca="false">AL89-AL54*(1-Inputs!$E$83)+AL90</f>
        <v>14516.8634375197</v>
      </c>
    </row>
    <row r="106" customFormat="false" ht="15.75" hidden="false" customHeight="true" outlineLevel="0" collapsed="false">
      <c r="A106" s="7" t="s">
        <v>429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customFormat="false" ht="15" hidden="false" customHeight="false" outlineLevel="0" collapsed="false">
      <c r="A107" s="6" t="s">
        <v>97</v>
      </c>
      <c r="C107" s="69" t="n">
        <f aca="false">C91</f>
        <v>330000</v>
      </c>
      <c r="D107" s="69" t="n">
        <f aca="false">C107+D91</f>
        <v>330000</v>
      </c>
      <c r="E107" s="69" t="n">
        <f aca="false">D107+E91</f>
        <v>330000</v>
      </c>
      <c r="F107" s="69" t="n">
        <f aca="false">E107+F91</f>
        <v>330000</v>
      </c>
      <c r="G107" s="69" t="n">
        <f aca="false">F107+G91</f>
        <v>330000</v>
      </c>
      <c r="H107" s="69" t="n">
        <f aca="false">G107+H91</f>
        <v>330000</v>
      </c>
      <c r="I107" s="69" t="n">
        <f aca="false">H107+I91</f>
        <v>330000</v>
      </c>
      <c r="J107" s="69" t="n">
        <f aca="false">I107+J91</f>
        <v>330000</v>
      </c>
      <c r="K107" s="69" t="n">
        <f aca="false">J107+K91</f>
        <v>330000</v>
      </c>
      <c r="L107" s="69" t="n">
        <f aca="false">K107+L91</f>
        <v>330000</v>
      </c>
      <c r="M107" s="69" t="n">
        <f aca="false">L107+M91</f>
        <v>330000</v>
      </c>
      <c r="N107" s="69" t="n">
        <f aca="false">M107+N91</f>
        <v>330000</v>
      </c>
      <c r="O107" s="69" t="n">
        <f aca="false">N107+O91</f>
        <v>330000</v>
      </c>
      <c r="P107" s="69" t="n">
        <f aca="false">O107+P91</f>
        <v>330000</v>
      </c>
      <c r="Q107" s="69" t="n">
        <f aca="false">P107+Q91</f>
        <v>330000</v>
      </c>
      <c r="R107" s="69" t="n">
        <f aca="false">Q107+R91</f>
        <v>330000</v>
      </c>
      <c r="S107" s="69" t="n">
        <f aca="false">R107+S91</f>
        <v>330000</v>
      </c>
      <c r="T107" s="69" t="n">
        <f aca="false">S107+T91</f>
        <v>330000</v>
      </c>
      <c r="U107" s="69" t="n">
        <f aca="false">T107+U91</f>
        <v>330000</v>
      </c>
      <c r="V107" s="69" t="n">
        <f aca="false">U107+V91</f>
        <v>330000</v>
      </c>
      <c r="W107" s="69" t="n">
        <f aca="false">V107+W91</f>
        <v>330000</v>
      </c>
      <c r="X107" s="69" t="n">
        <f aca="false">W107+X91</f>
        <v>330000</v>
      </c>
      <c r="Y107" s="69" t="n">
        <f aca="false">X107+Y91</f>
        <v>330000</v>
      </c>
      <c r="Z107" s="69" t="n">
        <f aca="false">Y107+Z91</f>
        <v>330000</v>
      </c>
      <c r="AA107" s="69" t="n">
        <f aca="false">Z107+AA91</f>
        <v>330000</v>
      </c>
      <c r="AB107" s="69" t="n">
        <f aca="false">AA107+AB91</f>
        <v>330000</v>
      </c>
      <c r="AC107" s="69" t="n">
        <f aca="false">AB107+AC91</f>
        <v>330000</v>
      </c>
      <c r="AD107" s="69" t="n">
        <f aca="false">AC107+AD91</f>
        <v>330000</v>
      </c>
      <c r="AE107" s="69" t="n">
        <f aca="false">AD107+AE91</f>
        <v>330000</v>
      </c>
      <c r="AF107" s="69" t="n">
        <f aca="false">AE107+AF91</f>
        <v>330000</v>
      </c>
      <c r="AG107" s="69" t="n">
        <f aca="false">AF107+AG91</f>
        <v>330000</v>
      </c>
      <c r="AH107" s="69" t="n">
        <f aca="false">AG107+AH91</f>
        <v>330000</v>
      </c>
      <c r="AI107" s="69" t="n">
        <f aca="false">AH107+AI91</f>
        <v>330000</v>
      </c>
      <c r="AJ107" s="69" t="n">
        <f aca="false">AI107+AJ91</f>
        <v>330000</v>
      </c>
      <c r="AK107" s="69" t="n">
        <f aca="false">AJ107+AK91</f>
        <v>330000</v>
      </c>
      <c r="AL107" s="69" t="n">
        <f aca="false">AK107+AL91</f>
        <v>330000</v>
      </c>
    </row>
    <row r="108" customFormat="false" ht="15" hidden="false" customHeight="false" outlineLevel="0" collapsed="false">
      <c r="A108" s="6" t="s">
        <v>98</v>
      </c>
      <c r="C108" s="69" t="n">
        <f aca="false">C59</f>
        <v>-24169.7490933333</v>
      </c>
      <c r="D108" s="69" t="n">
        <f aca="false">C108+D59</f>
        <v>-45765.2730506667</v>
      </c>
      <c r="E108" s="69" t="n">
        <f aca="false">D108+E59</f>
        <v>-64780.321872</v>
      </c>
      <c r="F108" s="69" t="n">
        <f aca="false">E108+F59</f>
        <v>-81214.8955573333</v>
      </c>
      <c r="G108" s="69" t="n">
        <f aca="false">F108+G59</f>
        <v>-95068.9941066667</v>
      </c>
      <c r="H108" s="69" t="n">
        <f aca="false">G108+H59</f>
        <v>-100720.16488</v>
      </c>
      <c r="I108" s="69" t="n">
        <f aca="false">H108+I59</f>
        <v>-103308.936005333</v>
      </c>
      <c r="J108" s="69" t="n">
        <f aca="false">I108+J59</f>
        <v>-102835.307482667</v>
      </c>
      <c r="K108" s="69" t="n">
        <f aca="false">J108+K59</f>
        <v>-106367.505488</v>
      </c>
      <c r="L108" s="69" t="n">
        <f aca="false">K108+L59</f>
        <v>-107319.228357333</v>
      </c>
      <c r="M108" s="69" t="n">
        <f aca="false">L108+M59</f>
        <v>-105690.476090667</v>
      </c>
      <c r="N108" s="69" t="n">
        <f aca="false">M108+N59</f>
        <v>-96017.148624</v>
      </c>
      <c r="O108" s="69" t="n">
        <f aca="false">N108+O59</f>
        <v>-92213.19326096</v>
      </c>
      <c r="P108" s="69" t="n">
        <f aca="false">O108+P59</f>
        <v>-88396.73789792</v>
      </c>
      <c r="Q108" s="69" t="n">
        <f aca="false">P108+Q59</f>
        <v>-84567.78253488</v>
      </c>
      <c r="R108" s="69" t="n">
        <f aca="false">Q108+R59</f>
        <v>-80726.32717184</v>
      </c>
      <c r="S108" s="69" t="n">
        <f aca="false">R108+S59</f>
        <v>-76872.3718088</v>
      </c>
      <c r="T108" s="69" t="n">
        <f aca="false">S108+T59</f>
        <v>-64484.68786608</v>
      </c>
      <c r="U108" s="69" t="n">
        <f aca="false">T108+U59</f>
        <v>-52084.50392336</v>
      </c>
      <c r="V108" s="69" t="n">
        <f aca="false">U108+V59</f>
        <v>-39671.81998064</v>
      </c>
      <c r="W108" s="69" t="n">
        <f aca="false">V108+W59</f>
        <v>-35767.8646176</v>
      </c>
      <c r="X108" s="69" t="n">
        <f aca="false">W108+X59</f>
        <v>-31851.40925456</v>
      </c>
      <c r="Y108" s="69" t="n">
        <f aca="false">X108+Y59</f>
        <v>-27922.45389152</v>
      </c>
      <c r="Z108" s="69" t="n">
        <f aca="false">Y108+Z59</f>
        <v>-15459.7699488</v>
      </c>
      <c r="AA108" s="69" t="n">
        <f aca="false">Z108+AA59</f>
        <v>-9368.43970831752</v>
      </c>
      <c r="AB108" s="69" t="n">
        <f aca="false">AA108+AB59</f>
        <v>-3264.60946783506</v>
      </c>
      <c r="AC108" s="69" t="n">
        <f aca="false">AB108+AC59</f>
        <v>2252.85941039144</v>
      </c>
      <c r="AD108" s="69" t="n">
        <f aca="false">AC108+AD59</f>
        <v>7094.63530037259</v>
      </c>
      <c r="AE108" s="69" t="n">
        <f aca="false">AD108+AE59</f>
        <v>11946.2861903537</v>
      </c>
      <c r="AF108" s="69" t="n">
        <f aca="false">AE108+AF59</f>
        <v>23949.5474864791</v>
      </c>
      <c r="AG108" s="69" t="n">
        <f aca="false">AF108+AG59</f>
        <v>35962.6837826044</v>
      </c>
      <c r="AH108" s="69" t="n">
        <f aca="false">AG108+AH59</f>
        <v>47985.6950787297</v>
      </c>
      <c r="AI108" s="69" t="n">
        <f aca="false">AH108+AI59</f>
        <v>52876.8459687109</v>
      </c>
      <c r="AJ108" s="69" t="n">
        <f aca="false">AI108+AJ59</f>
        <v>57777.871858692</v>
      </c>
      <c r="AK108" s="69" t="n">
        <f aca="false">AJ108+AK59</f>
        <v>62688.7727486732</v>
      </c>
      <c r="AL108" s="69" t="n">
        <f aca="false">AK108+AL59</f>
        <v>74751.2840447985</v>
      </c>
    </row>
    <row r="109" customFormat="false" ht="15" hidden="false" customHeight="false" outlineLevel="0" collapsed="false">
      <c r="A109" s="4" t="s">
        <v>93</v>
      </c>
      <c r="C109" s="75" t="n">
        <f aca="false">C95+C81+C82+C72</f>
        <v>414972.087351111</v>
      </c>
      <c r="D109" s="75" t="n">
        <f aca="false">D95+D81+D82+D72</f>
        <v>392602.005527111</v>
      </c>
      <c r="E109" s="75" t="n">
        <f aca="false">E95+E81+E82+E72</f>
        <v>372812.398839111</v>
      </c>
      <c r="F109" s="75" t="n">
        <f aca="false">F95+F81+F82+F72</f>
        <v>355603.267287111</v>
      </c>
      <c r="G109" s="75" t="n">
        <f aca="false">G95+G81+G82+G72</f>
        <v>340974.610871111</v>
      </c>
      <c r="H109" s="75" t="n">
        <f aca="false">H95+H81+H82+H72</f>
        <v>335142.594231111</v>
      </c>
      <c r="I109" s="75" t="n">
        <f aca="false">I95+I81+I82+I72</f>
        <v>331830.154839111</v>
      </c>
      <c r="J109" s="75" t="n">
        <f aca="false">J95+J81+J82+J72</f>
        <v>331580.115095111</v>
      </c>
      <c r="K109" s="75" t="n">
        <f aca="false">K95+K81+K82+K72</f>
        <v>326577.868023111</v>
      </c>
      <c r="L109" s="75" t="n">
        <f aca="false">L95+L81+L82+L72</f>
        <v>324851.587287111</v>
      </c>
      <c r="M109" s="75" t="n">
        <f aca="false">M95+M81+M82+M72</f>
        <v>325705.781687111</v>
      </c>
      <c r="N109" s="75" t="n">
        <f aca="false">N95+N81+N82+N72</f>
        <v>334560.602487111</v>
      </c>
      <c r="O109" s="75" t="n">
        <f aca="false">O95+O81+O82+O72</f>
        <v>336851.054948818</v>
      </c>
      <c r="P109" s="75" t="n">
        <f aca="false">P95+P81+P82+P72</f>
        <v>339000.843645191</v>
      </c>
      <c r="Q109" s="75" t="n">
        <f aca="false">Q95+Q81+Q82+Q72</f>
        <v>341163.132341564</v>
      </c>
      <c r="R109" s="75" t="n">
        <f aca="false">R95+R81+R82+R72</f>
        <v>343337.921037938</v>
      </c>
      <c r="S109" s="75" t="n">
        <f aca="false">S95+S81+S82+S72</f>
        <v>345525.209734311</v>
      </c>
      <c r="T109" s="75" t="n">
        <f aca="false">T95+T81+T82+T72</f>
        <v>357146.039954365</v>
      </c>
      <c r="U109" s="75" t="n">
        <f aca="false">U95+U81+U82+U72</f>
        <v>367879.557230418</v>
      </c>
      <c r="V109" s="75" t="n">
        <f aca="false">V95+V81+V82+V72</f>
        <v>378625.574506471</v>
      </c>
      <c r="W109" s="75" t="n">
        <f aca="false">W95+W81+W82+W72</f>
        <v>379963.050258844</v>
      </c>
      <c r="X109" s="75" t="n">
        <f aca="false">X95+X81+X82+X72</f>
        <v>382212.838955218</v>
      </c>
      <c r="Y109" s="75" t="n">
        <f aca="false">Y95+Y81+Y82+Y72</f>
        <v>384475.127651591</v>
      </c>
      <c r="Z109" s="75" t="n">
        <f aca="false">Z95+Z81+Z82+Z72</f>
        <v>396170.957871644</v>
      </c>
      <c r="AA109" s="75" t="n">
        <f aca="false">AA95+AA81+AA82+AA72</f>
        <v>400755.151634102</v>
      </c>
      <c r="AB109" s="75" t="n">
        <f aca="false">AB95+AB81+AB82+AB72</f>
        <v>405192.315207918</v>
      </c>
      <c r="AC109" s="75" t="n">
        <f aca="false">AC95+AC81+AC82+AC72</f>
        <v>409043.117419478</v>
      </c>
      <c r="AD109" s="75" t="n">
        <f aca="false">AD95+AD81+AD82+AD72</f>
        <v>412218.226642793</v>
      </c>
      <c r="AE109" s="75" t="n">
        <f aca="false">AE95+AE81+AE82+AE72</f>
        <v>415403.210866107</v>
      </c>
      <c r="AF109" s="75" t="n">
        <f aca="false">AF95+AF81+AF82+AF72</f>
        <v>426694.417047855</v>
      </c>
      <c r="AG109" s="75" t="n">
        <f aca="false">AG95+AG81+AG82+AG72</f>
        <v>437040.886677314</v>
      </c>
      <c r="AH109" s="75" t="n">
        <f aca="false">AH95+AH81+AH82+AH72</f>
        <v>447397.231306773</v>
      </c>
      <c r="AI109" s="75" t="n">
        <f aca="false">AI95+AI81+AI82+AI72</f>
        <v>449667.103977798</v>
      </c>
      <c r="AJ109" s="75" t="n">
        <f aca="false">AJ95+AJ81+AJ82+AJ72</f>
        <v>452901.463201112</v>
      </c>
      <c r="AK109" s="75" t="n">
        <f aca="false">AK95+AK81+AK82+AK72</f>
        <v>456145.697424426</v>
      </c>
      <c r="AL109" s="75" t="n">
        <f aca="false">AL95+AL81+AL82+AL72</f>
        <v>467496.153606175</v>
      </c>
    </row>
    <row r="110" customFormat="false" ht="15" hidden="false" customHeight="false" outlineLevel="0" collapsed="false">
      <c r="A110" s="6" t="s">
        <v>96</v>
      </c>
      <c r="C110" s="69" t="n">
        <f aca="false">C83+C78</f>
        <v>109141.836444444</v>
      </c>
      <c r="D110" s="69" t="n">
        <f aca="false">D83+D78</f>
        <v>108367.278577778</v>
      </c>
      <c r="E110" s="69" t="n">
        <f aca="false">E83+E78</f>
        <v>107592.720711111</v>
      </c>
      <c r="F110" s="69" t="n">
        <f aca="false">F83+F78</f>
        <v>106818.162844444</v>
      </c>
      <c r="G110" s="69" t="n">
        <f aca="false">G83+G78</f>
        <v>106043.604977778</v>
      </c>
      <c r="H110" s="69" t="n">
        <f aca="false">H83+H78</f>
        <v>105862.759111111</v>
      </c>
      <c r="I110" s="69" t="n">
        <f aca="false">I83+I78</f>
        <v>105139.090844444</v>
      </c>
      <c r="J110" s="69" t="n">
        <f aca="false">J83+J78</f>
        <v>104415.422577778</v>
      </c>
      <c r="K110" s="69" t="n">
        <f aca="false">K83+K78</f>
        <v>102945.373511111</v>
      </c>
      <c r="L110" s="69" t="n">
        <f aca="false">L83+L78</f>
        <v>102170.815644444</v>
      </c>
      <c r="M110" s="69" t="n">
        <f aca="false">M83+M78</f>
        <v>101396.257777778</v>
      </c>
      <c r="N110" s="69" t="n">
        <f aca="false">N83+N78</f>
        <v>100577.751111111</v>
      </c>
      <c r="O110" s="69" t="n">
        <f aca="false">O83+O78</f>
        <v>99064.2482097777</v>
      </c>
      <c r="P110" s="69" t="n">
        <f aca="false">P83+P78</f>
        <v>97397.581543111</v>
      </c>
      <c r="Q110" s="69" t="n">
        <f aca="false">Q83+Q78</f>
        <v>95730.9148764444</v>
      </c>
      <c r="R110" s="69" t="n">
        <f aca="false">R83+R78</f>
        <v>94064.2482097777</v>
      </c>
      <c r="S110" s="69" t="n">
        <f aca="false">S83+S78</f>
        <v>92397.581543111</v>
      </c>
      <c r="T110" s="69" t="n">
        <f aca="false">T83+T78</f>
        <v>91630.7278204444</v>
      </c>
      <c r="U110" s="69" t="n">
        <f aca="false">U83+U78</f>
        <v>89964.0611537777</v>
      </c>
      <c r="V110" s="69" t="n">
        <f aca="false">V83+V78</f>
        <v>88297.394487111</v>
      </c>
      <c r="W110" s="69" t="n">
        <f aca="false">W83+W78</f>
        <v>85730.9148764444</v>
      </c>
      <c r="X110" s="69" t="n">
        <f aca="false">X83+X78</f>
        <v>84064.2482097777</v>
      </c>
      <c r="Y110" s="69" t="n">
        <f aca="false">Y83+Y78</f>
        <v>82397.581543111</v>
      </c>
      <c r="Z110" s="69" t="n">
        <f aca="false">Z83+Z78</f>
        <v>81630.7278204444</v>
      </c>
      <c r="AA110" s="69" t="n">
        <f aca="false">AA83+AA78</f>
        <v>80123.5913424198</v>
      </c>
      <c r="AB110" s="69" t="n">
        <f aca="false">AB83+AB78</f>
        <v>78456.9246757532</v>
      </c>
      <c r="AC110" s="69" t="n">
        <f aca="false">AC83+AC78</f>
        <v>76790.2580090865</v>
      </c>
      <c r="AD110" s="69" t="n">
        <f aca="false">AD83+AD78</f>
        <v>75123.5913424198</v>
      </c>
      <c r="AE110" s="69" t="n">
        <f aca="false">AE83+AE78</f>
        <v>73456.9246757532</v>
      </c>
      <c r="AF110" s="69" t="n">
        <f aca="false">AF83+AF78</f>
        <v>72744.8695613761</v>
      </c>
      <c r="AG110" s="69" t="n">
        <f aca="false">AG83+AG78</f>
        <v>71078.2028947094</v>
      </c>
      <c r="AH110" s="69" t="n">
        <f aca="false">AH83+AH78</f>
        <v>69411.5362280428</v>
      </c>
      <c r="AI110" s="69" t="n">
        <f aca="false">AI83+AI78</f>
        <v>66790.2580090865</v>
      </c>
      <c r="AJ110" s="69" t="n">
        <f aca="false">AJ83+AJ78</f>
        <v>65123.5913424198</v>
      </c>
      <c r="AK110" s="69" t="n">
        <f aca="false">AK83+AK78</f>
        <v>63456.9246757532</v>
      </c>
      <c r="AL110" s="69" t="n">
        <f aca="false">AL83+AL78</f>
        <v>62744.8695613761</v>
      </c>
    </row>
    <row r="111" customFormat="false" ht="15" hidden="false" customHeight="false" outlineLevel="0" collapsed="false">
      <c r="A111" s="6" t="s">
        <v>99</v>
      </c>
      <c r="C111" s="69" t="n">
        <f aca="false">C107+C108</f>
        <v>305830.250906667</v>
      </c>
      <c r="D111" s="69" t="n">
        <f aca="false">D107+D108</f>
        <v>284234.726949333</v>
      </c>
      <c r="E111" s="69" t="n">
        <f aca="false">E107+E108</f>
        <v>265219.678128</v>
      </c>
      <c r="F111" s="69" t="n">
        <f aca="false">F107+F108</f>
        <v>248785.104442667</v>
      </c>
      <c r="G111" s="69" t="n">
        <f aca="false">G107+G108</f>
        <v>234931.005893333</v>
      </c>
      <c r="H111" s="69" t="n">
        <f aca="false">H107+H108</f>
        <v>229279.83512</v>
      </c>
      <c r="I111" s="69" t="n">
        <f aca="false">I107+I108</f>
        <v>226691.063994667</v>
      </c>
      <c r="J111" s="69" t="n">
        <f aca="false">J107+J108</f>
        <v>227164.692517333</v>
      </c>
      <c r="K111" s="69" t="n">
        <f aca="false">K107+K108</f>
        <v>223632.494512</v>
      </c>
      <c r="L111" s="69" t="n">
        <f aca="false">L107+L108</f>
        <v>222680.771642667</v>
      </c>
      <c r="M111" s="69" t="n">
        <f aca="false">M107+M108</f>
        <v>224309.523909333</v>
      </c>
      <c r="N111" s="69" t="n">
        <f aca="false">N107+N108</f>
        <v>233982.851376</v>
      </c>
      <c r="O111" s="69" t="n">
        <f aca="false">O107+O108</f>
        <v>237786.80673904</v>
      </c>
      <c r="P111" s="69" t="n">
        <f aca="false">P107+P108</f>
        <v>241603.26210208</v>
      </c>
      <c r="Q111" s="69" t="n">
        <f aca="false">Q107+Q108</f>
        <v>245432.21746512</v>
      </c>
      <c r="R111" s="69" t="n">
        <f aca="false">R107+R108</f>
        <v>249273.67282816</v>
      </c>
      <c r="S111" s="69" t="n">
        <f aca="false">S107+S108</f>
        <v>253127.6281912</v>
      </c>
      <c r="T111" s="69" t="n">
        <f aca="false">T107+T108</f>
        <v>265515.31213392</v>
      </c>
      <c r="U111" s="69" t="n">
        <f aca="false">U107+U108</f>
        <v>277915.49607664</v>
      </c>
      <c r="V111" s="69" t="n">
        <f aca="false">V107+V108</f>
        <v>290328.18001936</v>
      </c>
      <c r="W111" s="69" t="n">
        <f aca="false">W107+W108</f>
        <v>294232.1353824</v>
      </c>
      <c r="X111" s="69" t="n">
        <f aca="false">X107+X108</f>
        <v>298148.59074544</v>
      </c>
      <c r="Y111" s="69" t="n">
        <f aca="false">Y107+Y108</f>
        <v>302077.54610848</v>
      </c>
      <c r="Z111" s="69" t="n">
        <f aca="false">Z107+Z108</f>
        <v>314540.2300512</v>
      </c>
      <c r="AA111" s="69" t="n">
        <f aca="false">AA107+AA108</f>
        <v>320631.560291683</v>
      </c>
      <c r="AB111" s="69" t="n">
        <f aca="false">AB107+AB108</f>
        <v>326735.390532165</v>
      </c>
      <c r="AC111" s="69" t="n">
        <f aca="false">AC107+AC108</f>
        <v>332252.859410391</v>
      </c>
      <c r="AD111" s="69" t="n">
        <f aca="false">AD107+AD108</f>
        <v>337094.635300373</v>
      </c>
      <c r="AE111" s="69" t="n">
        <f aca="false">AE107+AE108</f>
        <v>341946.286190354</v>
      </c>
      <c r="AF111" s="69" t="n">
        <f aca="false">AF107+AF108</f>
        <v>353949.547486479</v>
      </c>
      <c r="AG111" s="69" t="n">
        <f aca="false">AG107+AG108</f>
        <v>365962.683782604</v>
      </c>
      <c r="AH111" s="69" t="n">
        <f aca="false">AH107+AH108</f>
        <v>377985.69507873</v>
      </c>
      <c r="AI111" s="69" t="n">
        <f aca="false">AI107+AI108</f>
        <v>382876.845968711</v>
      </c>
      <c r="AJ111" s="69" t="n">
        <f aca="false">AJ107+AJ108</f>
        <v>387777.871858692</v>
      </c>
      <c r="AK111" s="69" t="n">
        <f aca="false">AK107+AK108</f>
        <v>392688.772748673</v>
      </c>
      <c r="AL111" s="69" t="n">
        <f aca="false">AL107+AL108</f>
        <v>404751.284044798</v>
      </c>
    </row>
    <row r="112" customFormat="false" ht="15" hidden="false" customHeight="false" outlineLevel="0" collapsed="false">
      <c r="A112" s="4" t="s">
        <v>100</v>
      </c>
      <c r="C112" s="75" t="n">
        <f aca="false">C110+C111</f>
        <v>414972.087351111</v>
      </c>
      <c r="D112" s="75" t="n">
        <f aca="false">D110+D111</f>
        <v>392602.005527111</v>
      </c>
      <c r="E112" s="75" t="n">
        <f aca="false">E110+E111</f>
        <v>372812.398839111</v>
      </c>
      <c r="F112" s="75" t="n">
        <f aca="false">F110+F111</f>
        <v>355603.267287111</v>
      </c>
      <c r="G112" s="75" t="n">
        <f aca="false">G110+G111</f>
        <v>340974.610871111</v>
      </c>
      <c r="H112" s="75" t="n">
        <f aca="false">H110+H111</f>
        <v>335142.594231111</v>
      </c>
      <c r="I112" s="75" t="n">
        <f aca="false">I110+I111</f>
        <v>331830.154839111</v>
      </c>
      <c r="J112" s="75" t="n">
        <f aca="false">J110+J111</f>
        <v>331580.115095111</v>
      </c>
      <c r="K112" s="75" t="n">
        <f aca="false">K110+K111</f>
        <v>326577.868023111</v>
      </c>
      <c r="L112" s="75" t="n">
        <f aca="false">L110+L111</f>
        <v>324851.587287111</v>
      </c>
      <c r="M112" s="75" t="n">
        <f aca="false">M110+M111</f>
        <v>325705.781687111</v>
      </c>
      <c r="N112" s="75" t="n">
        <f aca="false">N110+N111</f>
        <v>334560.602487111</v>
      </c>
      <c r="O112" s="75" t="n">
        <f aca="false">O110+O111</f>
        <v>336851.054948818</v>
      </c>
      <c r="P112" s="75" t="n">
        <f aca="false">P110+P111</f>
        <v>339000.843645191</v>
      </c>
      <c r="Q112" s="75" t="n">
        <f aca="false">Q110+Q111</f>
        <v>341163.132341564</v>
      </c>
      <c r="R112" s="75" t="n">
        <f aca="false">R110+R111</f>
        <v>343337.921037938</v>
      </c>
      <c r="S112" s="75" t="n">
        <f aca="false">S110+S111</f>
        <v>345525.209734311</v>
      </c>
      <c r="T112" s="75" t="n">
        <f aca="false">T110+T111</f>
        <v>357146.039954364</v>
      </c>
      <c r="U112" s="75" t="n">
        <f aca="false">U110+U111</f>
        <v>367879.557230418</v>
      </c>
      <c r="V112" s="75" t="n">
        <f aca="false">V110+V111</f>
        <v>378625.574506471</v>
      </c>
      <c r="W112" s="75" t="n">
        <f aca="false">W110+W111</f>
        <v>379963.050258844</v>
      </c>
      <c r="X112" s="75" t="n">
        <f aca="false">X110+X111</f>
        <v>382212.838955218</v>
      </c>
      <c r="Y112" s="75" t="n">
        <f aca="false">Y110+Y111</f>
        <v>384475.127651591</v>
      </c>
      <c r="Z112" s="75" t="n">
        <f aca="false">Z110+Z111</f>
        <v>396170.957871644</v>
      </c>
      <c r="AA112" s="75" t="n">
        <f aca="false">AA110+AA111</f>
        <v>400755.151634102</v>
      </c>
      <c r="AB112" s="75" t="n">
        <f aca="false">AB110+AB111</f>
        <v>405192.315207918</v>
      </c>
      <c r="AC112" s="75" t="n">
        <f aca="false">AC110+AC111</f>
        <v>409043.117419478</v>
      </c>
      <c r="AD112" s="75" t="n">
        <f aca="false">AD110+AD111</f>
        <v>412218.226642792</v>
      </c>
      <c r="AE112" s="75" t="n">
        <f aca="false">AE110+AE111</f>
        <v>415403.210866107</v>
      </c>
      <c r="AF112" s="75" t="n">
        <f aca="false">AF110+AF111</f>
        <v>426694.417047855</v>
      </c>
      <c r="AG112" s="75" t="n">
        <f aca="false">AG110+AG111</f>
        <v>437040.886677314</v>
      </c>
      <c r="AH112" s="75" t="n">
        <f aca="false">AH110+AH111</f>
        <v>447397.231306772</v>
      </c>
      <c r="AI112" s="75" t="n">
        <f aca="false">AI110+AI111</f>
        <v>449667.103977797</v>
      </c>
      <c r="AJ112" s="75" t="n">
        <f aca="false">AJ110+AJ111</f>
        <v>452901.463201112</v>
      </c>
      <c r="AK112" s="75" t="n">
        <f aca="false">AK110+AK111</f>
        <v>456145.697424426</v>
      </c>
      <c r="AL112" s="75" t="n">
        <f aca="false">AL110+AL111</f>
        <v>467496.153606175</v>
      </c>
    </row>
    <row r="113" customFormat="false" ht="15" hidden="false" customHeight="false" outlineLevel="0" collapsed="false">
      <c r="A113" s="6" t="s">
        <v>430</v>
      </c>
      <c r="C113" s="69" t="n">
        <f aca="false">C109-C112</f>
        <v>0</v>
      </c>
      <c r="D113" s="69" t="n">
        <f aca="false">D109-D112</f>
        <v>0</v>
      </c>
      <c r="E113" s="69" t="n">
        <f aca="false">E109-E112</f>
        <v>0</v>
      </c>
      <c r="F113" s="69" t="n">
        <f aca="false">F109-F112</f>
        <v>0</v>
      </c>
      <c r="G113" s="69" t="n">
        <f aca="false">G109-G112</f>
        <v>0</v>
      </c>
      <c r="H113" s="69" t="n">
        <f aca="false">H109-H112</f>
        <v>0</v>
      </c>
      <c r="I113" s="69" t="n">
        <f aca="false">I109-I112</f>
        <v>0</v>
      </c>
      <c r="J113" s="69" t="n">
        <f aca="false">J109-J112</f>
        <v>0</v>
      </c>
      <c r="K113" s="69" t="n">
        <f aca="false">K109-K112</f>
        <v>0</v>
      </c>
      <c r="L113" s="69" t="n">
        <f aca="false">L109-L112</f>
        <v>0</v>
      </c>
      <c r="M113" s="69" t="n">
        <f aca="false">M109-M112</f>
        <v>0</v>
      </c>
      <c r="N113" s="69" t="n">
        <f aca="false">N109-N112</f>
        <v>0</v>
      </c>
      <c r="O113" s="69" t="n">
        <f aca="false">O109-O112</f>
        <v>0</v>
      </c>
      <c r="P113" s="69" t="n">
        <f aca="false">P109-P112</f>
        <v>0</v>
      </c>
      <c r="Q113" s="69" t="n">
        <f aca="false">Q109-Q112</f>
        <v>0</v>
      </c>
      <c r="R113" s="69" t="n">
        <f aca="false">R109-R112</f>
        <v>0</v>
      </c>
      <c r="S113" s="69" t="n">
        <f aca="false">S109-S112</f>
        <v>0</v>
      </c>
      <c r="T113" s="69" t="n">
        <f aca="false">T109-T112</f>
        <v>0</v>
      </c>
      <c r="U113" s="69" t="n">
        <f aca="false">U109-U112</f>
        <v>0</v>
      </c>
      <c r="V113" s="69" t="n">
        <f aca="false">V109-V112</f>
        <v>0</v>
      </c>
      <c r="W113" s="69" t="n">
        <f aca="false">W109-W112</f>
        <v>0</v>
      </c>
      <c r="X113" s="69" t="n">
        <f aca="false">X109-X112</f>
        <v>0</v>
      </c>
      <c r="Y113" s="69" t="n">
        <f aca="false">Y109-Y112</f>
        <v>0</v>
      </c>
      <c r="Z113" s="69" t="n">
        <f aca="false">Z109-Z112</f>
        <v>0</v>
      </c>
      <c r="AA113" s="69" t="n">
        <f aca="false">AA109-AA112</f>
        <v>0</v>
      </c>
      <c r="AB113" s="69" t="n">
        <f aca="false">AB109-AB112</f>
        <v>0</v>
      </c>
      <c r="AC113" s="69" t="n">
        <f aca="false">AC109-AC112</f>
        <v>0</v>
      </c>
      <c r="AD113" s="69" t="n">
        <f aca="false">AD109-AD112</f>
        <v>0</v>
      </c>
      <c r="AE113" s="69" t="n">
        <f aca="false">AE109-AE112</f>
        <v>0</v>
      </c>
      <c r="AF113" s="69" t="n">
        <f aca="false">AF109-AF112</f>
        <v>0</v>
      </c>
      <c r="AG113" s="69" t="n">
        <f aca="false">AG109-AG112</f>
        <v>0</v>
      </c>
      <c r="AH113" s="69" t="n">
        <f aca="false">AH109-AH112</f>
        <v>0</v>
      </c>
      <c r="AI113" s="69" t="n">
        <f aca="false">AI109-AI112</f>
        <v>0</v>
      </c>
      <c r="AJ113" s="69" t="n">
        <f aca="false">AJ109-AJ112</f>
        <v>0</v>
      </c>
      <c r="AK113" s="69" t="n">
        <f aca="false">AK109-AK112</f>
        <v>0</v>
      </c>
      <c r="AL113" s="69" t="n">
        <f aca="false">AL109-AL112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431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348</v>
      </c>
    </row>
    <row r="3" customFormat="false" ht="15" hidden="false" customHeight="false" outlineLevel="0" collapsed="false">
      <c r="A3" s="33" t="s">
        <v>349</v>
      </c>
      <c r="C3" s="35" t="s">
        <v>350</v>
      </c>
      <c r="D3" s="35" t="s">
        <v>351</v>
      </c>
      <c r="E3" s="35" t="s">
        <v>352</v>
      </c>
      <c r="F3" s="35" t="s">
        <v>353</v>
      </c>
      <c r="G3" s="35" t="s">
        <v>354</v>
      </c>
      <c r="H3" s="35" t="s">
        <v>355</v>
      </c>
      <c r="I3" s="35" t="s">
        <v>356</v>
      </c>
      <c r="J3" s="35" t="s">
        <v>357</v>
      </c>
      <c r="K3" s="35" t="s">
        <v>358</v>
      </c>
      <c r="L3" s="35" t="s">
        <v>359</v>
      </c>
      <c r="M3" s="35" t="s">
        <v>360</v>
      </c>
      <c r="N3" s="35" t="s">
        <v>361</v>
      </c>
      <c r="O3" s="35" t="s">
        <v>362</v>
      </c>
      <c r="P3" s="35" t="s">
        <v>363</v>
      </c>
      <c r="Q3" s="35" t="s">
        <v>364</v>
      </c>
      <c r="R3" s="35" t="s">
        <v>365</v>
      </c>
      <c r="S3" s="35" t="s">
        <v>366</v>
      </c>
      <c r="T3" s="35" t="s">
        <v>367</v>
      </c>
      <c r="U3" s="35" t="s">
        <v>368</v>
      </c>
      <c r="V3" s="35" t="s">
        <v>369</v>
      </c>
      <c r="W3" s="35" t="s">
        <v>370</v>
      </c>
      <c r="X3" s="35" t="s">
        <v>371</v>
      </c>
      <c r="Y3" s="35" t="s">
        <v>372</v>
      </c>
      <c r="Z3" s="35" t="s">
        <v>373</v>
      </c>
      <c r="AA3" s="35" t="s">
        <v>374</v>
      </c>
      <c r="AB3" s="35" t="s">
        <v>375</v>
      </c>
      <c r="AC3" s="35" t="s">
        <v>376</v>
      </c>
      <c r="AD3" s="35" t="s">
        <v>377</v>
      </c>
      <c r="AE3" s="35" t="s">
        <v>378</v>
      </c>
      <c r="AF3" s="35" t="s">
        <v>379</v>
      </c>
      <c r="AG3" s="35" t="s">
        <v>380</v>
      </c>
      <c r="AH3" s="35" t="s">
        <v>381</v>
      </c>
      <c r="AI3" s="35" t="s">
        <v>382</v>
      </c>
      <c r="AJ3" s="35" t="s">
        <v>383</v>
      </c>
      <c r="AK3" s="35" t="s">
        <v>384</v>
      </c>
      <c r="AL3" s="35" t="s">
        <v>385</v>
      </c>
    </row>
    <row r="4" customFormat="false" ht="15" hidden="false" customHeight="false" outlineLevel="0" collapsed="false">
      <c r="A4" s="74" t="s">
        <v>386</v>
      </c>
      <c r="C4" s="74" t="n">
        <v>1</v>
      </c>
      <c r="D4" s="74" t="n">
        <v>2</v>
      </c>
      <c r="E4" s="74" t="n">
        <v>3</v>
      </c>
      <c r="F4" s="74" t="n">
        <v>4</v>
      </c>
      <c r="G4" s="74" t="n">
        <v>5</v>
      </c>
      <c r="H4" s="74" t="n">
        <v>6</v>
      </c>
      <c r="I4" s="74" t="n">
        <v>7</v>
      </c>
      <c r="J4" s="74" t="n">
        <v>8</v>
      </c>
      <c r="K4" s="74" t="n">
        <v>9</v>
      </c>
      <c r="L4" s="74" t="n">
        <v>10</v>
      </c>
      <c r="M4" s="74" t="n">
        <v>11</v>
      </c>
      <c r="N4" s="74" t="n">
        <v>12</v>
      </c>
      <c r="O4" s="74" t="n">
        <v>13</v>
      </c>
      <c r="P4" s="74" t="n">
        <v>14</v>
      </c>
      <c r="Q4" s="74" t="n">
        <v>15</v>
      </c>
      <c r="R4" s="74" t="n">
        <v>16</v>
      </c>
      <c r="S4" s="74" t="n">
        <v>17</v>
      </c>
      <c r="T4" s="74" t="n">
        <v>18</v>
      </c>
      <c r="U4" s="74" t="n">
        <v>19</v>
      </c>
      <c r="V4" s="74" t="n">
        <v>20</v>
      </c>
      <c r="W4" s="74" t="n">
        <v>21</v>
      </c>
      <c r="X4" s="74" t="n">
        <v>22</v>
      </c>
      <c r="Y4" s="74" t="n">
        <v>23</v>
      </c>
      <c r="Z4" s="74" t="n">
        <v>24</v>
      </c>
      <c r="AA4" s="74" t="n">
        <v>25</v>
      </c>
      <c r="AB4" s="74" t="n">
        <v>26</v>
      </c>
      <c r="AC4" s="74" t="n">
        <v>27</v>
      </c>
      <c r="AD4" s="74" t="n">
        <v>28</v>
      </c>
      <c r="AE4" s="74" t="n">
        <v>29</v>
      </c>
      <c r="AF4" s="74" t="n">
        <v>30</v>
      </c>
      <c r="AG4" s="74" t="n">
        <v>31</v>
      </c>
      <c r="AH4" s="74" t="n">
        <v>32</v>
      </c>
      <c r="AI4" s="74" t="n">
        <v>33</v>
      </c>
      <c r="AJ4" s="74" t="n">
        <v>34</v>
      </c>
      <c r="AK4" s="74" t="n">
        <v>35</v>
      </c>
      <c r="AL4" s="74" t="n">
        <v>36</v>
      </c>
    </row>
    <row r="5" customFormat="false" ht="15" hidden="false" customHeight="false" outlineLevel="0" collapsed="false">
      <c r="A5" s="74" t="s">
        <v>154</v>
      </c>
      <c r="C5" s="74" t="n">
        <f aca="false">ROUNDUP(C4*1/12,0)</f>
        <v>1</v>
      </c>
      <c r="D5" s="74" t="n">
        <f aca="false">ROUNDUP(D4*1/12,0)</f>
        <v>1</v>
      </c>
      <c r="E5" s="74" t="n">
        <f aca="false">ROUNDUP(E4*1/12,0)</f>
        <v>1</v>
      </c>
      <c r="F5" s="74" t="n">
        <f aca="false">ROUNDUP(F4*1/12,0)</f>
        <v>1</v>
      </c>
      <c r="G5" s="74" t="n">
        <f aca="false">ROUNDUP(G4*1/12,0)</f>
        <v>1</v>
      </c>
      <c r="H5" s="74" t="n">
        <f aca="false">ROUNDUP(H4*1/12,0)</f>
        <v>1</v>
      </c>
      <c r="I5" s="74" t="n">
        <f aca="false">ROUNDUP(I4*1/12,0)</f>
        <v>1</v>
      </c>
      <c r="J5" s="74" t="n">
        <f aca="false">ROUNDUP(J4*1/12,0)</f>
        <v>1</v>
      </c>
      <c r="K5" s="74" t="n">
        <f aca="false">ROUNDUP(K4*1/12,0)</f>
        <v>1</v>
      </c>
      <c r="L5" s="74" t="n">
        <f aca="false">ROUNDUP(L4*1/12,0)</f>
        <v>1</v>
      </c>
      <c r="M5" s="74" t="n">
        <f aca="false">ROUNDUP(M4*1/12,0)</f>
        <v>1</v>
      </c>
      <c r="N5" s="74" t="n">
        <f aca="false">ROUNDUP(N4*1/12,0)</f>
        <v>1</v>
      </c>
      <c r="O5" s="74" t="n">
        <f aca="false">ROUNDUP(O4*1/12,0)</f>
        <v>2</v>
      </c>
      <c r="P5" s="74" t="n">
        <f aca="false">ROUNDUP(P4*1/12,0)</f>
        <v>2</v>
      </c>
      <c r="Q5" s="74" t="n">
        <f aca="false">ROUNDUP(Q4*1/12,0)</f>
        <v>2</v>
      </c>
      <c r="R5" s="74" t="n">
        <f aca="false">ROUNDUP(R4*1/12,0)</f>
        <v>2</v>
      </c>
      <c r="S5" s="74" t="n">
        <f aca="false">ROUNDUP(S4*1/12,0)</f>
        <v>2</v>
      </c>
      <c r="T5" s="74" t="n">
        <f aca="false">ROUNDUP(T4*1/12,0)</f>
        <v>2</v>
      </c>
      <c r="U5" s="74" t="n">
        <f aca="false">ROUNDUP(U4*1/12,0)</f>
        <v>2</v>
      </c>
      <c r="V5" s="74" t="n">
        <f aca="false">ROUNDUP(V4*1/12,0)</f>
        <v>2</v>
      </c>
      <c r="W5" s="74" t="n">
        <f aca="false">ROUNDUP(W4*1/12,0)</f>
        <v>2</v>
      </c>
      <c r="X5" s="74" t="n">
        <f aca="false">ROUNDUP(X4*1/12,0)</f>
        <v>2</v>
      </c>
      <c r="Y5" s="74" t="n">
        <f aca="false">ROUNDUP(Y4*1/12,0)</f>
        <v>2</v>
      </c>
      <c r="Z5" s="74" t="n">
        <f aca="false">ROUNDUP(Z4*1/12,0)</f>
        <v>2</v>
      </c>
      <c r="AA5" s="74" t="n">
        <f aca="false">ROUNDUP(AA4*1/12,0)</f>
        <v>3</v>
      </c>
      <c r="AB5" s="74" t="n">
        <f aca="false">ROUNDUP(AB4*1/12,0)</f>
        <v>3</v>
      </c>
      <c r="AC5" s="74" t="n">
        <f aca="false">ROUNDUP(AC4*1/12,0)</f>
        <v>3</v>
      </c>
      <c r="AD5" s="74" t="n">
        <f aca="false">ROUNDUP(AD4*1/12,0)</f>
        <v>3</v>
      </c>
      <c r="AE5" s="74" t="n">
        <f aca="false">ROUNDUP(AE4*1/12,0)</f>
        <v>3</v>
      </c>
      <c r="AF5" s="74" t="n">
        <f aca="false">ROUNDUP(AF4*1/12,0)</f>
        <v>3</v>
      </c>
      <c r="AG5" s="74" t="n">
        <f aca="false">ROUNDUP(AG4*1/12,0)</f>
        <v>3</v>
      </c>
      <c r="AH5" s="74" t="n">
        <f aca="false">ROUNDUP(AH4*1/12,0)</f>
        <v>3</v>
      </c>
      <c r="AI5" s="74" t="n">
        <f aca="false">ROUNDUP(AI4*1/12,0)</f>
        <v>3</v>
      </c>
      <c r="AJ5" s="74" t="n">
        <f aca="false">ROUNDUP(AJ4*1/12,0)</f>
        <v>3</v>
      </c>
      <c r="AK5" s="74" t="n">
        <f aca="false">ROUNDUP(AK4*1/12,0)</f>
        <v>3</v>
      </c>
      <c r="AL5" s="74" t="n">
        <f aca="false">ROUNDUP(AL4*1/12,0)</f>
        <v>3</v>
      </c>
    </row>
    <row r="7" customFormat="false" ht="15.75" hidden="false" customHeight="true" outlineLevel="0" collapsed="false">
      <c r="A7" s="7" t="s">
        <v>432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433</v>
      </c>
      <c r="C8" s="119" t="n">
        <f aca="false">Inputs!$E$55*(1+Inputs!$E$57)^(C$5-1)*MAX(0,MIN(1,C$4*1-Inputs!$E$58+1))/1</f>
        <v>4</v>
      </c>
      <c r="D8" s="119" t="n">
        <f aca="false">Inputs!$E$55*(1+Inputs!$E$57)^(D$5-1)*MAX(0,MIN(1,D$4*1-Inputs!$E$58+1))/1</f>
        <v>4</v>
      </c>
      <c r="E8" s="119" t="n">
        <f aca="false">Inputs!$E$55*(1+Inputs!$E$57)^(E$5-1)*MAX(0,MIN(1,E$4*1-Inputs!$E$58+1))/1</f>
        <v>4</v>
      </c>
      <c r="F8" s="119" t="n">
        <f aca="false">Inputs!$E$55*(1+Inputs!$E$57)^(F$5-1)*MAX(0,MIN(1,F$4*1-Inputs!$E$58+1))/1</f>
        <v>4</v>
      </c>
      <c r="G8" s="119" t="n">
        <f aca="false">Inputs!$E$55*(1+Inputs!$E$57)^(G$5-1)*MAX(0,MIN(1,G$4*1-Inputs!$E$58+1))/1</f>
        <v>4</v>
      </c>
      <c r="H8" s="119" t="n">
        <f aca="false">Inputs!$E$55*(1+Inputs!$E$57)^(H$5-1)*MAX(0,MIN(1,H$4*1-Inputs!$E$58+1))/1</f>
        <v>4</v>
      </c>
      <c r="I8" s="119" t="n">
        <f aca="false">Inputs!$E$55*(1+Inputs!$E$57)^(I$5-1)*MAX(0,MIN(1,I$4*1-Inputs!$E$58+1))/1</f>
        <v>4</v>
      </c>
      <c r="J8" s="119" t="n">
        <f aca="false">Inputs!$E$55*(1+Inputs!$E$57)^(J$5-1)*MAX(0,MIN(1,J$4*1-Inputs!$E$58+1))/1</f>
        <v>4</v>
      </c>
      <c r="K8" s="119" t="n">
        <f aca="false">Inputs!$E$55*(1+Inputs!$E$57)^(K$5-1)*MAX(0,MIN(1,K$4*1-Inputs!$E$58+1))/1</f>
        <v>4</v>
      </c>
      <c r="L8" s="119" t="n">
        <f aca="false">Inputs!$E$55*(1+Inputs!$E$57)^(L$5-1)*MAX(0,MIN(1,L$4*1-Inputs!$E$58+1))/1</f>
        <v>4</v>
      </c>
      <c r="M8" s="119" t="n">
        <f aca="false">Inputs!$E$55*(1+Inputs!$E$57)^(M$5-1)*MAX(0,MIN(1,M$4*1-Inputs!$E$58+1))/1</f>
        <v>4</v>
      </c>
      <c r="N8" s="119" t="n">
        <f aca="false">Inputs!$E$55*(1+Inputs!$E$57)^(N$5-1)*MAX(0,MIN(1,N$4*1-Inputs!$E$58+1))/1</f>
        <v>4</v>
      </c>
      <c r="O8" s="119" t="n">
        <f aca="false">Inputs!$E$55*(1+Inputs!$E$57)^(O$5-1)*MAX(0,MIN(1,O$4*1-Inputs!$E$58+1))/1</f>
        <v>4</v>
      </c>
      <c r="P8" s="119" t="n">
        <f aca="false">Inputs!$E$55*(1+Inputs!$E$57)^(P$5-1)*MAX(0,MIN(1,P$4*1-Inputs!$E$58+1))/1</f>
        <v>4</v>
      </c>
      <c r="Q8" s="119" t="n">
        <f aca="false">Inputs!$E$55*(1+Inputs!$E$57)^(Q$5-1)*MAX(0,MIN(1,Q$4*1-Inputs!$E$58+1))/1</f>
        <v>4</v>
      </c>
      <c r="R8" s="119" t="n">
        <f aca="false">Inputs!$E$55*(1+Inputs!$E$57)^(R$5-1)*MAX(0,MIN(1,R$4*1-Inputs!$E$58+1))/1</f>
        <v>4</v>
      </c>
      <c r="S8" s="119" t="n">
        <f aca="false">Inputs!$E$55*(1+Inputs!$E$57)^(S$5-1)*MAX(0,MIN(1,S$4*1-Inputs!$E$58+1))/1</f>
        <v>4</v>
      </c>
      <c r="T8" s="119" t="n">
        <f aca="false">Inputs!$E$55*(1+Inputs!$E$57)^(T$5-1)*MAX(0,MIN(1,T$4*1-Inputs!$E$58+1))/1</f>
        <v>4</v>
      </c>
      <c r="U8" s="119" t="n">
        <f aca="false">Inputs!$E$55*(1+Inputs!$E$57)^(U$5-1)*MAX(0,MIN(1,U$4*1-Inputs!$E$58+1))/1</f>
        <v>4</v>
      </c>
      <c r="V8" s="119" t="n">
        <f aca="false">Inputs!$E$55*(1+Inputs!$E$57)^(V$5-1)*MAX(0,MIN(1,V$4*1-Inputs!$E$58+1))/1</f>
        <v>4</v>
      </c>
      <c r="W8" s="119" t="n">
        <f aca="false">Inputs!$E$55*(1+Inputs!$E$57)^(W$5-1)*MAX(0,MIN(1,W$4*1-Inputs!$E$58+1))/1</f>
        <v>4</v>
      </c>
      <c r="X8" s="119" t="n">
        <f aca="false">Inputs!$E$55*(1+Inputs!$E$57)^(X$5-1)*MAX(0,MIN(1,X$4*1-Inputs!$E$58+1))/1</f>
        <v>4</v>
      </c>
      <c r="Y8" s="119" t="n">
        <f aca="false">Inputs!$E$55*(1+Inputs!$E$57)^(Y$5-1)*MAX(0,MIN(1,Y$4*1-Inputs!$E$58+1))/1</f>
        <v>4</v>
      </c>
      <c r="Z8" s="119" t="n">
        <f aca="false">Inputs!$E$55*(1+Inputs!$E$57)^(Z$5-1)*MAX(0,MIN(1,Z$4*1-Inputs!$E$58+1))/1</f>
        <v>4</v>
      </c>
      <c r="AA8" s="119" t="n">
        <f aca="false">Inputs!$E$55*(1+Inputs!$E$57)^(AA$5-1)*MAX(0,MIN(1,AA$4*1-Inputs!$E$58+1))/1</f>
        <v>4</v>
      </c>
      <c r="AB8" s="119" t="n">
        <f aca="false">Inputs!$E$55*(1+Inputs!$E$57)^(AB$5-1)*MAX(0,MIN(1,AB$4*1-Inputs!$E$58+1))/1</f>
        <v>4</v>
      </c>
      <c r="AC8" s="119" t="n">
        <f aca="false">Inputs!$E$55*(1+Inputs!$E$57)^(AC$5-1)*MAX(0,MIN(1,AC$4*1-Inputs!$E$58+1))/1</f>
        <v>4</v>
      </c>
      <c r="AD8" s="119" t="n">
        <f aca="false">Inputs!$E$55*(1+Inputs!$E$57)^(AD$5-1)*MAX(0,MIN(1,AD$4*1-Inputs!$E$58+1))/1</f>
        <v>4</v>
      </c>
      <c r="AE8" s="119" t="n">
        <f aca="false">Inputs!$E$55*(1+Inputs!$E$57)^(AE$5-1)*MAX(0,MIN(1,AE$4*1-Inputs!$E$58+1))/1</f>
        <v>4</v>
      </c>
      <c r="AF8" s="119" t="n">
        <f aca="false">Inputs!$E$55*(1+Inputs!$E$57)^(AF$5-1)*MAX(0,MIN(1,AF$4*1-Inputs!$E$58+1))/1</f>
        <v>4</v>
      </c>
      <c r="AG8" s="119" t="n">
        <f aca="false">Inputs!$E$55*(1+Inputs!$E$57)^(AG$5-1)*MAX(0,MIN(1,AG$4*1-Inputs!$E$58+1))/1</f>
        <v>4</v>
      </c>
      <c r="AH8" s="119" t="n">
        <f aca="false">Inputs!$E$55*(1+Inputs!$E$57)^(AH$5-1)*MAX(0,MIN(1,AH$4*1-Inputs!$E$58+1))/1</f>
        <v>4</v>
      </c>
      <c r="AI8" s="119" t="n">
        <f aca="false">Inputs!$E$55*(1+Inputs!$E$57)^(AI$5-1)*MAX(0,MIN(1,AI$4*1-Inputs!$E$58+1))/1</f>
        <v>4</v>
      </c>
      <c r="AJ8" s="119" t="n">
        <f aca="false">Inputs!$E$55*(1+Inputs!$E$57)^(AJ$5-1)*MAX(0,MIN(1,AJ$4*1-Inputs!$E$58+1))/1</f>
        <v>4</v>
      </c>
      <c r="AK8" s="119" t="n">
        <f aca="false">Inputs!$E$55*(1+Inputs!$E$57)^(AK$5-1)*MAX(0,MIN(1,AK$4*1-Inputs!$E$58+1))/1</f>
        <v>4</v>
      </c>
      <c r="AL8" s="119" t="n">
        <f aca="false">Inputs!$E$55*(1+Inputs!$E$57)^(AL$5-1)*MAX(0,MIN(1,AL$4*1-Inputs!$E$58+1))/1</f>
        <v>4</v>
      </c>
    </row>
    <row r="9" customFormat="false" ht="15" hidden="false" customHeight="false" outlineLevel="0" collapsed="false">
      <c r="A9" s="6" t="s">
        <v>434</v>
      </c>
      <c r="C9" s="119" t="n">
        <f aca="false">Inputs!$E$59*(1+Inputs!$E$61)^(C$5-1)*MAX(0,MIN(1,C$4*1-Inputs!$E$62+1))/1</f>
        <v>3</v>
      </c>
      <c r="D9" s="119" t="n">
        <f aca="false">Inputs!$E$59*(1+Inputs!$E$61)^(D$5-1)*MAX(0,MIN(1,D$4*1-Inputs!$E$62+1))/1</f>
        <v>3</v>
      </c>
      <c r="E9" s="119" t="n">
        <f aca="false">Inputs!$E$59*(1+Inputs!$E$61)^(E$5-1)*MAX(0,MIN(1,E$4*1-Inputs!$E$62+1))/1</f>
        <v>3</v>
      </c>
      <c r="F9" s="119" t="n">
        <f aca="false">Inputs!$E$59*(1+Inputs!$E$61)^(F$5-1)*MAX(0,MIN(1,F$4*1-Inputs!$E$62+1))/1</f>
        <v>3</v>
      </c>
      <c r="G9" s="119" t="n">
        <f aca="false">Inputs!$E$59*(1+Inputs!$E$61)^(G$5-1)*MAX(0,MIN(1,G$4*1-Inputs!$E$62+1))/1</f>
        <v>3</v>
      </c>
      <c r="H9" s="119" t="n">
        <f aca="false">Inputs!$E$59*(1+Inputs!$E$61)^(H$5-1)*MAX(0,MIN(1,H$4*1-Inputs!$E$62+1))/1</f>
        <v>3</v>
      </c>
      <c r="I9" s="119" t="n">
        <f aca="false">Inputs!$E$59*(1+Inputs!$E$61)^(I$5-1)*MAX(0,MIN(1,I$4*1-Inputs!$E$62+1))/1</f>
        <v>3</v>
      </c>
      <c r="J9" s="119" t="n">
        <f aca="false">Inputs!$E$59*(1+Inputs!$E$61)^(J$5-1)*MAX(0,MIN(1,J$4*1-Inputs!$E$62+1))/1</f>
        <v>3</v>
      </c>
      <c r="K9" s="119" t="n">
        <f aca="false">Inputs!$E$59*(1+Inputs!$E$61)^(K$5-1)*MAX(0,MIN(1,K$4*1-Inputs!$E$62+1))/1</f>
        <v>3</v>
      </c>
      <c r="L9" s="119" t="n">
        <f aca="false">Inputs!$E$59*(1+Inputs!$E$61)^(L$5-1)*MAX(0,MIN(1,L$4*1-Inputs!$E$62+1))/1</f>
        <v>3</v>
      </c>
      <c r="M9" s="119" t="n">
        <f aca="false">Inputs!$E$59*(1+Inputs!$E$61)^(M$5-1)*MAX(0,MIN(1,M$4*1-Inputs!$E$62+1))/1</f>
        <v>3</v>
      </c>
      <c r="N9" s="119" t="n">
        <f aca="false">Inputs!$E$59*(1+Inputs!$E$61)^(N$5-1)*MAX(0,MIN(1,N$4*1-Inputs!$E$62+1))/1</f>
        <v>3</v>
      </c>
      <c r="O9" s="119" t="n">
        <f aca="false">Inputs!$E$59*(1+Inputs!$E$61)^(O$5-1)*MAX(0,MIN(1,O$4*1-Inputs!$E$62+1))/1</f>
        <v>3</v>
      </c>
      <c r="P9" s="119" t="n">
        <f aca="false">Inputs!$E$59*(1+Inputs!$E$61)^(P$5-1)*MAX(0,MIN(1,P$4*1-Inputs!$E$62+1))/1</f>
        <v>3</v>
      </c>
      <c r="Q9" s="119" t="n">
        <f aca="false">Inputs!$E$59*(1+Inputs!$E$61)^(Q$5-1)*MAX(0,MIN(1,Q$4*1-Inputs!$E$62+1))/1</f>
        <v>3</v>
      </c>
      <c r="R9" s="119" t="n">
        <f aca="false">Inputs!$E$59*(1+Inputs!$E$61)^(R$5-1)*MAX(0,MIN(1,R$4*1-Inputs!$E$62+1))/1</f>
        <v>3</v>
      </c>
      <c r="S9" s="119" t="n">
        <f aca="false">Inputs!$E$59*(1+Inputs!$E$61)^(S$5-1)*MAX(0,MIN(1,S$4*1-Inputs!$E$62+1))/1</f>
        <v>3</v>
      </c>
      <c r="T9" s="119" t="n">
        <f aca="false">Inputs!$E$59*(1+Inputs!$E$61)^(T$5-1)*MAX(0,MIN(1,T$4*1-Inputs!$E$62+1))/1</f>
        <v>3</v>
      </c>
      <c r="U9" s="119" t="n">
        <f aca="false">Inputs!$E$59*(1+Inputs!$E$61)^(U$5-1)*MAX(0,MIN(1,U$4*1-Inputs!$E$62+1))/1</f>
        <v>3</v>
      </c>
      <c r="V9" s="119" t="n">
        <f aca="false">Inputs!$E$59*(1+Inputs!$E$61)^(V$5-1)*MAX(0,MIN(1,V$4*1-Inputs!$E$62+1))/1</f>
        <v>3</v>
      </c>
      <c r="W9" s="119" t="n">
        <f aca="false">Inputs!$E$59*(1+Inputs!$E$61)^(W$5-1)*MAX(0,MIN(1,W$4*1-Inputs!$E$62+1))/1</f>
        <v>3</v>
      </c>
      <c r="X9" s="119" t="n">
        <f aca="false">Inputs!$E$59*(1+Inputs!$E$61)^(X$5-1)*MAX(0,MIN(1,X$4*1-Inputs!$E$62+1))/1</f>
        <v>3</v>
      </c>
      <c r="Y9" s="119" t="n">
        <f aca="false">Inputs!$E$59*(1+Inputs!$E$61)^(Y$5-1)*MAX(0,MIN(1,Y$4*1-Inputs!$E$62+1))/1</f>
        <v>3</v>
      </c>
      <c r="Z9" s="119" t="n">
        <f aca="false">Inputs!$E$59*(1+Inputs!$E$61)^(Z$5-1)*MAX(0,MIN(1,Z$4*1-Inputs!$E$62+1))/1</f>
        <v>3</v>
      </c>
      <c r="AA9" s="119" t="n">
        <f aca="false">Inputs!$E$59*(1+Inputs!$E$61)^(AA$5-1)*MAX(0,MIN(1,AA$4*1-Inputs!$E$62+1))/1</f>
        <v>3</v>
      </c>
      <c r="AB9" s="119" t="n">
        <f aca="false">Inputs!$E$59*(1+Inputs!$E$61)^(AB$5-1)*MAX(0,MIN(1,AB$4*1-Inputs!$E$62+1))/1</f>
        <v>3</v>
      </c>
      <c r="AC9" s="119" t="n">
        <f aca="false">Inputs!$E$59*(1+Inputs!$E$61)^(AC$5-1)*MAX(0,MIN(1,AC$4*1-Inputs!$E$62+1))/1</f>
        <v>3</v>
      </c>
      <c r="AD9" s="119" t="n">
        <f aca="false">Inputs!$E$59*(1+Inputs!$E$61)^(AD$5-1)*MAX(0,MIN(1,AD$4*1-Inputs!$E$62+1))/1</f>
        <v>3</v>
      </c>
      <c r="AE9" s="119" t="n">
        <f aca="false">Inputs!$E$59*(1+Inputs!$E$61)^(AE$5-1)*MAX(0,MIN(1,AE$4*1-Inputs!$E$62+1))/1</f>
        <v>3</v>
      </c>
      <c r="AF9" s="119" t="n">
        <f aca="false">Inputs!$E$59*(1+Inputs!$E$61)^(AF$5-1)*MAX(0,MIN(1,AF$4*1-Inputs!$E$62+1))/1</f>
        <v>3</v>
      </c>
      <c r="AG9" s="119" t="n">
        <f aca="false">Inputs!$E$59*(1+Inputs!$E$61)^(AG$5-1)*MAX(0,MIN(1,AG$4*1-Inputs!$E$62+1))/1</f>
        <v>3</v>
      </c>
      <c r="AH9" s="119" t="n">
        <f aca="false">Inputs!$E$59*(1+Inputs!$E$61)^(AH$5-1)*MAX(0,MIN(1,AH$4*1-Inputs!$E$62+1))/1</f>
        <v>3</v>
      </c>
      <c r="AI9" s="119" t="n">
        <f aca="false">Inputs!$E$59*(1+Inputs!$E$61)^(AI$5-1)*MAX(0,MIN(1,AI$4*1-Inputs!$E$62+1))/1</f>
        <v>3</v>
      </c>
      <c r="AJ9" s="119" t="n">
        <f aca="false">Inputs!$E$59*(1+Inputs!$E$61)^(AJ$5-1)*MAX(0,MIN(1,AJ$4*1-Inputs!$E$62+1))/1</f>
        <v>3</v>
      </c>
      <c r="AK9" s="119" t="n">
        <f aca="false">Inputs!$E$59*(1+Inputs!$E$61)^(AK$5-1)*MAX(0,MIN(1,AK$4*1-Inputs!$E$62+1))/1</f>
        <v>3</v>
      </c>
      <c r="AL9" s="119" t="n">
        <f aca="false">Inputs!$E$59*(1+Inputs!$E$61)^(AL$5-1)*MAX(0,MIN(1,AL$4*1-Inputs!$E$62+1))/1</f>
        <v>3</v>
      </c>
    </row>
    <row r="10" customFormat="false" ht="15" hidden="false" customHeight="false" outlineLevel="0" collapsed="false">
      <c r="A10" s="6" t="s">
        <v>435</v>
      </c>
      <c r="C10" s="119" t="n">
        <f aca="false">Inputs!$E$63*(1+Inputs!$E$65)^(C$5-1)*MAX(0,MIN(1,C$4*1-Inputs!$E$66+1))/1</f>
        <v>1</v>
      </c>
      <c r="D10" s="119" t="n">
        <f aca="false">Inputs!$E$63*(1+Inputs!$E$65)^(D$5-1)*MAX(0,MIN(1,D$4*1-Inputs!$E$66+1))/1</f>
        <v>1</v>
      </c>
      <c r="E10" s="119" t="n">
        <f aca="false">Inputs!$E$63*(1+Inputs!$E$65)^(E$5-1)*MAX(0,MIN(1,E$4*1-Inputs!$E$66+1))/1</f>
        <v>1</v>
      </c>
      <c r="F10" s="119" t="n">
        <f aca="false">Inputs!$E$63*(1+Inputs!$E$65)^(F$5-1)*MAX(0,MIN(1,F$4*1-Inputs!$E$66+1))/1</f>
        <v>1</v>
      </c>
      <c r="G10" s="119" t="n">
        <f aca="false">Inputs!$E$63*(1+Inputs!$E$65)^(G$5-1)*MAX(0,MIN(1,G$4*1-Inputs!$E$66+1))/1</f>
        <v>1</v>
      </c>
      <c r="H10" s="119" t="n">
        <f aca="false">Inputs!$E$63*(1+Inputs!$E$65)^(H$5-1)*MAX(0,MIN(1,H$4*1-Inputs!$E$66+1))/1</f>
        <v>1</v>
      </c>
      <c r="I10" s="119" t="n">
        <f aca="false">Inputs!$E$63*(1+Inputs!$E$65)^(I$5-1)*MAX(0,MIN(1,I$4*1-Inputs!$E$66+1))/1</f>
        <v>1</v>
      </c>
      <c r="J10" s="119" t="n">
        <f aca="false">Inputs!$E$63*(1+Inputs!$E$65)^(J$5-1)*MAX(0,MIN(1,J$4*1-Inputs!$E$66+1))/1</f>
        <v>1</v>
      </c>
      <c r="K10" s="119" t="n">
        <f aca="false">Inputs!$E$63*(1+Inputs!$E$65)^(K$5-1)*MAX(0,MIN(1,K$4*1-Inputs!$E$66+1))/1</f>
        <v>1</v>
      </c>
      <c r="L10" s="119" t="n">
        <f aca="false">Inputs!$E$63*(1+Inputs!$E$65)^(L$5-1)*MAX(0,MIN(1,L$4*1-Inputs!$E$66+1))/1</f>
        <v>1</v>
      </c>
      <c r="M10" s="119" t="n">
        <f aca="false">Inputs!$E$63*(1+Inputs!$E$65)^(M$5-1)*MAX(0,MIN(1,M$4*1-Inputs!$E$66+1))/1</f>
        <v>1</v>
      </c>
      <c r="N10" s="119" t="n">
        <f aca="false">Inputs!$E$63*(1+Inputs!$E$65)^(N$5-1)*MAX(0,MIN(1,N$4*1-Inputs!$E$66+1))/1</f>
        <v>1</v>
      </c>
      <c r="O10" s="119" t="n">
        <f aca="false">Inputs!$E$63*(1+Inputs!$E$65)^(O$5-1)*MAX(0,MIN(1,O$4*1-Inputs!$E$66+1))/1</f>
        <v>1</v>
      </c>
      <c r="P10" s="119" t="n">
        <f aca="false">Inputs!$E$63*(1+Inputs!$E$65)^(P$5-1)*MAX(0,MIN(1,P$4*1-Inputs!$E$66+1))/1</f>
        <v>1</v>
      </c>
      <c r="Q10" s="119" t="n">
        <f aca="false">Inputs!$E$63*(1+Inputs!$E$65)^(Q$5-1)*MAX(0,MIN(1,Q$4*1-Inputs!$E$66+1))/1</f>
        <v>1</v>
      </c>
      <c r="R10" s="119" t="n">
        <f aca="false">Inputs!$E$63*(1+Inputs!$E$65)^(R$5-1)*MAX(0,MIN(1,R$4*1-Inputs!$E$66+1))/1</f>
        <v>1</v>
      </c>
      <c r="S10" s="119" t="n">
        <f aca="false">Inputs!$E$63*(1+Inputs!$E$65)^(S$5-1)*MAX(0,MIN(1,S$4*1-Inputs!$E$66+1))/1</f>
        <v>1</v>
      </c>
      <c r="T10" s="119" t="n">
        <f aca="false">Inputs!$E$63*(1+Inputs!$E$65)^(T$5-1)*MAX(0,MIN(1,T$4*1-Inputs!$E$66+1))/1</f>
        <v>1</v>
      </c>
      <c r="U10" s="119" t="n">
        <f aca="false">Inputs!$E$63*(1+Inputs!$E$65)^(U$5-1)*MAX(0,MIN(1,U$4*1-Inputs!$E$66+1))/1</f>
        <v>1</v>
      </c>
      <c r="V10" s="119" t="n">
        <f aca="false">Inputs!$E$63*(1+Inputs!$E$65)^(V$5-1)*MAX(0,MIN(1,V$4*1-Inputs!$E$66+1))/1</f>
        <v>1</v>
      </c>
      <c r="W10" s="119" t="n">
        <f aca="false">Inputs!$E$63*(1+Inputs!$E$65)^(W$5-1)*MAX(0,MIN(1,W$4*1-Inputs!$E$66+1))/1</f>
        <v>1</v>
      </c>
      <c r="X10" s="119" t="n">
        <f aca="false">Inputs!$E$63*(1+Inputs!$E$65)^(X$5-1)*MAX(0,MIN(1,X$4*1-Inputs!$E$66+1))/1</f>
        <v>1</v>
      </c>
      <c r="Y10" s="119" t="n">
        <f aca="false">Inputs!$E$63*(1+Inputs!$E$65)^(Y$5-1)*MAX(0,MIN(1,Y$4*1-Inputs!$E$66+1))/1</f>
        <v>1</v>
      </c>
      <c r="Z10" s="119" t="n">
        <f aca="false">Inputs!$E$63*(1+Inputs!$E$65)^(Z$5-1)*MAX(0,MIN(1,Z$4*1-Inputs!$E$66+1))/1</f>
        <v>1</v>
      </c>
      <c r="AA10" s="119" t="n">
        <f aca="false">Inputs!$E$63*(1+Inputs!$E$65)^(AA$5-1)*MAX(0,MIN(1,AA$4*1-Inputs!$E$66+1))/1</f>
        <v>1</v>
      </c>
      <c r="AB10" s="119" t="n">
        <f aca="false">Inputs!$E$63*(1+Inputs!$E$65)^(AB$5-1)*MAX(0,MIN(1,AB$4*1-Inputs!$E$66+1))/1</f>
        <v>1</v>
      </c>
      <c r="AC10" s="119" t="n">
        <f aca="false">Inputs!$E$63*(1+Inputs!$E$65)^(AC$5-1)*MAX(0,MIN(1,AC$4*1-Inputs!$E$66+1))/1</f>
        <v>1</v>
      </c>
      <c r="AD10" s="119" t="n">
        <f aca="false">Inputs!$E$63*(1+Inputs!$E$65)^(AD$5-1)*MAX(0,MIN(1,AD$4*1-Inputs!$E$66+1))/1</f>
        <v>1</v>
      </c>
      <c r="AE10" s="119" t="n">
        <f aca="false">Inputs!$E$63*(1+Inputs!$E$65)^(AE$5-1)*MAX(0,MIN(1,AE$4*1-Inputs!$E$66+1))/1</f>
        <v>1</v>
      </c>
      <c r="AF10" s="119" t="n">
        <f aca="false">Inputs!$E$63*(1+Inputs!$E$65)^(AF$5-1)*MAX(0,MIN(1,AF$4*1-Inputs!$E$66+1))/1</f>
        <v>1</v>
      </c>
      <c r="AG10" s="119" t="n">
        <f aca="false">Inputs!$E$63*(1+Inputs!$E$65)^(AG$5-1)*MAX(0,MIN(1,AG$4*1-Inputs!$E$66+1))/1</f>
        <v>1</v>
      </c>
      <c r="AH10" s="119" t="n">
        <f aca="false">Inputs!$E$63*(1+Inputs!$E$65)^(AH$5-1)*MAX(0,MIN(1,AH$4*1-Inputs!$E$66+1))/1</f>
        <v>1</v>
      </c>
      <c r="AI10" s="119" t="n">
        <f aca="false">Inputs!$E$63*(1+Inputs!$E$65)^(AI$5-1)*MAX(0,MIN(1,AI$4*1-Inputs!$E$66+1))/1</f>
        <v>1</v>
      </c>
      <c r="AJ10" s="119" t="n">
        <f aca="false">Inputs!$E$63*(1+Inputs!$E$65)^(AJ$5-1)*MAX(0,MIN(1,AJ$4*1-Inputs!$E$66+1))/1</f>
        <v>1</v>
      </c>
      <c r="AK10" s="119" t="n">
        <f aca="false">Inputs!$E$63*(1+Inputs!$E$65)^(AK$5-1)*MAX(0,MIN(1,AK$4*1-Inputs!$E$66+1))/1</f>
        <v>1</v>
      </c>
      <c r="AL10" s="119" t="n">
        <f aca="false">Inputs!$E$63*(1+Inputs!$E$65)^(AL$5-1)*MAX(0,MIN(1,AL$4*1-Inputs!$E$66+1))/1</f>
        <v>1</v>
      </c>
    </row>
    <row r="11" customFormat="false" ht="15" hidden="false" customHeight="false" outlineLevel="0" collapsed="false">
      <c r="A11" s="115" t="s">
        <v>436</v>
      </c>
      <c r="C11" s="124" t="n">
        <f aca="false">C8+C9+C10</f>
        <v>8</v>
      </c>
      <c r="D11" s="124" t="n">
        <f aca="false">D8+D9+D10</f>
        <v>8</v>
      </c>
      <c r="E11" s="124" t="n">
        <f aca="false">E8+E9+E10</f>
        <v>8</v>
      </c>
      <c r="F11" s="124" t="n">
        <f aca="false">F8+F9+F10</f>
        <v>8</v>
      </c>
      <c r="G11" s="124" t="n">
        <f aca="false">G8+G9+G10</f>
        <v>8</v>
      </c>
      <c r="H11" s="124" t="n">
        <f aca="false">H8+H9+H10</f>
        <v>8</v>
      </c>
      <c r="I11" s="124" t="n">
        <f aca="false">I8+I9+I10</f>
        <v>8</v>
      </c>
      <c r="J11" s="124" t="n">
        <f aca="false">J8+J9+J10</f>
        <v>8</v>
      </c>
      <c r="K11" s="124" t="n">
        <f aca="false">K8+K9+K10</f>
        <v>8</v>
      </c>
      <c r="L11" s="124" t="n">
        <f aca="false">L8+L9+L10</f>
        <v>8</v>
      </c>
      <c r="M11" s="124" t="n">
        <f aca="false">M8+M9+M10</f>
        <v>8</v>
      </c>
      <c r="N11" s="124" t="n">
        <f aca="false">N8+N9+N10</f>
        <v>8</v>
      </c>
      <c r="O11" s="124" t="n">
        <f aca="false">O8+O9+O10</f>
        <v>8</v>
      </c>
      <c r="P11" s="124" t="n">
        <f aca="false">P8+P9+P10</f>
        <v>8</v>
      </c>
      <c r="Q11" s="124" t="n">
        <f aca="false">Q8+Q9+Q10</f>
        <v>8</v>
      </c>
      <c r="R11" s="124" t="n">
        <f aca="false">R8+R9+R10</f>
        <v>8</v>
      </c>
      <c r="S11" s="124" t="n">
        <f aca="false">S8+S9+S10</f>
        <v>8</v>
      </c>
      <c r="T11" s="124" t="n">
        <f aca="false">T8+T9+T10</f>
        <v>8</v>
      </c>
      <c r="U11" s="124" t="n">
        <f aca="false">U8+U9+U10</f>
        <v>8</v>
      </c>
      <c r="V11" s="124" t="n">
        <f aca="false">V8+V9+V10</f>
        <v>8</v>
      </c>
      <c r="W11" s="124" t="n">
        <f aca="false">W8+W9+W10</f>
        <v>8</v>
      </c>
      <c r="X11" s="124" t="n">
        <f aca="false">X8+X9+X10</f>
        <v>8</v>
      </c>
      <c r="Y11" s="124" t="n">
        <f aca="false">Y8+Y9+Y10</f>
        <v>8</v>
      </c>
      <c r="Z11" s="124" t="n">
        <f aca="false">Z8+Z9+Z10</f>
        <v>8</v>
      </c>
      <c r="AA11" s="124" t="n">
        <f aca="false">AA8+AA9+AA10</f>
        <v>8</v>
      </c>
      <c r="AB11" s="124" t="n">
        <f aca="false">AB8+AB9+AB10</f>
        <v>8</v>
      </c>
      <c r="AC11" s="124" t="n">
        <f aca="false">AC8+AC9+AC10</f>
        <v>8</v>
      </c>
      <c r="AD11" s="124" t="n">
        <f aca="false">AD8+AD9+AD10</f>
        <v>8</v>
      </c>
      <c r="AE11" s="124" t="n">
        <f aca="false">AE8+AE9+AE10</f>
        <v>8</v>
      </c>
      <c r="AF11" s="124" t="n">
        <f aca="false">AF8+AF9+AF10</f>
        <v>8</v>
      </c>
      <c r="AG11" s="124" t="n">
        <f aca="false">AG8+AG9+AG10</f>
        <v>8</v>
      </c>
      <c r="AH11" s="124" t="n">
        <f aca="false">AH8+AH9+AH10</f>
        <v>8</v>
      </c>
      <c r="AI11" s="124" t="n">
        <f aca="false">AI8+AI9+AI10</f>
        <v>8</v>
      </c>
      <c r="AJ11" s="124" t="n">
        <f aca="false">AJ8+AJ9+AJ10</f>
        <v>8</v>
      </c>
      <c r="AK11" s="124" t="n">
        <f aca="false">AK8+AK9+AK10</f>
        <v>8</v>
      </c>
      <c r="AL11" s="124" t="n">
        <f aca="false">AL8+AL9+AL10</f>
        <v>8</v>
      </c>
    </row>
    <row r="13" customFormat="false" ht="15.75" hidden="false" customHeight="true" outlineLevel="0" collapsed="false">
      <c r="A13" s="7" t="s">
        <v>437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438</v>
      </c>
      <c r="C14" s="69" t="n">
        <f aca="false">-C8*Inputs!$E$56/12*1*(1+Inputs!$E$67)*(1+Inputs!$E$68)^(C$5-1)</f>
        <v>-3833.33333333333</v>
      </c>
      <c r="D14" s="69" t="n">
        <f aca="false">-D8*Inputs!$E$56/12*1*(1+Inputs!$E$67)*(1+Inputs!$E$68)^(D$5-1)</f>
        <v>-3833.33333333333</v>
      </c>
      <c r="E14" s="69" t="n">
        <f aca="false">-E8*Inputs!$E$56/12*1*(1+Inputs!$E$67)*(1+Inputs!$E$68)^(E$5-1)</f>
        <v>-3833.33333333333</v>
      </c>
      <c r="F14" s="69" t="n">
        <f aca="false">-F8*Inputs!$E$56/12*1*(1+Inputs!$E$67)*(1+Inputs!$E$68)^(F$5-1)</f>
        <v>-3833.33333333333</v>
      </c>
      <c r="G14" s="69" t="n">
        <f aca="false">-G8*Inputs!$E$56/12*1*(1+Inputs!$E$67)*(1+Inputs!$E$68)^(G$5-1)</f>
        <v>-3833.33333333333</v>
      </c>
      <c r="H14" s="69" t="n">
        <f aca="false">-H8*Inputs!$E$56/12*1*(1+Inputs!$E$67)*(1+Inputs!$E$68)^(H$5-1)</f>
        <v>-3833.33333333333</v>
      </c>
      <c r="I14" s="69" t="n">
        <f aca="false">-I8*Inputs!$E$56/12*1*(1+Inputs!$E$67)*(1+Inputs!$E$68)^(I$5-1)</f>
        <v>-3833.33333333333</v>
      </c>
      <c r="J14" s="69" t="n">
        <f aca="false">-J8*Inputs!$E$56/12*1*(1+Inputs!$E$67)*(1+Inputs!$E$68)^(J$5-1)</f>
        <v>-3833.33333333333</v>
      </c>
      <c r="K14" s="69" t="n">
        <f aca="false">-K8*Inputs!$E$56/12*1*(1+Inputs!$E$67)*(1+Inputs!$E$68)^(K$5-1)</f>
        <v>-3833.33333333333</v>
      </c>
      <c r="L14" s="69" t="n">
        <f aca="false">-L8*Inputs!$E$56/12*1*(1+Inputs!$E$67)*(1+Inputs!$E$68)^(L$5-1)</f>
        <v>-3833.33333333333</v>
      </c>
      <c r="M14" s="69" t="n">
        <f aca="false">-M8*Inputs!$E$56/12*1*(1+Inputs!$E$67)*(1+Inputs!$E$68)^(M$5-1)</f>
        <v>-3833.33333333333</v>
      </c>
      <c r="N14" s="69" t="n">
        <f aca="false">-N8*Inputs!$E$56/12*1*(1+Inputs!$E$67)*(1+Inputs!$E$68)^(N$5-1)</f>
        <v>-3833.33333333333</v>
      </c>
      <c r="O14" s="69" t="n">
        <f aca="false">-O8*Inputs!$E$56/12*1*(1+Inputs!$E$67)*(1+Inputs!$E$68)^(O$5-1)</f>
        <v>-3948.33333333333</v>
      </c>
      <c r="P14" s="69" t="n">
        <f aca="false">-P8*Inputs!$E$56/12*1*(1+Inputs!$E$67)*(1+Inputs!$E$68)^(P$5-1)</f>
        <v>-3948.33333333333</v>
      </c>
      <c r="Q14" s="69" t="n">
        <f aca="false">-Q8*Inputs!$E$56/12*1*(1+Inputs!$E$67)*(1+Inputs!$E$68)^(Q$5-1)</f>
        <v>-3948.33333333333</v>
      </c>
      <c r="R14" s="69" t="n">
        <f aca="false">-R8*Inputs!$E$56/12*1*(1+Inputs!$E$67)*(1+Inputs!$E$68)^(R$5-1)</f>
        <v>-3948.33333333333</v>
      </c>
      <c r="S14" s="69" t="n">
        <f aca="false">-S8*Inputs!$E$56/12*1*(1+Inputs!$E$67)*(1+Inputs!$E$68)^(S$5-1)</f>
        <v>-3948.33333333333</v>
      </c>
      <c r="T14" s="69" t="n">
        <f aca="false">-T8*Inputs!$E$56/12*1*(1+Inputs!$E$67)*(1+Inputs!$E$68)^(T$5-1)</f>
        <v>-3948.33333333333</v>
      </c>
      <c r="U14" s="69" t="n">
        <f aca="false">-U8*Inputs!$E$56/12*1*(1+Inputs!$E$67)*(1+Inputs!$E$68)^(U$5-1)</f>
        <v>-3948.33333333333</v>
      </c>
      <c r="V14" s="69" t="n">
        <f aca="false">-V8*Inputs!$E$56/12*1*(1+Inputs!$E$67)*(1+Inputs!$E$68)^(V$5-1)</f>
        <v>-3948.33333333333</v>
      </c>
      <c r="W14" s="69" t="n">
        <f aca="false">-W8*Inputs!$E$56/12*1*(1+Inputs!$E$67)*(1+Inputs!$E$68)^(W$5-1)</f>
        <v>-3948.33333333333</v>
      </c>
      <c r="X14" s="69" t="n">
        <f aca="false">-X8*Inputs!$E$56/12*1*(1+Inputs!$E$67)*(1+Inputs!$E$68)^(X$5-1)</f>
        <v>-3948.33333333333</v>
      </c>
      <c r="Y14" s="69" t="n">
        <f aca="false">-Y8*Inputs!$E$56/12*1*(1+Inputs!$E$67)*(1+Inputs!$E$68)^(Y$5-1)</f>
        <v>-3948.33333333333</v>
      </c>
      <c r="Z14" s="69" t="n">
        <f aca="false">-Z8*Inputs!$E$56/12*1*(1+Inputs!$E$67)*(1+Inputs!$E$68)^(Z$5-1)</f>
        <v>-3948.33333333333</v>
      </c>
      <c r="AA14" s="69" t="n">
        <f aca="false">-AA8*Inputs!$E$56/12*1*(1+Inputs!$E$67)*(1+Inputs!$E$68)^(AA$5-1)</f>
        <v>-4066.78333333333</v>
      </c>
      <c r="AB14" s="69" t="n">
        <f aca="false">-AB8*Inputs!$E$56/12*1*(1+Inputs!$E$67)*(1+Inputs!$E$68)^(AB$5-1)</f>
        <v>-4066.78333333333</v>
      </c>
      <c r="AC14" s="69" t="n">
        <f aca="false">-AC8*Inputs!$E$56/12*1*(1+Inputs!$E$67)*(1+Inputs!$E$68)^(AC$5-1)</f>
        <v>-4066.78333333333</v>
      </c>
      <c r="AD14" s="69" t="n">
        <f aca="false">-AD8*Inputs!$E$56/12*1*(1+Inputs!$E$67)*(1+Inputs!$E$68)^(AD$5-1)</f>
        <v>-4066.78333333333</v>
      </c>
      <c r="AE14" s="69" t="n">
        <f aca="false">-AE8*Inputs!$E$56/12*1*(1+Inputs!$E$67)*(1+Inputs!$E$68)^(AE$5-1)</f>
        <v>-4066.78333333333</v>
      </c>
      <c r="AF14" s="69" t="n">
        <f aca="false">-AF8*Inputs!$E$56/12*1*(1+Inputs!$E$67)*(1+Inputs!$E$68)^(AF$5-1)</f>
        <v>-4066.78333333333</v>
      </c>
      <c r="AG14" s="69" t="n">
        <f aca="false">-AG8*Inputs!$E$56/12*1*(1+Inputs!$E$67)*(1+Inputs!$E$68)^(AG$5-1)</f>
        <v>-4066.78333333333</v>
      </c>
      <c r="AH14" s="69" t="n">
        <f aca="false">-AH8*Inputs!$E$56/12*1*(1+Inputs!$E$67)*(1+Inputs!$E$68)^(AH$5-1)</f>
        <v>-4066.78333333333</v>
      </c>
      <c r="AI14" s="69" t="n">
        <f aca="false">-AI8*Inputs!$E$56/12*1*(1+Inputs!$E$67)*(1+Inputs!$E$68)^(AI$5-1)</f>
        <v>-4066.78333333333</v>
      </c>
      <c r="AJ14" s="69" t="n">
        <f aca="false">-AJ8*Inputs!$E$56/12*1*(1+Inputs!$E$67)*(1+Inputs!$E$68)^(AJ$5-1)</f>
        <v>-4066.78333333333</v>
      </c>
      <c r="AK14" s="69" t="n">
        <f aca="false">-AK8*Inputs!$E$56/12*1*(1+Inputs!$E$67)*(1+Inputs!$E$68)^(AK$5-1)</f>
        <v>-4066.78333333333</v>
      </c>
      <c r="AL14" s="69" t="n">
        <f aca="false">-AL8*Inputs!$E$56/12*1*(1+Inputs!$E$67)*(1+Inputs!$E$68)^(AL$5-1)</f>
        <v>-4066.78333333333</v>
      </c>
    </row>
    <row r="15" customFormat="false" ht="15" hidden="false" customHeight="false" outlineLevel="0" collapsed="false">
      <c r="A15" s="6" t="s">
        <v>439</v>
      </c>
      <c r="C15" s="69" t="n">
        <f aca="false">-C9*Inputs!$E$60/12*1*(1+Inputs!$E$67)*(1+Inputs!$E$68)^(C$5-1)</f>
        <v>-9487.5</v>
      </c>
      <c r="D15" s="69" t="n">
        <f aca="false">-D9*Inputs!$E$60/12*1*(1+Inputs!$E$67)*(1+Inputs!$E$68)^(D$5-1)</f>
        <v>-9487.5</v>
      </c>
      <c r="E15" s="69" t="n">
        <f aca="false">-E9*Inputs!$E$60/12*1*(1+Inputs!$E$67)*(1+Inputs!$E$68)^(E$5-1)</f>
        <v>-9487.5</v>
      </c>
      <c r="F15" s="69" t="n">
        <f aca="false">-F9*Inputs!$E$60/12*1*(1+Inputs!$E$67)*(1+Inputs!$E$68)^(F$5-1)</f>
        <v>-9487.5</v>
      </c>
      <c r="G15" s="69" t="n">
        <f aca="false">-G9*Inputs!$E$60/12*1*(1+Inputs!$E$67)*(1+Inputs!$E$68)^(G$5-1)</f>
        <v>-9487.5</v>
      </c>
      <c r="H15" s="69" t="n">
        <f aca="false">-H9*Inputs!$E$60/12*1*(1+Inputs!$E$67)*(1+Inputs!$E$68)^(H$5-1)</f>
        <v>-9487.5</v>
      </c>
      <c r="I15" s="69" t="n">
        <f aca="false">-I9*Inputs!$E$60/12*1*(1+Inputs!$E$67)*(1+Inputs!$E$68)^(I$5-1)</f>
        <v>-9487.5</v>
      </c>
      <c r="J15" s="69" t="n">
        <f aca="false">-J9*Inputs!$E$60/12*1*(1+Inputs!$E$67)*(1+Inputs!$E$68)^(J$5-1)</f>
        <v>-9487.5</v>
      </c>
      <c r="K15" s="69" t="n">
        <f aca="false">-K9*Inputs!$E$60/12*1*(1+Inputs!$E$67)*(1+Inputs!$E$68)^(K$5-1)</f>
        <v>-9487.5</v>
      </c>
      <c r="L15" s="69" t="n">
        <f aca="false">-L9*Inputs!$E$60/12*1*(1+Inputs!$E$67)*(1+Inputs!$E$68)^(L$5-1)</f>
        <v>-9487.5</v>
      </c>
      <c r="M15" s="69" t="n">
        <f aca="false">-M9*Inputs!$E$60/12*1*(1+Inputs!$E$67)*(1+Inputs!$E$68)^(M$5-1)</f>
        <v>-9487.5</v>
      </c>
      <c r="N15" s="69" t="n">
        <f aca="false">-N9*Inputs!$E$60/12*1*(1+Inputs!$E$67)*(1+Inputs!$E$68)^(N$5-1)</f>
        <v>-9487.5</v>
      </c>
      <c r="O15" s="69" t="n">
        <f aca="false">-O9*Inputs!$E$60/12*1*(1+Inputs!$E$67)*(1+Inputs!$E$68)^(O$5-1)</f>
        <v>-9772.125</v>
      </c>
      <c r="P15" s="69" t="n">
        <f aca="false">-P9*Inputs!$E$60/12*1*(1+Inputs!$E$67)*(1+Inputs!$E$68)^(P$5-1)</f>
        <v>-9772.125</v>
      </c>
      <c r="Q15" s="69" t="n">
        <f aca="false">-Q9*Inputs!$E$60/12*1*(1+Inputs!$E$67)*(1+Inputs!$E$68)^(Q$5-1)</f>
        <v>-9772.125</v>
      </c>
      <c r="R15" s="69" t="n">
        <f aca="false">-R9*Inputs!$E$60/12*1*(1+Inputs!$E$67)*(1+Inputs!$E$68)^(R$5-1)</f>
        <v>-9772.125</v>
      </c>
      <c r="S15" s="69" t="n">
        <f aca="false">-S9*Inputs!$E$60/12*1*(1+Inputs!$E$67)*(1+Inputs!$E$68)^(S$5-1)</f>
        <v>-9772.125</v>
      </c>
      <c r="T15" s="69" t="n">
        <f aca="false">-T9*Inputs!$E$60/12*1*(1+Inputs!$E$67)*(1+Inputs!$E$68)^(T$5-1)</f>
        <v>-9772.125</v>
      </c>
      <c r="U15" s="69" t="n">
        <f aca="false">-U9*Inputs!$E$60/12*1*(1+Inputs!$E$67)*(1+Inputs!$E$68)^(U$5-1)</f>
        <v>-9772.125</v>
      </c>
      <c r="V15" s="69" t="n">
        <f aca="false">-V9*Inputs!$E$60/12*1*(1+Inputs!$E$67)*(1+Inputs!$E$68)^(V$5-1)</f>
        <v>-9772.125</v>
      </c>
      <c r="W15" s="69" t="n">
        <f aca="false">-W9*Inputs!$E$60/12*1*(1+Inputs!$E$67)*(1+Inputs!$E$68)^(W$5-1)</f>
        <v>-9772.125</v>
      </c>
      <c r="X15" s="69" t="n">
        <f aca="false">-X9*Inputs!$E$60/12*1*(1+Inputs!$E$67)*(1+Inputs!$E$68)^(X$5-1)</f>
        <v>-9772.125</v>
      </c>
      <c r="Y15" s="69" t="n">
        <f aca="false">-Y9*Inputs!$E$60/12*1*(1+Inputs!$E$67)*(1+Inputs!$E$68)^(Y$5-1)</f>
        <v>-9772.125</v>
      </c>
      <c r="Z15" s="69" t="n">
        <f aca="false">-Z9*Inputs!$E$60/12*1*(1+Inputs!$E$67)*(1+Inputs!$E$68)^(Z$5-1)</f>
        <v>-9772.125</v>
      </c>
      <c r="AA15" s="69" t="n">
        <f aca="false">-AA9*Inputs!$E$60/12*1*(1+Inputs!$E$67)*(1+Inputs!$E$68)^(AA$5-1)</f>
        <v>-10065.28875</v>
      </c>
      <c r="AB15" s="69" t="n">
        <f aca="false">-AB9*Inputs!$E$60/12*1*(1+Inputs!$E$67)*(1+Inputs!$E$68)^(AB$5-1)</f>
        <v>-10065.28875</v>
      </c>
      <c r="AC15" s="69" t="n">
        <f aca="false">-AC9*Inputs!$E$60/12*1*(1+Inputs!$E$67)*(1+Inputs!$E$68)^(AC$5-1)</f>
        <v>-10065.28875</v>
      </c>
      <c r="AD15" s="69" t="n">
        <f aca="false">-AD9*Inputs!$E$60/12*1*(1+Inputs!$E$67)*(1+Inputs!$E$68)^(AD$5-1)</f>
        <v>-10065.28875</v>
      </c>
      <c r="AE15" s="69" t="n">
        <f aca="false">-AE9*Inputs!$E$60/12*1*(1+Inputs!$E$67)*(1+Inputs!$E$68)^(AE$5-1)</f>
        <v>-10065.28875</v>
      </c>
      <c r="AF15" s="69" t="n">
        <f aca="false">-AF9*Inputs!$E$60/12*1*(1+Inputs!$E$67)*(1+Inputs!$E$68)^(AF$5-1)</f>
        <v>-10065.28875</v>
      </c>
      <c r="AG15" s="69" t="n">
        <f aca="false">-AG9*Inputs!$E$60/12*1*(1+Inputs!$E$67)*(1+Inputs!$E$68)^(AG$5-1)</f>
        <v>-10065.28875</v>
      </c>
      <c r="AH15" s="69" t="n">
        <f aca="false">-AH9*Inputs!$E$60/12*1*(1+Inputs!$E$67)*(1+Inputs!$E$68)^(AH$5-1)</f>
        <v>-10065.28875</v>
      </c>
      <c r="AI15" s="69" t="n">
        <f aca="false">-AI9*Inputs!$E$60/12*1*(1+Inputs!$E$67)*(1+Inputs!$E$68)^(AI$5-1)</f>
        <v>-10065.28875</v>
      </c>
      <c r="AJ15" s="69" t="n">
        <f aca="false">-AJ9*Inputs!$E$60/12*1*(1+Inputs!$E$67)*(1+Inputs!$E$68)^(AJ$5-1)</f>
        <v>-10065.28875</v>
      </c>
      <c r="AK15" s="69" t="n">
        <f aca="false">-AK9*Inputs!$E$60/12*1*(1+Inputs!$E$67)*(1+Inputs!$E$68)^(AK$5-1)</f>
        <v>-10065.28875</v>
      </c>
      <c r="AL15" s="69" t="n">
        <f aca="false">-AL9*Inputs!$E$60/12*1*(1+Inputs!$E$67)*(1+Inputs!$E$68)^(AL$5-1)</f>
        <v>-10065.28875</v>
      </c>
    </row>
    <row r="16" customFormat="false" ht="15" hidden="false" customHeight="false" outlineLevel="0" collapsed="false">
      <c r="A16" s="6" t="s">
        <v>440</v>
      </c>
      <c r="C16" s="69" t="n">
        <f aca="false">-C10*Inputs!$E$64/12*1*(1+Inputs!$E$67)*(1+Inputs!$E$68)^(C$5-1)</f>
        <v>-5750</v>
      </c>
      <c r="D16" s="69" t="n">
        <f aca="false">-D10*Inputs!$E$64/12*1*(1+Inputs!$E$67)*(1+Inputs!$E$68)^(D$5-1)</f>
        <v>-5750</v>
      </c>
      <c r="E16" s="69" t="n">
        <f aca="false">-E10*Inputs!$E$64/12*1*(1+Inputs!$E$67)*(1+Inputs!$E$68)^(E$5-1)</f>
        <v>-5750</v>
      </c>
      <c r="F16" s="69" t="n">
        <f aca="false">-F10*Inputs!$E$64/12*1*(1+Inputs!$E$67)*(1+Inputs!$E$68)^(F$5-1)</f>
        <v>-5750</v>
      </c>
      <c r="G16" s="69" t="n">
        <f aca="false">-G10*Inputs!$E$64/12*1*(1+Inputs!$E$67)*(1+Inputs!$E$68)^(G$5-1)</f>
        <v>-5750</v>
      </c>
      <c r="H16" s="69" t="n">
        <f aca="false">-H10*Inputs!$E$64/12*1*(1+Inputs!$E$67)*(1+Inputs!$E$68)^(H$5-1)</f>
        <v>-5750</v>
      </c>
      <c r="I16" s="69" t="n">
        <f aca="false">-I10*Inputs!$E$64/12*1*(1+Inputs!$E$67)*(1+Inputs!$E$68)^(I$5-1)</f>
        <v>-5750</v>
      </c>
      <c r="J16" s="69" t="n">
        <f aca="false">-J10*Inputs!$E$64/12*1*(1+Inputs!$E$67)*(1+Inputs!$E$68)^(J$5-1)</f>
        <v>-5750</v>
      </c>
      <c r="K16" s="69" t="n">
        <f aca="false">-K10*Inputs!$E$64/12*1*(1+Inputs!$E$67)*(1+Inputs!$E$68)^(K$5-1)</f>
        <v>-5750</v>
      </c>
      <c r="L16" s="69" t="n">
        <f aca="false">-L10*Inputs!$E$64/12*1*(1+Inputs!$E$67)*(1+Inputs!$E$68)^(L$5-1)</f>
        <v>-5750</v>
      </c>
      <c r="M16" s="69" t="n">
        <f aca="false">-M10*Inputs!$E$64/12*1*(1+Inputs!$E$67)*(1+Inputs!$E$68)^(M$5-1)</f>
        <v>-5750</v>
      </c>
      <c r="N16" s="69" t="n">
        <f aca="false">-N10*Inputs!$E$64/12*1*(1+Inputs!$E$67)*(1+Inputs!$E$68)^(N$5-1)</f>
        <v>-5750</v>
      </c>
      <c r="O16" s="69" t="n">
        <f aca="false">-O10*Inputs!$E$64/12*1*(1+Inputs!$E$67)*(1+Inputs!$E$68)^(O$5-1)</f>
        <v>-5922.5</v>
      </c>
      <c r="P16" s="69" t="n">
        <f aca="false">-P10*Inputs!$E$64/12*1*(1+Inputs!$E$67)*(1+Inputs!$E$68)^(P$5-1)</f>
        <v>-5922.5</v>
      </c>
      <c r="Q16" s="69" t="n">
        <f aca="false">-Q10*Inputs!$E$64/12*1*(1+Inputs!$E$67)*(1+Inputs!$E$68)^(Q$5-1)</f>
        <v>-5922.5</v>
      </c>
      <c r="R16" s="69" t="n">
        <f aca="false">-R10*Inputs!$E$64/12*1*(1+Inputs!$E$67)*(1+Inputs!$E$68)^(R$5-1)</f>
        <v>-5922.5</v>
      </c>
      <c r="S16" s="69" t="n">
        <f aca="false">-S10*Inputs!$E$64/12*1*(1+Inputs!$E$67)*(1+Inputs!$E$68)^(S$5-1)</f>
        <v>-5922.5</v>
      </c>
      <c r="T16" s="69" t="n">
        <f aca="false">-T10*Inputs!$E$64/12*1*(1+Inputs!$E$67)*(1+Inputs!$E$68)^(T$5-1)</f>
        <v>-5922.5</v>
      </c>
      <c r="U16" s="69" t="n">
        <f aca="false">-U10*Inputs!$E$64/12*1*(1+Inputs!$E$67)*(1+Inputs!$E$68)^(U$5-1)</f>
        <v>-5922.5</v>
      </c>
      <c r="V16" s="69" t="n">
        <f aca="false">-V10*Inputs!$E$64/12*1*(1+Inputs!$E$67)*(1+Inputs!$E$68)^(V$5-1)</f>
        <v>-5922.5</v>
      </c>
      <c r="W16" s="69" t="n">
        <f aca="false">-W10*Inputs!$E$64/12*1*(1+Inputs!$E$67)*(1+Inputs!$E$68)^(W$5-1)</f>
        <v>-5922.5</v>
      </c>
      <c r="X16" s="69" t="n">
        <f aca="false">-X10*Inputs!$E$64/12*1*(1+Inputs!$E$67)*(1+Inputs!$E$68)^(X$5-1)</f>
        <v>-5922.5</v>
      </c>
      <c r="Y16" s="69" t="n">
        <f aca="false">-Y10*Inputs!$E$64/12*1*(1+Inputs!$E$67)*(1+Inputs!$E$68)^(Y$5-1)</f>
        <v>-5922.5</v>
      </c>
      <c r="Z16" s="69" t="n">
        <f aca="false">-Z10*Inputs!$E$64/12*1*(1+Inputs!$E$67)*(1+Inputs!$E$68)^(Z$5-1)</f>
        <v>-5922.5</v>
      </c>
      <c r="AA16" s="69" t="n">
        <f aca="false">-AA10*Inputs!$E$64/12*1*(1+Inputs!$E$67)*(1+Inputs!$E$68)^(AA$5-1)</f>
        <v>-6100.175</v>
      </c>
      <c r="AB16" s="69" t="n">
        <f aca="false">-AB10*Inputs!$E$64/12*1*(1+Inputs!$E$67)*(1+Inputs!$E$68)^(AB$5-1)</f>
        <v>-6100.175</v>
      </c>
      <c r="AC16" s="69" t="n">
        <f aca="false">-AC10*Inputs!$E$64/12*1*(1+Inputs!$E$67)*(1+Inputs!$E$68)^(AC$5-1)</f>
        <v>-6100.175</v>
      </c>
      <c r="AD16" s="69" t="n">
        <f aca="false">-AD10*Inputs!$E$64/12*1*(1+Inputs!$E$67)*(1+Inputs!$E$68)^(AD$5-1)</f>
        <v>-6100.175</v>
      </c>
      <c r="AE16" s="69" t="n">
        <f aca="false">-AE10*Inputs!$E$64/12*1*(1+Inputs!$E$67)*(1+Inputs!$E$68)^(AE$5-1)</f>
        <v>-6100.175</v>
      </c>
      <c r="AF16" s="69" t="n">
        <f aca="false">-AF10*Inputs!$E$64/12*1*(1+Inputs!$E$67)*(1+Inputs!$E$68)^(AF$5-1)</f>
        <v>-6100.175</v>
      </c>
      <c r="AG16" s="69" t="n">
        <f aca="false">-AG10*Inputs!$E$64/12*1*(1+Inputs!$E$67)*(1+Inputs!$E$68)^(AG$5-1)</f>
        <v>-6100.175</v>
      </c>
      <c r="AH16" s="69" t="n">
        <f aca="false">-AH10*Inputs!$E$64/12*1*(1+Inputs!$E$67)*(1+Inputs!$E$68)^(AH$5-1)</f>
        <v>-6100.175</v>
      </c>
      <c r="AI16" s="69" t="n">
        <f aca="false">-AI10*Inputs!$E$64/12*1*(1+Inputs!$E$67)*(1+Inputs!$E$68)^(AI$5-1)</f>
        <v>-6100.175</v>
      </c>
      <c r="AJ16" s="69" t="n">
        <f aca="false">-AJ10*Inputs!$E$64/12*1*(1+Inputs!$E$67)*(1+Inputs!$E$68)^(AJ$5-1)</f>
        <v>-6100.175</v>
      </c>
      <c r="AK16" s="69" t="n">
        <f aca="false">-AK10*Inputs!$E$64/12*1*(1+Inputs!$E$67)*(1+Inputs!$E$68)^(AK$5-1)</f>
        <v>-6100.175</v>
      </c>
      <c r="AL16" s="69" t="n">
        <f aca="false">-AL10*Inputs!$E$64/12*1*(1+Inputs!$E$67)*(1+Inputs!$E$68)^(AL$5-1)</f>
        <v>-6100.175</v>
      </c>
    </row>
    <row r="17" customFormat="false" ht="15" hidden="false" customHeight="false" outlineLevel="0" collapsed="false">
      <c r="A17" s="115" t="s">
        <v>441</v>
      </c>
      <c r="C17" s="70" t="n">
        <f aca="false">C14+C15+C16</f>
        <v>-19070.8333333333</v>
      </c>
      <c r="D17" s="70" t="n">
        <f aca="false">D14+D15+D16</f>
        <v>-19070.8333333333</v>
      </c>
      <c r="E17" s="70" t="n">
        <f aca="false">E14+E15+E16</f>
        <v>-19070.8333333333</v>
      </c>
      <c r="F17" s="70" t="n">
        <f aca="false">F14+F15+F16</f>
        <v>-19070.8333333333</v>
      </c>
      <c r="G17" s="70" t="n">
        <f aca="false">G14+G15+G16</f>
        <v>-19070.8333333333</v>
      </c>
      <c r="H17" s="70" t="n">
        <f aca="false">H14+H15+H16</f>
        <v>-19070.8333333333</v>
      </c>
      <c r="I17" s="70" t="n">
        <f aca="false">I14+I15+I16</f>
        <v>-19070.8333333333</v>
      </c>
      <c r="J17" s="70" t="n">
        <f aca="false">J14+J15+J16</f>
        <v>-19070.8333333333</v>
      </c>
      <c r="K17" s="70" t="n">
        <f aca="false">K14+K15+K16</f>
        <v>-19070.8333333333</v>
      </c>
      <c r="L17" s="70" t="n">
        <f aca="false">L14+L15+L16</f>
        <v>-19070.8333333333</v>
      </c>
      <c r="M17" s="70" t="n">
        <f aca="false">M14+M15+M16</f>
        <v>-19070.8333333333</v>
      </c>
      <c r="N17" s="70" t="n">
        <f aca="false">N14+N15+N16</f>
        <v>-19070.8333333333</v>
      </c>
      <c r="O17" s="70" t="n">
        <f aca="false">O14+O15+O16</f>
        <v>-19642.9583333333</v>
      </c>
      <c r="P17" s="70" t="n">
        <f aca="false">P14+P15+P16</f>
        <v>-19642.9583333333</v>
      </c>
      <c r="Q17" s="70" t="n">
        <f aca="false">Q14+Q15+Q16</f>
        <v>-19642.9583333333</v>
      </c>
      <c r="R17" s="70" t="n">
        <f aca="false">R14+R15+R16</f>
        <v>-19642.9583333333</v>
      </c>
      <c r="S17" s="70" t="n">
        <f aca="false">S14+S15+S16</f>
        <v>-19642.9583333333</v>
      </c>
      <c r="T17" s="70" t="n">
        <f aca="false">T14+T15+T16</f>
        <v>-19642.9583333333</v>
      </c>
      <c r="U17" s="70" t="n">
        <f aca="false">U14+U15+U16</f>
        <v>-19642.9583333333</v>
      </c>
      <c r="V17" s="70" t="n">
        <f aca="false">V14+V15+V16</f>
        <v>-19642.9583333333</v>
      </c>
      <c r="W17" s="70" t="n">
        <f aca="false">W14+W15+W16</f>
        <v>-19642.9583333333</v>
      </c>
      <c r="X17" s="70" t="n">
        <f aca="false">X14+X15+X16</f>
        <v>-19642.9583333333</v>
      </c>
      <c r="Y17" s="70" t="n">
        <f aca="false">Y14+Y15+Y16</f>
        <v>-19642.9583333333</v>
      </c>
      <c r="Z17" s="70" t="n">
        <f aca="false">Z14+Z15+Z16</f>
        <v>-19642.9583333333</v>
      </c>
      <c r="AA17" s="70" t="n">
        <f aca="false">AA14+AA15+AA16</f>
        <v>-20232.2470833333</v>
      </c>
      <c r="AB17" s="70" t="n">
        <f aca="false">AB14+AB15+AB16</f>
        <v>-20232.2470833333</v>
      </c>
      <c r="AC17" s="70" t="n">
        <f aca="false">AC14+AC15+AC16</f>
        <v>-20232.2470833333</v>
      </c>
      <c r="AD17" s="70" t="n">
        <f aca="false">AD14+AD15+AD16</f>
        <v>-20232.2470833333</v>
      </c>
      <c r="AE17" s="70" t="n">
        <f aca="false">AE14+AE15+AE16</f>
        <v>-20232.2470833333</v>
      </c>
      <c r="AF17" s="70" t="n">
        <f aca="false">AF14+AF15+AF16</f>
        <v>-20232.2470833333</v>
      </c>
      <c r="AG17" s="70" t="n">
        <f aca="false">AG14+AG15+AG16</f>
        <v>-20232.2470833333</v>
      </c>
      <c r="AH17" s="70" t="n">
        <f aca="false">AH14+AH15+AH16</f>
        <v>-20232.2470833333</v>
      </c>
      <c r="AI17" s="70" t="n">
        <f aca="false">AI14+AI15+AI16</f>
        <v>-20232.2470833333</v>
      </c>
      <c r="AJ17" s="70" t="n">
        <f aca="false">AJ14+AJ15+AJ16</f>
        <v>-20232.2470833333</v>
      </c>
      <c r="AK17" s="70" t="n">
        <f aca="false">AK14+AK15+AK16</f>
        <v>-20232.2470833333</v>
      </c>
      <c r="AL17" s="70" t="n">
        <f aca="false">AL14+AL15+AL16</f>
        <v>-20232.2470833333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3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442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443</v>
      </c>
    </row>
    <row r="4" customFormat="false" ht="15.75" hidden="false" customHeight="true" outlineLevel="0" collapsed="false">
      <c r="A4" s="7" t="s">
        <v>444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349</v>
      </c>
      <c r="C5" s="35" t="s">
        <v>350</v>
      </c>
      <c r="D5" s="35" t="s">
        <v>351</v>
      </c>
      <c r="E5" s="35" t="s">
        <v>352</v>
      </c>
      <c r="F5" s="35" t="s">
        <v>353</v>
      </c>
      <c r="G5" s="35" t="s">
        <v>354</v>
      </c>
      <c r="H5" s="35" t="s">
        <v>355</v>
      </c>
      <c r="I5" s="35" t="s">
        <v>356</v>
      </c>
      <c r="J5" s="35" t="s">
        <v>357</v>
      </c>
      <c r="K5" s="35" t="s">
        <v>358</v>
      </c>
      <c r="L5" s="35" t="s">
        <v>359</v>
      </c>
      <c r="M5" s="35" t="s">
        <v>360</v>
      </c>
      <c r="N5" s="35" t="s">
        <v>361</v>
      </c>
      <c r="O5" s="35" t="s">
        <v>362</v>
      </c>
      <c r="P5" s="35" t="s">
        <v>363</v>
      </c>
      <c r="Q5" s="35" t="s">
        <v>364</v>
      </c>
      <c r="R5" s="35" t="s">
        <v>365</v>
      </c>
      <c r="S5" s="35" t="s">
        <v>366</v>
      </c>
      <c r="T5" s="35" t="s">
        <v>367</v>
      </c>
      <c r="U5" s="35" t="s">
        <v>368</v>
      </c>
      <c r="V5" s="35" t="s">
        <v>369</v>
      </c>
      <c r="W5" s="35" t="s">
        <v>370</v>
      </c>
      <c r="X5" s="35" t="s">
        <v>371</v>
      </c>
      <c r="Y5" s="35" t="s">
        <v>372</v>
      </c>
      <c r="Z5" s="35" t="s">
        <v>373</v>
      </c>
      <c r="AA5" s="35" t="s">
        <v>374</v>
      </c>
      <c r="AB5" s="35" t="s">
        <v>375</v>
      </c>
      <c r="AC5" s="35" t="s">
        <v>376</v>
      </c>
      <c r="AD5" s="35" t="s">
        <v>377</v>
      </c>
      <c r="AE5" s="35" t="s">
        <v>378</v>
      </c>
      <c r="AF5" s="35" t="s">
        <v>379</v>
      </c>
      <c r="AG5" s="35" t="s">
        <v>380</v>
      </c>
      <c r="AH5" s="35" t="s">
        <v>381</v>
      </c>
      <c r="AI5" s="35" t="s">
        <v>382</v>
      </c>
      <c r="AJ5" s="35" t="s">
        <v>383</v>
      </c>
      <c r="AK5" s="35" t="s">
        <v>384</v>
      </c>
      <c r="AL5" s="35" t="s">
        <v>385</v>
      </c>
    </row>
    <row r="6" customFormat="false" ht="15" hidden="false" customHeight="false" outlineLevel="0" collapsed="false">
      <c r="A6" s="74" t="s">
        <v>386</v>
      </c>
      <c r="C6" s="74" t="n">
        <v>1</v>
      </c>
      <c r="D6" s="74" t="n">
        <v>2</v>
      </c>
      <c r="E6" s="74" t="n">
        <v>3</v>
      </c>
      <c r="F6" s="74" t="n">
        <v>4</v>
      </c>
      <c r="G6" s="74" t="n">
        <v>5</v>
      </c>
      <c r="H6" s="74" t="n">
        <v>6</v>
      </c>
      <c r="I6" s="74" t="n">
        <v>7</v>
      </c>
      <c r="J6" s="74" t="n">
        <v>8</v>
      </c>
      <c r="K6" s="74" t="n">
        <v>9</v>
      </c>
      <c r="L6" s="74" t="n">
        <v>10</v>
      </c>
      <c r="M6" s="74" t="n">
        <v>11</v>
      </c>
      <c r="N6" s="74" t="n">
        <v>12</v>
      </c>
      <c r="O6" s="74" t="n">
        <v>13</v>
      </c>
      <c r="P6" s="74" t="n">
        <v>14</v>
      </c>
      <c r="Q6" s="74" t="n">
        <v>15</v>
      </c>
      <c r="R6" s="74" t="n">
        <v>16</v>
      </c>
      <c r="S6" s="74" t="n">
        <v>17</v>
      </c>
      <c r="T6" s="74" t="n">
        <v>18</v>
      </c>
      <c r="U6" s="74" t="n">
        <v>19</v>
      </c>
      <c r="V6" s="74" t="n">
        <v>20</v>
      </c>
      <c r="W6" s="74" t="n">
        <v>21</v>
      </c>
      <c r="X6" s="74" t="n">
        <v>22</v>
      </c>
      <c r="Y6" s="74" t="n">
        <v>23</v>
      </c>
      <c r="Z6" s="74" t="n">
        <v>24</v>
      </c>
      <c r="AA6" s="74" t="n">
        <v>25</v>
      </c>
      <c r="AB6" s="74" t="n">
        <v>26</v>
      </c>
      <c r="AC6" s="74" t="n">
        <v>27</v>
      </c>
      <c r="AD6" s="74" t="n">
        <v>28</v>
      </c>
      <c r="AE6" s="74" t="n">
        <v>29</v>
      </c>
      <c r="AF6" s="74" t="n">
        <v>30</v>
      </c>
      <c r="AG6" s="74" t="n">
        <v>31</v>
      </c>
      <c r="AH6" s="74" t="n">
        <v>32</v>
      </c>
      <c r="AI6" s="74" t="n">
        <v>33</v>
      </c>
      <c r="AJ6" s="74" t="n">
        <v>34</v>
      </c>
      <c r="AK6" s="74" t="n">
        <v>35</v>
      </c>
      <c r="AL6" s="74" t="n">
        <v>36</v>
      </c>
    </row>
    <row r="7" customFormat="false" ht="15" hidden="false" customHeight="false" outlineLevel="0" collapsed="false">
      <c r="A7" s="74" t="s">
        <v>154</v>
      </c>
      <c r="C7" s="74" t="n">
        <f aca="false">ROUNDUP(C6*1/12,0)</f>
        <v>1</v>
      </c>
      <c r="D7" s="74" t="n">
        <f aca="false">ROUNDUP(D6*1/12,0)</f>
        <v>1</v>
      </c>
      <c r="E7" s="74" t="n">
        <f aca="false">ROUNDUP(E6*1/12,0)</f>
        <v>1</v>
      </c>
      <c r="F7" s="74" t="n">
        <f aca="false">ROUNDUP(F6*1/12,0)</f>
        <v>1</v>
      </c>
      <c r="G7" s="74" t="n">
        <f aca="false">ROUNDUP(G6*1/12,0)</f>
        <v>1</v>
      </c>
      <c r="H7" s="74" t="n">
        <f aca="false">ROUNDUP(H6*1/12,0)</f>
        <v>1</v>
      </c>
      <c r="I7" s="74" t="n">
        <f aca="false">ROUNDUP(I6*1/12,0)</f>
        <v>1</v>
      </c>
      <c r="J7" s="74" t="n">
        <f aca="false">ROUNDUP(J6*1/12,0)</f>
        <v>1</v>
      </c>
      <c r="K7" s="74" t="n">
        <f aca="false">ROUNDUP(K6*1/12,0)</f>
        <v>1</v>
      </c>
      <c r="L7" s="74" t="n">
        <f aca="false">ROUNDUP(L6*1/12,0)</f>
        <v>1</v>
      </c>
      <c r="M7" s="74" t="n">
        <f aca="false">ROUNDUP(M6*1/12,0)</f>
        <v>1</v>
      </c>
      <c r="N7" s="74" t="n">
        <f aca="false">ROUNDUP(N6*1/12,0)</f>
        <v>1</v>
      </c>
      <c r="O7" s="74" t="n">
        <f aca="false">ROUNDUP(O6*1/12,0)</f>
        <v>2</v>
      </c>
      <c r="P7" s="74" t="n">
        <f aca="false">ROUNDUP(P6*1/12,0)</f>
        <v>2</v>
      </c>
      <c r="Q7" s="74" t="n">
        <f aca="false">ROUNDUP(Q6*1/12,0)</f>
        <v>2</v>
      </c>
      <c r="R7" s="74" t="n">
        <f aca="false">ROUNDUP(R6*1/12,0)</f>
        <v>2</v>
      </c>
      <c r="S7" s="74" t="n">
        <f aca="false">ROUNDUP(S6*1/12,0)</f>
        <v>2</v>
      </c>
      <c r="T7" s="74" t="n">
        <f aca="false">ROUNDUP(T6*1/12,0)</f>
        <v>2</v>
      </c>
      <c r="U7" s="74" t="n">
        <f aca="false">ROUNDUP(U6*1/12,0)</f>
        <v>2</v>
      </c>
      <c r="V7" s="74" t="n">
        <f aca="false">ROUNDUP(V6*1/12,0)</f>
        <v>2</v>
      </c>
      <c r="W7" s="74" t="n">
        <f aca="false">ROUNDUP(W6*1/12,0)</f>
        <v>2</v>
      </c>
      <c r="X7" s="74" t="n">
        <f aca="false">ROUNDUP(X6*1/12,0)</f>
        <v>2</v>
      </c>
      <c r="Y7" s="74" t="n">
        <f aca="false">ROUNDUP(Y6*1/12,0)</f>
        <v>2</v>
      </c>
      <c r="Z7" s="74" t="n">
        <f aca="false">ROUNDUP(Z6*1/12,0)</f>
        <v>2</v>
      </c>
      <c r="AA7" s="74" t="n">
        <f aca="false">ROUNDUP(AA6*1/12,0)</f>
        <v>3</v>
      </c>
      <c r="AB7" s="74" t="n">
        <f aca="false">ROUNDUP(AB6*1/12,0)</f>
        <v>3</v>
      </c>
      <c r="AC7" s="74" t="n">
        <f aca="false">ROUNDUP(AC6*1/12,0)</f>
        <v>3</v>
      </c>
      <c r="AD7" s="74" t="n">
        <f aca="false">ROUNDUP(AD6*1/12,0)</f>
        <v>3</v>
      </c>
      <c r="AE7" s="74" t="n">
        <f aca="false">ROUNDUP(AE6*1/12,0)</f>
        <v>3</v>
      </c>
      <c r="AF7" s="74" t="n">
        <f aca="false">ROUNDUP(AF6*1/12,0)</f>
        <v>3</v>
      </c>
      <c r="AG7" s="74" t="n">
        <f aca="false">ROUNDUP(AG6*1/12,0)</f>
        <v>3</v>
      </c>
      <c r="AH7" s="74" t="n">
        <f aca="false">ROUNDUP(AH6*1/12,0)</f>
        <v>3</v>
      </c>
      <c r="AI7" s="74" t="n">
        <f aca="false">ROUNDUP(AI6*1/12,0)</f>
        <v>3</v>
      </c>
      <c r="AJ7" s="74" t="n">
        <f aca="false">ROUNDUP(AJ6*1/12,0)</f>
        <v>3</v>
      </c>
      <c r="AK7" s="74" t="n">
        <f aca="false">ROUNDUP(AK6*1/12,0)</f>
        <v>3</v>
      </c>
      <c r="AL7" s="74" t="n">
        <f aca="false">ROUNDUP(AL6*1/12,0)</f>
        <v>3</v>
      </c>
    </row>
    <row r="9" customFormat="false" ht="15.75" hidden="false" customHeight="true" outlineLevel="0" collapsed="false">
      <c r="A9" s="7" t="s">
        <v>247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118" t="s">
        <v>387</v>
      </c>
      <c r="C10" s="119" t="n">
        <f aca="false">MAX(0,MIN(1,Inputs!$B$10-(C$6-1)*1))</f>
        <v>1</v>
      </c>
      <c r="D10" s="119" t="n">
        <f aca="false">MAX(0,MIN(1,Inputs!$B$10-(D$6-1)*1))</f>
        <v>1</v>
      </c>
      <c r="E10" s="119" t="n">
        <f aca="false">MAX(0,MIN(1,Inputs!$B$10-(E$6-1)*1))</f>
        <v>1</v>
      </c>
      <c r="F10" s="119" t="n">
        <f aca="false">MAX(0,MIN(1,Inputs!$B$10-(F$6-1)*1))</f>
        <v>1</v>
      </c>
      <c r="G10" s="119" t="n">
        <f aca="false">MAX(0,MIN(1,Inputs!$B$10-(G$6-1)*1))</f>
        <v>1</v>
      </c>
      <c r="H10" s="119" t="n">
        <f aca="false">MAX(0,MIN(1,Inputs!$B$10-(H$6-1)*1))</f>
        <v>1</v>
      </c>
      <c r="I10" s="119" t="n">
        <f aca="false">MAX(0,MIN(1,Inputs!$B$10-(I$6-1)*1))</f>
        <v>1</v>
      </c>
      <c r="J10" s="119" t="n">
        <f aca="false">MAX(0,MIN(1,Inputs!$B$10-(J$6-1)*1))</f>
        <v>1</v>
      </c>
      <c r="K10" s="119" t="n">
        <f aca="false">MAX(0,MIN(1,Inputs!$B$10-(K$6-1)*1))</f>
        <v>1</v>
      </c>
      <c r="L10" s="119" t="n">
        <f aca="false">MAX(0,MIN(1,Inputs!$B$10-(L$6-1)*1))</f>
        <v>1</v>
      </c>
      <c r="M10" s="119" t="n">
        <f aca="false">MAX(0,MIN(1,Inputs!$B$10-(M$6-1)*1))</f>
        <v>1</v>
      </c>
      <c r="N10" s="119" t="n">
        <f aca="false">MAX(0,MIN(1,Inputs!$B$10-(N$6-1)*1))</f>
        <v>1</v>
      </c>
      <c r="O10" s="119" t="n">
        <f aca="false">MAX(0,MIN(1,Inputs!$B$10-(O$6-1)*1))</f>
        <v>1</v>
      </c>
      <c r="P10" s="119" t="n">
        <f aca="false">MAX(0,MIN(1,Inputs!$B$10-(P$6-1)*1))</f>
        <v>1</v>
      </c>
      <c r="Q10" s="119" t="n">
        <f aca="false">MAX(0,MIN(1,Inputs!$B$10-(Q$6-1)*1))</f>
        <v>0</v>
      </c>
      <c r="R10" s="119" t="n">
        <f aca="false">MAX(0,MIN(1,Inputs!$B$10-(R$6-1)*1))</f>
        <v>0</v>
      </c>
      <c r="S10" s="119" t="n">
        <f aca="false">MAX(0,MIN(1,Inputs!$B$10-(S$6-1)*1))</f>
        <v>0</v>
      </c>
      <c r="T10" s="119" t="n">
        <f aca="false">MAX(0,MIN(1,Inputs!$B$10-(T$6-1)*1))</f>
        <v>0</v>
      </c>
      <c r="U10" s="119" t="n">
        <f aca="false">MAX(0,MIN(1,Inputs!$B$10-(U$6-1)*1))</f>
        <v>0</v>
      </c>
      <c r="V10" s="119" t="n">
        <f aca="false">MAX(0,MIN(1,Inputs!$B$10-(V$6-1)*1))</f>
        <v>0</v>
      </c>
      <c r="W10" s="119" t="n">
        <f aca="false">MAX(0,MIN(1,Inputs!$B$10-(W$6-1)*1))</f>
        <v>0</v>
      </c>
      <c r="X10" s="119" t="n">
        <f aca="false">MAX(0,MIN(1,Inputs!$B$10-(X$6-1)*1))</f>
        <v>0</v>
      </c>
      <c r="Y10" s="119" t="n">
        <f aca="false">MAX(0,MIN(1,Inputs!$B$10-(Y$6-1)*1))</f>
        <v>0</v>
      </c>
      <c r="Z10" s="119" t="n">
        <f aca="false">MAX(0,MIN(1,Inputs!$B$10-(Z$6-1)*1))</f>
        <v>0</v>
      </c>
      <c r="AA10" s="119" t="n">
        <f aca="false">MAX(0,MIN(1,Inputs!$B$10-(AA$6-1)*1))</f>
        <v>0</v>
      </c>
      <c r="AB10" s="119" t="n">
        <f aca="false">MAX(0,MIN(1,Inputs!$B$10-(AB$6-1)*1))</f>
        <v>0</v>
      </c>
      <c r="AC10" s="119" t="n">
        <f aca="false">MAX(0,MIN(1,Inputs!$B$10-(AC$6-1)*1))</f>
        <v>0</v>
      </c>
      <c r="AD10" s="119" t="n">
        <f aca="false">MAX(0,MIN(1,Inputs!$B$10-(AD$6-1)*1))</f>
        <v>0</v>
      </c>
      <c r="AE10" s="119" t="n">
        <f aca="false">MAX(0,MIN(1,Inputs!$B$10-(AE$6-1)*1))</f>
        <v>0</v>
      </c>
      <c r="AF10" s="119" t="n">
        <f aca="false">MAX(0,MIN(1,Inputs!$B$10-(AF$6-1)*1))</f>
        <v>0</v>
      </c>
      <c r="AG10" s="119" t="n">
        <f aca="false">MAX(0,MIN(1,Inputs!$B$10-(AG$6-1)*1))</f>
        <v>0</v>
      </c>
      <c r="AH10" s="119" t="n">
        <f aca="false">MAX(0,MIN(1,Inputs!$B$10-(AH$6-1)*1))</f>
        <v>0</v>
      </c>
      <c r="AI10" s="119" t="n">
        <f aca="false">MAX(0,MIN(1,Inputs!$B$10-(AI$6-1)*1))</f>
        <v>0</v>
      </c>
      <c r="AJ10" s="119" t="n">
        <f aca="false">MAX(0,MIN(1,Inputs!$B$10-(AJ$6-1)*1))</f>
        <v>0</v>
      </c>
      <c r="AK10" s="119" t="n">
        <f aca="false">MAX(0,MIN(1,Inputs!$B$10-(AK$6-1)*1))</f>
        <v>0</v>
      </c>
      <c r="AL10" s="119" t="n">
        <f aca="false">MAX(0,MIN(1,Inputs!$B$10-(AL$6-1)*1))</f>
        <v>0</v>
      </c>
    </row>
    <row r="11" customFormat="false" ht="15" hidden="false" customHeight="false" outlineLevel="0" collapsed="false">
      <c r="A11" s="39" t="s">
        <v>388</v>
      </c>
      <c r="C11" s="76" t="n">
        <f aca="false">IF(Inputs!$B$10&lt;=0,1,(C10*Inputs!$B$11+(1-Inputs!$B$11)/MAX(1,Inputs!$B$10)*(C10*(C$6-1)*1+C10*(C10-1)/2)+1-C10)/1)</f>
        <v>0.3</v>
      </c>
      <c r="D11" s="76" t="n">
        <f aca="false">IF(Inputs!$B$10&lt;=0,1,(D10*Inputs!$B$11+(1-Inputs!$B$11)/MAX(1,Inputs!$B$10)*(D10*(D$6-1)*1+D10*(D10-1)/2)+1-D10)/1)</f>
        <v>0.35</v>
      </c>
      <c r="E11" s="76" t="n">
        <f aca="false">IF(Inputs!$B$10&lt;=0,1,(E10*Inputs!$B$11+(1-Inputs!$B$11)/MAX(1,Inputs!$B$10)*(E10*(E$6-1)*1+E10*(E10-1)/2)+1-E10)/1)</f>
        <v>0.4</v>
      </c>
      <c r="F11" s="76" t="n">
        <f aca="false">IF(Inputs!$B$10&lt;=0,1,(F10*Inputs!$B$11+(1-Inputs!$B$11)/MAX(1,Inputs!$B$10)*(F10*(F$6-1)*1+F10*(F10-1)/2)+1-F10)/1)</f>
        <v>0.45</v>
      </c>
      <c r="G11" s="76" t="n">
        <f aca="false">IF(Inputs!$B$10&lt;=0,1,(G10*Inputs!$B$11+(1-Inputs!$B$11)/MAX(1,Inputs!$B$10)*(G10*(G$6-1)*1+G10*(G10-1)/2)+1-G10)/1)</f>
        <v>0.5</v>
      </c>
      <c r="H11" s="76" t="n">
        <f aca="false">IF(Inputs!$B$10&lt;=0,1,(H10*Inputs!$B$11+(1-Inputs!$B$11)/MAX(1,Inputs!$B$10)*(H10*(H$6-1)*1+H10*(H10-1)/2)+1-H10)/1)</f>
        <v>0.55</v>
      </c>
      <c r="I11" s="76" t="n">
        <f aca="false">IF(Inputs!$B$10&lt;=0,1,(I10*Inputs!$B$11+(1-Inputs!$B$11)/MAX(1,Inputs!$B$10)*(I10*(I$6-1)*1+I10*(I10-1)/2)+1-I10)/1)</f>
        <v>0.6</v>
      </c>
      <c r="J11" s="76" t="n">
        <f aca="false">IF(Inputs!$B$10&lt;=0,1,(J10*Inputs!$B$11+(1-Inputs!$B$11)/MAX(1,Inputs!$B$10)*(J10*(J$6-1)*1+J10*(J10-1)/2)+1-J10)/1)</f>
        <v>0.65</v>
      </c>
      <c r="K11" s="76" t="n">
        <f aca="false">IF(Inputs!$B$10&lt;=0,1,(K10*Inputs!$B$11+(1-Inputs!$B$11)/MAX(1,Inputs!$B$10)*(K10*(K$6-1)*1+K10*(K10-1)/2)+1-K10)/1)</f>
        <v>0.7</v>
      </c>
      <c r="L11" s="76" t="n">
        <f aca="false">IF(Inputs!$B$10&lt;=0,1,(L10*Inputs!$B$11+(1-Inputs!$B$11)/MAX(1,Inputs!$B$10)*(L10*(L$6-1)*1+L10*(L10-1)/2)+1-L10)/1)</f>
        <v>0.75</v>
      </c>
      <c r="M11" s="76" t="n">
        <f aca="false">IF(Inputs!$B$10&lt;=0,1,(M10*Inputs!$B$11+(1-Inputs!$B$11)/MAX(1,Inputs!$B$10)*(M10*(M$6-1)*1+M10*(M10-1)/2)+1-M10)/1)</f>
        <v>0.8</v>
      </c>
      <c r="N11" s="76" t="n">
        <f aca="false">IF(Inputs!$B$10&lt;=0,1,(N10*Inputs!$B$11+(1-Inputs!$B$11)/MAX(1,Inputs!$B$10)*(N10*(N$6-1)*1+N10*(N10-1)/2)+1-N10)/1)</f>
        <v>0.85</v>
      </c>
      <c r="O11" s="76" t="n">
        <f aca="false">IF(Inputs!$B$10&lt;=0,1,(O10*Inputs!$B$11+(1-Inputs!$B$11)/MAX(1,Inputs!$B$10)*(O10*(O$6-1)*1+O10*(O10-1)/2)+1-O10)/1)</f>
        <v>0.9</v>
      </c>
      <c r="P11" s="76" t="n">
        <f aca="false">IF(Inputs!$B$10&lt;=0,1,(P10*Inputs!$B$11+(1-Inputs!$B$11)/MAX(1,Inputs!$B$10)*(P10*(P$6-1)*1+P10*(P10-1)/2)+1-P10)/1)</f>
        <v>0.95</v>
      </c>
      <c r="Q11" s="76" t="n">
        <f aca="false">IF(Inputs!$B$10&lt;=0,1,(Q10*Inputs!$B$11+(1-Inputs!$B$11)/MAX(1,Inputs!$B$10)*(Q10*(Q$6-1)*1+Q10*(Q10-1)/2)+1-Q10)/1)</f>
        <v>1</v>
      </c>
      <c r="R11" s="76" t="n">
        <f aca="false">IF(Inputs!$B$10&lt;=0,1,(R10*Inputs!$B$11+(1-Inputs!$B$11)/MAX(1,Inputs!$B$10)*(R10*(R$6-1)*1+R10*(R10-1)/2)+1-R10)/1)</f>
        <v>1</v>
      </c>
      <c r="S11" s="76" t="n">
        <f aca="false">IF(Inputs!$B$10&lt;=0,1,(S10*Inputs!$B$11+(1-Inputs!$B$11)/MAX(1,Inputs!$B$10)*(S10*(S$6-1)*1+S10*(S10-1)/2)+1-S10)/1)</f>
        <v>1</v>
      </c>
      <c r="T11" s="76" t="n">
        <f aca="false">IF(Inputs!$B$10&lt;=0,1,(T10*Inputs!$B$11+(1-Inputs!$B$11)/MAX(1,Inputs!$B$10)*(T10*(T$6-1)*1+T10*(T10-1)/2)+1-T10)/1)</f>
        <v>1</v>
      </c>
      <c r="U11" s="76" t="n">
        <f aca="false">IF(Inputs!$B$10&lt;=0,1,(U10*Inputs!$B$11+(1-Inputs!$B$11)/MAX(1,Inputs!$B$10)*(U10*(U$6-1)*1+U10*(U10-1)/2)+1-U10)/1)</f>
        <v>1</v>
      </c>
      <c r="V11" s="76" t="n">
        <f aca="false">IF(Inputs!$B$10&lt;=0,1,(V10*Inputs!$B$11+(1-Inputs!$B$11)/MAX(1,Inputs!$B$10)*(V10*(V$6-1)*1+V10*(V10-1)/2)+1-V10)/1)</f>
        <v>1</v>
      </c>
      <c r="W11" s="76" t="n">
        <f aca="false">IF(Inputs!$B$10&lt;=0,1,(W10*Inputs!$B$11+(1-Inputs!$B$11)/MAX(1,Inputs!$B$10)*(W10*(W$6-1)*1+W10*(W10-1)/2)+1-W10)/1)</f>
        <v>1</v>
      </c>
      <c r="X11" s="76" t="n">
        <f aca="false">IF(Inputs!$B$10&lt;=0,1,(X10*Inputs!$B$11+(1-Inputs!$B$11)/MAX(1,Inputs!$B$10)*(X10*(X$6-1)*1+X10*(X10-1)/2)+1-X10)/1)</f>
        <v>1</v>
      </c>
      <c r="Y11" s="76" t="n">
        <f aca="false">IF(Inputs!$B$10&lt;=0,1,(Y10*Inputs!$B$11+(1-Inputs!$B$11)/MAX(1,Inputs!$B$10)*(Y10*(Y$6-1)*1+Y10*(Y10-1)/2)+1-Y10)/1)</f>
        <v>1</v>
      </c>
      <c r="Z11" s="76" t="n">
        <f aca="false">IF(Inputs!$B$10&lt;=0,1,(Z10*Inputs!$B$11+(1-Inputs!$B$11)/MAX(1,Inputs!$B$10)*(Z10*(Z$6-1)*1+Z10*(Z10-1)/2)+1-Z10)/1)</f>
        <v>1</v>
      </c>
      <c r="AA11" s="76" t="n">
        <f aca="false">IF(Inputs!$B$10&lt;=0,1,(AA10*Inputs!$B$11+(1-Inputs!$B$11)/MAX(1,Inputs!$B$10)*(AA10*(AA$6-1)*1+AA10*(AA10-1)/2)+1-AA10)/1)</f>
        <v>1</v>
      </c>
      <c r="AB11" s="76" t="n">
        <f aca="false">IF(Inputs!$B$10&lt;=0,1,(AB10*Inputs!$B$11+(1-Inputs!$B$11)/MAX(1,Inputs!$B$10)*(AB10*(AB$6-1)*1+AB10*(AB10-1)/2)+1-AB10)/1)</f>
        <v>1</v>
      </c>
      <c r="AC11" s="76" t="n">
        <f aca="false">IF(Inputs!$B$10&lt;=0,1,(AC10*Inputs!$B$11+(1-Inputs!$B$11)/MAX(1,Inputs!$B$10)*(AC10*(AC$6-1)*1+AC10*(AC10-1)/2)+1-AC10)/1)</f>
        <v>1</v>
      </c>
      <c r="AD11" s="76" t="n">
        <f aca="false">IF(Inputs!$B$10&lt;=0,1,(AD10*Inputs!$B$11+(1-Inputs!$B$11)/MAX(1,Inputs!$B$10)*(AD10*(AD$6-1)*1+AD10*(AD10-1)/2)+1-AD10)/1)</f>
        <v>1</v>
      </c>
      <c r="AE11" s="76" t="n">
        <f aca="false">IF(Inputs!$B$10&lt;=0,1,(AE10*Inputs!$B$11+(1-Inputs!$B$11)/MAX(1,Inputs!$B$10)*(AE10*(AE$6-1)*1+AE10*(AE10-1)/2)+1-AE10)/1)</f>
        <v>1</v>
      </c>
      <c r="AF11" s="76" t="n">
        <f aca="false">IF(Inputs!$B$10&lt;=0,1,(AF10*Inputs!$B$11+(1-Inputs!$B$11)/MAX(1,Inputs!$B$10)*(AF10*(AF$6-1)*1+AF10*(AF10-1)/2)+1-AF10)/1)</f>
        <v>1</v>
      </c>
      <c r="AG11" s="76" t="n">
        <f aca="false">IF(Inputs!$B$10&lt;=0,1,(AG10*Inputs!$B$11+(1-Inputs!$B$11)/MAX(1,Inputs!$B$10)*(AG10*(AG$6-1)*1+AG10*(AG10-1)/2)+1-AG10)/1)</f>
        <v>1</v>
      </c>
      <c r="AH11" s="76" t="n">
        <f aca="false">IF(Inputs!$B$10&lt;=0,1,(AH10*Inputs!$B$11+(1-Inputs!$B$11)/MAX(1,Inputs!$B$10)*(AH10*(AH$6-1)*1+AH10*(AH10-1)/2)+1-AH10)/1)</f>
        <v>1</v>
      </c>
      <c r="AI11" s="76" t="n">
        <f aca="false">IF(Inputs!$B$10&lt;=0,1,(AI10*Inputs!$B$11+(1-Inputs!$B$11)/MAX(1,Inputs!$B$10)*(AI10*(AI$6-1)*1+AI10*(AI10-1)/2)+1-AI10)/1)</f>
        <v>1</v>
      </c>
      <c r="AJ11" s="76" t="n">
        <f aca="false">IF(Inputs!$B$10&lt;=0,1,(AJ10*Inputs!$B$11+(1-Inputs!$B$11)/MAX(1,Inputs!$B$10)*(AJ10*(AJ$6-1)*1+AJ10*(AJ10-1)/2)+1-AJ10)/1)</f>
        <v>1</v>
      </c>
      <c r="AK11" s="76" t="n">
        <f aca="false">IF(Inputs!$B$10&lt;=0,1,(AK10*Inputs!$B$11+(1-Inputs!$B$11)/MAX(1,Inputs!$B$10)*(AK10*(AK$6-1)*1+AK10*(AK10-1)/2)+1-AK10)/1)</f>
        <v>1</v>
      </c>
      <c r="AL11" s="76" t="n">
        <f aca="false">IF(Inputs!$B$10&lt;=0,1,(AL10*Inputs!$B$11+(1-Inputs!$B$11)/MAX(1,Inputs!$B$10)*(AL10*(AL$6-1)*1+AL10*(AL10-1)/2)+1-AL10)/1)</f>
        <v>1</v>
      </c>
    </row>
    <row r="12" customFormat="false" ht="15" hidden="false" customHeight="false" outlineLevel="0" collapsed="false">
      <c r="A12" s="6" t="s">
        <v>389</v>
      </c>
      <c r="C12" s="120" t="n">
        <f aca="false">Inputs!$B$7*(1+Inputs!$B$8)^(C$7-1)*Inputs!$B$9*1*C11</f>
        <v>101.4</v>
      </c>
      <c r="D12" s="120" t="n">
        <f aca="false">Inputs!$B$7*(1+Inputs!$B$8)^(D$7-1)*Inputs!$B$9*1*D11</f>
        <v>118.3</v>
      </c>
      <c r="E12" s="120" t="n">
        <f aca="false">Inputs!$B$7*(1+Inputs!$B$8)^(E$7-1)*Inputs!$B$9*1*E11</f>
        <v>135.2</v>
      </c>
      <c r="F12" s="120" t="n">
        <f aca="false">Inputs!$B$7*(1+Inputs!$B$8)^(F$7-1)*Inputs!$B$9*1*F11</f>
        <v>152.1</v>
      </c>
      <c r="G12" s="120" t="n">
        <f aca="false">Inputs!$B$7*(1+Inputs!$B$8)^(G$7-1)*Inputs!$B$9*1*G11</f>
        <v>169</v>
      </c>
      <c r="H12" s="120" t="n">
        <f aca="false">Inputs!$B$7*(1+Inputs!$B$8)^(H$7-1)*Inputs!$B$9*1*H11</f>
        <v>185.9</v>
      </c>
      <c r="I12" s="120" t="n">
        <f aca="false">Inputs!$B$7*(1+Inputs!$B$8)^(I$7-1)*Inputs!$B$9*1*I11</f>
        <v>202.8</v>
      </c>
      <c r="J12" s="120" t="n">
        <f aca="false">Inputs!$B$7*(1+Inputs!$B$8)^(J$7-1)*Inputs!$B$9*1*J11</f>
        <v>219.7</v>
      </c>
      <c r="K12" s="120" t="n">
        <f aca="false">Inputs!$B$7*(1+Inputs!$B$8)^(K$7-1)*Inputs!$B$9*1*K11</f>
        <v>236.6</v>
      </c>
      <c r="L12" s="120" t="n">
        <f aca="false">Inputs!$B$7*(1+Inputs!$B$8)^(L$7-1)*Inputs!$B$9*1*L11</f>
        <v>253.5</v>
      </c>
      <c r="M12" s="120" t="n">
        <f aca="false">Inputs!$B$7*(1+Inputs!$B$8)^(M$7-1)*Inputs!$B$9*1*M11</f>
        <v>270.4</v>
      </c>
      <c r="N12" s="120" t="n">
        <f aca="false">Inputs!$B$7*(1+Inputs!$B$8)^(N$7-1)*Inputs!$B$9*1*N11</f>
        <v>287.3</v>
      </c>
      <c r="O12" s="120" t="n">
        <f aca="false">Inputs!$B$7*(1+Inputs!$B$8)^(O$7-1)*Inputs!$B$9*1*O11</f>
        <v>304.2</v>
      </c>
      <c r="P12" s="120" t="n">
        <f aca="false">Inputs!$B$7*(1+Inputs!$B$8)^(P$7-1)*Inputs!$B$9*1*P11</f>
        <v>321.1</v>
      </c>
      <c r="Q12" s="120" t="n">
        <f aca="false">Inputs!$B$7*(1+Inputs!$B$8)^(Q$7-1)*Inputs!$B$9*1*Q11</f>
        <v>338</v>
      </c>
      <c r="R12" s="120" t="n">
        <f aca="false">Inputs!$B$7*(1+Inputs!$B$8)^(R$7-1)*Inputs!$B$9*1*R11</f>
        <v>338</v>
      </c>
      <c r="S12" s="120" t="n">
        <f aca="false">Inputs!$B$7*(1+Inputs!$B$8)^(S$7-1)*Inputs!$B$9*1*S11</f>
        <v>338</v>
      </c>
      <c r="T12" s="120" t="n">
        <f aca="false">Inputs!$B$7*(1+Inputs!$B$8)^(T$7-1)*Inputs!$B$9*1*T11</f>
        <v>338</v>
      </c>
      <c r="U12" s="120" t="n">
        <f aca="false">Inputs!$B$7*(1+Inputs!$B$8)^(U$7-1)*Inputs!$B$9*1*U11</f>
        <v>338</v>
      </c>
      <c r="V12" s="120" t="n">
        <f aca="false">Inputs!$B$7*(1+Inputs!$B$8)^(V$7-1)*Inputs!$B$9*1*V11</f>
        <v>338</v>
      </c>
      <c r="W12" s="120" t="n">
        <f aca="false">Inputs!$B$7*(1+Inputs!$B$8)^(W$7-1)*Inputs!$B$9*1*W11</f>
        <v>338</v>
      </c>
      <c r="X12" s="120" t="n">
        <f aca="false">Inputs!$B$7*(1+Inputs!$B$8)^(X$7-1)*Inputs!$B$9*1*X11</f>
        <v>338</v>
      </c>
      <c r="Y12" s="120" t="n">
        <f aca="false">Inputs!$B$7*(1+Inputs!$B$8)^(Y$7-1)*Inputs!$B$9*1*Y11</f>
        <v>338</v>
      </c>
      <c r="Z12" s="120" t="n">
        <f aca="false">Inputs!$B$7*(1+Inputs!$B$8)^(Z$7-1)*Inputs!$B$9*1*Z11</f>
        <v>338</v>
      </c>
      <c r="AA12" s="120" t="n">
        <f aca="false">Inputs!$B$7*(1+Inputs!$B$8)^(AA$7-1)*Inputs!$B$9*1*AA11</f>
        <v>338</v>
      </c>
      <c r="AB12" s="120" t="n">
        <f aca="false">Inputs!$B$7*(1+Inputs!$B$8)^(AB$7-1)*Inputs!$B$9*1*AB11</f>
        <v>338</v>
      </c>
      <c r="AC12" s="120" t="n">
        <f aca="false">Inputs!$B$7*(1+Inputs!$B$8)^(AC$7-1)*Inputs!$B$9*1*AC11</f>
        <v>338</v>
      </c>
      <c r="AD12" s="120" t="n">
        <f aca="false">Inputs!$B$7*(1+Inputs!$B$8)^(AD$7-1)*Inputs!$B$9*1*AD11</f>
        <v>338</v>
      </c>
      <c r="AE12" s="120" t="n">
        <f aca="false">Inputs!$B$7*(1+Inputs!$B$8)^(AE$7-1)*Inputs!$B$9*1*AE11</f>
        <v>338</v>
      </c>
      <c r="AF12" s="120" t="n">
        <f aca="false">Inputs!$B$7*(1+Inputs!$B$8)^(AF$7-1)*Inputs!$B$9*1*AF11</f>
        <v>338</v>
      </c>
      <c r="AG12" s="120" t="n">
        <f aca="false">Inputs!$B$7*(1+Inputs!$B$8)^(AG$7-1)*Inputs!$B$9*1*AG11</f>
        <v>338</v>
      </c>
      <c r="AH12" s="120" t="n">
        <f aca="false">Inputs!$B$7*(1+Inputs!$B$8)^(AH$7-1)*Inputs!$B$9*1*AH11</f>
        <v>338</v>
      </c>
      <c r="AI12" s="120" t="n">
        <f aca="false">Inputs!$B$7*(1+Inputs!$B$8)^(AI$7-1)*Inputs!$B$9*1*AI11</f>
        <v>338</v>
      </c>
      <c r="AJ12" s="120" t="n">
        <f aca="false">Inputs!$B$7*(1+Inputs!$B$8)^(AJ$7-1)*Inputs!$B$9*1*AJ11</f>
        <v>338</v>
      </c>
      <c r="AK12" s="120" t="n">
        <f aca="false">Inputs!$B$7*(1+Inputs!$B$8)^(AK$7-1)*Inputs!$B$9*1*AK11</f>
        <v>338</v>
      </c>
      <c r="AL12" s="120" t="n">
        <f aca="false">Inputs!$B$7*(1+Inputs!$B$8)^(AL$7-1)*Inputs!$B$9*1*AL11</f>
        <v>338</v>
      </c>
    </row>
    <row r="14" customFormat="false" ht="15.75" hidden="false" customHeight="true" outlineLevel="0" collapsed="false">
      <c r="A14" s="7" t="s">
        <v>259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customFormat="false" ht="15" hidden="false" customHeight="false" outlineLevel="0" collapsed="false">
      <c r="A15" s="6" t="s">
        <v>231</v>
      </c>
      <c r="C15" s="119" t="n">
        <f aca="false">C118</f>
        <v>4</v>
      </c>
      <c r="D15" s="119" t="n">
        <f aca="false">D118</f>
        <v>4</v>
      </c>
      <c r="E15" s="119" t="n">
        <f aca="false">E118</f>
        <v>4</v>
      </c>
      <c r="F15" s="119" t="n">
        <f aca="false">F118</f>
        <v>4</v>
      </c>
      <c r="G15" s="119" t="n">
        <f aca="false">G118</f>
        <v>4</v>
      </c>
      <c r="H15" s="119" t="n">
        <f aca="false">H118</f>
        <v>4</v>
      </c>
      <c r="I15" s="119" t="n">
        <f aca="false">I118</f>
        <v>4</v>
      </c>
      <c r="J15" s="119" t="n">
        <f aca="false">J118</f>
        <v>4</v>
      </c>
      <c r="K15" s="119" t="n">
        <f aca="false">K118</f>
        <v>4</v>
      </c>
      <c r="L15" s="119" t="n">
        <f aca="false">L118</f>
        <v>4</v>
      </c>
      <c r="M15" s="119" t="n">
        <f aca="false">M118</f>
        <v>4</v>
      </c>
      <c r="N15" s="119" t="n">
        <f aca="false">N118</f>
        <v>4</v>
      </c>
      <c r="O15" s="119" t="n">
        <f aca="false">O118</f>
        <v>4</v>
      </c>
      <c r="P15" s="119" t="n">
        <f aca="false">P118</f>
        <v>4</v>
      </c>
      <c r="Q15" s="119" t="n">
        <f aca="false">Q118</f>
        <v>4</v>
      </c>
      <c r="R15" s="119" t="n">
        <f aca="false">R118</f>
        <v>4</v>
      </c>
      <c r="S15" s="119" t="n">
        <f aca="false">S118</f>
        <v>4</v>
      </c>
      <c r="T15" s="119" t="n">
        <f aca="false">T118</f>
        <v>4</v>
      </c>
      <c r="U15" s="119" t="n">
        <f aca="false">U118</f>
        <v>4</v>
      </c>
      <c r="V15" s="119" t="n">
        <f aca="false">V118</f>
        <v>4</v>
      </c>
      <c r="W15" s="119" t="n">
        <f aca="false">W118</f>
        <v>4</v>
      </c>
      <c r="X15" s="119" t="n">
        <f aca="false">X118</f>
        <v>4</v>
      </c>
      <c r="Y15" s="119" t="n">
        <f aca="false">Y118</f>
        <v>4</v>
      </c>
      <c r="Z15" s="119" t="n">
        <f aca="false">Z118</f>
        <v>4</v>
      </c>
      <c r="AA15" s="119" t="n">
        <f aca="false">AA118</f>
        <v>4</v>
      </c>
      <c r="AB15" s="119" t="n">
        <f aca="false">AB118</f>
        <v>4</v>
      </c>
      <c r="AC15" s="119" t="n">
        <f aca="false">AC118</f>
        <v>4</v>
      </c>
      <c r="AD15" s="119" t="n">
        <f aca="false">AD118</f>
        <v>4</v>
      </c>
      <c r="AE15" s="119" t="n">
        <f aca="false">AE118</f>
        <v>4</v>
      </c>
      <c r="AF15" s="119" t="n">
        <f aca="false">AF118</f>
        <v>4</v>
      </c>
      <c r="AG15" s="119" t="n">
        <f aca="false">AG118</f>
        <v>4</v>
      </c>
      <c r="AH15" s="119" t="n">
        <f aca="false">AH118</f>
        <v>4</v>
      </c>
      <c r="AI15" s="119" t="n">
        <f aca="false">AI118</f>
        <v>4</v>
      </c>
      <c r="AJ15" s="119" t="n">
        <f aca="false">AJ118</f>
        <v>4</v>
      </c>
      <c r="AK15" s="119" t="n">
        <f aca="false">AK118</f>
        <v>4</v>
      </c>
      <c r="AL15" s="119" t="n">
        <f aca="false">AL118</f>
        <v>4</v>
      </c>
    </row>
    <row r="16" customFormat="false" ht="15" hidden="false" customHeight="false" outlineLevel="0" collapsed="false">
      <c r="A16" s="6" t="s">
        <v>390</v>
      </c>
      <c r="C16" s="120" t="n">
        <f aca="false">Inputs!$B$14*Inputs!$B$15*Inputs!$B$9*1</f>
        <v>624</v>
      </c>
      <c r="D16" s="120" t="n">
        <f aca="false">Inputs!$B$14*Inputs!$B$15*Inputs!$B$9*1</f>
        <v>624</v>
      </c>
      <c r="E16" s="120" t="n">
        <f aca="false">Inputs!$B$14*Inputs!$B$15*Inputs!$B$9*1</f>
        <v>624</v>
      </c>
      <c r="F16" s="120" t="n">
        <f aca="false">Inputs!$B$14*Inputs!$B$15*Inputs!$B$9*1</f>
        <v>624</v>
      </c>
      <c r="G16" s="120" t="n">
        <f aca="false">Inputs!$B$14*Inputs!$B$15*Inputs!$B$9*1</f>
        <v>624</v>
      </c>
      <c r="H16" s="120" t="n">
        <f aca="false">Inputs!$B$14*Inputs!$B$15*Inputs!$B$9*1</f>
        <v>624</v>
      </c>
      <c r="I16" s="120" t="n">
        <f aca="false">Inputs!$B$14*Inputs!$B$15*Inputs!$B$9*1</f>
        <v>624</v>
      </c>
      <c r="J16" s="120" t="n">
        <f aca="false">Inputs!$B$14*Inputs!$B$15*Inputs!$B$9*1</f>
        <v>624</v>
      </c>
      <c r="K16" s="120" t="n">
        <f aca="false">Inputs!$B$14*Inputs!$B$15*Inputs!$B$9*1</f>
        <v>624</v>
      </c>
      <c r="L16" s="120" t="n">
        <f aca="false">Inputs!$B$14*Inputs!$B$15*Inputs!$B$9*1</f>
        <v>624</v>
      </c>
      <c r="M16" s="120" t="n">
        <f aca="false">Inputs!$B$14*Inputs!$B$15*Inputs!$B$9*1</f>
        <v>624</v>
      </c>
      <c r="N16" s="120" t="n">
        <f aca="false">Inputs!$B$14*Inputs!$B$15*Inputs!$B$9*1</f>
        <v>624</v>
      </c>
      <c r="O16" s="120" t="n">
        <f aca="false">Inputs!$B$14*Inputs!$B$15*Inputs!$B$9*1</f>
        <v>624</v>
      </c>
      <c r="P16" s="120" t="n">
        <f aca="false">Inputs!$B$14*Inputs!$B$15*Inputs!$B$9*1</f>
        <v>624</v>
      </c>
      <c r="Q16" s="120" t="n">
        <f aca="false">Inputs!$B$14*Inputs!$B$15*Inputs!$B$9*1</f>
        <v>624</v>
      </c>
      <c r="R16" s="120" t="n">
        <f aca="false">Inputs!$B$14*Inputs!$B$15*Inputs!$B$9*1</f>
        <v>624</v>
      </c>
      <c r="S16" s="120" t="n">
        <f aca="false">Inputs!$B$14*Inputs!$B$15*Inputs!$B$9*1</f>
        <v>624</v>
      </c>
      <c r="T16" s="120" t="n">
        <f aca="false">Inputs!$B$14*Inputs!$B$15*Inputs!$B$9*1</f>
        <v>624</v>
      </c>
      <c r="U16" s="120" t="n">
        <f aca="false">Inputs!$B$14*Inputs!$B$15*Inputs!$B$9*1</f>
        <v>624</v>
      </c>
      <c r="V16" s="120" t="n">
        <f aca="false">Inputs!$B$14*Inputs!$B$15*Inputs!$B$9*1</f>
        <v>624</v>
      </c>
      <c r="W16" s="120" t="n">
        <f aca="false">Inputs!$B$14*Inputs!$B$15*Inputs!$B$9*1</f>
        <v>624</v>
      </c>
      <c r="X16" s="120" t="n">
        <f aca="false">Inputs!$B$14*Inputs!$B$15*Inputs!$B$9*1</f>
        <v>624</v>
      </c>
      <c r="Y16" s="120" t="n">
        <f aca="false">Inputs!$B$14*Inputs!$B$15*Inputs!$B$9*1</f>
        <v>624</v>
      </c>
      <c r="Z16" s="120" t="n">
        <f aca="false">Inputs!$B$14*Inputs!$B$15*Inputs!$B$9*1</f>
        <v>624</v>
      </c>
      <c r="AA16" s="120" t="n">
        <f aca="false">Inputs!$B$14*Inputs!$B$15*Inputs!$B$9*1</f>
        <v>624</v>
      </c>
      <c r="AB16" s="120" t="n">
        <f aca="false">Inputs!$B$14*Inputs!$B$15*Inputs!$B$9*1</f>
        <v>624</v>
      </c>
      <c r="AC16" s="120" t="n">
        <f aca="false">Inputs!$B$14*Inputs!$B$15*Inputs!$B$9*1</f>
        <v>624</v>
      </c>
      <c r="AD16" s="120" t="n">
        <f aca="false">Inputs!$B$14*Inputs!$B$15*Inputs!$B$9*1</f>
        <v>624</v>
      </c>
      <c r="AE16" s="120" t="n">
        <f aca="false">Inputs!$B$14*Inputs!$B$15*Inputs!$B$9*1</f>
        <v>624</v>
      </c>
      <c r="AF16" s="120" t="n">
        <f aca="false">Inputs!$B$14*Inputs!$B$15*Inputs!$B$9*1</f>
        <v>624</v>
      </c>
      <c r="AG16" s="120" t="n">
        <f aca="false">Inputs!$B$14*Inputs!$B$15*Inputs!$B$9*1</f>
        <v>624</v>
      </c>
      <c r="AH16" s="120" t="n">
        <f aca="false">Inputs!$B$14*Inputs!$B$15*Inputs!$B$9*1</f>
        <v>624</v>
      </c>
      <c r="AI16" s="120" t="n">
        <f aca="false">Inputs!$B$14*Inputs!$B$15*Inputs!$B$9*1</f>
        <v>624</v>
      </c>
      <c r="AJ16" s="120" t="n">
        <f aca="false">Inputs!$B$14*Inputs!$B$15*Inputs!$B$9*1</f>
        <v>624</v>
      </c>
      <c r="AK16" s="120" t="n">
        <f aca="false">Inputs!$B$14*Inputs!$B$15*Inputs!$B$9*1</f>
        <v>624</v>
      </c>
      <c r="AL16" s="120" t="n">
        <f aca="false">Inputs!$B$14*Inputs!$B$15*Inputs!$B$9*1</f>
        <v>624</v>
      </c>
    </row>
    <row r="17" customFormat="false" ht="15" hidden="false" customHeight="false" outlineLevel="0" collapsed="false">
      <c r="A17" s="6" t="s">
        <v>391</v>
      </c>
      <c r="C17" s="120" t="n">
        <f aca="false">C15*Inputs!$B$16*Inputs!$B$9*1</f>
        <v>520</v>
      </c>
      <c r="D17" s="120" t="n">
        <f aca="false">D15*Inputs!$B$16*Inputs!$B$9*1</f>
        <v>520</v>
      </c>
      <c r="E17" s="120" t="n">
        <f aca="false">E15*Inputs!$B$16*Inputs!$B$9*1</f>
        <v>520</v>
      </c>
      <c r="F17" s="120" t="n">
        <f aca="false">F15*Inputs!$B$16*Inputs!$B$9*1</f>
        <v>520</v>
      </c>
      <c r="G17" s="120" t="n">
        <f aca="false">G15*Inputs!$B$16*Inputs!$B$9*1</f>
        <v>520</v>
      </c>
      <c r="H17" s="120" t="n">
        <f aca="false">H15*Inputs!$B$16*Inputs!$B$9*1</f>
        <v>520</v>
      </c>
      <c r="I17" s="120" t="n">
        <f aca="false">I15*Inputs!$B$16*Inputs!$B$9*1</f>
        <v>520</v>
      </c>
      <c r="J17" s="120" t="n">
        <f aca="false">J15*Inputs!$B$16*Inputs!$B$9*1</f>
        <v>520</v>
      </c>
      <c r="K17" s="120" t="n">
        <f aca="false">K15*Inputs!$B$16*Inputs!$B$9*1</f>
        <v>520</v>
      </c>
      <c r="L17" s="120" t="n">
        <f aca="false">L15*Inputs!$B$16*Inputs!$B$9*1</f>
        <v>520</v>
      </c>
      <c r="M17" s="120" t="n">
        <f aca="false">M15*Inputs!$B$16*Inputs!$B$9*1</f>
        <v>520</v>
      </c>
      <c r="N17" s="120" t="n">
        <f aca="false">N15*Inputs!$B$16*Inputs!$B$9*1</f>
        <v>520</v>
      </c>
      <c r="O17" s="120" t="n">
        <f aca="false">O15*Inputs!$B$16*Inputs!$B$9*1</f>
        <v>520</v>
      </c>
      <c r="P17" s="120" t="n">
        <f aca="false">P15*Inputs!$B$16*Inputs!$B$9*1</f>
        <v>520</v>
      </c>
      <c r="Q17" s="120" t="n">
        <f aca="false">Q15*Inputs!$B$16*Inputs!$B$9*1</f>
        <v>520</v>
      </c>
      <c r="R17" s="120" t="n">
        <f aca="false">R15*Inputs!$B$16*Inputs!$B$9*1</f>
        <v>520</v>
      </c>
      <c r="S17" s="120" t="n">
        <f aca="false">S15*Inputs!$B$16*Inputs!$B$9*1</f>
        <v>520</v>
      </c>
      <c r="T17" s="120" t="n">
        <f aca="false">T15*Inputs!$B$16*Inputs!$B$9*1</f>
        <v>520</v>
      </c>
      <c r="U17" s="120" t="n">
        <f aca="false">U15*Inputs!$B$16*Inputs!$B$9*1</f>
        <v>520</v>
      </c>
      <c r="V17" s="120" t="n">
        <f aca="false">V15*Inputs!$B$16*Inputs!$B$9*1</f>
        <v>520</v>
      </c>
      <c r="W17" s="120" t="n">
        <f aca="false">W15*Inputs!$B$16*Inputs!$B$9*1</f>
        <v>520</v>
      </c>
      <c r="X17" s="120" t="n">
        <f aca="false">X15*Inputs!$B$16*Inputs!$B$9*1</f>
        <v>520</v>
      </c>
      <c r="Y17" s="120" t="n">
        <f aca="false">Y15*Inputs!$B$16*Inputs!$B$9*1</f>
        <v>520</v>
      </c>
      <c r="Z17" s="120" t="n">
        <f aca="false">Z15*Inputs!$B$16*Inputs!$B$9*1</f>
        <v>520</v>
      </c>
      <c r="AA17" s="120" t="n">
        <f aca="false">AA15*Inputs!$B$16*Inputs!$B$9*1</f>
        <v>520</v>
      </c>
      <c r="AB17" s="120" t="n">
        <f aca="false">AB15*Inputs!$B$16*Inputs!$B$9*1</f>
        <v>520</v>
      </c>
      <c r="AC17" s="120" t="n">
        <f aca="false">AC15*Inputs!$B$16*Inputs!$B$9*1</f>
        <v>520</v>
      </c>
      <c r="AD17" s="120" t="n">
        <f aca="false">AD15*Inputs!$B$16*Inputs!$B$9*1</f>
        <v>520</v>
      </c>
      <c r="AE17" s="120" t="n">
        <f aca="false">AE15*Inputs!$B$16*Inputs!$B$9*1</f>
        <v>520</v>
      </c>
      <c r="AF17" s="120" t="n">
        <f aca="false">AF15*Inputs!$B$16*Inputs!$B$9*1</f>
        <v>520</v>
      </c>
      <c r="AG17" s="120" t="n">
        <f aca="false">AG15*Inputs!$B$16*Inputs!$B$9*1</f>
        <v>520</v>
      </c>
      <c r="AH17" s="120" t="n">
        <f aca="false">AH15*Inputs!$B$16*Inputs!$B$9*1</f>
        <v>520</v>
      </c>
      <c r="AI17" s="120" t="n">
        <f aca="false">AI15*Inputs!$B$16*Inputs!$B$9*1</f>
        <v>520</v>
      </c>
      <c r="AJ17" s="120" t="n">
        <f aca="false">AJ15*Inputs!$B$16*Inputs!$B$9*1</f>
        <v>520</v>
      </c>
      <c r="AK17" s="120" t="n">
        <f aca="false">AK15*Inputs!$B$16*Inputs!$B$9*1</f>
        <v>520</v>
      </c>
      <c r="AL17" s="120" t="n">
        <f aca="false">AL15*Inputs!$B$16*Inputs!$B$9*1</f>
        <v>520</v>
      </c>
    </row>
    <row r="18" customFormat="false" ht="15" hidden="false" customHeight="false" outlineLevel="0" collapsed="false">
      <c r="A18" s="6" t="s">
        <v>232</v>
      </c>
      <c r="C18" s="120" t="n">
        <f aca="false">MIN(C16,C17)</f>
        <v>520</v>
      </c>
      <c r="D18" s="120" t="n">
        <f aca="false">MIN(D16,D17)</f>
        <v>520</v>
      </c>
      <c r="E18" s="120" t="n">
        <f aca="false">MIN(E16,E17)</f>
        <v>520</v>
      </c>
      <c r="F18" s="120" t="n">
        <f aca="false">MIN(F16,F17)</f>
        <v>520</v>
      </c>
      <c r="G18" s="120" t="n">
        <f aca="false">MIN(G16,G17)</f>
        <v>520</v>
      </c>
      <c r="H18" s="120" t="n">
        <f aca="false">MIN(H16,H17)</f>
        <v>520</v>
      </c>
      <c r="I18" s="120" t="n">
        <f aca="false">MIN(I16,I17)</f>
        <v>520</v>
      </c>
      <c r="J18" s="120" t="n">
        <f aca="false">MIN(J16,J17)</f>
        <v>520</v>
      </c>
      <c r="K18" s="120" t="n">
        <f aca="false">MIN(K16,K17)</f>
        <v>520</v>
      </c>
      <c r="L18" s="120" t="n">
        <f aca="false">MIN(L16,L17)</f>
        <v>520</v>
      </c>
      <c r="M18" s="120" t="n">
        <f aca="false">MIN(M16,M17)</f>
        <v>520</v>
      </c>
      <c r="N18" s="120" t="n">
        <f aca="false">MIN(N16,N17)</f>
        <v>520</v>
      </c>
      <c r="O18" s="120" t="n">
        <f aca="false">MIN(O16,O17)</f>
        <v>520</v>
      </c>
      <c r="P18" s="120" t="n">
        <f aca="false">MIN(P16,P17)</f>
        <v>520</v>
      </c>
      <c r="Q18" s="120" t="n">
        <f aca="false">MIN(Q16,Q17)</f>
        <v>520</v>
      </c>
      <c r="R18" s="120" t="n">
        <f aca="false">MIN(R16,R17)</f>
        <v>520</v>
      </c>
      <c r="S18" s="120" t="n">
        <f aca="false">MIN(S16,S17)</f>
        <v>520</v>
      </c>
      <c r="T18" s="120" t="n">
        <f aca="false">MIN(T16,T17)</f>
        <v>520</v>
      </c>
      <c r="U18" s="120" t="n">
        <f aca="false">MIN(U16,U17)</f>
        <v>520</v>
      </c>
      <c r="V18" s="120" t="n">
        <f aca="false">MIN(V16,V17)</f>
        <v>520</v>
      </c>
      <c r="W18" s="120" t="n">
        <f aca="false">MIN(W16,W17)</f>
        <v>520</v>
      </c>
      <c r="X18" s="120" t="n">
        <f aca="false">MIN(X16,X17)</f>
        <v>520</v>
      </c>
      <c r="Y18" s="120" t="n">
        <f aca="false">MIN(Y16,Y17)</f>
        <v>520</v>
      </c>
      <c r="Z18" s="120" t="n">
        <f aca="false">MIN(Z16,Z17)</f>
        <v>520</v>
      </c>
      <c r="AA18" s="120" t="n">
        <f aca="false">MIN(AA16,AA17)</f>
        <v>520</v>
      </c>
      <c r="AB18" s="120" t="n">
        <f aca="false">MIN(AB16,AB17)</f>
        <v>520</v>
      </c>
      <c r="AC18" s="120" t="n">
        <f aca="false">MIN(AC16,AC17)</f>
        <v>520</v>
      </c>
      <c r="AD18" s="120" t="n">
        <f aca="false">MIN(AD16,AD17)</f>
        <v>520</v>
      </c>
      <c r="AE18" s="120" t="n">
        <f aca="false">MIN(AE16,AE17)</f>
        <v>520</v>
      </c>
      <c r="AF18" s="120" t="n">
        <f aca="false">MIN(AF16,AF17)</f>
        <v>520</v>
      </c>
      <c r="AG18" s="120" t="n">
        <f aca="false">MIN(AG16,AG17)</f>
        <v>520</v>
      </c>
      <c r="AH18" s="120" t="n">
        <f aca="false">MIN(AH16,AH17)</f>
        <v>520</v>
      </c>
      <c r="AI18" s="120" t="n">
        <f aca="false">MIN(AI16,AI17)</f>
        <v>520</v>
      </c>
      <c r="AJ18" s="120" t="n">
        <f aca="false">MIN(AJ16,AJ17)</f>
        <v>520</v>
      </c>
      <c r="AK18" s="120" t="n">
        <f aca="false">MIN(AK16,AK17)</f>
        <v>520</v>
      </c>
      <c r="AL18" s="120" t="n">
        <f aca="false">MIN(AL16,AL17)</f>
        <v>520</v>
      </c>
    </row>
    <row r="19" customFormat="false" ht="15" hidden="false" customHeight="false" outlineLevel="0" collapsed="false">
      <c r="A19" s="4" t="s">
        <v>392</v>
      </c>
      <c r="C19" s="122" t="n">
        <f aca="false">MIN(C12,C18)</f>
        <v>101.4</v>
      </c>
      <c r="D19" s="122" t="n">
        <f aca="false">MIN(D12,D18)</f>
        <v>118.3</v>
      </c>
      <c r="E19" s="122" t="n">
        <f aca="false">MIN(E12,E18)</f>
        <v>135.2</v>
      </c>
      <c r="F19" s="122" t="n">
        <f aca="false">MIN(F12,F18)</f>
        <v>152.1</v>
      </c>
      <c r="G19" s="122" t="n">
        <f aca="false">MIN(G12,G18)</f>
        <v>169</v>
      </c>
      <c r="H19" s="122" t="n">
        <f aca="false">MIN(H12,H18)</f>
        <v>185.9</v>
      </c>
      <c r="I19" s="122" t="n">
        <f aca="false">MIN(I12,I18)</f>
        <v>202.8</v>
      </c>
      <c r="J19" s="122" t="n">
        <f aca="false">MIN(J12,J18)</f>
        <v>219.7</v>
      </c>
      <c r="K19" s="122" t="n">
        <f aca="false">MIN(K12,K18)</f>
        <v>236.6</v>
      </c>
      <c r="L19" s="122" t="n">
        <f aca="false">MIN(L12,L18)</f>
        <v>253.5</v>
      </c>
      <c r="M19" s="122" t="n">
        <f aca="false">MIN(M12,M18)</f>
        <v>270.4</v>
      </c>
      <c r="N19" s="122" t="n">
        <f aca="false">MIN(N12,N18)</f>
        <v>287.3</v>
      </c>
      <c r="O19" s="122" t="n">
        <f aca="false">MIN(O12,O18)</f>
        <v>304.2</v>
      </c>
      <c r="P19" s="122" t="n">
        <f aca="false">MIN(P12,P18)</f>
        <v>321.1</v>
      </c>
      <c r="Q19" s="122" t="n">
        <f aca="false">MIN(Q12,Q18)</f>
        <v>338</v>
      </c>
      <c r="R19" s="122" t="n">
        <f aca="false">MIN(R12,R18)</f>
        <v>338</v>
      </c>
      <c r="S19" s="122" t="n">
        <f aca="false">MIN(S12,S18)</f>
        <v>338</v>
      </c>
      <c r="T19" s="122" t="n">
        <f aca="false">MIN(T12,T18)</f>
        <v>338</v>
      </c>
      <c r="U19" s="122" t="n">
        <f aca="false">MIN(U12,U18)</f>
        <v>338</v>
      </c>
      <c r="V19" s="122" t="n">
        <f aca="false">MIN(V12,V18)</f>
        <v>338</v>
      </c>
      <c r="W19" s="122" t="n">
        <f aca="false">MIN(W12,W18)</f>
        <v>338</v>
      </c>
      <c r="X19" s="122" t="n">
        <f aca="false">MIN(X12,X18)</f>
        <v>338</v>
      </c>
      <c r="Y19" s="122" t="n">
        <f aca="false">MIN(Y12,Y18)</f>
        <v>338</v>
      </c>
      <c r="Z19" s="122" t="n">
        <f aca="false">MIN(Z12,Z18)</f>
        <v>338</v>
      </c>
      <c r="AA19" s="122" t="n">
        <f aca="false">MIN(AA12,AA18)</f>
        <v>338</v>
      </c>
      <c r="AB19" s="122" t="n">
        <f aca="false">MIN(AB12,AB18)</f>
        <v>338</v>
      </c>
      <c r="AC19" s="122" t="n">
        <f aca="false">MIN(AC12,AC18)</f>
        <v>338</v>
      </c>
      <c r="AD19" s="122" t="n">
        <f aca="false">MIN(AD12,AD18)</f>
        <v>338</v>
      </c>
      <c r="AE19" s="122" t="n">
        <f aca="false">MIN(AE12,AE18)</f>
        <v>338</v>
      </c>
      <c r="AF19" s="122" t="n">
        <f aca="false">MIN(AF12,AF18)</f>
        <v>338</v>
      </c>
      <c r="AG19" s="122" t="n">
        <f aca="false">MIN(AG12,AG18)</f>
        <v>338</v>
      </c>
      <c r="AH19" s="122" t="n">
        <f aca="false">MIN(AH12,AH18)</f>
        <v>338</v>
      </c>
      <c r="AI19" s="122" t="n">
        <f aca="false">MIN(AI12,AI18)</f>
        <v>338</v>
      </c>
      <c r="AJ19" s="122" t="n">
        <f aca="false">MIN(AJ12,AJ18)</f>
        <v>338</v>
      </c>
      <c r="AK19" s="122" t="n">
        <f aca="false">MIN(AK12,AK18)</f>
        <v>338</v>
      </c>
      <c r="AL19" s="122" t="n">
        <f aca="false">MIN(AL12,AL18)</f>
        <v>338</v>
      </c>
    </row>
    <row r="20" customFormat="false" ht="15" hidden="false" customHeight="false" outlineLevel="0" collapsed="false">
      <c r="A20" s="6" t="s">
        <v>233</v>
      </c>
      <c r="C20" s="120" t="n">
        <f aca="false">C12-C19</f>
        <v>0</v>
      </c>
      <c r="D20" s="120" t="n">
        <f aca="false">D12-D19</f>
        <v>0</v>
      </c>
      <c r="E20" s="120" t="n">
        <f aca="false">E12-E19</f>
        <v>0</v>
      </c>
      <c r="F20" s="120" t="n">
        <f aca="false">F12-F19</f>
        <v>0</v>
      </c>
      <c r="G20" s="120" t="n">
        <f aca="false">G12-G19</f>
        <v>0</v>
      </c>
      <c r="H20" s="120" t="n">
        <f aca="false">H12-H19</f>
        <v>0</v>
      </c>
      <c r="I20" s="120" t="n">
        <f aca="false">I12-I19</f>
        <v>0</v>
      </c>
      <c r="J20" s="120" t="n">
        <f aca="false">J12-J19</f>
        <v>0</v>
      </c>
      <c r="K20" s="120" t="n">
        <f aca="false">K12-K19</f>
        <v>0</v>
      </c>
      <c r="L20" s="120" t="n">
        <f aca="false">L12-L19</f>
        <v>0</v>
      </c>
      <c r="M20" s="120" t="n">
        <f aca="false">M12-M19</f>
        <v>0</v>
      </c>
      <c r="N20" s="120" t="n">
        <f aca="false">N12-N19</f>
        <v>0</v>
      </c>
      <c r="O20" s="120" t="n">
        <f aca="false">O12-O19</f>
        <v>0</v>
      </c>
      <c r="P20" s="120" t="n">
        <f aca="false">P12-P19</f>
        <v>0</v>
      </c>
      <c r="Q20" s="120" t="n">
        <f aca="false">Q12-Q19</f>
        <v>0</v>
      </c>
      <c r="R20" s="120" t="n">
        <f aca="false">R12-R19</f>
        <v>0</v>
      </c>
      <c r="S20" s="120" t="n">
        <f aca="false">S12-S19</f>
        <v>0</v>
      </c>
      <c r="T20" s="120" t="n">
        <f aca="false">T12-T19</f>
        <v>0</v>
      </c>
      <c r="U20" s="120" t="n">
        <f aca="false">U12-U19</f>
        <v>0</v>
      </c>
      <c r="V20" s="120" t="n">
        <f aca="false">V12-V19</f>
        <v>0</v>
      </c>
      <c r="W20" s="120" t="n">
        <f aca="false">W12-W19</f>
        <v>0</v>
      </c>
      <c r="X20" s="120" t="n">
        <f aca="false">X12-X19</f>
        <v>0</v>
      </c>
      <c r="Y20" s="120" t="n">
        <f aca="false">Y12-Y19</f>
        <v>0</v>
      </c>
      <c r="Z20" s="120" t="n">
        <f aca="false">Z12-Z19</f>
        <v>0</v>
      </c>
      <c r="AA20" s="120" t="n">
        <f aca="false">AA12-AA19</f>
        <v>0</v>
      </c>
      <c r="AB20" s="120" t="n">
        <f aca="false">AB12-AB19</f>
        <v>0</v>
      </c>
      <c r="AC20" s="120" t="n">
        <f aca="false">AC12-AC19</f>
        <v>0</v>
      </c>
      <c r="AD20" s="120" t="n">
        <f aca="false">AD12-AD19</f>
        <v>0</v>
      </c>
      <c r="AE20" s="120" t="n">
        <f aca="false">AE12-AE19</f>
        <v>0</v>
      </c>
      <c r="AF20" s="120" t="n">
        <f aca="false">AF12-AF19</f>
        <v>0</v>
      </c>
      <c r="AG20" s="120" t="n">
        <f aca="false">AG12-AG19</f>
        <v>0</v>
      </c>
      <c r="AH20" s="120" t="n">
        <f aca="false">AH12-AH19</f>
        <v>0</v>
      </c>
      <c r="AI20" s="120" t="n">
        <f aca="false">AI12-AI19</f>
        <v>0</v>
      </c>
      <c r="AJ20" s="120" t="n">
        <f aca="false">AJ12-AJ19</f>
        <v>0</v>
      </c>
      <c r="AK20" s="120" t="n">
        <f aca="false">AK12-AK19</f>
        <v>0</v>
      </c>
      <c r="AL20" s="120" t="n">
        <f aca="false">AL12-AL19</f>
        <v>0</v>
      </c>
    </row>
    <row r="22" customFormat="false" ht="15.75" hidden="false" customHeight="true" outlineLevel="0" collapsed="false">
      <c r="A22" s="7" t="s">
        <v>270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customFormat="false" ht="15" hidden="false" customHeight="false" outlineLevel="0" collapsed="false">
      <c r="A23" s="6" t="s">
        <v>393</v>
      </c>
      <c r="C23" s="79" t="n">
        <f aca="false">IF(OR(AND(MOD(C$6-1,12)&gt;=5,MOD(C$6-1,12)&lt;=7),MOD(C$6-1,12)=11),1+Inputs!$B$28,1-Inputs!$B$28/2)</f>
        <v>0.925</v>
      </c>
      <c r="D23" s="79" t="n">
        <f aca="false">IF(OR(AND(MOD(D$6-1,12)&gt;=5,MOD(D$6-1,12)&lt;=7),MOD(D$6-1,12)=11),1+Inputs!$B$28,1-Inputs!$B$28/2)</f>
        <v>0.925</v>
      </c>
      <c r="E23" s="79" t="n">
        <f aca="false">IF(OR(AND(MOD(E$6-1,12)&gt;=5,MOD(E$6-1,12)&lt;=7),MOD(E$6-1,12)=11),1+Inputs!$B$28,1-Inputs!$B$28/2)</f>
        <v>0.925</v>
      </c>
      <c r="F23" s="79" t="n">
        <f aca="false">IF(OR(AND(MOD(F$6-1,12)&gt;=5,MOD(F$6-1,12)&lt;=7),MOD(F$6-1,12)=11),1+Inputs!$B$28,1-Inputs!$B$28/2)</f>
        <v>0.925</v>
      </c>
      <c r="G23" s="79" t="n">
        <f aca="false">IF(OR(AND(MOD(G$6-1,12)&gt;=5,MOD(G$6-1,12)&lt;=7),MOD(G$6-1,12)=11),1+Inputs!$B$28,1-Inputs!$B$28/2)</f>
        <v>0.925</v>
      </c>
      <c r="H23" s="79" t="n">
        <f aca="false">IF(OR(AND(MOD(H$6-1,12)&gt;=5,MOD(H$6-1,12)&lt;=7),MOD(H$6-1,12)=11),1+Inputs!$B$28,1-Inputs!$B$28/2)</f>
        <v>1.15</v>
      </c>
      <c r="I23" s="79" t="n">
        <f aca="false">IF(OR(AND(MOD(I$6-1,12)&gt;=5,MOD(I$6-1,12)&lt;=7),MOD(I$6-1,12)=11),1+Inputs!$B$28,1-Inputs!$B$28/2)</f>
        <v>1.15</v>
      </c>
      <c r="J23" s="79" t="n">
        <f aca="false">IF(OR(AND(MOD(J$6-1,12)&gt;=5,MOD(J$6-1,12)&lt;=7),MOD(J$6-1,12)=11),1+Inputs!$B$28,1-Inputs!$B$28/2)</f>
        <v>1.15</v>
      </c>
      <c r="K23" s="79" t="n">
        <f aca="false">IF(OR(AND(MOD(K$6-1,12)&gt;=5,MOD(K$6-1,12)&lt;=7),MOD(K$6-1,12)=11),1+Inputs!$B$28,1-Inputs!$B$28/2)</f>
        <v>0.925</v>
      </c>
      <c r="L23" s="79" t="n">
        <f aca="false">IF(OR(AND(MOD(L$6-1,12)&gt;=5,MOD(L$6-1,12)&lt;=7),MOD(L$6-1,12)=11),1+Inputs!$B$28,1-Inputs!$B$28/2)</f>
        <v>0.925</v>
      </c>
      <c r="M23" s="79" t="n">
        <f aca="false">IF(OR(AND(MOD(M$6-1,12)&gt;=5,MOD(M$6-1,12)&lt;=7),MOD(M$6-1,12)=11),1+Inputs!$B$28,1-Inputs!$B$28/2)</f>
        <v>0.925</v>
      </c>
      <c r="N23" s="79" t="n">
        <f aca="false">IF(OR(AND(MOD(N$6-1,12)&gt;=5,MOD(N$6-1,12)&lt;=7),MOD(N$6-1,12)=11),1+Inputs!$B$28,1-Inputs!$B$28/2)</f>
        <v>1.15</v>
      </c>
      <c r="O23" s="79" t="n">
        <f aca="false">IF(OR(AND(MOD(O$6-1,12)&gt;=5,MOD(O$6-1,12)&lt;=7),MOD(O$6-1,12)=11),1+Inputs!$B$28,1-Inputs!$B$28/2)</f>
        <v>0.925</v>
      </c>
      <c r="P23" s="79" t="n">
        <f aca="false">IF(OR(AND(MOD(P$6-1,12)&gt;=5,MOD(P$6-1,12)&lt;=7),MOD(P$6-1,12)=11),1+Inputs!$B$28,1-Inputs!$B$28/2)</f>
        <v>0.925</v>
      </c>
      <c r="Q23" s="79" t="n">
        <f aca="false">IF(OR(AND(MOD(Q$6-1,12)&gt;=5,MOD(Q$6-1,12)&lt;=7),MOD(Q$6-1,12)=11),1+Inputs!$B$28,1-Inputs!$B$28/2)</f>
        <v>0.925</v>
      </c>
      <c r="R23" s="79" t="n">
        <f aca="false">IF(OR(AND(MOD(R$6-1,12)&gt;=5,MOD(R$6-1,12)&lt;=7),MOD(R$6-1,12)=11),1+Inputs!$B$28,1-Inputs!$B$28/2)</f>
        <v>0.925</v>
      </c>
      <c r="S23" s="79" t="n">
        <f aca="false">IF(OR(AND(MOD(S$6-1,12)&gt;=5,MOD(S$6-1,12)&lt;=7),MOD(S$6-1,12)=11),1+Inputs!$B$28,1-Inputs!$B$28/2)</f>
        <v>0.925</v>
      </c>
      <c r="T23" s="79" t="n">
        <f aca="false">IF(OR(AND(MOD(T$6-1,12)&gt;=5,MOD(T$6-1,12)&lt;=7),MOD(T$6-1,12)=11),1+Inputs!$B$28,1-Inputs!$B$28/2)</f>
        <v>1.15</v>
      </c>
      <c r="U23" s="79" t="n">
        <f aca="false">IF(OR(AND(MOD(U$6-1,12)&gt;=5,MOD(U$6-1,12)&lt;=7),MOD(U$6-1,12)=11),1+Inputs!$B$28,1-Inputs!$B$28/2)</f>
        <v>1.15</v>
      </c>
      <c r="V23" s="79" t="n">
        <f aca="false">IF(OR(AND(MOD(V$6-1,12)&gt;=5,MOD(V$6-1,12)&lt;=7),MOD(V$6-1,12)=11),1+Inputs!$B$28,1-Inputs!$B$28/2)</f>
        <v>1.15</v>
      </c>
      <c r="W23" s="79" t="n">
        <f aca="false">IF(OR(AND(MOD(W$6-1,12)&gt;=5,MOD(W$6-1,12)&lt;=7),MOD(W$6-1,12)=11),1+Inputs!$B$28,1-Inputs!$B$28/2)</f>
        <v>0.925</v>
      </c>
      <c r="X23" s="79" t="n">
        <f aca="false">IF(OR(AND(MOD(X$6-1,12)&gt;=5,MOD(X$6-1,12)&lt;=7),MOD(X$6-1,12)=11),1+Inputs!$B$28,1-Inputs!$B$28/2)</f>
        <v>0.925</v>
      </c>
      <c r="Y23" s="79" t="n">
        <f aca="false">IF(OR(AND(MOD(Y$6-1,12)&gt;=5,MOD(Y$6-1,12)&lt;=7),MOD(Y$6-1,12)=11),1+Inputs!$B$28,1-Inputs!$B$28/2)</f>
        <v>0.925</v>
      </c>
      <c r="Z23" s="79" t="n">
        <f aca="false">IF(OR(AND(MOD(Z$6-1,12)&gt;=5,MOD(Z$6-1,12)&lt;=7),MOD(Z$6-1,12)=11),1+Inputs!$B$28,1-Inputs!$B$28/2)</f>
        <v>1.15</v>
      </c>
      <c r="AA23" s="79" t="n">
        <f aca="false">IF(OR(AND(MOD(AA$6-1,12)&gt;=5,MOD(AA$6-1,12)&lt;=7),MOD(AA$6-1,12)=11),1+Inputs!$B$28,1-Inputs!$B$28/2)</f>
        <v>0.925</v>
      </c>
      <c r="AB23" s="79" t="n">
        <f aca="false">IF(OR(AND(MOD(AB$6-1,12)&gt;=5,MOD(AB$6-1,12)&lt;=7),MOD(AB$6-1,12)=11),1+Inputs!$B$28,1-Inputs!$B$28/2)</f>
        <v>0.925</v>
      </c>
      <c r="AC23" s="79" t="n">
        <f aca="false">IF(OR(AND(MOD(AC$6-1,12)&gt;=5,MOD(AC$6-1,12)&lt;=7),MOD(AC$6-1,12)=11),1+Inputs!$B$28,1-Inputs!$B$28/2)</f>
        <v>0.925</v>
      </c>
      <c r="AD23" s="79" t="n">
        <f aca="false">IF(OR(AND(MOD(AD$6-1,12)&gt;=5,MOD(AD$6-1,12)&lt;=7),MOD(AD$6-1,12)=11),1+Inputs!$B$28,1-Inputs!$B$28/2)</f>
        <v>0.925</v>
      </c>
      <c r="AE23" s="79" t="n">
        <f aca="false">IF(OR(AND(MOD(AE$6-1,12)&gt;=5,MOD(AE$6-1,12)&lt;=7),MOD(AE$6-1,12)=11),1+Inputs!$B$28,1-Inputs!$B$28/2)</f>
        <v>0.925</v>
      </c>
      <c r="AF23" s="79" t="n">
        <f aca="false">IF(OR(AND(MOD(AF$6-1,12)&gt;=5,MOD(AF$6-1,12)&lt;=7),MOD(AF$6-1,12)=11),1+Inputs!$B$28,1-Inputs!$B$28/2)</f>
        <v>1.15</v>
      </c>
      <c r="AG23" s="79" t="n">
        <f aca="false">IF(OR(AND(MOD(AG$6-1,12)&gt;=5,MOD(AG$6-1,12)&lt;=7),MOD(AG$6-1,12)=11),1+Inputs!$B$28,1-Inputs!$B$28/2)</f>
        <v>1.15</v>
      </c>
      <c r="AH23" s="79" t="n">
        <f aca="false">IF(OR(AND(MOD(AH$6-1,12)&gt;=5,MOD(AH$6-1,12)&lt;=7),MOD(AH$6-1,12)=11),1+Inputs!$B$28,1-Inputs!$B$28/2)</f>
        <v>1.15</v>
      </c>
      <c r="AI23" s="79" t="n">
        <f aca="false">IF(OR(AND(MOD(AI$6-1,12)&gt;=5,MOD(AI$6-1,12)&lt;=7),MOD(AI$6-1,12)=11),1+Inputs!$B$28,1-Inputs!$B$28/2)</f>
        <v>0.925</v>
      </c>
      <c r="AJ23" s="79" t="n">
        <f aca="false">IF(OR(AND(MOD(AJ$6-1,12)&gt;=5,MOD(AJ$6-1,12)&lt;=7),MOD(AJ$6-1,12)=11),1+Inputs!$B$28,1-Inputs!$B$28/2)</f>
        <v>0.925</v>
      </c>
      <c r="AK23" s="79" t="n">
        <f aca="false">IF(OR(AND(MOD(AK$6-1,12)&gt;=5,MOD(AK$6-1,12)&lt;=7),MOD(AK$6-1,12)=11),1+Inputs!$B$28,1-Inputs!$B$28/2)</f>
        <v>0.925</v>
      </c>
      <c r="AL23" s="79" t="n">
        <f aca="false">IF(OR(AND(MOD(AL$6-1,12)&gt;=5,MOD(AL$6-1,12)&lt;=7),MOD(AL$6-1,12)=11),1+Inputs!$B$28,1-Inputs!$B$28/2)</f>
        <v>1.15</v>
      </c>
    </row>
    <row r="24" customFormat="false" ht="15" hidden="false" customHeight="false" outlineLevel="0" collapsed="false">
      <c r="A24" s="6" t="s">
        <v>394</v>
      </c>
      <c r="C24" s="120" t="n">
        <f aca="false">Inputs!$B$25*Inputs!$B$29*1</f>
        <v>912</v>
      </c>
      <c r="D24" s="120" t="n">
        <f aca="false">Inputs!$B$25*Inputs!$B$29*1</f>
        <v>912</v>
      </c>
      <c r="E24" s="120" t="n">
        <f aca="false">Inputs!$B$25*Inputs!$B$29*1</f>
        <v>912</v>
      </c>
      <c r="F24" s="120" t="n">
        <f aca="false">Inputs!$B$25*Inputs!$B$29*1</f>
        <v>912</v>
      </c>
      <c r="G24" s="120" t="n">
        <f aca="false">Inputs!$B$25*Inputs!$B$29*1</f>
        <v>912</v>
      </c>
      <c r="H24" s="120" t="n">
        <f aca="false">Inputs!$B$25*Inputs!$B$29*1</f>
        <v>912</v>
      </c>
      <c r="I24" s="120" t="n">
        <f aca="false">Inputs!$B$25*Inputs!$B$29*1</f>
        <v>912</v>
      </c>
      <c r="J24" s="120" t="n">
        <f aca="false">Inputs!$B$25*Inputs!$B$29*1</f>
        <v>912</v>
      </c>
      <c r="K24" s="120" t="n">
        <f aca="false">Inputs!$B$25*Inputs!$B$29*1</f>
        <v>912</v>
      </c>
      <c r="L24" s="120" t="n">
        <f aca="false">Inputs!$B$25*Inputs!$B$29*1</f>
        <v>912</v>
      </c>
      <c r="M24" s="120" t="n">
        <f aca="false">Inputs!$B$25*Inputs!$B$29*1</f>
        <v>912</v>
      </c>
      <c r="N24" s="120" t="n">
        <f aca="false">Inputs!$B$25*Inputs!$B$29*1</f>
        <v>912</v>
      </c>
      <c r="O24" s="120" t="n">
        <f aca="false">Inputs!$B$25*Inputs!$B$29*1</f>
        <v>912</v>
      </c>
      <c r="P24" s="120" t="n">
        <f aca="false">Inputs!$B$25*Inputs!$B$29*1</f>
        <v>912</v>
      </c>
      <c r="Q24" s="120" t="n">
        <f aca="false">Inputs!$B$25*Inputs!$B$29*1</f>
        <v>912</v>
      </c>
      <c r="R24" s="120" t="n">
        <f aca="false">Inputs!$B$25*Inputs!$B$29*1</f>
        <v>912</v>
      </c>
      <c r="S24" s="120" t="n">
        <f aca="false">Inputs!$B$25*Inputs!$B$29*1</f>
        <v>912</v>
      </c>
      <c r="T24" s="120" t="n">
        <f aca="false">Inputs!$B$25*Inputs!$B$29*1</f>
        <v>912</v>
      </c>
      <c r="U24" s="120" t="n">
        <f aca="false">Inputs!$B$25*Inputs!$B$29*1</f>
        <v>912</v>
      </c>
      <c r="V24" s="120" t="n">
        <f aca="false">Inputs!$B$25*Inputs!$B$29*1</f>
        <v>912</v>
      </c>
      <c r="W24" s="120" t="n">
        <f aca="false">Inputs!$B$25*Inputs!$B$29*1</f>
        <v>912</v>
      </c>
      <c r="X24" s="120" t="n">
        <f aca="false">Inputs!$B$25*Inputs!$B$29*1</f>
        <v>912</v>
      </c>
      <c r="Y24" s="120" t="n">
        <f aca="false">Inputs!$B$25*Inputs!$B$29*1</f>
        <v>912</v>
      </c>
      <c r="Z24" s="120" t="n">
        <f aca="false">Inputs!$B$25*Inputs!$B$29*1</f>
        <v>912</v>
      </c>
      <c r="AA24" s="120" t="n">
        <f aca="false">Inputs!$B$25*Inputs!$B$29*1</f>
        <v>912</v>
      </c>
      <c r="AB24" s="120" t="n">
        <f aca="false">Inputs!$B$25*Inputs!$B$29*1</f>
        <v>912</v>
      </c>
      <c r="AC24" s="120" t="n">
        <f aca="false">Inputs!$B$25*Inputs!$B$29*1</f>
        <v>912</v>
      </c>
      <c r="AD24" s="120" t="n">
        <f aca="false">Inputs!$B$25*Inputs!$B$29*1</f>
        <v>912</v>
      </c>
      <c r="AE24" s="120" t="n">
        <f aca="false">Inputs!$B$25*Inputs!$B$29*1</f>
        <v>912</v>
      </c>
      <c r="AF24" s="120" t="n">
        <f aca="false">Inputs!$B$25*Inputs!$B$29*1</f>
        <v>912</v>
      </c>
      <c r="AG24" s="120" t="n">
        <f aca="false">Inputs!$B$25*Inputs!$B$29*1</f>
        <v>912</v>
      </c>
      <c r="AH24" s="120" t="n">
        <f aca="false">Inputs!$B$25*Inputs!$B$29*1</f>
        <v>912</v>
      </c>
      <c r="AI24" s="120" t="n">
        <f aca="false">Inputs!$B$25*Inputs!$B$29*1</f>
        <v>912</v>
      </c>
      <c r="AJ24" s="120" t="n">
        <f aca="false">Inputs!$B$25*Inputs!$B$29*1</f>
        <v>912</v>
      </c>
      <c r="AK24" s="120" t="n">
        <f aca="false">Inputs!$B$25*Inputs!$B$29*1</f>
        <v>912</v>
      </c>
      <c r="AL24" s="120" t="n">
        <f aca="false">Inputs!$B$25*Inputs!$B$29*1</f>
        <v>912</v>
      </c>
    </row>
    <row r="25" customFormat="false" ht="15" hidden="false" customHeight="false" outlineLevel="0" collapsed="false">
      <c r="A25" s="39" t="s">
        <v>395</v>
      </c>
      <c r="C25" s="76" t="n">
        <f aca="false">MIN(1,Inputs!$B$26*(1+Inputs!$B$27)^(C$7-1)*C11*C23)</f>
        <v>0.13875</v>
      </c>
      <c r="D25" s="76" t="n">
        <f aca="false">MIN(1,Inputs!$B$26*(1+Inputs!$B$27)^(D$7-1)*D11*D23)</f>
        <v>0.161875</v>
      </c>
      <c r="E25" s="76" t="n">
        <f aca="false">MIN(1,Inputs!$B$26*(1+Inputs!$B$27)^(E$7-1)*E11*E23)</f>
        <v>0.185</v>
      </c>
      <c r="F25" s="76" t="n">
        <f aca="false">MIN(1,Inputs!$B$26*(1+Inputs!$B$27)^(F$7-1)*F11*F23)</f>
        <v>0.208125</v>
      </c>
      <c r="G25" s="76" t="n">
        <f aca="false">MIN(1,Inputs!$B$26*(1+Inputs!$B$27)^(G$7-1)*G11*G23)</f>
        <v>0.23125</v>
      </c>
      <c r="H25" s="76" t="n">
        <f aca="false">MIN(1,Inputs!$B$26*(1+Inputs!$B$27)^(H$7-1)*H11*H23)</f>
        <v>0.31625</v>
      </c>
      <c r="I25" s="76" t="n">
        <f aca="false">MIN(1,Inputs!$B$26*(1+Inputs!$B$27)^(I$7-1)*I11*I23)</f>
        <v>0.345</v>
      </c>
      <c r="J25" s="76" t="n">
        <f aca="false">MIN(1,Inputs!$B$26*(1+Inputs!$B$27)^(J$7-1)*J11*J23)</f>
        <v>0.37375</v>
      </c>
      <c r="K25" s="76" t="n">
        <f aca="false">MIN(1,Inputs!$B$26*(1+Inputs!$B$27)^(K$7-1)*K11*K23)</f>
        <v>0.32375</v>
      </c>
      <c r="L25" s="76" t="n">
        <f aca="false">MIN(1,Inputs!$B$26*(1+Inputs!$B$27)^(L$7-1)*L11*L23)</f>
        <v>0.346875</v>
      </c>
      <c r="M25" s="76" t="n">
        <f aca="false">MIN(1,Inputs!$B$26*(1+Inputs!$B$27)^(M$7-1)*M11*M23)</f>
        <v>0.37</v>
      </c>
      <c r="N25" s="76" t="n">
        <f aca="false">MIN(1,Inputs!$B$26*(1+Inputs!$B$27)^(N$7-1)*N11*N23)</f>
        <v>0.48875</v>
      </c>
      <c r="O25" s="76" t="n">
        <f aca="false">MIN(1,Inputs!$B$26*(1+Inputs!$B$27)^(O$7-1)*O11*O23)</f>
        <v>0.41625</v>
      </c>
      <c r="P25" s="76" t="n">
        <f aca="false">MIN(1,Inputs!$B$26*(1+Inputs!$B$27)^(P$7-1)*P11*P23)</f>
        <v>0.439375</v>
      </c>
      <c r="Q25" s="76" t="n">
        <f aca="false">MIN(1,Inputs!$B$26*(1+Inputs!$B$27)^(Q$7-1)*Q11*Q23)</f>
        <v>0.4625</v>
      </c>
      <c r="R25" s="76" t="n">
        <f aca="false">MIN(1,Inputs!$B$26*(1+Inputs!$B$27)^(R$7-1)*R11*R23)</f>
        <v>0.4625</v>
      </c>
      <c r="S25" s="76" t="n">
        <f aca="false">MIN(1,Inputs!$B$26*(1+Inputs!$B$27)^(S$7-1)*S11*S23)</f>
        <v>0.4625</v>
      </c>
      <c r="T25" s="76" t="n">
        <f aca="false">MIN(1,Inputs!$B$26*(1+Inputs!$B$27)^(T$7-1)*T11*T23)</f>
        <v>0.575</v>
      </c>
      <c r="U25" s="76" t="n">
        <f aca="false">MIN(1,Inputs!$B$26*(1+Inputs!$B$27)^(U$7-1)*U11*U23)</f>
        <v>0.575</v>
      </c>
      <c r="V25" s="76" t="n">
        <f aca="false">MIN(1,Inputs!$B$26*(1+Inputs!$B$27)^(V$7-1)*V11*V23)</f>
        <v>0.575</v>
      </c>
      <c r="W25" s="76" t="n">
        <f aca="false">MIN(1,Inputs!$B$26*(1+Inputs!$B$27)^(W$7-1)*W11*W23)</f>
        <v>0.4625</v>
      </c>
      <c r="X25" s="76" t="n">
        <f aca="false">MIN(1,Inputs!$B$26*(1+Inputs!$B$27)^(X$7-1)*X11*X23)</f>
        <v>0.4625</v>
      </c>
      <c r="Y25" s="76" t="n">
        <f aca="false">MIN(1,Inputs!$B$26*(1+Inputs!$B$27)^(Y$7-1)*Y11*Y23)</f>
        <v>0.4625</v>
      </c>
      <c r="Z25" s="76" t="n">
        <f aca="false">MIN(1,Inputs!$B$26*(1+Inputs!$B$27)^(Z$7-1)*Z11*Z23)</f>
        <v>0.575</v>
      </c>
      <c r="AA25" s="76" t="n">
        <f aca="false">MIN(1,Inputs!$B$26*(1+Inputs!$B$27)^(AA$7-1)*AA11*AA23)</f>
        <v>0.4625</v>
      </c>
      <c r="AB25" s="76" t="n">
        <f aca="false">MIN(1,Inputs!$B$26*(1+Inputs!$B$27)^(AB$7-1)*AB11*AB23)</f>
        <v>0.4625</v>
      </c>
      <c r="AC25" s="76" t="n">
        <f aca="false">MIN(1,Inputs!$B$26*(1+Inputs!$B$27)^(AC$7-1)*AC11*AC23)</f>
        <v>0.4625</v>
      </c>
      <c r="AD25" s="76" t="n">
        <f aca="false">MIN(1,Inputs!$B$26*(1+Inputs!$B$27)^(AD$7-1)*AD11*AD23)</f>
        <v>0.4625</v>
      </c>
      <c r="AE25" s="76" t="n">
        <f aca="false">MIN(1,Inputs!$B$26*(1+Inputs!$B$27)^(AE$7-1)*AE11*AE23)</f>
        <v>0.4625</v>
      </c>
      <c r="AF25" s="76" t="n">
        <f aca="false">MIN(1,Inputs!$B$26*(1+Inputs!$B$27)^(AF$7-1)*AF11*AF23)</f>
        <v>0.575</v>
      </c>
      <c r="AG25" s="76" t="n">
        <f aca="false">MIN(1,Inputs!$B$26*(1+Inputs!$B$27)^(AG$7-1)*AG11*AG23)</f>
        <v>0.575</v>
      </c>
      <c r="AH25" s="76" t="n">
        <f aca="false">MIN(1,Inputs!$B$26*(1+Inputs!$B$27)^(AH$7-1)*AH11*AH23)</f>
        <v>0.575</v>
      </c>
      <c r="AI25" s="76" t="n">
        <f aca="false">MIN(1,Inputs!$B$26*(1+Inputs!$B$27)^(AI$7-1)*AI11*AI23)</f>
        <v>0.4625</v>
      </c>
      <c r="AJ25" s="76" t="n">
        <f aca="false">MIN(1,Inputs!$B$26*(1+Inputs!$B$27)^(AJ$7-1)*AJ11*AJ23)</f>
        <v>0.4625</v>
      </c>
      <c r="AK25" s="76" t="n">
        <f aca="false">MIN(1,Inputs!$B$26*(1+Inputs!$B$27)^(AK$7-1)*AK11*AK23)</f>
        <v>0.4625</v>
      </c>
      <c r="AL25" s="76" t="n">
        <f aca="false">MIN(1,Inputs!$B$26*(1+Inputs!$B$27)^(AL$7-1)*AL11*AL23)</f>
        <v>0.575</v>
      </c>
    </row>
    <row r="26" customFormat="false" ht="15" hidden="false" customHeight="false" outlineLevel="0" collapsed="false">
      <c r="A26" s="4" t="s">
        <v>234</v>
      </c>
      <c r="C26" s="122" t="n">
        <f aca="false">C24*C25</f>
        <v>126.54</v>
      </c>
      <c r="D26" s="122" t="n">
        <f aca="false">D24*D25</f>
        <v>147.63</v>
      </c>
      <c r="E26" s="122" t="n">
        <f aca="false">E24*E25</f>
        <v>168.72</v>
      </c>
      <c r="F26" s="122" t="n">
        <f aca="false">F24*F25</f>
        <v>189.81</v>
      </c>
      <c r="G26" s="122" t="n">
        <f aca="false">G24*G25</f>
        <v>210.9</v>
      </c>
      <c r="H26" s="122" t="n">
        <f aca="false">H24*H25</f>
        <v>288.42</v>
      </c>
      <c r="I26" s="122" t="n">
        <f aca="false">I24*I25</f>
        <v>314.64</v>
      </c>
      <c r="J26" s="122" t="n">
        <f aca="false">J24*J25</f>
        <v>340.86</v>
      </c>
      <c r="K26" s="122" t="n">
        <f aca="false">K24*K25</f>
        <v>295.26</v>
      </c>
      <c r="L26" s="122" t="n">
        <f aca="false">L24*L25</f>
        <v>316.35</v>
      </c>
      <c r="M26" s="122" t="n">
        <f aca="false">M24*M25</f>
        <v>337.44</v>
      </c>
      <c r="N26" s="122" t="n">
        <f aca="false">N24*N25</f>
        <v>445.74</v>
      </c>
      <c r="O26" s="122" t="n">
        <f aca="false">O24*O25</f>
        <v>379.62</v>
      </c>
      <c r="P26" s="122" t="n">
        <f aca="false">P24*P25</f>
        <v>400.71</v>
      </c>
      <c r="Q26" s="122" t="n">
        <f aca="false">Q24*Q25</f>
        <v>421.8</v>
      </c>
      <c r="R26" s="122" t="n">
        <f aca="false">R24*R25</f>
        <v>421.8</v>
      </c>
      <c r="S26" s="122" t="n">
        <f aca="false">S24*S25</f>
        <v>421.8</v>
      </c>
      <c r="T26" s="122" t="n">
        <f aca="false">T24*T25</f>
        <v>524.4</v>
      </c>
      <c r="U26" s="122" t="n">
        <f aca="false">U24*U25</f>
        <v>524.4</v>
      </c>
      <c r="V26" s="122" t="n">
        <f aca="false">V24*V25</f>
        <v>524.4</v>
      </c>
      <c r="W26" s="122" t="n">
        <f aca="false">W24*W25</f>
        <v>421.8</v>
      </c>
      <c r="X26" s="122" t="n">
        <f aca="false">X24*X25</f>
        <v>421.8</v>
      </c>
      <c r="Y26" s="122" t="n">
        <f aca="false">Y24*Y25</f>
        <v>421.8</v>
      </c>
      <c r="Z26" s="122" t="n">
        <f aca="false">Z24*Z25</f>
        <v>524.4</v>
      </c>
      <c r="AA26" s="122" t="n">
        <f aca="false">AA24*AA25</f>
        <v>421.8</v>
      </c>
      <c r="AB26" s="122" t="n">
        <f aca="false">AB24*AB25</f>
        <v>421.8</v>
      </c>
      <c r="AC26" s="122" t="n">
        <f aca="false">AC24*AC25</f>
        <v>421.8</v>
      </c>
      <c r="AD26" s="122" t="n">
        <f aca="false">AD24*AD25</f>
        <v>421.8</v>
      </c>
      <c r="AE26" s="122" t="n">
        <f aca="false">AE24*AE25</f>
        <v>421.8</v>
      </c>
      <c r="AF26" s="122" t="n">
        <f aca="false">AF24*AF25</f>
        <v>524.4</v>
      </c>
      <c r="AG26" s="122" t="n">
        <f aca="false">AG24*AG25</f>
        <v>524.4</v>
      </c>
      <c r="AH26" s="122" t="n">
        <f aca="false">AH24*AH25</f>
        <v>524.4</v>
      </c>
      <c r="AI26" s="122" t="n">
        <f aca="false">AI24*AI25</f>
        <v>421.8</v>
      </c>
      <c r="AJ26" s="122" t="n">
        <f aca="false">AJ24*AJ25</f>
        <v>421.8</v>
      </c>
      <c r="AK26" s="122" t="n">
        <f aca="false">AK24*AK25</f>
        <v>421.8</v>
      </c>
      <c r="AL26" s="122" t="n">
        <f aca="false">AL24*AL25</f>
        <v>524.4</v>
      </c>
    </row>
    <row r="28" customFormat="false" ht="15.75" hidden="false" customHeight="true" outlineLevel="0" collapsed="false">
      <c r="A28" s="7" t="s">
        <v>44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customFormat="false" ht="15" hidden="false" customHeight="false" outlineLevel="0" collapsed="false">
      <c r="A29" s="6" t="s">
        <v>396</v>
      </c>
      <c r="C29" s="123" t="n">
        <f aca="false">Inputs!$B$19*(1+Inputs!$B$20)^(C$7-1)</f>
        <v>68</v>
      </c>
      <c r="D29" s="123" t="n">
        <f aca="false">Inputs!$B$19*(1+Inputs!$B$20)^(D$7-1)</f>
        <v>68</v>
      </c>
      <c r="E29" s="123" t="n">
        <f aca="false">Inputs!$B$19*(1+Inputs!$B$20)^(E$7-1)</f>
        <v>68</v>
      </c>
      <c r="F29" s="123" t="n">
        <f aca="false">Inputs!$B$19*(1+Inputs!$B$20)^(F$7-1)</f>
        <v>68</v>
      </c>
      <c r="G29" s="123" t="n">
        <f aca="false">Inputs!$B$19*(1+Inputs!$B$20)^(G$7-1)</f>
        <v>68</v>
      </c>
      <c r="H29" s="123" t="n">
        <f aca="false">Inputs!$B$19*(1+Inputs!$B$20)^(H$7-1)</f>
        <v>68</v>
      </c>
      <c r="I29" s="123" t="n">
        <f aca="false">Inputs!$B$19*(1+Inputs!$B$20)^(I$7-1)</f>
        <v>68</v>
      </c>
      <c r="J29" s="123" t="n">
        <f aca="false">Inputs!$B$19*(1+Inputs!$B$20)^(J$7-1)</f>
        <v>68</v>
      </c>
      <c r="K29" s="123" t="n">
        <f aca="false">Inputs!$B$19*(1+Inputs!$B$20)^(K$7-1)</f>
        <v>68</v>
      </c>
      <c r="L29" s="123" t="n">
        <f aca="false">Inputs!$B$19*(1+Inputs!$B$20)^(L$7-1)</f>
        <v>68</v>
      </c>
      <c r="M29" s="123" t="n">
        <f aca="false">Inputs!$B$19*(1+Inputs!$B$20)^(M$7-1)</f>
        <v>68</v>
      </c>
      <c r="N29" s="123" t="n">
        <f aca="false">Inputs!$B$19*(1+Inputs!$B$20)^(N$7-1)</f>
        <v>68</v>
      </c>
      <c r="O29" s="123" t="n">
        <f aca="false">Inputs!$B$19*(1+Inputs!$B$20)^(O$7-1)</f>
        <v>68.68</v>
      </c>
      <c r="P29" s="123" t="n">
        <f aca="false">Inputs!$B$19*(1+Inputs!$B$20)^(P$7-1)</f>
        <v>68.68</v>
      </c>
      <c r="Q29" s="123" t="n">
        <f aca="false">Inputs!$B$19*(1+Inputs!$B$20)^(Q$7-1)</f>
        <v>68.68</v>
      </c>
      <c r="R29" s="123" t="n">
        <f aca="false">Inputs!$B$19*(1+Inputs!$B$20)^(R$7-1)</f>
        <v>68.68</v>
      </c>
      <c r="S29" s="123" t="n">
        <f aca="false">Inputs!$B$19*(1+Inputs!$B$20)^(S$7-1)</f>
        <v>68.68</v>
      </c>
      <c r="T29" s="123" t="n">
        <f aca="false">Inputs!$B$19*(1+Inputs!$B$20)^(T$7-1)</f>
        <v>68.68</v>
      </c>
      <c r="U29" s="123" t="n">
        <f aca="false">Inputs!$B$19*(1+Inputs!$B$20)^(U$7-1)</f>
        <v>68.68</v>
      </c>
      <c r="V29" s="123" t="n">
        <f aca="false">Inputs!$B$19*(1+Inputs!$B$20)^(V$7-1)</f>
        <v>68.68</v>
      </c>
      <c r="W29" s="123" t="n">
        <f aca="false">Inputs!$B$19*(1+Inputs!$B$20)^(W$7-1)</f>
        <v>68.68</v>
      </c>
      <c r="X29" s="123" t="n">
        <f aca="false">Inputs!$B$19*(1+Inputs!$B$20)^(X$7-1)</f>
        <v>68.68</v>
      </c>
      <c r="Y29" s="123" t="n">
        <f aca="false">Inputs!$B$19*(1+Inputs!$B$20)^(Y$7-1)</f>
        <v>68.68</v>
      </c>
      <c r="Z29" s="123" t="n">
        <f aca="false">Inputs!$B$19*(1+Inputs!$B$20)^(Z$7-1)</f>
        <v>68.68</v>
      </c>
      <c r="AA29" s="123" t="n">
        <f aca="false">Inputs!$B$19*(1+Inputs!$B$20)^(AA$7-1)</f>
        <v>69.3668</v>
      </c>
      <c r="AB29" s="123" t="n">
        <f aca="false">Inputs!$B$19*(1+Inputs!$B$20)^(AB$7-1)</f>
        <v>69.3668</v>
      </c>
      <c r="AC29" s="123" t="n">
        <f aca="false">Inputs!$B$19*(1+Inputs!$B$20)^(AC$7-1)</f>
        <v>69.3668</v>
      </c>
      <c r="AD29" s="123" t="n">
        <f aca="false">Inputs!$B$19*(1+Inputs!$B$20)^(AD$7-1)</f>
        <v>69.3668</v>
      </c>
      <c r="AE29" s="123" t="n">
        <f aca="false">Inputs!$B$19*(1+Inputs!$B$20)^(AE$7-1)</f>
        <v>69.3668</v>
      </c>
      <c r="AF29" s="123" t="n">
        <f aca="false">Inputs!$B$19*(1+Inputs!$B$20)^(AF$7-1)</f>
        <v>69.3668</v>
      </c>
      <c r="AG29" s="123" t="n">
        <f aca="false">Inputs!$B$19*(1+Inputs!$B$20)^(AG$7-1)</f>
        <v>69.3668</v>
      </c>
      <c r="AH29" s="123" t="n">
        <f aca="false">Inputs!$B$19*(1+Inputs!$B$20)^(AH$7-1)</f>
        <v>69.3668</v>
      </c>
      <c r="AI29" s="123" t="n">
        <f aca="false">Inputs!$B$19*(1+Inputs!$B$20)^(AI$7-1)</f>
        <v>69.3668</v>
      </c>
      <c r="AJ29" s="123" t="n">
        <f aca="false">Inputs!$B$19*(1+Inputs!$B$20)^(AJ$7-1)</f>
        <v>69.3668</v>
      </c>
      <c r="AK29" s="123" t="n">
        <f aca="false">Inputs!$B$19*(1+Inputs!$B$20)^(AK$7-1)</f>
        <v>69.3668</v>
      </c>
      <c r="AL29" s="123" t="n">
        <f aca="false">Inputs!$B$19*(1+Inputs!$B$20)^(AL$7-1)</f>
        <v>69.3668</v>
      </c>
    </row>
    <row r="30" customFormat="false" ht="15" hidden="false" customHeight="false" outlineLevel="0" collapsed="false">
      <c r="A30" s="6" t="s">
        <v>236</v>
      </c>
      <c r="C30" s="69" t="n">
        <f aca="false">C19*C29</f>
        <v>6895.2</v>
      </c>
      <c r="D30" s="69" t="n">
        <f aca="false">D19*D29</f>
        <v>8044.4</v>
      </c>
      <c r="E30" s="69" t="n">
        <f aca="false">E19*E29</f>
        <v>9193.6</v>
      </c>
      <c r="F30" s="69" t="n">
        <f aca="false">F19*F29</f>
        <v>10342.8</v>
      </c>
      <c r="G30" s="69" t="n">
        <f aca="false">G19*G29</f>
        <v>11492</v>
      </c>
      <c r="H30" s="69" t="n">
        <f aca="false">H19*H29</f>
        <v>12641.2</v>
      </c>
      <c r="I30" s="69" t="n">
        <f aca="false">I19*I29</f>
        <v>13790.4</v>
      </c>
      <c r="J30" s="69" t="n">
        <f aca="false">J19*J29</f>
        <v>14939.6</v>
      </c>
      <c r="K30" s="69" t="n">
        <f aca="false">K19*K29</f>
        <v>16088.8</v>
      </c>
      <c r="L30" s="69" t="n">
        <f aca="false">L19*L29</f>
        <v>17238</v>
      </c>
      <c r="M30" s="69" t="n">
        <f aca="false">M19*M29</f>
        <v>18387.2</v>
      </c>
      <c r="N30" s="69" t="n">
        <f aca="false">N19*N29</f>
        <v>19536.4</v>
      </c>
      <c r="O30" s="69" t="n">
        <f aca="false">O19*O29</f>
        <v>20892.456</v>
      </c>
      <c r="P30" s="69" t="n">
        <f aca="false">P19*P29</f>
        <v>22053.148</v>
      </c>
      <c r="Q30" s="69" t="n">
        <f aca="false">Q19*Q29</f>
        <v>23213.84</v>
      </c>
      <c r="R30" s="69" t="n">
        <f aca="false">R19*R29</f>
        <v>23213.84</v>
      </c>
      <c r="S30" s="69" t="n">
        <f aca="false">S19*S29</f>
        <v>23213.84</v>
      </c>
      <c r="T30" s="69" t="n">
        <f aca="false">T19*T29</f>
        <v>23213.84</v>
      </c>
      <c r="U30" s="69" t="n">
        <f aca="false">U19*U29</f>
        <v>23213.84</v>
      </c>
      <c r="V30" s="69" t="n">
        <f aca="false">V19*V29</f>
        <v>23213.84</v>
      </c>
      <c r="W30" s="69" t="n">
        <f aca="false">W19*W29</f>
        <v>23213.84</v>
      </c>
      <c r="X30" s="69" t="n">
        <f aca="false">X19*X29</f>
        <v>23213.84</v>
      </c>
      <c r="Y30" s="69" t="n">
        <f aca="false">Y19*Y29</f>
        <v>23213.84</v>
      </c>
      <c r="Z30" s="69" t="n">
        <f aca="false">Z19*Z29</f>
        <v>23213.84</v>
      </c>
      <c r="AA30" s="69" t="n">
        <f aca="false">AA19*AA29</f>
        <v>23445.9784</v>
      </c>
      <c r="AB30" s="69" t="n">
        <f aca="false">AB19*AB29</f>
        <v>23445.9784</v>
      </c>
      <c r="AC30" s="69" t="n">
        <f aca="false">AC19*AC29</f>
        <v>23445.9784</v>
      </c>
      <c r="AD30" s="69" t="n">
        <f aca="false">AD19*AD29</f>
        <v>23445.9784</v>
      </c>
      <c r="AE30" s="69" t="n">
        <f aca="false">AE19*AE29</f>
        <v>23445.9784</v>
      </c>
      <c r="AF30" s="69" t="n">
        <f aca="false">AF19*AF29</f>
        <v>23445.9784</v>
      </c>
      <c r="AG30" s="69" t="n">
        <f aca="false">AG19*AG29</f>
        <v>23445.9784</v>
      </c>
      <c r="AH30" s="69" t="n">
        <f aca="false">AH19*AH29</f>
        <v>23445.9784</v>
      </c>
      <c r="AI30" s="69" t="n">
        <f aca="false">AI19*AI29</f>
        <v>23445.9784</v>
      </c>
      <c r="AJ30" s="69" t="n">
        <f aca="false">AJ19*AJ29</f>
        <v>23445.9784</v>
      </c>
      <c r="AK30" s="69" t="n">
        <f aca="false">AK19*AK29</f>
        <v>23445.9784</v>
      </c>
      <c r="AL30" s="69" t="n">
        <f aca="false">AL19*AL29</f>
        <v>23445.9784</v>
      </c>
    </row>
    <row r="31" customFormat="false" ht="15" hidden="false" customHeight="false" outlineLevel="0" collapsed="false">
      <c r="A31" s="6" t="s">
        <v>237</v>
      </c>
      <c r="C31" s="69" t="n">
        <f aca="false">C26*Inputs!$B$30*(1+Inputs!$B$20)^(C$7-1)</f>
        <v>6327</v>
      </c>
      <c r="D31" s="69" t="n">
        <f aca="false">D26*Inputs!$B$30*(1+Inputs!$B$20)^(D$7-1)</f>
        <v>7381.5</v>
      </c>
      <c r="E31" s="69" t="n">
        <f aca="false">E26*Inputs!$B$30*(1+Inputs!$B$20)^(E$7-1)</f>
        <v>8436</v>
      </c>
      <c r="F31" s="69" t="n">
        <f aca="false">F26*Inputs!$B$30*(1+Inputs!$B$20)^(F$7-1)</f>
        <v>9490.5</v>
      </c>
      <c r="G31" s="69" t="n">
        <f aca="false">G26*Inputs!$B$30*(1+Inputs!$B$20)^(G$7-1)</f>
        <v>10545</v>
      </c>
      <c r="H31" s="69" t="n">
        <f aca="false">H26*Inputs!$B$30*(1+Inputs!$B$20)^(H$7-1)</f>
        <v>14421</v>
      </c>
      <c r="I31" s="69" t="n">
        <f aca="false">I26*Inputs!$B$30*(1+Inputs!$B$20)^(I$7-1)</f>
        <v>15732</v>
      </c>
      <c r="J31" s="69" t="n">
        <f aca="false">J26*Inputs!$B$30*(1+Inputs!$B$20)^(J$7-1)</f>
        <v>17043</v>
      </c>
      <c r="K31" s="69" t="n">
        <f aca="false">K26*Inputs!$B$30*(1+Inputs!$B$20)^(K$7-1)</f>
        <v>14763</v>
      </c>
      <c r="L31" s="69" t="n">
        <f aca="false">L26*Inputs!$B$30*(1+Inputs!$B$20)^(L$7-1)</f>
        <v>15817.5</v>
      </c>
      <c r="M31" s="69" t="n">
        <f aca="false">M26*Inputs!$B$30*(1+Inputs!$B$20)^(M$7-1)</f>
        <v>16872</v>
      </c>
      <c r="N31" s="69" t="n">
        <f aca="false">N26*Inputs!$B$30*(1+Inputs!$B$20)^(N$7-1)</f>
        <v>22287</v>
      </c>
      <c r="O31" s="69" t="n">
        <f aca="false">O26*Inputs!$B$30*(1+Inputs!$B$20)^(O$7-1)</f>
        <v>19170.81</v>
      </c>
      <c r="P31" s="69" t="n">
        <f aca="false">P26*Inputs!$B$30*(1+Inputs!$B$20)^(P$7-1)</f>
        <v>20235.855</v>
      </c>
      <c r="Q31" s="69" t="n">
        <f aca="false">Q26*Inputs!$B$30*(1+Inputs!$B$20)^(Q$7-1)</f>
        <v>21300.9</v>
      </c>
      <c r="R31" s="69" t="n">
        <f aca="false">R26*Inputs!$B$30*(1+Inputs!$B$20)^(R$7-1)</f>
        <v>21300.9</v>
      </c>
      <c r="S31" s="69" t="n">
        <f aca="false">S26*Inputs!$B$30*(1+Inputs!$B$20)^(S$7-1)</f>
        <v>21300.9</v>
      </c>
      <c r="T31" s="69" t="n">
        <f aca="false">T26*Inputs!$B$30*(1+Inputs!$B$20)^(T$7-1)</f>
        <v>26482.2</v>
      </c>
      <c r="U31" s="69" t="n">
        <f aca="false">U26*Inputs!$B$30*(1+Inputs!$B$20)^(U$7-1)</f>
        <v>26482.2</v>
      </c>
      <c r="V31" s="69" t="n">
        <f aca="false">V26*Inputs!$B$30*(1+Inputs!$B$20)^(V$7-1)</f>
        <v>26482.2</v>
      </c>
      <c r="W31" s="69" t="n">
        <f aca="false">W26*Inputs!$B$30*(1+Inputs!$B$20)^(W$7-1)</f>
        <v>21300.9</v>
      </c>
      <c r="X31" s="69" t="n">
        <f aca="false">X26*Inputs!$B$30*(1+Inputs!$B$20)^(X$7-1)</f>
        <v>21300.9</v>
      </c>
      <c r="Y31" s="69" t="n">
        <f aca="false">Y26*Inputs!$B$30*(1+Inputs!$B$20)^(Y$7-1)</f>
        <v>21300.9</v>
      </c>
      <c r="Z31" s="69" t="n">
        <f aca="false">Z26*Inputs!$B$30*(1+Inputs!$B$20)^(Z$7-1)</f>
        <v>26482.2</v>
      </c>
      <c r="AA31" s="69" t="n">
        <f aca="false">AA26*Inputs!$B$30*(1+Inputs!$B$20)^(AA$7-1)</f>
        <v>21513.909</v>
      </c>
      <c r="AB31" s="69" t="n">
        <f aca="false">AB26*Inputs!$B$30*(1+Inputs!$B$20)^(AB$7-1)</f>
        <v>21513.909</v>
      </c>
      <c r="AC31" s="69" t="n">
        <f aca="false">AC26*Inputs!$B$30*(1+Inputs!$B$20)^(AC$7-1)</f>
        <v>21513.909</v>
      </c>
      <c r="AD31" s="69" t="n">
        <f aca="false">AD26*Inputs!$B$30*(1+Inputs!$B$20)^(AD$7-1)</f>
        <v>21513.909</v>
      </c>
      <c r="AE31" s="69" t="n">
        <f aca="false">AE26*Inputs!$B$30*(1+Inputs!$B$20)^(AE$7-1)</f>
        <v>21513.909</v>
      </c>
      <c r="AF31" s="69" t="n">
        <f aca="false">AF26*Inputs!$B$30*(1+Inputs!$B$20)^(AF$7-1)</f>
        <v>26747.022</v>
      </c>
      <c r="AG31" s="69" t="n">
        <f aca="false">AG26*Inputs!$B$30*(1+Inputs!$B$20)^(AG$7-1)</f>
        <v>26747.022</v>
      </c>
      <c r="AH31" s="69" t="n">
        <f aca="false">AH26*Inputs!$B$30*(1+Inputs!$B$20)^(AH$7-1)</f>
        <v>26747.022</v>
      </c>
      <c r="AI31" s="69" t="n">
        <f aca="false">AI26*Inputs!$B$30*(1+Inputs!$B$20)^(AI$7-1)</f>
        <v>21513.909</v>
      </c>
      <c r="AJ31" s="69" t="n">
        <f aca="false">AJ26*Inputs!$B$30*(1+Inputs!$B$20)^(AJ$7-1)</f>
        <v>21513.909</v>
      </c>
      <c r="AK31" s="69" t="n">
        <f aca="false">AK26*Inputs!$B$30*(1+Inputs!$B$20)^(AK$7-1)</f>
        <v>21513.909</v>
      </c>
      <c r="AL31" s="69" t="n">
        <f aca="false">AL26*Inputs!$B$30*(1+Inputs!$B$20)^(AL$7-1)</f>
        <v>26747.022</v>
      </c>
    </row>
    <row r="32" customFormat="false" ht="15" hidden="false" customHeight="false" outlineLevel="0" collapsed="false">
      <c r="A32" s="6" t="s">
        <v>238</v>
      </c>
      <c r="C32" s="69" t="n">
        <f aca="false">C19*Inputs!$B$21*(1+Inputs!$B$20)^(C$7-1)</f>
        <v>608.4</v>
      </c>
      <c r="D32" s="69" t="n">
        <f aca="false">D19*Inputs!$B$21*(1+Inputs!$B$20)^(D$7-1)</f>
        <v>709.8</v>
      </c>
      <c r="E32" s="69" t="n">
        <f aca="false">E19*Inputs!$B$21*(1+Inputs!$B$20)^(E$7-1)</f>
        <v>811.2</v>
      </c>
      <c r="F32" s="69" t="n">
        <f aca="false">F19*Inputs!$B$21*(1+Inputs!$B$20)^(F$7-1)</f>
        <v>912.6</v>
      </c>
      <c r="G32" s="69" t="n">
        <f aca="false">G19*Inputs!$B$21*(1+Inputs!$B$20)^(G$7-1)</f>
        <v>1014</v>
      </c>
      <c r="H32" s="69" t="n">
        <f aca="false">H19*Inputs!$B$21*(1+Inputs!$B$20)^(H$7-1)</f>
        <v>1115.4</v>
      </c>
      <c r="I32" s="69" t="n">
        <f aca="false">I19*Inputs!$B$21*(1+Inputs!$B$20)^(I$7-1)</f>
        <v>1216.8</v>
      </c>
      <c r="J32" s="69" t="n">
        <f aca="false">J19*Inputs!$B$21*(1+Inputs!$B$20)^(J$7-1)</f>
        <v>1318.2</v>
      </c>
      <c r="K32" s="69" t="n">
        <f aca="false">K19*Inputs!$B$21*(1+Inputs!$B$20)^(K$7-1)</f>
        <v>1419.6</v>
      </c>
      <c r="L32" s="69" t="n">
        <f aca="false">L19*Inputs!$B$21*(1+Inputs!$B$20)^(L$7-1)</f>
        <v>1521</v>
      </c>
      <c r="M32" s="69" t="n">
        <f aca="false">M19*Inputs!$B$21*(1+Inputs!$B$20)^(M$7-1)</f>
        <v>1622.4</v>
      </c>
      <c r="N32" s="69" t="n">
        <f aca="false">N19*Inputs!$B$21*(1+Inputs!$B$20)^(N$7-1)</f>
        <v>1723.8</v>
      </c>
      <c r="O32" s="69" t="n">
        <f aca="false">O19*Inputs!$B$21*(1+Inputs!$B$20)^(O$7-1)</f>
        <v>1843.452</v>
      </c>
      <c r="P32" s="69" t="n">
        <f aca="false">P19*Inputs!$B$21*(1+Inputs!$B$20)^(P$7-1)</f>
        <v>1945.866</v>
      </c>
      <c r="Q32" s="69" t="n">
        <f aca="false">Q19*Inputs!$B$21*(1+Inputs!$B$20)^(Q$7-1)</f>
        <v>2048.28</v>
      </c>
      <c r="R32" s="69" t="n">
        <f aca="false">R19*Inputs!$B$21*(1+Inputs!$B$20)^(R$7-1)</f>
        <v>2048.28</v>
      </c>
      <c r="S32" s="69" t="n">
        <f aca="false">S19*Inputs!$B$21*(1+Inputs!$B$20)^(S$7-1)</f>
        <v>2048.28</v>
      </c>
      <c r="T32" s="69" t="n">
        <f aca="false">T19*Inputs!$B$21*(1+Inputs!$B$20)^(T$7-1)</f>
        <v>2048.28</v>
      </c>
      <c r="U32" s="69" t="n">
        <f aca="false">U19*Inputs!$B$21*(1+Inputs!$B$20)^(U$7-1)</f>
        <v>2048.28</v>
      </c>
      <c r="V32" s="69" t="n">
        <f aca="false">V19*Inputs!$B$21*(1+Inputs!$B$20)^(V$7-1)</f>
        <v>2048.28</v>
      </c>
      <c r="W32" s="69" t="n">
        <f aca="false">W19*Inputs!$B$21*(1+Inputs!$B$20)^(W$7-1)</f>
        <v>2048.28</v>
      </c>
      <c r="X32" s="69" t="n">
        <f aca="false">X19*Inputs!$B$21*(1+Inputs!$B$20)^(X$7-1)</f>
        <v>2048.28</v>
      </c>
      <c r="Y32" s="69" t="n">
        <f aca="false">Y19*Inputs!$B$21*(1+Inputs!$B$20)^(Y$7-1)</f>
        <v>2048.28</v>
      </c>
      <c r="Z32" s="69" t="n">
        <f aca="false">Z19*Inputs!$B$21*(1+Inputs!$B$20)^(Z$7-1)</f>
        <v>2048.28</v>
      </c>
      <c r="AA32" s="69" t="n">
        <f aca="false">AA19*Inputs!$B$21*(1+Inputs!$B$20)^(AA$7-1)</f>
        <v>2068.7628</v>
      </c>
      <c r="AB32" s="69" t="n">
        <f aca="false">AB19*Inputs!$B$21*(1+Inputs!$B$20)^(AB$7-1)</f>
        <v>2068.7628</v>
      </c>
      <c r="AC32" s="69" t="n">
        <f aca="false">AC19*Inputs!$B$21*(1+Inputs!$B$20)^(AC$7-1)</f>
        <v>2068.7628</v>
      </c>
      <c r="AD32" s="69" t="n">
        <f aca="false">AD19*Inputs!$B$21*(1+Inputs!$B$20)^(AD$7-1)</f>
        <v>2068.7628</v>
      </c>
      <c r="AE32" s="69" t="n">
        <f aca="false">AE19*Inputs!$B$21*(1+Inputs!$B$20)^(AE$7-1)</f>
        <v>2068.7628</v>
      </c>
      <c r="AF32" s="69" t="n">
        <f aca="false">AF19*Inputs!$B$21*(1+Inputs!$B$20)^(AF$7-1)</f>
        <v>2068.7628</v>
      </c>
      <c r="AG32" s="69" t="n">
        <f aca="false">AG19*Inputs!$B$21*(1+Inputs!$B$20)^(AG$7-1)</f>
        <v>2068.7628</v>
      </c>
      <c r="AH32" s="69" t="n">
        <f aca="false">AH19*Inputs!$B$21*(1+Inputs!$B$20)^(AH$7-1)</f>
        <v>2068.7628</v>
      </c>
      <c r="AI32" s="69" t="n">
        <f aca="false">AI19*Inputs!$B$21*(1+Inputs!$B$20)^(AI$7-1)</f>
        <v>2068.7628</v>
      </c>
      <c r="AJ32" s="69" t="n">
        <f aca="false">AJ19*Inputs!$B$21*(1+Inputs!$B$20)^(AJ$7-1)</f>
        <v>2068.7628</v>
      </c>
      <c r="AK32" s="69" t="n">
        <f aca="false">AK19*Inputs!$B$21*(1+Inputs!$B$20)^(AK$7-1)</f>
        <v>2068.7628</v>
      </c>
      <c r="AL32" s="69" t="n">
        <f aca="false">AL19*Inputs!$B$21*(1+Inputs!$B$20)^(AL$7-1)</f>
        <v>2068.7628</v>
      </c>
    </row>
    <row r="33" customFormat="false" ht="15" hidden="false" customHeight="false" outlineLevel="0" collapsed="false">
      <c r="A33" s="115" t="s">
        <v>44</v>
      </c>
      <c r="C33" s="70" t="n">
        <f aca="false">C30+C31+C32</f>
        <v>13830.6</v>
      </c>
      <c r="D33" s="70" t="n">
        <f aca="false">D30+D31+D32</f>
        <v>16135.7</v>
      </c>
      <c r="E33" s="70" t="n">
        <f aca="false">E30+E31+E32</f>
        <v>18440.8</v>
      </c>
      <c r="F33" s="70" t="n">
        <f aca="false">F30+F31+F32</f>
        <v>20745.9</v>
      </c>
      <c r="G33" s="70" t="n">
        <f aca="false">G30+G31+G32</f>
        <v>23051</v>
      </c>
      <c r="H33" s="70" t="n">
        <f aca="false">H30+H31+H32</f>
        <v>28177.6</v>
      </c>
      <c r="I33" s="70" t="n">
        <f aca="false">I30+I31+I32</f>
        <v>30739.2</v>
      </c>
      <c r="J33" s="70" t="n">
        <f aca="false">J30+J31+J32</f>
        <v>33300.8</v>
      </c>
      <c r="K33" s="70" t="n">
        <f aca="false">K30+K31+K32</f>
        <v>32271.4</v>
      </c>
      <c r="L33" s="70" t="n">
        <f aca="false">L30+L31+L32</f>
        <v>34576.5</v>
      </c>
      <c r="M33" s="70" t="n">
        <f aca="false">M30+M31+M32</f>
        <v>36881.6</v>
      </c>
      <c r="N33" s="70" t="n">
        <f aca="false">N30+N31+N32</f>
        <v>43547.2</v>
      </c>
      <c r="O33" s="70" t="n">
        <f aca="false">O30+O31+O32</f>
        <v>41906.718</v>
      </c>
      <c r="P33" s="70" t="n">
        <f aca="false">P30+P31+P32</f>
        <v>44234.869</v>
      </c>
      <c r="Q33" s="70" t="n">
        <f aca="false">Q30+Q31+Q32</f>
        <v>46563.02</v>
      </c>
      <c r="R33" s="70" t="n">
        <f aca="false">R30+R31+R32</f>
        <v>46563.02</v>
      </c>
      <c r="S33" s="70" t="n">
        <f aca="false">S30+S31+S32</f>
        <v>46563.02</v>
      </c>
      <c r="T33" s="70" t="n">
        <f aca="false">T30+T31+T32</f>
        <v>51744.32</v>
      </c>
      <c r="U33" s="70" t="n">
        <f aca="false">U30+U31+U32</f>
        <v>51744.32</v>
      </c>
      <c r="V33" s="70" t="n">
        <f aca="false">V30+V31+V32</f>
        <v>51744.32</v>
      </c>
      <c r="W33" s="70" t="n">
        <f aca="false">W30+W31+W32</f>
        <v>46563.02</v>
      </c>
      <c r="X33" s="70" t="n">
        <f aca="false">X30+X31+X32</f>
        <v>46563.02</v>
      </c>
      <c r="Y33" s="70" t="n">
        <f aca="false">Y30+Y31+Y32</f>
        <v>46563.02</v>
      </c>
      <c r="Z33" s="70" t="n">
        <f aca="false">Z30+Z31+Z32</f>
        <v>51744.32</v>
      </c>
      <c r="AA33" s="70" t="n">
        <f aca="false">AA30+AA31+AA32</f>
        <v>47028.6502</v>
      </c>
      <c r="AB33" s="70" t="n">
        <f aca="false">AB30+AB31+AB32</f>
        <v>47028.6502</v>
      </c>
      <c r="AC33" s="70" t="n">
        <f aca="false">AC30+AC31+AC32</f>
        <v>47028.6502</v>
      </c>
      <c r="AD33" s="70" t="n">
        <f aca="false">AD30+AD31+AD32</f>
        <v>47028.6502</v>
      </c>
      <c r="AE33" s="70" t="n">
        <f aca="false">AE30+AE31+AE32</f>
        <v>47028.6502</v>
      </c>
      <c r="AF33" s="70" t="n">
        <f aca="false">AF30+AF31+AF32</f>
        <v>52261.7632</v>
      </c>
      <c r="AG33" s="70" t="n">
        <f aca="false">AG30+AG31+AG32</f>
        <v>52261.7632</v>
      </c>
      <c r="AH33" s="70" t="n">
        <f aca="false">AH30+AH31+AH32</f>
        <v>52261.7632</v>
      </c>
      <c r="AI33" s="70" t="n">
        <f aca="false">AI30+AI31+AI32</f>
        <v>47028.6502</v>
      </c>
      <c r="AJ33" s="70" t="n">
        <f aca="false">AJ30+AJ31+AJ32</f>
        <v>47028.6502</v>
      </c>
      <c r="AK33" s="70" t="n">
        <f aca="false">AK30+AK31+AK32</f>
        <v>47028.6502</v>
      </c>
      <c r="AL33" s="70" t="n">
        <f aca="false">AL30+AL31+AL32</f>
        <v>52261.7632</v>
      </c>
    </row>
    <row r="35" customFormat="false" ht="15.75" hidden="false" customHeight="true" outlineLevel="0" collapsed="false">
      <c r="A35" s="7" t="s">
        <v>76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customFormat="false" ht="15" hidden="false" customHeight="false" outlineLevel="0" collapsed="false">
      <c r="A36" s="6" t="s">
        <v>397</v>
      </c>
      <c r="C36" s="69" t="n">
        <f aca="false">C124</f>
        <v>-3833.33333333333</v>
      </c>
      <c r="D36" s="69" t="n">
        <f aca="false">D124</f>
        <v>-3833.33333333333</v>
      </c>
      <c r="E36" s="69" t="n">
        <f aca="false">E124</f>
        <v>-3833.33333333333</v>
      </c>
      <c r="F36" s="69" t="n">
        <f aca="false">F124</f>
        <v>-3833.33333333333</v>
      </c>
      <c r="G36" s="69" t="n">
        <f aca="false">G124</f>
        <v>-3833.33333333333</v>
      </c>
      <c r="H36" s="69" t="n">
        <f aca="false">H124</f>
        <v>-3833.33333333333</v>
      </c>
      <c r="I36" s="69" t="n">
        <f aca="false">I124</f>
        <v>-3833.33333333333</v>
      </c>
      <c r="J36" s="69" t="n">
        <f aca="false">J124</f>
        <v>-3833.33333333333</v>
      </c>
      <c r="K36" s="69" t="n">
        <f aca="false">K124</f>
        <v>-3833.33333333333</v>
      </c>
      <c r="L36" s="69" t="n">
        <f aca="false">L124</f>
        <v>-3833.33333333333</v>
      </c>
      <c r="M36" s="69" t="n">
        <f aca="false">M124</f>
        <v>-3833.33333333333</v>
      </c>
      <c r="N36" s="69" t="n">
        <f aca="false">N124</f>
        <v>-3833.33333333333</v>
      </c>
      <c r="O36" s="69" t="n">
        <f aca="false">O124</f>
        <v>-3986.66666666667</v>
      </c>
      <c r="P36" s="69" t="n">
        <f aca="false">P124</f>
        <v>-3986.66666666667</v>
      </c>
      <c r="Q36" s="69" t="n">
        <f aca="false">Q124</f>
        <v>-3986.66666666667</v>
      </c>
      <c r="R36" s="69" t="n">
        <f aca="false">R124</f>
        <v>-3986.66666666667</v>
      </c>
      <c r="S36" s="69" t="n">
        <f aca="false">S124</f>
        <v>-3986.66666666667</v>
      </c>
      <c r="T36" s="69" t="n">
        <f aca="false">T124</f>
        <v>-3986.66666666667</v>
      </c>
      <c r="U36" s="69" t="n">
        <f aca="false">U124</f>
        <v>-3986.66666666667</v>
      </c>
      <c r="V36" s="69" t="n">
        <f aca="false">V124</f>
        <v>-3986.66666666667</v>
      </c>
      <c r="W36" s="69" t="n">
        <f aca="false">W124</f>
        <v>-3986.66666666667</v>
      </c>
      <c r="X36" s="69" t="n">
        <f aca="false">X124</f>
        <v>-3986.66666666667</v>
      </c>
      <c r="Y36" s="69" t="n">
        <f aca="false">Y124</f>
        <v>-3986.66666666667</v>
      </c>
      <c r="Z36" s="69" t="n">
        <f aca="false">Z124</f>
        <v>-3986.66666666667</v>
      </c>
      <c r="AA36" s="69" t="n">
        <f aca="false">AA124</f>
        <v>-4146.13333333333</v>
      </c>
      <c r="AB36" s="69" t="n">
        <f aca="false">AB124</f>
        <v>-4146.13333333333</v>
      </c>
      <c r="AC36" s="69" t="n">
        <f aca="false">AC124</f>
        <v>-4146.13333333333</v>
      </c>
      <c r="AD36" s="69" t="n">
        <f aca="false">AD124</f>
        <v>-4146.13333333333</v>
      </c>
      <c r="AE36" s="69" t="n">
        <f aca="false">AE124</f>
        <v>-4146.13333333333</v>
      </c>
      <c r="AF36" s="69" t="n">
        <f aca="false">AF124</f>
        <v>-4146.13333333333</v>
      </c>
      <c r="AG36" s="69" t="n">
        <f aca="false">AG124</f>
        <v>-4146.13333333333</v>
      </c>
      <c r="AH36" s="69" t="n">
        <f aca="false">AH124</f>
        <v>-4146.13333333333</v>
      </c>
      <c r="AI36" s="69" t="n">
        <f aca="false">AI124</f>
        <v>-4146.13333333333</v>
      </c>
      <c r="AJ36" s="69" t="n">
        <f aca="false">AJ124</f>
        <v>-4146.13333333333</v>
      </c>
      <c r="AK36" s="69" t="n">
        <f aca="false">AK124</f>
        <v>-4146.13333333333</v>
      </c>
      <c r="AL36" s="69" t="n">
        <f aca="false">AL124</f>
        <v>-4146.13333333333</v>
      </c>
    </row>
    <row r="37" customFormat="false" ht="15" hidden="false" customHeight="false" outlineLevel="0" collapsed="false">
      <c r="A37" s="6" t="s">
        <v>398</v>
      </c>
      <c r="C37" s="69" t="n">
        <f aca="false">-C30*Inputs!$B$33</f>
        <v>-2551.224</v>
      </c>
      <c r="D37" s="69" t="n">
        <f aca="false">-D30*Inputs!$B$33</f>
        <v>-2976.428</v>
      </c>
      <c r="E37" s="69" t="n">
        <f aca="false">-E30*Inputs!$B$33</f>
        <v>-3401.632</v>
      </c>
      <c r="F37" s="69" t="n">
        <f aca="false">-F30*Inputs!$B$33</f>
        <v>-3826.836</v>
      </c>
      <c r="G37" s="69" t="n">
        <f aca="false">-G30*Inputs!$B$33</f>
        <v>-4252.04</v>
      </c>
      <c r="H37" s="69" t="n">
        <f aca="false">-H30*Inputs!$B$33</f>
        <v>-4677.244</v>
      </c>
      <c r="I37" s="69" t="n">
        <f aca="false">-I30*Inputs!$B$33</f>
        <v>-5102.448</v>
      </c>
      <c r="J37" s="69" t="n">
        <f aca="false">-J30*Inputs!$B$33</f>
        <v>-5527.652</v>
      </c>
      <c r="K37" s="69" t="n">
        <f aca="false">-K30*Inputs!$B$33</f>
        <v>-5952.856</v>
      </c>
      <c r="L37" s="69" t="n">
        <f aca="false">-L30*Inputs!$B$33</f>
        <v>-6378.06</v>
      </c>
      <c r="M37" s="69" t="n">
        <f aca="false">-M30*Inputs!$B$33</f>
        <v>-6803.264</v>
      </c>
      <c r="N37" s="69" t="n">
        <f aca="false">-N30*Inputs!$B$33</f>
        <v>-7228.468</v>
      </c>
      <c r="O37" s="69" t="n">
        <f aca="false">-O30*Inputs!$B$33</f>
        <v>-7730.20872</v>
      </c>
      <c r="P37" s="69" t="n">
        <f aca="false">-P30*Inputs!$B$33</f>
        <v>-8159.66476</v>
      </c>
      <c r="Q37" s="69" t="n">
        <f aca="false">-Q30*Inputs!$B$33</f>
        <v>-8589.1208</v>
      </c>
      <c r="R37" s="69" t="n">
        <f aca="false">-R30*Inputs!$B$33</f>
        <v>-8589.1208</v>
      </c>
      <c r="S37" s="69" t="n">
        <f aca="false">-S30*Inputs!$B$33</f>
        <v>-8589.1208</v>
      </c>
      <c r="T37" s="69" t="n">
        <f aca="false">-T30*Inputs!$B$33</f>
        <v>-8589.1208</v>
      </c>
      <c r="U37" s="69" t="n">
        <f aca="false">-U30*Inputs!$B$33</f>
        <v>-8589.1208</v>
      </c>
      <c r="V37" s="69" t="n">
        <f aca="false">-V30*Inputs!$B$33</f>
        <v>-8589.1208</v>
      </c>
      <c r="W37" s="69" t="n">
        <f aca="false">-W30*Inputs!$B$33</f>
        <v>-8589.1208</v>
      </c>
      <c r="X37" s="69" t="n">
        <f aca="false">-X30*Inputs!$B$33</f>
        <v>-8589.1208</v>
      </c>
      <c r="Y37" s="69" t="n">
        <f aca="false">-Y30*Inputs!$B$33</f>
        <v>-8589.1208</v>
      </c>
      <c r="Z37" s="69" t="n">
        <f aca="false">-Z30*Inputs!$B$33</f>
        <v>-8589.1208</v>
      </c>
      <c r="AA37" s="69" t="n">
        <f aca="false">-AA30*Inputs!$B$33</f>
        <v>-8675.012008</v>
      </c>
      <c r="AB37" s="69" t="n">
        <f aca="false">-AB30*Inputs!$B$33</f>
        <v>-8675.012008</v>
      </c>
      <c r="AC37" s="69" t="n">
        <f aca="false">-AC30*Inputs!$B$33</f>
        <v>-8675.012008</v>
      </c>
      <c r="AD37" s="69" t="n">
        <f aca="false">-AD30*Inputs!$B$33</f>
        <v>-8675.012008</v>
      </c>
      <c r="AE37" s="69" t="n">
        <f aca="false">-AE30*Inputs!$B$33</f>
        <v>-8675.012008</v>
      </c>
      <c r="AF37" s="69" t="n">
        <f aca="false">-AF30*Inputs!$B$33</f>
        <v>-8675.012008</v>
      </c>
      <c r="AG37" s="69" t="n">
        <f aca="false">-AG30*Inputs!$B$33</f>
        <v>-8675.012008</v>
      </c>
      <c r="AH37" s="69" t="n">
        <f aca="false">-AH30*Inputs!$B$33</f>
        <v>-8675.012008</v>
      </c>
      <c r="AI37" s="69" t="n">
        <f aca="false">-AI30*Inputs!$B$33</f>
        <v>-8675.012008</v>
      </c>
      <c r="AJ37" s="69" t="n">
        <f aca="false">-AJ30*Inputs!$B$33</f>
        <v>-8675.012008</v>
      </c>
      <c r="AK37" s="69" t="n">
        <f aca="false">-AK30*Inputs!$B$33</f>
        <v>-8675.012008</v>
      </c>
      <c r="AL37" s="69" t="n">
        <f aca="false">-AL30*Inputs!$B$33</f>
        <v>-8675.012008</v>
      </c>
    </row>
    <row r="38" customFormat="false" ht="15" hidden="false" customHeight="false" outlineLevel="0" collapsed="false">
      <c r="A38" s="6" t="s">
        <v>399</v>
      </c>
      <c r="C38" s="69" t="n">
        <f aca="false">-C19*Inputs!$B$34*(1+Inputs!$B$45)^(C$7-1)</f>
        <v>-507</v>
      </c>
      <c r="D38" s="69" t="n">
        <f aca="false">-D19*Inputs!$B$34*(1+Inputs!$B$45)^(D$7-1)</f>
        <v>-591.5</v>
      </c>
      <c r="E38" s="69" t="n">
        <f aca="false">-E19*Inputs!$B$34*(1+Inputs!$B$45)^(E$7-1)</f>
        <v>-676</v>
      </c>
      <c r="F38" s="69" t="n">
        <f aca="false">-F19*Inputs!$B$34*(1+Inputs!$B$45)^(F$7-1)</f>
        <v>-760.5</v>
      </c>
      <c r="G38" s="69" t="n">
        <f aca="false">-G19*Inputs!$B$34*(1+Inputs!$B$45)^(G$7-1)</f>
        <v>-845</v>
      </c>
      <c r="H38" s="69" t="n">
        <f aca="false">-H19*Inputs!$B$34*(1+Inputs!$B$45)^(H$7-1)</f>
        <v>-929.5</v>
      </c>
      <c r="I38" s="69" t="n">
        <f aca="false">-I19*Inputs!$B$34*(1+Inputs!$B$45)^(I$7-1)</f>
        <v>-1014</v>
      </c>
      <c r="J38" s="69" t="n">
        <f aca="false">-J19*Inputs!$B$34*(1+Inputs!$B$45)^(J$7-1)</f>
        <v>-1098.5</v>
      </c>
      <c r="K38" s="69" t="n">
        <f aca="false">-K19*Inputs!$B$34*(1+Inputs!$B$45)^(K$7-1)</f>
        <v>-1183</v>
      </c>
      <c r="L38" s="69" t="n">
        <f aca="false">-L19*Inputs!$B$34*(1+Inputs!$B$45)^(L$7-1)</f>
        <v>-1267.5</v>
      </c>
      <c r="M38" s="69" t="n">
        <f aca="false">-M19*Inputs!$B$34*(1+Inputs!$B$45)^(M$7-1)</f>
        <v>-1352</v>
      </c>
      <c r="N38" s="69" t="n">
        <f aca="false">-N19*Inputs!$B$34*(1+Inputs!$B$45)^(N$7-1)</f>
        <v>-1436.5</v>
      </c>
      <c r="O38" s="69" t="n">
        <f aca="false">-O19*Inputs!$B$34*(1+Inputs!$B$45)^(O$7-1)</f>
        <v>-1581.84</v>
      </c>
      <c r="P38" s="69" t="n">
        <f aca="false">-P19*Inputs!$B$34*(1+Inputs!$B$45)^(P$7-1)</f>
        <v>-1669.72</v>
      </c>
      <c r="Q38" s="69" t="n">
        <f aca="false">-Q19*Inputs!$B$34*(1+Inputs!$B$45)^(Q$7-1)</f>
        <v>-1757.6</v>
      </c>
      <c r="R38" s="69" t="n">
        <f aca="false">-R19*Inputs!$B$34*(1+Inputs!$B$45)^(R$7-1)</f>
        <v>-1757.6</v>
      </c>
      <c r="S38" s="69" t="n">
        <f aca="false">-S19*Inputs!$B$34*(1+Inputs!$B$45)^(S$7-1)</f>
        <v>-1757.6</v>
      </c>
      <c r="T38" s="69" t="n">
        <f aca="false">-T19*Inputs!$B$34*(1+Inputs!$B$45)^(T$7-1)</f>
        <v>-1757.6</v>
      </c>
      <c r="U38" s="69" t="n">
        <f aca="false">-U19*Inputs!$B$34*(1+Inputs!$B$45)^(U$7-1)</f>
        <v>-1757.6</v>
      </c>
      <c r="V38" s="69" t="n">
        <f aca="false">-V19*Inputs!$B$34*(1+Inputs!$B$45)^(V$7-1)</f>
        <v>-1757.6</v>
      </c>
      <c r="W38" s="69" t="n">
        <f aca="false">-W19*Inputs!$B$34*(1+Inputs!$B$45)^(W$7-1)</f>
        <v>-1757.6</v>
      </c>
      <c r="X38" s="69" t="n">
        <f aca="false">-X19*Inputs!$B$34*(1+Inputs!$B$45)^(X$7-1)</f>
        <v>-1757.6</v>
      </c>
      <c r="Y38" s="69" t="n">
        <f aca="false">-Y19*Inputs!$B$34*(1+Inputs!$B$45)^(Y$7-1)</f>
        <v>-1757.6</v>
      </c>
      <c r="Z38" s="69" t="n">
        <f aca="false">-Z19*Inputs!$B$34*(1+Inputs!$B$45)^(Z$7-1)</f>
        <v>-1757.6</v>
      </c>
      <c r="AA38" s="69" t="n">
        <f aca="false">-AA19*Inputs!$B$34*(1+Inputs!$B$45)^(AA$7-1)</f>
        <v>-1827.904</v>
      </c>
      <c r="AB38" s="69" t="n">
        <f aca="false">-AB19*Inputs!$B$34*(1+Inputs!$B$45)^(AB$7-1)</f>
        <v>-1827.904</v>
      </c>
      <c r="AC38" s="69" t="n">
        <f aca="false">-AC19*Inputs!$B$34*(1+Inputs!$B$45)^(AC$7-1)</f>
        <v>-1827.904</v>
      </c>
      <c r="AD38" s="69" t="n">
        <f aca="false">-AD19*Inputs!$B$34*(1+Inputs!$B$45)^(AD$7-1)</f>
        <v>-1827.904</v>
      </c>
      <c r="AE38" s="69" t="n">
        <f aca="false">-AE19*Inputs!$B$34*(1+Inputs!$B$45)^(AE$7-1)</f>
        <v>-1827.904</v>
      </c>
      <c r="AF38" s="69" t="n">
        <f aca="false">-AF19*Inputs!$B$34*(1+Inputs!$B$45)^(AF$7-1)</f>
        <v>-1827.904</v>
      </c>
      <c r="AG38" s="69" t="n">
        <f aca="false">-AG19*Inputs!$B$34*(1+Inputs!$B$45)^(AG$7-1)</f>
        <v>-1827.904</v>
      </c>
      <c r="AH38" s="69" t="n">
        <f aca="false">-AH19*Inputs!$B$34*(1+Inputs!$B$45)^(AH$7-1)</f>
        <v>-1827.904</v>
      </c>
      <c r="AI38" s="69" t="n">
        <f aca="false">-AI19*Inputs!$B$34*(1+Inputs!$B$45)^(AI$7-1)</f>
        <v>-1827.904</v>
      </c>
      <c r="AJ38" s="69" t="n">
        <f aca="false">-AJ19*Inputs!$B$34*(1+Inputs!$B$45)^(AJ$7-1)</f>
        <v>-1827.904</v>
      </c>
      <c r="AK38" s="69" t="n">
        <f aca="false">-AK19*Inputs!$B$34*(1+Inputs!$B$45)^(AK$7-1)</f>
        <v>-1827.904</v>
      </c>
      <c r="AL38" s="69" t="n">
        <f aca="false">-AL19*Inputs!$B$34*(1+Inputs!$B$45)^(AL$7-1)</f>
        <v>-1827.904</v>
      </c>
    </row>
    <row r="39" customFormat="false" ht="15" hidden="false" customHeight="false" outlineLevel="0" collapsed="false">
      <c r="A39" s="6" t="s">
        <v>400</v>
      </c>
      <c r="C39" s="69" t="n">
        <f aca="false">-C26*Inputs!$B$35*(1+Inputs!$B$45)^(C$7-1)</f>
        <v>-885.78</v>
      </c>
      <c r="D39" s="69" t="n">
        <f aca="false">-D26*Inputs!$B$35*(1+Inputs!$B$45)^(D$7-1)</f>
        <v>-1033.41</v>
      </c>
      <c r="E39" s="69" t="n">
        <f aca="false">-E26*Inputs!$B$35*(1+Inputs!$B$45)^(E$7-1)</f>
        <v>-1181.04</v>
      </c>
      <c r="F39" s="69" t="n">
        <f aca="false">-F26*Inputs!$B$35*(1+Inputs!$B$45)^(F$7-1)</f>
        <v>-1328.67</v>
      </c>
      <c r="G39" s="69" t="n">
        <f aca="false">-G26*Inputs!$B$35*(1+Inputs!$B$45)^(G$7-1)</f>
        <v>-1476.3</v>
      </c>
      <c r="H39" s="69" t="n">
        <f aca="false">-H26*Inputs!$B$35*(1+Inputs!$B$45)^(H$7-1)</f>
        <v>-2018.94</v>
      </c>
      <c r="I39" s="69" t="n">
        <f aca="false">-I26*Inputs!$B$35*(1+Inputs!$B$45)^(I$7-1)</f>
        <v>-2202.48</v>
      </c>
      <c r="J39" s="69" t="n">
        <f aca="false">-J26*Inputs!$B$35*(1+Inputs!$B$45)^(J$7-1)</f>
        <v>-2386.02</v>
      </c>
      <c r="K39" s="69" t="n">
        <f aca="false">-K26*Inputs!$B$35*(1+Inputs!$B$45)^(K$7-1)</f>
        <v>-2066.82</v>
      </c>
      <c r="L39" s="69" t="n">
        <f aca="false">-L26*Inputs!$B$35*(1+Inputs!$B$45)^(L$7-1)</f>
        <v>-2214.45</v>
      </c>
      <c r="M39" s="69" t="n">
        <f aca="false">-M26*Inputs!$B$35*(1+Inputs!$B$45)^(M$7-1)</f>
        <v>-2362.08</v>
      </c>
      <c r="N39" s="69" t="n">
        <f aca="false">-N26*Inputs!$B$35*(1+Inputs!$B$45)^(N$7-1)</f>
        <v>-3120.18</v>
      </c>
      <c r="O39" s="69" t="n">
        <f aca="false">-O26*Inputs!$B$35*(1+Inputs!$B$45)^(O$7-1)</f>
        <v>-2763.6336</v>
      </c>
      <c r="P39" s="69" t="n">
        <f aca="false">-P26*Inputs!$B$35*(1+Inputs!$B$45)^(P$7-1)</f>
        <v>-2917.1688</v>
      </c>
      <c r="Q39" s="69" t="n">
        <f aca="false">-Q26*Inputs!$B$35*(1+Inputs!$B$45)^(Q$7-1)</f>
        <v>-3070.704</v>
      </c>
      <c r="R39" s="69" t="n">
        <f aca="false">-R26*Inputs!$B$35*(1+Inputs!$B$45)^(R$7-1)</f>
        <v>-3070.704</v>
      </c>
      <c r="S39" s="69" t="n">
        <f aca="false">-S26*Inputs!$B$35*(1+Inputs!$B$45)^(S$7-1)</f>
        <v>-3070.704</v>
      </c>
      <c r="T39" s="69" t="n">
        <f aca="false">-T26*Inputs!$B$35*(1+Inputs!$B$45)^(T$7-1)</f>
        <v>-3817.632</v>
      </c>
      <c r="U39" s="69" t="n">
        <f aca="false">-U26*Inputs!$B$35*(1+Inputs!$B$45)^(U$7-1)</f>
        <v>-3817.632</v>
      </c>
      <c r="V39" s="69" t="n">
        <f aca="false">-V26*Inputs!$B$35*(1+Inputs!$B$45)^(V$7-1)</f>
        <v>-3817.632</v>
      </c>
      <c r="W39" s="69" t="n">
        <f aca="false">-W26*Inputs!$B$35*(1+Inputs!$B$45)^(W$7-1)</f>
        <v>-3070.704</v>
      </c>
      <c r="X39" s="69" t="n">
        <f aca="false">-X26*Inputs!$B$35*(1+Inputs!$B$45)^(X$7-1)</f>
        <v>-3070.704</v>
      </c>
      <c r="Y39" s="69" t="n">
        <f aca="false">-Y26*Inputs!$B$35*(1+Inputs!$B$45)^(Y$7-1)</f>
        <v>-3070.704</v>
      </c>
      <c r="Z39" s="69" t="n">
        <f aca="false">-Z26*Inputs!$B$35*(1+Inputs!$B$45)^(Z$7-1)</f>
        <v>-3817.632</v>
      </c>
      <c r="AA39" s="69" t="n">
        <f aca="false">-AA26*Inputs!$B$35*(1+Inputs!$B$45)^(AA$7-1)</f>
        <v>-3193.53216</v>
      </c>
      <c r="AB39" s="69" t="n">
        <f aca="false">-AB26*Inputs!$B$35*(1+Inputs!$B$45)^(AB$7-1)</f>
        <v>-3193.53216</v>
      </c>
      <c r="AC39" s="69" t="n">
        <f aca="false">-AC26*Inputs!$B$35*(1+Inputs!$B$45)^(AC$7-1)</f>
        <v>-3193.53216</v>
      </c>
      <c r="AD39" s="69" t="n">
        <f aca="false">-AD26*Inputs!$B$35*(1+Inputs!$B$45)^(AD$7-1)</f>
        <v>-3193.53216</v>
      </c>
      <c r="AE39" s="69" t="n">
        <f aca="false">-AE26*Inputs!$B$35*(1+Inputs!$B$45)^(AE$7-1)</f>
        <v>-3193.53216</v>
      </c>
      <c r="AF39" s="69" t="n">
        <f aca="false">-AF26*Inputs!$B$35*(1+Inputs!$B$45)^(AF$7-1)</f>
        <v>-3970.33728</v>
      </c>
      <c r="AG39" s="69" t="n">
        <f aca="false">-AG26*Inputs!$B$35*(1+Inputs!$B$45)^(AG$7-1)</f>
        <v>-3970.33728</v>
      </c>
      <c r="AH39" s="69" t="n">
        <f aca="false">-AH26*Inputs!$B$35*(1+Inputs!$B$45)^(AH$7-1)</f>
        <v>-3970.33728</v>
      </c>
      <c r="AI39" s="69" t="n">
        <f aca="false">-AI26*Inputs!$B$35*(1+Inputs!$B$45)^(AI$7-1)</f>
        <v>-3193.53216</v>
      </c>
      <c r="AJ39" s="69" t="n">
        <f aca="false">-AJ26*Inputs!$B$35*(1+Inputs!$B$45)^(AJ$7-1)</f>
        <v>-3193.53216</v>
      </c>
      <c r="AK39" s="69" t="n">
        <f aca="false">-AK26*Inputs!$B$35*(1+Inputs!$B$45)^(AK$7-1)</f>
        <v>-3193.53216</v>
      </c>
      <c r="AL39" s="69" t="n">
        <f aca="false">-AL26*Inputs!$B$35*(1+Inputs!$B$45)^(AL$7-1)</f>
        <v>-3970.33728</v>
      </c>
    </row>
    <row r="40" customFormat="false" ht="15" hidden="false" customHeight="false" outlineLevel="0" collapsed="false">
      <c r="A40" s="6" t="s">
        <v>401</v>
      </c>
      <c r="C40" s="69" t="n">
        <f aca="false">-C32*(1-Inputs!$B$22)</f>
        <v>-389.376</v>
      </c>
      <c r="D40" s="69" t="n">
        <f aca="false">-D32*(1-Inputs!$B$22)</f>
        <v>-454.272</v>
      </c>
      <c r="E40" s="69" t="n">
        <f aca="false">-E32*(1-Inputs!$B$22)</f>
        <v>-519.168</v>
      </c>
      <c r="F40" s="69" t="n">
        <f aca="false">-F32*(1-Inputs!$B$22)</f>
        <v>-584.064</v>
      </c>
      <c r="G40" s="69" t="n">
        <f aca="false">-G32*(1-Inputs!$B$22)</f>
        <v>-648.96</v>
      </c>
      <c r="H40" s="69" t="n">
        <f aca="false">-H32*(1-Inputs!$B$22)</f>
        <v>-713.856</v>
      </c>
      <c r="I40" s="69" t="n">
        <f aca="false">-I32*(1-Inputs!$B$22)</f>
        <v>-778.752</v>
      </c>
      <c r="J40" s="69" t="n">
        <f aca="false">-J32*(1-Inputs!$B$22)</f>
        <v>-843.648</v>
      </c>
      <c r="K40" s="69" t="n">
        <f aca="false">-K32*(1-Inputs!$B$22)</f>
        <v>-908.544</v>
      </c>
      <c r="L40" s="69" t="n">
        <f aca="false">-L32*(1-Inputs!$B$22)</f>
        <v>-973.44</v>
      </c>
      <c r="M40" s="69" t="n">
        <f aca="false">-M32*(1-Inputs!$B$22)</f>
        <v>-1038.336</v>
      </c>
      <c r="N40" s="69" t="n">
        <f aca="false">-N32*(1-Inputs!$B$22)</f>
        <v>-1103.232</v>
      </c>
      <c r="O40" s="69" t="n">
        <f aca="false">-O32*(1-Inputs!$B$22)</f>
        <v>-1179.80928</v>
      </c>
      <c r="P40" s="69" t="n">
        <f aca="false">-P32*(1-Inputs!$B$22)</f>
        <v>-1245.35424</v>
      </c>
      <c r="Q40" s="69" t="n">
        <f aca="false">-Q32*(1-Inputs!$B$22)</f>
        <v>-1310.8992</v>
      </c>
      <c r="R40" s="69" t="n">
        <f aca="false">-R32*(1-Inputs!$B$22)</f>
        <v>-1310.8992</v>
      </c>
      <c r="S40" s="69" t="n">
        <f aca="false">-S32*(1-Inputs!$B$22)</f>
        <v>-1310.8992</v>
      </c>
      <c r="T40" s="69" t="n">
        <f aca="false">-T32*(1-Inputs!$B$22)</f>
        <v>-1310.8992</v>
      </c>
      <c r="U40" s="69" t="n">
        <f aca="false">-U32*(1-Inputs!$B$22)</f>
        <v>-1310.8992</v>
      </c>
      <c r="V40" s="69" t="n">
        <f aca="false">-V32*(1-Inputs!$B$22)</f>
        <v>-1310.8992</v>
      </c>
      <c r="W40" s="69" t="n">
        <f aca="false">-W32*(1-Inputs!$B$22)</f>
        <v>-1310.8992</v>
      </c>
      <c r="X40" s="69" t="n">
        <f aca="false">-X32*(1-Inputs!$B$22)</f>
        <v>-1310.8992</v>
      </c>
      <c r="Y40" s="69" t="n">
        <f aca="false">-Y32*(1-Inputs!$B$22)</f>
        <v>-1310.8992</v>
      </c>
      <c r="Z40" s="69" t="n">
        <f aca="false">-Z32*(1-Inputs!$B$22)</f>
        <v>-1310.8992</v>
      </c>
      <c r="AA40" s="69" t="n">
        <f aca="false">-AA32*(1-Inputs!$B$22)</f>
        <v>-1324.008192</v>
      </c>
      <c r="AB40" s="69" t="n">
        <f aca="false">-AB32*(1-Inputs!$B$22)</f>
        <v>-1324.008192</v>
      </c>
      <c r="AC40" s="69" t="n">
        <f aca="false">-AC32*(1-Inputs!$B$22)</f>
        <v>-1324.008192</v>
      </c>
      <c r="AD40" s="69" t="n">
        <f aca="false">-AD32*(1-Inputs!$B$22)</f>
        <v>-1324.008192</v>
      </c>
      <c r="AE40" s="69" t="n">
        <f aca="false">-AE32*(1-Inputs!$B$22)</f>
        <v>-1324.008192</v>
      </c>
      <c r="AF40" s="69" t="n">
        <f aca="false">-AF32*(1-Inputs!$B$22)</f>
        <v>-1324.008192</v>
      </c>
      <c r="AG40" s="69" t="n">
        <f aca="false">-AG32*(1-Inputs!$B$22)</f>
        <v>-1324.008192</v>
      </c>
      <c r="AH40" s="69" t="n">
        <f aca="false">-AH32*(1-Inputs!$B$22)</f>
        <v>-1324.008192</v>
      </c>
      <c r="AI40" s="69" t="n">
        <f aca="false">-AI32*(1-Inputs!$B$22)</f>
        <v>-1324.008192</v>
      </c>
      <c r="AJ40" s="69" t="n">
        <f aca="false">-AJ32*(1-Inputs!$B$22)</f>
        <v>-1324.008192</v>
      </c>
      <c r="AK40" s="69" t="n">
        <f aca="false">-AK32*(1-Inputs!$B$22)</f>
        <v>-1324.008192</v>
      </c>
      <c r="AL40" s="69" t="n">
        <f aca="false">-AL32*(1-Inputs!$B$22)</f>
        <v>-1324.008192</v>
      </c>
    </row>
    <row r="41" customFormat="false" ht="15" hidden="false" customHeight="false" outlineLevel="0" collapsed="false">
      <c r="A41" s="4" t="s">
        <v>76</v>
      </c>
      <c r="C41" s="75" t="n">
        <f aca="false">C36+C37+C38+C39+C40</f>
        <v>-8166.71333333334</v>
      </c>
      <c r="D41" s="75" t="n">
        <f aca="false">D36+D37+D38+D39+D40</f>
        <v>-8888.94333333334</v>
      </c>
      <c r="E41" s="75" t="n">
        <f aca="false">E36+E37+E38+E39+E40</f>
        <v>-9611.17333333333</v>
      </c>
      <c r="F41" s="75" t="n">
        <f aca="false">F36+F37+F38+F39+F40</f>
        <v>-10333.4033333333</v>
      </c>
      <c r="G41" s="75" t="n">
        <f aca="false">G36+G37+G38+G39+G40</f>
        <v>-11055.6333333333</v>
      </c>
      <c r="H41" s="75" t="n">
        <f aca="false">H36+H37+H38+H39+H40</f>
        <v>-12172.8733333333</v>
      </c>
      <c r="I41" s="75" t="n">
        <f aca="false">I36+I37+I38+I39+I40</f>
        <v>-12931.0133333333</v>
      </c>
      <c r="J41" s="75" t="n">
        <f aca="false">J36+J37+J38+J39+J40</f>
        <v>-13689.1533333333</v>
      </c>
      <c r="K41" s="75" t="n">
        <f aca="false">K36+K37+K38+K39+K40</f>
        <v>-13944.5533333333</v>
      </c>
      <c r="L41" s="75" t="n">
        <f aca="false">L36+L37+L38+L39+L40</f>
        <v>-14666.7833333333</v>
      </c>
      <c r="M41" s="75" t="n">
        <f aca="false">M36+M37+M38+M39+M40</f>
        <v>-15389.0133333333</v>
      </c>
      <c r="N41" s="75" t="n">
        <f aca="false">N36+N37+N38+N39+N40</f>
        <v>-16721.7133333333</v>
      </c>
      <c r="O41" s="75" t="n">
        <f aca="false">O36+O37+O38+O39+O40</f>
        <v>-17242.1582666667</v>
      </c>
      <c r="P41" s="75" t="n">
        <f aca="false">P36+P37+P38+P39+P40</f>
        <v>-17978.5744666667</v>
      </c>
      <c r="Q41" s="75" t="n">
        <f aca="false">Q36+Q37+Q38+Q39+Q40</f>
        <v>-18714.9906666667</v>
      </c>
      <c r="R41" s="75" t="n">
        <f aca="false">R36+R37+R38+R39+R40</f>
        <v>-18714.9906666667</v>
      </c>
      <c r="S41" s="75" t="n">
        <f aca="false">S36+S37+S38+S39+S40</f>
        <v>-18714.9906666667</v>
      </c>
      <c r="T41" s="75" t="n">
        <f aca="false">T36+T37+T38+T39+T40</f>
        <v>-19461.9186666667</v>
      </c>
      <c r="U41" s="75" t="n">
        <f aca="false">U36+U37+U38+U39+U40</f>
        <v>-19461.9186666667</v>
      </c>
      <c r="V41" s="75" t="n">
        <f aca="false">V36+V37+V38+V39+V40</f>
        <v>-19461.9186666667</v>
      </c>
      <c r="W41" s="75" t="n">
        <f aca="false">W36+W37+W38+W39+W40</f>
        <v>-18714.9906666667</v>
      </c>
      <c r="X41" s="75" t="n">
        <f aca="false">X36+X37+X38+X39+X40</f>
        <v>-18714.9906666667</v>
      </c>
      <c r="Y41" s="75" t="n">
        <f aca="false">Y36+Y37+Y38+Y39+Y40</f>
        <v>-18714.9906666667</v>
      </c>
      <c r="Z41" s="75" t="n">
        <f aca="false">Z36+Z37+Z38+Z39+Z40</f>
        <v>-19461.9186666667</v>
      </c>
      <c r="AA41" s="75" t="n">
        <f aca="false">AA36+AA37+AA38+AA39+AA40</f>
        <v>-19166.5896933333</v>
      </c>
      <c r="AB41" s="75" t="n">
        <f aca="false">AB36+AB37+AB38+AB39+AB40</f>
        <v>-19166.5896933333</v>
      </c>
      <c r="AC41" s="75" t="n">
        <f aca="false">AC36+AC37+AC38+AC39+AC40</f>
        <v>-19166.5896933333</v>
      </c>
      <c r="AD41" s="75" t="n">
        <f aca="false">AD36+AD37+AD38+AD39+AD40</f>
        <v>-19166.5896933333</v>
      </c>
      <c r="AE41" s="75" t="n">
        <f aca="false">AE36+AE37+AE38+AE39+AE40</f>
        <v>-19166.5896933333</v>
      </c>
      <c r="AF41" s="75" t="n">
        <f aca="false">AF36+AF37+AF38+AF39+AF40</f>
        <v>-19943.3948133333</v>
      </c>
      <c r="AG41" s="75" t="n">
        <f aca="false">AG36+AG37+AG38+AG39+AG40</f>
        <v>-19943.3948133333</v>
      </c>
      <c r="AH41" s="75" t="n">
        <f aca="false">AH36+AH37+AH38+AH39+AH40</f>
        <v>-19943.3948133333</v>
      </c>
      <c r="AI41" s="75" t="n">
        <f aca="false">AI36+AI37+AI38+AI39+AI40</f>
        <v>-19166.5896933333</v>
      </c>
      <c r="AJ41" s="75" t="n">
        <f aca="false">AJ36+AJ37+AJ38+AJ39+AJ40</f>
        <v>-19166.5896933333</v>
      </c>
      <c r="AK41" s="75" t="n">
        <f aca="false">AK36+AK37+AK38+AK39+AK40</f>
        <v>-19166.5896933333</v>
      </c>
      <c r="AL41" s="75" t="n">
        <f aca="false">AL36+AL37+AL38+AL39+AL40</f>
        <v>-19943.3948133333</v>
      </c>
    </row>
    <row r="42" customFormat="false" ht="15" hidden="false" customHeight="false" outlineLevel="0" collapsed="false">
      <c r="A42" s="115" t="s">
        <v>45</v>
      </c>
      <c r="C42" s="70" t="n">
        <f aca="false">C33+C41</f>
        <v>5663.88666666667</v>
      </c>
      <c r="D42" s="70" t="n">
        <f aca="false">D33+D41</f>
        <v>7246.75666666667</v>
      </c>
      <c r="E42" s="70" t="n">
        <f aca="false">E33+E41</f>
        <v>8829.62666666667</v>
      </c>
      <c r="F42" s="70" t="n">
        <f aca="false">F33+F41</f>
        <v>10412.4966666667</v>
      </c>
      <c r="G42" s="70" t="n">
        <f aca="false">G33+G41</f>
        <v>11995.3666666667</v>
      </c>
      <c r="H42" s="70" t="n">
        <f aca="false">H33+H41</f>
        <v>16004.7266666667</v>
      </c>
      <c r="I42" s="70" t="n">
        <f aca="false">I33+I41</f>
        <v>17808.1866666667</v>
      </c>
      <c r="J42" s="70" t="n">
        <f aca="false">J33+J41</f>
        <v>19611.6466666667</v>
      </c>
      <c r="K42" s="70" t="n">
        <f aca="false">K33+K41</f>
        <v>18326.8466666667</v>
      </c>
      <c r="L42" s="70" t="n">
        <f aca="false">L33+L41</f>
        <v>19909.7166666667</v>
      </c>
      <c r="M42" s="70" t="n">
        <f aca="false">M33+M41</f>
        <v>21492.5866666667</v>
      </c>
      <c r="N42" s="70" t="n">
        <f aca="false">N33+N41</f>
        <v>26825.4866666667</v>
      </c>
      <c r="O42" s="70" t="n">
        <f aca="false">O33+O41</f>
        <v>24664.5597333333</v>
      </c>
      <c r="P42" s="70" t="n">
        <f aca="false">P33+P41</f>
        <v>26256.2945333333</v>
      </c>
      <c r="Q42" s="70" t="n">
        <f aca="false">Q33+Q41</f>
        <v>27848.0293333333</v>
      </c>
      <c r="R42" s="70" t="n">
        <f aca="false">R33+R41</f>
        <v>27848.0293333333</v>
      </c>
      <c r="S42" s="70" t="n">
        <f aca="false">S33+S41</f>
        <v>27848.0293333333</v>
      </c>
      <c r="T42" s="70" t="n">
        <f aca="false">T33+T41</f>
        <v>32282.4013333333</v>
      </c>
      <c r="U42" s="70" t="n">
        <f aca="false">U33+U41</f>
        <v>32282.4013333333</v>
      </c>
      <c r="V42" s="70" t="n">
        <f aca="false">V33+V41</f>
        <v>32282.4013333333</v>
      </c>
      <c r="W42" s="70" t="n">
        <f aca="false">W33+W41</f>
        <v>27848.0293333333</v>
      </c>
      <c r="X42" s="70" t="n">
        <f aca="false">X33+X41</f>
        <v>27848.0293333333</v>
      </c>
      <c r="Y42" s="70" t="n">
        <f aca="false">Y33+Y41</f>
        <v>27848.0293333333</v>
      </c>
      <c r="Z42" s="70" t="n">
        <f aca="false">Z33+Z41</f>
        <v>32282.4013333333</v>
      </c>
      <c r="AA42" s="70" t="n">
        <f aca="false">AA33+AA41</f>
        <v>27862.0605066667</v>
      </c>
      <c r="AB42" s="70" t="n">
        <f aca="false">AB33+AB41</f>
        <v>27862.0605066667</v>
      </c>
      <c r="AC42" s="70" t="n">
        <f aca="false">AC33+AC41</f>
        <v>27862.0605066667</v>
      </c>
      <c r="AD42" s="70" t="n">
        <f aca="false">AD33+AD41</f>
        <v>27862.0605066667</v>
      </c>
      <c r="AE42" s="70" t="n">
        <f aca="false">AE33+AE41</f>
        <v>27862.0605066667</v>
      </c>
      <c r="AF42" s="70" t="n">
        <f aca="false">AF33+AF41</f>
        <v>32318.3683866667</v>
      </c>
      <c r="AG42" s="70" t="n">
        <f aca="false">AG33+AG41</f>
        <v>32318.3683866667</v>
      </c>
      <c r="AH42" s="70" t="n">
        <f aca="false">AH33+AH41</f>
        <v>32318.3683866667</v>
      </c>
      <c r="AI42" s="70" t="n">
        <f aca="false">AI33+AI41</f>
        <v>27862.0605066667</v>
      </c>
      <c r="AJ42" s="70" t="n">
        <f aca="false">AJ33+AJ41</f>
        <v>27862.0605066667</v>
      </c>
      <c r="AK42" s="70" t="n">
        <f aca="false">AK33+AK41</f>
        <v>27862.0605066667</v>
      </c>
      <c r="AL42" s="70" t="n">
        <f aca="false">AL33+AL41</f>
        <v>32318.3683866667</v>
      </c>
    </row>
    <row r="44" customFormat="false" ht="15.75" hidden="false" customHeight="true" outlineLevel="0" collapsed="false">
      <c r="A44" s="7" t="s">
        <v>47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customFormat="false" ht="15" hidden="false" customHeight="false" outlineLevel="0" collapsed="false">
      <c r="A45" s="6" t="s">
        <v>335</v>
      </c>
      <c r="C45" s="69" t="n">
        <f aca="false">C127-C124</f>
        <v>-15237.5</v>
      </c>
      <c r="D45" s="69" t="n">
        <f aca="false">D127-D124</f>
        <v>-15237.5</v>
      </c>
      <c r="E45" s="69" t="n">
        <f aca="false">E127-E124</f>
        <v>-15237.5</v>
      </c>
      <c r="F45" s="69" t="n">
        <f aca="false">F127-F124</f>
        <v>-15237.5</v>
      </c>
      <c r="G45" s="69" t="n">
        <f aca="false">G127-G124</f>
        <v>-15237.5</v>
      </c>
      <c r="H45" s="69" t="n">
        <f aca="false">H127-H124</f>
        <v>-15237.5</v>
      </c>
      <c r="I45" s="69" t="n">
        <f aca="false">I127-I124</f>
        <v>-15237.5</v>
      </c>
      <c r="J45" s="69" t="n">
        <f aca="false">J127-J124</f>
        <v>-15237.5</v>
      </c>
      <c r="K45" s="69" t="n">
        <f aca="false">K127-K124</f>
        <v>-15237.5</v>
      </c>
      <c r="L45" s="69" t="n">
        <f aca="false">L127-L124</f>
        <v>-15237.5</v>
      </c>
      <c r="M45" s="69" t="n">
        <f aca="false">M127-M124</f>
        <v>-15237.5</v>
      </c>
      <c r="N45" s="69" t="n">
        <f aca="false">N127-N124</f>
        <v>-15237.5</v>
      </c>
      <c r="O45" s="69" t="n">
        <f aca="false">O127-O124</f>
        <v>-15847</v>
      </c>
      <c r="P45" s="69" t="n">
        <f aca="false">P127-P124</f>
        <v>-15847</v>
      </c>
      <c r="Q45" s="69" t="n">
        <f aca="false">Q127-Q124</f>
        <v>-15847</v>
      </c>
      <c r="R45" s="69" t="n">
        <f aca="false">R127-R124</f>
        <v>-15847</v>
      </c>
      <c r="S45" s="69" t="n">
        <f aca="false">S127-S124</f>
        <v>-15847</v>
      </c>
      <c r="T45" s="69" t="n">
        <f aca="false">T127-T124</f>
        <v>-15847</v>
      </c>
      <c r="U45" s="69" t="n">
        <f aca="false">U127-U124</f>
        <v>-15847</v>
      </c>
      <c r="V45" s="69" t="n">
        <f aca="false">V127-V124</f>
        <v>-15847</v>
      </c>
      <c r="W45" s="69" t="n">
        <f aca="false">W127-W124</f>
        <v>-15847</v>
      </c>
      <c r="X45" s="69" t="n">
        <f aca="false">X127-X124</f>
        <v>-15847</v>
      </c>
      <c r="Y45" s="69" t="n">
        <f aca="false">Y127-Y124</f>
        <v>-15847</v>
      </c>
      <c r="Z45" s="69" t="n">
        <f aca="false">Z127-Z124</f>
        <v>-15847</v>
      </c>
      <c r="AA45" s="69" t="n">
        <f aca="false">AA127-AA124</f>
        <v>-16480.88</v>
      </c>
      <c r="AB45" s="69" t="n">
        <f aca="false">AB127-AB124</f>
        <v>-16480.88</v>
      </c>
      <c r="AC45" s="69" t="n">
        <f aca="false">AC127-AC124</f>
        <v>-16480.88</v>
      </c>
      <c r="AD45" s="69" t="n">
        <f aca="false">AD127-AD124</f>
        <v>-16480.88</v>
      </c>
      <c r="AE45" s="69" t="n">
        <f aca="false">AE127-AE124</f>
        <v>-16480.88</v>
      </c>
      <c r="AF45" s="69" t="n">
        <f aca="false">AF127-AF124</f>
        <v>-16480.88</v>
      </c>
      <c r="AG45" s="69" t="n">
        <f aca="false">AG127-AG124</f>
        <v>-16480.88</v>
      </c>
      <c r="AH45" s="69" t="n">
        <f aca="false">AH127-AH124</f>
        <v>-16480.88</v>
      </c>
      <c r="AI45" s="69" t="n">
        <f aca="false">AI127-AI124</f>
        <v>-16480.88</v>
      </c>
      <c r="AJ45" s="69" t="n">
        <f aca="false">AJ127-AJ124</f>
        <v>-16480.88</v>
      </c>
      <c r="AK45" s="69" t="n">
        <f aca="false">AK127-AK124</f>
        <v>-16480.88</v>
      </c>
      <c r="AL45" s="69" t="n">
        <f aca="false">AL127-AL124</f>
        <v>-16480.88</v>
      </c>
    </row>
    <row r="46" customFormat="false" ht="15" hidden="false" customHeight="false" outlineLevel="0" collapsed="false">
      <c r="A46" s="6" t="s">
        <v>336</v>
      </c>
      <c r="C46" s="69" t="n">
        <f aca="false">-Inputs!$B$38*(1+Inputs!$B$39)^(C$7-1)*1</f>
        <v>-9000</v>
      </c>
      <c r="D46" s="69" t="n">
        <f aca="false">-Inputs!$B$38*(1+Inputs!$B$39)^(D$7-1)*1</f>
        <v>-9000</v>
      </c>
      <c r="E46" s="69" t="n">
        <f aca="false">-Inputs!$B$38*(1+Inputs!$B$39)^(E$7-1)*1</f>
        <v>-9000</v>
      </c>
      <c r="F46" s="69" t="n">
        <f aca="false">-Inputs!$B$38*(1+Inputs!$B$39)^(F$7-1)*1</f>
        <v>-9000</v>
      </c>
      <c r="G46" s="69" t="n">
        <f aca="false">-Inputs!$B$38*(1+Inputs!$B$39)^(G$7-1)*1</f>
        <v>-9000</v>
      </c>
      <c r="H46" s="69" t="n">
        <f aca="false">-Inputs!$B$38*(1+Inputs!$B$39)^(H$7-1)*1</f>
        <v>-9000</v>
      </c>
      <c r="I46" s="69" t="n">
        <f aca="false">-Inputs!$B$38*(1+Inputs!$B$39)^(I$7-1)*1</f>
        <v>-9000</v>
      </c>
      <c r="J46" s="69" t="n">
        <f aca="false">-Inputs!$B$38*(1+Inputs!$B$39)^(J$7-1)*1</f>
        <v>-9000</v>
      </c>
      <c r="K46" s="69" t="n">
        <f aca="false">-Inputs!$B$38*(1+Inputs!$B$39)^(K$7-1)*1</f>
        <v>-9000</v>
      </c>
      <c r="L46" s="69" t="n">
        <f aca="false">-Inputs!$B$38*(1+Inputs!$B$39)^(L$7-1)*1</f>
        <v>-9000</v>
      </c>
      <c r="M46" s="69" t="n">
        <f aca="false">-Inputs!$B$38*(1+Inputs!$B$39)^(M$7-1)*1</f>
        <v>-9000</v>
      </c>
      <c r="N46" s="69" t="n">
        <f aca="false">-Inputs!$B$38*(1+Inputs!$B$39)^(N$7-1)*1</f>
        <v>-9000</v>
      </c>
      <c r="O46" s="69" t="n">
        <f aca="false">-Inputs!$B$38*(1+Inputs!$B$39)^(O$7-1)*1</f>
        <v>-9270</v>
      </c>
      <c r="P46" s="69" t="n">
        <f aca="false">-Inputs!$B$38*(1+Inputs!$B$39)^(P$7-1)*1</f>
        <v>-9270</v>
      </c>
      <c r="Q46" s="69" t="n">
        <f aca="false">-Inputs!$B$38*(1+Inputs!$B$39)^(Q$7-1)*1</f>
        <v>-9270</v>
      </c>
      <c r="R46" s="69" t="n">
        <f aca="false">-Inputs!$B$38*(1+Inputs!$B$39)^(R$7-1)*1</f>
        <v>-9270</v>
      </c>
      <c r="S46" s="69" t="n">
        <f aca="false">-Inputs!$B$38*(1+Inputs!$B$39)^(S$7-1)*1</f>
        <v>-9270</v>
      </c>
      <c r="T46" s="69" t="n">
        <f aca="false">-Inputs!$B$38*(1+Inputs!$B$39)^(T$7-1)*1</f>
        <v>-9270</v>
      </c>
      <c r="U46" s="69" t="n">
        <f aca="false">-Inputs!$B$38*(1+Inputs!$B$39)^(U$7-1)*1</f>
        <v>-9270</v>
      </c>
      <c r="V46" s="69" t="n">
        <f aca="false">-Inputs!$B$38*(1+Inputs!$B$39)^(V$7-1)*1</f>
        <v>-9270</v>
      </c>
      <c r="W46" s="69" t="n">
        <f aca="false">-Inputs!$B$38*(1+Inputs!$B$39)^(W$7-1)*1</f>
        <v>-9270</v>
      </c>
      <c r="X46" s="69" t="n">
        <f aca="false">-Inputs!$B$38*(1+Inputs!$B$39)^(X$7-1)*1</f>
        <v>-9270</v>
      </c>
      <c r="Y46" s="69" t="n">
        <f aca="false">-Inputs!$B$38*(1+Inputs!$B$39)^(Y$7-1)*1</f>
        <v>-9270</v>
      </c>
      <c r="Z46" s="69" t="n">
        <f aca="false">-Inputs!$B$38*(1+Inputs!$B$39)^(Z$7-1)*1</f>
        <v>-9270</v>
      </c>
      <c r="AA46" s="69" t="n">
        <f aca="false">-Inputs!$B$38*(1+Inputs!$B$39)^(AA$7-1)*1</f>
        <v>-9548.1</v>
      </c>
      <c r="AB46" s="69" t="n">
        <f aca="false">-Inputs!$B$38*(1+Inputs!$B$39)^(AB$7-1)*1</f>
        <v>-9548.1</v>
      </c>
      <c r="AC46" s="69" t="n">
        <f aca="false">-Inputs!$B$38*(1+Inputs!$B$39)^(AC$7-1)*1</f>
        <v>-9548.1</v>
      </c>
      <c r="AD46" s="69" t="n">
        <f aca="false">-Inputs!$B$38*(1+Inputs!$B$39)^(AD$7-1)*1</f>
        <v>-9548.1</v>
      </c>
      <c r="AE46" s="69" t="n">
        <f aca="false">-Inputs!$B$38*(1+Inputs!$B$39)^(AE$7-1)*1</f>
        <v>-9548.1</v>
      </c>
      <c r="AF46" s="69" t="n">
        <f aca="false">-Inputs!$B$38*(1+Inputs!$B$39)^(AF$7-1)*1</f>
        <v>-9548.1</v>
      </c>
      <c r="AG46" s="69" t="n">
        <f aca="false">-Inputs!$B$38*(1+Inputs!$B$39)^(AG$7-1)*1</f>
        <v>-9548.1</v>
      </c>
      <c r="AH46" s="69" t="n">
        <f aca="false">-Inputs!$B$38*(1+Inputs!$B$39)^(AH$7-1)*1</f>
        <v>-9548.1</v>
      </c>
      <c r="AI46" s="69" t="n">
        <f aca="false">-Inputs!$B$38*(1+Inputs!$B$39)^(AI$7-1)*1</f>
        <v>-9548.1</v>
      </c>
      <c r="AJ46" s="69" t="n">
        <f aca="false">-Inputs!$B$38*(1+Inputs!$B$39)^(AJ$7-1)*1</f>
        <v>-9548.1</v>
      </c>
      <c r="AK46" s="69" t="n">
        <f aca="false">-Inputs!$B$38*(1+Inputs!$B$39)^(AK$7-1)*1</f>
        <v>-9548.1</v>
      </c>
      <c r="AL46" s="69" t="n">
        <f aca="false">-Inputs!$B$38*(1+Inputs!$B$39)^(AL$7-1)*1</f>
        <v>-9548.1</v>
      </c>
    </row>
    <row r="47" customFormat="false" ht="15" hidden="false" customHeight="false" outlineLevel="0" collapsed="false">
      <c r="A47" s="6" t="s">
        <v>337</v>
      </c>
      <c r="C47" s="69" t="n">
        <f aca="false">-Inputs!$B$40*(1+Inputs!$B$45)^(C$7-1)*1</f>
        <v>-2500</v>
      </c>
      <c r="D47" s="69" t="n">
        <f aca="false">-Inputs!$B$40*(1+Inputs!$B$45)^(D$7-1)*1</f>
        <v>-2500</v>
      </c>
      <c r="E47" s="69" t="n">
        <f aca="false">-Inputs!$B$40*(1+Inputs!$B$45)^(E$7-1)*1</f>
        <v>-2500</v>
      </c>
      <c r="F47" s="69" t="n">
        <f aca="false">-Inputs!$B$40*(1+Inputs!$B$45)^(F$7-1)*1</f>
        <v>-2500</v>
      </c>
      <c r="G47" s="69" t="n">
        <f aca="false">-Inputs!$B$40*(1+Inputs!$B$45)^(G$7-1)*1</f>
        <v>-2500</v>
      </c>
      <c r="H47" s="69" t="n">
        <f aca="false">-Inputs!$B$40*(1+Inputs!$B$45)^(H$7-1)*1</f>
        <v>-2500</v>
      </c>
      <c r="I47" s="69" t="n">
        <f aca="false">-Inputs!$B$40*(1+Inputs!$B$45)^(I$7-1)*1</f>
        <v>-2500</v>
      </c>
      <c r="J47" s="69" t="n">
        <f aca="false">-Inputs!$B$40*(1+Inputs!$B$45)^(J$7-1)*1</f>
        <v>-2500</v>
      </c>
      <c r="K47" s="69" t="n">
        <f aca="false">-Inputs!$B$40*(1+Inputs!$B$45)^(K$7-1)*1</f>
        <v>-2500</v>
      </c>
      <c r="L47" s="69" t="n">
        <f aca="false">-Inputs!$B$40*(1+Inputs!$B$45)^(L$7-1)*1</f>
        <v>-2500</v>
      </c>
      <c r="M47" s="69" t="n">
        <f aca="false">-Inputs!$B$40*(1+Inputs!$B$45)^(M$7-1)*1</f>
        <v>-2500</v>
      </c>
      <c r="N47" s="69" t="n">
        <f aca="false">-Inputs!$B$40*(1+Inputs!$B$45)^(N$7-1)*1</f>
        <v>-2500</v>
      </c>
      <c r="O47" s="69" t="n">
        <f aca="false">-Inputs!$B$40*(1+Inputs!$B$45)^(O$7-1)*1</f>
        <v>-2600</v>
      </c>
      <c r="P47" s="69" t="n">
        <f aca="false">-Inputs!$B$40*(1+Inputs!$B$45)^(P$7-1)*1</f>
        <v>-2600</v>
      </c>
      <c r="Q47" s="69" t="n">
        <f aca="false">-Inputs!$B$40*(1+Inputs!$B$45)^(Q$7-1)*1</f>
        <v>-2600</v>
      </c>
      <c r="R47" s="69" t="n">
        <f aca="false">-Inputs!$B$40*(1+Inputs!$B$45)^(R$7-1)*1</f>
        <v>-2600</v>
      </c>
      <c r="S47" s="69" t="n">
        <f aca="false">-Inputs!$B$40*(1+Inputs!$B$45)^(S$7-1)*1</f>
        <v>-2600</v>
      </c>
      <c r="T47" s="69" t="n">
        <f aca="false">-Inputs!$B$40*(1+Inputs!$B$45)^(T$7-1)*1</f>
        <v>-2600</v>
      </c>
      <c r="U47" s="69" t="n">
        <f aca="false">-Inputs!$B$40*(1+Inputs!$B$45)^(U$7-1)*1</f>
        <v>-2600</v>
      </c>
      <c r="V47" s="69" t="n">
        <f aca="false">-Inputs!$B$40*(1+Inputs!$B$45)^(V$7-1)*1</f>
        <v>-2600</v>
      </c>
      <c r="W47" s="69" t="n">
        <f aca="false">-Inputs!$B$40*(1+Inputs!$B$45)^(W$7-1)*1</f>
        <v>-2600</v>
      </c>
      <c r="X47" s="69" t="n">
        <f aca="false">-Inputs!$B$40*(1+Inputs!$B$45)^(X$7-1)*1</f>
        <v>-2600</v>
      </c>
      <c r="Y47" s="69" t="n">
        <f aca="false">-Inputs!$B$40*(1+Inputs!$B$45)^(Y$7-1)*1</f>
        <v>-2600</v>
      </c>
      <c r="Z47" s="69" t="n">
        <f aca="false">-Inputs!$B$40*(1+Inputs!$B$45)^(Z$7-1)*1</f>
        <v>-2600</v>
      </c>
      <c r="AA47" s="69" t="n">
        <f aca="false">-Inputs!$B$40*(1+Inputs!$B$45)^(AA$7-1)*1</f>
        <v>-2704</v>
      </c>
      <c r="AB47" s="69" t="n">
        <f aca="false">-Inputs!$B$40*(1+Inputs!$B$45)^(AB$7-1)*1</f>
        <v>-2704</v>
      </c>
      <c r="AC47" s="69" t="n">
        <f aca="false">-Inputs!$B$40*(1+Inputs!$B$45)^(AC$7-1)*1</f>
        <v>-2704</v>
      </c>
      <c r="AD47" s="69" t="n">
        <f aca="false">-Inputs!$B$40*(1+Inputs!$B$45)^(AD$7-1)*1</f>
        <v>-2704</v>
      </c>
      <c r="AE47" s="69" t="n">
        <f aca="false">-Inputs!$B$40*(1+Inputs!$B$45)^(AE$7-1)*1</f>
        <v>-2704</v>
      </c>
      <c r="AF47" s="69" t="n">
        <f aca="false">-Inputs!$B$40*(1+Inputs!$B$45)^(AF$7-1)*1</f>
        <v>-2704</v>
      </c>
      <c r="AG47" s="69" t="n">
        <f aca="false">-Inputs!$B$40*(1+Inputs!$B$45)^(AG$7-1)*1</f>
        <v>-2704</v>
      </c>
      <c r="AH47" s="69" t="n">
        <f aca="false">-Inputs!$B$40*(1+Inputs!$B$45)^(AH$7-1)*1</f>
        <v>-2704</v>
      </c>
      <c r="AI47" s="69" t="n">
        <f aca="false">-Inputs!$B$40*(1+Inputs!$B$45)^(AI$7-1)*1</f>
        <v>-2704</v>
      </c>
      <c r="AJ47" s="69" t="n">
        <f aca="false">-Inputs!$B$40*(1+Inputs!$B$45)^(AJ$7-1)*1</f>
        <v>-2704</v>
      </c>
      <c r="AK47" s="69" t="n">
        <f aca="false">-Inputs!$B$40*(1+Inputs!$B$45)^(AK$7-1)*1</f>
        <v>-2704</v>
      </c>
      <c r="AL47" s="69" t="n">
        <f aca="false">-Inputs!$B$40*(1+Inputs!$B$45)^(AL$7-1)*1</f>
        <v>-2704</v>
      </c>
    </row>
    <row r="48" customFormat="false" ht="15" hidden="false" customHeight="false" outlineLevel="0" collapsed="false">
      <c r="A48" s="6" t="s">
        <v>338</v>
      </c>
      <c r="C48" s="69" t="n">
        <f aca="false">-Inputs!$B$41*(1+Inputs!$B$45)^(C$7-1)*1</f>
        <v>-4500</v>
      </c>
      <c r="D48" s="69" t="n">
        <f aca="false">-Inputs!$B$41*(1+Inputs!$B$45)^(D$7-1)*1</f>
        <v>-4500</v>
      </c>
      <c r="E48" s="69" t="n">
        <f aca="false">-Inputs!$B$41*(1+Inputs!$B$45)^(E$7-1)*1</f>
        <v>-4500</v>
      </c>
      <c r="F48" s="69" t="n">
        <f aca="false">-Inputs!$B$41*(1+Inputs!$B$45)^(F$7-1)*1</f>
        <v>-4500</v>
      </c>
      <c r="G48" s="69" t="n">
        <f aca="false">-Inputs!$B$41*(1+Inputs!$B$45)^(G$7-1)*1</f>
        <v>-4500</v>
      </c>
      <c r="H48" s="69" t="n">
        <f aca="false">-Inputs!$B$41*(1+Inputs!$B$45)^(H$7-1)*1</f>
        <v>-4500</v>
      </c>
      <c r="I48" s="69" t="n">
        <f aca="false">-Inputs!$B$41*(1+Inputs!$B$45)^(I$7-1)*1</f>
        <v>-4500</v>
      </c>
      <c r="J48" s="69" t="n">
        <f aca="false">-Inputs!$B$41*(1+Inputs!$B$45)^(J$7-1)*1</f>
        <v>-4500</v>
      </c>
      <c r="K48" s="69" t="n">
        <f aca="false">-Inputs!$B$41*(1+Inputs!$B$45)^(K$7-1)*1</f>
        <v>-4500</v>
      </c>
      <c r="L48" s="69" t="n">
        <f aca="false">-Inputs!$B$41*(1+Inputs!$B$45)^(L$7-1)*1</f>
        <v>-4500</v>
      </c>
      <c r="M48" s="69" t="n">
        <f aca="false">-Inputs!$B$41*(1+Inputs!$B$45)^(M$7-1)*1</f>
        <v>-4500</v>
      </c>
      <c r="N48" s="69" t="n">
        <f aca="false">-Inputs!$B$41*(1+Inputs!$B$45)^(N$7-1)*1</f>
        <v>-4500</v>
      </c>
      <c r="O48" s="69" t="n">
        <f aca="false">-Inputs!$B$41*(1+Inputs!$B$45)^(O$7-1)*1</f>
        <v>-4680</v>
      </c>
      <c r="P48" s="69" t="n">
        <f aca="false">-Inputs!$B$41*(1+Inputs!$B$45)^(P$7-1)*1</f>
        <v>-4680</v>
      </c>
      <c r="Q48" s="69" t="n">
        <f aca="false">-Inputs!$B$41*(1+Inputs!$B$45)^(Q$7-1)*1</f>
        <v>-4680</v>
      </c>
      <c r="R48" s="69" t="n">
        <f aca="false">-Inputs!$B$41*(1+Inputs!$B$45)^(R$7-1)*1</f>
        <v>-4680</v>
      </c>
      <c r="S48" s="69" t="n">
        <f aca="false">-Inputs!$B$41*(1+Inputs!$B$45)^(S$7-1)*1</f>
        <v>-4680</v>
      </c>
      <c r="T48" s="69" t="n">
        <f aca="false">-Inputs!$B$41*(1+Inputs!$B$45)^(T$7-1)*1</f>
        <v>-4680</v>
      </c>
      <c r="U48" s="69" t="n">
        <f aca="false">-Inputs!$B$41*(1+Inputs!$B$45)^(U$7-1)*1</f>
        <v>-4680</v>
      </c>
      <c r="V48" s="69" t="n">
        <f aca="false">-Inputs!$B$41*(1+Inputs!$B$45)^(V$7-1)*1</f>
        <v>-4680</v>
      </c>
      <c r="W48" s="69" t="n">
        <f aca="false">-Inputs!$B$41*(1+Inputs!$B$45)^(W$7-1)*1</f>
        <v>-4680</v>
      </c>
      <c r="X48" s="69" t="n">
        <f aca="false">-Inputs!$B$41*(1+Inputs!$B$45)^(X$7-1)*1</f>
        <v>-4680</v>
      </c>
      <c r="Y48" s="69" t="n">
        <f aca="false">-Inputs!$B$41*(1+Inputs!$B$45)^(Y$7-1)*1</f>
        <v>-4680</v>
      </c>
      <c r="Z48" s="69" t="n">
        <f aca="false">-Inputs!$B$41*(1+Inputs!$B$45)^(Z$7-1)*1</f>
        <v>-4680</v>
      </c>
      <c r="AA48" s="69" t="n">
        <f aca="false">-Inputs!$B$41*(1+Inputs!$B$45)^(AA$7-1)*1</f>
        <v>-4867.2</v>
      </c>
      <c r="AB48" s="69" t="n">
        <f aca="false">-Inputs!$B$41*(1+Inputs!$B$45)^(AB$7-1)*1</f>
        <v>-4867.2</v>
      </c>
      <c r="AC48" s="69" t="n">
        <f aca="false">-Inputs!$B$41*(1+Inputs!$B$45)^(AC$7-1)*1</f>
        <v>-4867.2</v>
      </c>
      <c r="AD48" s="69" t="n">
        <f aca="false">-Inputs!$B$41*(1+Inputs!$B$45)^(AD$7-1)*1</f>
        <v>-4867.2</v>
      </c>
      <c r="AE48" s="69" t="n">
        <f aca="false">-Inputs!$B$41*(1+Inputs!$B$45)^(AE$7-1)*1</f>
        <v>-4867.2</v>
      </c>
      <c r="AF48" s="69" t="n">
        <f aca="false">-Inputs!$B$41*(1+Inputs!$B$45)^(AF$7-1)*1</f>
        <v>-4867.2</v>
      </c>
      <c r="AG48" s="69" t="n">
        <f aca="false">-Inputs!$B$41*(1+Inputs!$B$45)^(AG$7-1)*1</f>
        <v>-4867.2</v>
      </c>
      <c r="AH48" s="69" t="n">
        <f aca="false">-Inputs!$B$41*(1+Inputs!$B$45)^(AH$7-1)*1</f>
        <v>-4867.2</v>
      </c>
      <c r="AI48" s="69" t="n">
        <f aca="false">-Inputs!$B$41*(1+Inputs!$B$45)^(AI$7-1)*1</f>
        <v>-4867.2</v>
      </c>
      <c r="AJ48" s="69" t="n">
        <f aca="false">-Inputs!$B$41*(1+Inputs!$B$45)^(AJ$7-1)*1</f>
        <v>-4867.2</v>
      </c>
      <c r="AK48" s="69" t="n">
        <f aca="false">-Inputs!$B$41*(1+Inputs!$B$45)^(AK$7-1)*1</f>
        <v>-4867.2</v>
      </c>
      <c r="AL48" s="69" t="n">
        <f aca="false">-Inputs!$B$41*(1+Inputs!$B$45)^(AL$7-1)*1</f>
        <v>-4867.2</v>
      </c>
    </row>
    <row r="49" customFormat="false" ht="15" hidden="false" customHeight="false" outlineLevel="0" collapsed="false">
      <c r="A49" s="6" t="s">
        <v>339</v>
      </c>
      <c r="C49" s="69" t="n">
        <f aca="false">-Inputs!$B$42*(1+Inputs!$B$43)^(C$7-1)*1</f>
        <v>-3500</v>
      </c>
      <c r="D49" s="69" t="n">
        <f aca="false">-Inputs!$B$42*(1+Inputs!$B$43)^(D$7-1)*1</f>
        <v>-3500</v>
      </c>
      <c r="E49" s="69" t="n">
        <f aca="false">-Inputs!$B$42*(1+Inputs!$B$43)^(E$7-1)*1</f>
        <v>-3500</v>
      </c>
      <c r="F49" s="69" t="n">
        <f aca="false">-Inputs!$B$42*(1+Inputs!$B$43)^(F$7-1)*1</f>
        <v>-3500</v>
      </c>
      <c r="G49" s="69" t="n">
        <f aca="false">-Inputs!$B$42*(1+Inputs!$B$43)^(G$7-1)*1</f>
        <v>-3500</v>
      </c>
      <c r="H49" s="69" t="n">
        <f aca="false">-Inputs!$B$42*(1+Inputs!$B$43)^(H$7-1)*1</f>
        <v>-3500</v>
      </c>
      <c r="I49" s="69" t="n">
        <f aca="false">-Inputs!$B$42*(1+Inputs!$B$43)^(I$7-1)*1</f>
        <v>-3500</v>
      </c>
      <c r="J49" s="69" t="n">
        <f aca="false">-Inputs!$B$42*(1+Inputs!$B$43)^(J$7-1)*1</f>
        <v>-3500</v>
      </c>
      <c r="K49" s="69" t="n">
        <f aca="false">-Inputs!$B$42*(1+Inputs!$B$43)^(K$7-1)*1</f>
        <v>-3500</v>
      </c>
      <c r="L49" s="69" t="n">
        <f aca="false">-Inputs!$B$42*(1+Inputs!$B$43)^(L$7-1)*1</f>
        <v>-3500</v>
      </c>
      <c r="M49" s="69" t="n">
        <f aca="false">-Inputs!$B$42*(1+Inputs!$B$43)^(M$7-1)*1</f>
        <v>-3500</v>
      </c>
      <c r="N49" s="69" t="n">
        <f aca="false">-Inputs!$B$42*(1+Inputs!$B$43)^(N$7-1)*1</f>
        <v>-3500</v>
      </c>
      <c r="O49" s="69" t="n">
        <f aca="false">-Inputs!$B$42*(1+Inputs!$B$43)^(O$7-1)*1</f>
        <v>-2450</v>
      </c>
      <c r="P49" s="69" t="n">
        <f aca="false">-Inputs!$B$42*(1+Inputs!$B$43)^(P$7-1)*1</f>
        <v>-2450</v>
      </c>
      <c r="Q49" s="69" t="n">
        <f aca="false">-Inputs!$B$42*(1+Inputs!$B$43)^(Q$7-1)*1</f>
        <v>-2450</v>
      </c>
      <c r="R49" s="69" t="n">
        <f aca="false">-Inputs!$B$42*(1+Inputs!$B$43)^(R$7-1)*1</f>
        <v>-2450</v>
      </c>
      <c r="S49" s="69" t="n">
        <f aca="false">-Inputs!$B$42*(1+Inputs!$B$43)^(S$7-1)*1</f>
        <v>-2450</v>
      </c>
      <c r="T49" s="69" t="n">
        <f aca="false">-Inputs!$B$42*(1+Inputs!$B$43)^(T$7-1)*1</f>
        <v>-2450</v>
      </c>
      <c r="U49" s="69" t="n">
        <f aca="false">-Inputs!$B$42*(1+Inputs!$B$43)^(U$7-1)*1</f>
        <v>-2450</v>
      </c>
      <c r="V49" s="69" t="n">
        <f aca="false">-Inputs!$B$42*(1+Inputs!$B$43)^(V$7-1)*1</f>
        <v>-2450</v>
      </c>
      <c r="W49" s="69" t="n">
        <f aca="false">-Inputs!$B$42*(1+Inputs!$B$43)^(W$7-1)*1</f>
        <v>-2450</v>
      </c>
      <c r="X49" s="69" t="n">
        <f aca="false">-Inputs!$B$42*(1+Inputs!$B$43)^(X$7-1)*1</f>
        <v>-2450</v>
      </c>
      <c r="Y49" s="69" t="n">
        <f aca="false">-Inputs!$B$42*(1+Inputs!$B$43)^(Y$7-1)*1</f>
        <v>-2450</v>
      </c>
      <c r="Z49" s="69" t="n">
        <f aca="false">-Inputs!$B$42*(1+Inputs!$B$43)^(Z$7-1)*1</f>
        <v>-2450</v>
      </c>
      <c r="AA49" s="69" t="n">
        <f aca="false">-Inputs!$B$42*(1+Inputs!$B$43)^(AA$7-1)*1</f>
        <v>-1715</v>
      </c>
      <c r="AB49" s="69" t="n">
        <f aca="false">-Inputs!$B$42*(1+Inputs!$B$43)^(AB$7-1)*1</f>
        <v>-1715</v>
      </c>
      <c r="AC49" s="69" t="n">
        <f aca="false">-Inputs!$B$42*(1+Inputs!$B$43)^(AC$7-1)*1</f>
        <v>-1715</v>
      </c>
      <c r="AD49" s="69" t="n">
        <f aca="false">-Inputs!$B$42*(1+Inputs!$B$43)^(AD$7-1)*1</f>
        <v>-1715</v>
      </c>
      <c r="AE49" s="69" t="n">
        <f aca="false">-Inputs!$B$42*(1+Inputs!$B$43)^(AE$7-1)*1</f>
        <v>-1715</v>
      </c>
      <c r="AF49" s="69" t="n">
        <f aca="false">-Inputs!$B$42*(1+Inputs!$B$43)^(AF$7-1)*1</f>
        <v>-1715</v>
      </c>
      <c r="AG49" s="69" t="n">
        <f aca="false">-Inputs!$B$42*(1+Inputs!$B$43)^(AG$7-1)*1</f>
        <v>-1715</v>
      </c>
      <c r="AH49" s="69" t="n">
        <f aca="false">-Inputs!$B$42*(1+Inputs!$B$43)^(AH$7-1)*1</f>
        <v>-1715</v>
      </c>
      <c r="AI49" s="69" t="n">
        <f aca="false">-Inputs!$B$42*(1+Inputs!$B$43)^(AI$7-1)*1</f>
        <v>-1715</v>
      </c>
      <c r="AJ49" s="69" t="n">
        <f aca="false">-Inputs!$B$42*(1+Inputs!$B$43)^(AJ$7-1)*1</f>
        <v>-1715</v>
      </c>
      <c r="AK49" s="69" t="n">
        <f aca="false">-Inputs!$B$42*(1+Inputs!$B$43)^(AK$7-1)*1</f>
        <v>-1715</v>
      </c>
      <c r="AL49" s="69" t="n">
        <f aca="false">-Inputs!$B$42*(1+Inputs!$B$43)^(AL$7-1)*1</f>
        <v>-1715</v>
      </c>
    </row>
    <row r="50" customFormat="false" ht="15" hidden="false" customHeight="false" outlineLevel="0" collapsed="false">
      <c r="A50" s="6" t="s">
        <v>340</v>
      </c>
      <c r="C50" s="69" t="n">
        <f aca="false">-C33*Inputs!$B$44</f>
        <v>-442.5792</v>
      </c>
      <c r="D50" s="69" t="n">
        <f aca="false">-D33*Inputs!$B$44</f>
        <v>-516.3424</v>
      </c>
      <c r="E50" s="69" t="n">
        <f aca="false">-E33*Inputs!$B$44</f>
        <v>-590.1056</v>
      </c>
      <c r="F50" s="69" t="n">
        <f aca="false">-F33*Inputs!$B$44</f>
        <v>-663.8688</v>
      </c>
      <c r="G50" s="69" t="n">
        <f aca="false">-G33*Inputs!$B$44</f>
        <v>-737.632</v>
      </c>
      <c r="H50" s="69" t="n">
        <f aca="false">-H33*Inputs!$B$44</f>
        <v>-901.6832</v>
      </c>
      <c r="I50" s="69" t="n">
        <f aca="false">-I33*Inputs!$B$44</f>
        <v>-983.6544</v>
      </c>
      <c r="J50" s="69" t="n">
        <f aca="false">-J33*Inputs!$B$44</f>
        <v>-1065.6256</v>
      </c>
      <c r="K50" s="69" t="n">
        <f aca="false">-K33*Inputs!$B$44</f>
        <v>-1032.6848</v>
      </c>
      <c r="L50" s="69" t="n">
        <f aca="false">-L33*Inputs!$B$44</f>
        <v>-1106.448</v>
      </c>
      <c r="M50" s="69" t="n">
        <f aca="false">-M33*Inputs!$B$44</f>
        <v>-1180.2112</v>
      </c>
      <c r="N50" s="69" t="n">
        <f aca="false">-N33*Inputs!$B$44</f>
        <v>-1393.5104</v>
      </c>
      <c r="O50" s="69" t="n">
        <f aca="false">-O33*Inputs!$B$44</f>
        <v>-1341.014976</v>
      </c>
      <c r="P50" s="69" t="n">
        <f aca="false">-P33*Inputs!$B$44</f>
        <v>-1415.515808</v>
      </c>
      <c r="Q50" s="69" t="n">
        <f aca="false">-Q33*Inputs!$B$44</f>
        <v>-1490.01664</v>
      </c>
      <c r="R50" s="69" t="n">
        <f aca="false">-R33*Inputs!$B$44</f>
        <v>-1490.01664</v>
      </c>
      <c r="S50" s="69" t="n">
        <f aca="false">-S33*Inputs!$B$44</f>
        <v>-1490.01664</v>
      </c>
      <c r="T50" s="69" t="n">
        <f aca="false">-T33*Inputs!$B$44</f>
        <v>-1655.81824</v>
      </c>
      <c r="U50" s="69" t="n">
        <f aca="false">-U33*Inputs!$B$44</f>
        <v>-1655.81824</v>
      </c>
      <c r="V50" s="69" t="n">
        <f aca="false">-V33*Inputs!$B$44</f>
        <v>-1655.81824</v>
      </c>
      <c r="W50" s="69" t="n">
        <f aca="false">-W33*Inputs!$B$44</f>
        <v>-1490.01664</v>
      </c>
      <c r="X50" s="69" t="n">
        <f aca="false">-X33*Inputs!$B$44</f>
        <v>-1490.01664</v>
      </c>
      <c r="Y50" s="69" t="n">
        <f aca="false">-Y33*Inputs!$B$44</f>
        <v>-1490.01664</v>
      </c>
      <c r="Z50" s="69" t="n">
        <f aca="false">-Z33*Inputs!$B$44</f>
        <v>-1655.81824</v>
      </c>
      <c r="AA50" s="69" t="n">
        <f aca="false">-AA33*Inputs!$B$44</f>
        <v>-1504.9168064</v>
      </c>
      <c r="AB50" s="69" t="n">
        <f aca="false">-AB33*Inputs!$B$44</f>
        <v>-1504.9168064</v>
      </c>
      <c r="AC50" s="69" t="n">
        <f aca="false">-AC33*Inputs!$B$44</f>
        <v>-1504.9168064</v>
      </c>
      <c r="AD50" s="69" t="n">
        <f aca="false">-AD33*Inputs!$B$44</f>
        <v>-1504.9168064</v>
      </c>
      <c r="AE50" s="69" t="n">
        <f aca="false">-AE33*Inputs!$B$44</f>
        <v>-1504.9168064</v>
      </c>
      <c r="AF50" s="69" t="n">
        <f aca="false">-AF33*Inputs!$B$44</f>
        <v>-1672.3764224</v>
      </c>
      <c r="AG50" s="69" t="n">
        <f aca="false">-AG33*Inputs!$B$44</f>
        <v>-1672.3764224</v>
      </c>
      <c r="AH50" s="69" t="n">
        <f aca="false">-AH33*Inputs!$B$44</f>
        <v>-1672.3764224</v>
      </c>
      <c r="AI50" s="69" t="n">
        <f aca="false">-AI33*Inputs!$B$44</f>
        <v>-1504.9168064</v>
      </c>
      <c r="AJ50" s="69" t="n">
        <f aca="false">-AJ33*Inputs!$B$44</f>
        <v>-1504.9168064</v>
      </c>
      <c r="AK50" s="69" t="n">
        <f aca="false">-AK33*Inputs!$B$44</f>
        <v>-1504.9168064</v>
      </c>
      <c r="AL50" s="69" t="n">
        <f aca="false">-AL33*Inputs!$B$44</f>
        <v>-1672.3764224</v>
      </c>
    </row>
    <row r="51" customFormat="false" ht="15" hidden="false" customHeight="false" outlineLevel="0" collapsed="false">
      <c r="A51" s="115" t="s">
        <v>77</v>
      </c>
      <c r="C51" s="70" t="n">
        <f aca="false">C45+C46+C47+C48+C49+C50</f>
        <v>-35180.0792</v>
      </c>
      <c r="D51" s="70" t="n">
        <f aca="false">D45+D46+D47+D48+D49+D50</f>
        <v>-35253.8424</v>
      </c>
      <c r="E51" s="70" t="n">
        <f aca="false">E45+E46+E47+E48+E49+E50</f>
        <v>-35327.6056</v>
      </c>
      <c r="F51" s="70" t="n">
        <f aca="false">F45+F46+F47+F48+F49+F50</f>
        <v>-35401.3688</v>
      </c>
      <c r="G51" s="70" t="n">
        <f aca="false">G45+G46+G47+G48+G49+G50</f>
        <v>-35475.132</v>
      </c>
      <c r="H51" s="70" t="n">
        <f aca="false">H45+H46+H47+H48+H49+H50</f>
        <v>-35639.1832</v>
      </c>
      <c r="I51" s="70" t="n">
        <f aca="false">I45+I46+I47+I48+I49+I50</f>
        <v>-35721.1544</v>
      </c>
      <c r="J51" s="70" t="n">
        <f aca="false">J45+J46+J47+J48+J49+J50</f>
        <v>-35803.1256</v>
      </c>
      <c r="K51" s="70" t="n">
        <f aca="false">K45+K46+K47+K48+K49+K50</f>
        <v>-35770.1848</v>
      </c>
      <c r="L51" s="70" t="n">
        <f aca="false">L45+L46+L47+L48+L49+L50</f>
        <v>-35843.948</v>
      </c>
      <c r="M51" s="70" t="n">
        <f aca="false">M45+M46+M47+M48+M49+M50</f>
        <v>-35917.7112</v>
      </c>
      <c r="N51" s="70" t="n">
        <f aca="false">N45+N46+N47+N48+N49+N50</f>
        <v>-36131.0104</v>
      </c>
      <c r="O51" s="70" t="n">
        <f aca="false">O45+O46+O47+O48+O49+O50</f>
        <v>-36188.014976</v>
      </c>
      <c r="P51" s="70" t="n">
        <f aca="false">P45+P46+P47+P48+P49+P50</f>
        <v>-36262.515808</v>
      </c>
      <c r="Q51" s="70" t="n">
        <f aca="false">Q45+Q46+Q47+Q48+Q49+Q50</f>
        <v>-36337.01664</v>
      </c>
      <c r="R51" s="70" t="n">
        <f aca="false">R45+R46+R47+R48+R49+R50</f>
        <v>-36337.01664</v>
      </c>
      <c r="S51" s="70" t="n">
        <f aca="false">S45+S46+S47+S48+S49+S50</f>
        <v>-36337.01664</v>
      </c>
      <c r="T51" s="70" t="n">
        <f aca="false">T45+T46+T47+T48+T49+T50</f>
        <v>-36502.81824</v>
      </c>
      <c r="U51" s="70" t="n">
        <f aca="false">U45+U46+U47+U48+U49+U50</f>
        <v>-36502.81824</v>
      </c>
      <c r="V51" s="70" t="n">
        <f aca="false">V45+V46+V47+V48+V49+V50</f>
        <v>-36502.81824</v>
      </c>
      <c r="W51" s="70" t="n">
        <f aca="false">W45+W46+W47+W48+W49+W50</f>
        <v>-36337.01664</v>
      </c>
      <c r="X51" s="70" t="n">
        <f aca="false">X45+X46+X47+X48+X49+X50</f>
        <v>-36337.01664</v>
      </c>
      <c r="Y51" s="70" t="n">
        <f aca="false">Y45+Y46+Y47+Y48+Y49+Y50</f>
        <v>-36337.01664</v>
      </c>
      <c r="Z51" s="70" t="n">
        <f aca="false">Z45+Z46+Z47+Z48+Z49+Z50</f>
        <v>-36502.81824</v>
      </c>
      <c r="AA51" s="70" t="n">
        <f aca="false">AA45+AA46+AA47+AA48+AA49+AA50</f>
        <v>-36820.0968064</v>
      </c>
      <c r="AB51" s="70" t="n">
        <f aca="false">AB45+AB46+AB47+AB48+AB49+AB50</f>
        <v>-36820.0968064</v>
      </c>
      <c r="AC51" s="70" t="n">
        <f aca="false">AC45+AC46+AC47+AC48+AC49+AC50</f>
        <v>-36820.0968064</v>
      </c>
      <c r="AD51" s="70" t="n">
        <f aca="false">AD45+AD46+AD47+AD48+AD49+AD50</f>
        <v>-36820.0968064</v>
      </c>
      <c r="AE51" s="70" t="n">
        <f aca="false">AE45+AE46+AE47+AE48+AE49+AE50</f>
        <v>-36820.0968064</v>
      </c>
      <c r="AF51" s="70" t="n">
        <f aca="false">AF45+AF46+AF47+AF48+AF49+AF50</f>
        <v>-36987.5564224</v>
      </c>
      <c r="AG51" s="70" t="n">
        <f aca="false">AG45+AG46+AG47+AG48+AG49+AG50</f>
        <v>-36987.5564224</v>
      </c>
      <c r="AH51" s="70" t="n">
        <f aca="false">AH45+AH46+AH47+AH48+AH49+AH50</f>
        <v>-36987.5564224</v>
      </c>
      <c r="AI51" s="70" t="n">
        <f aca="false">AI45+AI46+AI47+AI48+AI49+AI50</f>
        <v>-36820.0968064</v>
      </c>
      <c r="AJ51" s="70" t="n">
        <f aca="false">AJ45+AJ46+AJ47+AJ48+AJ49+AJ50</f>
        <v>-36820.0968064</v>
      </c>
      <c r="AK51" s="70" t="n">
        <f aca="false">AK45+AK46+AK47+AK48+AK49+AK50</f>
        <v>-36820.0968064</v>
      </c>
      <c r="AL51" s="70" t="n">
        <f aca="false">AL45+AL46+AL47+AL48+AL49+AL50</f>
        <v>-36987.5564224</v>
      </c>
    </row>
    <row r="52" customFormat="false" ht="15" hidden="false" customHeight="false" outlineLevel="0" collapsed="false">
      <c r="A52" s="115" t="s">
        <v>48</v>
      </c>
      <c r="C52" s="70" t="n">
        <f aca="false">C42+C51</f>
        <v>-29516.1925333333</v>
      </c>
      <c r="D52" s="70" t="n">
        <f aca="false">D42+D51</f>
        <v>-28007.0857333333</v>
      </c>
      <c r="E52" s="70" t="n">
        <f aca="false">E42+E51</f>
        <v>-26497.9789333333</v>
      </c>
      <c r="F52" s="70" t="n">
        <f aca="false">F42+F51</f>
        <v>-24988.8721333333</v>
      </c>
      <c r="G52" s="70" t="n">
        <f aca="false">G42+G51</f>
        <v>-23479.7653333333</v>
      </c>
      <c r="H52" s="70" t="n">
        <f aca="false">H42+H51</f>
        <v>-19634.4565333333</v>
      </c>
      <c r="I52" s="70" t="n">
        <f aca="false">I42+I51</f>
        <v>-17912.9677333333</v>
      </c>
      <c r="J52" s="70" t="n">
        <f aca="false">J42+J51</f>
        <v>-16191.4789333333</v>
      </c>
      <c r="K52" s="70" t="n">
        <f aca="false">K42+K51</f>
        <v>-17443.3381333333</v>
      </c>
      <c r="L52" s="70" t="n">
        <f aca="false">L42+L51</f>
        <v>-15934.2313333333</v>
      </c>
      <c r="M52" s="70" t="n">
        <f aca="false">M42+M51</f>
        <v>-14425.1245333333</v>
      </c>
      <c r="N52" s="70" t="n">
        <f aca="false">N42+N51</f>
        <v>-9305.52373333334</v>
      </c>
      <c r="O52" s="70" t="n">
        <f aca="false">O42+O51</f>
        <v>-11523.4552426667</v>
      </c>
      <c r="P52" s="70" t="n">
        <f aca="false">P42+P51</f>
        <v>-10006.2212746667</v>
      </c>
      <c r="Q52" s="70" t="n">
        <f aca="false">Q42+Q51</f>
        <v>-8488.98730666667</v>
      </c>
      <c r="R52" s="70" t="n">
        <f aca="false">R42+R51</f>
        <v>-8488.98730666667</v>
      </c>
      <c r="S52" s="70" t="n">
        <f aca="false">S42+S51</f>
        <v>-8488.98730666667</v>
      </c>
      <c r="T52" s="70" t="n">
        <f aca="false">T42+T51</f>
        <v>-4220.41690666666</v>
      </c>
      <c r="U52" s="70" t="n">
        <f aca="false">U42+U51</f>
        <v>-4220.41690666666</v>
      </c>
      <c r="V52" s="70" t="n">
        <f aca="false">V42+V51</f>
        <v>-4220.41690666666</v>
      </c>
      <c r="W52" s="70" t="n">
        <f aca="false">W42+W51</f>
        <v>-8488.98730666667</v>
      </c>
      <c r="X52" s="70" t="n">
        <f aca="false">X42+X51</f>
        <v>-8488.98730666667</v>
      </c>
      <c r="Y52" s="70" t="n">
        <f aca="false">Y42+Y51</f>
        <v>-8488.98730666667</v>
      </c>
      <c r="Z52" s="70" t="n">
        <f aca="false">Z42+Z51</f>
        <v>-4220.41690666666</v>
      </c>
      <c r="AA52" s="70" t="n">
        <f aca="false">AA42+AA51</f>
        <v>-8958.03629973334</v>
      </c>
      <c r="AB52" s="70" t="n">
        <f aca="false">AB42+AB51</f>
        <v>-8958.03629973334</v>
      </c>
      <c r="AC52" s="70" t="n">
        <f aca="false">AC42+AC51</f>
        <v>-8958.03629973334</v>
      </c>
      <c r="AD52" s="70" t="n">
        <f aca="false">AD42+AD51</f>
        <v>-8958.03629973334</v>
      </c>
      <c r="AE52" s="70" t="n">
        <f aca="false">AE42+AE51</f>
        <v>-8958.03629973334</v>
      </c>
      <c r="AF52" s="70" t="n">
        <f aca="false">AF42+AF51</f>
        <v>-4669.18803573334</v>
      </c>
      <c r="AG52" s="70" t="n">
        <f aca="false">AG42+AG51</f>
        <v>-4669.18803573334</v>
      </c>
      <c r="AH52" s="70" t="n">
        <f aca="false">AH42+AH51</f>
        <v>-4669.18803573334</v>
      </c>
      <c r="AI52" s="70" t="n">
        <f aca="false">AI42+AI51</f>
        <v>-8958.03629973334</v>
      </c>
      <c r="AJ52" s="70" t="n">
        <f aca="false">AJ42+AJ51</f>
        <v>-8958.03629973334</v>
      </c>
      <c r="AK52" s="70" t="n">
        <f aca="false">AK42+AK51</f>
        <v>-8958.03629973334</v>
      </c>
      <c r="AL52" s="70" t="n">
        <f aca="false">AL42+AL51</f>
        <v>-4669.18803573334</v>
      </c>
    </row>
    <row r="54" customFormat="false" ht="15.75" hidden="false" customHeight="true" outlineLevel="0" collapsed="false">
      <c r="A54" s="7" t="s">
        <v>402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customFormat="false" ht="15" hidden="false" customHeight="false" outlineLevel="0" collapsed="false">
      <c r="A55" s="4" t="s">
        <v>79</v>
      </c>
      <c r="C55" s="75" t="n">
        <f aca="false">C52+C72</f>
        <v>-31484.9425333333</v>
      </c>
      <c r="D55" s="75" t="n">
        <f aca="false">D52+D72</f>
        <v>-29975.8357333333</v>
      </c>
      <c r="E55" s="75" t="n">
        <f aca="false">E52+E72</f>
        <v>-28466.7289333333</v>
      </c>
      <c r="F55" s="75" t="n">
        <f aca="false">F52+F72</f>
        <v>-26957.6221333333</v>
      </c>
      <c r="G55" s="75" t="n">
        <f aca="false">G52+G72</f>
        <v>-25448.5153333333</v>
      </c>
      <c r="H55" s="75" t="n">
        <f aca="false">H52+H72</f>
        <v>-21603.2065333333</v>
      </c>
      <c r="I55" s="75" t="n">
        <f aca="false">I52+I72</f>
        <v>-19881.7177333333</v>
      </c>
      <c r="J55" s="75" t="n">
        <f aca="false">J52+J72</f>
        <v>-18160.2289333333</v>
      </c>
      <c r="K55" s="75" t="n">
        <f aca="false">K52+K72</f>
        <v>-19412.0881333333</v>
      </c>
      <c r="L55" s="75" t="n">
        <f aca="false">L52+L72</f>
        <v>-17902.9813333333</v>
      </c>
      <c r="M55" s="75" t="n">
        <f aca="false">M52+M72</f>
        <v>-16393.8745333333</v>
      </c>
      <c r="N55" s="75" t="n">
        <f aca="false">N52+N72</f>
        <v>-11274.2737333333</v>
      </c>
      <c r="O55" s="75" t="n">
        <f aca="false">O52+O72</f>
        <v>-13596.3719093333</v>
      </c>
      <c r="P55" s="75" t="n">
        <f aca="false">P52+P72</f>
        <v>-12079.1379413333</v>
      </c>
      <c r="Q55" s="75" t="n">
        <f aca="false">Q52+Q72</f>
        <v>-10561.9039733333</v>
      </c>
      <c r="R55" s="75" t="n">
        <f aca="false">R52+R72</f>
        <v>-10561.9039733333</v>
      </c>
      <c r="S55" s="75" t="n">
        <f aca="false">S52+S72</f>
        <v>-10561.9039733333</v>
      </c>
      <c r="T55" s="75" t="n">
        <f aca="false">T52+T72</f>
        <v>-6293.33357333333</v>
      </c>
      <c r="U55" s="75" t="n">
        <f aca="false">U52+U72</f>
        <v>-6293.33357333333</v>
      </c>
      <c r="V55" s="75" t="n">
        <f aca="false">V52+V72</f>
        <v>-6293.33357333333</v>
      </c>
      <c r="W55" s="75" t="n">
        <f aca="false">W52+W72</f>
        <v>-10561.9039733333</v>
      </c>
      <c r="X55" s="75" t="n">
        <f aca="false">X52+X72</f>
        <v>-10561.9039733333</v>
      </c>
      <c r="Y55" s="75" t="n">
        <f aca="false">Y52+Y72</f>
        <v>-10561.9039733333</v>
      </c>
      <c r="Z55" s="75" t="n">
        <f aca="false">Z52+Z72</f>
        <v>-6293.33357333333</v>
      </c>
      <c r="AA55" s="75" t="n">
        <f aca="false">AA52+AA72</f>
        <v>-11135.1196330667</v>
      </c>
      <c r="AB55" s="75" t="n">
        <f aca="false">AB52+AB72</f>
        <v>-11135.1196330667</v>
      </c>
      <c r="AC55" s="75" t="n">
        <f aca="false">AC52+AC72</f>
        <v>-11135.1196330667</v>
      </c>
      <c r="AD55" s="75" t="n">
        <f aca="false">AD52+AD72</f>
        <v>-11135.1196330667</v>
      </c>
      <c r="AE55" s="75" t="n">
        <f aca="false">AE52+AE72</f>
        <v>-11135.1196330667</v>
      </c>
      <c r="AF55" s="75" t="n">
        <f aca="false">AF52+AF72</f>
        <v>-6846.27136906667</v>
      </c>
      <c r="AG55" s="75" t="n">
        <f aca="false">AG52+AG72</f>
        <v>-6846.27136906667</v>
      </c>
      <c r="AH55" s="75" t="n">
        <f aca="false">AH52+AH72</f>
        <v>-6846.27136906667</v>
      </c>
      <c r="AI55" s="75" t="n">
        <f aca="false">AI52+AI72</f>
        <v>-11135.1196330667</v>
      </c>
      <c r="AJ55" s="75" t="n">
        <f aca="false">AJ52+AJ72</f>
        <v>-11135.1196330667</v>
      </c>
      <c r="AK55" s="75" t="n">
        <f aca="false">AK52+AK72</f>
        <v>-11135.1196330667</v>
      </c>
      <c r="AL55" s="75" t="n">
        <f aca="false">AL52+AL72</f>
        <v>-6846.27136906667</v>
      </c>
    </row>
    <row r="56" customFormat="false" ht="15" hidden="false" customHeight="false" outlineLevel="0" collapsed="false">
      <c r="A56" s="6" t="s">
        <v>403</v>
      </c>
      <c r="C56" s="69" t="n">
        <f aca="false">-(C77+C78+C80)/2*Inputs!$B$73/12</f>
        <v>-750</v>
      </c>
      <c r="D56" s="69" t="n">
        <f aca="false">-(D77+D78+D80)/2*Inputs!$B$73/12</f>
        <v>-743.75</v>
      </c>
      <c r="E56" s="69" t="n">
        <f aca="false">-(E77+E78+E80)/2*Inputs!$B$73/12</f>
        <v>-731.25</v>
      </c>
      <c r="F56" s="69" t="n">
        <f aca="false">-(F77+F78+F80)/2*Inputs!$B$73/12</f>
        <v>-718.75</v>
      </c>
      <c r="G56" s="69" t="n">
        <f aca="false">-(G77+G78+G80)/2*Inputs!$B$73/12</f>
        <v>-706.25</v>
      </c>
      <c r="H56" s="69" t="n">
        <f aca="false">-(H77+H78+H80)/2*Inputs!$B$73/12</f>
        <v>-693.75</v>
      </c>
      <c r="I56" s="69" t="n">
        <f aca="false">-(I77+I78+I80)/2*Inputs!$B$73/12</f>
        <v>-681.25</v>
      </c>
      <c r="J56" s="69" t="n">
        <f aca="false">-(J77+J78+J80)/2*Inputs!$B$73/12</f>
        <v>-668.75</v>
      </c>
      <c r="K56" s="69" t="n">
        <f aca="false">-(K77+K78+K80)/2*Inputs!$B$73/12</f>
        <v>-656.25</v>
      </c>
      <c r="L56" s="69" t="n">
        <f aca="false">-(L77+L78+L80)/2*Inputs!$B$73/12</f>
        <v>-643.75</v>
      </c>
      <c r="M56" s="69" t="n">
        <f aca="false">-(M77+M78+M80)/2*Inputs!$B$73/12</f>
        <v>-631.25</v>
      </c>
      <c r="N56" s="69" t="n">
        <f aca="false">-(N77+N78+N80)/2*Inputs!$B$73/12</f>
        <v>-618.75</v>
      </c>
      <c r="O56" s="69" t="n">
        <f aca="false">-(O77+O78+O80)/2*Inputs!$B$73/12</f>
        <v>-606.25</v>
      </c>
      <c r="P56" s="69" t="n">
        <f aca="false">-(P77+P78+P80)/2*Inputs!$B$73/12</f>
        <v>-593.749999999999</v>
      </c>
      <c r="Q56" s="69" t="n">
        <f aca="false">-(Q77+Q78+Q80)/2*Inputs!$B$73/12</f>
        <v>-581.25</v>
      </c>
      <c r="R56" s="69" t="n">
        <f aca="false">-(R77+R78+R80)/2*Inputs!$B$73/12</f>
        <v>-568.749999999999</v>
      </c>
      <c r="S56" s="69" t="n">
        <f aca="false">-(S77+S78+S80)/2*Inputs!$B$73/12</f>
        <v>-556.249999999999</v>
      </c>
      <c r="T56" s="69" t="n">
        <f aca="false">-(T77+T78+T80)/2*Inputs!$B$73/12</f>
        <v>-543.749999999999</v>
      </c>
      <c r="U56" s="69" t="n">
        <f aca="false">-(U77+U78+U80)/2*Inputs!$B$73/12</f>
        <v>-531.249999999999</v>
      </c>
      <c r="V56" s="69" t="n">
        <f aca="false">-(V77+V78+V80)/2*Inputs!$B$73/12</f>
        <v>-518.749999999999</v>
      </c>
      <c r="W56" s="69" t="n">
        <f aca="false">-(W77+W78+W80)/2*Inputs!$B$73/12</f>
        <v>-506.249999999999</v>
      </c>
      <c r="X56" s="69" t="n">
        <f aca="false">-(X77+X78+X80)/2*Inputs!$B$73/12</f>
        <v>-493.749999999999</v>
      </c>
      <c r="Y56" s="69" t="n">
        <f aca="false">-(Y77+Y78+Y80)/2*Inputs!$B$73/12</f>
        <v>-481.249999999999</v>
      </c>
      <c r="Z56" s="69" t="n">
        <f aca="false">-(Z77+Z78+Z80)/2*Inputs!$B$73/12</f>
        <v>-468.749999999999</v>
      </c>
      <c r="AA56" s="69" t="n">
        <f aca="false">-(AA77+AA78+AA80)/2*Inputs!$B$73/12</f>
        <v>-456.249999999999</v>
      </c>
      <c r="AB56" s="69" t="n">
        <f aca="false">-(AB77+AB78+AB80)/2*Inputs!$B$73/12</f>
        <v>-443.749999999999</v>
      </c>
      <c r="AC56" s="69" t="n">
        <f aca="false">-(AC77+AC78+AC80)/2*Inputs!$B$73/12</f>
        <v>-431.249999999999</v>
      </c>
      <c r="AD56" s="69" t="n">
        <f aca="false">-(AD77+AD78+AD80)/2*Inputs!$B$73/12</f>
        <v>-418.749999999999</v>
      </c>
      <c r="AE56" s="69" t="n">
        <f aca="false">-(AE77+AE78+AE80)/2*Inputs!$B$73/12</f>
        <v>-406.249999999999</v>
      </c>
      <c r="AF56" s="69" t="n">
        <f aca="false">-(AF77+AF78+AF80)/2*Inputs!$B$73/12</f>
        <v>-393.75</v>
      </c>
      <c r="AG56" s="69" t="n">
        <f aca="false">-(AG77+AG78+AG80)/2*Inputs!$B$73/12</f>
        <v>-381.249999999999</v>
      </c>
      <c r="AH56" s="69" t="n">
        <f aca="false">-(AH77+AH78+AH80)/2*Inputs!$B$73/12</f>
        <v>-368.75</v>
      </c>
      <c r="AI56" s="69" t="n">
        <f aca="false">-(AI77+AI78+AI80)/2*Inputs!$B$73/12</f>
        <v>-356.25</v>
      </c>
      <c r="AJ56" s="69" t="n">
        <f aca="false">-(AJ77+AJ78+AJ80)/2*Inputs!$B$73/12</f>
        <v>-343.75</v>
      </c>
      <c r="AK56" s="69" t="n">
        <f aca="false">-(AK77+AK78+AK80)/2*Inputs!$B$73/12</f>
        <v>-331.25</v>
      </c>
      <c r="AL56" s="69" t="n">
        <f aca="false">-(AL77+AL78+AL80)/2*Inputs!$B$73/12</f>
        <v>-318.75</v>
      </c>
    </row>
    <row r="57" customFormat="false" ht="15" hidden="false" customHeight="false" outlineLevel="0" collapsed="false">
      <c r="A57" s="115" t="s">
        <v>81</v>
      </c>
      <c r="C57" s="70" t="n">
        <f aca="false">C55+C56</f>
        <v>-32234.9425333333</v>
      </c>
      <c r="D57" s="70" t="n">
        <f aca="false">D55+D56</f>
        <v>-30719.5857333333</v>
      </c>
      <c r="E57" s="70" t="n">
        <f aca="false">E55+E56</f>
        <v>-29197.9789333333</v>
      </c>
      <c r="F57" s="70" t="n">
        <f aca="false">F55+F56</f>
        <v>-27676.3721333333</v>
      </c>
      <c r="G57" s="70" t="n">
        <f aca="false">G55+G56</f>
        <v>-26154.7653333333</v>
      </c>
      <c r="H57" s="70" t="n">
        <f aca="false">H55+H56</f>
        <v>-22296.9565333333</v>
      </c>
      <c r="I57" s="70" t="n">
        <f aca="false">I55+I56</f>
        <v>-20562.9677333333</v>
      </c>
      <c r="J57" s="70" t="n">
        <f aca="false">J55+J56</f>
        <v>-18828.9789333333</v>
      </c>
      <c r="K57" s="70" t="n">
        <f aca="false">K55+K56</f>
        <v>-20068.3381333333</v>
      </c>
      <c r="L57" s="70" t="n">
        <f aca="false">L55+L56</f>
        <v>-18546.7313333333</v>
      </c>
      <c r="M57" s="70" t="n">
        <f aca="false">M55+M56</f>
        <v>-17025.1245333333</v>
      </c>
      <c r="N57" s="70" t="n">
        <f aca="false">N55+N56</f>
        <v>-11893.0237333333</v>
      </c>
      <c r="O57" s="70" t="n">
        <f aca="false">O55+O56</f>
        <v>-14202.6219093333</v>
      </c>
      <c r="P57" s="70" t="n">
        <f aca="false">P55+P56</f>
        <v>-12672.8879413333</v>
      </c>
      <c r="Q57" s="70" t="n">
        <f aca="false">Q55+Q56</f>
        <v>-11143.1539733333</v>
      </c>
      <c r="R57" s="70" t="n">
        <f aca="false">R55+R56</f>
        <v>-11130.6539733333</v>
      </c>
      <c r="S57" s="70" t="n">
        <f aca="false">S55+S56</f>
        <v>-11118.1539733333</v>
      </c>
      <c r="T57" s="70" t="n">
        <f aca="false">T55+T56</f>
        <v>-6837.08357333333</v>
      </c>
      <c r="U57" s="70" t="n">
        <f aca="false">U55+U56</f>
        <v>-6824.58357333333</v>
      </c>
      <c r="V57" s="70" t="n">
        <f aca="false">V55+V56</f>
        <v>-6812.08357333333</v>
      </c>
      <c r="W57" s="70" t="n">
        <f aca="false">W55+W56</f>
        <v>-11068.1539733333</v>
      </c>
      <c r="X57" s="70" t="n">
        <f aca="false">X55+X56</f>
        <v>-11055.6539733333</v>
      </c>
      <c r="Y57" s="70" t="n">
        <f aca="false">Y55+Y56</f>
        <v>-11043.1539733333</v>
      </c>
      <c r="Z57" s="70" t="n">
        <f aca="false">Z55+Z56</f>
        <v>-6762.08357333333</v>
      </c>
      <c r="AA57" s="70" t="n">
        <f aca="false">AA55+AA56</f>
        <v>-11591.3696330667</v>
      </c>
      <c r="AB57" s="70" t="n">
        <f aca="false">AB55+AB56</f>
        <v>-11578.8696330667</v>
      </c>
      <c r="AC57" s="70" t="n">
        <f aca="false">AC55+AC56</f>
        <v>-11566.3696330667</v>
      </c>
      <c r="AD57" s="70" t="n">
        <f aca="false">AD55+AD56</f>
        <v>-11553.8696330667</v>
      </c>
      <c r="AE57" s="70" t="n">
        <f aca="false">AE55+AE56</f>
        <v>-11541.3696330667</v>
      </c>
      <c r="AF57" s="70" t="n">
        <f aca="false">AF55+AF56</f>
        <v>-7240.02136906667</v>
      </c>
      <c r="AG57" s="70" t="n">
        <f aca="false">AG55+AG56</f>
        <v>-7227.52136906667</v>
      </c>
      <c r="AH57" s="70" t="n">
        <f aca="false">AH55+AH56</f>
        <v>-7215.02136906667</v>
      </c>
      <c r="AI57" s="70" t="n">
        <f aca="false">AI55+AI56</f>
        <v>-11491.3696330667</v>
      </c>
      <c r="AJ57" s="70" t="n">
        <f aca="false">AJ55+AJ56</f>
        <v>-11478.8696330667</v>
      </c>
      <c r="AK57" s="70" t="n">
        <f aca="false">AK55+AK56</f>
        <v>-11466.3696330667</v>
      </c>
      <c r="AL57" s="70" t="n">
        <f aca="false">AL55+AL56</f>
        <v>-7165.02136906667</v>
      </c>
    </row>
    <row r="58" customFormat="false" ht="15" hidden="false" customHeight="false" outlineLevel="0" collapsed="false">
      <c r="A58" s="118" t="s">
        <v>404</v>
      </c>
      <c r="C58" s="69" t="n">
        <f aca="false">C57</f>
        <v>-32234.9425333333</v>
      </c>
      <c r="D58" s="69" t="n">
        <f aca="false">C58+D57</f>
        <v>-62954.5282666667</v>
      </c>
      <c r="E58" s="69" t="n">
        <f aca="false">D58+E57</f>
        <v>-92152.5072</v>
      </c>
      <c r="F58" s="69" t="n">
        <f aca="false">E58+F57</f>
        <v>-119828.879333333</v>
      </c>
      <c r="G58" s="69" t="n">
        <f aca="false">F58+G57</f>
        <v>-145983.644666667</v>
      </c>
      <c r="H58" s="69" t="n">
        <f aca="false">G58+H57</f>
        <v>-168280.6012</v>
      </c>
      <c r="I58" s="69" t="n">
        <f aca="false">H58+I57</f>
        <v>-188843.568933333</v>
      </c>
      <c r="J58" s="69" t="n">
        <f aca="false">I58+J57</f>
        <v>-207672.547866667</v>
      </c>
      <c r="K58" s="69" t="n">
        <f aca="false">J58+K57</f>
        <v>-227740.886</v>
      </c>
      <c r="L58" s="69" t="n">
        <f aca="false">K58+L57</f>
        <v>-246287.617333333</v>
      </c>
      <c r="M58" s="69" t="n">
        <f aca="false">L58+M57</f>
        <v>-263312.741866667</v>
      </c>
      <c r="N58" s="69" t="n">
        <f aca="false">M58+N57</f>
        <v>-275205.7656</v>
      </c>
      <c r="O58" s="69" t="n">
        <f aca="false">N58+O57</f>
        <v>-289408.387509333</v>
      </c>
      <c r="P58" s="69" t="n">
        <f aca="false">O58+P57</f>
        <v>-302081.275450667</v>
      </c>
      <c r="Q58" s="69" t="n">
        <f aca="false">P58+Q57</f>
        <v>-313224.429424</v>
      </c>
      <c r="R58" s="69" t="n">
        <f aca="false">Q58+R57</f>
        <v>-324355.083397333</v>
      </c>
      <c r="S58" s="69" t="n">
        <f aca="false">R58+S57</f>
        <v>-335473.237370667</v>
      </c>
      <c r="T58" s="69" t="n">
        <f aca="false">S58+T57</f>
        <v>-342310.320944</v>
      </c>
      <c r="U58" s="69" t="n">
        <f aca="false">T58+U57</f>
        <v>-349134.904517333</v>
      </c>
      <c r="V58" s="69" t="n">
        <f aca="false">U58+V57</f>
        <v>-355946.988090667</v>
      </c>
      <c r="W58" s="69" t="n">
        <f aca="false">V58+W57</f>
        <v>-367015.142064</v>
      </c>
      <c r="X58" s="69" t="n">
        <f aca="false">W58+X57</f>
        <v>-378070.796037333</v>
      </c>
      <c r="Y58" s="69" t="n">
        <f aca="false">X58+Y57</f>
        <v>-389113.950010667</v>
      </c>
      <c r="Z58" s="69" t="n">
        <f aca="false">Y58+Z57</f>
        <v>-395876.033584</v>
      </c>
      <c r="AA58" s="69" t="n">
        <f aca="false">Z58+AA57</f>
        <v>-407467.403217067</v>
      </c>
      <c r="AB58" s="69" t="n">
        <f aca="false">AA58+AB57</f>
        <v>-419046.272850133</v>
      </c>
      <c r="AC58" s="69" t="n">
        <f aca="false">AB58+AC57</f>
        <v>-430612.6424832</v>
      </c>
      <c r="AD58" s="69" t="n">
        <f aca="false">AC58+AD57</f>
        <v>-442166.512116267</v>
      </c>
      <c r="AE58" s="69" t="n">
        <f aca="false">AD58+AE57</f>
        <v>-453707.881749333</v>
      </c>
      <c r="AF58" s="69" t="n">
        <f aca="false">AE58+AF57</f>
        <v>-460947.9031184</v>
      </c>
      <c r="AG58" s="69" t="n">
        <f aca="false">AF58+AG57</f>
        <v>-468175.424487467</v>
      </c>
      <c r="AH58" s="69" t="n">
        <f aca="false">AG58+AH57</f>
        <v>-475390.445856533</v>
      </c>
      <c r="AI58" s="69" t="n">
        <f aca="false">AH58+AI57</f>
        <v>-486881.8154896</v>
      </c>
      <c r="AJ58" s="69" t="n">
        <f aca="false">AI58+AJ57</f>
        <v>-498360.685122667</v>
      </c>
      <c r="AK58" s="69" t="n">
        <f aca="false">AJ58+AK57</f>
        <v>-509827.054755733</v>
      </c>
      <c r="AL58" s="69" t="n">
        <f aca="false">AK58+AL57</f>
        <v>-516992.0761248</v>
      </c>
    </row>
    <row r="59" customFormat="false" ht="15" hidden="false" customHeight="false" outlineLevel="0" collapsed="false">
      <c r="A59" s="118" t="s">
        <v>405</v>
      </c>
      <c r="C59" s="69" t="n">
        <f aca="false">MAX(0,C58)</f>
        <v>0</v>
      </c>
      <c r="D59" s="69" t="n">
        <f aca="false">MAX(C59,D58)</f>
        <v>0</v>
      </c>
      <c r="E59" s="69" t="n">
        <f aca="false">MAX(D59,E58)</f>
        <v>0</v>
      </c>
      <c r="F59" s="69" t="n">
        <f aca="false">MAX(E59,F58)</f>
        <v>0</v>
      </c>
      <c r="G59" s="69" t="n">
        <f aca="false">MAX(F59,G58)</f>
        <v>0</v>
      </c>
      <c r="H59" s="69" t="n">
        <f aca="false">MAX(G59,H58)</f>
        <v>0</v>
      </c>
      <c r="I59" s="69" t="n">
        <f aca="false">MAX(H59,I58)</f>
        <v>0</v>
      </c>
      <c r="J59" s="69" t="n">
        <f aca="false">MAX(I59,J58)</f>
        <v>0</v>
      </c>
      <c r="K59" s="69" t="n">
        <f aca="false">MAX(J59,K58)</f>
        <v>0</v>
      </c>
      <c r="L59" s="69" t="n">
        <f aca="false">MAX(K59,L58)</f>
        <v>0</v>
      </c>
      <c r="M59" s="69" t="n">
        <f aca="false">MAX(L59,M58)</f>
        <v>0</v>
      </c>
      <c r="N59" s="69" t="n">
        <f aca="false">MAX(M59,N58)</f>
        <v>0</v>
      </c>
      <c r="O59" s="69" t="n">
        <f aca="false">MAX(N59,O58)</f>
        <v>0</v>
      </c>
      <c r="P59" s="69" t="n">
        <f aca="false">MAX(O59,P58)</f>
        <v>0</v>
      </c>
      <c r="Q59" s="69" t="n">
        <f aca="false">MAX(P59,Q58)</f>
        <v>0</v>
      </c>
      <c r="R59" s="69" t="n">
        <f aca="false">MAX(Q59,R58)</f>
        <v>0</v>
      </c>
      <c r="S59" s="69" t="n">
        <f aca="false">MAX(R59,S58)</f>
        <v>0</v>
      </c>
      <c r="T59" s="69" t="n">
        <f aca="false">MAX(S59,T58)</f>
        <v>0</v>
      </c>
      <c r="U59" s="69" t="n">
        <f aca="false">MAX(T59,U58)</f>
        <v>0</v>
      </c>
      <c r="V59" s="69" t="n">
        <f aca="false">MAX(U59,V58)</f>
        <v>0</v>
      </c>
      <c r="W59" s="69" t="n">
        <f aca="false">MAX(V59,W58)</f>
        <v>0</v>
      </c>
      <c r="X59" s="69" t="n">
        <f aca="false">MAX(W59,X58)</f>
        <v>0</v>
      </c>
      <c r="Y59" s="69" t="n">
        <f aca="false">MAX(X59,Y58)</f>
        <v>0</v>
      </c>
      <c r="Z59" s="69" t="n">
        <f aca="false">MAX(Y59,Z58)</f>
        <v>0</v>
      </c>
      <c r="AA59" s="69" t="n">
        <f aca="false">MAX(Z59,AA58)</f>
        <v>0</v>
      </c>
      <c r="AB59" s="69" t="n">
        <f aca="false">MAX(AA59,AB58)</f>
        <v>0</v>
      </c>
      <c r="AC59" s="69" t="n">
        <f aca="false">MAX(AB59,AC58)</f>
        <v>0</v>
      </c>
      <c r="AD59" s="69" t="n">
        <f aca="false">MAX(AC59,AD58)</f>
        <v>0</v>
      </c>
      <c r="AE59" s="69" t="n">
        <f aca="false">MAX(AD59,AE58)</f>
        <v>0</v>
      </c>
      <c r="AF59" s="69" t="n">
        <f aca="false">MAX(AE59,AF58)</f>
        <v>0</v>
      </c>
      <c r="AG59" s="69" t="n">
        <f aca="false">MAX(AF59,AG58)</f>
        <v>0</v>
      </c>
      <c r="AH59" s="69" t="n">
        <f aca="false">MAX(AG59,AH58)</f>
        <v>0</v>
      </c>
      <c r="AI59" s="69" t="n">
        <f aca="false">MAX(AH59,AI58)</f>
        <v>0</v>
      </c>
      <c r="AJ59" s="69" t="n">
        <f aca="false">MAX(AI59,AJ58)</f>
        <v>0</v>
      </c>
      <c r="AK59" s="69" t="n">
        <f aca="false">MAX(AJ59,AK58)</f>
        <v>0</v>
      </c>
      <c r="AL59" s="69" t="n">
        <f aca="false">MAX(AK59,AL58)</f>
        <v>0</v>
      </c>
    </row>
    <row r="60" customFormat="false" ht="15" hidden="false" customHeight="false" outlineLevel="0" collapsed="false">
      <c r="A60" s="6" t="s">
        <v>82</v>
      </c>
      <c r="C60" s="69" t="n">
        <f aca="false">-C59*Inputs!$B$83</f>
        <v>-0</v>
      </c>
      <c r="D60" s="69" t="n">
        <f aca="false">-(D59-C59)*Inputs!$B$83</f>
        <v>-0</v>
      </c>
      <c r="E60" s="69" t="n">
        <f aca="false">-(E59-D59)*Inputs!$B$83</f>
        <v>-0</v>
      </c>
      <c r="F60" s="69" t="n">
        <f aca="false">-(F59-E59)*Inputs!$B$83</f>
        <v>-0</v>
      </c>
      <c r="G60" s="69" t="n">
        <f aca="false">-(G59-F59)*Inputs!$B$83</f>
        <v>-0</v>
      </c>
      <c r="H60" s="69" t="n">
        <f aca="false">-(H59-G59)*Inputs!$B$83</f>
        <v>-0</v>
      </c>
      <c r="I60" s="69" t="n">
        <f aca="false">-(I59-H59)*Inputs!$B$83</f>
        <v>-0</v>
      </c>
      <c r="J60" s="69" t="n">
        <f aca="false">-(J59-I59)*Inputs!$B$83</f>
        <v>-0</v>
      </c>
      <c r="K60" s="69" t="n">
        <f aca="false">-(K59-J59)*Inputs!$B$83</f>
        <v>-0</v>
      </c>
      <c r="L60" s="69" t="n">
        <f aca="false">-(L59-K59)*Inputs!$B$83</f>
        <v>-0</v>
      </c>
      <c r="M60" s="69" t="n">
        <f aca="false">-(M59-L59)*Inputs!$B$83</f>
        <v>-0</v>
      </c>
      <c r="N60" s="69" t="n">
        <f aca="false">-(N59-M59)*Inputs!$B$83</f>
        <v>-0</v>
      </c>
      <c r="O60" s="69" t="n">
        <f aca="false">-(O59-N59)*Inputs!$B$83</f>
        <v>-0</v>
      </c>
      <c r="P60" s="69" t="n">
        <f aca="false">-(P59-O59)*Inputs!$B$83</f>
        <v>-0</v>
      </c>
      <c r="Q60" s="69" t="n">
        <f aca="false">-(Q59-P59)*Inputs!$B$83</f>
        <v>-0</v>
      </c>
      <c r="R60" s="69" t="n">
        <f aca="false">-(R59-Q59)*Inputs!$B$83</f>
        <v>-0</v>
      </c>
      <c r="S60" s="69" t="n">
        <f aca="false">-(S59-R59)*Inputs!$B$83</f>
        <v>-0</v>
      </c>
      <c r="T60" s="69" t="n">
        <f aca="false">-(T59-S59)*Inputs!$B$83</f>
        <v>-0</v>
      </c>
      <c r="U60" s="69" t="n">
        <f aca="false">-(U59-T59)*Inputs!$B$83</f>
        <v>-0</v>
      </c>
      <c r="V60" s="69" t="n">
        <f aca="false">-(V59-U59)*Inputs!$B$83</f>
        <v>-0</v>
      </c>
      <c r="W60" s="69" t="n">
        <f aca="false">-(W59-V59)*Inputs!$B$83</f>
        <v>-0</v>
      </c>
      <c r="X60" s="69" t="n">
        <f aca="false">-(X59-W59)*Inputs!$B$83</f>
        <v>-0</v>
      </c>
      <c r="Y60" s="69" t="n">
        <f aca="false">-(Y59-X59)*Inputs!$B$83</f>
        <v>-0</v>
      </c>
      <c r="Z60" s="69" t="n">
        <f aca="false">-(Z59-Y59)*Inputs!$B$83</f>
        <v>-0</v>
      </c>
      <c r="AA60" s="69" t="n">
        <f aca="false">-(AA59-Z59)*Inputs!$B$83</f>
        <v>-0</v>
      </c>
      <c r="AB60" s="69" t="n">
        <f aca="false">-(AB59-AA59)*Inputs!$B$83</f>
        <v>-0</v>
      </c>
      <c r="AC60" s="69" t="n">
        <f aca="false">-(AC59-AB59)*Inputs!$B$83</f>
        <v>-0</v>
      </c>
      <c r="AD60" s="69" t="n">
        <f aca="false">-(AD59-AC59)*Inputs!$B$83</f>
        <v>-0</v>
      </c>
      <c r="AE60" s="69" t="n">
        <f aca="false">-(AE59-AD59)*Inputs!$B$83</f>
        <v>-0</v>
      </c>
      <c r="AF60" s="69" t="n">
        <f aca="false">-(AF59-AE59)*Inputs!$B$83</f>
        <v>-0</v>
      </c>
      <c r="AG60" s="69" t="n">
        <f aca="false">-(AG59-AF59)*Inputs!$B$83</f>
        <v>-0</v>
      </c>
      <c r="AH60" s="69" t="n">
        <f aca="false">-(AH59-AG59)*Inputs!$B$83</f>
        <v>-0</v>
      </c>
      <c r="AI60" s="69" t="n">
        <f aca="false">-(AI59-AH59)*Inputs!$B$83</f>
        <v>-0</v>
      </c>
      <c r="AJ60" s="69" t="n">
        <f aca="false">-(AJ59-AI59)*Inputs!$B$83</f>
        <v>-0</v>
      </c>
      <c r="AK60" s="69" t="n">
        <f aca="false">-(AK59-AJ59)*Inputs!$B$83</f>
        <v>-0</v>
      </c>
      <c r="AL60" s="69" t="n">
        <f aca="false">-(AL59-AK59)*Inputs!$B$83</f>
        <v>-0</v>
      </c>
    </row>
    <row r="61" customFormat="false" ht="15" hidden="false" customHeight="false" outlineLevel="0" collapsed="false">
      <c r="A61" s="115" t="s">
        <v>50</v>
      </c>
      <c r="C61" s="70" t="n">
        <f aca="false">C57+C60</f>
        <v>-32234.9425333333</v>
      </c>
      <c r="D61" s="70" t="n">
        <f aca="false">D57+D60</f>
        <v>-30719.5857333333</v>
      </c>
      <c r="E61" s="70" t="n">
        <f aca="false">E57+E60</f>
        <v>-29197.9789333333</v>
      </c>
      <c r="F61" s="70" t="n">
        <f aca="false">F57+F60</f>
        <v>-27676.3721333333</v>
      </c>
      <c r="G61" s="70" t="n">
        <f aca="false">G57+G60</f>
        <v>-26154.7653333333</v>
      </c>
      <c r="H61" s="70" t="n">
        <f aca="false">H57+H60</f>
        <v>-22296.9565333333</v>
      </c>
      <c r="I61" s="70" t="n">
        <f aca="false">I57+I60</f>
        <v>-20562.9677333333</v>
      </c>
      <c r="J61" s="70" t="n">
        <f aca="false">J57+J60</f>
        <v>-18828.9789333333</v>
      </c>
      <c r="K61" s="70" t="n">
        <f aca="false">K57+K60</f>
        <v>-20068.3381333333</v>
      </c>
      <c r="L61" s="70" t="n">
        <f aca="false">L57+L60</f>
        <v>-18546.7313333333</v>
      </c>
      <c r="M61" s="70" t="n">
        <f aca="false">M57+M60</f>
        <v>-17025.1245333333</v>
      </c>
      <c r="N61" s="70" t="n">
        <f aca="false">N57+N60</f>
        <v>-11893.0237333333</v>
      </c>
      <c r="O61" s="70" t="n">
        <f aca="false">O57+O60</f>
        <v>-14202.6219093333</v>
      </c>
      <c r="P61" s="70" t="n">
        <f aca="false">P57+P60</f>
        <v>-12672.8879413333</v>
      </c>
      <c r="Q61" s="70" t="n">
        <f aca="false">Q57+Q60</f>
        <v>-11143.1539733333</v>
      </c>
      <c r="R61" s="70" t="n">
        <f aca="false">R57+R60</f>
        <v>-11130.6539733333</v>
      </c>
      <c r="S61" s="70" t="n">
        <f aca="false">S57+S60</f>
        <v>-11118.1539733333</v>
      </c>
      <c r="T61" s="70" t="n">
        <f aca="false">T57+T60</f>
        <v>-6837.08357333333</v>
      </c>
      <c r="U61" s="70" t="n">
        <f aca="false">U57+U60</f>
        <v>-6824.58357333333</v>
      </c>
      <c r="V61" s="70" t="n">
        <f aca="false">V57+V60</f>
        <v>-6812.08357333333</v>
      </c>
      <c r="W61" s="70" t="n">
        <f aca="false">W57+W60</f>
        <v>-11068.1539733333</v>
      </c>
      <c r="X61" s="70" t="n">
        <f aca="false">X57+X60</f>
        <v>-11055.6539733333</v>
      </c>
      <c r="Y61" s="70" t="n">
        <f aca="false">Y57+Y60</f>
        <v>-11043.1539733333</v>
      </c>
      <c r="Z61" s="70" t="n">
        <f aca="false">Z57+Z60</f>
        <v>-6762.08357333333</v>
      </c>
      <c r="AA61" s="70" t="n">
        <f aca="false">AA57+AA60</f>
        <v>-11591.3696330667</v>
      </c>
      <c r="AB61" s="70" t="n">
        <f aca="false">AB57+AB60</f>
        <v>-11578.8696330667</v>
      </c>
      <c r="AC61" s="70" t="n">
        <f aca="false">AC57+AC60</f>
        <v>-11566.3696330667</v>
      </c>
      <c r="AD61" s="70" t="n">
        <f aca="false">AD57+AD60</f>
        <v>-11553.8696330667</v>
      </c>
      <c r="AE61" s="70" t="n">
        <f aca="false">AE57+AE60</f>
        <v>-11541.3696330667</v>
      </c>
      <c r="AF61" s="70" t="n">
        <f aca="false">AF57+AF60</f>
        <v>-7240.02136906667</v>
      </c>
      <c r="AG61" s="70" t="n">
        <f aca="false">AG57+AG60</f>
        <v>-7227.52136906667</v>
      </c>
      <c r="AH61" s="70" t="n">
        <f aca="false">AH57+AH60</f>
        <v>-7215.02136906667</v>
      </c>
      <c r="AI61" s="70" t="n">
        <f aca="false">AI57+AI60</f>
        <v>-11491.3696330667</v>
      </c>
      <c r="AJ61" s="70" t="n">
        <f aca="false">AJ57+AJ60</f>
        <v>-11478.8696330667</v>
      </c>
      <c r="AK61" s="70" t="n">
        <f aca="false">AK57+AK60</f>
        <v>-11466.3696330667</v>
      </c>
      <c r="AL61" s="70" t="n">
        <f aca="false">AL57+AL60</f>
        <v>-7165.02136906667</v>
      </c>
    </row>
    <row r="63" customFormat="false" ht="15.75" hidden="false" customHeight="true" outlineLevel="0" collapsed="false">
      <c r="A63" s="7" t="s">
        <v>406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customFormat="false" ht="15" hidden="false" customHeight="false" outlineLevel="0" collapsed="false">
      <c r="A64" s="6" t="s">
        <v>407</v>
      </c>
      <c r="C64" s="69" t="n">
        <f aca="false">IF(C$6=1,Inputs!$B$14*Inputs!$B$48,0)</f>
        <v>24000</v>
      </c>
      <c r="D64" s="69" t="n">
        <f aca="false">IF(D$6=1,Inputs!$B$14*Inputs!$B$48,0)</f>
        <v>0</v>
      </c>
      <c r="E64" s="69" t="n">
        <f aca="false">IF(E$6=1,Inputs!$B$14*Inputs!$B$48,0)</f>
        <v>0</v>
      </c>
      <c r="F64" s="69" t="n">
        <f aca="false">IF(F$6=1,Inputs!$B$14*Inputs!$B$48,0)</f>
        <v>0</v>
      </c>
      <c r="G64" s="69" t="n">
        <f aca="false">IF(G$6=1,Inputs!$B$14*Inputs!$B$48,0)</f>
        <v>0</v>
      </c>
      <c r="H64" s="69" t="n">
        <f aca="false">IF(H$6=1,Inputs!$B$14*Inputs!$B$48,0)</f>
        <v>0</v>
      </c>
      <c r="I64" s="69" t="n">
        <f aca="false">IF(I$6=1,Inputs!$B$14*Inputs!$B$48,0)</f>
        <v>0</v>
      </c>
      <c r="J64" s="69" t="n">
        <f aca="false">IF(J$6=1,Inputs!$B$14*Inputs!$B$48,0)</f>
        <v>0</v>
      </c>
      <c r="K64" s="69" t="n">
        <f aca="false">IF(K$6=1,Inputs!$B$14*Inputs!$B$48,0)</f>
        <v>0</v>
      </c>
      <c r="L64" s="69" t="n">
        <f aca="false">IF(L$6=1,Inputs!$B$14*Inputs!$B$48,0)</f>
        <v>0</v>
      </c>
      <c r="M64" s="69" t="n">
        <f aca="false">IF(M$6=1,Inputs!$B$14*Inputs!$B$48,0)</f>
        <v>0</v>
      </c>
      <c r="N64" s="69" t="n">
        <f aca="false">IF(N$6=1,Inputs!$B$14*Inputs!$B$48,0)</f>
        <v>0</v>
      </c>
      <c r="O64" s="69" t="n">
        <f aca="false">IF(O$6=1,Inputs!$B$14*Inputs!$B$48,0)</f>
        <v>0</v>
      </c>
      <c r="P64" s="69" t="n">
        <f aca="false">IF(P$6=1,Inputs!$B$14*Inputs!$B$48,0)</f>
        <v>0</v>
      </c>
      <c r="Q64" s="69" t="n">
        <f aca="false">IF(Q$6=1,Inputs!$B$14*Inputs!$B$48,0)</f>
        <v>0</v>
      </c>
      <c r="R64" s="69" t="n">
        <f aca="false">IF(R$6=1,Inputs!$B$14*Inputs!$B$48,0)</f>
        <v>0</v>
      </c>
      <c r="S64" s="69" t="n">
        <f aca="false">IF(S$6=1,Inputs!$B$14*Inputs!$B$48,0)</f>
        <v>0</v>
      </c>
      <c r="T64" s="69" t="n">
        <f aca="false">IF(T$6=1,Inputs!$B$14*Inputs!$B$48,0)</f>
        <v>0</v>
      </c>
      <c r="U64" s="69" t="n">
        <f aca="false">IF(U$6=1,Inputs!$B$14*Inputs!$B$48,0)</f>
        <v>0</v>
      </c>
      <c r="V64" s="69" t="n">
        <f aca="false">IF(V$6=1,Inputs!$B$14*Inputs!$B$48,0)</f>
        <v>0</v>
      </c>
      <c r="W64" s="69" t="n">
        <f aca="false">IF(W$6=1,Inputs!$B$14*Inputs!$B$48,0)</f>
        <v>0</v>
      </c>
      <c r="X64" s="69" t="n">
        <f aca="false">IF(X$6=1,Inputs!$B$14*Inputs!$B$48,0)</f>
        <v>0</v>
      </c>
      <c r="Y64" s="69" t="n">
        <f aca="false">IF(Y$6=1,Inputs!$B$14*Inputs!$B$48,0)</f>
        <v>0</v>
      </c>
      <c r="Z64" s="69" t="n">
        <f aca="false">IF(Z$6=1,Inputs!$B$14*Inputs!$B$48,0)</f>
        <v>0</v>
      </c>
      <c r="AA64" s="69" t="n">
        <f aca="false">IF(AA$6=1,Inputs!$B$14*Inputs!$B$48,0)</f>
        <v>0</v>
      </c>
      <c r="AB64" s="69" t="n">
        <f aca="false">IF(AB$6=1,Inputs!$B$14*Inputs!$B$48,0)</f>
        <v>0</v>
      </c>
      <c r="AC64" s="69" t="n">
        <f aca="false">IF(AC$6=1,Inputs!$B$14*Inputs!$B$48,0)</f>
        <v>0</v>
      </c>
      <c r="AD64" s="69" t="n">
        <f aca="false">IF(AD$6=1,Inputs!$B$14*Inputs!$B$48,0)</f>
        <v>0</v>
      </c>
      <c r="AE64" s="69" t="n">
        <f aca="false">IF(AE$6=1,Inputs!$B$14*Inputs!$B$48,0)</f>
        <v>0</v>
      </c>
      <c r="AF64" s="69" t="n">
        <f aca="false">IF(AF$6=1,Inputs!$B$14*Inputs!$B$48,0)</f>
        <v>0</v>
      </c>
      <c r="AG64" s="69" t="n">
        <f aca="false">IF(AG$6=1,Inputs!$B$14*Inputs!$B$48,0)</f>
        <v>0</v>
      </c>
      <c r="AH64" s="69" t="n">
        <f aca="false">IF(AH$6=1,Inputs!$B$14*Inputs!$B$48,0)</f>
        <v>0</v>
      </c>
      <c r="AI64" s="69" t="n">
        <f aca="false">IF(AI$6=1,Inputs!$B$14*Inputs!$B$48,0)</f>
        <v>0</v>
      </c>
      <c r="AJ64" s="69" t="n">
        <f aca="false">IF(AJ$6=1,Inputs!$B$14*Inputs!$B$48,0)</f>
        <v>0</v>
      </c>
      <c r="AK64" s="69" t="n">
        <f aca="false">IF(AK$6=1,Inputs!$B$14*Inputs!$B$48,0)</f>
        <v>0</v>
      </c>
      <c r="AL64" s="69" t="n">
        <f aca="false">IF(AL$6=1,Inputs!$B$14*Inputs!$B$48,0)</f>
        <v>0</v>
      </c>
    </row>
    <row r="65" customFormat="false" ht="15" hidden="false" customHeight="false" outlineLevel="0" collapsed="false">
      <c r="A65" s="6" t="s">
        <v>408</v>
      </c>
      <c r="C65" s="69" t="n">
        <f aca="false">IF(C$6=1,Inputs!$B$25*Inputs!$B$49,0)</f>
        <v>75000</v>
      </c>
      <c r="D65" s="69" t="n">
        <f aca="false">IF(D$6=1,Inputs!$B$25*Inputs!$B$49,0)</f>
        <v>0</v>
      </c>
      <c r="E65" s="69" t="n">
        <f aca="false">IF(E$6=1,Inputs!$B$25*Inputs!$B$49,0)</f>
        <v>0</v>
      </c>
      <c r="F65" s="69" t="n">
        <f aca="false">IF(F$6=1,Inputs!$B$25*Inputs!$B$49,0)</f>
        <v>0</v>
      </c>
      <c r="G65" s="69" t="n">
        <f aca="false">IF(G$6=1,Inputs!$B$25*Inputs!$B$49,0)</f>
        <v>0</v>
      </c>
      <c r="H65" s="69" t="n">
        <f aca="false">IF(H$6=1,Inputs!$B$25*Inputs!$B$49,0)</f>
        <v>0</v>
      </c>
      <c r="I65" s="69" t="n">
        <f aca="false">IF(I$6=1,Inputs!$B$25*Inputs!$B$49,0)</f>
        <v>0</v>
      </c>
      <c r="J65" s="69" t="n">
        <f aca="false">IF(J$6=1,Inputs!$B$25*Inputs!$B$49,0)</f>
        <v>0</v>
      </c>
      <c r="K65" s="69" t="n">
        <f aca="false">IF(K$6=1,Inputs!$B$25*Inputs!$B$49,0)</f>
        <v>0</v>
      </c>
      <c r="L65" s="69" t="n">
        <f aca="false">IF(L$6=1,Inputs!$B$25*Inputs!$B$49,0)</f>
        <v>0</v>
      </c>
      <c r="M65" s="69" t="n">
        <f aca="false">IF(M$6=1,Inputs!$B$25*Inputs!$B$49,0)</f>
        <v>0</v>
      </c>
      <c r="N65" s="69" t="n">
        <f aca="false">IF(N$6=1,Inputs!$B$25*Inputs!$B$49,0)</f>
        <v>0</v>
      </c>
      <c r="O65" s="69" t="n">
        <f aca="false">IF(O$6=1,Inputs!$B$25*Inputs!$B$49,0)</f>
        <v>0</v>
      </c>
      <c r="P65" s="69" t="n">
        <f aca="false">IF(P$6=1,Inputs!$B$25*Inputs!$B$49,0)</f>
        <v>0</v>
      </c>
      <c r="Q65" s="69" t="n">
        <f aca="false">IF(Q$6=1,Inputs!$B$25*Inputs!$B$49,0)</f>
        <v>0</v>
      </c>
      <c r="R65" s="69" t="n">
        <f aca="false">IF(R$6=1,Inputs!$B$25*Inputs!$B$49,0)</f>
        <v>0</v>
      </c>
      <c r="S65" s="69" t="n">
        <f aca="false">IF(S$6=1,Inputs!$B$25*Inputs!$B$49,0)</f>
        <v>0</v>
      </c>
      <c r="T65" s="69" t="n">
        <f aca="false">IF(T$6=1,Inputs!$B$25*Inputs!$B$49,0)</f>
        <v>0</v>
      </c>
      <c r="U65" s="69" t="n">
        <f aca="false">IF(U$6=1,Inputs!$B$25*Inputs!$B$49,0)</f>
        <v>0</v>
      </c>
      <c r="V65" s="69" t="n">
        <f aca="false">IF(V$6=1,Inputs!$B$25*Inputs!$B$49,0)</f>
        <v>0</v>
      </c>
      <c r="W65" s="69" t="n">
        <f aca="false">IF(W$6=1,Inputs!$B$25*Inputs!$B$49,0)</f>
        <v>0</v>
      </c>
      <c r="X65" s="69" t="n">
        <f aca="false">IF(X$6=1,Inputs!$B$25*Inputs!$B$49,0)</f>
        <v>0</v>
      </c>
      <c r="Y65" s="69" t="n">
        <f aca="false">IF(Y$6=1,Inputs!$B$25*Inputs!$B$49,0)</f>
        <v>0</v>
      </c>
      <c r="Z65" s="69" t="n">
        <f aca="false">IF(Z$6=1,Inputs!$B$25*Inputs!$B$49,0)</f>
        <v>0</v>
      </c>
      <c r="AA65" s="69" t="n">
        <f aca="false">IF(AA$6=1,Inputs!$B$25*Inputs!$B$49,0)</f>
        <v>0</v>
      </c>
      <c r="AB65" s="69" t="n">
        <f aca="false">IF(AB$6=1,Inputs!$B$25*Inputs!$B$49,0)</f>
        <v>0</v>
      </c>
      <c r="AC65" s="69" t="n">
        <f aca="false">IF(AC$6=1,Inputs!$B$25*Inputs!$B$49,0)</f>
        <v>0</v>
      </c>
      <c r="AD65" s="69" t="n">
        <f aca="false">IF(AD$6=1,Inputs!$B$25*Inputs!$B$49,0)</f>
        <v>0</v>
      </c>
      <c r="AE65" s="69" t="n">
        <f aca="false">IF(AE$6=1,Inputs!$B$25*Inputs!$B$49,0)</f>
        <v>0</v>
      </c>
      <c r="AF65" s="69" t="n">
        <f aca="false">IF(AF$6=1,Inputs!$B$25*Inputs!$B$49,0)</f>
        <v>0</v>
      </c>
      <c r="AG65" s="69" t="n">
        <f aca="false">IF(AG$6=1,Inputs!$B$25*Inputs!$B$49,0)</f>
        <v>0</v>
      </c>
      <c r="AH65" s="69" t="n">
        <f aca="false">IF(AH$6=1,Inputs!$B$25*Inputs!$B$49,0)</f>
        <v>0</v>
      </c>
      <c r="AI65" s="69" t="n">
        <f aca="false">IF(AI$6=1,Inputs!$B$25*Inputs!$B$49,0)</f>
        <v>0</v>
      </c>
      <c r="AJ65" s="69" t="n">
        <f aca="false">IF(AJ$6=1,Inputs!$B$25*Inputs!$B$49,0)</f>
        <v>0</v>
      </c>
      <c r="AK65" s="69" t="n">
        <f aca="false">IF(AK$6=1,Inputs!$B$25*Inputs!$B$49,0)</f>
        <v>0</v>
      </c>
      <c r="AL65" s="69" t="n">
        <f aca="false">IF(AL$6=1,Inputs!$B$25*Inputs!$B$49,0)</f>
        <v>0</v>
      </c>
    </row>
    <row r="66" customFormat="false" ht="15" hidden="false" customHeight="false" outlineLevel="0" collapsed="false">
      <c r="A66" s="6" t="s">
        <v>409</v>
      </c>
      <c r="C66" s="69" t="n">
        <f aca="false">IF(C$6=1,Inputs!$B$50,0)</f>
        <v>90000</v>
      </c>
      <c r="D66" s="69" t="n">
        <f aca="false">IF(D$6=1,Inputs!$B$50,0)</f>
        <v>0</v>
      </c>
      <c r="E66" s="69" t="n">
        <f aca="false">IF(E$6=1,Inputs!$B$50,0)</f>
        <v>0</v>
      </c>
      <c r="F66" s="69" t="n">
        <f aca="false">IF(F$6=1,Inputs!$B$50,0)</f>
        <v>0</v>
      </c>
      <c r="G66" s="69" t="n">
        <f aca="false">IF(G$6=1,Inputs!$B$50,0)</f>
        <v>0</v>
      </c>
      <c r="H66" s="69" t="n">
        <f aca="false">IF(H$6=1,Inputs!$B$50,0)</f>
        <v>0</v>
      </c>
      <c r="I66" s="69" t="n">
        <f aca="false">IF(I$6=1,Inputs!$B$50,0)</f>
        <v>0</v>
      </c>
      <c r="J66" s="69" t="n">
        <f aca="false">IF(J$6=1,Inputs!$B$50,0)</f>
        <v>0</v>
      </c>
      <c r="K66" s="69" t="n">
        <f aca="false">IF(K$6=1,Inputs!$B$50,0)</f>
        <v>0</v>
      </c>
      <c r="L66" s="69" t="n">
        <f aca="false">IF(L$6=1,Inputs!$B$50,0)</f>
        <v>0</v>
      </c>
      <c r="M66" s="69" t="n">
        <f aca="false">IF(M$6=1,Inputs!$B$50,0)</f>
        <v>0</v>
      </c>
      <c r="N66" s="69" t="n">
        <f aca="false">IF(N$6=1,Inputs!$B$50,0)</f>
        <v>0</v>
      </c>
      <c r="O66" s="69" t="n">
        <f aca="false">IF(O$6=1,Inputs!$B$50,0)</f>
        <v>0</v>
      </c>
      <c r="P66" s="69" t="n">
        <f aca="false">IF(P$6=1,Inputs!$B$50,0)</f>
        <v>0</v>
      </c>
      <c r="Q66" s="69" t="n">
        <f aca="false">IF(Q$6=1,Inputs!$B$50,0)</f>
        <v>0</v>
      </c>
      <c r="R66" s="69" t="n">
        <f aca="false">IF(R$6=1,Inputs!$B$50,0)</f>
        <v>0</v>
      </c>
      <c r="S66" s="69" t="n">
        <f aca="false">IF(S$6=1,Inputs!$B$50,0)</f>
        <v>0</v>
      </c>
      <c r="T66" s="69" t="n">
        <f aca="false">IF(T$6=1,Inputs!$B$50,0)</f>
        <v>0</v>
      </c>
      <c r="U66" s="69" t="n">
        <f aca="false">IF(U$6=1,Inputs!$B$50,0)</f>
        <v>0</v>
      </c>
      <c r="V66" s="69" t="n">
        <f aca="false">IF(V$6=1,Inputs!$B$50,0)</f>
        <v>0</v>
      </c>
      <c r="W66" s="69" t="n">
        <f aca="false">IF(W$6=1,Inputs!$B$50,0)</f>
        <v>0</v>
      </c>
      <c r="X66" s="69" t="n">
        <f aca="false">IF(X$6=1,Inputs!$B$50,0)</f>
        <v>0</v>
      </c>
      <c r="Y66" s="69" t="n">
        <f aca="false">IF(Y$6=1,Inputs!$B$50,0)</f>
        <v>0</v>
      </c>
      <c r="Z66" s="69" t="n">
        <f aca="false">IF(Z$6=1,Inputs!$B$50,0)</f>
        <v>0</v>
      </c>
      <c r="AA66" s="69" t="n">
        <f aca="false">IF(AA$6=1,Inputs!$B$50,0)</f>
        <v>0</v>
      </c>
      <c r="AB66" s="69" t="n">
        <f aca="false">IF(AB$6=1,Inputs!$B$50,0)</f>
        <v>0</v>
      </c>
      <c r="AC66" s="69" t="n">
        <f aca="false">IF(AC$6=1,Inputs!$B$50,0)</f>
        <v>0</v>
      </c>
      <c r="AD66" s="69" t="n">
        <f aca="false">IF(AD$6=1,Inputs!$B$50,0)</f>
        <v>0</v>
      </c>
      <c r="AE66" s="69" t="n">
        <f aca="false">IF(AE$6=1,Inputs!$B$50,0)</f>
        <v>0</v>
      </c>
      <c r="AF66" s="69" t="n">
        <f aca="false">IF(AF$6=1,Inputs!$B$50,0)</f>
        <v>0</v>
      </c>
      <c r="AG66" s="69" t="n">
        <f aca="false">IF(AG$6=1,Inputs!$B$50,0)</f>
        <v>0</v>
      </c>
      <c r="AH66" s="69" t="n">
        <f aca="false">IF(AH$6=1,Inputs!$B$50,0)</f>
        <v>0</v>
      </c>
      <c r="AI66" s="69" t="n">
        <f aca="false">IF(AI$6=1,Inputs!$B$50,0)</f>
        <v>0</v>
      </c>
      <c r="AJ66" s="69" t="n">
        <f aca="false">IF(AJ$6=1,Inputs!$B$50,0)</f>
        <v>0</v>
      </c>
      <c r="AK66" s="69" t="n">
        <f aca="false">IF(AK$6=1,Inputs!$B$50,0)</f>
        <v>0</v>
      </c>
      <c r="AL66" s="69" t="n">
        <f aca="false">IF(AL$6=1,Inputs!$B$50,0)</f>
        <v>0</v>
      </c>
    </row>
    <row r="67" customFormat="false" ht="15" hidden="false" customHeight="false" outlineLevel="0" collapsed="false">
      <c r="A67" s="6" t="s">
        <v>410</v>
      </c>
      <c r="C67" s="69" t="n">
        <f aca="false">IF(C$6=1,Inputs!$B$51,0)</f>
        <v>0</v>
      </c>
      <c r="D67" s="69" t="n">
        <f aca="false">IF(D$6=1,Inputs!$B$51,0)</f>
        <v>0</v>
      </c>
      <c r="E67" s="69" t="n">
        <f aca="false">IF(E$6=1,Inputs!$B$51,0)</f>
        <v>0</v>
      </c>
      <c r="F67" s="69" t="n">
        <f aca="false">IF(F$6=1,Inputs!$B$51,0)</f>
        <v>0</v>
      </c>
      <c r="G67" s="69" t="n">
        <f aca="false">IF(G$6=1,Inputs!$B$51,0)</f>
        <v>0</v>
      </c>
      <c r="H67" s="69" t="n">
        <f aca="false">IF(H$6=1,Inputs!$B$51,0)</f>
        <v>0</v>
      </c>
      <c r="I67" s="69" t="n">
        <f aca="false">IF(I$6=1,Inputs!$B$51,0)</f>
        <v>0</v>
      </c>
      <c r="J67" s="69" t="n">
        <f aca="false">IF(J$6=1,Inputs!$B$51,0)</f>
        <v>0</v>
      </c>
      <c r="K67" s="69" t="n">
        <f aca="false">IF(K$6=1,Inputs!$B$51,0)</f>
        <v>0</v>
      </c>
      <c r="L67" s="69" t="n">
        <f aca="false">IF(L$6=1,Inputs!$B$51,0)</f>
        <v>0</v>
      </c>
      <c r="M67" s="69" t="n">
        <f aca="false">IF(M$6=1,Inputs!$B$51,0)</f>
        <v>0</v>
      </c>
      <c r="N67" s="69" t="n">
        <f aca="false">IF(N$6=1,Inputs!$B$51,0)</f>
        <v>0</v>
      </c>
      <c r="O67" s="69" t="n">
        <f aca="false">IF(O$6=1,Inputs!$B$51,0)</f>
        <v>0</v>
      </c>
      <c r="P67" s="69" t="n">
        <f aca="false">IF(P$6=1,Inputs!$B$51,0)</f>
        <v>0</v>
      </c>
      <c r="Q67" s="69" t="n">
        <f aca="false">IF(Q$6=1,Inputs!$B$51,0)</f>
        <v>0</v>
      </c>
      <c r="R67" s="69" t="n">
        <f aca="false">IF(R$6=1,Inputs!$B$51,0)</f>
        <v>0</v>
      </c>
      <c r="S67" s="69" t="n">
        <f aca="false">IF(S$6=1,Inputs!$B$51,0)</f>
        <v>0</v>
      </c>
      <c r="T67" s="69" t="n">
        <f aca="false">IF(T$6=1,Inputs!$B$51,0)</f>
        <v>0</v>
      </c>
      <c r="U67" s="69" t="n">
        <f aca="false">IF(U$6=1,Inputs!$B$51,0)</f>
        <v>0</v>
      </c>
      <c r="V67" s="69" t="n">
        <f aca="false">IF(V$6=1,Inputs!$B$51,0)</f>
        <v>0</v>
      </c>
      <c r="W67" s="69" t="n">
        <f aca="false">IF(W$6=1,Inputs!$B$51,0)</f>
        <v>0</v>
      </c>
      <c r="X67" s="69" t="n">
        <f aca="false">IF(X$6=1,Inputs!$B$51,0)</f>
        <v>0</v>
      </c>
      <c r="Y67" s="69" t="n">
        <f aca="false">IF(Y$6=1,Inputs!$B$51,0)</f>
        <v>0</v>
      </c>
      <c r="Z67" s="69" t="n">
        <f aca="false">IF(Z$6=1,Inputs!$B$51,0)</f>
        <v>0</v>
      </c>
      <c r="AA67" s="69" t="n">
        <f aca="false">IF(AA$6=1,Inputs!$B$51,0)</f>
        <v>0</v>
      </c>
      <c r="AB67" s="69" t="n">
        <f aca="false">IF(AB$6=1,Inputs!$B$51,0)</f>
        <v>0</v>
      </c>
      <c r="AC67" s="69" t="n">
        <f aca="false">IF(AC$6=1,Inputs!$B$51,0)</f>
        <v>0</v>
      </c>
      <c r="AD67" s="69" t="n">
        <f aca="false">IF(AD$6=1,Inputs!$B$51,0)</f>
        <v>0</v>
      </c>
      <c r="AE67" s="69" t="n">
        <f aca="false">IF(AE$6=1,Inputs!$B$51,0)</f>
        <v>0</v>
      </c>
      <c r="AF67" s="69" t="n">
        <f aca="false">IF(AF$6=1,Inputs!$B$51,0)</f>
        <v>0</v>
      </c>
      <c r="AG67" s="69" t="n">
        <f aca="false">IF(AG$6=1,Inputs!$B$51,0)</f>
        <v>0</v>
      </c>
      <c r="AH67" s="69" t="n">
        <f aca="false">IF(AH$6=1,Inputs!$B$51,0)</f>
        <v>0</v>
      </c>
      <c r="AI67" s="69" t="n">
        <f aca="false">IF(AI$6=1,Inputs!$B$51,0)</f>
        <v>0</v>
      </c>
      <c r="AJ67" s="69" t="n">
        <f aca="false">IF(AJ$6=1,Inputs!$B$51,0)</f>
        <v>0</v>
      </c>
      <c r="AK67" s="69" t="n">
        <f aca="false">IF(AK$6=1,Inputs!$B$51,0)</f>
        <v>0</v>
      </c>
      <c r="AL67" s="69" t="n">
        <f aca="false">IF(AL$6=1,Inputs!$B$51,0)</f>
        <v>0</v>
      </c>
    </row>
    <row r="68" customFormat="false" ht="15" hidden="false" customHeight="false" outlineLevel="0" collapsed="false">
      <c r="A68" s="6" t="s">
        <v>411</v>
      </c>
      <c r="C68" s="69" t="n">
        <f aca="false">IF(AND(C$7&gt;1,MOD(C$6-1,12)=0),Inputs!$B$52,0)</f>
        <v>0</v>
      </c>
      <c r="D68" s="69" t="n">
        <f aca="false">IF(AND(D$7&gt;1,MOD(D$6-1,12)=0),Inputs!$B$52,0)</f>
        <v>0</v>
      </c>
      <c r="E68" s="69" t="n">
        <f aca="false">IF(AND(E$7&gt;1,MOD(E$6-1,12)=0),Inputs!$B$52,0)</f>
        <v>0</v>
      </c>
      <c r="F68" s="69" t="n">
        <f aca="false">IF(AND(F$7&gt;1,MOD(F$6-1,12)=0),Inputs!$B$52,0)</f>
        <v>0</v>
      </c>
      <c r="G68" s="69" t="n">
        <f aca="false">IF(AND(G$7&gt;1,MOD(G$6-1,12)=0),Inputs!$B$52,0)</f>
        <v>0</v>
      </c>
      <c r="H68" s="69" t="n">
        <f aca="false">IF(AND(H$7&gt;1,MOD(H$6-1,12)=0),Inputs!$B$52,0)</f>
        <v>0</v>
      </c>
      <c r="I68" s="69" t="n">
        <f aca="false">IF(AND(I$7&gt;1,MOD(I$6-1,12)=0),Inputs!$B$52,0)</f>
        <v>0</v>
      </c>
      <c r="J68" s="69" t="n">
        <f aca="false">IF(AND(J$7&gt;1,MOD(J$6-1,12)=0),Inputs!$B$52,0)</f>
        <v>0</v>
      </c>
      <c r="K68" s="69" t="n">
        <f aca="false">IF(AND(K$7&gt;1,MOD(K$6-1,12)=0),Inputs!$B$52,0)</f>
        <v>0</v>
      </c>
      <c r="L68" s="69" t="n">
        <f aca="false">IF(AND(L$7&gt;1,MOD(L$6-1,12)=0),Inputs!$B$52,0)</f>
        <v>0</v>
      </c>
      <c r="M68" s="69" t="n">
        <f aca="false">IF(AND(M$7&gt;1,MOD(M$6-1,12)=0),Inputs!$B$52,0)</f>
        <v>0</v>
      </c>
      <c r="N68" s="69" t="n">
        <f aca="false">IF(AND(N$7&gt;1,MOD(N$6-1,12)=0),Inputs!$B$52,0)</f>
        <v>0</v>
      </c>
      <c r="O68" s="69" t="n">
        <f aca="false">IF(AND(O$7&gt;1,MOD(O$6-1,12)=0),Inputs!$B$52,0)</f>
        <v>10000</v>
      </c>
      <c r="P68" s="69" t="n">
        <f aca="false">IF(AND(P$7&gt;1,MOD(P$6-1,12)=0),Inputs!$B$52,0)</f>
        <v>0</v>
      </c>
      <c r="Q68" s="69" t="n">
        <f aca="false">IF(AND(Q$7&gt;1,MOD(Q$6-1,12)=0),Inputs!$B$52,0)</f>
        <v>0</v>
      </c>
      <c r="R68" s="69" t="n">
        <f aca="false">IF(AND(R$7&gt;1,MOD(R$6-1,12)=0),Inputs!$B$52,0)</f>
        <v>0</v>
      </c>
      <c r="S68" s="69" t="n">
        <f aca="false">IF(AND(S$7&gt;1,MOD(S$6-1,12)=0),Inputs!$B$52,0)</f>
        <v>0</v>
      </c>
      <c r="T68" s="69" t="n">
        <f aca="false">IF(AND(T$7&gt;1,MOD(T$6-1,12)=0),Inputs!$B$52,0)</f>
        <v>0</v>
      </c>
      <c r="U68" s="69" t="n">
        <f aca="false">IF(AND(U$7&gt;1,MOD(U$6-1,12)=0),Inputs!$B$52,0)</f>
        <v>0</v>
      </c>
      <c r="V68" s="69" t="n">
        <f aca="false">IF(AND(V$7&gt;1,MOD(V$6-1,12)=0),Inputs!$B$52,0)</f>
        <v>0</v>
      </c>
      <c r="W68" s="69" t="n">
        <f aca="false">IF(AND(W$7&gt;1,MOD(W$6-1,12)=0),Inputs!$B$52,0)</f>
        <v>0</v>
      </c>
      <c r="X68" s="69" t="n">
        <f aca="false">IF(AND(X$7&gt;1,MOD(X$6-1,12)=0),Inputs!$B$52,0)</f>
        <v>0</v>
      </c>
      <c r="Y68" s="69" t="n">
        <f aca="false">IF(AND(Y$7&gt;1,MOD(Y$6-1,12)=0),Inputs!$B$52,0)</f>
        <v>0</v>
      </c>
      <c r="Z68" s="69" t="n">
        <f aca="false">IF(AND(Z$7&gt;1,MOD(Z$6-1,12)=0),Inputs!$B$52,0)</f>
        <v>0</v>
      </c>
      <c r="AA68" s="69" t="n">
        <f aca="false">IF(AND(AA$7&gt;1,MOD(AA$6-1,12)=0),Inputs!$B$52,0)</f>
        <v>10000</v>
      </c>
      <c r="AB68" s="69" t="n">
        <f aca="false">IF(AND(AB$7&gt;1,MOD(AB$6-1,12)=0),Inputs!$B$52,0)</f>
        <v>0</v>
      </c>
      <c r="AC68" s="69" t="n">
        <f aca="false">IF(AND(AC$7&gt;1,MOD(AC$6-1,12)=0),Inputs!$B$52,0)</f>
        <v>0</v>
      </c>
      <c r="AD68" s="69" t="n">
        <f aca="false">IF(AND(AD$7&gt;1,MOD(AD$6-1,12)=0),Inputs!$B$52,0)</f>
        <v>0</v>
      </c>
      <c r="AE68" s="69" t="n">
        <f aca="false">IF(AND(AE$7&gt;1,MOD(AE$6-1,12)=0),Inputs!$B$52,0)</f>
        <v>0</v>
      </c>
      <c r="AF68" s="69" t="n">
        <f aca="false">IF(AND(AF$7&gt;1,MOD(AF$6-1,12)=0),Inputs!$B$52,0)</f>
        <v>0</v>
      </c>
      <c r="AG68" s="69" t="n">
        <f aca="false">IF(AND(AG$7&gt;1,MOD(AG$6-1,12)=0),Inputs!$B$52,0)</f>
        <v>0</v>
      </c>
      <c r="AH68" s="69" t="n">
        <f aca="false">IF(AND(AH$7&gt;1,MOD(AH$6-1,12)=0),Inputs!$B$52,0)</f>
        <v>0</v>
      </c>
      <c r="AI68" s="69" t="n">
        <f aca="false">IF(AND(AI$7&gt;1,MOD(AI$6-1,12)=0),Inputs!$B$52,0)</f>
        <v>0</v>
      </c>
      <c r="AJ68" s="69" t="n">
        <f aca="false">IF(AND(AJ$7&gt;1,MOD(AJ$6-1,12)=0),Inputs!$B$52,0)</f>
        <v>0</v>
      </c>
      <c r="AK68" s="69" t="n">
        <f aca="false">IF(AND(AK$7&gt;1,MOD(AK$6-1,12)=0),Inputs!$B$52,0)</f>
        <v>0</v>
      </c>
      <c r="AL68" s="69" t="n">
        <f aca="false">IF(AND(AL$7&gt;1,MOD(AL$6-1,12)=0),Inputs!$B$52,0)</f>
        <v>0</v>
      </c>
    </row>
    <row r="69" customFormat="false" ht="15" hidden="false" customHeight="false" outlineLevel="0" collapsed="false">
      <c r="A69" s="4" t="s">
        <v>84</v>
      </c>
      <c r="C69" s="75" t="n">
        <f aca="false">C64+C65+C66+C67+C68</f>
        <v>189000</v>
      </c>
      <c r="D69" s="75" t="n">
        <f aca="false">D64+D65+D66+D67+D68</f>
        <v>0</v>
      </c>
      <c r="E69" s="75" t="n">
        <f aca="false">E64+E65+E66+E67+E68</f>
        <v>0</v>
      </c>
      <c r="F69" s="75" t="n">
        <f aca="false">F64+F65+F66+F67+F68</f>
        <v>0</v>
      </c>
      <c r="G69" s="75" t="n">
        <f aca="false">G64+G65+G66+G67+G68</f>
        <v>0</v>
      </c>
      <c r="H69" s="75" t="n">
        <f aca="false">H64+H65+H66+H67+H68</f>
        <v>0</v>
      </c>
      <c r="I69" s="75" t="n">
        <f aca="false">I64+I65+I66+I67+I68</f>
        <v>0</v>
      </c>
      <c r="J69" s="75" t="n">
        <f aca="false">J64+J65+J66+J67+J68</f>
        <v>0</v>
      </c>
      <c r="K69" s="75" t="n">
        <f aca="false">K64+K65+K66+K67+K68</f>
        <v>0</v>
      </c>
      <c r="L69" s="75" t="n">
        <f aca="false">L64+L65+L66+L67+L68</f>
        <v>0</v>
      </c>
      <c r="M69" s="75" t="n">
        <f aca="false">M64+M65+M66+M67+M68</f>
        <v>0</v>
      </c>
      <c r="N69" s="75" t="n">
        <f aca="false">N64+N65+N66+N67+N68</f>
        <v>0</v>
      </c>
      <c r="O69" s="75" t="n">
        <f aca="false">O64+O65+O66+O67+O68</f>
        <v>10000</v>
      </c>
      <c r="P69" s="75" t="n">
        <f aca="false">P64+P65+P66+P67+P68</f>
        <v>0</v>
      </c>
      <c r="Q69" s="75" t="n">
        <f aca="false">Q64+Q65+Q66+Q67+Q68</f>
        <v>0</v>
      </c>
      <c r="R69" s="75" t="n">
        <f aca="false">R64+R65+R66+R67+R68</f>
        <v>0</v>
      </c>
      <c r="S69" s="75" t="n">
        <f aca="false">S64+S65+S66+S67+S68</f>
        <v>0</v>
      </c>
      <c r="T69" s="75" t="n">
        <f aca="false">T64+T65+T66+T67+T68</f>
        <v>0</v>
      </c>
      <c r="U69" s="75" t="n">
        <f aca="false">U64+U65+U66+U67+U68</f>
        <v>0</v>
      </c>
      <c r="V69" s="75" t="n">
        <f aca="false">V64+V65+V66+V67+V68</f>
        <v>0</v>
      </c>
      <c r="W69" s="75" t="n">
        <f aca="false">W64+W65+W66+W67+W68</f>
        <v>0</v>
      </c>
      <c r="X69" s="75" t="n">
        <f aca="false">X64+X65+X66+X67+X68</f>
        <v>0</v>
      </c>
      <c r="Y69" s="75" t="n">
        <f aca="false">Y64+Y65+Y66+Y67+Y68</f>
        <v>0</v>
      </c>
      <c r="Z69" s="75" t="n">
        <f aca="false">Z64+Z65+Z66+Z67+Z68</f>
        <v>0</v>
      </c>
      <c r="AA69" s="75" t="n">
        <f aca="false">AA64+AA65+AA66+AA67+AA68</f>
        <v>10000</v>
      </c>
      <c r="AB69" s="75" t="n">
        <f aca="false">AB64+AB65+AB66+AB67+AB68</f>
        <v>0</v>
      </c>
      <c r="AC69" s="75" t="n">
        <f aca="false">AC64+AC65+AC66+AC67+AC68</f>
        <v>0</v>
      </c>
      <c r="AD69" s="75" t="n">
        <f aca="false">AD64+AD65+AD66+AD67+AD68</f>
        <v>0</v>
      </c>
      <c r="AE69" s="75" t="n">
        <f aca="false">AE64+AE65+AE66+AE67+AE68</f>
        <v>0</v>
      </c>
      <c r="AF69" s="75" t="n">
        <f aca="false">AF64+AF65+AF66+AF67+AF68</f>
        <v>0</v>
      </c>
      <c r="AG69" s="75" t="n">
        <f aca="false">AG64+AG65+AG66+AG67+AG68</f>
        <v>0</v>
      </c>
      <c r="AH69" s="75" t="n">
        <f aca="false">AH64+AH65+AH66+AH67+AH68</f>
        <v>0</v>
      </c>
      <c r="AI69" s="75" t="n">
        <f aca="false">AI64+AI65+AI66+AI67+AI68</f>
        <v>0</v>
      </c>
      <c r="AJ69" s="75" t="n">
        <f aca="false">AJ64+AJ65+AJ66+AJ67+AJ68</f>
        <v>0</v>
      </c>
      <c r="AK69" s="75" t="n">
        <f aca="false">AK64+AK65+AK66+AK67+AK68</f>
        <v>0</v>
      </c>
      <c r="AL69" s="75" t="n">
        <f aca="false">AL64+AL65+AL66+AL67+AL68</f>
        <v>0</v>
      </c>
    </row>
    <row r="70" customFormat="false" ht="15" hidden="false" customHeight="false" outlineLevel="0" collapsed="false">
      <c r="A70" s="6" t="s">
        <v>412</v>
      </c>
      <c r="C70" s="69" t="n">
        <f aca="false">C69</f>
        <v>189000</v>
      </c>
      <c r="D70" s="69" t="n">
        <f aca="false">C70+D69</f>
        <v>189000</v>
      </c>
      <c r="E70" s="69" t="n">
        <f aca="false">D70+E69</f>
        <v>189000</v>
      </c>
      <c r="F70" s="69" t="n">
        <f aca="false">E70+F69</f>
        <v>189000</v>
      </c>
      <c r="G70" s="69" t="n">
        <f aca="false">F70+G69</f>
        <v>189000</v>
      </c>
      <c r="H70" s="69" t="n">
        <f aca="false">G70+H69</f>
        <v>189000</v>
      </c>
      <c r="I70" s="69" t="n">
        <f aca="false">H70+I69</f>
        <v>189000</v>
      </c>
      <c r="J70" s="69" t="n">
        <f aca="false">I70+J69</f>
        <v>189000</v>
      </c>
      <c r="K70" s="69" t="n">
        <f aca="false">J70+K69</f>
        <v>189000</v>
      </c>
      <c r="L70" s="69" t="n">
        <f aca="false">K70+L69</f>
        <v>189000</v>
      </c>
      <c r="M70" s="69" t="n">
        <f aca="false">L70+M69</f>
        <v>189000</v>
      </c>
      <c r="N70" s="69" t="n">
        <f aca="false">M70+N69</f>
        <v>189000</v>
      </c>
      <c r="O70" s="69" t="n">
        <f aca="false">N70+O69</f>
        <v>199000</v>
      </c>
      <c r="P70" s="69" t="n">
        <f aca="false">O70+P69</f>
        <v>199000</v>
      </c>
      <c r="Q70" s="69" t="n">
        <f aca="false">P70+Q69</f>
        <v>199000</v>
      </c>
      <c r="R70" s="69" t="n">
        <f aca="false">Q70+R69</f>
        <v>199000</v>
      </c>
      <c r="S70" s="69" t="n">
        <f aca="false">R70+S69</f>
        <v>199000</v>
      </c>
      <c r="T70" s="69" t="n">
        <f aca="false">S70+T69</f>
        <v>199000</v>
      </c>
      <c r="U70" s="69" t="n">
        <f aca="false">T70+U69</f>
        <v>199000</v>
      </c>
      <c r="V70" s="69" t="n">
        <f aca="false">U70+V69</f>
        <v>199000</v>
      </c>
      <c r="W70" s="69" t="n">
        <f aca="false">V70+W69</f>
        <v>199000</v>
      </c>
      <c r="X70" s="69" t="n">
        <f aca="false">W70+X69</f>
        <v>199000</v>
      </c>
      <c r="Y70" s="69" t="n">
        <f aca="false">X70+Y69</f>
        <v>199000</v>
      </c>
      <c r="Z70" s="69" t="n">
        <f aca="false">Y70+Z69</f>
        <v>199000</v>
      </c>
      <c r="AA70" s="69" t="n">
        <f aca="false">Z70+AA69</f>
        <v>209000</v>
      </c>
      <c r="AB70" s="69" t="n">
        <f aca="false">AA70+AB69</f>
        <v>209000</v>
      </c>
      <c r="AC70" s="69" t="n">
        <f aca="false">AB70+AC69</f>
        <v>209000</v>
      </c>
      <c r="AD70" s="69" t="n">
        <f aca="false">AC70+AD69</f>
        <v>209000</v>
      </c>
      <c r="AE70" s="69" t="n">
        <f aca="false">AD70+AE69</f>
        <v>209000</v>
      </c>
      <c r="AF70" s="69" t="n">
        <f aca="false">AE70+AF69</f>
        <v>209000</v>
      </c>
      <c r="AG70" s="69" t="n">
        <f aca="false">AF70+AG69</f>
        <v>209000</v>
      </c>
      <c r="AH70" s="69" t="n">
        <f aca="false">AG70+AH69</f>
        <v>209000</v>
      </c>
      <c r="AI70" s="69" t="n">
        <f aca="false">AH70+AI69</f>
        <v>209000</v>
      </c>
      <c r="AJ70" s="69" t="n">
        <f aca="false">AI70+AJ69</f>
        <v>209000</v>
      </c>
      <c r="AK70" s="69" t="n">
        <f aca="false">AJ70+AK69</f>
        <v>209000</v>
      </c>
      <c r="AL70" s="69" t="n">
        <f aca="false">AK70+AL69</f>
        <v>209000</v>
      </c>
    </row>
    <row r="71" customFormat="false" ht="15" hidden="false" customHeight="false" outlineLevel="0" collapsed="false">
      <c r="A71" s="6" t="s">
        <v>413</v>
      </c>
      <c r="C71" s="69" t="n">
        <f aca="false">C67</f>
        <v>0</v>
      </c>
      <c r="D71" s="69" t="n">
        <f aca="false">C71+D67</f>
        <v>0</v>
      </c>
      <c r="E71" s="69" t="n">
        <f aca="false">D71+E67</f>
        <v>0</v>
      </c>
      <c r="F71" s="69" t="n">
        <f aca="false">E71+F67</f>
        <v>0</v>
      </c>
      <c r="G71" s="69" t="n">
        <f aca="false">F71+G67</f>
        <v>0</v>
      </c>
      <c r="H71" s="69" t="n">
        <f aca="false">G71+H67</f>
        <v>0</v>
      </c>
      <c r="I71" s="69" t="n">
        <f aca="false">H71+I67</f>
        <v>0</v>
      </c>
      <c r="J71" s="69" t="n">
        <f aca="false">I71+J67</f>
        <v>0</v>
      </c>
      <c r="K71" s="69" t="n">
        <f aca="false">J71+K67</f>
        <v>0</v>
      </c>
      <c r="L71" s="69" t="n">
        <f aca="false">K71+L67</f>
        <v>0</v>
      </c>
      <c r="M71" s="69" t="n">
        <f aca="false">L71+M67</f>
        <v>0</v>
      </c>
      <c r="N71" s="69" t="n">
        <f aca="false">M71+N67</f>
        <v>0</v>
      </c>
      <c r="O71" s="69" t="n">
        <f aca="false">N71+O67</f>
        <v>0</v>
      </c>
      <c r="P71" s="69" t="n">
        <f aca="false">O71+P67</f>
        <v>0</v>
      </c>
      <c r="Q71" s="69" t="n">
        <f aca="false">P71+Q67</f>
        <v>0</v>
      </c>
      <c r="R71" s="69" t="n">
        <f aca="false">Q71+R67</f>
        <v>0</v>
      </c>
      <c r="S71" s="69" t="n">
        <f aca="false">R71+S67</f>
        <v>0</v>
      </c>
      <c r="T71" s="69" t="n">
        <f aca="false">S71+T67</f>
        <v>0</v>
      </c>
      <c r="U71" s="69" t="n">
        <f aca="false">T71+U67</f>
        <v>0</v>
      </c>
      <c r="V71" s="69" t="n">
        <f aca="false">U71+V67</f>
        <v>0</v>
      </c>
      <c r="W71" s="69" t="n">
        <f aca="false">V71+W67</f>
        <v>0</v>
      </c>
      <c r="X71" s="69" t="n">
        <f aca="false">W71+X67</f>
        <v>0</v>
      </c>
      <c r="Y71" s="69" t="n">
        <f aca="false">X71+Y67</f>
        <v>0</v>
      </c>
      <c r="Z71" s="69" t="n">
        <f aca="false">Y71+Z67</f>
        <v>0</v>
      </c>
      <c r="AA71" s="69" t="n">
        <f aca="false">Z71+AA67</f>
        <v>0</v>
      </c>
      <c r="AB71" s="69" t="n">
        <f aca="false">AA71+AB67</f>
        <v>0</v>
      </c>
      <c r="AC71" s="69" t="n">
        <f aca="false">AB71+AC67</f>
        <v>0</v>
      </c>
      <c r="AD71" s="69" t="n">
        <f aca="false">AC71+AD67</f>
        <v>0</v>
      </c>
      <c r="AE71" s="69" t="n">
        <f aca="false">AD71+AE67</f>
        <v>0</v>
      </c>
      <c r="AF71" s="69" t="n">
        <f aca="false">AE71+AF67</f>
        <v>0</v>
      </c>
      <c r="AG71" s="69" t="n">
        <f aca="false">AF71+AG67</f>
        <v>0</v>
      </c>
      <c r="AH71" s="69" t="n">
        <f aca="false">AG71+AH67</f>
        <v>0</v>
      </c>
      <c r="AI71" s="69" t="n">
        <f aca="false">AH71+AI67</f>
        <v>0</v>
      </c>
      <c r="AJ71" s="69" t="n">
        <f aca="false">AI71+AJ67</f>
        <v>0</v>
      </c>
      <c r="AK71" s="69" t="n">
        <f aca="false">AJ71+AK67</f>
        <v>0</v>
      </c>
      <c r="AL71" s="69" t="n">
        <f aca="false">AK71+AL67</f>
        <v>0</v>
      </c>
    </row>
    <row r="72" customFormat="false" ht="15" hidden="false" customHeight="false" outlineLevel="0" collapsed="false">
      <c r="A72" s="6" t="s">
        <v>78</v>
      </c>
      <c r="C72" s="69" t="n">
        <f aca="false">-MIN((C70-C71)/MAX(1,Inputs!$B$82*12),C69-C71)</f>
        <v>-1968.75</v>
      </c>
      <c r="D72" s="69" t="n">
        <f aca="false">-MIN((D70-D71)/MAX(1,Inputs!$B$82*12),C74+D69-D71)</f>
        <v>-1968.75</v>
      </c>
      <c r="E72" s="69" t="n">
        <f aca="false">-MIN((E70-E71)/MAX(1,Inputs!$B$82*12),D74+E69-E71)</f>
        <v>-1968.75</v>
      </c>
      <c r="F72" s="69" t="n">
        <f aca="false">-MIN((F70-F71)/MAX(1,Inputs!$B$82*12),E74+F69-F71)</f>
        <v>-1968.75</v>
      </c>
      <c r="G72" s="69" t="n">
        <f aca="false">-MIN((G70-G71)/MAX(1,Inputs!$B$82*12),F74+G69-G71)</f>
        <v>-1968.75</v>
      </c>
      <c r="H72" s="69" t="n">
        <f aca="false">-MIN((H70-H71)/MAX(1,Inputs!$B$82*12),G74+H69-H71)</f>
        <v>-1968.75</v>
      </c>
      <c r="I72" s="69" t="n">
        <f aca="false">-MIN((I70-I71)/MAX(1,Inputs!$B$82*12),H74+I69-I71)</f>
        <v>-1968.75</v>
      </c>
      <c r="J72" s="69" t="n">
        <f aca="false">-MIN((J70-J71)/MAX(1,Inputs!$B$82*12),I74+J69-J71)</f>
        <v>-1968.75</v>
      </c>
      <c r="K72" s="69" t="n">
        <f aca="false">-MIN((K70-K71)/MAX(1,Inputs!$B$82*12),J74+K69-K71)</f>
        <v>-1968.75</v>
      </c>
      <c r="L72" s="69" t="n">
        <f aca="false">-MIN((L70-L71)/MAX(1,Inputs!$B$82*12),K74+L69-L71)</f>
        <v>-1968.75</v>
      </c>
      <c r="M72" s="69" t="n">
        <f aca="false">-MIN((M70-M71)/MAX(1,Inputs!$B$82*12),L74+M69-M71)</f>
        <v>-1968.75</v>
      </c>
      <c r="N72" s="69" t="n">
        <f aca="false">-MIN((N70-N71)/MAX(1,Inputs!$B$82*12),M74+N69-N71)</f>
        <v>-1968.75</v>
      </c>
      <c r="O72" s="69" t="n">
        <f aca="false">-MIN((O70-O71)/MAX(1,Inputs!$B$82*12),N74+O69-O71)</f>
        <v>-2072.91666666667</v>
      </c>
      <c r="P72" s="69" t="n">
        <f aca="false">-MIN((P70-P71)/MAX(1,Inputs!$B$82*12),O74+P69-P71)</f>
        <v>-2072.91666666667</v>
      </c>
      <c r="Q72" s="69" t="n">
        <f aca="false">-MIN((Q70-Q71)/MAX(1,Inputs!$B$82*12),P74+Q69-Q71)</f>
        <v>-2072.91666666667</v>
      </c>
      <c r="R72" s="69" t="n">
        <f aca="false">-MIN((R70-R71)/MAX(1,Inputs!$B$82*12),Q74+R69-R71)</f>
        <v>-2072.91666666667</v>
      </c>
      <c r="S72" s="69" t="n">
        <f aca="false">-MIN((S70-S71)/MAX(1,Inputs!$B$82*12),R74+S69-S71)</f>
        <v>-2072.91666666667</v>
      </c>
      <c r="T72" s="69" t="n">
        <f aca="false">-MIN((T70-T71)/MAX(1,Inputs!$B$82*12),S74+T69-T71)</f>
        <v>-2072.91666666667</v>
      </c>
      <c r="U72" s="69" t="n">
        <f aca="false">-MIN((U70-U71)/MAX(1,Inputs!$B$82*12),T74+U69-U71)</f>
        <v>-2072.91666666667</v>
      </c>
      <c r="V72" s="69" t="n">
        <f aca="false">-MIN((V70-V71)/MAX(1,Inputs!$B$82*12),U74+V69-V71)</f>
        <v>-2072.91666666667</v>
      </c>
      <c r="W72" s="69" t="n">
        <f aca="false">-MIN((W70-W71)/MAX(1,Inputs!$B$82*12),V74+W69-W71)</f>
        <v>-2072.91666666667</v>
      </c>
      <c r="X72" s="69" t="n">
        <f aca="false">-MIN((X70-X71)/MAX(1,Inputs!$B$82*12),W74+X69-X71)</f>
        <v>-2072.91666666667</v>
      </c>
      <c r="Y72" s="69" t="n">
        <f aca="false">-MIN((Y70-Y71)/MAX(1,Inputs!$B$82*12),X74+Y69-Y71)</f>
        <v>-2072.91666666667</v>
      </c>
      <c r="Z72" s="69" t="n">
        <f aca="false">-MIN((Z70-Z71)/MAX(1,Inputs!$B$82*12),Y74+Z69-Z71)</f>
        <v>-2072.91666666667</v>
      </c>
      <c r="AA72" s="69" t="n">
        <f aca="false">-MIN((AA70-AA71)/MAX(1,Inputs!$B$82*12),Z74+AA69-AA71)</f>
        <v>-2177.08333333333</v>
      </c>
      <c r="AB72" s="69" t="n">
        <f aca="false">-MIN((AB70-AB71)/MAX(1,Inputs!$B$82*12),AA74+AB69-AB71)</f>
        <v>-2177.08333333333</v>
      </c>
      <c r="AC72" s="69" t="n">
        <f aca="false">-MIN((AC70-AC71)/MAX(1,Inputs!$B$82*12),AB74+AC69-AC71)</f>
        <v>-2177.08333333333</v>
      </c>
      <c r="AD72" s="69" t="n">
        <f aca="false">-MIN((AD70-AD71)/MAX(1,Inputs!$B$82*12),AC74+AD69-AD71)</f>
        <v>-2177.08333333333</v>
      </c>
      <c r="AE72" s="69" t="n">
        <f aca="false">-MIN((AE70-AE71)/MAX(1,Inputs!$B$82*12),AD74+AE69-AE71)</f>
        <v>-2177.08333333333</v>
      </c>
      <c r="AF72" s="69" t="n">
        <f aca="false">-MIN((AF70-AF71)/MAX(1,Inputs!$B$82*12),AE74+AF69-AF71)</f>
        <v>-2177.08333333333</v>
      </c>
      <c r="AG72" s="69" t="n">
        <f aca="false">-MIN((AG70-AG71)/MAX(1,Inputs!$B$82*12),AF74+AG69-AG71)</f>
        <v>-2177.08333333333</v>
      </c>
      <c r="AH72" s="69" t="n">
        <f aca="false">-MIN((AH70-AH71)/MAX(1,Inputs!$B$82*12),AG74+AH69-AH71)</f>
        <v>-2177.08333333333</v>
      </c>
      <c r="AI72" s="69" t="n">
        <f aca="false">-MIN((AI70-AI71)/MAX(1,Inputs!$B$82*12),AH74+AI69-AI71)</f>
        <v>-2177.08333333333</v>
      </c>
      <c r="AJ72" s="69" t="n">
        <f aca="false">-MIN((AJ70-AJ71)/MAX(1,Inputs!$B$82*12),AI74+AJ69-AJ71)</f>
        <v>-2177.08333333333</v>
      </c>
      <c r="AK72" s="69" t="n">
        <f aca="false">-MIN((AK70-AK71)/MAX(1,Inputs!$B$82*12),AJ74+AK69-AK71)</f>
        <v>-2177.08333333333</v>
      </c>
      <c r="AL72" s="69" t="n">
        <f aca="false">-MIN((AL70-AL71)/MAX(1,Inputs!$B$82*12),AK74+AL69-AL71)</f>
        <v>-2177.08333333333</v>
      </c>
    </row>
    <row r="73" customFormat="false" ht="15" hidden="false" customHeight="false" outlineLevel="0" collapsed="false">
      <c r="A73" s="6" t="s">
        <v>414</v>
      </c>
      <c r="C73" s="69" t="n">
        <f aca="false">C72</f>
        <v>-1968.75</v>
      </c>
      <c r="D73" s="69" t="n">
        <f aca="false">C73+D72</f>
        <v>-3937.5</v>
      </c>
      <c r="E73" s="69" t="n">
        <f aca="false">D73+E72</f>
        <v>-5906.25</v>
      </c>
      <c r="F73" s="69" t="n">
        <f aca="false">E73+F72</f>
        <v>-7875</v>
      </c>
      <c r="G73" s="69" t="n">
        <f aca="false">F73+G72</f>
        <v>-9843.75</v>
      </c>
      <c r="H73" s="69" t="n">
        <f aca="false">G73+H72</f>
        <v>-11812.5</v>
      </c>
      <c r="I73" s="69" t="n">
        <f aca="false">H73+I72</f>
        <v>-13781.25</v>
      </c>
      <c r="J73" s="69" t="n">
        <f aca="false">I73+J72</f>
        <v>-15750</v>
      </c>
      <c r="K73" s="69" t="n">
        <f aca="false">J73+K72</f>
        <v>-17718.75</v>
      </c>
      <c r="L73" s="69" t="n">
        <f aca="false">K73+L72</f>
        <v>-19687.5</v>
      </c>
      <c r="M73" s="69" t="n">
        <f aca="false">L73+M72</f>
        <v>-21656.25</v>
      </c>
      <c r="N73" s="69" t="n">
        <f aca="false">M73+N72</f>
        <v>-23625</v>
      </c>
      <c r="O73" s="69" t="n">
        <f aca="false">N73+O72</f>
        <v>-25697.9166666667</v>
      </c>
      <c r="P73" s="69" t="n">
        <f aca="false">O73+P72</f>
        <v>-27770.8333333333</v>
      </c>
      <c r="Q73" s="69" t="n">
        <f aca="false">P73+Q72</f>
        <v>-29843.75</v>
      </c>
      <c r="R73" s="69" t="n">
        <f aca="false">Q73+R72</f>
        <v>-31916.6666666667</v>
      </c>
      <c r="S73" s="69" t="n">
        <f aca="false">R73+S72</f>
        <v>-33989.5833333333</v>
      </c>
      <c r="T73" s="69" t="n">
        <f aca="false">S73+T72</f>
        <v>-36062.5</v>
      </c>
      <c r="U73" s="69" t="n">
        <f aca="false">T73+U72</f>
        <v>-38135.4166666667</v>
      </c>
      <c r="V73" s="69" t="n">
        <f aca="false">U73+V72</f>
        <v>-40208.3333333333</v>
      </c>
      <c r="W73" s="69" t="n">
        <f aca="false">V73+W72</f>
        <v>-42281.25</v>
      </c>
      <c r="X73" s="69" t="n">
        <f aca="false">W73+X72</f>
        <v>-44354.1666666667</v>
      </c>
      <c r="Y73" s="69" t="n">
        <f aca="false">X73+Y72</f>
        <v>-46427.0833333333</v>
      </c>
      <c r="Z73" s="69" t="n">
        <f aca="false">Y73+Z72</f>
        <v>-48500</v>
      </c>
      <c r="AA73" s="69" t="n">
        <f aca="false">Z73+AA72</f>
        <v>-50677.0833333333</v>
      </c>
      <c r="AB73" s="69" t="n">
        <f aca="false">AA73+AB72</f>
        <v>-52854.1666666667</v>
      </c>
      <c r="AC73" s="69" t="n">
        <f aca="false">AB73+AC72</f>
        <v>-55031.25</v>
      </c>
      <c r="AD73" s="69" t="n">
        <f aca="false">AC73+AD72</f>
        <v>-57208.3333333333</v>
      </c>
      <c r="AE73" s="69" t="n">
        <f aca="false">AD73+AE72</f>
        <v>-59385.4166666667</v>
      </c>
      <c r="AF73" s="69" t="n">
        <f aca="false">AE73+AF72</f>
        <v>-61562.5</v>
      </c>
      <c r="AG73" s="69" t="n">
        <f aca="false">AF73+AG72</f>
        <v>-63739.5833333333</v>
      </c>
      <c r="AH73" s="69" t="n">
        <f aca="false">AG73+AH72</f>
        <v>-65916.6666666667</v>
      </c>
      <c r="AI73" s="69" t="n">
        <f aca="false">AH73+AI72</f>
        <v>-68093.75</v>
      </c>
      <c r="AJ73" s="69" t="n">
        <f aca="false">AI73+AJ72</f>
        <v>-70270.8333333333</v>
      </c>
      <c r="AK73" s="69" t="n">
        <f aca="false">AJ73+AK72</f>
        <v>-72447.9166666667</v>
      </c>
      <c r="AL73" s="69" t="n">
        <f aca="false">AK73+AL72</f>
        <v>-74625</v>
      </c>
    </row>
    <row r="74" customFormat="false" ht="15" hidden="false" customHeight="false" outlineLevel="0" collapsed="false">
      <c r="A74" s="4" t="s">
        <v>92</v>
      </c>
      <c r="C74" s="75" t="n">
        <f aca="false">C70+C73</f>
        <v>187031.25</v>
      </c>
      <c r="D74" s="75" t="n">
        <f aca="false">D70+D73</f>
        <v>185062.5</v>
      </c>
      <c r="E74" s="75" t="n">
        <f aca="false">E70+E73</f>
        <v>183093.75</v>
      </c>
      <c r="F74" s="75" t="n">
        <f aca="false">F70+F73</f>
        <v>181125</v>
      </c>
      <c r="G74" s="75" t="n">
        <f aca="false">G70+G73</f>
        <v>179156.25</v>
      </c>
      <c r="H74" s="75" t="n">
        <f aca="false">H70+H73</f>
        <v>177187.5</v>
      </c>
      <c r="I74" s="75" t="n">
        <f aca="false">I70+I73</f>
        <v>175218.75</v>
      </c>
      <c r="J74" s="75" t="n">
        <f aca="false">J70+J73</f>
        <v>173250</v>
      </c>
      <c r="K74" s="75" t="n">
        <f aca="false">K70+K73</f>
        <v>171281.25</v>
      </c>
      <c r="L74" s="75" t="n">
        <f aca="false">L70+L73</f>
        <v>169312.5</v>
      </c>
      <c r="M74" s="75" t="n">
        <f aca="false">M70+M73</f>
        <v>167343.75</v>
      </c>
      <c r="N74" s="75" t="n">
        <f aca="false">N70+N73</f>
        <v>165375</v>
      </c>
      <c r="O74" s="75" t="n">
        <f aca="false">O70+O73</f>
        <v>173302.083333333</v>
      </c>
      <c r="P74" s="75" t="n">
        <f aca="false">P70+P73</f>
        <v>171229.166666667</v>
      </c>
      <c r="Q74" s="75" t="n">
        <f aca="false">Q70+Q73</f>
        <v>169156.25</v>
      </c>
      <c r="R74" s="75" t="n">
        <f aca="false">R70+R73</f>
        <v>167083.333333333</v>
      </c>
      <c r="S74" s="75" t="n">
        <f aca="false">S70+S73</f>
        <v>165010.416666667</v>
      </c>
      <c r="T74" s="75" t="n">
        <f aca="false">T70+T73</f>
        <v>162937.5</v>
      </c>
      <c r="U74" s="75" t="n">
        <f aca="false">U70+U73</f>
        <v>160864.583333333</v>
      </c>
      <c r="V74" s="75" t="n">
        <f aca="false">V70+V73</f>
        <v>158791.666666667</v>
      </c>
      <c r="W74" s="75" t="n">
        <f aca="false">W70+W73</f>
        <v>156718.75</v>
      </c>
      <c r="X74" s="75" t="n">
        <f aca="false">X70+X73</f>
        <v>154645.833333333</v>
      </c>
      <c r="Y74" s="75" t="n">
        <f aca="false">Y70+Y73</f>
        <v>152572.916666667</v>
      </c>
      <c r="Z74" s="75" t="n">
        <f aca="false">Z70+Z73</f>
        <v>150500</v>
      </c>
      <c r="AA74" s="75" t="n">
        <f aca="false">AA70+AA73</f>
        <v>158322.916666667</v>
      </c>
      <c r="AB74" s="75" t="n">
        <f aca="false">AB70+AB73</f>
        <v>156145.833333333</v>
      </c>
      <c r="AC74" s="75" t="n">
        <f aca="false">AC70+AC73</f>
        <v>153968.75</v>
      </c>
      <c r="AD74" s="75" t="n">
        <f aca="false">AD70+AD73</f>
        <v>151791.666666667</v>
      </c>
      <c r="AE74" s="75" t="n">
        <f aca="false">AE70+AE73</f>
        <v>149614.583333333</v>
      </c>
      <c r="AF74" s="75" t="n">
        <f aca="false">AF70+AF73</f>
        <v>147437.5</v>
      </c>
      <c r="AG74" s="75" t="n">
        <f aca="false">AG70+AG73</f>
        <v>145260.416666667</v>
      </c>
      <c r="AH74" s="75" t="n">
        <f aca="false">AH70+AH73</f>
        <v>143083.333333333</v>
      </c>
      <c r="AI74" s="75" t="n">
        <f aca="false">AI70+AI73</f>
        <v>140906.25</v>
      </c>
      <c r="AJ74" s="75" t="n">
        <f aca="false">AJ70+AJ73</f>
        <v>138729.166666667</v>
      </c>
      <c r="AK74" s="75" t="n">
        <f aca="false">AK70+AK73</f>
        <v>136552.083333333</v>
      </c>
      <c r="AL74" s="75" t="n">
        <f aca="false">AL70+AL73</f>
        <v>134375</v>
      </c>
    </row>
    <row r="76" customFormat="false" ht="15.75" hidden="false" customHeight="true" outlineLevel="0" collapsed="false">
      <c r="A76" s="7" t="s">
        <v>415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customFormat="false" ht="15" hidden="false" customHeight="false" outlineLevel="0" collapsed="false">
      <c r="A77" s="6" t="s">
        <v>416</v>
      </c>
      <c r="C77" s="69" t="n">
        <f aca="false">0</f>
        <v>0</v>
      </c>
      <c r="D77" s="69" t="n">
        <f aca="false">C80</f>
        <v>100000</v>
      </c>
      <c r="E77" s="69" t="n">
        <f aca="false">D80</f>
        <v>98333.3333333333</v>
      </c>
      <c r="F77" s="69" t="n">
        <f aca="false">E80</f>
        <v>96666.6666666667</v>
      </c>
      <c r="G77" s="69" t="n">
        <f aca="false">F80</f>
        <v>95000</v>
      </c>
      <c r="H77" s="69" t="n">
        <f aca="false">G80</f>
        <v>93333.3333333333</v>
      </c>
      <c r="I77" s="69" t="n">
        <f aca="false">H80</f>
        <v>91666.6666666666</v>
      </c>
      <c r="J77" s="69" t="n">
        <f aca="false">I80</f>
        <v>90000</v>
      </c>
      <c r="K77" s="69" t="n">
        <f aca="false">J80</f>
        <v>88333.3333333333</v>
      </c>
      <c r="L77" s="69" t="n">
        <f aca="false">K80</f>
        <v>86666.6666666666</v>
      </c>
      <c r="M77" s="69" t="n">
        <f aca="false">L80</f>
        <v>85000</v>
      </c>
      <c r="N77" s="69" t="n">
        <f aca="false">M80</f>
        <v>83333.3333333333</v>
      </c>
      <c r="O77" s="69" t="n">
        <f aca="false">N80</f>
        <v>81666.6666666666</v>
      </c>
      <c r="P77" s="69" t="n">
        <f aca="false">O80</f>
        <v>79999.9999999999</v>
      </c>
      <c r="Q77" s="69" t="n">
        <f aca="false">P80</f>
        <v>78333.3333333333</v>
      </c>
      <c r="R77" s="69" t="n">
        <f aca="false">Q80</f>
        <v>76666.6666666666</v>
      </c>
      <c r="S77" s="69" t="n">
        <f aca="false">R80</f>
        <v>74999.9999999999</v>
      </c>
      <c r="T77" s="69" t="n">
        <f aca="false">S80</f>
        <v>73333.3333333333</v>
      </c>
      <c r="U77" s="69" t="n">
        <f aca="false">T80</f>
        <v>71666.6666666666</v>
      </c>
      <c r="V77" s="69" t="n">
        <f aca="false">U80</f>
        <v>69999.9999999999</v>
      </c>
      <c r="W77" s="69" t="n">
        <f aca="false">V80</f>
        <v>68333.3333333332</v>
      </c>
      <c r="X77" s="69" t="n">
        <f aca="false">W80</f>
        <v>66666.6666666666</v>
      </c>
      <c r="Y77" s="69" t="n">
        <f aca="false">X80</f>
        <v>64999.9999999999</v>
      </c>
      <c r="Z77" s="69" t="n">
        <f aca="false">Y80</f>
        <v>63333.3333333332</v>
      </c>
      <c r="AA77" s="69" t="n">
        <f aca="false">Z80</f>
        <v>61666.6666666666</v>
      </c>
      <c r="AB77" s="69" t="n">
        <f aca="false">AA80</f>
        <v>59999.9999999999</v>
      </c>
      <c r="AC77" s="69" t="n">
        <f aca="false">AB80</f>
        <v>58333.3333333333</v>
      </c>
      <c r="AD77" s="69" t="n">
        <f aca="false">AC80</f>
        <v>56666.6666666666</v>
      </c>
      <c r="AE77" s="69" t="n">
        <f aca="false">AD80</f>
        <v>54999.9999999999</v>
      </c>
      <c r="AF77" s="69" t="n">
        <f aca="false">AE80</f>
        <v>53333.3333333333</v>
      </c>
      <c r="AG77" s="69" t="n">
        <f aca="false">AF80</f>
        <v>51666.6666666666</v>
      </c>
      <c r="AH77" s="69" t="n">
        <f aca="false">AG80</f>
        <v>49999.9999999999</v>
      </c>
      <c r="AI77" s="69" t="n">
        <f aca="false">AH80</f>
        <v>48333.3333333333</v>
      </c>
      <c r="AJ77" s="69" t="n">
        <f aca="false">AI80</f>
        <v>46666.6666666666</v>
      </c>
      <c r="AK77" s="69" t="n">
        <f aca="false">AJ80</f>
        <v>44999.9999999999</v>
      </c>
      <c r="AL77" s="69" t="n">
        <f aca="false">AK80</f>
        <v>43333.3333333333</v>
      </c>
    </row>
    <row r="78" customFormat="false" ht="15" hidden="false" customHeight="false" outlineLevel="0" collapsed="false">
      <c r="A78" s="6" t="s">
        <v>85</v>
      </c>
      <c r="C78" s="69" t="n">
        <f aca="false">IF(C$6=1,Inputs!$B$72,0)</f>
        <v>100000</v>
      </c>
      <c r="D78" s="69" t="n">
        <f aca="false">IF(D$6=1,Inputs!$B$72,0)</f>
        <v>0</v>
      </c>
      <c r="E78" s="69" t="n">
        <f aca="false">IF(E$6=1,Inputs!$B$72,0)</f>
        <v>0</v>
      </c>
      <c r="F78" s="69" t="n">
        <f aca="false">IF(F$6=1,Inputs!$B$72,0)</f>
        <v>0</v>
      </c>
      <c r="G78" s="69" t="n">
        <f aca="false">IF(G$6=1,Inputs!$B$72,0)</f>
        <v>0</v>
      </c>
      <c r="H78" s="69" t="n">
        <f aca="false">IF(H$6=1,Inputs!$B$72,0)</f>
        <v>0</v>
      </c>
      <c r="I78" s="69" t="n">
        <f aca="false">IF(I$6=1,Inputs!$B$72,0)</f>
        <v>0</v>
      </c>
      <c r="J78" s="69" t="n">
        <f aca="false">IF(J$6=1,Inputs!$B$72,0)</f>
        <v>0</v>
      </c>
      <c r="K78" s="69" t="n">
        <f aca="false">IF(K$6=1,Inputs!$B$72,0)</f>
        <v>0</v>
      </c>
      <c r="L78" s="69" t="n">
        <f aca="false">IF(L$6=1,Inputs!$B$72,0)</f>
        <v>0</v>
      </c>
      <c r="M78" s="69" t="n">
        <f aca="false">IF(M$6=1,Inputs!$B$72,0)</f>
        <v>0</v>
      </c>
      <c r="N78" s="69" t="n">
        <f aca="false">IF(N$6=1,Inputs!$B$72,0)</f>
        <v>0</v>
      </c>
      <c r="O78" s="69" t="n">
        <f aca="false">IF(O$6=1,Inputs!$B$72,0)</f>
        <v>0</v>
      </c>
      <c r="P78" s="69" t="n">
        <f aca="false">IF(P$6=1,Inputs!$B$72,0)</f>
        <v>0</v>
      </c>
      <c r="Q78" s="69" t="n">
        <f aca="false">IF(Q$6=1,Inputs!$B$72,0)</f>
        <v>0</v>
      </c>
      <c r="R78" s="69" t="n">
        <f aca="false">IF(R$6=1,Inputs!$B$72,0)</f>
        <v>0</v>
      </c>
      <c r="S78" s="69" t="n">
        <f aca="false">IF(S$6=1,Inputs!$B$72,0)</f>
        <v>0</v>
      </c>
      <c r="T78" s="69" t="n">
        <f aca="false">IF(T$6=1,Inputs!$B$72,0)</f>
        <v>0</v>
      </c>
      <c r="U78" s="69" t="n">
        <f aca="false">IF(U$6=1,Inputs!$B$72,0)</f>
        <v>0</v>
      </c>
      <c r="V78" s="69" t="n">
        <f aca="false">IF(V$6=1,Inputs!$B$72,0)</f>
        <v>0</v>
      </c>
      <c r="W78" s="69" t="n">
        <f aca="false">IF(W$6=1,Inputs!$B$72,0)</f>
        <v>0</v>
      </c>
      <c r="X78" s="69" t="n">
        <f aca="false">IF(X$6=1,Inputs!$B$72,0)</f>
        <v>0</v>
      </c>
      <c r="Y78" s="69" t="n">
        <f aca="false">IF(Y$6=1,Inputs!$B$72,0)</f>
        <v>0</v>
      </c>
      <c r="Z78" s="69" t="n">
        <f aca="false">IF(Z$6=1,Inputs!$B$72,0)</f>
        <v>0</v>
      </c>
      <c r="AA78" s="69" t="n">
        <f aca="false">IF(AA$6=1,Inputs!$B$72,0)</f>
        <v>0</v>
      </c>
      <c r="AB78" s="69" t="n">
        <f aca="false">IF(AB$6=1,Inputs!$B$72,0)</f>
        <v>0</v>
      </c>
      <c r="AC78" s="69" t="n">
        <f aca="false">IF(AC$6=1,Inputs!$B$72,0)</f>
        <v>0</v>
      </c>
      <c r="AD78" s="69" t="n">
        <f aca="false">IF(AD$6=1,Inputs!$B$72,0)</f>
        <v>0</v>
      </c>
      <c r="AE78" s="69" t="n">
        <f aca="false">IF(AE$6=1,Inputs!$B$72,0)</f>
        <v>0</v>
      </c>
      <c r="AF78" s="69" t="n">
        <f aca="false">IF(AF$6=1,Inputs!$B$72,0)</f>
        <v>0</v>
      </c>
      <c r="AG78" s="69" t="n">
        <f aca="false">IF(AG$6=1,Inputs!$B$72,0)</f>
        <v>0</v>
      </c>
      <c r="AH78" s="69" t="n">
        <f aca="false">IF(AH$6=1,Inputs!$B$72,0)</f>
        <v>0</v>
      </c>
      <c r="AI78" s="69" t="n">
        <f aca="false">IF(AI$6=1,Inputs!$B$72,0)</f>
        <v>0</v>
      </c>
      <c r="AJ78" s="69" t="n">
        <f aca="false">IF(AJ$6=1,Inputs!$B$72,0)</f>
        <v>0</v>
      </c>
      <c r="AK78" s="69" t="n">
        <f aca="false">IF(AK$6=1,Inputs!$B$72,0)</f>
        <v>0</v>
      </c>
      <c r="AL78" s="69" t="n">
        <f aca="false">IF(AL$6=1,Inputs!$B$72,0)</f>
        <v>0</v>
      </c>
    </row>
    <row r="79" customFormat="false" ht="15" hidden="false" customHeight="false" outlineLevel="0" collapsed="false">
      <c r="A79" s="6" t="s">
        <v>86</v>
      </c>
      <c r="C79" s="69" t="n">
        <f aca="false">-MIN(C77,Inputs!$B$72/MAX(1,Inputs!$B$74*12))</f>
        <v>-0</v>
      </c>
      <c r="D79" s="69" t="n">
        <f aca="false">-MIN(D77,Inputs!$B$72/MAX(1,Inputs!$B$74*12))</f>
        <v>-1666.66666666667</v>
      </c>
      <c r="E79" s="69" t="n">
        <f aca="false">-MIN(E77,Inputs!$B$72/MAX(1,Inputs!$B$74*12))</f>
        <v>-1666.66666666667</v>
      </c>
      <c r="F79" s="69" t="n">
        <f aca="false">-MIN(F77,Inputs!$B$72/MAX(1,Inputs!$B$74*12))</f>
        <v>-1666.66666666667</v>
      </c>
      <c r="G79" s="69" t="n">
        <f aca="false">-MIN(G77,Inputs!$B$72/MAX(1,Inputs!$B$74*12))</f>
        <v>-1666.66666666667</v>
      </c>
      <c r="H79" s="69" t="n">
        <f aca="false">-MIN(H77,Inputs!$B$72/MAX(1,Inputs!$B$74*12))</f>
        <v>-1666.66666666667</v>
      </c>
      <c r="I79" s="69" t="n">
        <f aca="false">-MIN(I77,Inputs!$B$72/MAX(1,Inputs!$B$74*12))</f>
        <v>-1666.66666666667</v>
      </c>
      <c r="J79" s="69" t="n">
        <f aca="false">-MIN(J77,Inputs!$B$72/MAX(1,Inputs!$B$74*12))</f>
        <v>-1666.66666666667</v>
      </c>
      <c r="K79" s="69" t="n">
        <f aca="false">-MIN(K77,Inputs!$B$72/MAX(1,Inputs!$B$74*12))</f>
        <v>-1666.66666666667</v>
      </c>
      <c r="L79" s="69" t="n">
        <f aca="false">-MIN(L77,Inputs!$B$72/MAX(1,Inputs!$B$74*12))</f>
        <v>-1666.66666666667</v>
      </c>
      <c r="M79" s="69" t="n">
        <f aca="false">-MIN(M77,Inputs!$B$72/MAX(1,Inputs!$B$74*12))</f>
        <v>-1666.66666666667</v>
      </c>
      <c r="N79" s="69" t="n">
        <f aca="false">-MIN(N77,Inputs!$B$72/MAX(1,Inputs!$B$74*12))</f>
        <v>-1666.66666666667</v>
      </c>
      <c r="O79" s="69" t="n">
        <f aca="false">-MIN(O77,Inputs!$B$72/MAX(1,Inputs!$B$74*12))</f>
        <v>-1666.66666666667</v>
      </c>
      <c r="P79" s="69" t="n">
        <f aca="false">-MIN(P77,Inputs!$B$72/MAX(1,Inputs!$B$74*12))</f>
        <v>-1666.66666666667</v>
      </c>
      <c r="Q79" s="69" t="n">
        <f aca="false">-MIN(Q77,Inputs!$B$72/MAX(1,Inputs!$B$74*12))</f>
        <v>-1666.66666666667</v>
      </c>
      <c r="R79" s="69" t="n">
        <f aca="false">-MIN(R77,Inputs!$B$72/MAX(1,Inputs!$B$74*12))</f>
        <v>-1666.66666666667</v>
      </c>
      <c r="S79" s="69" t="n">
        <f aca="false">-MIN(S77,Inputs!$B$72/MAX(1,Inputs!$B$74*12))</f>
        <v>-1666.66666666667</v>
      </c>
      <c r="T79" s="69" t="n">
        <f aca="false">-MIN(T77,Inputs!$B$72/MAX(1,Inputs!$B$74*12))</f>
        <v>-1666.66666666667</v>
      </c>
      <c r="U79" s="69" t="n">
        <f aca="false">-MIN(U77,Inputs!$B$72/MAX(1,Inputs!$B$74*12))</f>
        <v>-1666.66666666667</v>
      </c>
      <c r="V79" s="69" t="n">
        <f aca="false">-MIN(V77,Inputs!$B$72/MAX(1,Inputs!$B$74*12))</f>
        <v>-1666.66666666667</v>
      </c>
      <c r="W79" s="69" t="n">
        <f aca="false">-MIN(W77,Inputs!$B$72/MAX(1,Inputs!$B$74*12))</f>
        <v>-1666.66666666667</v>
      </c>
      <c r="X79" s="69" t="n">
        <f aca="false">-MIN(X77,Inputs!$B$72/MAX(1,Inputs!$B$74*12))</f>
        <v>-1666.66666666667</v>
      </c>
      <c r="Y79" s="69" t="n">
        <f aca="false">-MIN(Y77,Inputs!$B$72/MAX(1,Inputs!$B$74*12))</f>
        <v>-1666.66666666667</v>
      </c>
      <c r="Z79" s="69" t="n">
        <f aca="false">-MIN(Z77,Inputs!$B$72/MAX(1,Inputs!$B$74*12))</f>
        <v>-1666.66666666667</v>
      </c>
      <c r="AA79" s="69" t="n">
        <f aca="false">-MIN(AA77,Inputs!$B$72/MAX(1,Inputs!$B$74*12))</f>
        <v>-1666.66666666667</v>
      </c>
      <c r="AB79" s="69" t="n">
        <f aca="false">-MIN(AB77,Inputs!$B$72/MAX(1,Inputs!$B$74*12))</f>
        <v>-1666.66666666667</v>
      </c>
      <c r="AC79" s="69" t="n">
        <f aca="false">-MIN(AC77,Inputs!$B$72/MAX(1,Inputs!$B$74*12))</f>
        <v>-1666.66666666667</v>
      </c>
      <c r="AD79" s="69" t="n">
        <f aca="false">-MIN(AD77,Inputs!$B$72/MAX(1,Inputs!$B$74*12))</f>
        <v>-1666.66666666667</v>
      </c>
      <c r="AE79" s="69" t="n">
        <f aca="false">-MIN(AE77,Inputs!$B$72/MAX(1,Inputs!$B$74*12))</f>
        <v>-1666.66666666667</v>
      </c>
      <c r="AF79" s="69" t="n">
        <f aca="false">-MIN(AF77,Inputs!$B$72/MAX(1,Inputs!$B$74*12))</f>
        <v>-1666.66666666667</v>
      </c>
      <c r="AG79" s="69" t="n">
        <f aca="false">-MIN(AG77,Inputs!$B$72/MAX(1,Inputs!$B$74*12))</f>
        <v>-1666.66666666667</v>
      </c>
      <c r="AH79" s="69" t="n">
        <f aca="false">-MIN(AH77,Inputs!$B$72/MAX(1,Inputs!$B$74*12))</f>
        <v>-1666.66666666667</v>
      </c>
      <c r="AI79" s="69" t="n">
        <f aca="false">-MIN(AI77,Inputs!$B$72/MAX(1,Inputs!$B$74*12))</f>
        <v>-1666.66666666667</v>
      </c>
      <c r="AJ79" s="69" t="n">
        <f aca="false">-MIN(AJ77,Inputs!$B$72/MAX(1,Inputs!$B$74*12))</f>
        <v>-1666.66666666667</v>
      </c>
      <c r="AK79" s="69" t="n">
        <f aca="false">-MIN(AK77,Inputs!$B$72/MAX(1,Inputs!$B$74*12))</f>
        <v>-1666.66666666667</v>
      </c>
      <c r="AL79" s="69" t="n">
        <f aca="false">-MIN(AL77,Inputs!$B$72/MAX(1,Inputs!$B$74*12))</f>
        <v>-1666.66666666667</v>
      </c>
    </row>
    <row r="80" customFormat="false" ht="15" hidden="false" customHeight="false" outlineLevel="0" collapsed="false">
      <c r="A80" s="4" t="s">
        <v>417</v>
      </c>
      <c r="C80" s="75" t="n">
        <f aca="false">C77+C78+C79</f>
        <v>100000</v>
      </c>
      <c r="D80" s="75" t="n">
        <f aca="false">D77+D78+D79</f>
        <v>98333.3333333333</v>
      </c>
      <c r="E80" s="75" t="n">
        <f aca="false">E77+E78+E79</f>
        <v>96666.6666666667</v>
      </c>
      <c r="F80" s="75" t="n">
        <f aca="false">F77+F78+F79</f>
        <v>95000</v>
      </c>
      <c r="G80" s="75" t="n">
        <f aca="false">G77+G78+G79</f>
        <v>93333.3333333333</v>
      </c>
      <c r="H80" s="75" t="n">
        <f aca="false">H77+H78+H79</f>
        <v>91666.6666666666</v>
      </c>
      <c r="I80" s="75" t="n">
        <f aca="false">I77+I78+I79</f>
        <v>90000</v>
      </c>
      <c r="J80" s="75" t="n">
        <f aca="false">J77+J78+J79</f>
        <v>88333.3333333333</v>
      </c>
      <c r="K80" s="75" t="n">
        <f aca="false">K77+K78+K79</f>
        <v>86666.6666666666</v>
      </c>
      <c r="L80" s="75" t="n">
        <f aca="false">L77+L78+L79</f>
        <v>85000</v>
      </c>
      <c r="M80" s="75" t="n">
        <f aca="false">M77+M78+M79</f>
        <v>83333.3333333333</v>
      </c>
      <c r="N80" s="75" t="n">
        <f aca="false">N77+N78+N79</f>
        <v>81666.6666666666</v>
      </c>
      <c r="O80" s="75" t="n">
        <f aca="false">O77+O78+O79</f>
        <v>79999.9999999999</v>
      </c>
      <c r="P80" s="75" t="n">
        <f aca="false">P77+P78+P79</f>
        <v>78333.3333333333</v>
      </c>
      <c r="Q80" s="75" t="n">
        <f aca="false">Q77+Q78+Q79</f>
        <v>76666.6666666666</v>
      </c>
      <c r="R80" s="75" t="n">
        <f aca="false">R77+R78+R79</f>
        <v>74999.9999999999</v>
      </c>
      <c r="S80" s="75" t="n">
        <f aca="false">S77+S78+S79</f>
        <v>73333.3333333333</v>
      </c>
      <c r="T80" s="75" t="n">
        <f aca="false">T77+T78+T79</f>
        <v>71666.6666666666</v>
      </c>
      <c r="U80" s="75" t="n">
        <f aca="false">U77+U78+U79</f>
        <v>69999.9999999999</v>
      </c>
      <c r="V80" s="75" t="n">
        <f aca="false">V77+V78+V79</f>
        <v>68333.3333333332</v>
      </c>
      <c r="W80" s="75" t="n">
        <f aca="false">W77+W78+W79</f>
        <v>66666.6666666666</v>
      </c>
      <c r="X80" s="75" t="n">
        <f aca="false">X77+X78+X79</f>
        <v>64999.9999999999</v>
      </c>
      <c r="Y80" s="75" t="n">
        <f aca="false">Y77+Y78+Y79</f>
        <v>63333.3333333332</v>
      </c>
      <c r="Z80" s="75" t="n">
        <f aca="false">Z77+Z78+Z79</f>
        <v>61666.6666666666</v>
      </c>
      <c r="AA80" s="75" t="n">
        <f aca="false">AA77+AA78+AA79</f>
        <v>59999.9999999999</v>
      </c>
      <c r="AB80" s="75" t="n">
        <f aca="false">AB77+AB78+AB79</f>
        <v>58333.3333333333</v>
      </c>
      <c r="AC80" s="75" t="n">
        <f aca="false">AC77+AC78+AC79</f>
        <v>56666.6666666666</v>
      </c>
      <c r="AD80" s="75" t="n">
        <f aca="false">AD77+AD78+AD79</f>
        <v>54999.9999999999</v>
      </c>
      <c r="AE80" s="75" t="n">
        <f aca="false">AE77+AE78+AE79</f>
        <v>53333.3333333333</v>
      </c>
      <c r="AF80" s="75" t="n">
        <f aca="false">AF77+AF78+AF79</f>
        <v>51666.6666666666</v>
      </c>
      <c r="AG80" s="75" t="n">
        <f aca="false">AG77+AG78+AG79</f>
        <v>49999.9999999999</v>
      </c>
      <c r="AH80" s="75" t="n">
        <f aca="false">AH77+AH78+AH79</f>
        <v>48333.3333333333</v>
      </c>
      <c r="AI80" s="75" t="n">
        <f aca="false">AI77+AI78+AI79</f>
        <v>46666.6666666666</v>
      </c>
      <c r="AJ80" s="75" t="n">
        <f aca="false">AJ77+AJ78+AJ79</f>
        <v>44999.9999999999</v>
      </c>
      <c r="AK80" s="75" t="n">
        <f aca="false">AK77+AK78+AK79</f>
        <v>43333.3333333333</v>
      </c>
      <c r="AL80" s="75" t="n">
        <f aca="false">AL77+AL78+AL79</f>
        <v>41666.6666666666</v>
      </c>
    </row>
    <row r="82" customFormat="false" ht="15.75" hidden="false" customHeight="true" outlineLevel="0" collapsed="false">
      <c r="A82" s="7" t="s">
        <v>319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customFormat="false" ht="15" hidden="false" customHeight="false" outlineLevel="0" collapsed="false">
      <c r="A83" s="6" t="s">
        <v>90</v>
      </c>
      <c r="C83" s="69" t="n">
        <f aca="false">C33*Inputs!$B$77/30</f>
        <v>922.04</v>
      </c>
      <c r="D83" s="69" t="n">
        <f aca="false">D33*Inputs!$B$77/30</f>
        <v>1075.71333333333</v>
      </c>
      <c r="E83" s="69" t="n">
        <f aca="false">E33*Inputs!$B$77/30</f>
        <v>1229.38666666667</v>
      </c>
      <c r="F83" s="69" t="n">
        <f aca="false">F33*Inputs!$B$77/30</f>
        <v>1383.06</v>
      </c>
      <c r="G83" s="69" t="n">
        <f aca="false">G33*Inputs!$B$77/30</f>
        <v>1536.73333333333</v>
      </c>
      <c r="H83" s="69" t="n">
        <f aca="false">H33*Inputs!$B$77/30</f>
        <v>1878.50666666667</v>
      </c>
      <c r="I83" s="69" t="n">
        <f aca="false">I33*Inputs!$B$77/30</f>
        <v>2049.28</v>
      </c>
      <c r="J83" s="69" t="n">
        <f aca="false">J33*Inputs!$B$77/30</f>
        <v>2220.05333333333</v>
      </c>
      <c r="K83" s="69" t="n">
        <f aca="false">K33*Inputs!$B$77/30</f>
        <v>2151.42666666667</v>
      </c>
      <c r="L83" s="69" t="n">
        <f aca="false">L33*Inputs!$B$77/30</f>
        <v>2305.1</v>
      </c>
      <c r="M83" s="69" t="n">
        <f aca="false">M33*Inputs!$B$77/30</f>
        <v>2458.77333333333</v>
      </c>
      <c r="N83" s="69" t="n">
        <f aca="false">N33*Inputs!$B$77/30</f>
        <v>2903.14666666667</v>
      </c>
      <c r="O83" s="69" t="n">
        <f aca="false">O33*Inputs!$B$77/30</f>
        <v>2793.7812</v>
      </c>
      <c r="P83" s="69" t="n">
        <f aca="false">P33*Inputs!$B$77/30</f>
        <v>2948.99126666667</v>
      </c>
      <c r="Q83" s="69" t="n">
        <f aca="false">Q33*Inputs!$B$77/30</f>
        <v>3104.20133333333</v>
      </c>
      <c r="R83" s="69" t="n">
        <f aca="false">R33*Inputs!$B$77/30</f>
        <v>3104.20133333333</v>
      </c>
      <c r="S83" s="69" t="n">
        <f aca="false">S33*Inputs!$B$77/30</f>
        <v>3104.20133333333</v>
      </c>
      <c r="T83" s="69" t="n">
        <f aca="false">T33*Inputs!$B$77/30</f>
        <v>3449.62133333333</v>
      </c>
      <c r="U83" s="69" t="n">
        <f aca="false">U33*Inputs!$B$77/30</f>
        <v>3449.62133333333</v>
      </c>
      <c r="V83" s="69" t="n">
        <f aca="false">V33*Inputs!$B$77/30</f>
        <v>3449.62133333333</v>
      </c>
      <c r="W83" s="69" t="n">
        <f aca="false">W33*Inputs!$B$77/30</f>
        <v>3104.20133333333</v>
      </c>
      <c r="X83" s="69" t="n">
        <f aca="false">X33*Inputs!$B$77/30</f>
        <v>3104.20133333333</v>
      </c>
      <c r="Y83" s="69" t="n">
        <f aca="false">Y33*Inputs!$B$77/30</f>
        <v>3104.20133333333</v>
      </c>
      <c r="Z83" s="69" t="n">
        <f aca="false">Z33*Inputs!$B$77/30</f>
        <v>3449.62133333333</v>
      </c>
      <c r="AA83" s="69" t="n">
        <f aca="false">AA33*Inputs!$B$77/30</f>
        <v>3135.24334666667</v>
      </c>
      <c r="AB83" s="69" t="n">
        <f aca="false">AB33*Inputs!$B$77/30</f>
        <v>3135.24334666667</v>
      </c>
      <c r="AC83" s="69" t="n">
        <f aca="false">AC33*Inputs!$B$77/30</f>
        <v>3135.24334666667</v>
      </c>
      <c r="AD83" s="69" t="n">
        <f aca="false">AD33*Inputs!$B$77/30</f>
        <v>3135.24334666667</v>
      </c>
      <c r="AE83" s="69" t="n">
        <f aca="false">AE33*Inputs!$B$77/30</f>
        <v>3135.24334666667</v>
      </c>
      <c r="AF83" s="69" t="n">
        <f aca="false">AF33*Inputs!$B$77/30</f>
        <v>3484.11754666667</v>
      </c>
      <c r="AG83" s="69" t="n">
        <f aca="false">AG33*Inputs!$B$77/30</f>
        <v>3484.11754666667</v>
      </c>
      <c r="AH83" s="69" t="n">
        <f aca="false">AH33*Inputs!$B$77/30</f>
        <v>3484.11754666667</v>
      </c>
      <c r="AI83" s="69" t="n">
        <f aca="false">AI33*Inputs!$B$77/30</f>
        <v>3135.24334666667</v>
      </c>
      <c r="AJ83" s="69" t="n">
        <f aca="false">AJ33*Inputs!$B$77/30</f>
        <v>3135.24334666667</v>
      </c>
      <c r="AK83" s="69" t="n">
        <f aca="false">AK33*Inputs!$B$77/30</f>
        <v>3135.24334666667</v>
      </c>
      <c r="AL83" s="69" t="n">
        <f aca="false">AL33*Inputs!$B$77/30</f>
        <v>3484.11754666667</v>
      </c>
    </row>
    <row r="84" customFormat="false" ht="15" hidden="false" customHeight="false" outlineLevel="0" collapsed="false">
      <c r="A84" s="6" t="s">
        <v>91</v>
      </c>
      <c r="C84" s="69" t="n">
        <f aca="false">-C41*Inputs!$B$78/30</f>
        <v>1633.34266666667</v>
      </c>
      <c r="D84" s="69" t="n">
        <f aca="false">-D41*Inputs!$B$78/30</f>
        <v>1777.78866666667</v>
      </c>
      <c r="E84" s="69" t="n">
        <f aca="false">-E41*Inputs!$B$78/30</f>
        <v>1922.23466666667</v>
      </c>
      <c r="F84" s="69" t="n">
        <f aca="false">-F41*Inputs!$B$78/30</f>
        <v>2066.68066666667</v>
      </c>
      <c r="G84" s="69" t="n">
        <f aca="false">-G41*Inputs!$B$78/30</f>
        <v>2211.12666666667</v>
      </c>
      <c r="H84" s="69" t="n">
        <f aca="false">-H41*Inputs!$B$78/30</f>
        <v>2434.57466666667</v>
      </c>
      <c r="I84" s="69" t="n">
        <f aca="false">-I41*Inputs!$B$78/30</f>
        <v>2586.20266666667</v>
      </c>
      <c r="J84" s="69" t="n">
        <f aca="false">-J41*Inputs!$B$78/30</f>
        <v>2737.83066666667</v>
      </c>
      <c r="K84" s="69" t="n">
        <f aca="false">-K41*Inputs!$B$78/30</f>
        <v>2788.91066666667</v>
      </c>
      <c r="L84" s="69" t="n">
        <f aca="false">-L41*Inputs!$B$78/30</f>
        <v>2933.35666666667</v>
      </c>
      <c r="M84" s="69" t="n">
        <f aca="false">-M41*Inputs!$B$78/30</f>
        <v>3077.80266666667</v>
      </c>
      <c r="N84" s="69" t="n">
        <f aca="false">-N41*Inputs!$B$78/30</f>
        <v>3344.34266666667</v>
      </c>
      <c r="O84" s="69" t="n">
        <f aca="false">-O41*Inputs!$B$78/30</f>
        <v>3448.43165333333</v>
      </c>
      <c r="P84" s="69" t="n">
        <f aca="false">-P41*Inputs!$B$78/30</f>
        <v>3595.71489333333</v>
      </c>
      <c r="Q84" s="69" t="n">
        <f aca="false">-Q41*Inputs!$B$78/30</f>
        <v>3742.99813333333</v>
      </c>
      <c r="R84" s="69" t="n">
        <f aca="false">-R41*Inputs!$B$78/30</f>
        <v>3742.99813333333</v>
      </c>
      <c r="S84" s="69" t="n">
        <f aca="false">-S41*Inputs!$B$78/30</f>
        <v>3742.99813333333</v>
      </c>
      <c r="T84" s="69" t="n">
        <f aca="false">-T41*Inputs!$B$78/30</f>
        <v>3892.38373333333</v>
      </c>
      <c r="U84" s="69" t="n">
        <f aca="false">-U41*Inputs!$B$78/30</f>
        <v>3892.38373333333</v>
      </c>
      <c r="V84" s="69" t="n">
        <f aca="false">-V41*Inputs!$B$78/30</f>
        <v>3892.38373333333</v>
      </c>
      <c r="W84" s="69" t="n">
        <f aca="false">-W41*Inputs!$B$78/30</f>
        <v>3742.99813333333</v>
      </c>
      <c r="X84" s="69" t="n">
        <f aca="false">-X41*Inputs!$B$78/30</f>
        <v>3742.99813333333</v>
      </c>
      <c r="Y84" s="69" t="n">
        <f aca="false">-Y41*Inputs!$B$78/30</f>
        <v>3742.99813333333</v>
      </c>
      <c r="Z84" s="69" t="n">
        <f aca="false">-Z41*Inputs!$B$78/30</f>
        <v>3892.38373333333</v>
      </c>
      <c r="AA84" s="69" t="n">
        <f aca="false">-AA41*Inputs!$B$78/30</f>
        <v>3833.31793866667</v>
      </c>
      <c r="AB84" s="69" t="n">
        <f aca="false">-AB41*Inputs!$B$78/30</f>
        <v>3833.31793866667</v>
      </c>
      <c r="AC84" s="69" t="n">
        <f aca="false">-AC41*Inputs!$B$78/30</f>
        <v>3833.31793866667</v>
      </c>
      <c r="AD84" s="69" t="n">
        <f aca="false">-AD41*Inputs!$B$78/30</f>
        <v>3833.31793866667</v>
      </c>
      <c r="AE84" s="69" t="n">
        <f aca="false">-AE41*Inputs!$B$78/30</f>
        <v>3833.31793866667</v>
      </c>
      <c r="AF84" s="69" t="n">
        <f aca="false">-AF41*Inputs!$B$78/30</f>
        <v>3988.67896266667</v>
      </c>
      <c r="AG84" s="69" t="n">
        <f aca="false">-AG41*Inputs!$B$78/30</f>
        <v>3988.67896266667</v>
      </c>
      <c r="AH84" s="69" t="n">
        <f aca="false">-AH41*Inputs!$B$78/30</f>
        <v>3988.67896266667</v>
      </c>
      <c r="AI84" s="69" t="n">
        <f aca="false">-AI41*Inputs!$B$78/30</f>
        <v>3833.31793866667</v>
      </c>
      <c r="AJ84" s="69" t="n">
        <f aca="false">-AJ41*Inputs!$B$78/30</f>
        <v>3833.31793866667</v>
      </c>
      <c r="AK84" s="69" t="n">
        <f aca="false">-AK41*Inputs!$B$78/30</f>
        <v>3833.31793866667</v>
      </c>
      <c r="AL84" s="69" t="n">
        <f aca="false">-AL41*Inputs!$B$78/30</f>
        <v>3988.67896266667</v>
      </c>
    </row>
    <row r="85" customFormat="false" ht="15" hidden="false" customHeight="false" outlineLevel="0" collapsed="false">
      <c r="A85" s="6" t="s">
        <v>94</v>
      </c>
      <c r="C85" s="69" t="n">
        <f aca="false">-C41*Inputs!$B$79/30</f>
        <v>6805.59444444445</v>
      </c>
      <c r="D85" s="69" t="n">
        <f aca="false">-D41*Inputs!$B$79/30</f>
        <v>7407.45277777778</v>
      </c>
      <c r="E85" s="69" t="n">
        <f aca="false">-E41*Inputs!$B$79/30</f>
        <v>8009.31111111111</v>
      </c>
      <c r="F85" s="69" t="n">
        <f aca="false">-F41*Inputs!$B$79/30</f>
        <v>8611.16944444445</v>
      </c>
      <c r="G85" s="69" t="n">
        <f aca="false">-G41*Inputs!$B$79/30</f>
        <v>9213.02777777778</v>
      </c>
      <c r="H85" s="69" t="n">
        <f aca="false">-H41*Inputs!$B$79/30</f>
        <v>10144.0611111111</v>
      </c>
      <c r="I85" s="69" t="n">
        <f aca="false">-I41*Inputs!$B$79/30</f>
        <v>10775.8444444444</v>
      </c>
      <c r="J85" s="69" t="n">
        <f aca="false">-J41*Inputs!$B$79/30</f>
        <v>11407.6277777778</v>
      </c>
      <c r="K85" s="69" t="n">
        <f aca="false">-K41*Inputs!$B$79/30</f>
        <v>11620.4611111111</v>
      </c>
      <c r="L85" s="69" t="n">
        <f aca="false">-L41*Inputs!$B$79/30</f>
        <v>12222.3194444444</v>
      </c>
      <c r="M85" s="69" t="n">
        <f aca="false">-M41*Inputs!$B$79/30</f>
        <v>12824.1777777778</v>
      </c>
      <c r="N85" s="69" t="n">
        <f aca="false">-N41*Inputs!$B$79/30</f>
        <v>13934.7611111111</v>
      </c>
      <c r="O85" s="69" t="n">
        <f aca="false">-O41*Inputs!$B$79/30</f>
        <v>14368.4652222222</v>
      </c>
      <c r="P85" s="69" t="n">
        <f aca="false">-P41*Inputs!$B$79/30</f>
        <v>14982.1453888889</v>
      </c>
      <c r="Q85" s="69" t="n">
        <f aca="false">-Q41*Inputs!$B$79/30</f>
        <v>15595.8255555556</v>
      </c>
      <c r="R85" s="69" t="n">
        <f aca="false">-R41*Inputs!$B$79/30</f>
        <v>15595.8255555556</v>
      </c>
      <c r="S85" s="69" t="n">
        <f aca="false">-S41*Inputs!$B$79/30</f>
        <v>15595.8255555556</v>
      </c>
      <c r="T85" s="69" t="n">
        <f aca="false">-T41*Inputs!$B$79/30</f>
        <v>16218.2655555556</v>
      </c>
      <c r="U85" s="69" t="n">
        <f aca="false">-U41*Inputs!$B$79/30</f>
        <v>16218.2655555556</v>
      </c>
      <c r="V85" s="69" t="n">
        <f aca="false">-V41*Inputs!$B$79/30</f>
        <v>16218.2655555556</v>
      </c>
      <c r="W85" s="69" t="n">
        <f aca="false">-W41*Inputs!$B$79/30</f>
        <v>15595.8255555556</v>
      </c>
      <c r="X85" s="69" t="n">
        <f aca="false">-X41*Inputs!$B$79/30</f>
        <v>15595.8255555556</v>
      </c>
      <c r="Y85" s="69" t="n">
        <f aca="false">-Y41*Inputs!$B$79/30</f>
        <v>15595.8255555556</v>
      </c>
      <c r="Z85" s="69" t="n">
        <f aca="false">-Z41*Inputs!$B$79/30</f>
        <v>16218.2655555556</v>
      </c>
      <c r="AA85" s="69" t="n">
        <f aca="false">-AA41*Inputs!$B$79/30</f>
        <v>15972.1580777778</v>
      </c>
      <c r="AB85" s="69" t="n">
        <f aca="false">-AB41*Inputs!$B$79/30</f>
        <v>15972.1580777778</v>
      </c>
      <c r="AC85" s="69" t="n">
        <f aca="false">-AC41*Inputs!$B$79/30</f>
        <v>15972.1580777778</v>
      </c>
      <c r="AD85" s="69" t="n">
        <f aca="false">-AD41*Inputs!$B$79/30</f>
        <v>15972.1580777778</v>
      </c>
      <c r="AE85" s="69" t="n">
        <f aca="false">-AE41*Inputs!$B$79/30</f>
        <v>15972.1580777778</v>
      </c>
      <c r="AF85" s="69" t="n">
        <f aca="false">-AF41*Inputs!$B$79/30</f>
        <v>16619.4956777778</v>
      </c>
      <c r="AG85" s="69" t="n">
        <f aca="false">-AG41*Inputs!$B$79/30</f>
        <v>16619.4956777778</v>
      </c>
      <c r="AH85" s="69" t="n">
        <f aca="false">-AH41*Inputs!$B$79/30</f>
        <v>16619.4956777778</v>
      </c>
      <c r="AI85" s="69" t="n">
        <f aca="false">-AI41*Inputs!$B$79/30</f>
        <v>15972.1580777778</v>
      </c>
      <c r="AJ85" s="69" t="n">
        <f aca="false">-AJ41*Inputs!$B$79/30</f>
        <v>15972.1580777778</v>
      </c>
      <c r="AK85" s="69" t="n">
        <f aca="false">-AK41*Inputs!$B$79/30</f>
        <v>15972.1580777778</v>
      </c>
      <c r="AL85" s="69" t="n">
        <f aca="false">-AL41*Inputs!$B$79/30</f>
        <v>16619.4956777778</v>
      </c>
    </row>
    <row r="86" customFormat="false" ht="15" hidden="false" customHeight="false" outlineLevel="0" collapsed="false">
      <c r="A86" s="6" t="s">
        <v>342</v>
      </c>
      <c r="C86" s="69" t="n">
        <f aca="false">-C83</f>
        <v>-922.04</v>
      </c>
      <c r="D86" s="69" t="n">
        <f aca="false">C83-D83</f>
        <v>-153.673333333333</v>
      </c>
      <c r="E86" s="69" t="n">
        <f aca="false">D83-E83</f>
        <v>-153.673333333333</v>
      </c>
      <c r="F86" s="69" t="n">
        <f aca="false">E83-F83</f>
        <v>-153.673333333333</v>
      </c>
      <c r="G86" s="69" t="n">
        <f aca="false">F83-G83</f>
        <v>-153.673333333334</v>
      </c>
      <c r="H86" s="69" t="n">
        <f aca="false">G83-H83</f>
        <v>-341.773333333333</v>
      </c>
      <c r="I86" s="69" t="n">
        <f aca="false">H83-I83</f>
        <v>-170.773333333334</v>
      </c>
      <c r="J86" s="69" t="n">
        <f aca="false">I83-J83</f>
        <v>-170.773333333332</v>
      </c>
      <c r="K86" s="69" t="n">
        <f aca="false">J83-K83</f>
        <v>68.6266666666656</v>
      </c>
      <c r="L86" s="69" t="n">
        <f aca="false">K83-L83</f>
        <v>-153.673333333333</v>
      </c>
      <c r="M86" s="69" t="n">
        <f aca="false">L83-M83</f>
        <v>-153.673333333333</v>
      </c>
      <c r="N86" s="69" t="n">
        <f aca="false">M83-N83</f>
        <v>-444.373333333334</v>
      </c>
      <c r="O86" s="69" t="n">
        <f aca="false">N83-O83</f>
        <v>109.365466666667</v>
      </c>
      <c r="P86" s="69" t="n">
        <f aca="false">O83-P83</f>
        <v>-155.210066666667</v>
      </c>
      <c r="Q86" s="69" t="n">
        <f aca="false">P83-Q83</f>
        <v>-155.210066666667</v>
      </c>
      <c r="R86" s="69" t="n">
        <f aca="false">Q83-R83</f>
        <v>0</v>
      </c>
      <c r="S86" s="69" t="n">
        <f aca="false">R83-S83</f>
        <v>0</v>
      </c>
      <c r="T86" s="69" t="n">
        <f aca="false">S83-T83</f>
        <v>-345.420000000001</v>
      </c>
      <c r="U86" s="69" t="n">
        <f aca="false">T83-U83</f>
        <v>0</v>
      </c>
      <c r="V86" s="69" t="n">
        <f aca="false">U83-V83</f>
        <v>0</v>
      </c>
      <c r="W86" s="69" t="n">
        <f aca="false">V83-W83</f>
        <v>345.420000000001</v>
      </c>
      <c r="X86" s="69" t="n">
        <f aca="false">W83-X83</f>
        <v>0</v>
      </c>
      <c r="Y86" s="69" t="n">
        <f aca="false">X83-Y83</f>
        <v>0</v>
      </c>
      <c r="Z86" s="69" t="n">
        <f aca="false">Y83-Z83</f>
        <v>-345.420000000001</v>
      </c>
      <c r="AA86" s="69" t="n">
        <f aca="false">Z83-AA83</f>
        <v>314.377986666667</v>
      </c>
      <c r="AB86" s="69" t="n">
        <f aca="false">AA83-AB83</f>
        <v>0</v>
      </c>
      <c r="AC86" s="69" t="n">
        <f aca="false">AB83-AC83</f>
        <v>0</v>
      </c>
      <c r="AD86" s="69" t="n">
        <f aca="false">AC83-AD83</f>
        <v>0</v>
      </c>
      <c r="AE86" s="69" t="n">
        <f aca="false">AD83-AE83</f>
        <v>0</v>
      </c>
      <c r="AF86" s="69" t="n">
        <f aca="false">AE83-AF83</f>
        <v>-348.8742</v>
      </c>
      <c r="AG86" s="69" t="n">
        <f aca="false">AF83-AG83</f>
        <v>0</v>
      </c>
      <c r="AH86" s="69" t="n">
        <f aca="false">AG83-AH83</f>
        <v>0</v>
      </c>
      <c r="AI86" s="69" t="n">
        <f aca="false">AH83-AI83</f>
        <v>348.8742</v>
      </c>
      <c r="AJ86" s="69" t="n">
        <f aca="false">AI83-AJ83</f>
        <v>0</v>
      </c>
      <c r="AK86" s="69" t="n">
        <f aca="false">AJ83-AK83</f>
        <v>0</v>
      </c>
      <c r="AL86" s="69" t="n">
        <f aca="false">AK83-AL83</f>
        <v>-348.8742</v>
      </c>
    </row>
    <row r="87" customFormat="false" ht="15" hidden="false" customHeight="false" outlineLevel="0" collapsed="false">
      <c r="A87" s="6" t="s">
        <v>343</v>
      </c>
      <c r="C87" s="69" t="n">
        <f aca="false">-C84</f>
        <v>-1633.34266666667</v>
      </c>
      <c r="D87" s="69" t="n">
        <f aca="false">C84-D84</f>
        <v>-144.446</v>
      </c>
      <c r="E87" s="69" t="n">
        <f aca="false">D84-E84</f>
        <v>-144.445999999999</v>
      </c>
      <c r="F87" s="69" t="n">
        <f aca="false">E84-F84</f>
        <v>-144.446000000001</v>
      </c>
      <c r="G87" s="69" t="n">
        <f aca="false">F84-G84</f>
        <v>-144.445999999999</v>
      </c>
      <c r="H87" s="69" t="n">
        <f aca="false">G84-H84</f>
        <v>-223.448</v>
      </c>
      <c r="I87" s="69" t="n">
        <f aca="false">H84-I84</f>
        <v>-151.628000000001</v>
      </c>
      <c r="J87" s="69" t="n">
        <f aca="false">I84-J84</f>
        <v>-151.627999999999</v>
      </c>
      <c r="K87" s="69" t="n">
        <f aca="false">J84-K84</f>
        <v>-51.0799999999999</v>
      </c>
      <c r="L87" s="69" t="n">
        <f aca="false">K84-L84</f>
        <v>-144.446000000001</v>
      </c>
      <c r="M87" s="69" t="n">
        <f aca="false">L84-M84</f>
        <v>-144.445999999999</v>
      </c>
      <c r="N87" s="69" t="n">
        <f aca="false">M84-N84</f>
        <v>-266.54</v>
      </c>
      <c r="O87" s="69" t="n">
        <f aca="false">N84-O84</f>
        <v>-104.088986666667</v>
      </c>
      <c r="P87" s="69" t="n">
        <f aca="false">O84-P84</f>
        <v>-147.28324</v>
      </c>
      <c r="Q87" s="69" t="n">
        <f aca="false">P84-Q84</f>
        <v>-147.283240000001</v>
      </c>
      <c r="R87" s="69" t="n">
        <f aca="false">Q84-R84</f>
        <v>0</v>
      </c>
      <c r="S87" s="69" t="n">
        <f aca="false">R84-S84</f>
        <v>0</v>
      </c>
      <c r="T87" s="69" t="n">
        <f aca="false">S84-T84</f>
        <v>-149.3856</v>
      </c>
      <c r="U87" s="69" t="n">
        <f aca="false">T84-U84</f>
        <v>0</v>
      </c>
      <c r="V87" s="69" t="n">
        <f aca="false">U84-V84</f>
        <v>0</v>
      </c>
      <c r="W87" s="69" t="n">
        <f aca="false">V84-W84</f>
        <v>149.3856</v>
      </c>
      <c r="X87" s="69" t="n">
        <f aca="false">W84-X84</f>
        <v>0</v>
      </c>
      <c r="Y87" s="69" t="n">
        <f aca="false">X84-Y84</f>
        <v>0</v>
      </c>
      <c r="Z87" s="69" t="n">
        <f aca="false">Y84-Z84</f>
        <v>-149.3856</v>
      </c>
      <c r="AA87" s="69" t="n">
        <f aca="false">Z84-AA84</f>
        <v>59.065794666667</v>
      </c>
      <c r="AB87" s="69" t="n">
        <f aca="false">AA84-AB84</f>
        <v>0</v>
      </c>
      <c r="AC87" s="69" t="n">
        <f aca="false">AB84-AC84</f>
        <v>0</v>
      </c>
      <c r="AD87" s="69" t="n">
        <f aca="false">AC84-AD84</f>
        <v>0</v>
      </c>
      <c r="AE87" s="69" t="n">
        <f aca="false">AD84-AE84</f>
        <v>0</v>
      </c>
      <c r="AF87" s="69" t="n">
        <f aca="false">AE84-AF84</f>
        <v>-155.361024</v>
      </c>
      <c r="AG87" s="69" t="n">
        <f aca="false">AF84-AG84</f>
        <v>0</v>
      </c>
      <c r="AH87" s="69" t="n">
        <f aca="false">AG84-AH84</f>
        <v>0</v>
      </c>
      <c r="AI87" s="69" t="n">
        <f aca="false">AH84-AI84</f>
        <v>155.361024</v>
      </c>
      <c r="AJ87" s="69" t="n">
        <f aca="false">AI84-AJ84</f>
        <v>0</v>
      </c>
      <c r="AK87" s="69" t="n">
        <f aca="false">AJ84-AK84</f>
        <v>0</v>
      </c>
      <c r="AL87" s="69" t="n">
        <f aca="false">AK84-AL84</f>
        <v>-155.361024</v>
      </c>
    </row>
    <row r="88" customFormat="false" ht="15" hidden="false" customHeight="false" outlineLevel="0" collapsed="false">
      <c r="A88" s="6" t="s">
        <v>344</v>
      </c>
      <c r="C88" s="69" t="n">
        <f aca="false">C85</f>
        <v>6805.59444444445</v>
      </c>
      <c r="D88" s="69" t="n">
        <f aca="false">D85-C85</f>
        <v>601.858333333334</v>
      </c>
      <c r="E88" s="69" t="n">
        <f aca="false">E85-D85</f>
        <v>601.858333333329</v>
      </c>
      <c r="F88" s="69" t="n">
        <f aca="false">F85-E85</f>
        <v>601.858333333337</v>
      </c>
      <c r="G88" s="69" t="n">
        <f aca="false">G85-F85</f>
        <v>601.85833333333</v>
      </c>
      <c r="H88" s="69" t="n">
        <f aca="false">H85-G85</f>
        <v>931.033333333333</v>
      </c>
      <c r="I88" s="69" t="n">
        <f aca="false">I85-H85</f>
        <v>631.783333333337</v>
      </c>
      <c r="J88" s="69" t="n">
        <f aca="false">J85-I85</f>
        <v>631.783333333331</v>
      </c>
      <c r="K88" s="69" t="n">
        <f aca="false">K85-J85</f>
        <v>212.833333333334</v>
      </c>
      <c r="L88" s="69" t="n">
        <f aca="false">L85-K85</f>
        <v>601.858333333335</v>
      </c>
      <c r="M88" s="69" t="n">
        <f aca="false">M85-L85</f>
        <v>601.85833333333</v>
      </c>
      <c r="N88" s="69" t="n">
        <f aca="false">N85-M85</f>
        <v>1110.58333333334</v>
      </c>
      <c r="O88" s="69" t="n">
        <f aca="false">O85-N85</f>
        <v>433.704111111112</v>
      </c>
      <c r="P88" s="69" t="n">
        <f aca="false">P85-O85</f>
        <v>613.680166666667</v>
      </c>
      <c r="Q88" s="69" t="n">
        <f aca="false">Q85-P85</f>
        <v>613.680166666667</v>
      </c>
      <c r="R88" s="69" t="n">
        <f aca="false">R85-Q85</f>
        <v>0</v>
      </c>
      <c r="S88" s="69" t="n">
        <f aca="false">S85-R85</f>
        <v>0</v>
      </c>
      <c r="T88" s="69" t="n">
        <f aca="false">T85-S85</f>
        <v>622.440000000001</v>
      </c>
      <c r="U88" s="69" t="n">
        <f aca="false">U85-T85</f>
        <v>0</v>
      </c>
      <c r="V88" s="69" t="n">
        <f aca="false">V85-U85</f>
        <v>0</v>
      </c>
      <c r="W88" s="69" t="n">
        <f aca="false">W85-V85</f>
        <v>-622.440000000001</v>
      </c>
      <c r="X88" s="69" t="n">
        <f aca="false">X85-W85</f>
        <v>0</v>
      </c>
      <c r="Y88" s="69" t="n">
        <f aca="false">Y85-X85</f>
        <v>0</v>
      </c>
      <c r="Z88" s="69" t="n">
        <f aca="false">Z85-Y85</f>
        <v>622.440000000001</v>
      </c>
      <c r="AA88" s="69" t="n">
        <f aca="false">AA85-Z85</f>
        <v>-246.107477777779</v>
      </c>
      <c r="AB88" s="69" t="n">
        <f aca="false">AB85-AA85</f>
        <v>0</v>
      </c>
      <c r="AC88" s="69" t="n">
        <f aca="false">AC85-AB85</f>
        <v>0</v>
      </c>
      <c r="AD88" s="69" t="n">
        <f aca="false">AD85-AC85</f>
        <v>0</v>
      </c>
      <c r="AE88" s="69" t="n">
        <f aca="false">AE85-AD85</f>
        <v>0</v>
      </c>
      <c r="AF88" s="69" t="n">
        <f aca="false">AF85-AE85</f>
        <v>647.337600000003</v>
      </c>
      <c r="AG88" s="69" t="n">
        <f aca="false">AG85-AF85</f>
        <v>0</v>
      </c>
      <c r="AH88" s="69" t="n">
        <f aca="false">AH85-AG85</f>
        <v>0</v>
      </c>
      <c r="AI88" s="69" t="n">
        <f aca="false">AI85-AH85</f>
        <v>-647.337600000003</v>
      </c>
      <c r="AJ88" s="69" t="n">
        <f aca="false">AJ85-AI85</f>
        <v>0</v>
      </c>
      <c r="AK88" s="69" t="n">
        <f aca="false">AK85-AJ85</f>
        <v>0</v>
      </c>
      <c r="AL88" s="69" t="n">
        <f aca="false">AL85-AK85</f>
        <v>647.337600000003</v>
      </c>
    </row>
    <row r="90" customFormat="false" ht="15.75" hidden="false" customHeight="true" outlineLevel="0" collapsed="false">
      <c r="A90" s="7" t="s">
        <v>418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customFormat="false" ht="15" hidden="false" customHeight="false" outlineLevel="0" collapsed="false">
      <c r="A91" s="4" t="s">
        <v>52</v>
      </c>
      <c r="C91" s="75" t="n">
        <f aca="false">C61-C72+C86+C87+C88</f>
        <v>-26015.9807555556</v>
      </c>
      <c r="D91" s="75" t="n">
        <f aca="false">D61-D72+D86+D87+D88</f>
        <v>-28447.0967333333</v>
      </c>
      <c r="E91" s="75" t="n">
        <f aca="false">E61-E72+E86+E87+E88</f>
        <v>-26925.4899333333</v>
      </c>
      <c r="F91" s="75" t="n">
        <f aca="false">F61-F72+F86+F87+F88</f>
        <v>-25403.8831333333</v>
      </c>
      <c r="G91" s="75" t="n">
        <f aca="false">G61-G72+G86+G87+G88</f>
        <v>-23882.2763333333</v>
      </c>
      <c r="H91" s="75" t="n">
        <f aca="false">H61-H72+H86+H87+H88</f>
        <v>-19962.3945333333</v>
      </c>
      <c r="I91" s="75" t="n">
        <f aca="false">I61-I72+I86+I87+I88</f>
        <v>-18284.8357333333</v>
      </c>
      <c r="J91" s="75" t="n">
        <f aca="false">J61-J72+J86+J87+J88</f>
        <v>-16550.8469333333</v>
      </c>
      <c r="K91" s="75" t="n">
        <f aca="false">K61-K72+K86+K87+K88</f>
        <v>-17869.2081333333</v>
      </c>
      <c r="L91" s="75" t="n">
        <f aca="false">L61-L72+L86+L87+L88</f>
        <v>-16274.2423333333</v>
      </c>
      <c r="M91" s="75" t="n">
        <f aca="false">M61-M72+M86+M87+M88</f>
        <v>-14752.6355333333</v>
      </c>
      <c r="N91" s="75" t="n">
        <f aca="false">N61-N72+N86+N87+N88</f>
        <v>-9524.60373333333</v>
      </c>
      <c r="O91" s="75" t="n">
        <f aca="false">O61-O72+O86+O87+O88</f>
        <v>-11690.7246515556</v>
      </c>
      <c r="P91" s="75" t="n">
        <f aca="false">P61-P72+P86+P87+P88</f>
        <v>-10288.7844146667</v>
      </c>
      <c r="Q91" s="75" t="n">
        <f aca="false">Q61-Q72+Q86+Q87+Q88</f>
        <v>-8759.05044666667</v>
      </c>
      <c r="R91" s="75" t="n">
        <f aca="false">R61-R72+R86+R87+R88</f>
        <v>-9057.73730666667</v>
      </c>
      <c r="S91" s="75" t="n">
        <f aca="false">S61-S72+S86+S87+S88</f>
        <v>-9045.23730666667</v>
      </c>
      <c r="T91" s="75" t="n">
        <f aca="false">T61-T72+T86+T87+T88</f>
        <v>-4636.53250666666</v>
      </c>
      <c r="U91" s="75" t="n">
        <f aca="false">U61-U72+U86+U87+U88</f>
        <v>-4751.66690666666</v>
      </c>
      <c r="V91" s="75" t="n">
        <f aca="false">V61-V72+V86+V87+V88</f>
        <v>-4739.16690666666</v>
      </c>
      <c r="W91" s="75" t="n">
        <f aca="false">W61-W72+W86+W87+W88</f>
        <v>-9122.87170666667</v>
      </c>
      <c r="X91" s="75" t="n">
        <f aca="false">X61-X72+X86+X87+X88</f>
        <v>-8982.73730666667</v>
      </c>
      <c r="Y91" s="75" t="n">
        <f aca="false">Y61-Y72+Y86+Y87+Y88</f>
        <v>-8970.23730666667</v>
      </c>
      <c r="Z91" s="75" t="n">
        <f aca="false">Z61-Z72+Z86+Z87+Z88</f>
        <v>-4561.53250666666</v>
      </c>
      <c r="AA91" s="75" t="n">
        <f aca="false">AA61-AA72+AA86+AA87+AA88</f>
        <v>-9286.94999617779</v>
      </c>
      <c r="AB91" s="75" t="n">
        <f aca="false">AB61-AB72+AB86+AB87+AB88</f>
        <v>-9401.78629973334</v>
      </c>
      <c r="AC91" s="75" t="n">
        <f aca="false">AC61-AC72+AC86+AC87+AC88</f>
        <v>-9389.28629973334</v>
      </c>
      <c r="AD91" s="75" t="n">
        <f aca="false">AD61-AD72+AD86+AD87+AD88</f>
        <v>-9376.78629973334</v>
      </c>
      <c r="AE91" s="75" t="n">
        <f aca="false">AE61-AE72+AE86+AE87+AE88</f>
        <v>-9364.28629973334</v>
      </c>
      <c r="AF91" s="75" t="n">
        <f aca="false">AF61-AF72+AF86+AF87+AF88</f>
        <v>-4919.83565973334</v>
      </c>
      <c r="AG91" s="75" t="n">
        <f aca="false">AG61-AG72+AG86+AG87+AG88</f>
        <v>-5050.43803573334</v>
      </c>
      <c r="AH91" s="75" t="n">
        <f aca="false">AH61-AH72+AH86+AH87+AH88</f>
        <v>-5037.93803573334</v>
      </c>
      <c r="AI91" s="75" t="n">
        <f aca="false">AI61-AI72+AI86+AI87+AI88</f>
        <v>-9457.38867573335</v>
      </c>
      <c r="AJ91" s="75" t="n">
        <f aca="false">AJ61-AJ72+AJ86+AJ87+AJ88</f>
        <v>-9301.78629973334</v>
      </c>
      <c r="AK91" s="75" t="n">
        <f aca="false">AK61-AK72+AK86+AK87+AK88</f>
        <v>-9289.28629973334</v>
      </c>
      <c r="AL91" s="75" t="n">
        <f aca="false">AL61-AL72+AL86+AL87+AL88</f>
        <v>-4844.83565973334</v>
      </c>
    </row>
    <row r="92" customFormat="false" ht="15" hidden="false" customHeight="false" outlineLevel="0" collapsed="false">
      <c r="A92" s="6" t="s">
        <v>419</v>
      </c>
      <c r="C92" s="69" t="n">
        <f aca="false">-C69</f>
        <v>-189000</v>
      </c>
      <c r="D92" s="69" t="n">
        <f aca="false">-D69</f>
        <v>-0</v>
      </c>
      <c r="E92" s="69" t="n">
        <f aca="false">-E69</f>
        <v>-0</v>
      </c>
      <c r="F92" s="69" t="n">
        <f aca="false">-F69</f>
        <v>-0</v>
      </c>
      <c r="G92" s="69" t="n">
        <f aca="false">-G69</f>
        <v>-0</v>
      </c>
      <c r="H92" s="69" t="n">
        <f aca="false">-H69</f>
        <v>-0</v>
      </c>
      <c r="I92" s="69" t="n">
        <f aca="false">-I69</f>
        <v>-0</v>
      </c>
      <c r="J92" s="69" t="n">
        <f aca="false">-J69</f>
        <v>-0</v>
      </c>
      <c r="K92" s="69" t="n">
        <f aca="false">-K69</f>
        <v>-0</v>
      </c>
      <c r="L92" s="69" t="n">
        <f aca="false">-L69</f>
        <v>-0</v>
      </c>
      <c r="M92" s="69" t="n">
        <f aca="false">-M69</f>
        <v>-0</v>
      </c>
      <c r="N92" s="69" t="n">
        <f aca="false">-N69</f>
        <v>-0</v>
      </c>
      <c r="O92" s="69" t="n">
        <f aca="false">-O69</f>
        <v>-10000</v>
      </c>
      <c r="P92" s="69" t="n">
        <f aca="false">-P69</f>
        <v>-0</v>
      </c>
      <c r="Q92" s="69" t="n">
        <f aca="false">-Q69</f>
        <v>-0</v>
      </c>
      <c r="R92" s="69" t="n">
        <f aca="false">-R69</f>
        <v>-0</v>
      </c>
      <c r="S92" s="69" t="n">
        <f aca="false">-S69</f>
        <v>-0</v>
      </c>
      <c r="T92" s="69" t="n">
        <f aca="false">-T69</f>
        <v>-0</v>
      </c>
      <c r="U92" s="69" t="n">
        <f aca="false">-U69</f>
        <v>-0</v>
      </c>
      <c r="V92" s="69" t="n">
        <f aca="false">-V69</f>
        <v>-0</v>
      </c>
      <c r="W92" s="69" t="n">
        <f aca="false">-W69</f>
        <v>-0</v>
      </c>
      <c r="X92" s="69" t="n">
        <f aca="false">-X69</f>
        <v>-0</v>
      </c>
      <c r="Y92" s="69" t="n">
        <f aca="false">-Y69</f>
        <v>-0</v>
      </c>
      <c r="Z92" s="69" t="n">
        <f aca="false">-Z69</f>
        <v>-0</v>
      </c>
      <c r="AA92" s="69" t="n">
        <f aca="false">-AA69</f>
        <v>-10000</v>
      </c>
      <c r="AB92" s="69" t="n">
        <f aca="false">-AB69</f>
        <v>-0</v>
      </c>
      <c r="AC92" s="69" t="n">
        <f aca="false">-AC69</f>
        <v>-0</v>
      </c>
      <c r="AD92" s="69" t="n">
        <f aca="false">-AD69</f>
        <v>-0</v>
      </c>
      <c r="AE92" s="69" t="n">
        <f aca="false">-AE69</f>
        <v>-0</v>
      </c>
      <c r="AF92" s="69" t="n">
        <f aca="false">-AF69</f>
        <v>-0</v>
      </c>
      <c r="AG92" s="69" t="n">
        <f aca="false">-AG69</f>
        <v>-0</v>
      </c>
      <c r="AH92" s="69" t="n">
        <f aca="false">-AH69</f>
        <v>-0</v>
      </c>
      <c r="AI92" s="69" t="n">
        <f aca="false">-AI69</f>
        <v>-0</v>
      </c>
      <c r="AJ92" s="69" t="n">
        <f aca="false">-AJ69</f>
        <v>-0</v>
      </c>
      <c r="AK92" s="69" t="n">
        <f aca="false">-AK69</f>
        <v>-0</v>
      </c>
      <c r="AL92" s="69" t="n">
        <f aca="false">-AL69</f>
        <v>-0</v>
      </c>
    </row>
    <row r="93" customFormat="false" ht="15" hidden="false" customHeight="false" outlineLevel="0" collapsed="false">
      <c r="A93" s="6" t="s">
        <v>64</v>
      </c>
      <c r="C93" s="69" t="n">
        <f aca="false">IF(C$6=1,Inputs!$B$71,0)</f>
        <v>330000</v>
      </c>
      <c r="D93" s="69" t="n">
        <f aca="false">IF(D$6=1,Inputs!$B$71,0)</f>
        <v>0</v>
      </c>
      <c r="E93" s="69" t="n">
        <f aca="false">IF(E$6=1,Inputs!$B$71,0)</f>
        <v>0</v>
      </c>
      <c r="F93" s="69" t="n">
        <f aca="false">IF(F$6=1,Inputs!$B$71,0)</f>
        <v>0</v>
      </c>
      <c r="G93" s="69" t="n">
        <f aca="false">IF(G$6=1,Inputs!$B$71,0)</f>
        <v>0</v>
      </c>
      <c r="H93" s="69" t="n">
        <f aca="false">IF(H$6=1,Inputs!$B$71,0)</f>
        <v>0</v>
      </c>
      <c r="I93" s="69" t="n">
        <f aca="false">IF(I$6=1,Inputs!$B$71,0)</f>
        <v>0</v>
      </c>
      <c r="J93" s="69" t="n">
        <f aca="false">IF(J$6=1,Inputs!$B$71,0)</f>
        <v>0</v>
      </c>
      <c r="K93" s="69" t="n">
        <f aca="false">IF(K$6=1,Inputs!$B$71,0)</f>
        <v>0</v>
      </c>
      <c r="L93" s="69" t="n">
        <f aca="false">IF(L$6=1,Inputs!$B$71,0)</f>
        <v>0</v>
      </c>
      <c r="M93" s="69" t="n">
        <f aca="false">IF(M$6=1,Inputs!$B$71,0)</f>
        <v>0</v>
      </c>
      <c r="N93" s="69" t="n">
        <f aca="false">IF(N$6=1,Inputs!$B$71,0)</f>
        <v>0</v>
      </c>
      <c r="O93" s="69" t="n">
        <f aca="false">IF(O$6=1,Inputs!$B$71,0)</f>
        <v>0</v>
      </c>
      <c r="P93" s="69" t="n">
        <f aca="false">IF(P$6=1,Inputs!$B$71,0)</f>
        <v>0</v>
      </c>
      <c r="Q93" s="69" t="n">
        <f aca="false">IF(Q$6=1,Inputs!$B$71,0)</f>
        <v>0</v>
      </c>
      <c r="R93" s="69" t="n">
        <f aca="false">IF(R$6=1,Inputs!$B$71,0)</f>
        <v>0</v>
      </c>
      <c r="S93" s="69" t="n">
        <f aca="false">IF(S$6=1,Inputs!$B$71,0)</f>
        <v>0</v>
      </c>
      <c r="T93" s="69" t="n">
        <f aca="false">IF(T$6=1,Inputs!$B$71,0)</f>
        <v>0</v>
      </c>
      <c r="U93" s="69" t="n">
        <f aca="false">IF(U$6=1,Inputs!$B$71,0)</f>
        <v>0</v>
      </c>
      <c r="V93" s="69" t="n">
        <f aca="false">IF(V$6=1,Inputs!$B$71,0)</f>
        <v>0</v>
      </c>
      <c r="W93" s="69" t="n">
        <f aca="false">IF(W$6=1,Inputs!$B$71,0)</f>
        <v>0</v>
      </c>
      <c r="X93" s="69" t="n">
        <f aca="false">IF(X$6=1,Inputs!$B$71,0)</f>
        <v>0</v>
      </c>
      <c r="Y93" s="69" t="n">
        <f aca="false">IF(Y$6=1,Inputs!$B$71,0)</f>
        <v>0</v>
      </c>
      <c r="Z93" s="69" t="n">
        <f aca="false">IF(Z$6=1,Inputs!$B$71,0)</f>
        <v>0</v>
      </c>
      <c r="AA93" s="69" t="n">
        <f aca="false">IF(AA$6=1,Inputs!$B$71,0)</f>
        <v>0</v>
      </c>
      <c r="AB93" s="69" t="n">
        <f aca="false">IF(AB$6=1,Inputs!$B$71,0)</f>
        <v>0</v>
      </c>
      <c r="AC93" s="69" t="n">
        <f aca="false">IF(AC$6=1,Inputs!$B$71,0)</f>
        <v>0</v>
      </c>
      <c r="AD93" s="69" t="n">
        <f aca="false">IF(AD$6=1,Inputs!$B$71,0)</f>
        <v>0</v>
      </c>
      <c r="AE93" s="69" t="n">
        <f aca="false">IF(AE$6=1,Inputs!$B$71,0)</f>
        <v>0</v>
      </c>
      <c r="AF93" s="69" t="n">
        <f aca="false">IF(AF$6=1,Inputs!$B$71,0)</f>
        <v>0</v>
      </c>
      <c r="AG93" s="69" t="n">
        <f aca="false">IF(AG$6=1,Inputs!$B$71,0)</f>
        <v>0</v>
      </c>
      <c r="AH93" s="69" t="n">
        <f aca="false">IF(AH$6=1,Inputs!$B$71,0)</f>
        <v>0</v>
      </c>
      <c r="AI93" s="69" t="n">
        <f aca="false">IF(AI$6=1,Inputs!$B$71,0)</f>
        <v>0</v>
      </c>
      <c r="AJ93" s="69" t="n">
        <f aca="false">IF(AJ$6=1,Inputs!$B$71,0)</f>
        <v>0</v>
      </c>
      <c r="AK93" s="69" t="n">
        <f aca="false">IF(AK$6=1,Inputs!$B$71,0)</f>
        <v>0</v>
      </c>
      <c r="AL93" s="69" t="n">
        <f aca="false">IF(AL$6=1,Inputs!$B$71,0)</f>
        <v>0</v>
      </c>
    </row>
    <row r="94" customFormat="false" ht="15" hidden="false" customHeight="false" outlineLevel="0" collapsed="false">
      <c r="A94" s="6" t="s">
        <v>54</v>
      </c>
      <c r="C94" s="69" t="n">
        <f aca="false">C93+C78+C79</f>
        <v>430000</v>
      </c>
      <c r="D94" s="69" t="n">
        <f aca="false">D93+D78+D79</f>
        <v>-1666.66666666667</v>
      </c>
      <c r="E94" s="69" t="n">
        <f aca="false">E93+E78+E79</f>
        <v>-1666.66666666667</v>
      </c>
      <c r="F94" s="69" t="n">
        <f aca="false">F93+F78+F79</f>
        <v>-1666.66666666667</v>
      </c>
      <c r="G94" s="69" t="n">
        <f aca="false">G93+G78+G79</f>
        <v>-1666.66666666667</v>
      </c>
      <c r="H94" s="69" t="n">
        <f aca="false">H93+H78+H79</f>
        <v>-1666.66666666667</v>
      </c>
      <c r="I94" s="69" t="n">
        <f aca="false">I93+I78+I79</f>
        <v>-1666.66666666667</v>
      </c>
      <c r="J94" s="69" t="n">
        <f aca="false">J93+J78+J79</f>
        <v>-1666.66666666667</v>
      </c>
      <c r="K94" s="69" t="n">
        <f aca="false">K93+K78+K79</f>
        <v>-1666.66666666667</v>
      </c>
      <c r="L94" s="69" t="n">
        <f aca="false">L93+L78+L79</f>
        <v>-1666.66666666667</v>
      </c>
      <c r="M94" s="69" t="n">
        <f aca="false">M93+M78+M79</f>
        <v>-1666.66666666667</v>
      </c>
      <c r="N94" s="69" t="n">
        <f aca="false">N93+N78+N79</f>
        <v>-1666.66666666667</v>
      </c>
      <c r="O94" s="69" t="n">
        <f aca="false">O93+O78+O79</f>
        <v>-1666.66666666667</v>
      </c>
      <c r="P94" s="69" t="n">
        <f aca="false">P93+P78+P79</f>
        <v>-1666.66666666667</v>
      </c>
      <c r="Q94" s="69" t="n">
        <f aca="false">Q93+Q78+Q79</f>
        <v>-1666.66666666667</v>
      </c>
      <c r="R94" s="69" t="n">
        <f aca="false">R93+R78+R79</f>
        <v>-1666.66666666667</v>
      </c>
      <c r="S94" s="69" t="n">
        <f aca="false">S93+S78+S79</f>
        <v>-1666.66666666667</v>
      </c>
      <c r="T94" s="69" t="n">
        <f aca="false">T93+T78+T79</f>
        <v>-1666.66666666667</v>
      </c>
      <c r="U94" s="69" t="n">
        <f aca="false">U93+U78+U79</f>
        <v>-1666.66666666667</v>
      </c>
      <c r="V94" s="69" t="n">
        <f aca="false">V93+V78+V79</f>
        <v>-1666.66666666667</v>
      </c>
      <c r="W94" s="69" t="n">
        <f aca="false">W93+W78+W79</f>
        <v>-1666.66666666667</v>
      </c>
      <c r="X94" s="69" t="n">
        <f aca="false">X93+X78+X79</f>
        <v>-1666.66666666667</v>
      </c>
      <c r="Y94" s="69" t="n">
        <f aca="false">Y93+Y78+Y79</f>
        <v>-1666.66666666667</v>
      </c>
      <c r="Z94" s="69" t="n">
        <f aca="false">Z93+Z78+Z79</f>
        <v>-1666.66666666667</v>
      </c>
      <c r="AA94" s="69" t="n">
        <f aca="false">AA93+AA78+AA79</f>
        <v>-1666.66666666667</v>
      </c>
      <c r="AB94" s="69" t="n">
        <f aca="false">AB93+AB78+AB79</f>
        <v>-1666.66666666667</v>
      </c>
      <c r="AC94" s="69" t="n">
        <f aca="false">AC93+AC78+AC79</f>
        <v>-1666.66666666667</v>
      </c>
      <c r="AD94" s="69" t="n">
        <f aca="false">AD93+AD78+AD79</f>
        <v>-1666.66666666667</v>
      </c>
      <c r="AE94" s="69" t="n">
        <f aca="false">AE93+AE78+AE79</f>
        <v>-1666.66666666667</v>
      </c>
      <c r="AF94" s="69" t="n">
        <f aca="false">AF93+AF78+AF79</f>
        <v>-1666.66666666667</v>
      </c>
      <c r="AG94" s="69" t="n">
        <f aca="false">AG93+AG78+AG79</f>
        <v>-1666.66666666667</v>
      </c>
      <c r="AH94" s="69" t="n">
        <f aca="false">AH93+AH78+AH79</f>
        <v>-1666.66666666667</v>
      </c>
      <c r="AI94" s="69" t="n">
        <f aca="false">AI93+AI78+AI79</f>
        <v>-1666.66666666667</v>
      </c>
      <c r="AJ94" s="69" t="n">
        <f aca="false">AJ93+AJ78+AJ79</f>
        <v>-1666.66666666667</v>
      </c>
      <c r="AK94" s="69" t="n">
        <f aca="false">AK93+AK78+AK79</f>
        <v>-1666.66666666667</v>
      </c>
      <c r="AL94" s="69" t="n">
        <f aca="false">AL93+AL78+AL79</f>
        <v>-1666.66666666667</v>
      </c>
    </row>
    <row r="95" customFormat="false" ht="15" hidden="false" customHeight="false" outlineLevel="0" collapsed="false">
      <c r="A95" s="115" t="s">
        <v>420</v>
      </c>
      <c r="C95" s="70" t="n">
        <f aca="false">C91+C92+C94</f>
        <v>214984.019244444</v>
      </c>
      <c r="D95" s="70" t="n">
        <f aca="false">D91+D92+D94</f>
        <v>-30113.7634</v>
      </c>
      <c r="E95" s="70" t="n">
        <f aca="false">E91+E92+E94</f>
        <v>-28592.1566</v>
      </c>
      <c r="F95" s="70" t="n">
        <f aca="false">F91+F92+F94</f>
        <v>-27070.5498</v>
      </c>
      <c r="G95" s="70" t="n">
        <f aca="false">G91+G92+G94</f>
        <v>-25548.943</v>
      </c>
      <c r="H95" s="70" t="n">
        <f aca="false">H91+H92+H94</f>
        <v>-21629.0612</v>
      </c>
      <c r="I95" s="70" t="n">
        <f aca="false">I91+I92+I94</f>
        <v>-19951.5024</v>
      </c>
      <c r="J95" s="70" t="n">
        <f aca="false">J91+J92+J94</f>
        <v>-18217.5136</v>
      </c>
      <c r="K95" s="70" t="n">
        <f aca="false">K91+K92+K94</f>
        <v>-19535.8748</v>
      </c>
      <c r="L95" s="70" t="n">
        <f aca="false">L91+L92+L94</f>
        <v>-17940.909</v>
      </c>
      <c r="M95" s="70" t="n">
        <f aca="false">M91+M92+M94</f>
        <v>-16419.3022</v>
      </c>
      <c r="N95" s="70" t="n">
        <f aca="false">N91+N92+N94</f>
        <v>-11191.2704</v>
      </c>
      <c r="O95" s="70" t="n">
        <f aca="false">O91+O92+O94</f>
        <v>-23357.3913182222</v>
      </c>
      <c r="P95" s="70" t="n">
        <f aca="false">P91+P92+P94</f>
        <v>-11955.4510813333</v>
      </c>
      <c r="Q95" s="70" t="n">
        <f aca="false">Q91+Q92+Q94</f>
        <v>-10425.7171133333</v>
      </c>
      <c r="R95" s="70" t="n">
        <f aca="false">R91+R92+R94</f>
        <v>-10724.4039733333</v>
      </c>
      <c r="S95" s="70" t="n">
        <f aca="false">S91+S92+S94</f>
        <v>-10711.9039733333</v>
      </c>
      <c r="T95" s="70" t="n">
        <f aca="false">T91+T92+T94</f>
        <v>-6303.19917333333</v>
      </c>
      <c r="U95" s="70" t="n">
        <f aca="false">U91+U92+U94</f>
        <v>-6418.33357333333</v>
      </c>
      <c r="V95" s="70" t="n">
        <f aca="false">V91+V92+V94</f>
        <v>-6405.83357333333</v>
      </c>
      <c r="W95" s="70" t="n">
        <f aca="false">W91+W92+W94</f>
        <v>-10789.5383733333</v>
      </c>
      <c r="X95" s="70" t="n">
        <f aca="false">X91+X92+X94</f>
        <v>-10649.4039733333</v>
      </c>
      <c r="Y95" s="70" t="n">
        <f aca="false">Y91+Y92+Y94</f>
        <v>-10636.9039733333</v>
      </c>
      <c r="Z95" s="70" t="n">
        <f aca="false">Z91+Z92+Z94</f>
        <v>-6228.19917333333</v>
      </c>
      <c r="AA95" s="70" t="n">
        <f aca="false">AA91+AA92+AA94</f>
        <v>-20953.6166628445</v>
      </c>
      <c r="AB95" s="70" t="n">
        <f aca="false">AB91+AB92+AB94</f>
        <v>-11068.4529664</v>
      </c>
      <c r="AC95" s="70" t="n">
        <f aca="false">AC91+AC92+AC94</f>
        <v>-11055.9529664</v>
      </c>
      <c r="AD95" s="70" t="n">
        <f aca="false">AD91+AD92+AD94</f>
        <v>-11043.4529664</v>
      </c>
      <c r="AE95" s="70" t="n">
        <f aca="false">AE91+AE92+AE94</f>
        <v>-11030.9529664</v>
      </c>
      <c r="AF95" s="70" t="n">
        <f aca="false">AF91+AF92+AF94</f>
        <v>-6586.5023264</v>
      </c>
      <c r="AG95" s="70" t="n">
        <f aca="false">AG91+AG92+AG94</f>
        <v>-6717.10470240001</v>
      </c>
      <c r="AH95" s="70" t="n">
        <f aca="false">AH91+AH92+AH94</f>
        <v>-6704.60470240001</v>
      </c>
      <c r="AI95" s="70" t="n">
        <f aca="false">AI91+AI92+AI94</f>
        <v>-11124.0553424</v>
      </c>
      <c r="AJ95" s="70" t="n">
        <f aca="false">AJ91+AJ92+AJ94</f>
        <v>-10968.4529664</v>
      </c>
      <c r="AK95" s="70" t="n">
        <f aca="false">AK91+AK92+AK94</f>
        <v>-10955.9529664</v>
      </c>
      <c r="AL95" s="70" t="n">
        <f aca="false">AL91+AL92+AL94</f>
        <v>-6511.5023264</v>
      </c>
    </row>
    <row r="96" customFormat="false" ht="15" hidden="false" customHeight="false" outlineLevel="0" collapsed="false">
      <c r="A96" s="6" t="s">
        <v>345</v>
      </c>
      <c r="C96" s="69" t="n">
        <f aca="false">0</f>
        <v>0</v>
      </c>
      <c r="D96" s="69" t="n">
        <f aca="false">C97</f>
        <v>214984.019244444</v>
      </c>
      <c r="E96" s="69" t="n">
        <f aca="false">D97</f>
        <v>184870.255844444</v>
      </c>
      <c r="F96" s="69" t="n">
        <f aca="false">E97</f>
        <v>156278.099244444</v>
      </c>
      <c r="G96" s="69" t="n">
        <f aca="false">F97</f>
        <v>129207.549444444</v>
      </c>
      <c r="H96" s="69" t="n">
        <f aca="false">G97</f>
        <v>103658.606444444</v>
      </c>
      <c r="I96" s="69" t="n">
        <f aca="false">H97</f>
        <v>82029.5452444444</v>
      </c>
      <c r="J96" s="69" t="n">
        <f aca="false">I97</f>
        <v>62078.0428444444</v>
      </c>
      <c r="K96" s="69" t="n">
        <f aca="false">J97</f>
        <v>43860.5292444444</v>
      </c>
      <c r="L96" s="69" t="n">
        <f aca="false">K97</f>
        <v>24324.6544444444</v>
      </c>
      <c r="M96" s="69" t="n">
        <f aca="false">L97</f>
        <v>6383.74544444443</v>
      </c>
      <c r="N96" s="69" t="n">
        <f aca="false">M97</f>
        <v>-10035.5567555556</v>
      </c>
      <c r="O96" s="69" t="n">
        <f aca="false">N97</f>
        <v>-21226.8271555556</v>
      </c>
      <c r="P96" s="69" t="n">
        <f aca="false">O97</f>
        <v>-44584.2184737778</v>
      </c>
      <c r="Q96" s="69" t="n">
        <f aca="false">P97</f>
        <v>-56539.6695551111</v>
      </c>
      <c r="R96" s="69" t="n">
        <f aca="false">Q97</f>
        <v>-66965.3866684445</v>
      </c>
      <c r="S96" s="69" t="n">
        <f aca="false">R97</f>
        <v>-77689.7906417778</v>
      </c>
      <c r="T96" s="69" t="n">
        <f aca="false">S97</f>
        <v>-88401.6946151111</v>
      </c>
      <c r="U96" s="69" t="n">
        <f aca="false">T97</f>
        <v>-94704.8937884445</v>
      </c>
      <c r="V96" s="69" t="n">
        <f aca="false">U97</f>
        <v>-101123.227361778</v>
      </c>
      <c r="W96" s="69" t="n">
        <f aca="false">V97</f>
        <v>-107529.060935111</v>
      </c>
      <c r="X96" s="69" t="n">
        <f aca="false">W97</f>
        <v>-118318.599308444</v>
      </c>
      <c r="Y96" s="69" t="n">
        <f aca="false">X97</f>
        <v>-128968.003281778</v>
      </c>
      <c r="Z96" s="69" t="n">
        <f aca="false">Y97</f>
        <v>-139604.907255111</v>
      </c>
      <c r="AA96" s="69" t="n">
        <f aca="false">Z97</f>
        <v>-145833.106428444</v>
      </c>
      <c r="AB96" s="69" t="n">
        <f aca="false">AA97</f>
        <v>-166786.723091289</v>
      </c>
      <c r="AC96" s="69" t="n">
        <f aca="false">AB97</f>
        <v>-177855.176057689</v>
      </c>
      <c r="AD96" s="69" t="n">
        <f aca="false">AC97</f>
        <v>-188911.129024089</v>
      </c>
      <c r="AE96" s="69" t="n">
        <f aca="false">AD97</f>
        <v>-199954.581990489</v>
      </c>
      <c r="AF96" s="69" t="n">
        <f aca="false">AE97</f>
        <v>-210985.534956889</v>
      </c>
      <c r="AG96" s="69" t="n">
        <f aca="false">AF97</f>
        <v>-217572.037283289</v>
      </c>
      <c r="AH96" s="69" t="n">
        <f aca="false">AG97</f>
        <v>-224289.141985689</v>
      </c>
      <c r="AI96" s="69" t="n">
        <f aca="false">AH97</f>
        <v>-230993.746688089</v>
      </c>
      <c r="AJ96" s="69" t="n">
        <f aca="false">AI97</f>
        <v>-242117.802030489</v>
      </c>
      <c r="AK96" s="69" t="n">
        <f aca="false">AJ97</f>
        <v>-253086.254996889</v>
      </c>
      <c r="AL96" s="69" t="n">
        <f aca="false">AK97</f>
        <v>-264042.207963289</v>
      </c>
    </row>
    <row r="97" customFormat="false" ht="15" hidden="false" customHeight="false" outlineLevel="0" collapsed="false">
      <c r="A97" s="115" t="s">
        <v>87</v>
      </c>
      <c r="C97" s="70" t="n">
        <f aca="false">C96+C95</f>
        <v>214984.019244444</v>
      </c>
      <c r="D97" s="70" t="n">
        <f aca="false">D96+D95</f>
        <v>184870.255844444</v>
      </c>
      <c r="E97" s="70" t="n">
        <f aca="false">E96+E95</f>
        <v>156278.099244444</v>
      </c>
      <c r="F97" s="70" t="n">
        <f aca="false">F96+F95</f>
        <v>129207.549444444</v>
      </c>
      <c r="G97" s="70" t="n">
        <f aca="false">G96+G95</f>
        <v>103658.606444444</v>
      </c>
      <c r="H97" s="70" t="n">
        <f aca="false">H96+H95</f>
        <v>82029.5452444444</v>
      </c>
      <c r="I97" s="70" t="n">
        <f aca="false">I96+I95</f>
        <v>62078.0428444444</v>
      </c>
      <c r="J97" s="70" t="n">
        <f aca="false">J96+J95</f>
        <v>43860.5292444444</v>
      </c>
      <c r="K97" s="70" t="n">
        <f aca="false">K96+K95</f>
        <v>24324.6544444444</v>
      </c>
      <c r="L97" s="70" t="n">
        <f aca="false">L96+L95</f>
        <v>6383.74544444443</v>
      </c>
      <c r="M97" s="70" t="n">
        <f aca="false">M96+M95</f>
        <v>-10035.5567555556</v>
      </c>
      <c r="N97" s="70" t="n">
        <f aca="false">N96+N95</f>
        <v>-21226.8271555556</v>
      </c>
      <c r="O97" s="70" t="n">
        <f aca="false">O96+O95</f>
        <v>-44584.2184737778</v>
      </c>
      <c r="P97" s="70" t="n">
        <f aca="false">P96+P95</f>
        <v>-56539.6695551111</v>
      </c>
      <c r="Q97" s="70" t="n">
        <f aca="false">Q96+Q95</f>
        <v>-66965.3866684445</v>
      </c>
      <c r="R97" s="70" t="n">
        <f aca="false">R96+R95</f>
        <v>-77689.7906417778</v>
      </c>
      <c r="S97" s="70" t="n">
        <f aca="false">S96+S95</f>
        <v>-88401.6946151111</v>
      </c>
      <c r="T97" s="70" t="n">
        <f aca="false">T96+T95</f>
        <v>-94704.8937884445</v>
      </c>
      <c r="U97" s="70" t="n">
        <f aca="false">U96+U95</f>
        <v>-101123.227361778</v>
      </c>
      <c r="V97" s="70" t="n">
        <f aca="false">V96+V95</f>
        <v>-107529.060935111</v>
      </c>
      <c r="W97" s="70" t="n">
        <f aca="false">W96+W95</f>
        <v>-118318.599308444</v>
      </c>
      <c r="X97" s="70" t="n">
        <f aca="false">X96+X95</f>
        <v>-128968.003281778</v>
      </c>
      <c r="Y97" s="70" t="n">
        <f aca="false">Y96+Y95</f>
        <v>-139604.907255111</v>
      </c>
      <c r="Z97" s="70" t="n">
        <f aca="false">Z96+Z95</f>
        <v>-145833.106428444</v>
      </c>
      <c r="AA97" s="70" t="n">
        <f aca="false">AA96+AA95</f>
        <v>-166786.723091289</v>
      </c>
      <c r="AB97" s="70" t="n">
        <f aca="false">AB96+AB95</f>
        <v>-177855.176057689</v>
      </c>
      <c r="AC97" s="70" t="n">
        <f aca="false">AC96+AC95</f>
        <v>-188911.129024089</v>
      </c>
      <c r="AD97" s="70" t="n">
        <f aca="false">AD96+AD95</f>
        <v>-199954.581990489</v>
      </c>
      <c r="AE97" s="70" t="n">
        <f aca="false">AE96+AE95</f>
        <v>-210985.534956889</v>
      </c>
      <c r="AF97" s="70" t="n">
        <f aca="false">AF96+AF95</f>
        <v>-217572.037283289</v>
      </c>
      <c r="AG97" s="70" t="n">
        <f aca="false">AG96+AG95</f>
        <v>-224289.141985689</v>
      </c>
      <c r="AH97" s="70" t="n">
        <f aca="false">AH96+AH95</f>
        <v>-230993.746688089</v>
      </c>
      <c r="AI97" s="70" t="n">
        <f aca="false">AI96+AI95</f>
        <v>-242117.802030489</v>
      </c>
      <c r="AJ97" s="70" t="n">
        <f aca="false">AJ96+AJ95</f>
        <v>-253086.254996889</v>
      </c>
      <c r="AK97" s="70" t="n">
        <f aca="false">AK96+AK95</f>
        <v>-264042.207963289</v>
      </c>
      <c r="AL97" s="70" t="n">
        <f aca="false">AL96+AL95</f>
        <v>-270553.710289689</v>
      </c>
    </row>
    <row r="98" customFormat="false" ht="15" hidden="false" customHeight="false" outlineLevel="0" collapsed="false">
      <c r="A98" s="118" t="s">
        <v>421</v>
      </c>
      <c r="C98" s="120" t="n">
        <f aca="false">IF(C52&gt;0,1,0)</f>
        <v>0</v>
      </c>
      <c r="D98" s="120" t="n">
        <f aca="false">IF(D52&gt;0,1,0)</f>
        <v>0</v>
      </c>
      <c r="E98" s="120" t="n">
        <f aca="false">IF(E52&gt;0,1,0)</f>
        <v>0</v>
      </c>
      <c r="F98" s="120" t="n">
        <f aca="false">IF(F52&gt;0,1,0)</f>
        <v>0</v>
      </c>
      <c r="G98" s="120" t="n">
        <f aca="false">IF(G52&gt;0,1,0)</f>
        <v>0</v>
      </c>
      <c r="H98" s="120" t="n">
        <f aca="false">IF(H52&gt;0,1,0)</f>
        <v>0</v>
      </c>
      <c r="I98" s="120" t="n">
        <f aca="false">IF(I52&gt;0,1,0)</f>
        <v>0</v>
      </c>
      <c r="J98" s="120" t="n">
        <f aca="false">IF(J52&gt;0,1,0)</f>
        <v>0</v>
      </c>
      <c r="K98" s="120" t="n">
        <f aca="false">IF(K52&gt;0,1,0)</f>
        <v>0</v>
      </c>
      <c r="L98" s="120" t="n">
        <f aca="false">IF(L52&gt;0,1,0)</f>
        <v>0</v>
      </c>
      <c r="M98" s="120" t="n">
        <f aca="false">IF(M52&gt;0,1,0)</f>
        <v>0</v>
      </c>
      <c r="N98" s="120" t="n">
        <f aca="false">IF(N52&gt;0,1,0)</f>
        <v>0</v>
      </c>
      <c r="O98" s="120" t="n">
        <f aca="false">IF(O52&gt;0,1,0)</f>
        <v>0</v>
      </c>
      <c r="P98" s="120" t="n">
        <f aca="false">IF(P52&gt;0,1,0)</f>
        <v>0</v>
      </c>
      <c r="Q98" s="120" t="n">
        <f aca="false">IF(Q52&gt;0,1,0)</f>
        <v>0</v>
      </c>
      <c r="R98" s="120" t="n">
        <f aca="false">IF(R52&gt;0,1,0)</f>
        <v>0</v>
      </c>
      <c r="S98" s="120" t="n">
        <f aca="false">IF(S52&gt;0,1,0)</f>
        <v>0</v>
      </c>
      <c r="T98" s="120" t="n">
        <f aca="false">IF(T52&gt;0,1,0)</f>
        <v>0</v>
      </c>
      <c r="U98" s="120" t="n">
        <f aca="false">IF(U52&gt;0,1,0)</f>
        <v>0</v>
      </c>
      <c r="V98" s="120" t="n">
        <f aca="false">IF(V52&gt;0,1,0)</f>
        <v>0</v>
      </c>
      <c r="W98" s="120" t="n">
        <f aca="false">IF(W52&gt;0,1,0)</f>
        <v>0</v>
      </c>
      <c r="X98" s="120" t="n">
        <f aca="false">IF(X52&gt;0,1,0)</f>
        <v>0</v>
      </c>
      <c r="Y98" s="120" t="n">
        <f aca="false">IF(Y52&gt;0,1,0)</f>
        <v>0</v>
      </c>
      <c r="Z98" s="120" t="n">
        <f aca="false">IF(Z52&gt;0,1,0)</f>
        <v>0</v>
      </c>
      <c r="AA98" s="120" t="n">
        <f aca="false">IF(AA52&gt;0,1,0)</f>
        <v>0</v>
      </c>
      <c r="AB98" s="120" t="n">
        <f aca="false">IF(AB52&gt;0,1,0)</f>
        <v>0</v>
      </c>
      <c r="AC98" s="120" t="n">
        <f aca="false">IF(AC52&gt;0,1,0)</f>
        <v>0</v>
      </c>
      <c r="AD98" s="120" t="n">
        <f aca="false">IF(AD52&gt;0,1,0)</f>
        <v>0</v>
      </c>
      <c r="AE98" s="120" t="n">
        <f aca="false">IF(AE52&gt;0,1,0)</f>
        <v>0</v>
      </c>
      <c r="AF98" s="120" t="n">
        <f aca="false">IF(AF52&gt;0,1,0)</f>
        <v>0</v>
      </c>
      <c r="AG98" s="120" t="n">
        <f aca="false">IF(AG52&gt;0,1,0)</f>
        <v>0</v>
      </c>
      <c r="AH98" s="120" t="n">
        <f aca="false">IF(AH52&gt;0,1,0)</f>
        <v>0</v>
      </c>
      <c r="AI98" s="120" t="n">
        <f aca="false">IF(AI52&gt;0,1,0)</f>
        <v>0</v>
      </c>
      <c r="AJ98" s="120" t="n">
        <f aca="false">IF(AJ52&gt;0,1,0)</f>
        <v>0</v>
      </c>
      <c r="AK98" s="120" t="n">
        <f aca="false">IF(AK52&gt;0,1,0)</f>
        <v>0</v>
      </c>
      <c r="AL98" s="120" t="n">
        <f aca="false">IF(AL52&gt;0,1,0)</f>
        <v>0</v>
      </c>
    </row>
    <row r="100" customFormat="false" ht="15.75" hidden="false" customHeight="true" outlineLevel="0" collapsed="false">
      <c r="A100" s="7" t="s">
        <v>422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customFormat="false" ht="15" hidden="false" customHeight="false" outlineLevel="0" collapsed="false">
      <c r="A101" s="118" t="s">
        <v>423</v>
      </c>
      <c r="C101" s="120" t="n">
        <f aca="false">IF(C61&gt;0,1,0)</f>
        <v>0</v>
      </c>
      <c r="D101" s="120" t="n">
        <f aca="false">IF(D61&gt;0,1,0)</f>
        <v>0</v>
      </c>
      <c r="E101" s="120" t="n">
        <f aca="false">IF(E61&gt;0,1,0)</f>
        <v>0</v>
      </c>
      <c r="F101" s="120" t="n">
        <f aca="false">IF(F61&gt;0,1,0)</f>
        <v>0</v>
      </c>
      <c r="G101" s="120" t="n">
        <f aca="false">IF(G61&gt;0,1,0)</f>
        <v>0</v>
      </c>
      <c r="H101" s="120" t="n">
        <f aca="false">IF(H61&gt;0,1,0)</f>
        <v>0</v>
      </c>
      <c r="I101" s="120" t="n">
        <f aca="false">IF(I61&gt;0,1,0)</f>
        <v>0</v>
      </c>
      <c r="J101" s="120" t="n">
        <f aca="false">IF(J61&gt;0,1,0)</f>
        <v>0</v>
      </c>
      <c r="K101" s="120" t="n">
        <f aca="false">IF(K61&gt;0,1,0)</f>
        <v>0</v>
      </c>
      <c r="L101" s="120" t="n">
        <f aca="false">IF(L61&gt;0,1,0)</f>
        <v>0</v>
      </c>
      <c r="M101" s="120" t="n">
        <f aca="false">IF(M61&gt;0,1,0)</f>
        <v>0</v>
      </c>
      <c r="N101" s="120" t="n">
        <f aca="false">IF(N61&gt;0,1,0)</f>
        <v>0</v>
      </c>
      <c r="O101" s="120" t="n">
        <f aca="false">IF(O61&gt;0,1,0)</f>
        <v>0</v>
      </c>
      <c r="P101" s="120" t="n">
        <f aca="false">IF(P61&gt;0,1,0)</f>
        <v>0</v>
      </c>
      <c r="Q101" s="120" t="n">
        <f aca="false">IF(Q61&gt;0,1,0)</f>
        <v>0</v>
      </c>
      <c r="R101" s="120" t="n">
        <f aca="false">IF(R61&gt;0,1,0)</f>
        <v>0</v>
      </c>
      <c r="S101" s="120" t="n">
        <f aca="false">IF(S61&gt;0,1,0)</f>
        <v>0</v>
      </c>
      <c r="T101" s="120" t="n">
        <f aca="false">IF(T61&gt;0,1,0)</f>
        <v>0</v>
      </c>
      <c r="U101" s="120" t="n">
        <f aca="false">IF(U61&gt;0,1,0)</f>
        <v>0</v>
      </c>
      <c r="V101" s="120" t="n">
        <f aca="false">IF(V61&gt;0,1,0)</f>
        <v>0</v>
      </c>
      <c r="W101" s="120" t="n">
        <f aca="false">IF(W61&gt;0,1,0)</f>
        <v>0</v>
      </c>
      <c r="X101" s="120" t="n">
        <f aca="false">IF(X61&gt;0,1,0)</f>
        <v>0</v>
      </c>
      <c r="Y101" s="120" t="n">
        <f aca="false">IF(Y61&gt;0,1,0)</f>
        <v>0</v>
      </c>
      <c r="Z101" s="120" t="n">
        <f aca="false">IF(Z61&gt;0,1,0)</f>
        <v>0</v>
      </c>
      <c r="AA101" s="120" t="n">
        <f aca="false">IF(AA61&gt;0,1,0)</f>
        <v>0</v>
      </c>
      <c r="AB101" s="120" t="n">
        <f aca="false">IF(AB61&gt;0,1,0)</f>
        <v>0</v>
      </c>
      <c r="AC101" s="120" t="n">
        <f aca="false">IF(AC61&gt;0,1,0)</f>
        <v>0</v>
      </c>
      <c r="AD101" s="120" t="n">
        <f aca="false">IF(AD61&gt;0,1,0)</f>
        <v>0</v>
      </c>
      <c r="AE101" s="120" t="n">
        <f aca="false">IF(AE61&gt;0,1,0)</f>
        <v>0</v>
      </c>
      <c r="AF101" s="120" t="n">
        <f aca="false">IF(AF61&gt;0,1,0)</f>
        <v>0</v>
      </c>
      <c r="AG101" s="120" t="n">
        <f aca="false">IF(AG61&gt;0,1,0)</f>
        <v>0</v>
      </c>
      <c r="AH101" s="120" t="n">
        <f aca="false">IF(AH61&gt;0,1,0)</f>
        <v>0</v>
      </c>
      <c r="AI101" s="120" t="n">
        <f aca="false">IF(AI61&gt;0,1,0)</f>
        <v>0</v>
      </c>
      <c r="AJ101" s="120" t="n">
        <f aca="false">IF(AJ61&gt;0,1,0)</f>
        <v>0</v>
      </c>
      <c r="AK101" s="120" t="n">
        <f aca="false">IF(AK61&gt;0,1,0)</f>
        <v>0</v>
      </c>
      <c r="AL101" s="120" t="n">
        <f aca="false">IF(AL61&gt;0,1,0)</f>
        <v>0</v>
      </c>
    </row>
    <row r="102" customFormat="false" ht="15" hidden="false" customHeight="false" outlineLevel="0" collapsed="false">
      <c r="A102" s="6" t="s">
        <v>424</v>
      </c>
      <c r="C102" s="69" t="n">
        <f aca="false">C91+C92</f>
        <v>-215015.980755556</v>
      </c>
      <c r="D102" s="69" t="n">
        <f aca="false">D91+D92</f>
        <v>-28447.0967333333</v>
      </c>
      <c r="E102" s="69" t="n">
        <f aca="false">E91+E92</f>
        <v>-26925.4899333333</v>
      </c>
      <c r="F102" s="69" t="n">
        <f aca="false">F91+F92</f>
        <v>-25403.8831333333</v>
      </c>
      <c r="G102" s="69" t="n">
        <f aca="false">G91+G92</f>
        <v>-23882.2763333333</v>
      </c>
      <c r="H102" s="69" t="n">
        <f aca="false">H91+H92</f>
        <v>-19962.3945333333</v>
      </c>
      <c r="I102" s="69" t="n">
        <f aca="false">I91+I92</f>
        <v>-18284.8357333333</v>
      </c>
      <c r="J102" s="69" t="n">
        <f aca="false">J91+J92</f>
        <v>-16550.8469333333</v>
      </c>
      <c r="K102" s="69" t="n">
        <f aca="false">K91+K92</f>
        <v>-17869.2081333333</v>
      </c>
      <c r="L102" s="69" t="n">
        <f aca="false">L91+L92</f>
        <v>-16274.2423333333</v>
      </c>
      <c r="M102" s="69" t="n">
        <f aca="false">M91+M92</f>
        <v>-14752.6355333333</v>
      </c>
      <c r="N102" s="69" t="n">
        <f aca="false">N91+N92</f>
        <v>-9524.60373333333</v>
      </c>
      <c r="O102" s="69" t="n">
        <f aca="false">O91+O92</f>
        <v>-21690.7246515556</v>
      </c>
      <c r="P102" s="69" t="n">
        <f aca="false">P91+P92</f>
        <v>-10288.7844146667</v>
      </c>
      <c r="Q102" s="69" t="n">
        <f aca="false">Q91+Q92</f>
        <v>-8759.05044666667</v>
      </c>
      <c r="R102" s="69" t="n">
        <f aca="false">R91+R92</f>
        <v>-9057.73730666667</v>
      </c>
      <c r="S102" s="69" t="n">
        <f aca="false">S91+S92</f>
        <v>-9045.23730666667</v>
      </c>
      <c r="T102" s="69" t="n">
        <f aca="false">T91+T92</f>
        <v>-4636.53250666666</v>
      </c>
      <c r="U102" s="69" t="n">
        <f aca="false">U91+U92</f>
        <v>-4751.66690666666</v>
      </c>
      <c r="V102" s="69" t="n">
        <f aca="false">V91+V92</f>
        <v>-4739.16690666666</v>
      </c>
      <c r="W102" s="69" t="n">
        <f aca="false">W91+W92</f>
        <v>-9122.87170666667</v>
      </c>
      <c r="X102" s="69" t="n">
        <f aca="false">X91+X92</f>
        <v>-8982.73730666667</v>
      </c>
      <c r="Y102" s="69" t="n">
        <f aca="false">Y91+Y92</f>
        <v>-8970.23730666667</v>
      </c>
      <c r="Z102" s="69" t="n">
        <f aca="false">Z91+Z92</f>
        <v>-4561.53250666666</v>
      </c>
      <c r="AA102" s="69" t="n">
        <f aca="false">AA91+AA92</f>
        <v>-19286.9499961778</v>
      </c>
      <c r="AB102" s="69" t="n">
        <f aca="false">AB91+AB92</f>
        <v>-9401.78629973334</v>
      </c>
      <c r="AC102" s="69" t="n">
        <f aca="false">AC91+AC92</f>
        <v>-9389.28629973334</v>
      </c>
      <c r="AD102" s="69" t="n">
        <f aca="false">AD91+AD92</f>
        <v>-9376.78629973334</v>
      </c>
      <c r="AE102" s="69" t="n">
        <f aca="false">AE91+AE92</f>
        <v>-9364.28629973334</v>
      </c>
      <c r="AF102" s="69" t="n">
        <f aca="false">AF91+AF92</f>
        <v>-4919.83565973334</v>
      </c>
      <c r="AG102" s="69" t="n">
        <f aca="false">AG91+AG92</f>
        <v>-5050.43803573334</v>
      </c>
      <c r="AH102" s="69" t="n">
        <f aca="false">AH91+AH92</f>
        <v>-5037.93803573334</v>
      </c>
      <c r="AI102" s="69" t="n">
        <f aca="false">AI91+AI92</f>
        <v>-9457.38867573335</v>
      </c>
      <c r="AJ102" s="69" t="n">
        <f aca="false">AJ91+AJ92</f>
        <v>-9301.78629973334</v>
      </c>
      <c r="AK102" s="69" t="n">
        <f aca="false">AK91+AK92</f>
        <v>-9289.28629973334</v>
      </c>
      <c r="AL102" s="69" t="n">
        <f aca="false">AL91+AL92</f>
        <v>-4844.83565973334</v>
      </c>
    </row>
    <row r="103" customFormat="false" ht="15" hidden="false" customHeight="false" outlineLevel="0" collapsed="false">
      <c r="A103" s="6" t="s">
        <v>425</v>
      </c>
      <c r="C103" s="69" t="n">
        <f aca="false">C102</f>
        <v>-215015.980755556</v>
      </c>
      <c r="D103" s="69" t="n">
        <f aca="false">C103+D102</f>
        <v>-243463.077488889</v>
      </c>
      <c r="E103" s="69" t="n">
        <f aca="false">D103+E102</f>
        <v>-270388.567422222</v>
      </c>
      <c r="F103" s="69" t="n">
        <f aca="false">E103+F102</f>
        <v>-295792.450555556</v>
      </c>
      <c r="G103" s="69" t="n">
        <f aca="false">F103+G102</f>
        <v>-319674.726888889</v>
      </c>
      <c r="H103" s="69" t="n">
        <f aca="false">G103+H102</f>
        <v>-339637.121422222</v>
      </c>
      <c r="I103" s="69" t="n">
        <f aca="false">H103+I102</f>
        <v>-357921.957155556</v>
      </c>
      <c r="J103" s="69" t="n">
        <f aca="false">I103+J102</f>
        <v>-374472.804088889</v>
      </c>
      <c r="K103" s="69" t="n">
        <f aca="false">J103+K102</f>
        <v>-392342.012222222</v>
      </c>
      <c r="L103" s="69" t="n">
        <f aca="false">K103+L102</f>
        <v>-408616.254555555</v>
      </c>
      <c r="M103" s="69" t="n">
        <f aca="false">L103+M102</f>
        <v>-423368.890088889</v>
      </c>
      <c r="N103" s="69" t="n">
        <f aca="false">M103+N102</f>
        <v>-432893.493822222</v>
      </c>
      <c r="O103" s="69" t="n">
        <f aca="false">N103+O102</f>
        <v>-454584.218473778</v>
      </c>
      <c r="P103" s="69" t="n">
        <f aca="false">O103+P102</f>
        <v>-464873.002888444</v>
      </c>
      <c r="Q103" s="69" t="n">
        <f aca="false">P103+Q102</f>
        <v>-473632.053335111</v>
      </c>
      <c r="R103" s="69" t="n">
        <f aca="false">Q103+R102</f>
        <v>-482689.790641778</v>
      </c>
      <c r="S103" s="69" t="n">
        <f aca="false">R103+S102</f>
        <v>-491735.027948444</v>
      </c>
      <c r="T103" s="69" t="n">
        <f aca="false">S103+T102</f>
        <v>-496371.560455111</v>
      </c>
      <c r="U103" s="69" t="n">
        <f aca="false">T103+U102</f>
        <v>-501123.227361778</v>
      </c>
      <c r="V103" s="69" t="n">
        <f aca="false">U103+V102</f>
        <v>-505862.394268444</v>
      </c>
      <c r="W103" s="69" t="n">
        <f aca="false">V103+W102</f>
        <v>-514985.265975111</v>
      </c>
      <c r="X103" s="69" t="n">
        <f aca="false">W103+X102</f>
        <v>-523968.003281778</v>
      </c>
      <c r="Y103" s="69" t="n">
        <f aca="false">X103+Y102</f>
        <v>-532938.240588444</v>
      </c>
      <c r="Z103" s="69" t="n">
        <f aca="false">Y103+Z102</f>
        <v>-537499.773095111</v>
      </c>
      <c r="AA103" s="69" t="n">
        <f aca="false">Z103+AA102</f>
        <v>-556786.723091289</v>
      </c>
      <c r="AB103" s="69" t="n">
        <f aca="false">AA103+AB102</f>
        <v>-566188.509391022</v>
      </c>
      <c r="AC103" s="69" t="n">
        <f aca="false">AB103+AC102</f>
        <v>-575577.795690755</v>
      </c>
      <c r="AD103" s="69" t="n">
        <f aca="false">AC103+AD102</f>
        <v>-584954.581990489</v>
      </c>
      <c r="AE103" s="69" t="n">
        <f aca="false">AD103+AE102</f>
        <v>-594318.868290222</v>
      </c>
      <c r="AF103" s="69" t="n">
        <f aca="false">AE103+AF102</f>
        <v>-599238.703949955</v>
      </c>
      <c r="AG103" s="69" t="n">
        <f aca="false">AF103+AG102</f>
        <v>-604289.141985689</v>
      </c>
      <c r="AH103" s="69" t="n">
        <f aca="false">AG103+AH102</f>
        <v>-609327.080021422</v>
      </c>
      <c r="AI103" s="69" t="n">
        <f aca="false">AH103+AI102</f>
        <v>-618784.468697155</v>
      </c>
      <c r="AJ103" s="69" t="n">
        <f aca="false">AI103+AJ102</f>
        <v>-628086.254996889</v>
      </c>
      <c r="AK103" s="69" t="n">
        <f aca="false">AJ103+AK102</f>
        <v>-637375.541296622</v>
      </c>
      <c r="AL103" s="69" t="n">
        <f aca="false">AK103+AL102</f>
        <v>-642220.376956355</v>
      </c>
    </row>
    <row r="104" customFormat="false" ht="15" hidden="false" customHeight="false" outlineLevel="0" collapsed="false">
      <c r="A104" s="118" t="s">
        <v>426</v>
      </c>
      <c r="C104" s="69" t="n">
        <f aca="false">C103</f>
        <v>-215015.980755556</v>
      </c>
      <c r="D104" s="69" t="n">
        <f aca="false">MIN(C104,D103)</f>
        <v>-243463.077488889</v>
      </c>
      <c r="E104" s="69" t="n">
        <f aca="false">MIN(D104,E103)</f>
        <v>-270388.567422222</v>
      </c>
      <c r="F104" s="69" t="n">
        <f aca="false">MIN(E104,F103)</f>
        <v>-295792.450555556</v>
      </c>
      <c r="G104" s="69" t="n">
        <f aca="false">MIN(F104,G103)</f>
        <v>-319674.726888889</v>
      </c>
      <c r="H104" s="69" t="n">
        <f aca="false">MIN(G104,H103)</f>
        <v>-339637.121422222</v>
      </c>
      <c r="I104" s="69" t="n">
        <f aca="false">MIN(H104,I103)</f>
        <v>-357921.957155556</v>
      </c>
      <c r="J104" s="69" t="n">
        <f aca="false">MIN(I104,J103)</f>
        <v>-374472.804088889</v>
      </c>
      <c r="K104" s="69" t="n">
        <f aca="false">MIN(J104,K103)</f>
        <v>-392342.012222222</v>
      </c>
      <c r="L104" s="69" t="n">
        <f aca="false">MIN(K104,L103)</f>
        <v>-408616.254555555</v>
      </c>
      <c r="M104" s="69" t="n">
        <f aca="false">MIN(L104,M103)</f>
        <v>-423368.890088889</v>
      </c>
      <c r="N104" s="69" t="n">
        <f aca="false">MIN(M104,N103)</f>
        <v>-432893.493822222</v>
      </c>
      <c r="O104" s="69" t="n">
        <f aca="false">MIN(N104,O103)</f>
        <v>-454584.218473778</v>
      </c>
      <c r="P104" s="69" t="n">
        <f aca="false">MIN(O104,P103)</f>
        <v>-464873.002888444</v>
      </c>
      <c r="Q104" s="69" t="n">
        <f aca="false">MIN(P104,Q103)</f>
        <v>-473632.053335111</v>
      </c>
      <c r="R104" s="69" t="n">
        <f aca="false">MIN(Q104,R103)</f>
        <v>-482689.790641778</v>
      </c>
      <c r="S104" s="69" t="n">
        <f aca="false">MIN(R104,S103)</f>
        <v>-491735.027948444</v>
      </c>
      <c r="T104" s="69" t="n">
        <f aca="false">MIN(S104,T103)</f>
        <v>-496371.560455111</v>
      </c>
      <c r="U104" s="69" t="n">
        <f aca="false">MIN(T104,U103)</f>
        <v>-501123.227361778</v>
      </c>
      <c r="V104" s="69" t="n">
        <f aca="false">MIN(U104,V103)</f>
        <v>-505862.394268444</v>
      </c>
      <c r="W104" s="69" t="n">
        <f aca="false">MIN(V104,W103)</f>
        <v>-514985.265975111</v>
      </c>
      <c r="X104" s="69" t="n">
        <f aca="false">MIN(W104,X103)</f>
        <v>-523968.003281778</v>
      </c>
      <c r="Y104" s="69" t="n">
        <f aca="false">MIN(X104,Y103)</f>
        <v>-532938.240588444</v>
      </c>
      <c r="Z104" s="69" t="n">
        <f aca="false">MIN(Y104,Z103)</f>
        <v>-537499.773095111</v>
      </c>
      <c r="AA104" s="69" t="n">
        <f aca="false">MIN(Z104,AA103)</f>
        <v>-556786.723091289</v>
      </c>
      <c r="AB104" s="69" t="n">
        <f aca="false">MIN(AA104,AB103)</f>
        <v>-566188.509391022</v>
      </c>
      <c r="AC104" s="69" t="n">
        <f aca="false">MIN(AB104,AC103)</f>
        <v>-575577.795690755</v>
      </c>
      <c r="AD104" s="69" t="n">
        <f aca="false">MIN(AC104,AD103)</f>
        <v>-584954.581990489</v>
      </c>
      <c r="AE104" s="69" t="n">
        <f aca="false">MIN(AD104,AE103)</f>
        <v>-594318.868290222</v>
      </c>
      <c r="AF104" s="69" t="n">
        <f aca="false">MIN(AE104,AF103)</f>
        <v>-599238.703949955</v>
      </c>
      <c r="AG104" s="69" t="n">
        <f aca="false">MIN(AF104,AG103)</f>
        <v>-604289.141985689</v>
      </c>
      <c r="AH104" s="69" t="n">
        <f aca="false">MIN(AG104,AH103)</f>
        <v>-609327.080021422</v>
      </c>
      <c r="AI104" s="69" t="n">
        <f aca="false">MIN(AH104,AI103)</f>
        <v>-618784.468697155</v>
      </c>
      <c r="AJ104" s="69" t="n">
        <f aca="false">MIN(AI104,AJ103)</f>
        <v>-628086.254996889</v>
      </c>
      <c r="AK104" s="69" t="n">
        <f aca="false">MIN(AJ104,AK103)</f>
        <v>-637375.541296622</v>
      </c>
      <c r="AL104" s="69" t="n">
        <f aca="false">MIN(AK104,AL103)</f>
        <v>-642220.376956355</v>
      </c>
    </row>
    <row r="105" customFormat="false" ht="15" hidden="false" customHeight="false" outlineLevel="0" collapsed="false">
      <c r="A105" s="118" t="s">
        <v>427</v>
      </c>
      <c r="C105" s="120" t="n">
        <f aca="false">IF(AND(C103&gt;=0,C104&lt;0),1,0)</f>
        <v>0</v>
      </c>
      <c r="D105" s="120" t="n">
        <f aca="false">IF(AND(D103&gt;=0,D104&lt;0),1,0)</f>
        <v>0</v>
      </c>
      <c r="E105" s="120" t="n">
        <f aca="false">IF(AND(E103&gt;=0,E104&lt;0),1,0)</f>
        <v>0</v>
      </c>
      <c r="F105" s="120" t="n">
        <f aca="false">IF(AND(F103&gt;=0,F104&lt;0),1,0)</f>
        <v>0</v>
      </c>
      <c r="G105" s="120" t="n">
        <f aca="false">IF(AND(G103&gt;=0,G104&lt;0),1,0)</f>
        <v>0</v>
      </c>
      <c r="H105" s="120" t="n">
        <f aca="false">IF(AND(H103&gt;=0,H104&lt;0),1,0)</f>
        <v>0</v>
      </c>
      <c r="I105" s="120" t="n">
        <f aca="false">IF(AND(I103&gt;=0,I104&lt;0),1,0)</f>
        <v>0</v>
      </c>
      <c r="J105" s="120" t="n">
        <f aca="false">IF(AND(J103&gt;=0,J104&lt;0),1,0)</f>
        <v>0</v>
      </c>
      <c r="K105" s="120" t="n">
        <f aca="false">IF(AND(K103&gt;=0,K104&lt;0),1,0)</f>
        <v>0</v>
      </c>
      <c r="L105" s="120" t="n">
        <f aca="false">IF(AND(L103&gt;=0,L104&lt;0),1,0)</f>
        <v>0</v>
      </c>
      <c r="M105" s="120" t="n">
        <f aca="false">IF(AND(M103&gt;=0,M104&lt;0),1,0)</f>
        <v>0</v>
      </c>
      <c r="N105" s="120" t="n">
        <f aca="false">IF(AND(N103&gt;=0,N104&lt;0),1,0)</f>
        <v>0</v>
      </c>
      <c r="O105" s="120" t="n">
        <f aca="false">IF(AND(O103&gt;=0,O104&lt;0),1,0)</f>
        <v>0</v>
      </c>
      <c r="P105" s="120" t="n">
        <f aca="false">IF(AND(P103&gt;=0,P104&lt;0),1,0)</f>
        <v>0</v>
      </c>
      <c r="Q105" s="120" t="n">
        <f aca="false">IF(AND(Q103&gt;=0,Q104&lt;0),1,0)</f>
        <v>0</v>
      </c>
      <c r="R105" s="120" t="n">
        <f aca="false">IF(AND(R103&gt;=0,R104&lt;0),1,0)</f>
        <v>0</v>
      </c>
      <c r="S105" s="120" t="n">
        <f aca="false">IF(AND(S103&gt;=0,S104&lt;0),1,0)</f>
        <v>0</v>
      </c>
      <c r="T105" s="120" t="n">
        <f aca="false">IF(AND(T103&gt;=0,T104&lt;0),1,0)</f>
        <v>0</v>
      </c>
      <c r="U105" s="120" t="n">
        <f aca="false">IF(AND(U103&gt;=0,U104&lt;0),1,0)</f>
        <v>0</v>
      </c>
      <c r="V105" s="120" t="n">
        <f aca="false">IF(AND(V103&gt;=0,V104&lt;0),1,0)</f>
        <v>0</v>
      </c>
      <c r="W105" s="120" t="n">
        <f aca="false">IF(AND(W103&gt;=0,W104&lt;0),1,0)</f>
        <v>0</v>
      </c>
      <c r="X105" s="120" t="n">
        <f aca="false">IF(AND(X103&gt;=0,X104&lt;0),1,0)</f>
        <v>0</v>
      </c>
      <c r="Y105" s="120" t="n">
        <f aca="false">IF(AND(Y103&gt;=0,Y104&lt;0),1,0)</f>
        <v>0</v>
      </c>
      <c r="Z105" s="120" t="n">
        <f aca="false">IF(AND(Z103&gt;=0,Z104&lt;0),1,0)</f>
        <v>0</v>
      </c>
      <c r="AA105" s="120" t="n">
        <f aca="false">IF(AND(AA103&gt;=0,AA104&lt;0),1,0)</f>
        <v>0</v>
      </c>
      <c r="AB105" s="120" t="n">
        <f aca="false">IF(AND(AB103&gt;=0,AB104&lt;0),1,0)</f>
        <v>0</v>
      </c>
      <c r="AC105" s="120" t="n">
        <f aca="false">IF(AND(AC103&gt;=0,AC104&lt;0),1,0)</f>
        <v>0</v>
      </c>
      <c r="AD105" s="120" t="n">
        <f aca="false">IF(AND(AD103&gt;=0,AD104&lt;0),1,0)</f>
        <v>0</v>
      </c>
      <c r="AE105" s="120" t="n">
        <f aca="false">IF(AND(AE103&gt;=0,AE104&lt;0),1,0)</f>
        <v>0</v>
      </c>
      <c r="AF105" s="120" t="n">
        <f aca="false">IF(AND(AF103&gt;=0,AF104&lt;0),1,0)</f>
        <v>0</v>
      </c>
      <c r="AG105" s="120" t="n">
        <f aca="false">IF(AND(AG103&gt;=0,AG104&lt;0),1,0)</f>
        <v>0</v>
      </c>
      <c r="AH105" s="120" t="n">
        <f aca="false">IF(AND(AH103&gt;=0,AH104&lt;0),1,0)</f>
        <v>0</v>
      </c>
      <c r="AI105" s="120" t="n">
        <f aca="false">IF(AND(AI103&gt;=0,AI104&lt;0),1,0)</f>
        <v>0</v>
      </c>
      <c r="AJ105" s="120" t="n">
        <f aca="false">IF(AND(AJ103&gt;=0,AJ104&lt;0),1,0)</f>
        <v>0</v>
      </c>
      <c r="AK105" s="120" t="n">
        <f aca="false">IF(AND(AK103&gt;=0,AK104&lt;0),1,0)</f>
        <v>0</v>
      </c>
      <c r="AL105" s="120" t="n">
        <f aca="false">IF(AND(AL103&gt;=0,AL104&lt;0),1,0)</f>
        <v>0</v>
      </c>
    </row>
    <row r="106" customFormat="false" ht="15" hidden="false" customHeight="false" outlineLevel="0" collapsed="false">
      <c r="A106" s="6" t="s">
        <v>428</v>
      </c>
      <c r="C106" s="69" t="n">
        <f aca="false">C91-C56*(1-Inputs!$B$83)+C92</f>
        <v>-214423.480755556</v>
      </c>
      <c r="D106" s="69" t="n">
        <f aca="false">D91-D56*(1-Inputs!$B$83)+D92</f>
        <v>-27859.5342333333</v>
      </c>
      <c r="E106" s="69" t="n">
        <f aca="false">E91-E56*(1-Inputs!$B$83)+E92</f>
        <v>-26347.8024333333</v>
      </c>
      <c r="F106" s="69" t="n">
        <f aca="false">F91-F56*(1-Inputs!$B$83)+F92</f>
        <v>-24836.0706333333</v>
      </c>
      <c r="G106" s="69" t="n">
        <f aca="false">G91-G56*(1-Inputs!$B$83)+G92</f>
        <v>-23324.3388333333</v>
      </c>
      <c r="H106" s="69" t="n">
        <f aca="false">H91-H56*(1-Inputs!$B$83)+H92</f>
        <v>-19414.3320333333</v>
      </c>
      <c r="I106" s="69" t="n">
        <f aca="false">I91-I56*(1-Inputs!$B$83)+I92</f>
        <v>-17746.6482333333</v>
      </c>
      <c r="J106" s="69" t="n">
        <f aca="false">J91-J56*(1-Inputs!$B$83)+J92</f>
        <v>-16022.5344333333</v>
      </c>
      <c r="K106" s="69" t="n">
        <f aca="false">K91-K56*(1-Inputs!$B$83)+K92</f>
        <v>-17350.7706333333</v>
      </c>
      <c r="L106" s="69" t="n">
        <f aca="false">L91-L56*(1-Inputs!$B$83)+L92</f>
        <v>-15765.6798333333</v>
      </c>
      <c r="M106" s="69" t="n">
        <f aca="false">M91-M56*(1-Inputs!$B$83)+M92</f>
        <v>-14253.9480333333</v>
      </c>
      <c r="N106" s="69" t="n">
        <f aca="false">N91-N56*(1-Inputs!$B$83)+N92</f>
        <v>-9035.79123333333</v>
      </c>
      <c r="O106" s="69" t="n">
        <f aca="false">O91-O56*(1-Inputs!$B$83)+O92</f>
        <v>-21211.7871515556</v>
      </c>
      <c r="P106" s="69" t="n">
        <f aca="false">P91-P56*(1-Inputs!$B$83)+P92</f>
        <v>-9819.72191466667</v>
      </c>
      <c r="Q106" s="69" t="n">
        <f aca="false">Q91-Q56*(1-Inputs!$B$83)+Q92</f>
        <v>-8299.86294666667</v>
      </c>
      <c r="R106" s="69" t="n">
        <f aca="false">R91-R56*(1-Inputs!$B$83)+R92</f>
        <v>-8608.42480666667</v>
      </c>
      <c r="S106" s="69" t="n">
        <f aca="false">S91-S56*(1-Inputs!$B$83)+S92</f>
        <v>-8605.79980666667</v>
      </c>
      <c r="T106" s="69" t="n">
        <f aca="false">T91-T56*(1-Inputs!$B$83)+T92</f>
        <v>-4206.97000666666</v>
      </c>
      <c r="U106" s="69" t="n">
        <f aca="false">U91-U56*(1-Inputs!$B$83)+U92</f>
        <v>-4331.97940666666</v>
      </c>
      <c r="V106" s="69" t="n">
        <f aca="false">V91-V56*(1-Inputs!$B$83)+V92</f>
        <v>-4329.35440666666</v>
      </c>
      <c r="W106" s="69" t="n">
        <f aca="false">W91-W56*(1-Inputs!$B$83)+W92</f>
        <v>-8722.93420666667</v>
      </c>
      <c r="X106" s="69" t="n">
        <f aca="false">X91-X56*(1-Inputs!$B$83)+X92</f>
        <v>-8592.67480666667</v>
      </c>
      <c r="Y106" s="69" t="n">
        <f aca="false">Y91-Y56*(1-Inputs!$B$83)+Y92</f>
        <v>-8590.04980666667</v>
      </c>
      <c r="Z106" s="69" t="n">
        <f aca="false">Z91-Z56*(1-Inputs!$B$83)+Z92</f>
        <v>-4191.22000666666</v>
      </c>
      <c r="AA106" s="69" t="n">
        <f aca="false">AA91-AA56*(1-Inputs!$B$83)+AA92</f>
        <v>-18926.5124961778</v>
      </c>
      <c r="AB106" s="69" t="n">
        <f aca="false">AB91-AB56*(1-Inputs!$B$83)+AB92</f>
        <v>-9051.22379973334</v>
      </c>
      <c r="AC106" s="69" t="n">
        <f aca="false">AC91-AC56*(1-Inputs!$B$83)+AC92</f>
        <v>-9048.59879973334</v>
      </c>
      <c r="AD106" s="69" t="n">
        <f aca="false">AD91-AD56*(1-Inputs!$B$83)+AD92</f>
        <v>-9045.97379973334</v>
      </c>
      <c r="AE106" s="69" t="n">
        <f aca="false">AE91-AE56*(1-Inputs!$B$83)+AE92</f>
        <v>-9043.34879973334</v>
      </c>
      <c r="AF106" s="69" t="n">
        <f aca="false">AF91-AF56*(1-Inputs!$B$83)+AF92</f>
        <v>-4608.77315973334</v>
      </c>
      <c r="AG106" s="69" t="n">
        <f aca="false">AG91-AG56*(1-Inputs!$B$83)+AG92</f>
        <v>-4749.25053573334</v>
      </c>
      <c r="AH106" s="69" t="n">
        <f aca="false">AH91-AH56*(1-Inputs!$B$83)+AH92</f>
        <v>-4746.62553573334</v>
      </c>
      <c r="AI106" s="69" t="n">
        <f aca="false">AI91-AI56*(1-Inputs!$B$83)+AI92</f>
        <v>-9175.95117573335</v>
      </c>
      <c r="AJ106" s="69" t="n">
        <f aca="false">AJ91-AJ56*(1-Inputs!$B$83)+AJ92</f>
        <v>-9030.22379973334</v>
      </c>
      <c r="AK106" s="69" t="n">
        <f aca="false">AK91-AK56*(1-Inputs!$B$83)+AK92</f>
        <v>-9027.59879973334</v>
      </c>
      <c r="AL106" s="69" t="n">
        <f aca="false">AL91-AL56*(1-Inputs!$B$83)+AL92</f>
        <v>-4593.02315973334</v>
      </c>
    </row>
    <row r="108" customFormat="false" ht="15.75" hidden="false" customHeight="true" outlineLevel="0" collapsed="false">
      <c r="A108" s="7" t="s">
        <v>429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customFormat="false" ht="15" hidden="false" customHeight="false" outlineLevel="0" collapsed="false">
      <c r="A109" s="6" t="s">
        <v>97</v>
      </c>
      <c r="C109" s="69" t="n">
        <f aca="false">C93</f>
        <v>330000</v>
      </c>
      <c r="D109" s="69" t="n">
        <f aca="false">C109+D93</f>
        <v>330000</v>
      </c>
      <c r="E109" s="69" t="n">
        <f aca="false">D109+E93</f>
        <v>330000</v>
      </c>
      <c r="F109" s="69" t="n">
        <f aca="false">E109+F93</f>
        <v>330000</v>
      </c>
      <c r="G109" s="69" t="n">
        <f aca="false">F109+G93</f>
        <v>330000</v>
      </c>
      <c r="H109" s="69" t="n">
        <f aca="false">G109+H93</f>
        <v>330000</v>
      </c>
      <c r="I109" s="69" t="n">
        <f aca="false">H109+I93</f>
        <v>330000</v>
      </c>
      <c r="J109" s="69" t="n">
        <f aca="false">I109+J93</f>
        <v>330000</v>
      </c>
      <c r="K109" s="69" t="n">
        <f aca="false">J109+K93</f>
        <v>330000</v>
      </c>
      <c r="L109" s="69" t="n">
        <f aca="false">K109+L93</f>
        <v>330000</v>
      </c>
      <c r="M109" s="69" t="n">
        <f aca="false">L109+M93</f>
        <v>330000</v>
      </c>
      <c r="N109" s="69" t="n">
        <f aca="false">M109+N93</f>
        <v>330000</v>
      </c>
      <c r="O109" s="69" t="n">
        <f aca="false">N109+O93</f>
        <v>330000</v>
      </c>
      <c r="P109" s="69" t="n">
        <f aca="false">O109+P93</f>
        <v>330000</v>
      </c>
      <c r="Q109" s="69" t="n">
        <f aca="false">P109+Q93</f>
        <v>330000</v>
      </c>
      <c r="R109" s="69" t="n">
        <f aca="false">Q109+R93</f>
        <v>330000</v>
      </c>
      <c r="S109" s="69" t="n">
        <f aca="false">R109+S93</f>
        <v>330000</v>
      </c>
      <c r="T109" s="69" t="n">
        <f aca="false">S109+T93</f>
        <v>330000</v>
      </c>
      <c r="U109" s="69" t="n">
        <f aca="false">T109+U93</f>
        <v>330000</v>
      </c>
      <c r="V109" s="69" t="n">
        <f aca="false">U109+V93</f>
        <v>330000</v>
      </c>
      <c r="W109" s="69" t="n">
        <f aca="false">V109+W93</f>
        <v>330000</v>
      </c>
      <c r="X109" s="69" t="n">
        <f aca="false">W109+X93</f>
        <v>330000</v>
      </c>
      <c r="Y109" s="69" t="n">
        <f aca="false">X109+Y93</f>
        <v>330000</v>
      </c>
      <c r="Z109" s="69" t="n">
        <f aca="false">Y109+Z93</f>
        <v>330000</v>
      </c>
      <c r="AA109" s="69" t="n">
        <f aca="false">Z109+AA93</f>
        <v>330000</v>
      </c>
      <c r="AB109" s="69" t="n">
        <f aca="false">AA109+AB93</f>
        <v>330000</v>
      </c>
      <c r="AC109" s="69" t="n">
        <f aca="false">AB109+AC93</f>
        <v>330000</v>
      </c>
      <c r="AD109" s="69" t="n">
        <f aca="false">AC109+AD93</f>
        <v>330000</v>
      </c>
      <c r="AE109" s="69" t="n">
        <f aca="false">AD109+AE93</f>
        <v>330000</v>
      </c>
      <c r="AF109" s="69" t="n">
        <f aca="false">AE109+AF93</f>
        <v>330000</v>
      </c>
      <c r="AG109" s="69" t="n">
        <f aca="false">AF109+AG93</f>
        <v>330000</v>
      </c>
      <c r="AH109" s="69" t="n">
        <f aca="false">AG109+AH93</f>
        <v>330000</v>
      </c>
      <c r="AI109" s="69" t="n">
        <f aca="false">AH109+AI93</f>
        <v>330000</v>
      </c>
      <c r="AJ109" s="69" t="n">
        <f aca="false">AI109+AJ93</f>
        <v>330000</v>
      </c>
      <c r="AK109" s="69" t="n">
        <f aca="false">AJ109+AK93</f>
        <v>330000</v>
      </c>
      <c r="AL109" s="69" t="n">
        <f aca="false">AK109+AL93</f>
        <v>330000</v>
      </c>
    </row>
    <row r="110" customFormat="false" ht="15" hidden="false" customHeight="false" outlineLevel="0" collapsed="false">
      <c r="A110" s="6" t="s">
        <v>98</v>
      </c>
      <c r="C110" s="69" t="n">
        <f aca="false">C61</f>
        <v>-32234.9425333333</v>
      </c>
      <c r="D110" s="69" t="n">
        <f aca="false">C110+D61</f>
        <v>-62954.5282666667</v>
      </c>
      <c r="E110" s="69" t="n">
        <f aca="false">D110+E61</f>
        <v>-92152.5072</v>
      </c>
      <c r="F110" s="69" t="n">
        <f aca="false">E110+F61</f>
        <v>-119828.879333333</v>
      </c>
      <c r="G110" s="69" t="n">
        <f aca="false">F110+G61</f>
        <v>-145983.644666667</v>
      </c>
      <c r="H110" s="69" t="n">
        <f aca="false">G110+H61</f>
        <v>-168280.6012</v>
      </c>
      <c r="I110" s="69" t="n">
        <f aca="false">H110+I61</f>
        <v>-188843.568933333</v>
      </c>
      <c r="J110" s="69" t="n">
        <f aca="false">I110+J61</f>
        <v>-207672.547866667</v>
      </c>
      <c r="K110" s="69" t="n">
        <f aca="false">J110+K61</f>
        <v>-227740.886</v>
      </c>
      <c r="L110" s="69" t="n">
        <f aca="false">K110+L61</f>
        <v>-246287.617333333</v>
      </c>
      <c r="M110" s="69" t="n">
        <f aca="false">L110+M61</f>
        <v>-263312.741866667</v>
      </c>
      <c r="N110" s="69" t="n">
        <f aca="false">M110+N61</f>
        <v>-275205.7656</v>
      </c>
      <c r="O110" s="69" t="n">
        <f aca="false">N110+O61</f>
        <v>-289408.387509333</v>
      </c>
      <c r="P110" s="69" t="n">
        <f aca="false">O110+P61</f>
        <v>-302081.275450667</v>
      </c>
      <c r="Q110" s="69" t="n">
        <f aca="false">P110+Q61</f>
        <v>-313224.429424</v>
      </c>
      <c r="R110" s="69" t="n">
        <f aca="false">Q110+R61</f>
        <v>-324355.083397333</v>
      </c>
      <c r="S110" s="69" t="n">
        <f aca="false">R110+S61</f>
        <v>-335473.237370667</v>
      </c>
      <c r="T110" s="69" t="n">
        <f aca="false">S110+T61</f>
        <v>-342310.320944</v>
      </c>
      <c r="U110" s="69" t="n">
        <f aca="false">T110+U61</f>
        <v>-349134.904517333</v>
      </c>
      <c r="V110" s="69" t="n">
        <f aca="false">U110+V61</f>
        <v>-355946.988090667</v>
      </c>
      <c r="W110" s="69" t="n">
        <f aca="false">V110+W61</f>
        <v>-367015.142064</v>
      </c>
      <c r="X110" s="69" t="n">
        <f aca="false">W110+X61</f>
        <v>-378070.796037333</v>
      </c>
      <c r="Y110" s="69" t="n">
        <f aca="false">X110+Y61</f>
        <v>-389113.950010667</v>
      </c>
      <c r="Z110" s="69" t="n">
        <f aca="false">Y110+Z61</f>
        <v>-395876.033584</v>
      </c>
      <c r="AA110" s="69" t="n">
        <f aca="false">Z110+AA61</f>
        <v>-407467.403217067</v>
      </c>
      <c r="AB110" s="69" t="n">
        <f aca="false">AA110+AB61</f>
        <v>-419046.272850133</v>
      </c>
      <c r="AC110" s="69" t="n">
        <f aca="false">AB110+AC61</f>
        <v>-430612.6424832</v>
      </c>
      <c r="AD110" s="69" t="n">
        <f aca="false">AC110+AD61</f>
        <v>-442166.512116267</v>
      </c>
      <c r="AE110" s="69" t="n">
        <f aca="false">AD110+AE61</f>
        <v>-453707.881749333</v>
      </c>
      <c r="AF110" s="69" t="n">
        <f aca="false">AE110+AF61</f>
        <v>-460947.9031184</v>
      </c>
      <c r="AG110" s="69" t="n">
        <f aca="false">AF110+AG61</f>
        <v>-468175.424487467</v>
      </c>
      <c r="AH110" s="69" t="n">
        <f aca="false">AG110+AH61</f>
        <v>-475390.445856533</v>
      </c>
      <c r="AI110" s="69" t="n">
        <f aca="false">AH110+AI61</f>
        <v>-486881.8154896</v>
      </c>
      <c r="AJ110" s="69" t="n">
        <f aca="false">AI110+AJ61</f>
        <v>-498360.685122667</v>
      </c>
      <c r="AK110" s="69" t="n">
        <f aca="false">AJ110+AK61</f>
        <v>-509827.054755733</v>
      </c>
      <c r="AL110" s="69" t="n">
        <f aca="false">AK110+AL61</f>
        <v>-516992.0761248</v>
      </c>
    </row>
    <row r="111" customFormat="false" ht="15" hidden="false" customHeight="false" outlineLevel="0" collapsed="false">
      <c r="A111" s="4" t="s">
        <v>93</v>
      </c>
      <c r="C111" s="75" t="n">
        <f aca="false">C97+C83+C84+C74</f>
        <v>404570.651911111</v>
      </c>
      <c r="D111" s="75" t="n">
        <f aca="false">D97+D83+D84+D74</f>
        <v>372786.257844445</v>
      </c>
      <c r="E111" s="75" t="n">
        <f aca="false">E97+E83+E84+E74</f>
        <v>342523.470577778</v>
      </c>
      <c r="F111" s="75" t="n">
        <f aca="false">F97+F83+F84+F74</f>
        <v>313782.290111111</v>
      </c>
      <c r="G111" s="75" t="n">
        <f aca="false">G97+G83+G84+G74</f>
        <v>286562.716444444</v>
      </c>
      <c r="H111" s="75" t="n">
        <f aca="false">H97+H83+H84+H74</f>
        <v>263530.126577778</v>
      </c>
      <c r="I111" s="75" t="n">
        <f aca="false">I97+I83+I84+I74</f>
        <v>241932.275511111</v>
      </c>
      <c r="J111" s="75" t="n">
        <f aca="false">J97+J83+J84+J74</f>
        <v>222068.413244444</v>
      </c>
      <c r="K111" s="75" t="n">
        <f aca="false">K97+K83+K84+K74</f>
        <v>200546.241777778</v>
      </c>
      <c r="L111" s="75" t="n">
        <f aca="false">L97+L83+L84+L74</f>
        <v>180934.702111111</v>
      </c>
      <c r="M111" s="75" t="n">
        <f aca="false">M97+M83+M84+M74</f>
        <v>162844.769244444</v>
      </c>
      <c r="N111" s="75" t="n">
        <f aca="false">N97+N83+N84+N74</f>
        <v>150395.662177778</v>
      </c>
      <c r="O111" s="75" t="n">
        <f aca="false">O97+O83+O84+O74</f>
        <v>134960.077712889</v>
      </c>
      <c r="P111" s="75" t="n">
        <f aca="false">P97+P83+P84+P74</f>
        <v>121234.203271556</v>
      </c>
      <c r="Q111" s="75" t="n">
        <f aca="false">Q97+Q83+Q84+Q74</f>
        <v>109038.062798222</v>
      </c>
      <c r="R111" s="75" t="n">
        <f aca="false">R97+R83+R84+R74</f>
        <v>96240.7421582222</v>
      </c>
      <c r="S111" s="75" t="n">
        <f aca="false">S97+S83+S84+S74</f>
        <v>83455.9215182222</v>
      </c>
      <c r="T111" s="75" t="n">
        <f aca="false">T97+T83+T84+T74</f>
        <v>75574.6112782222</v>
      </c>
      <c r="U111" s="75" t="n">
        <f aca="false">U97+U83+U84+U74</f>
        <v>67083.3610382222</v>
      </c>
      <c r="V111" s="75" t="n">
        <f aca="false">V97+V83+V84+V74</f>
        <v>58604.6107982222</v>
      </c>
      <c r="W111" s="75" t="n">
        <f aca="false">W97+W83+W84+W74</f>
        <v>45247.3501582222</v>
      </c>
      <c r="X111" s="75" t="n">
        <f aca="false">X97+X83+X84+X74</f>
        <v>32525.0295182222</v>
      </c>
      <c r="Y111" s="75" t="n">
        <f aca="false">Y97+Y83+Y84+Y74</f>
        <v>19815.2088782223</v>
      </c>
      <c r="Z111" s="75" t="n">
        <f aca="false">Z97+Z83+Z84+Z74</f>
        <v>12008.8986382223</v>
      </c>
      <c r="AA111" s="75" t="n">
        <f aca="false">AA97+AA83+AA84+AA74</f>
        <v>-1495.24513928886</v>
      </c>
      <c r="AB111" s="75" t="n">
        <f aca="false">AB97+AB83+AB84+AB74</f>
        <v>-14740.7814390222</v>
      </c>
      <c r="AC111" s="75" t="n">
        <f aca="false">AC97+AC83+AC84+AC74</f>
        <v>-27973.8177387556</v>
      </c>
      <c r="AD111" s="75" t="n">
        <f aca="false">AD97+AD83+AD84+AD74</f>
        <v>-41194.3540384889</v>
      </c>
      <c r="AE111" s="75" t="n">
        <f aca="false">AE97+AE83+AE84+AE74</f>
        <v>-54402.3903382223</v>
      </c>
      <c r="AF111" s="75" t="n">
        <f aca="false">AF97+AF83+AF84+AF74</f>
        <v>-62661.7407739556</v>
      </c>
      <c r="AG111" s="75" t="n">
        <f aca="false">AG97+AG83+AG84+AG74</f>
        <v>-71555.928809689</v>
      </c>
      <c r="AH111" s="75" t="n">
        <f aca="false">AH97+AH83+AH84+AH74</f>
        <v>-80437.6168454223</v>
      </c>
      <c r="AI111" s="75" t="n">
        <f aca="false">AI97+AI83+AI84+AI74</f>
        <v>-94242.9907451556</v>
      </c>
      <c r="AJ111" s="75" t="n">
        <f aca="false">AJ97+AJ83+AJ84+AJ74</f>
        <v>-107388.527044889</v>
      </c>
      <c r="AK111" s="75" t="n">
        <f aca="false">AK97+AK83+AK84+AK74</f>
        <v>-120521.563344622</v>
      </c>
      <c r="AL111" s="75" t="n">
        <f aca="false">AL97+AL83+AL84+AL74</f>
        <v>-128705.913780356</v>
      </c>
    </row>
    <row r="112" customFormat="false" ht="15" hidden="false" customHeight="false" outlineLevel="0" collapsed="false">
      <c r="A112" s="6" t="s">
        <v>96</v>
      </c>
      <c r="C112" s="69" t="n">
        <f aca="false">C85+C80</f>
        <v>106805.594444444</v>
      </c>
      <c r="D112" s="69" t="n">
        <f aca="false">D85+D80</f>
        <v>105740.786111111</v>
      </c>
      <c r="E112" s="69" t="n">
        <f aca="false">E85+E80</f>
        <v>104675.977777778</v>
      </c>
      <c r="F112" s="69" t="n">
        <f aca="false">F85+F80</f>
        <v>103611.169444444</v>
      </c>
      <c r="G112" s="69" t="n">
        <f aca="false">G85+G80</f>
        <v>102546.361111111</v>
      </c>
      <c r="H112" s="69" t="n">
        <f aca="false">H85+H80</f>
        <v>101810.727777778</v>
      </c>
      <c r="I112" s="69" t="n">
        <f aca="false">I85+I80</f>
        <v>100775.844444444</v>
      </c>
      <c r="J112" s="69" t="n">
        <f aca="false">J85+J80</f>
        <v>99740.9611111111</v>
      </c>
      <c r="K112" s="69" t="n">
        <f aca="false">K85+K80</f>
        <v>98287.1277777777</v>
      </c>
      <c r="L112" s="69" t="n">
        <f aca="false">L85+L80</f>
        <v>97222.3194444444</v>
      </c>
      <c r="M112" s="69" t="n">
        <f aca="false">M85+M80</f>
        <v>96157.5111111111</v>
      </c>
      <c r="N112" s="69" t="n">
        <f aca="false">N85+N80</f>
        <v>95601.4277777777</v>
      </c>
      <c r="O112" s="69" t="n">
        <f aca="false">O85+O80</f>
        <v>94368.4652222222</v>
      </c>
      <c r="P112" s="69" t="n">
        <f aca="false">P85+P80</f>
        <v>93315.4787222222</v>
      </c>
      <c r="Q112" s="69" t="n">
        <f aca="false">Q85+Q80</f>
        <v>92262.4922222222</v>
      </c>
      <c r="R112" s="69" t="n">
        <f aca="false">R85+R80</f>
        <v>90595.8255555555</v>
      </c>
      <c r="S112" s="69" t="n">
        <f aca="false">S85+S80</f>
        <v>88929.1588888888</v>
      </c>
      <c r="T112" s="69" t="n">
        <f aca="false">T85+T80</f>
        <v>87884.9322222221</v>
      </c>
      <c r="U112" s="69" t="n">
        <f aca="false">U85+U80</f>
        <v>86218.2655555555</v>
      </c>
      <c r="V112" s="69" t="n">
        <f aca="false">V85+V80</f>
        <v>84551.5988888888</v>
      </c>
      <c r="W112" s="69" t="n">
        <f aca="false">W85+W80</f>
        <v>82262.4922222221</v>
      </c>
      <c r="X112" s="69" t="n">
        <f aca="false">X85+X80</f>
        <v>80595.8255555555</v>
      </c>
      <c r="Y112" s="69" t="n">
        <f aca="false">Y85+Y80</f>
        <v>78929.1588888888</v>
      </c>
      <c r="Z112" s="69" t="n">
        <f aca="false">Z85+Z80</f>
        <v>77884.9322222221</v>
      </c>
      <c r="AA112" s="69" t="n">
        <f aca="false">AA85+AA80</f>
        <v>75972.1580777777</v>
      </c>
      <c r="AB112" s="69" t="n">
        <f aca="false">AB85+AB80</f>
        <v>74305.491411111</v>
      </c>
      <c r="AC112" s="69" t="n">
        <f aca="false">AC85+AC80</f>
        <v>72638.8247444444</v>
      </c>
      <c r="AD112" s="69" t="n">
        <f aca="false">AD85+AD80</f>
        <v>70972.1580777777</v>
      </c>
      <c r="AE112" s="69" t="n">
        <f aca="false">AE85+AE80</f>
        <v>69305.491411111</v>
      </c>
      <c r="AF112" s="69" t="n">
        <f aca="false">AF85+AF80</f>
        <v>68286.1623444444</v>
      </c>
      <c r="AG112" s="69" t="n">
        <f aca="false">AG85+AG80</f>
        <v>66619.4956777777</v>
      </c>
      <c r="AH112" s="69" t="n">
        <f aca="false">AH85+AH80</f>
        <v>64952.829011111</v>
      </c>
      <c r="AI112" s="69" t="n">
        <f aca="false">AI85+AI80</f>
        <v>62638.8247444444</v>
      </c>
      <c r="AJ112" s="69" t="n">
        <f aca="false">AJ85+AJ80</f>
        <v>60972.1580777777</v>
      </c>
      <c r="AK112" s="69" t="n">
        <f aca="false">AK85+AK80</f>
        <v>59305.4914111111</v>
      </c>
      <c r="AL112" s="69" t="n">
        <f aca="false">AL85+AL80</f>
        <v>58286.1623444444</v>
      </c>
    </row>
    <row r="113" customFormat="false" ht="15" hidden="false" customHeight="false" outlineLevel="0" collapsed="false">
      <c r="A113" s="6" t="s">
        <v>99</v>
      </c>
      <c r="C113" s="69" t="n">
        <f aca="false">C109+C110</f>
        <v>297765.057466667</v>
      </c>
      <c r="D113" s="69" t="n">
        <f aca="false">D109+D110</f>
        <v>267045.471733333</v>
      </c>
      <c r="E113" s="69" t="n">
        <f aca="false">E109+E110</f>
        <v>237847.4928</v>
      </c>
      <c r="F113" s="69" t="n">
        <f aca="false">F109+F110</f>
        <v>210171.120666667</v>
      </c>
      <c r="G113" s="69" t="n">
        <f aca="false">G109+G110</f>
        <v>184016.355333333</v>
      </c>
      <c r="H113" s="69" t="n">
        <f aca="false">H109+H110</f>
        <v>161719.3988</v>
      </c>
      <c r="I113" s="69" t="n">
        <f aca="false">I109+I110</f>
        <v>141156.431066667</v>
      </c>
      <c r="J113" s="69" t="n">
        <f aca="false">J109+J110</f>
        <v>122327.452133333</v>
      </c>
      <c r="K113" s="69" t="n">
        <f aca="false">K109+K110</f>
        <v>102259.114</v>
      </c>
      <c r="L113" s="69" t="n">
        <f aca="false">L109+L110</f>
        <v>83712.3826666667</v>
      </c>
      <c r="M113" s="69" t="n">
        <f aca="false">M109+M110</f>
        <v>66687.2581333334</v>
      </c>
      <c r="N113" s="69" t="n">
        <f aca="false">N109+N110</f>
        <v>54794.2344</v>
      </c>
      <c r="O113" s="69" t="n">
        <f aca="false">O109+O110</f>
        <v>40591.6124906667</v>
      </c>
      <c r="P113" s="69" t="n">
        <f aca="false">P109+P110</f>
        <v>27918.7245493333</v>
      </c>
      <c r="Q113" s="69" t="n">
        <f aca="false">Q109+Q110</f>
        <v>16775.570576</v>
      </c>
      <c r="R113" s="69" t="n">
        <f aca="false">R109+R110</f>
        <v>5644.91660266672</v>
      </c>
      <c r="S113" s="69" t="n">
        <f aca="false">S109+S110</f>
        <v>-5473.23737066658</v>
      </c>
      <c r="T113" s="69" t="n">
        <f aca="false">T109+T110</f>
        <v>-12310.3209439999</v>
      </c>
      <c r="U113" s="69" t="n">
        <f aca="false">U109+U110</f>
        <v>-19134.9045173333</v>
      </c>
      <c r="V113" s="69" t="n">
        <f aca="false">V109+V110</f>
        <v>-25946.9880906666</v>
      </c>
      <c r="W113" s="69" t="n">
        <f aca="false">W109+W110</f>
        <v>-37015.1420639999</v>
      </c>
      <c r="X113" s="69" t="n">
        <f aca="false">X109+X110</f>
        <v>-48070.7960373332</v>
      </c>
      <c r="Y113" s="69" t="n">
        <f aca="false">Y109+Y110</f>
        <v>-59113.9500106665</v>
      </c>
      <c r="Z113" s="69" t="n">
        <f aca="false">Z109+Z110</f>
        <v>-65876.0335839998</v>
      </c>
      <c r="AA113" s="69" t="n">
        <f aca="false">AA109+AA110</f>
        <v>-77467.4032170666</v>
      </c>
      <c r="AB113" s="69" t="n">
        <f aca="false">AB109+AB110</f>
        <v>-89046.2728501333</v>
      </c>
      <c r="AC113" s="69" t="n">
        <f aca="false">AC109+AC110</f>
        <v>-100612.6424832</v>
      </c>
      <c r="AD113" s="69" t="n">
        <f aca="false">AD109+AD110</f>
        <v>-112166.512116267</v>
      </c>
      <c r="AE113" s="69" t="n">
        <f aca="false">AE109+AE110</f>
        <v>-123707.881749333</v>
      </c>
      <c r="AF113" s="69" t="n">
        <f aca="false">AF109+AF110</f>
        <v>-130947.9031184</v>
      </c>
      <c r="AG113" s="69" t="n">
        <f aca="false">AG109+AG110</f>
        <v>-138175.424487467</v>
      </c>
      <c r="AH113" s="69" t="n">
        <f aca="false">AH109+AH110</f>
        <v>-145390.445856533</v>
      </c>
      <c r="AI113" s="69" t="n">
        <f aca="false">AI109+AI110</f>
        <v>-156881.8154896</v>
      </c>
      <c r="AJ113" s="69" t="n">
        <f aca="false">AJ109+AJ110</f>
        <v>-168360.685122667</v>
      </c>
      <c r="AK113" s="69" t="n">
        <f aca="false">AK109+AK110</f>
        <v>-179827.054755733</v>
      </c>
      <c r="AL113" s="69" t="n">
        <f aca="false">AL109+AL110</f>
        <v>-186992.0761248</v>
      </c>
    </row>
    <row r="114" customFormat="false" ht="15" hidden="false" customHeight="false" outlineLevel="0" collapsed="false">
      <c r="A114" s="4" t="s">
        <v>100</v>
      </c>
      <c r="C114" s="75" t="n">
        <f aca="false">C112+C113</f>
        <v>404570.651911111</v>
      </c>
      <c r="D114" s="75" t="n">
        <f aca="false">D112+D113</f>
        <v>372786.257844444</v>
      </c>
      <c r="E114" s="75" t="n">
        <f aca="false">E112+E113</f>
        <v>342523.470577778</v>
      </c>
      <c r="F114" s="75" t="n">
        <f aca="false">F112+F113</f>
        <v>313782.290111111</v>
      </c>
      <c r="G114" s="75" t="n">
        <f aca="false">G112+G113</f>
        <v>286562.716444444</v>
      </c>
      <c r="H114" s="75" t="n">
        <f aca="false">H112+H113</f>
        <v>263530.126577778</v>
      </c>
      <c r="I114" s="75" t="n">
        <f aca="false">I112+I113</f>
        <v>241932.275511111</v>
      </c>
      <c r="J114" s="75" t="n">
        <f aca="false">J112+J113</f>
        <v>222068.413244444</v>
      </c>
      <c r="K114" s="75" t="n">
        <f aca="false">K112+K113</f>
        <v>200546.241777778</v>
      </c>
      <c r="L114" s="75" t="n">
        <f aca="false">L112+L113</f>
        <v>180934.702111111</v>
      </c>
      <c r="M114" s="75" t="n">
        <f aca="false">M112+M113</f>
        <v>162844.769244444</v>
      </c>
      <c r="N114" s="75" t="n">
        <f aca="false">N112+N113</f>
        <v>150395.662177778</v>
      </c>
      <c r="O114" s="75" t="n">
        <f aca="false">O112+O113</f>
        <v>134960.077712889</v>
      </c>
      <c r="P114" s="75" t="n">
        <f aca="false">P112+P113</f>
        <v>121234.203271556</v>
      </c>
      <c r="Q114" s="75" t="n">
        <f aca="false">Q112+Q113</f>
        <v>109038.062798222</v>
      </c>
      <c r="R114" s="75" t="n">
        <f aca="false">R112+R113</f>
        <v>96240.7421582222</v>
      </c>
      <c r="S114" s="75" t="n">
        <f aca="false">S112+S113</f>
        <v>83455.9215182222</v>
      </c>
      <c r="T114" s="75" t="n">
        <f aca="false">T112+T113</f>
        <v>75574.6112782222</v>
      </c>
      <c r="U114" s="75" t="n">
        <f aca="false">U112+U113</f>
        <v>67083.3610382222</v>
      </c>
      <c r="V114" s="75" t="n">
        <f aca="false">V112+V113</f>
        <v>58604.6107982222</v>
      </c>
      <c r="W114" s="75" t="n">
        <f aca="false">W112+W113</f>
        <v>45247.3501582222</v>
      </c>
      <c r="X114" s="75" t="n">
        <f aca="false">X112+X113</f>
        <v>32525.0295182223</v>
      </c>
      <c r="Y114" s="75" t="n">
        <f aca="false">Y112+Y113</f>
        <v>19815.2088782223</v>
      </c>
      <c r="Z114" s="75" t="n">
        <f aca="false">Z112+Z113</f>
        <v>12008.8986382223</v>
      </c>
      <c r="AA114" s="75" t="n">
        <f aca="false">AA112+AA113</f>
        <v>-1495.24513928886</v>
      </c>
      <c r="AB114" s="75" t="n">
        <f aca="false">AB112+AB113</f>
        <v>-14740.7814390222</v>
      </c>
      <c r="AC114" s="75" t="n">
        <f aca="false">AC112+AC113</f>
        <v>-27973.8177387556</v>
      </c>
      <c r="AD114" s="75" t="n">
        <f aca="false">AD112+AD113</f>
        <v>-41194.354038489</v>
      </c>
      <c r="AE114" s="75" t="n">
        <f aca="false">AE112+AE113</f>
        <v>-54402.3903382223</v>
      </c>
      <c r="AF114" s="75" t="n">
        <f aca="false">AF112+AF113</f>
        <v>-62661.7407739557</v>
      </c>
      <c r="AG114" s="75" t="n">
        <f aca="false">AG112+AG113</f>
        <v>-71555.928809689</v>
      </c>
      <c r="AH114" s="75" t="n">
        <f aca="false">AH112+AH113</f>
        <v>-80437.6168454223</v>
      </c>
      <c r="AI114" s="75" t="n">
        <f aca="false">AI112+AI113</f>
        <v>-94242.9907451557</v>
      </c>
      <c r="AJ114" s="75" t="n">
        <f aca="false">AJ112+AJ113</f>
        <v>-107388.527044889</v>
      </c>
      <c r="AK114" s="75" t="n">
        <f aca="false">AK112+AK113</f>
        <v>-120521.563344622</v>
      </c>
      <c r="AL114" s="75" t="n">
        <f aca="false">AL112+AL113</f>
        <v>-128705.913780356</v>
      </c>
    </row>
    <row r="115" customFormat="false" ht="15" hidden="false" customHeight="false" outlineLevel="0" collapsed="false">
      <c r="A115" s="6" t="s">
        <v>430</v>
      </c>
      <c r="C115" s="69" t="n">
        <f aca="false">C111-C114</f>
        <v>0</v>
      </c>
      <c r="D115" s="69" t="n">
        <f aca="false">D111-D114</f>
        <v>0</v>
      </c>
      <c r="E115" s="69" t="n">
        <f aca="false">E111-E114</f>
        <v>0</v>
      </c>
      <c r="F115" s="69" t="n">
        <f aca="false">F111-F114</f>
        <v>0</v>
      </c>
      <c r="G115" s="69" t="n">
        <f aca="false">G111-G114</f>
        <v>0</v>
      </c>
      <c r="H115" s="69" t="n">
        <f aca="false">H111-H114</f>
        <v>0</v>
      </c>
      <c r="I115" s="69" t="n">
        <f aca="false">I111-I114</f>
        <v>0</v>
      </c>
      <c r="J115" s="69" t="n">
        <f aca="false">J111-J114</f>
        <v>0</v>
      </c>
      <c r="K115" s="69" t="n">
        <f aca="false">K111-K114</f>
        <v>0</v>
      </c>
      <c r="L115" s="69" t="n">
        <f aca="false">L111-L114</f>
        <v>0</v>
      </c>
      <c r="M115" s="69" t="n">
        <f aca="false">M111-M114</f>
        <v>0</v>
      </c>
      <c r="N115" s="69" t="n">
        <f aca="false">N111-N114</f>
        <v>0</v>
      </c>
      <c r="O115" s="69" t="n">
        <f aca="false">O111-O114</f>
        <v>0</v>
      </c>
      <c r="P115" s="69" t="n">
        <f aca="false">P111-P114</f>
        <v>0</v>
      </c>
      <c r="Q115" s="69" t="n">
        <f aca="false">Q111-Q114</f>
        <v>0</v>
      </c>
      <c r="R115" s="69" t="n">
        <f aca="false">R111-R114</f>
        <v>0</v>
      </c>
      <c r="S115" s="69" t="n">
        <f aca="false">S111-S114</f>
        <v>0</v>
      </c>
      <c r="T115" s="69" t="n">
        <f aca="false">T111-T114</f>
        <v>0</v>
      </c>
      <c r="U115" s="69" t="n">
        <f aca="false">U111-U114</f>
        <v>0</v>
      </c>
      <c r="V115" s="69" t="n">
        <f aca="false">V111-V114</f>
        <v>0</v>
      </c>
      <c r="W115" s="69" t="n">
        <f aca="false">W111-W114</f>
        <v>0</v>
      </c>
      <c r="X115" s="69" t="n">
        <f aca="false">X111-X114</f>
        <v>0</v>
      </c>
      <c r="Y115" s="69" t="n">
        <f aca="false">Y111-Y114</f>
        <v>0</v>
      </c>
      <c r="Z115" s="69" t="n">
        <f aca="false">Z111-Z114</f>
        <v>-4.36557456851006E-011</v>
      </c>
      <c r="AA115" s="69" t="n">
        <f aca="false">AA111-AA114</f>
        <v>0</v>
      </c>
      <c r="AB115" s="69" t="n">
        <f aca="false">AB111-AB114</f>
        <v>0</v>
      </c>
      <c r="AC115" s="69" t="n">
        <f aca="false">AC111-AC114</f>
        <v>0</v>
      </c>
      <c r="AD115" s="69" t="n">
        <f aca="false">AD111-AD114</f>
        <v>0</v>
      </c>
      <c r="AE115" s="69" t="n">
        <f aca="false">AE111-AE114</f>
        <v>0</v>
      </c>
      <c r="AF115" s="69" t="n">
        <f aca="false">AF111-AF114</f>
        <v>0</v>
      </c>
      <c r="AG115" s="69" t="n">
        <f aca="false">AG111-AG114</f>
        <v>0</v>
      </c>
      <c r="AH115" s="69" t="n">
        <f aca="false">AH111-AH114</f>
        <v>0</v>
      </c>
      <c r="AI115" s="69" t="n">
        <f aca="false">AI111-AI114</f>
        <v>0</v>
      </c>
      <c r="AJ115" s="69" t="n">
        <f aca="false">AJ111-AJ114</f>
        <v>0</v>
      </c>
      <c r="AK115" s="69" t="n">
        <f aca="false">AK111-AK114</f>
        <v>0</v>
      </c>
      <c r="AL115" s="69" t="n">
        <f aca="false">AL111-AL114</f>
        <v>0</v>
      </c>
    </row>
    <row r="117" customFormat="false" ht="15.75" hidden="false" customHeight="true" outlineLevel="0" collapsed="false">
      <c r="A117" s="7" t="s">
        <v>432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customFormat="false" ht="15" hidden="false" customHeight="false" outlineLevel="0" collapsed="false">
      <c r="A118" s="6" t="s">
        <v>433</v>
      </c>
      <c r="C118" s="119" t="n">
        <f aca="false">Inputs!$B$55*(1+Inputs!$B$57)^(C$7-1)*MAX(0,MIN(1,C$6*1-Inputs!$B$58+1))/1</f>
        <v>4</v>
      </c>
      <c r="D118" s="119" t="n">
        <f aca="false">Inputs!$B$55*(1+Inputs!$B$57)^(D$7-1)*MAX(0,MIN(1,D$6*1-Inputs!$B$58+1))/1</f>
        <v>4</v>
      </c>
      <c r="E118" s="119" t="n">
        <f aca="false">Inputs!$B$55*(1+Inputs!$B$57)^(E$7-1)*MAX(0,MIN(1,E$6*1-Inputs!$B$58+1))/1</f>
        <v>4</v>
      </c>
      <c r="F118" s="119" t="n">
        <f aca="false">Inputs!$B$55*(1+Inputs!$B$57)^(F$7-1)*MAX(0,MIN(1,F$6*1-Inputs!$B$58+1))/1</f>
        <v>4</v>
      </c>
      <c r="G118" s="119" t="n">
        <f aca="false">Inputs!$B$55*(1+Inputs!$B$57)^(G$7-1)*MAX(0,MIN(1,G$6*1-Inputs!$B$58+1))/1</f>
        <v>4</v>
      </c>
      <c r="H118" s="119" t="n">
        <f aca="false">Inputs!$B$55*(1+Inputs!$B$57)^(H$7-1)*MAX(0,MIN(1,H$6*1-Inputs!$B$58+1))/1</f>
        <v>4</v>
      </c>
      <c r="I118" s="119" t="n">
        <f aca="false">Inputs!$B$55*(1+Inputs!$B$57)^(I$7-1)*MAX(0,MIN(1,I$6*1-Inputs!$B$58+1))/1</f>
        <v>4</v>
      </c>
      <c r="J118" s="119" t="n">
        <f aca="false">Inputs!$B$55*(1+Inputs!$B$57)^(J$7-1)*MAX(0,MIN(1,J$6*1-Inputs!$B$58+1))/1</f>
        <v>4</v>
      </c>
      <c r="K118" s="119" t="n">
        <f aca="false">Inputs!$B$55*(1+Inputs!$B$57)^(K$7-1)*MAX(0,MIN(1,K$6*1-Inputs!$B$58+1))/1</f>
        <v>4</v>
      </c>
      <c r="L118" s="119" t="n">
        <f aca="false">Inputs!$B$55*(1+Inputs!$B$57)^(L$7-1)*MAX(0,MIN(1,L$6*1-Inputs!$B$58+1))/1</f>
        <v>4</v>
      </c>
      <c r="M118" s="119" t="n">
        <f aca="false">Inputs!$B$55*(1+Inputs!$B$57)^(M$7-1)*MAX(0,MIN(1,M$6*1-Inputs!$B$58+1))/1</f>
        <v>4</v>
      </c>
      <c r="N118" s="119" t="n">
        <f aca="false">Inputs!$B$55*(1+Inputs!$B$57)^(N$7-1)*MAX(0,MIN(1,N$6*1-Inputs!$B$58+1))/1</f>
        <v>4</v>
      </c>
      <c r="O118" s="119" t="n">
        <f aca="false">Inputs!$B$55*(1+Inputs!$B$57)^(O$7-1)*MAX(0,MIN(1,O$6*1-Inputs!$B$58+1))/1</f>
        <v>4</v>
      </c>
      <c r="P118" s="119" t="n">
        <f aca="false">Inputs!$B$55*(1+Inputs!$B$57)^(P$7-1)*MAX(0,MIN(1,P$6*1-Inputs!$B$58+1))/1</f>
        <v>4</v>
      </c>
      <c r="Q118" s="119" t="n">
        <f aca="false">Inputs!$B$55*(1+Inputs!$B$57)^(Q$7-1)*MAX(0,MIN(1,Q$6*1-Inputs!$B$58+1))/1</f>
        <v>4</v>
      </c>
      <c r="R118" s="119" t="n">
        <f aca="false">Inputs!$B$55*(1+Inputs!$B$57)^(R$7-1)*MAX(0,MIN(1,R$6*1-Inputs!$B$58+1))/1</f>
        <v>4</v>
      </c>
      <c r="S118" s="119" t="n">
        <f aca="false">Inputs!$B$55*(1+Inputs!$B$57)^(S$7-1)*MAX(0,MIN(1,S$6*1-Inputs!$B$58+1))/1</f>
        <v>4</v>
      </c>
      <c r="T118" s="119" t="n">
        <f aca="false">Inputs!$B$55*(1+Inputs!$B$57)^(T$7-1)*MAX(0,MIN(1,T$6*1-Inputs!$B$58+1))/1</f>
        <v>4</v>
      </c>
      <c r="U118" s="119" t="n">
        <f aca="false">Inputs!$B$55*(1+Inputs!$B$57)^(U$7-1)*MAX(0,MIN(1,U$6*1-Inputs!$B$58+1))/1</f>
        <v>4</v>
      </c>
      <c r="V118" s="119" t="n">
        <f aca="false">Inputs!$B$55*(1+Inputs!$B$57)^(V$7-1)*MAX(0,MIN(1,V$6*1-Inputs!$B$58+1))/1</f>
        <v>4</v>
      </c>
      <c r="W118" s="119" t="n">
        <f aca="false">Inputs!$B$55*(1+Inputs!$B$57)^(W$7-1)*MAX(0,MIN(1,W$6*1-Inputs!$B$58+1))/1</f>
        <v>4</v>
      </c>
      <c r="X118" s="119" t="n">
        <f aca="false">Inputs!$B$55*(1+Inputs!$B$57)^(X$7-1)*MAX(0,MIN(1,X$6*1-Inputs!$B$58+1))/1</f>
        <v>4</v>
      </c>
      <c r="Y118" s="119" t="n">
        <f aca="false">Inputs!$B$55*(1+Inputs!$B$57)^(Y$7-1)*MAX(0,MIN(1,Y$6*1-Inputs!$B$58+1))/1</f>
        <v>4</v>
      </c>
      <c r="Z118" s="119" t="n">
        <f aca="false">Inputs!$B$55*(1+Inputs!$B$57)^(Z$7-1)*MAX(0,MIN(1,Z$6*1-Inputs!$B$58+1))/1</f>
        <v>4</v>
      </c>
      <c r="AA118" s="119" t="n">
        <f aca="false">Inputs!$B$55*(1+Inputs!$B$57)^(AA$7-1)*MAX(0,MIN(1,AA$6*1-Inputs!$B$58+1))/1</f>
        <v>4</v>
      </c>
      <c r="AB118" s="119" t="n">
        <f aca="false">Inputs!$B$55*(1+Inputs!$B$57)^(AB$7-1)*MAX(0,MIN(1,AB$6*1-Inputs!$B$58+1))/1</f>
        <v>4</v>
      </c>
      <c r="AC118" s="119" t="n">
        <f aca="false">Inputs!$B$55*(1+Inputs!$B$57)^(AC$7-1)*MAX(0,MIN(1,AC$6*1-Inputs!$B$58+1))/1</f>
        <v>4</v>
      </c>
      <c r="AD118" s="119" t="n">
        <f aca="false">Inputs!$B$55*(1+Inputs!$B$57)^(AD$7-1)*MAX(0,MIN(1,AD$6*1-Inputs!$B$58+1))/1</f>
        <v>4</v>
      </c>
      <c r="AE118" s="119" t="n">
        <f aca="false">Inputs!$B$55*(1+Inputs!$B$57)^(AE$7-1)*MAX(0,MIN(1,AE$6*1-Inputs!$B$58+1))/1</f>
        <v>4</v>
      </c>
      <c r="AF118" s="119" t="n">
        <f aca="false">Inputs!$B$55*(1+Inputs!$B$57)^(AF$7-1)*MAX(0,MIN(1,AF$6*1-Inputs!$B$58+1))/1</f>
        <v>4</v>
      </c>
      <c r="AG118" s="119" t="n">
        <f aca="false">Inputs!$B$55*(1+Inputs!$B$57)^(AG$7-1)*MAX(0,MIN(1,AG$6*1-Inputs!$B$58+1))/1</f>
        <v>4</v>
      </c>
      <c r="AH118" s="119" t="n">
        <f aca="false">Inputs!$B$55*(1+Inputs!$B$57)^(AH$7-1)*MAX(0,MIN(1,AH$6*1-Inputs!$B$58+1))/1</f>
        <v>4</v>
      </c>
      <c r="AI118" s="119" t="n">
        <f aca="false">Inputs!$B$55*(1+Inputs!$B$57)^(AI$7-1)*MAX(0,MIN(1,AI$6*1-Inputs!$B$58+1))/1</f>
        <v>4</v>
      </c>
      <c r="AJ118" s="119" t="n">
        <f aca="false">Inputs!$B$55*(1+Inputs!$B$57)^(AJ$7-1)*MAX(0,MIN(1,AJ$6*1-Inputs!$B$58+1))/1</f>
        <v>4</v>
      </c>
      <c r="AK118" s="119" t="n">
        <f aca="false">Inputs!$B$55*(1+Inputs!$B$57)^(AK$7-1)*MAX(0,MIN(1,AK$6*1-Inputs!$B$58+1))/1</f>
        <v>4</v>
      </c>
      <c r="AL118" s="119" t="n">
        <f aca="false">Inputs!$B$55*(1+Inputs!$B$57)^(AL$7-1)*MAX(0,MIN(1,AL$6*1-Inputs!$B$58+1))/1</f>
        <v>4</v>
      </c>
    </row>
    <row r="119" customFormat="false" ht="15" hidden="false" customHeight="false" outlineLevel="0" collapsed="false">
      <c r="A119" s="6" t="s">
        <v>434</v>
      </c>
      <c r="C119" s="119" t="n">
        <f aca="false">Inputs!$B$59*(1+Inputs!$B$61)^(C$7-1)*MAX(0,MIN(1,C$6*1-Inputs!$B$62+1))/1</f>
        <v>3</v>
      </c>
      <c r="D119" s="119" t="n">
        <f aca="false">Inputs!$B$59*(1+Inputs!$B$61)^(D$7-1)*MAX(0,MIN(1,D$6*1-Inputs!$B$62+1))/1</f>
        <v>3</v>
      </c>
      <c r="E119" s="119" t="n">
        <f aca="false">Inputs!$B$59*(1+Inputs!$B$61)^(E$7-1)*MAX(0,MIN(1,E$6*1-Inputs!$B$62+1))/1</f>
        <v>3</v>
      </c>
      <c r="F119" s="119" t="n">
        <f aca="false">Inputs!$B$59*(1+Inputs!$B$61)^(F$7-1)*MAX(0,MIN(1,F$6*1-Inputs!$B$62+1))/1</f>
        <v>3</v>
      </c>
      <c r="G119" s="119" t="n">
        <f aca="false">Inputs!$B$59*(1+Inputs!$B$61)^(G$7-1)*MAX(0,MIN(1,G$6*1-Inputs!$B$62+1))/1</f>
        <v>3</v>
      </c>
      <c r="H119" s="119" t="n">
        <f aca="false">Inputs!$B$59*(1+Inputs!$B$61)^(H$7-1)*MAX(0,MIN(1,H$6*1-Inputs!$B$62+1))/1</f>
        <v>3</v>
      </c>
      <c r="I119" s="119" t="n">
        <f aca="false">Inputs!$B$59*(1+Inputs!$B$61)^(I$7-1)*MAX(0,MIN(1,I$6*1-Inputs!$B$62+1))/1</f>
        <v>3</v>
      </c>
      <c r="J119" s="119" t="n">
        <f aca="false">Inputs!$B$59*(1+Inputs!$B$61)^(J$7-1)*MAX(0,MIN(1,J$6*1-Inputs!$B$62+1))/1</f>
        <v>3</v>
      </c>
      <c r="K119" s="119" t="n">
        <f aca="false">Inputs!$B$59*(1+Inputs!$B$61)^(K$7-1)*MAX(0,MIN(1,K$6*1-Inputs!$B$62+1))/1</f>
        <v>3</v>
      </c>
      <c r="L119" s="119" t="n">
        <f aca="false">Inputs!$B$59*(1+Inputs!$B$61)^(L$7-1)*MAX(0,MIN(1,L$6*1-Inputs!$B$62+1))/1</f>
        <v>3</v>
      </c>
      <c r="M119" s="119" t="n">
        <f aca="false">Inputs!$B$59*(1+Inputs!$B$61)^(M$7-1)*MAX(0,MIN(1,M$6*1-Inputs!$B$62+1))/1</f>
        <v>3</v>
      </c>
      <c r="N119" s="119" t="n">
        <f aca="false">Inputs!$B$59*(1+Inputs!$B$61)^(N$7-1)*MAX(0,MIN(1,N$6*1-Inputs!$B$62+1))/1</f>
        <v>3</v>
      </c>
      <c r="O119" s="119" t="n">
        <f aca="false">Inputs!$B$59*(1+Inputs!$B$61)^(O$7-1)*MAX(0,MIN(1,O$6*1-Inputs!$B$62+1))/1</f>
        <v>3</v>
      </c>
      <c r="P119" s="119" t="n">
        <f aca="false">Inputs!$B$59*(1+Inputs!$B$61)^(P$7-1)*MAX(0,MIN(1,P$6*1-Inputs!$B$62+1))/1</f>
        <v>3</v>
      </c>
      <c r="Q119" s="119" t="n">
        <f aca="false">Inputs!$B$59*(1+Inputs!$B$61)^(Q$7-1)*MAX(0,MIN(1,Q$6*1-Inputs!$B$62+1))/1</f>
        <v>3</v>
      </c>
      <c r="R119" s="119" t="n">
        <f aca="false">Inputs!$B$59*(1+Inputs!$B$61)^(R$7-1)*MAX(0,MIN(1,R$6*1-Inputs!$B$62+1))/1</f>
        <v>3</v>
      </c>
      <c r="S119" s="119" t="n">
        <f aca="false">Inputs!$B$59*(1+Inputs!$B$61)^(S$7-1)*MAX(0,MIN(1,S$6*1-Inputs!$B$62+1))/1</f>
        <v>3</v>
      </c>
      <c r="T119" s="119" t="n">
        <f aca="false">Inputs!$B$59*(1+Inputs!$B$61)^(T$7-1)*MAX(0,MIN(1,T$6*1-Inputs!$B$62+1))/1</f>
        <v>3</v>
      </c>
      <c r="U119" s="119" t="n">
        <f aca="false">Inputs!$B$59*(1+Inputs!$B$61)^(U$7-1)*MAX(0,MIN(1,U$6*1-Inputs!$B$62+1))/1</f>
        <v>3</v>
      </c>
      <c r="V119" s="119" t="n">
        <f aca="false">Inputs!$B$59*(1+Inputs!$B$61)^(V$7-1)*MAX(0,MIN(1,V$6*1-Inputs!$B$62+1))/1</f>
        <v>3</v>
      </c>
      <c r="W119" s="119" t="n">
        <f aca="false">Inputs!$B$59*(1+Inputs!$B$61)^(W$7-1)*MAX(0,MIN(1,W$6*1-Inputs!$B$62+1))/1</f>
        <v>3</v>
      </c>
      <c r="X119" s="119" t="n">
        <f aca="false">Inputs!$B$59*(1+Inputs!$B$61)^(X$7-1)*MAX(0,MIN(1,X$6*1-Inputs!$B$62+1))/1</f>
        <v>3</v>
      </c>
      <c r="Y119" s="119" t="n">
        <f aca="false">Inputs!$B$59*(1+Inputs!$B$61)^(Y$7-1)*MAX(0,MIN(1,Y$6*1-Inputs!$B$62+1))/1</f>
        <v>3</v>
      </c>
      <c r="Z119" s="119" t="n">
        <f aca="false">Inputs!$B$59*(1+Inputs!$B$61)^(Z$7-1)*MAX(0,MIN(1,Z$6*1-Inputs!$B$62+1))/1</f>
        <v>3</v>
      </c>
      <c r="AA119" s="119" t="n">
        <f aca="false">Inputs!$B$59*(1+Inputs!$B$61)^(AA$7-1)*MAX(0,MIN(1,AA$6*1-Inputs!$B$62+1))/1</f>
        <v>3</v>
      </c>
      <c r="AB119" s="119" t="n">
        <f aca="false">Inputs!$B$59*(1+Inputs!$B$61)^(AB$7-1)*MAX(0,MIN(1,AB$6*1-Inputs!$B$62+1))/1</f>
        <v>3</v>
      </c>
      <c r="AC119" s="119" t="n">
        <f aca="false">Inputs!$B$59*(1+Inputs!$B$61)^(AC$7-1)*MAX(0,MIN(1,AC$6*1-Inputs!$B$62+1))/1</f>
        <v>3</v>
      </c>
      <c r="AD119" s="119" t="n">
        <f aca="false">Inputs!$B$59*(1+Inputs!$B$61)^(AD$7-1)*MAX(0,MIN(1,AD$6*1-Inputs!$B$62+1))/1</f>
        <v>3</v>
      </c>
      <c r="AE119" s="119" t="n">
        <f aca="false">Inputs!$B$59*(1+Inputs!$B$61)^(AE$7-1)*MAX(0,MIN(1,AE$6*1-Inputs!$B$62+1))/1</f>
        <v>3</v>
      </c>
      <c r="AF119" s="119" t="n">
        <f aca="false">Inputs!$B$59*(1+Inputs!$B$61)^(AF$7-1)*MAX(0,MIN(1,AF$6*1-Inputs!$B$62+1))/1</f>
        <v>3</v>
      </c>
      <c r="AG119" s="119" t="n">
        <f aca="false">Inputs!$B$59*(1+Inputs!$B$61)^(AG$7-1)*MAX(0,MIN(1,AG$6*1-Inputs!$B$62+1))/1</f>
        <v>3</v>
      </c>
      <c r="AH119" s="119" t="n">
        <f aca="false">Inputs!$B$59*(1+Inputs!$B$61)^(AH$7-1)*MAX(0,MIN(1,AH$6*1-Inputs!$B$62+1))/1</f>
        <v>3</v>
      </c>
      <c r="AI119" s="119" t="n">
        <f aca="false">Inputs!$B$59*(1+Inputs!$B$61)^(AI$7-1)*MAX(0,MIN(1,AI$6*1-Inputs!$B$62+1))/1</f>
        <v>3</v>
      </c>
      <c r="AJ119" s="119" t="n">
        <f aca="false">Inputs!$B$59*(1+Inputs!$B$61)^(AJ$7-1)*MAX(0,MIN(1,AJ$6*1-Inputs!$B$62+1))/1</f>
        <v>3</v>
      </c>
      <c r="AK119" s="119" t="n">
        <f aca="false">Inputs!$B$59*(1+Inputs!$B$61)^(AK$7-1)*MAX(0,MIN(1,AK$6*1-Inputs!$B$62+1))/1</f>
        <v>3</v>
      </c>
      <c r="AL119" s="119" t="n">
        <f aca="false">Inputs!$B$59*(1+Inputs!$B$61)^(AL$7-1)*MAX(0,MIN(1,AL$6*1-Inputs!$B$62+1))/1</f>
        <v>3</v>
      </c>
    </row>
    <row r="120" customFormat="false" ht="15" hidden="false" customHeight="false" outlineLevel="0" collapsed="false">
      <c r="A120" s="6" t="s">
        <v>435</v>
      </c>
      <c r="C120" s="119" t="n">
        <f aca="false">Inputs!$B$63*(1+Inputs!$B$65)^(C$7-1)*MAX(0,MIN(1,C$6*1-Inputs!$B$66+1))/1</f>
        <v>1</v>
      </c>
      <c r="D120" s="119" t="n">
        <f aca="false">Inputs!$B$63*(1+Inputs!$B$65)^(D$7-1)*MAX(0,MIN(1,D$6*1-Inputs!$B$66+1))/1</f>
        <v>1</v>
      </c>
      <c r="E120" s="119" t="n">
        <f aca="false">Inputs!$B$63*(1+Inputs!$B$65)^(E$7-1)*MAX(0,MIN(1,E$6*1-Inputs!$B$66+1))/1</f>
        <v>1</v>
      </c>
      <c r="F120" s="119" t="n">
        <f aca="false">Inputs!$B$63*(1+Inputs!$B$65)^(F$7-1)*MAX(0,MIN(1,F$6*1-Inputs!$B$66+1))/1</f>
        <v>1</v>
      </c>
      <c r="G120" s="119" t="n">
        <f aca="false">Inputs!$B$63*(1+Inputs!$B$65)^(G$7-1)*MAX(0,MIN(1,G$6*1-Inputs!$B$66+1))/1</f>
        <v>1</v>
      </c>
      <c r="H120" s="119" t="n">
        <f aca="false">Inputs!$B$63*(1+Inputs!$B$65)^(H$7-1)*MAX(0,MIN(1,H$6*1-Inputs!$B$66+1))/1</f>
        <v>1</v>
      </c>
      <c r="I120" s="119" t="n">
        <f aca="false">Inputs!$B$63*(1+Inputs!$B$65)^(I$7-1)*MAX(0,MIN(1,I$6*1-Inputs!$B$66+1))/1</f>
        <v>1</v>
      </c>
      <c r="J120" s="119" t="n">
        <f aca="false">Inputs!$B$63*(1+Inputs!$B$65)^(J$7-1)*MAX(0,MIN(1,J$6*1-Inputs!$B$66+1))/1</f>
        <v>1</v>
      </c>
      <c r="K120" s="119" t="n">
        <f aca="false">Inputs!$B$63*(1+Inputs!$B$65)^(K$7-1)*MAX(0,MIN(1,K$6*1-Inputs!$B$66+1))/1</f>
        <v>1</v>
      </c>
      <c r="L120" s="119" t="n">
        <f aca="false">Inputs!$B$63*(1+Inputs!$B$65)^(L$7-1)*MAX(0,MIN(1,L$6*1-Inputs!$B$66+1))/1</f>
        <v>1</v>
      </c>
      <c r="M120" s="119" t="n">
        <f aca="false">Inputs!$B$63*(1+Inputs!$B$65)^(M$7-1)*MAX(0,MIN(1,M$6*1-Inputs!$B$66+1))/1</f>
        <v>1</v>
      </c>
      <c r="N120" s="119" t="n">
        <f aca="false">Inputs!$B$63*(1+Inputs!$B$65)^(N$7-1)*MAX(0,MIN(1,N$6*1-Inputs!$B$66+1))/1</f>
        <v>1</v>
      </c>
      <c r="O120" s="119" t="n">
        <f aca="false">Inputs!$B$63*(1+Inputs!$B$65)^(O$7-1)*MAX(0,MIN(1,O$6*1-Inputs!$B$66+1))/1</f>
        <v>1</v>
      </c>
      <c r="P120" s="119" t="n">
        <f aca="false">Inputs!$B$63*(1+Inputs!$B$65)^(P$7-1)*MAX(0,MIN(1,P$6*1-Inputs!$B$66+1))/1</f>
        <v>1</v>
      </c>
      <c r="Q120" s="119" t="n">
        <f aca="false">Inputs!$B$63*(1+Inputs!$B$65)^(Q$7-1)*MAX(0,MIN(1,Q$6*1-Inputs!$B$66+1))/1</f>
        <v>1</v>
      </c>
      <c r="R120" s="119" t="n">
        <f aca="false">Inputs!$B$63*(1+Inputs!$B$65)^(R$7-1)*MAX(0,MIN(1,R$6*1-Inputs!$B$66+1))/1</f>
        <v>1</v>
      </c>
      <c r="S120" s="119" t="n">
        <f aca="false">Inputs!$B$63*(1+Inputs!$B$65)^(S$7-1)*MAX(0,MIN(1,S$6*1-Inputs!$B$66+1))/1</f>
        <v>1</v>
      </c>
      <c r="T120" s="119" t="n">
        <f aca="false">Inputs!$B$63*(1+Inputs!$B$65)^(T$7-1)*MAX(0,MIN(1,T$6*1-Inputs!$B$66+1))/1</f>
        <v>1</v>
      </c>
      <c r="U120" s="119" t="n">
        <f aca="false">Inputs!$B$63*(1+Inputs!$B$65)^(U$7-1)*MAX(0,MIN(1,U$6*1-Inputs!$B$66+1))/1</f>
        <v>1</v>
      </c>
      <c r="V120" s="119" t="n">
        <f aca="false">Inputs!$B$63*(1+Inputs!$B$65)^(V$7-1)*MAX(0,MIN(1,V$6*1-Inputs!$B$66+1))/1</f>
        <v>1</v>
      </c>
      <c r="W120" s="119" t="n">
        <f aca="false">Inputs!$B$63*(1+Inputs!$B$65)^(W$7-1)*MAX(0,MIN(1,W$6*1-Inputs!$B$66+1))/1</f>
        <v>1</v>
      </c>
      <c r="X120" s="119" t="n">
        <f aca="false">Inputs!$B$63*(1+Inputs!$B$65)^(X$7-1)*MAX(0,MIN(1,X$6*1-Inputs!$B$66+1))/1</f>
        <v>1</v>
      </c>
      <c r="Y120" s="119" t="n">
        <f aca="false">Inputs!$B$63*(1+Inputs!$B$65)^(Y$7-1)*MAX(0,MIN(1,Y$6*1-Inputs!$B$66+1))/1</f>
        <v>1</v>
      </c>
      <c r="Z120" s="119" t="n">
        <f aca="false">Inputs!$B$63*(1+Inputs!$B$65)^(Z$7-1)*MAX(0,MIN(1,Z$6*1-Inputs!$B$66+1))/1</f>
        <v>1</v>
      </c>
      <c r="AA120" s="119" t="n">
        <f aca="false">Inputs!$B$63*(1+Inputs!$B$65)^(AA$7-1)*MAX(0,MIN(1,AA$6*1-Inputs!$B$66+1))/1</f>
        <v>1</v>
      </c>
      <c r="AB120" s="119" t="n">
        <f aca="false">Inputs!$B$63*(1+Inputs!$B$65)^(AB$7-1)*MAX(0,MIN(1,AB$6*1-Inputs!$B$66+1))/1</f>
        <v>1</v>
      </c>
      <c r="AC120" s="119" t="n">
        <f aca="false">Inputs!$B$63*(1+Inputs!$B$65)^(AC$7-1)*MAX(0,MIN(1,AC$6*1-Inputs!$B$66+1))/1</f>
        <v>1</v>
      </c>
      <c r="AD120" s="119" t="n">
        <f aca="false">Inputs!$B$63*(1+Inputs!$B$65)^(AD$7-1)*MAX(0,MIN(1,AD$6*1-Inputs!$B$66+1))/1</f>
        <v>1</v>
      </c>
      <c r="AE120" s="119" t="n">
        <f aca="false">Inputs!$B$63*(1+Inputs!$B$65)^(AE$7-1)*MAX(0,MIN(1,AE$6*1-Inputs!$B$66+1))/1</f>
        <v>1</v>
      </c>
      <c r="AF120" s="119" t="n">
        <f aca="false">Inputs!$B$63*(1+Inputs!$B$65)^(AF$7-1)*MAX(0,MIN(1,AF$6*1-Inputs!$B$66+1))/1</f>
        <v>1</v>
      </c>
      <c r="AG120" s="119" t="n">
        <f aca="false">Inputs!$B$63*(1+Inputs!$B$65)^(AG$7-1)*MAX(0,MIN(1,AG$6*1-Inputs!$B$66+1))/1</f>
        <v>1</v>
      </c>
      <c r="AH120" s="119" t="n">
        <f aca="false">Inputs!$B$63*(1+Inputs!$B$65)^(AH$7-1)*MAX(0,MIN(1,AH$6*1-Inputs!$B$66+1))/1</f>
        <v>1</v>
      </c>
      <c r="AI120" s="119" t="n">
        <f aca="false">Inputs!$B$63*(1+Inputs!$B$65)^(AI$7-1)*MAX(0,MIN(1,AI$6*1-Inputs!$B$66+1))/1</f>
        <v>1</v>
      </c>
      <c r="AJ120" s="119" t="n">
        <f aca="false">Inputs!$B$63*(1+Inputs!$B$65)^(AJ$7-1)*MAX(0,MIN(1,AJ$6*1-Inputs!$B$66+1))/1</f>
        <v>1</v>
      </c>
      <c r="AK120" s="119" t="n">
        <f aca="false">Inputs!$B$63*(1+Inputs!$B$65)^(AK$7-1)*MAX(0,MIN(1,AK$6*1-Inputs!$B$66+1))/1</f>
        <v>1</v>
      </c>
      <c r="AL120" s="119" t="n">
        <f aca="false">Inputs!$B$63*(1+Inputs!$B$65)^(AL$7-1)*MAX(0,MIN(1,AL$6*1-Inputs!$B$66+1))/1</f>
        <v>1</v>
      </c>
    </row>
    <row r="121" customFormat="false" ht="15" hidden="false" customHeight="false" outlineLevel="0" collapsed="false">
      <c r="A121" s="115" t="s">
        <v>436</v>
      </c>
      <c r="C121" s="124" t="n">
        <f aca="false">C118+C119+C120</f>
        <v>8</v>
      </c>
      <c r="D121" s="124" t="n">
        <f aca="false">D118+D119+D120</f>
        <v>8</v>
      </c>
      <c r="E121" s="124" t="n">
        <f aca="false">E118+E119+E120</f>
        <v>8</v>
      </c>
      <c r="F121" s="124" t="n">
        <f aca="false">F118+F119+F120</f>
        <v>8</v>
      </c>
      <c r="G121" s="124" t="n">
        <f aca="false">G118+G119+G120</f>
        <v>8</v>
      </c>
      <c r="H121" s="124" t="n">
        <f aca="false">H118+H119+H120</f>
        <v>8</v>
      </c>
      <c r="I121" s="124" t="n">
        <f aca="false">I118+I119+I120</f>
        <v>8</v>
      </c>
      <c r="J121" s="124" t="n">
        <f aca="false">J118+J119+J120</f>
        <v>8</v>
      </c>
      <c r="K121" s="124" t="n">
        <f aca="false">K118+K119+K120</f>
        <v>8</v>
      </c>
      <c r="L121" s="124" t="n">
        <f aca="false">L118+L119+L120</f>
        <v>8</v>
      </c>
      <c r="M121" s="124" t="n">
        <f aca="false">M118+M119+M120</f>
        <v>8</v>
      </c>
      <c r="N121" s="124" t="n">
        <f aca="false">N118+N119+N120</f>
        <v>8</v>
      </c>
      <c r="O121" s="124" t="n">
        <f aca="false">O118+O119+O120</f>
        <v>8</v>
      </c>
      <c r="P121" s="124" t="n">
        <f aca="false">P118+P119+P120</f>
        <v>8</v>
      </c>
      <c r="Q121" s="124" t="n">
        <f aca="false">Q118+Q119+Q120</f>
        <v>8</v>
      </c>
      <c r="R121" s="124" t="n">
        <f aca="false">R118+R119+R120</f>
        <v>8</v>
      </c>
      <c r="S121" s="124" t="n">
        <f aca="false">S118+S119+S120</f>
        <v>8</v>
      </c>
      <c r="T121" s="124" t="n">
        <f aca="false">T118+T119+T120</f>
        <v>8</v>
      </c>
      <c r="U121" s="124" t="n">
        <f aca="false">U118+U119+U120</f>
        <v>8</v>
      </c>
      <c r="V121" s="124" t="n">
        <f aca="false">V118+V119+V120</f>
        <v>8</v>
      </c>
      <c r="W121" s="124" t="n">
        <f aca="false">W118+W119+W120</f>
        <v>8</v>
      </c>
      <c r="X121" s="124" t="n">
        <f aca="false">X118+X119+X120</f>
        <v>8</v>
      </c>
      <c r="Y121" s="124" t="n">
        <f aca="false">Y118+Y119+Y120</f>
        <v>8</v>
      </c>
      <c r="Z121" s="124" t="n">
        <f aca="false">Z118+Z119+Z120</f>
        <v>8</v>
      </c>
      <c r="AA121" s="124" t="n">
        <f aca="false">AA118+AA119+AA120</f>
        <v>8</v>
      </c>
      <c r="AB121" s="124" t="n">
        <f aca="false">AB118+AB119+AB120</f>
        <v>8</v>
      </c>
      <c r="AC121" s="124" t="n">
        <f aca="false">AC118+AC119+AC120</f>
        <v>8</v>
      </c>
      <c r="AD121" s="124" t="n">
        <f aca="false">AD118+AD119+AD120</f>
        <v>8</v>
      </c>
      <c r="AE121" s="124" t="n">
        <f aca="false">AE118+AE119+AE120</f>
        <v>8</v>
      </c>
      <c r="AF121" s="124" t="n">
        <f aca="false">AF118+AF119+AF120</f>
        <v>8</v>
      </c>
      <c r="AG121" s="124" t="n">
        <f aca="false">AG118+AG119+AG120</f>
        <v>8</v>
      </c>
      <c r="AH121" s="124" t="n">
        <f aca="false">AH118+AH119+AH120</f>
        <v>8</v>
      </c>
      <c r="AI121" s="124" t="n">
        <f aca="false">AI118+AI119+AI120</f>
        <v>8</v>
      </c>
      <c r="AJ121" s="124" t="n">
        <f aca="false">AJ118+AJ119+AJ120</f>
        <v>8</v>
      </c>
      <c r="AK121" s="124" t="n">
        <f aca="false">AK118+AK119+AK120</f>
        <v>8</v>
      </c>
      <c r="AL121" s="124" t="n">
        <f aca="false">AL118+AL119+AL120</f>
        <v>8</v>
      </c>
    </row>
    <row r="123" customFormat="false" ht="15.75" hidden="false" customHeight="true" outlineLevel="0" collapsed="false">
      <c r="A123" s="7" t="s">
        <v>437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customFormat="false" ht="15" hidden="false" customHeight="false" outlineLevel="0" collapsed="false">
      <c r="A124" s="6" t="s">
        <v>438</v>
      </c>
      <c r="C124" s="69" t="n">
        <f aca="false">-C118*Inputs!$B$56/12*1*(1+Inputs!$B$67)*(1+Inputs!$B$68)^(C$7-1)</f>
        <v>-3833.33333333333</v>
      </c>
      <c r="D124" s="69" t="n">
        <f aca="false">-D118*Inputs!$B$56/12*1*(1+Inputs!$B$67)*(1+Inputs!$B$68)^(D$7-1)</f>
        <v>-3833.33333333333</v>
      </c>
      <c r="E124" s="69" t="n">
        <f aca="false">-E118*Inputs!$B$56/12*1*(1+Inputs!$B$67)*(1+Inputs!$B$68)^(E$7-1)</f>
        <v>-3833.33333333333</v>
      </c>
      <c r="F124" s="69" t="n">
        <f aca="false">-F118*Inputs!$B$56/12*1*(1+Inputs!$B$67)*(1+Inputs!$B$68)^(F$7-1)</f>
        <v>-3833.33333333333</v>
      </c>
      <c r="G124" s="69" t="n">
        <f aca="false">-G118*Inputs!$B$56/12*1*(1+Inputs!$B$67)*(1+Inputs!$B$68)^(G$7-1)</f>
        <v>-3833.33333333333</v>
      </c>
      <c r="H124" s="69" t="n">
        <f aca="false">-H118*Inputs!$B$56/12*1*(1+Inputs!$B$67)*(1+Inputs!$B$68)^(H$7-1)</f>
        <v>-3833.33333333333</v>
      </c>
      <c r="I124" s="69" t="n">
        <f aca="false">-I118*Inputs!$B$56/12*1*(1+Inputs!$B$67)*(1+Inputs!$B$68)^(I$7-1)</f>
        <v>-3833.33333333333</v>
      </c>
      <c r="J124" s="69" t="n">
        <f aca="false">-J118*Inputs!$B$56/12*1*(1+Inputs!$B$67)*(1+Inputs!$B$68)^(J$7-1)</f>
        <v>-3833.33333333333</v>
      </c>
      <c r="K124" s="69" t="n">
        <f aca="false">-K118*Inputs!$B$56/12*1*(1+Inputs!$B$67)*(1+Inputs!$B$68)^(K$7-1)</f>
        <v>-3833.33333333333</v>
      </c>
      <c r="L124" s="69" t="n">
        <f aca="false">-L118*Inputs!$B$56/12*1*(1+Inputs!$B$67)*(1+Inputs!$B$68)^(L$7-1)</f>
        <v>-3833.33333333333</v>
      </c>
      <c r="M124" s="69" t="n">
        <f aca="false">-M118*Inputs!$B$56/12*1*(1+Inputs!$B$67)*(1+Inputs!$B$68)^(M$7-1)</f>
        <v>-3833.33333333333</v>
      </c>
      <c r="N124" s="69" t="n">
        <f aca="false">-N118*Inputs!$B$56/12*1*(1+Inputs!$B$67)*(1+Inputs!$B$68)^(N$7-1)</f>
        <v>-3833.33333333333</v>
      </c>
      <c r="O124" s="69" t="n">
        <f aca="false">-O118*Inputs!$B$56/12*1*(1+Inputs!$B$67)*(1+Inputs!$B$68)^(O$7-1)</f>
        <v>-3986.66666666667</v>
      </c>
      <c r="P124" s="69" t="n">
        <f aca="false">-P118*Inputs!$B$56/12*1*(1+Inputs!$B$67)*(1+Inputs!$B$68)^(P$7-1)</f>
        <v>-3986.66666666667</v>
      </c>
      <c r="Q124" s="69" t="n">
        <f aca="false">-Q118*Inputs!$B$56/12*1*(1+Inputs!$B$67)*(1+Inputs!$B$68)^(Q$7-1)</f>
        <v>-3986.66666666667</v>
      </c>
      <c r="R124" s="69" t="n">
        <f aca="false">-R118*Inputs!$B$56/12*1*(1+Inputs!$B$67)*(1+Inputs!$B$68)^(R$7-1)</f>
        <v>-3986.66666666667</v>
      </c>
      <c r="S124" s="69" t="n">
        <f aca="false">-S118*Inputs!$B$56/12*1*(1+Inputs!$B$67)*(1+Inputs!$B$68)^(S$7-1)</f>
        <v>-3986.66666666667</v>
      </c>
      <c r="T124" s="69" t="n">
        <f aca="false">-T118*Inputs!$B$56/12*1*(1+Inputs!$B$67)*(1+Inputs!$B$68)^(T$7-1)</f>
        <v>-3986.66666666667</v>
      </c>
      <c r="U124" s="69" t="n">
        <f aca="false">-U118*Inputs!$B$56/12*1*(1+Inputs!$B$67)*(1+Inputs!$B$68)^(U$7-1)</f>
        <v>-3986.66666666667</v>
      </c>
      <c r="V124" s="69" t="n">
        <f aca="false">-V118*Inputs!$B$56/12*1*(1+Inputs!$B$67)*(1+Inputs!$B$68)^(V$7-1)</f>
        <v>-3986.66666666667</v>
      </c>
      <c r="W124" s="69" t="n">
        <f aca="false">-W118*Inputs!$B$56/12*1*(1+Inputs!$B$67)*(1+Inputs!$B$68)^(W$7-1)</f>
        <v>-3986.66666666667</v>
      </c>
      <c r="X124" s="69" t="n">
        <f aca="false">-X118*Inputs!$B$56/12*1*(1+Inputs!$B$67)*(1+Inputs!$B$68)^(X$7-1)</f>
        <v>-3986.66666666667</v>
      </c>
      <c r="Y124" s="69" t="n">
        <f aca="false">-Y118*Inputs!$B$56/12*1*(1+Inputs!$B$67)*(1+Inputs!$B$68)^(Y$7-1)</f>
        <v>-3986.66666666667</v>
      </c>
      <c r="Z124" s="69" t="n">
        <f aca="false">-Z118*Inputs!$B$56/12*1*(1+Inputs!$B$67)*(1+Inputs!$B$68)^(Z$7-1)</f>
        <v>-3986.66666666667</v>
      </c>
      <c r="AA124" s="69" t="n">
        <f aca="false">-AA118*Inputs!$B$56/12*1*(1+Inputs!$B$67)*(1+Inputs!$B$68)^(AA$7-1)</f>
        <v>-4146.13333333333</v>
      </c>
      <c r="AB124" s="69" t="n">
        <f aca="false">-AB118*Inputs!$B$56/12*1*(1+Inputs!$B$67)*(1+Inputs!$B$68)^(AB$7-1)</f>
        <v>-4146.13333333333</v>
      </c>
      <c r="AC124" s="69" t="n">
        <f aca="false">-AC118*Inputs!$B$56/12*1*(1+Inputs!$B$67)*(1+Inputs!$B$68)^(AC$7-1)</f>
        <v>-4146.13333333333</v>
      </c>
      <c r="AD124" s="69" t="n">
        <f aca="false">-AD118*Inputs!$B$56/12*1*(1+Inputs!$B$67)*(1+Inputs!$B$68)^(AD$7-1)</f>
        <v>-4146.13333333333</v>
      </c>
      <c r="AE124" s="69" t="n">
        <f aca="false">-AE118*Inputs!$B$56/12*1*(1+Inputs!$B$67)*(1+Inputs!$B$68)^(AE$7-1)</f>
        <v>-4146.13333333333</v>
      </c>
      <c r="AF124" s="69" t="n">
        <f aca="false">-AF118*Inputs!$B$56/12*1*(1+Inputs!$B$67)*(1+Inputs!$B$68)^(AF$7-1)</f>
        <v>-4146.13333333333</v>
      </c>
      <c r="AG124" s="69" t="n">
        <f aca="false">-AG118*Inputs!$B$56/12*1*(1+Inputs!$B$67)*(1+Inputs!$B$68)^(AG$7-1)</f>
        <v>-4146.13333333333</v>
      </c>
      <c r="AH124" s="69" t="n">
        <f aca="false">-AH118*Inputs!$B$56/12*1*(1+Inputs!$B$67)*(1+Inputs!$B$68)^(AH$7-1)</f>
        <v>-4146.13333333333</v>
      </c>
      <c r="AI124" s="69" t="n">
        <f aca="false">-AI118*Inputs!$B$56/12*1*(1+Inputs!$B$67)*(1+Inputs!$B$68)^(AI$7-1)</f>
        <v>-4146.13333333333</v>
      </c>
      <c r="AJ124" s="69" t="n">
        <f aca="false">-AJ118*Inputs!$B$56/12*1*(1+Inputs!$B$67)*(1+Inputs!$B$68)^(AJ$7-1)</f>
        <v>-4146.13333333333</v>
      </c>
      <c r="AK124" s="69" t="n">
        <f aca="false">-AK118*Inputs!$B$56/12*1*(1+Inputs!$B$67)*(1+Inputs!$B$68)^(AK$7-1)</f>
        <v>-4146.13333333333</v>
      </c>
      <c r="AL124" s="69" t="n">
        <f aca="false">-AL118*Inputs!$B$56/12*1*(1+Inputs!$B$67)*(1+Inputs!$B$68)^(AL$7-1)</f>
        <v>-4146.13333333333</v>
      </c>
    </row>
    <row r="125" customFormat="false" ht="15" hidden="false" customHeight="false" outlineLevel="0" collapsed="false">
      <c r="A125" s="6" t="s">
        <v>439</v>
      </c>
      <c r="C125" s="69" t="n">
        <f aca="false">-C119*Inputs!$B$60/12*1*(1+Inputs!$B$67)*(1+Inputs!$B$68)^(C$7-1)</f>
        <v>-9487.5</v>
      </c>
      <c r="D125" s="69" t="n">
        <f aca="false">-D119*Inputs!$B$60/12*1*(1+Inputs!$B$67)*(1+Inputs!$B$68)^(D$7-1)</f>
        <v>-9487.5</v>
      </c>
      <c r="E125" s="69" t="n">
        <f aca="false">-E119*Inputs!$B$60/12*1*(1+Inputs!$B$67)*(1+Inputs!$B$68)^(E$7-1)</f>
        <v>-9487.5</v>
      </c>
      <c r="F125" s="69" t="n">
        <f aca="false">-F119*Inputs!$B$60/12*1*(1+Inputs!$B$67)*(1+Inputs!$B$68)^(F$7-1)</f>
        <v>-9487.5</v>
      </c>
      <c r="G125" s="69" t="n">
        <f aca="false">-G119*Inputs!$B$60/12*1*(1+Inputs!$B$67)*(1+Inputs!$B$68)^(G$7-1)</f>
        <v>-9487.5</v>
      </c>
      <c r="H125" s="69" t="n">
        <f aca="false">-H119*Inputs!$B$60/12*1*(1+Inputs!$B$67)*(1+Inputs!$B$68)^(H$7-1)</f>
        <v>-9487.5</v>
      </c>
      <c r="I125" s="69" t="n">
        <f aca="false">-I119*Inputs!$B$60/12*1*(1+Inputs!$B$67)*(1+Inputs!$B$68)^(I$7-1)</f>
        <v>-9487.5</v>
      </c>
      <c r="J125" s="69" t="n">
        <f aca="false">-J119*Inputs!$B$60/12*1*(1+Inputs!$B$67)*(1+Inputs!$B$68)^(J$7-1)</f>
        <v>-9487.5</v>
      </c>
      <c r="K125" s="69" t="n">
        <f aca="false">-K119*Inputs!$B$60/12*1*(1+Inputs!$B$67)*(1+Inputs!$B$68)^(K$7-1)</f>
        <v>-9487.5</v>
      </c>
      <c r="L125" s="69" t="n">
        <f aca="false">-L119*Inputs!$B$60/12*1*(1+Inputs!$B$67)*(1+Inputs!$B$68)^(L$7-1)</f>
        <v>-9487.5</v>
      </c>
      <c r="M125" s="69" t="n">
        <f aca="false">-M119*Inputs!$B$60/12*1*(1+Inputs!$B$67)*(1+Inputs!$B$68)^(M$7-1)</f>
        <v>-9487.5</v>
      </c>
      <c r="N125" s="69" t="n">
        <f aca="false">-N119*Inputs!$B$60/12*1*(1+Inputs!$B$67)*(1+Inputs!$B$68)^(N$7-1)</f>
        <v>-9487.5</v>
      </c>
      <c r="O125" s="69" t="n">
        <f aca="false">-O119*Inputs!$B$60/12*1*(1+Inputs!$B$67)*(1+Inputs!$B$68)^(O$7-1)</f>
        <v>-9867</v>
      </c>
      <c r="P125" s="69" t="n">
        <f aca="false">-P119*Inputs!$B$60/12*1*(1+Inputs!$B$67)*(1+Inputs!$B$68)^(P$7-1)</f>
        <v>-9867</v>
      </c>
      <c r="Q125" s="69" t="n">
        <f aca="false">-Q119*Inputs!$B$60/12*1*(1+Inputs!$B$67)*(1+Inputs!$B$68)^(Q$7-1)</f>
        <v>-9867</v>
      </c>
      <c r="R125" s="69" t="n">
        <f aca="false">-R119*Inputs!$B$60/12*1*(1+Inputs!$B$67)*(1+Inputs!$B$68)^(R$7-1)</f>
        <v>-9867</v>
      </c>
      <c r="S125" s="69" t="n">
        <f aca="false">-S119*Inputs!$B$60/12*1*(1+Inputs!$B$67)*(1+Inputs!$B$68)^(S$7-1)</f>
        <v>-9867</v>
      </c>
      <c r="T125" s="69" t="n">
        <f aca="false">-T119*Inputs!$B$60/12*1*(1+Inputs!$B$67)*(1+Inputs!$B$68)^(T$7-1)</f>
        <v>-9867</v>
      </c>
      <c r="U125" s="69" t="n">
        <f aca="false">-U119*Inputs!$B$60/12*1*(1+Inputs!$B$67)*(1+Inputs!$B$68)^(U$7-1)</f>
        <v>-9867</v>
      </c>
      <c r="V125" s="69" t="n">
        <f aca="false">-V119*Inputs!$B$60/12*1*(1+Inputs!$B$67)*(1+Inputs!$B$68)^(V$7-1)</f>
        <v>-9867</v>
      </c>
      <c r="W125" s="69" t="n">
        <f aca="false">-W119*Inputs!$B$60/12*1*(1+Inputs!$B$67)*(1+Inputs!$B$68)^(W$7-1)</f>
        <v>-9867</v>
      </c>
      <c r="X125" s="69" t="n">
        <f aca="false">-X119*Inputs!$B$60/12*1*(1+Inputs!$B$67)*(1+Inputs!$B$68)^(X$7-1)</f>
        <v>-9867</v>
      </c>
      <c r="Y125" s="69" t="n">
        <f aca="false">-Y119*Inputs!$B$60/12*1*(1+Inputs!$B$67)*(1+Inputs!$B$68)^(Y$7-1)</f>
        <v>-9867</v>
      </c>
      <c r="Z125" s="69" t="n">
        <f aca="false">-Z119*Inputs!$B$60/12*1*(1+Inputs!$B$67)*(1+Inputs!$B$68)^(Z$7-1)</f>
        <v>-9867</v>
      </c>
      <c r="AA125" s="69" t="n">
        <f aca="false">-AA119*Inputs!$B$60/12*1*(1+Inputs!$B$67)*(1+Inputs!$B$68)^(AA$7-1)</f>
        <v>-10261.68</v>
      </c>
      <c r="AB125" s="69" t="n">
        <f aca="false">-AB119*Inputs!$B$60/12*1*(1+Inputs!$B$67)*(1+Inputs!$B$68)^(AB$7-1)</f>
        <v>-10261.68</v>
      </c>
      <c r="AC125" s="69" t="n">
        <f aca="false">-AC119*Inputs!$B$60/12*1*(1+Inputs!$B$67)*(1+Inputs!$B$68)^(AC$7-1)</f>
        <v>-10261.68</v>
      </c>
      <c r="AD125" s="69" t="n">
        <f aca="false">-AD119*Inputs!$B$60/12*1*(1+Inputs!$B$67)*(1+Inputs!$B$68)^(AD$7-1)</f>
        <v>-10261.68</v>
      </c>
      <c r="AE125" s="69" t="n">
        <f aca="false">-AE119*Inputs!$B$60/12*1*(1+Inputs!$B$67)*(1+Inputs!$B$68)^(AE$7-1)</f>
        <v>-10261.68</v>
      </c>
      <c r="AF125" s="69" t="n">
        <f aca="false">-AF119*Inputs!$B$60/12*1*(1+Inputs!$B$67)*(1+Inputs!$B$68)^(AF$7-1)</f>
        <v>-10261.68</v>
      </c>
      <c r="AG125" s="69" t="n">
        <f aca="false">-AG119*Inputs!$B$60/12*1*(1+Inputs!$B$67)*(1+Inputs!$B$68)^(AG$7-1)</f>
        <v>-10261.68</v>
      </c>
      <c r="AH125" s="69" t="n">
        <f aca="false">-AH119*Inputs!$B$60/12*1*(1+Inputs!$B$67)*(1+Inputs!$B$68)^(AH$7-1)</f>
        <v>-10261.68</v>
      </c>
      <c r="AI125" s="69" t="n">
        <f aca="false">-AI119*Inputs!$B$60/12*1*(1+Inputs!$B$67)*(1+Inputs!$B$68)^(AI$7-1)</f>
        <v>-10261.68</v>
      </c>
      <c r="AJ125" s="69" t="n">
        <f aca="false">-AJ119*Inputs!$B$60/12*1*(1+Inputs!$B$67)*(1+Inputs!$B$68)^(AJ$7-1)</f>
        <v>-10261.68</v>
      </c>
      <c r="AK125" s="69" t="n">
        <f aca="false">-AK119*Inputs!$B$60/12*1*(1+Inputs!$B$67)*(1+Inputs!$B$68)^(AK$7-1)</f>
        <v>-10261.68</v>
      </c>
      <c r="AL125" s="69" t="n">
        <f aca="false">-AL119*Inputs!$B$60/12*1*(1+Inputs!$B$67)*(1+Inputs!$B$68)^(AL$7-1)</f>
        <v>-10261.68</v>
      </c>
    </row>
    <row r="126" customFormat="false" ht="15" hidden="false" customHeight="false" outlineLevel="0" collapsed="false">
      <c r="A126" s="6" t="s">
        <v>440</v>
      </c>
      <c r="C126" s="69" t="n">
        <f aca="false">-C120*Inputs!$B$64/12*1*(1+Inputs!$B$67)*(1+Inputs!$B$68)^(C$7-1)</f>
        <v>-5750</v>
      </c>
      <c r="D126" s="69" t="n">
        <f aca="false">-D120*Inputs!$B$64/12*1*(1+Inputs!$B$67)*(1+Inputs!$B$68)^(D$7-1)</f>
        <v>-5750</v>
      </c>
      <c r="E126" s="69" t="n">
        <f aca="false">-E120*Inputs!$B$64/12*1*(1+Inputs!$B$67)*(1+Inputs!$B$68)^(E$7-1)</f>
        <v>-5750</v>
      </c>
      <c r="F126" s="69" t="n">
        <f aca="false">-F120*Inputs!$B$64/12*1*(1+Inputs!$B$67)*(1+Inputs!$B$68)^(F$7-1)</f>
        <v>-5750</v>
      </c>
      <c r="G126" s="69" t="n">
        <f aca="false">-G120*Inputs!$B$64/12*1*(1+Inputs!$B$67)*(1+Inputs!$B$68)^(G$7-1)</f>
        <v>-5750</v>
      </c>
      <c r="H126" s="69" t="n">
        <f aca="false">-H120*Inputs!$B$64/12*1*(1+Inputs!$B$67)*(1+Inputs!$B$68)^(H$7-1)</f>
        <v>-5750</v>
      </c>
      <c r="I126" s="69" t="n">
        <f aca="false">-I120*Inputs!$B$64/12*1*(1+Inputs!$B$67)*(1+Inputs!$B$68)^(I$7-1)</f>
        <v>-5750</v>
      </c>
      <c r="J126" s="69" t="n">
        <f aca="false">-J120*Inputs!$B$64/12*1*(1+Inputs!$B$67)*(1+Inputs!$B$68)^(J$7-1)</f>
        <v>-5750</v>
      </c>
      <c r="K126" s="69" t="n">
        <f aca="false">-K120*Inputs!$B$64/12*1*(1+Inputs!$B$67)*(1+Inputs!$B$68)^(K$7-1)</f>
        <v>-5750</v>
      </c>
      <c r="L126" s="69" t="n">
        <f aca="false">-L120*Inputs!$B$64/12*1*(1+Inputs!$B$67)*(1+Inputs!$B$68)^(L$7-1)</f>
        <v>-5750</v>
      </c>
      <c r="M126" s="69" t="n">
        <f aca="false">-M120*Inputs!$B$64/12*1*(1+Inputs!$B$67)*(1+Inputs!$B$68)^(M$7-1)</f>
        <v>-5750</v>
      </c>
      <c r="N126" s="69" t="n">
        <f aca="false">-N120*Inputs!$B$64/12*1*(1+Inputs!$B$67)*(1+Inputs!$B$68)^(N$7-1)</f>
        <v>-5750</v>
      </c>
      <c r="O126" s="69" t="n">
        <f aca="false">-O120*Inputs!$B$64/12*1*(1+Inputs!$B$67)*(1+Inputs!$B$68)^(O$7-1)</f>
        <v>-5980</v>
      </c>
      <c r="P126" s="69" t="n">
        <f aca="false">-P120*Inputs!$B$64/12*1*(1+Inputs!$B$67)*(1+Inputs!$B$68)^(P$7-1)</f>
        <v>-5980</v>
      </c>
      <c r="Q126" s="69" t="n">
        <f aca="false">-Q120*Inputs!$B$64/12*1*(1+Inputs!$B$67)*(1+Inputs!$B$68)^(Q$7-1)</f>
        <v>-5980</v>
      </c>
      <c r="R126" s="69" t="n">
        <f aca="false">-R120*Inputs!$B$64/12*1*(1+Inputs!$B$67)*(1+Inputs!$B$68)^(R$7-1)</f>
        <v>-5980</v>
      </c>
      <c r="S126" s="69" t="n">
        <f aca="false">-S120*Inputs!$B$64/12*1*(1+Inputs!$B$67)*(1+Inputs!$B$68)^(S$7-1)</f>
        <v>-5980</v>
      </c>
      <c r="T126" s="69" t="n">
        <f aca="false">-T120*Inputs!$B$64/12*1*(1+Inputs!$B$67)*(1+Inputs!$B$68)^(T$7-1)</f>
        <v>-5980</v>
      </c>
      <c r="U126" s="69" t="n">
        <f aca="false">-U120*Inputs!$B$64/12*1*(1+Inputs!$B$67)*(1+Inputs!$B$68)^(U$7-1)</f>
        <v>-5980</v>
      </c>
      <c r="V126" s="69" t="n">
        <f aca="false">-V120*Inputs!$B$64/12*1*(1+Inputs!$B$67)*(1+Inputs!$B$68)^(V$7-1)</f>
        <v>-5980</v>
      </c>
      <c r="W126" s="69" t="n">
        <f aca="false">-W120*Inputs!$B$64/12*1*(1+Inputs!$B$67)*(1+Inputs!$B$68)^(W$7-1)</f>
        <v>-5980</v>
      </c>
      <c r="X126" s="69" t="n">
        <f aca="false">-X120*Inputs!$B$64/12*1*(1+Inputs!$B$67)*(1+Inputs!$B$68)^(X$7-1)</f>
        <v>-5980</v>
      </c>
      <c r="Y126" s="69" t="n">
        <f aca="false">-Y120*Inputs!$B$64/12*1*(1+Inputs!$B$67)*(1+Inputs!$B$68)^(Y$7-1)</f>
        <v>-5980</v>
      </c>
      <c r="Z126" s="69" t="n">
        <f aca="false">-Z120*Inputs!$B$64/12*1*(1+Inputs!$B$67)*(1+Inputs!$B$68)^(Z$7-1)</f>
        <v>-5980</v>
      </c>
      <c r="AA126" s="69" t="n">
        <f aca="false">-AA120*Inputs!$B$64/12*1*(1+Inputs!$B$67)*(1+Inputs!$B$68)^(AA$7-1)</f>
        <v>-6219.2</v>
      </c>
      <c r="AB126" s="69" t="n">
        <f aca="false">-AB120*Inputs!$B$64/12*1*(1+Inputs!$B$67)*(1+Inputs!$B$68)^(AB$7-1)</f>
        <v>-6219.2</v>
      </c>
      <c r="AC126" s="69" t="n">
        <f aca="false">-AC120*Inputs!$B$64/12*1*(1+Inputs!$B$67)*(1+Inputs!$B$68)^(AC$7-1)</f>
        <v>-6219.2</v>
      </c>
      <c r="AD126" s="69" t="n">
        <f aca="false">-AD120*Inputs!$B$64/12*1*(1+Inputs!$B$67)*(1+Inputs!$B$68)^(AD$7-1)</f>
        <v>-6219.2</v>
      </c>
      <c r="AE126" s="69" t="n">
        <f aca="false">-AE120*Inputs!$B$64/12*1*(1+Inputs!$B$67)*(1+Inputs!$B$68)^(AE$7-1)</f>
        <v>-6219.2</v>
      </c>
      <c r="AF126" s="69" t="n">
        <f aca="false">-AF120*Inputs!$B$64/12*1*(1+Inputs!$B$67)*(1+Inputs!$B$68)^(AF$7-1)</f>
        <v>-6219.2</v>
      </c>
      <c r="AG126" s="69" t="n">
        <f aca="false">-AG120*Inputs!$B$64/12*1*(1+Inputs!$B$67)*(1+Inputs!$B$68)^(AG$7-1)</f>
        <v>-6219.2</v>
      </c>
      <c r="AH126" s="69" t="n">
        <f aca="false">-AH120*Inputs!$B$64/12*1*(1+Inputs!$B$67)*(1+Inputs!$B$68)^(AH$7-1)</f>
        <v>-6219.2</v>
      </c>
      <c r="AI126" s="69" t="n">
        <f aca="false">-AI120*Inputs!$B$64/12*1*(1+Inputs!$B$67)*(1+Inputs!$B$68)^(AI$7-1)</f>
        <v>-6219.2</v>
      </c>
      <c r="AJ126" s="69" t="n">
        <f aca="false">-AJ120*Inputs!$B$64/12*1*(1+Inputs!$B$67)*(1+Inputs!$B$68)^(AJ$7-1)</f>
        <v>-6219.2</v>
      </c>
      <c r="AK126" s="69" t="n">
        <f aca="false">-AK120*Inputs!$B$64/12*1*(1+Inputs!$B$67)*(1+Inputs!$B$68)^(AK$7-1)</f>
        <v>-6219.2</v>
      </c>
      <c r="AL126" s="69" t="n">
        <f aca="false">-AL120*Inputs!$B$64/12*1*(1+Inputs!$B$67)*(1+Inputs!$B$68)^(AL$7-1)</f>
        <v>-6219.2</v>
      </c>
    </row>
    <row r="127" customFormat="false" ht="15" hidden="false" customHeight="false" outlineLevel="0" collapsed="false">
      <c r="A127" s="115" t="s">
        <v>441</v>
      </c>
      <c r="C127" s="70" t="n">
        <f aca="false">C124+C125+C126</f>
        <v>-19070.8333333333</v>
      </c>
      <c r="D127" s="70" t="n">
        <f aca="false">D124+D125+D126</f>
        <v>-19070.8333333333</v>
      </c>
      <c r="E127" s="70" t="n">
        <f aca="false">E124+E125+E126</f>
        <v>-19070.8333333333</v>
      </c>
      <c r="F127" s="70" t="n">
        <f aca="false">F124+F125+F126</f>
        <v>-19070.8333333333</v>
      </c>
      <c r="G127" s="70" t="n">
        <f aca="false">G124+G125+G126</f>
        <v>-19070.8333333333</v>
      </c>
      <c r="H127" s="70" t="n">
        <f aca="false">H124+H125+H126</f>
        <v>-19070.8333333333</v>
      </c>
      <c r="I127" s="70" t="n">
        <f aca="false">I124+I125+I126</f>
        <v>-19070.8333333333</v>
      </c>
      <c r="J127" s="70" t="n">
        <f aca="false">J124+J125+J126</f>
        <v>-19070.8333333333</v>
      </c>
      <c r="K127" s="70" t="n">
        <f aca="false">K124+K125+K126</f>
        <v>-19070.8333333333</v>
      </c>
      <c r="L127" s="70" t="n">
        <f aca="false">L124+L125+L126</f>
        <v>-19070.8333333333</v>
      </c>
      <c r="M127" s="70" t="n">
        <f aca="false">M124+M125+M126</f>
        <v>-19070.8333333333</v>
      </c>
      <c r="N127" s="70" t="n">
        <f aca="false">N124+N125+N126</f>
        <v>-19070.8333333333</v>
      </c>
      <c r="O127" s="70" t="n">
        <f aca="false">O124+O125+O126</f>
        <v>-19833.6666666667</v>
      </c>
      <c r="P127" s="70" t="n">
        <f aca="false">P124+P125+P126</f>
        <v>-19833.6666666667</v>
      </c>
      <c r="Q127" s="70" t="n">
        <f aca="false">Q124+Q125+Q126</f>
        <v>-19833.6666666667</v>
      </c>
      <c r="R127" s="70" t="n">
        <f aca="false">R124+R125+R126</f>
        <v>-19833.6666666667</v>
      </c>
      <c r="S127" s="70" t="n">
        <f aca="false">S124+S125+S126</f>
        <v>-19833.6666666667</v>
      </c>
      <c r="T127" s="70" t="n">
        <f aca="false">T124+T125+T126</f>
        <v>-19833.6666666667</v>
      </c>
      <c r="U127" s="70" t="n">
        <f aca="false">U124+U125+U126</f>
        <v>-19833.6666666667</v>
      </c>
      <c r="V127" s="70" t="n">
        <f aca="false">V124+V125+V126</f>
        <v>-19833.6666666667</v>
      </c>
      <c r="W127" s="70" t="n">
        <f aca="false">W124+W125+W126</f>
        <v>-19833.6666666667</v>
      </c>
      <c r="X127" s="70" t="n">
        <f aca="false">X124+X125+X126</f>
        <v>-19833.6666666667</v>
      </c>
      <c r="Y127" s="70" t="n">
        <f aca="false">Y124+Y125+Y126</f>
        <v>-19833.6666666667</v>
      </c>
      <c r="Z127" s="70" t="n">
        <f aca="false">Z124+Z125+Z126</f>
        <v>-19833.6666666667</v>
      </c>
      <c r="AA127" s="70" t="n">
        <f aca="false">AA124+AA125+AA126</f>
        <v>-20627.0133333333</v>
      </c>
      <c r="AB127" s="70" t="n">
        <f aca="false">AB124+AB125+AB126</f>
        <v>-20627.0133333333</v>
      </c>
      <c r="AC127" s="70" t="n">
        <f aca="false">AC124+AC125+AC126</f>
        <v>-20627.0133333333</v>
      </c>
      <c r="AD127" s="70" t="n">
        <f aca="false">AD124+AD125+AD126</f>
        <v>-20627.0133333333</v>
      </c>
      <c r="AE127" s="70" t="n">
        <f aca="false">AE124+AE125+AE126</f>
        <v>-20627.0133333333</v>
      </c>
      <c r="AF127" s="70" t="n">
        <f aca="false">AF124+AF125+AF126</f>
        <v>-20627.0133333333</v>
      </c>
      <c r="AG127" s="70" t="n">
        <f aca="false">AG124+AG125+AG126</f>
        <v>-20627.0133333333</v>
      </c>
      <c r="AH127" s="70" t="n">
        <f aca="false">AH124+AH125+AH126</f>
        <v>-20627.0133333333</v>
      </c>
      <c r="AI127" s="70" t="n">
        <f aca="false">AI124+AI125+AI126</f>
        <v>-20627.0133333333</v>
      </c>
      <c r="AJ127" s="70" t="n">
        <f aca="false">AJ124+AJ125+AJ126</f>
        <v>-20627.0133333333</v>
      </c>
      <c r="AK127" s="70" t="n">
        <f aca="false">AK124+AK125+AK126</f>
        <v>-20627.0133333333</v>
      </c>
      <c r="AL127" s="70" t="n">
        <f aca="false">AL124+AL125+AL126</f>
        <v>-20627.0133333333</v>
      </c>
    </row>
    <row r="130" customFormat="false" ht="15.75" hidden="false" customHeight="true" outlineLevel="0" collapsed="false">
      <c r="A130" s="7" t="s">
        <v>445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customFormat="false" ht="15" hidden="false" customHeight="false" outlineLevel="0" collapsed="false">
      <c r="A131" s="33" t="s">
        <v>349</v>
      </c>
      <c r="C131" s="35" t="s">
        <v>350</v>
      </c>
      <c r="D131" s="35" t="s">
        <v>351</v>
      </c>
      <c r="E131" s="35" t="s">
        <v>352</v>
      </c>
      <c r="F131" s="35" t="s">
        <v>353</v>
      </c>
      <c r="G131" s="35" t="s">
        <v>354</v>
      </c>
      <c r="H131" s="35" t="s">
        <v>355</v>
      </c>
      <c r="I131" s="35" t="s">
        <v>356</v>
      </c>
      <c r="J131" s="35" t="s">
        <v>357</v>
      </c>
      <c r="K131" s="35" t="s">
        <v>358</v>
      </c>
      <c r="L131" s="35" t="s">
        <v>359</v>
      </c>
      <c r="M131" s="35" t="s">
        <v>360</v>
      </c>
      <c r="N131" s="35" t="s">
        <v>361</v>
      </c>
      <c r="O131" s="35" t="s">
        <v>362</v>
      </c>
      <c r="P131" s="35" t="s">
        <v>363</v>
      </c>
      <c r="Q131" s="35" t="s">
        <v>364</v>
      </c>
      <c r="R131" s="35" t="s">
        <v>365</v>
      </c>
      <c r="S131" s="35" t="s">
        <v>366</v>
      </c>
      <c r="T131" s="35" t="s">
        <v>367</v>
      </c>
      <c r="U131" s="35" t="s">
        <v>368</v>
      </c>
      <c r="V131" s="35" t="s">
        <v>369</v>
      </c>
      <c r="W131" s="35" t="s">
        <v>370</v>
      </c>
      <c r="X131" s="35" t="s">
        <v>371</v>
      </c>
      <c r="Y131" s="35" t="s">
        <v>372</v>
      </c>
      <c r="Z131" s="35" t="s">
        <v>373</v>
      </c>
      <c r="AA131" s="35" t="s">
        <v>374</v>
      </c>
      <c r="AB131" s="35" t="s">
        <v>375</v>
      </c>
      <c r="AC131" s="35" t="s">
        <v>376</v>
      </c>
      <c r="AD131" s="35" t="s">
        <v>377</v>
      </c>
      <c r="AE131" s="35" t="s">
        <v>378</v>
      </c>
      <c r="AF131" s="35" t="s">
        <v>379</v>
      </c>
      <c r="AG131" s="35" t="s">
        <v>380</v>
      </c>
      <c r="AH131" s="35" t="s">
        <v>381</v>
      </c>
      <c r="AI131" s="35" t="s">
        <v>382</v>
      </c>
      <c r="AJ131" s="35" t="s">
        <v>383</v>
      </c>
      <c r="AK131" s="35" t="s">
        <v>384</v>
      </c>
      <c r="AL131" s="35" t="s">
        <v>385</v>
      </c>
    </row>
    <row r="132" customFormat="false" ht="15" hidden="false" customHeight="false" outlineLevel="0" collapsed="false">
      <c r="A132" s="74" t="s">
        <v>386</v>
      </c>
      <c r="C132" s="74" t="n">
        <v>1</v>
      </c>
      <c r="D132" s="74" t="n">
        <v>2</v>
      </c>
      <c r="E132" s="74" t="n">
        <v>3</v>
      </c>
      <c r="F132" s="74" t="n">
        <v>4</v>
      </c>
      <c r="G132" s="74" t="n">
        <v>5</v>
      </c>
      <c r="H132" s="74" t="n">
        <v>6</v>
      </c>
      <c r="I132" s="74" t="n">
        <v>7</v>
      </c>
      <c r="J132" s="74" t="n">
        <v>8</v>
      </c>
      <c r="K132" s="74" t="n">
        <v>9</v>
      </c>
      <c r="L132" s="74" t="n">
        <v>10</v>
      </c>
      <c r="M132" s="74" t="n">
        <v>11</v>
      </c>
      <c r="N132" s="74" t="n">
        <v>12</v>
      </c>
      <c r="O132" s="74" t="n">
        <v>13</v>
      </c>
      <c r="P132" s="74" t="n">
        <v>14</v>
      </c>
      <c r="Q132" s="74" t="n">
        <v>15</v>
      </c>
      <c r="R132" s="74" t="n">
        <v>16</v>
      </c>
      <c r="S132" s="74" t="n">
        <v>17</v>
      </c>
      <c r="T132" s="74" t="n">
        <v>18</v>
      </c>
      <c r="U132" s="74" t="n">
        <v>19</v>
      </c>
      <c r="V132" s="74" t="n">
        <v>20</v>
      </c>
      <c r="W132" s="74" t="n">
        <v>21</v>
      </c>
      <c r="X132" s="74" t="n">
        <v>22</v>
      </c>
      <c r="Y132" s="74" t="n">
        <v>23</v>
      </c>
      <c r="Z132" s="74" t="n">
        <v>24</v>
      </c>
      <c r="AA132" s="74" t="n">
        <v>25</v>
      </c>
      <c r="AB132" s="74" t="n">
        <v>26</v>
      </c>
      <c r="AC132" s="74" t="n">
        <v>27</v>
      </c>
      <c r="AD132" s="74" t="n">
        <v>28</v>
      </c>
      <c r="AE132" s="74" t="n">
        <v>29</v>
      </c>
      <c r="AF132" s="74" t="n">
        <v>30</v>
      </c>
      <c r="AG132" s="74" t="n">
        <v>31</v>
      </c>
      <c r="AH132" s="74" t="n">
        <v>32</v>
      </c>
      <c r="AI132" s="74" t="n">
        <v>33</v>
      </c>
      <c r="AJ132" s="74" t="n">
        <v>34</v>
      </c>
      <c r="AK132" s="74" t="n">
        <v>35</v>
      </c>
      <c r="AL132" s="74" t="n">
        <v>36</v>
      </c>
    </row>
    <row r="133" customFormat="false" ht="15" hidden="false" customHeight="false" outlineLevel="0" collapsed="false">
      <c r="A133" s="74" t="s">
        <v>154</v>
      </c>
      <c r="C133" s="74" t="n">
        <f aca="false">ROUNDUP(C132*1/12,0)</f>
        <v>1</v>
      </c>
      <c r="D133" s="74" t="n">
        <f aca="false">ROUNDUP(D132*1/12,0)</f>
        <v>1</v>
      </c>
      <c r="E133" s="74" t="n">
        <f aca="false">ROUNDUP(E132*1/12,0)</f>
        <v>1</v>
      </c>
      <c r="F133" s="74" t="n">
        <f aca="false">ROUNDUP(F132*1/12,0)</f>
        <v>1</v>
      </c>
      <c r="G133" s="74" t="n">
        <f aca="false">ROUNDUP(G132*1/12,0)</f>
        <v>1</v>
      </c>
      <c r="H133" s="74" t="n">
        <f aca="false">ROUNDUP(H132*1/12,0)</f>
        <v>1</v>
      </c>
      <c r="I133" s="74" t="n">
        <f aca="false">ROUNDUP(I132*1/12,0)</f>
        <v>1</v>
      </c>
      <c r="J133" s="74" t="n">
        <f aca="false">ROUNDUP(J132*1/12,0)</f>
        <v>1</v>
      </c>
      <c r="K133" s="74" t="n">
        <f aca="false">ROUNDUP(K132*1/12,0)</f>
        <v>1</v>
      </c>
      <c r="L133" s="74" t="n">
        <f aca="false">ROUNDUP(L132*1/12,0)</f>
        <v>1</v>
      </c>
      <c r="M133" s="74" t="n">
        <f aca="false">ROUNDUP(M132*1/12,0)</f>
        <v>1</v>
      </c>
      <c r="N133" s="74" t="n">
        <f aca="false">ROUNDUP(N132*1/12,0)</f>
        <v>1</v>
      </c>
      <c r="O133" s="74" t="n">
        <f aca="false">ROUNDUP(O132*1/12,0)</f>
        <v>2</v>
      </c>
      <c r="P133" s="74" t="n">
        <f aca="false">ROUNDUP(P132*1/12,0)</f>
        <v>2</v>
      </c>
      <c r="Q133" s="74" t="n">
        <f aca="false">ROUNDUP(Q132*1/12,0)</f>
        <v>2</v>
      </c>
      <c r="R133" s="74" t="n">
        <f aca="false">ROUNDUP(R132*1/12,0)</f>
        <v>2</v>
      </c>
      <c r="S133" s="74" t="n">
        <f aca="false">ROUNDUP(S132*1/12,0)</f>
        <v>2</v>
      </c>
      <c r="T133" s="74" t="n">
        <f aca="false">ROUNDUP(T132*1/12,0)</f>
        <v>2</v>
      </c>
      <c r="U133" s="74" t="n">
        <f aca="false">ROUNDUP(U132*1/12,0)</f>
        <v>2</v>
      </c>
      <c r="V133" s="74" t="n">
        <f aca="false">ROUNDUP(V132*1/12,0)</f>
        <v>2</v>
      </c>
      <c r="W133" s="74" t="n">
        <f aca="false">ROUNDUP(W132*1/12,0)</f>
        <v>2</v>
      </c>
      <c r="X133" s="74" t="n">
        <f aca="false">ROUNDUP(X132*1/12,0)</f>
        <v>2</v>
      </c>
      <c r="Y133" s="74" t="n">
        <f aca="false">ROUNDUP(Y132*1/12,0)</f>
        <v>2</v>
      </c>
      <c r="Z133" s="74" t="n">
        <f aca="false">ROUNDUP(Z132*1/12,0)</f>
        <v>2</v>
      </c>
      <c r="AA133" s="74" t="n">
        <f aca="false">ROUNDUP(AA132*1/12,0)</f>
        <v>3</v>
      </c>
      <c r="AB133" s="74" t="n">
        <f aca="false">ROUNDUP(AB132*1/12,0)</f>
        <v>3</v>
      </c>
      <c r="AC133" s="74" t="n">
        <f aca="false">ROUNDUP(AC132*1/12,0)</f>
        <v>3</v>
      </c>
      <c r="AD133" s="74" t="n">
        <f aca="false">ROUNDUP(AD132*1/12,0)</f>
        <v>3</v>
      </c>
      <c r="AE133" s="74" t="n">
        <f aca="false">ROUNDUP(AE132*1/12,0)</f>
        <v>3</v>
      </c>
      <c r="AF133" s="74" t="n">
        <f aca="false">ROUNDUP(AF132*1/12,0)</f>
        <v>3</v>
      </c>
      <c r="AG133" s="74" t="n">
        <f aca="false">ROUNDUP(AG132*1/12,0)</f>
        <v>3</v>
      </c>
      <c r="AH133" s="74" t="n">
        <f aca="false">ROUNDUP(AH132*1/12,0)</f>
        <v>3</v>
      </c>
      <c r="AI133" s="74" t="n">
        <f aca="false">ROUNDUP(AI132*1/12,0)</f>
        <v>3</v>
      </c>
      <c r="AJ133" s="74" t="n">
        <f aca="false">ROUNDUP(AJ132*1/12,0)</f>
        <v>3</v>
      </c>
      <c r="AK133" s="74" t="n">
        <f aca="false">ROUNDUP(AK132*1/12,0)</f>
        <v>3</v>
      </c>
      <c r="AL133" s="74" t="n">
        <f aca="false">ROUNDUP(AL132*1/12,0)</f>
        <v>3</v>
      </c>
    </row>
    <row r="135" customFormat="false" ht="15.75" hidden="false" customHeight="true" outlineLevel="0" collapsed="false">
      <c r="A135" s="7" t="s">
        <v>247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customFormat="false" ht="15" hidden="false" customHeight="false" outlineLevel="0" collapsed="false">
      <c r="A136" s="118" t="s">
        <v>387</v>
      </c>
      <c r="C136" s="119" t="n">
        <f aca="false">MAX(0,MIN(1,Inputs!$C$10-(C$132-1)*1))</f>
        <v>1</v>
      </c>
      <c r="D136" s="119" t="n">
        <f aca="false">MAX(0,MIN(1,Inputs!$C$10-(D$132-1)*1))</f>
        <v>1</v>
      </c>
      <c r="E136" s="119" t="n">
        <f aca="false">MAX(0,MIN(1,Inputs!$C$10-(E$132-1)*1))</f>
        <v>1</v>
      </c>
      <c r="F136" s="119" t="n">
        <f aca="false">MAX(0,MIN(1,Inputs!$C$10-(F$132-1)*1))</f>
        <v>1</v>
      </c>
      <c r="G136" s="119" t="n">
        <f aca="false">MAX(0,MIN(1,Inputs!$C$10-(G$132-1)*1))</f>
        <v>1</v>
      </c>
      <c r="H136" s="119" t="n">
        <f aca="false">MAX(0,MIN(1,Inputs!$C$10-(H$132-1)*1))</f>
        <v>1</v>
      </c>
      <c r="I136" s="119" t="n">
        <f aca="false">MAX(0,MIN(1,Inputs!$C$10-(I$132-1)*1))</f>
        <v>1</v>
      </c>
      <c r="J136" s="119" t="n">
        <f aca="false">MAX(0,MIN(1,Inputs!$C$10-(J$132-1)*1))</f>
        <v>1</v>
      </c>
      <c r="K136" s="119" t="n">
        <f aca="false">MAX(0,MIN(1,Inputs!$C$10-(K$132-1)*1))</f>
        <v>1</v>
      </c>
      <c r="L136" s="119" t="n">
        <f aca="false">MAX(0,MIN(1,Inputs!$C$10-(L$132-1)*1))</f>
        <v>1</v>
      </c>
      <c r="M136" s="119" t="n">
        <f aca="false">MAX(0,MIN(1,Inputs!$C$10-(M$132-1)*1))</f>
        <v>0</v>
      </c>
      <c r="N136" s="119" t="n">
        <f aca="false">MAX(0,MIN(1,Inputs!$C$10-(N$132-1)*1))</f>
        <v>0</v>
      </c>
      <c r="O136" s="119" t="n">
        <f aca="false">MAX(0,MIN(1,Inputs!$C$10-(O$132-1)*1))</f>
        <v>0</v>
      </c>
      <c r="P136" s="119" t="n">
        <f aca="false">MAX(0,MIN(1,Inputs!$C$10-(P$132-1)*1))</f>
        <v>0</v>
      </c>
      <c r="Q136" s="119" t="n">
        <f aca="false">MAX(0,MIN(1,Inputs!$C$10-(Q$132-1)*1))</f>
        <v>0</v>
      </c>
      <c r="R136" s="119" t="n">
        <f aca="false">MAX(0,MIN(1,Inputs!$C$10-(R$132-1)*1))</f>
        <v>0</v>
      </c>
      <c r="S136" s="119" t="n">
        <f aca="false">MAX(0,MIN(1,Inputs!$C$10-(S$132-1)*1))</f>
        <v>0</v>
      </c>
      <c r="T136" s="119" t="n">
        <f aca="false">MAX(0,MIN(1,Inputs!$C$10-(T$132-1)*1))</f>
        <v>0</v>
      </c>
      <c r="U136" s="119" t="n">
        <f aca="false">MAX(0,MIN(1,Inputs!$C$10-(U$132-1)*1))</f>
        <v>0</v>
      </c>
      <c r="V136" s="119" t="n">
        <f aca="false">MAX(0,MIN(1,Inputs!$C$10-(V$132-1)*1))</f>
        <v>0</v>
      </c>
      <c r="W136" s="119" t="n">
        <f aca="false">MAX(0,MIN(1,Inputs!$C$10-(W$132-1)*1))</f>
        <v>0</v>
      </c>
      <c r="X136" s="119" t="n">
        <f aca="false">MAX(0,MIN(1,Inputs!$C$10-(X$132-1)*1))</f>
        <v>0</v>
      </c>
      <c r="Y136" s="119" t="n">
        <f aca="false">MAX(0,MIN(1,Inputs!$C$10-(Y$132-1)*1))</f>
        <v>0</v>
      </c>
      <c r="Z136" s="119" t="n">
        <f aca="false">MAX(0,MIN(1,Inputs!$C$10-(Z$132-1)*1))</f>
        <v>0</v>
      </c>
      <c r="AA136" s="119" t="n">
        <f aca="false">MAX(0,MIN(1,Inputs!$C$10-(AA$132-1)*1))</f>
        <v>0</v>
      </c>
      <c r="AB136" s="119" t="n">
        <f aca="false">MAX(0,MIN(1,Inputs!$C$10-(AB$132-1)*1))</f>
        <v>0</v>
      </c>
      <c r="AC136" s="119" t="n">
        <f aca="false">MAX(0,MIN(1,Inputs!$C$10-(AC$132-1)*1))</f>
        <v>0</v>
      </c>
      <c r="AD136" s="119" t="n">
        <f aca="false">MAX(0,MIN(1,Inputs!$C$10-(AD$132-1)*1))</f>
        <v>0</v>
      </c>
      <c r="AE136" s="119" t="n">
        <f aca="false">MAX(0,MIN(1,Inputs!$C$10-(AE$132-1)*1))</f>
        <v>0</v>
      </c>
      <c r="AF136" s="119" t="n">
        <f aca="false">MAX(0,MIN(1,Inputs!$C$10-(AF$132-1)*1))</f>
        <v>0</v>
      </c>
      <c r="AG136" s="119" t="n">
        <f aca="false">MAX(0,MIN(1,Inputs!$C$10-(AG$132-1)*1))</f>
        <v>0</v>
      </c>
      <c r="AH136" s="119" t="n">
        <f aca="false">MAX(0,MIN(1,Inputs!$C$10-(AH$132-1)*1))</f>
        <v>0</v>
      </c>
      <c r="AI136" s="119" t="n">
        <f aca="false">MAX(0,MIN(1,Inputs!$C$10-(AI$132-1)*1))</f>
        <v>0</v>
      </c>
      <c r="AJ136" s="119" t="n">
        <f aca="false">MAX(0,MIN(1,Inputs!$C$10-(AJ$132-1)*1))</f>
        <v>0</v>
      </c>
      <c r="AK136" s="119" t="n">
        <f aca="false">MAX(0,MIN(1,Inputs!$C$10-(AK$132-1)*1))</f>
        <v>0</v>
      </c>
      <c r="AL136" s="119" t="n">
        <f aca="false">MAX(0,MIN(1,Inputs!$C$10-(AL$132-1)*1))</f>
        <v>0</v>
      </c>
    </row>
    <row r="137" customFormat="false" ht="15" hidden="false" customHeight="false" outlineLevel="0" collapsed="false">
      <c r="A137" s="39" t="s">
        <v>388</v>
      </c>
      <c r="C137" s="76" t="n">
        <f aca="false">IF(Inputs!$C$10&lt;=0,1,(C136*Inputs!$C$11+(1-Inputs!$C$11)/MAX(1,Inputs!$C$10)*(C136*(C$132-1)*1+C136*(C136-1)/2)+1-C136)/1)</f>
        <v>0.4</v>
      </c>
      <c r="D137" s="76" t="n">
        <f aca="false">IF(Inputs!$C$10&lt;=0,1,(D136*Inputs!$C$11+(1-Inputs!$C$11)/MAX(1,Inputs!$C$10)*(D136*(D$132-1)*1+D136*(D136-1)/2)+1-D136)/1)</f>
        <v>0.46</v>
      </c>
      <c r="E137" s="76" t="n">
        <f aca="false">IF(Inputs!$C$10&lt;=0,1,(E136*Inputs!$C$11+(1-Inputs!$C$11)/MAX(1,Inputs!$C$10)*(E136*(E$132-1)*1+E136*(E136-1)/2)+1-E136)/1)</f>
        <v>0.52</v>
      </c>
      <c r="F137" s="76" t="n">
        <f aca="false">IF(Inputs!$C$10&lt;=0,1,(F136*Inputs!$C$11+(1-Inputs!$C$11)/MAX(1,Inputs!$C$10)*(F136*(F$132-1)*1+F136*(F136-1)/2)+1-F136)/1)</f>
        <v>0.58</v>
      </c>
      <c r="G137" s="76" t="n">
        <f aca="false">IF(Inputs!$C$10&lt;=0,1,(G136*Inputs!$C$11+(1-Inputs!$C$11)/MAX(1,Inputs!$C$10)*(G136*(G$132-1)*1+G136*(G136-1)/2)+1-G136)/1)</f>
        <v>0.64</v>
      </c>
      <c r="H137" s="76" t="n">
        <f aca="false">IF(Inputs!$C$10&lt;=0,1,(H136*Inputs!$C$11+(1-Inputs!$C$11)/MAX(1,Inputs!$C$10)*(H136*(H$132-1)*1+H136*(H136-1)/2)+1-H136)/1)</f>
        <v>0.7</v>
      </c>
      <c r="I137" s="76" t="n">
        <f aca="false">IF(Inputs!$C$10&lt;=0,1,(I136*Inputs!$C$11+(1-Inputs!$C$11)/MAX(1,Inputs!$C$10)*(I136*(I$132-1)*1+I136*(I136-1)/2)+1-I136)/1)</f>
        <v>0.76</v>
      </c>
      <c r="J137" s="76" t="n">
        <f aca="false">IF(Inputs!$C$10&lt;=0,1,(J136*Inputs!$C$11+(1-Inputs!$C$11)/MAX(1,Inputs!$C$10)*(J136*(J$132-1)*1+J136*(J136-1)/2)+1-J136)/1)</f>
        <v>0.82</v>
      </c>
      <c r="K137" s="76" t="n">
        <f aca="false">IF(Inputs!$C$10&lt;=0,1,(K136*Inputs!$C$11+(1-Inputs!$C$11)/MAX(1,Inputs!$C$10)*(K136*(K$132-1)*1+K136*(K136-1)/2)+1-K136)/1)</f>
        <v>0.88</v>
      </c>
      <c r="L137" s="76" t="n">
        <f aca="false">IF(Inputs!$C$10&lt;=0,1,(L136*Inputs!$C$11+(1-Inputs!$C$11)/MAX(1,Inputs!$C$10)*(L136*(L$132-1)*1+L136*(L136-1)/2)+1-L136)/1)</f>
        <v>0.94</v>
      </c>
      <c r="M137" s="76" t="n">
        <f aca="false">IF(Inputs!$C$10&lt;=0,1,(M136*Inputs!$C$11+(1-Inputs!$C$11)/MAX(1,Inputs!$C$10)*(M136*(M$132-1)*1+M136*(M136-1)/2)+1-M136)/1)</f>
        <v>1</v>
      </c>
      <c r="N137" s="76" t="n">
        <f aca="false">IF(Inputs!$C$10&lt;=0,1,(N136*Inputs!$C$11+(1-Inputs!$C$11)/MAX(1,Inputs!$C$10)*(N136*(N$132-1)*1+N136*(N136-1)/2)+1-N136)/1)</f>
        <v>1</v>
      </c>
      <c r="O137" s="76" t="n">
        <f aca="false">IF(Inputs!$C$10&lt;=0,1,(O136*Inputs!$C$11+(1-Inputs!$C$11)/MAX(1,Inputs!$C$10)*(O136*(O$132-1)*1+O136*(O136-1)/2)+1-O136)/1)</f>
        <v>1</v>
      </c>
      <c r="P137" s="76" t="n">
        <f aca="false">IF(Inputs!$C$10&lt;=0,1,(P136*Inputs!$C$11+(1-Inputs!$C$11)/MAX(1,Inputs!$C$10)*(P136*(P$132-1)*1+P136*(P136-1)/2)+1-P136)/1)</f>
        <v>1</v>
      </c>
      <c r="Q137" s="76" t="n">
        <f aca="false">IF(Inputs!$C$10&lt;=0,1,(Q136*Inputs!$C$11+(1-Inputs!$C$11)/MAX(1,Inputs!$C$10)*(Q136*(Q$132-1)*1+Q136*(Q136-1)/2)+1-Q136)/1)</f>
        <v>1</v>
      </c>
      <c r="R137" s="76" t="n">
        <f aca="false">IF(Inputs!$C$10&lt;=0,1,(R136*Inputs!$C$11+(1-Inputs!$C$11)/MAX(1,Inputs!$C$10)*(R136*(R$132-1)*1+R136*(R136-1)/2)+1-R136)/1)</f>
        <v>1</v>
      </c>
      <c r="S137" s="76" t="n">
        <f aca="false">IF(Inputs!$C$10&lt;=0,1,(S136*Inputs!$C$11+(1-Inputs!$C$11)/MAX(1,Inputs!$C$10)*(S136*(S$132-1)*1+S136*(S136-1)/2)+1-S136)/1)</f>
        <v>1</v>
      </c>
      <c r="T137" s="76" t="n">
        <f aca="false">IF(Inputs!$C$10&lt;=0,1,(T136*Inputs!$C$11+(1-Inputs!$C$11)/MAX(1,Inputs!$C$10)*(T136*(T$132-1)*1+T136*(T136-1)/2)+1-T136)/1)</f>
        <v>1</v>
      </c>
      <c r="U137" s="76" t="n">
        <f aca="false">IF(Inputs!$C$10&lt;=0,1,(U136*Inputs!$C$11+(1-Inputs!$C$11)/MAX(1,Inputs!$C$10)*(U136*(U$132-1)*1+U136*(U136-1)/2)+1-U136)/1)</f>
        <v>1</v>
      </c>
      <c r="V137" s="76" t="n">
        <f aca="false">IF(Inputs!$C$10&lt;=0,1,(V136*Inputs!$C$11+(1-Inputs!$C$11)/MAX(1,Inputs!$C$10)*(V136*(V$132-1)*1+V136*(V136-1)/2)+1-V136)/1)</f>
        <v>1</v>
      </c>
      <c r="W137" s="76" t="n">
        <f aca="false">IF(Inputs!$C$10&lt;=0,1,(W136*Inputs!$C$11+(1-Inputs!$C$11)/MAX(1,Inputs!$C$10)*(W136*(W$132-1)*1+W136*(W136-1)/2)+1-W136)/1)</f>
        <v>1</v>
      </c>
      <c r="X137" s="76" t="n">
        <f aca="false">IF(Inputs!$C$10&lt;=0,1,(X136*Inputs!$C$11+(1-Inputs!$C$11)/MAX(1,Inputs!$C$10)*(X136*(X$132-1)*1+X136*(X136-1)/2)+1-X136)/1)</f>
        <v>1</v>
      </c>
      <c r="Y137" s="76" t="n">
        <f aca="false">IF(Inputs!$C$10&lt;=0,1,(Y136*Inputs!$C$11+(1-Inputs!$C$11)/MAX(1,Inputs!$C$10)*(Y136*(Y$132-1)*1+Y136*(Y136-1)/2)+1-Y136)/1)</f>
        <v>1</v>
      </c>
      <c r="Z137" s="76" t="n">
        <f aca="false">IF(Inputs!$C$10&lt;=0,1,(Z136*Inputs!$C$11+(1-Inputs!$C$11)/MAX(1,Inputs!$C$10)*(Z136*(Z$132-1)*1+Z136*(Z136-1)/2)+1-Z136)/1)</f>
        <v>1</v>
      </c>
      <c r="AA137" s="76" t="n">
        <f aca="false">IF(Inputs!$C$10&lt;=0,1,(AA136*Inputs!$C$11+(1-Inputs!$C$11)/MAX(1,Inputs!$C$10)*(AA136*(AA$132-1)*1+AA136*(AA136-1)/2)+1-AA136)/1)</f>
        <v>1</v>
      </c>
      <c r="AB137" s="76" t="n">
        <f aca="false">IF(Inputs!$C$10&lt;=0,1,(AB136*Inputs!$C$11+(1-Inputs!$C$11)/MAX(1,Inputs!$C$10)*(AB136*(AB$132-1)*1+AB136*(AB136-1)/2)+1-AB136)/1)</f>
        <v>1</v>
      </c>
      <c r="AC137" s="76" t="n">
        <f aca="false">IF(Inputs!$C$10&lt;=0,1,(AC136*Inputs!$C$11+(1-Inputs!$C$11)/MAX(1,Inputs!$C$10)*(AC136*(AC$132-1)*1+AC136*(AC136-1)/2)+1-AC136)/1)</f>
        <v>1</v>
      </c>
      <c r="AD137" s="76" t="n">
        <f aca="false">IF(Inputs!$C$10&lt;=0,1,(AD136*Inputs!$C$11+(1-Inputs!$C$11)/MAX(1,Inputs!$C$10)*(AD136*(AD$132-1)*1+AD136*(AD136-1)/2)+1-AD136)/1)</f>
        <v>1</v>
      </c>
      <c r="AE137" s="76" t="n">
        <f aca="false">IF(Inputs!$C$10&lt;=0,1,(AE136*Inputs!$C$11+(1-Inputs!$C$11)/MAX(1,Inputs!$C$10)*(AE136*(AE$132-1)*1+AE136*(AE136-1)/2)+1-AE136)/1)</f>
        <v>1</v>
      </c>
      <c r="AF137" s="76" t="n">
        <f aca="false">IF(Inputs!$C$10&lt;=0,1,(AF136*Inputs!$C$11+(1-Inputs!$C$11)/MAX(1,Inputs!$C$10)*(AF136*(AF$132-1)*1+AF136*(AF136-1)/2)+1-AF136)/1)</f>
        <v>1</v>
      </c>
      <c r="AG137" s="76" t="n">
        <f aca="false">IF(Inputs!$C$10&lt;=0,1,(AG136*Inputs!$C$11+(1-Inputs!$C$11)/MAX(1,Inputs!$C$10)*(AG136*(AG$132-1)*1+AG136*(AG136-1)/2)+1-AG136)/1)</f>
        <v>1</v>
      </c>
      <c r="AH137" s="76" t="n">
        <f aca="false">IF(Inputs!$C$10&lt;=0,1,(AH136*Inputs!$C$11+(1-Inputs!$C$11)/MAX(1,Inputs!$C$10)*(AH136*(AH$132-1)*1+AH136*(AH136-1)/2)+1-AH136)/1)</f>
        <v>1</v>
      </c>
      <c r="AI137" s="76" t="n">
        <f aca="false">IF(Inputs!$C$10&lt;=0,1,(AI136*Inputs!$C$11+(1-Inputs!$C$11)/MAX(1,Inputs!$C$10)*(AI136*(AI$132-1)*1+AI136*(AI136-1)/2)+1-AI136)/1)</f>
        <v>1</v>
      </c>
      <c r="AJ137" s="76" t="n">
        <f aca="false">IF(Inputs!$C$10&lt;=0,1,(AJ136*Inputs!$C$11+(1-Inputs!$C$11)/MAX(1,Inputs!$C$10)*(AJ136*(AJ$132-1)*1+AJ136*(AJ136-1)/2)+1-AJ136)/1)</f>
        <v>1</v>
      </c>
      <c r="AK137" s="76" t="n">
        <f aca="false">IF(Inputs!$C$10&lt;=0,1,(AK136*Inputs!$C$11+(1-Inputs!$C$11)/MAX(1,Inputs!$C$10)*(AK136*(AK$132-1)*1+AK136*(AK136-1)/2)+1-AK136)/1)</f>
        <v>1</v>
      </c>
      <c r="AL137" s="76" t="n">
        <f aca="false">IF(Inputs!$C$10&lt;=0,1,(AL136*Inputs!$C$11+(1-Inputs!$C$11)/MAX(1,Inputs!$C$10)*(AL136*(AL$132-1)*1+AL136*(AL136-1)/2)+1-AL136)/1)</f>
        <v>1</v>
      </c>
    </row>
    <row r="138" customFormat="false" ht="15" hidden="false" customHeight="false" outlineLevel="0" collapsed="false">
      <c r="A138" s="6" t="s">
        <v>389</v>
      </c>
      <c r="C138" s="120" t="n">
        <f aca="false">Inputs!$C$7*(1+Inputs!$C$8)^(C$133-1)*Inputs!$C$9*1*C137</f>
        <v>166.4</v>
      </c>
      <c r="D138" s="120" t="n">
        <f aca="false">Inputs!$C$7*(1+Inputs!$C$8)^(D$133-1)*Inputs!$C$9*1*D137</f>
        <v>191.36</v>
      </c>
      <c r="E138" s="120" t="n">
        <f aca="false">Inputs!$C$7*(1+Inputs!$C$8)^(E$133-1)*Inputs!$C$9*1*E137</f>
        <v>216.32</v>
      </c>
      <c r="F138" s="120" t="n">
        <f aca="false">Inputs!$C$7*(1+Inputs!$C$8)^(F$133-1)*Inputs!$C$9*1*F137</f>
        <v>241.28</v>
      </c>
      <c r="G138" s="120" t="n">
        <f aca="false">Inputs!$C$7*(1+Inputs!$C$8)^(G$133-1)*Inputs!$C$9*1*G137</f>
        <v>266.24</v>
      </c>
      <c r="H138" s="120" t="n">
        <f aca="false">Inputs!$C$7*(1+Inputs!$C$8)^(H$133-1)*Inputs!$C$9*1*H137</f>
        <v>291.2</v>
      </c>
      <c r="I138" s="120" t="n">
        <f aca="false">Inputs!$C$7*(1+Inputs!$C$8)^(I$133-1)*Inputs!$C$9*1*I137</f>
        <v>316.16</v>
      </c>
      <c r="J138" s="120" t="n">
        <f aca="false">Inputs!$C$7*(1+Inputs!$C$8)^(J$133-1)*Inputs!$C$9*1*J137</f>
        <v>341.12</v>
      </c>
      <c r="K138" s="120" t="n">
        <f aca="false">Inputs!$C$7*(1+Inputs!$C$8)^(K$133-1)*Inputs!$C$9*1*K137</f>
        <v>366.08</v>
      </c>
      <c r="L138" s="120" t="n">
        <f aca="false">Inputs!$C$7*(1+Inputs!$C$8)^(L$133-1)*Inputs!$C$9*1*L137</f>
        <v>391.04</v>
      </c>
      <c r="M138" s="120" t="n">
        <f aca="false">Inputs!$C$7*(1+Inputs!$C$8)^(M$133-1)*Inputs!$C$9*1*M137</f>
        <v>416</v>
      </c>
      <c r="N138" s="120" t="n">
        <f aca="false">Inputs!$C$7*(1+Inputs!$C$8)^(N$133-1)*Inputs!$C$9*1*N137</f>
        <v>416</v>
      </c>
      <c r="O138" s="120" t="n">
        <f aca="false">Inputs!$C$7*(1+Inputs!$C$8)^(O$133-1)*Inputs!$C$9*1*O137</f>
        <v>428.48</v>
      </c>
      <c r="P138" s="120" t="n">
        <f aca="false">Inputs!$C$7*(1+Inputs!$C$8)^(P$133-1)*Inputs!$C$9*1*P137</f>
        <v>428.48</v>
      </c>
      <c r="Q138" s="120" t="n">
        <f aca="false">Inputs!$C$7*(1+Inputs!$C$8)^(Q$133-1)*Inputs!$C$9*1*Q137</f>
        <v>428.48</v>
      </c>
      <c r="R138" s="120" t="n">
        <f aca="false">Inputs!$C$7*(1+Inputs!$C$8)^(R$133-1)*Inputs!$C$9*1*R137</f>
        <v>428.48</v>
      </c>
      <c r="S138" s="120" t="n">
        <f aca="false">Inputs!$C$7*(1+Inputs!$C$8)^(S$133-1)*Inputs!$C$9*1*S137</f>
        <v>428.48</v>
      </c>
      <c r="T138" s="120" t="n">
        <f aca="false">Inputs!$C$7*(1+Inputs!$C$8)^(T$133-1)*Inputs!$C$9*1*T137</f>
        <v>428.48</v>
      </c>
      <c r="U138" s="120" t="n">
        <f aca="false">Inputs!$C$7*(1+Inputs!$C$8)^(U$133-1)*Inputs!$C$9*1*U137</f>
        <v>428.48</v>
      </c>
      <c r="V138" s="120" t="n">
        <f aca="false">Inputs!$C$7*(1+Inputs!$C$8)^(V$133-1)*Inputs!$C$9*1*V137</f>
        <v>428.48</v>
      </c>
      <c r="W138" s="120" t="n">
        <f aca="false">Inputs!$C$7*(1+Inputs!$C$8)^(W$133-1)*Inputs!$C$9*1*W137</f>
        <v>428.48</v>
      </c>
      <c r="X138" s="120" t="n">
        <f aca="false">Inputs!$C$7*(1+Inputs!$C$8)^(X$133-1)*Inputs!$C$9*1*X137</f>
        <v>428.48</v>
      </c>
      <c r="Y138" s="120" t="n">
        <f aca="false">Inputs!$C$7*(1+Inputs!$C$8)^(Y$133-1)*Inputs!$C$9*1*Y137</f>
        <v>428.48</v>
      </c>
      <c r="Z138" s="120" t="n">
        <f aca="false">Inputs!$C$7*(1+Inputs!$C$8)^(Z$133-1)*Inputs!$C$9*1*Z137</f>
        <v>428.48</v>
      </c>
      <c r="AA138" s="120" t="n">
        <f aca="false">Inputs!$C$7*(1+Inputs!$C$8)^(AA$133-1)*Inputs!$C$9*1*AA137</f>
        <v>441.3344</v>
      </c>
      <c r="AB138" s="120" t="n">
        <f aca="false">Inputs!$C$7*(1+Inputs!$C$8)^(AB$133-1)*Inputs!$C$9*1*AB137</f>
        <v>441.3344</v>
      </c>
      <c r="AC138" s="120" t="n">
        <f aca="false">Inputs!$C$7*(1+Inputs!$C$8)^(AC$133-1)*Inputs!$C$9*1*AC137</f>
        <v>441.3344</v>
      </c>
      <c r="AD138" s="120" t="n">
        <f aca="false">Inputs!$C$7*(1+Inputs!$C$8)^(AD$133-1)*Inputs!$C$9*1*AD137</f>
        <v>441.3344</v>
      </c>
      <c r="AE138" s="120" t="n">
        <f aca="false">Inputs!$C$7*(1+Inputs!$C$8)^(AE$133-1)*Inputs!$C$9*1*AE137</f>
        <v>441.3344</v>
      </c>
      <c r="AF138" s="120" t="n">
        <f aca="false">Inputs!$C$7*(1+Inputs!$C$8)^(AF$133-1)*Inputs!$C$9*1*AF137</f>
        <v>441.3344</v>
      </c>
      <c r="AG138" s="120" t="n">
        <f aca="false">Inputs!$C$7*(1+Inputs!$C$8)^(AG$133-1)*Inputs!$C$9*1*AG137</f>
        <v>441.3344</v>
      </c>
      <c r="AH138" s="120" t="n">
        <f aca="false">Inputs!$C$7*(1+Inputs!$C$8)^(AH$133-1)*Inputs!$C$9*1*AH137</f>
        <v>441.3344</v>
      </c>
      <c r="AI138" s="120" t="n">
        <f aca="false">Inputs!$C$7*(1+Inputs!$C$8)^(AI$133-1)*Inputs!$C$9*1*AI137</f>
        <v>441.3344</v>
      </c>
      <c r="AJ138" s="120" t="n">
        <f aca="false">Inputs!$C$7*(1+Inputs!$C$8)^(AJ$133-1)*Inputs!$C$9*1*AJ137</f>
        <v>441.3344</v>
      </c>
      <c r="AK138" s="120" t="n">
        <f aca="false">Inputs!$C$7*(1+Inputs!$C$8)^(AK$133-1)*Inputs!$C$9*1*AK137</f>
        <v>441.3344</v>
      </c>
      <c r="AL138" s="120" t="n">
        <f aca="false">Inputs!$C$7*(1+Inputs!$C$8)^(AL$133-1)*Inputs!$C$9*1*AL137</f>
        <v>441.3344</v>
      </c>
    </row>
    <row r="140" customFormat="false" ht="15.75" hidden="false" customHeight="true" outlineLevel="0" collapsed="false">
      <c r="A140" s="7" t="s">
        <v>259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customFormat="false" ht="15" hidden="false" customHeight="false" outlineLevel="0" collapsed="false">
      <c r="A141" s="6" t="s">
        <v>231</v>
      </c>
      <c r="C141" s="119" t="n">
        <f aca="false">C244</f>
        <v>4</v>
      </c>
      <c r="D141" s="119" t="n">
        <f aca="false">D244</f>
        <v>4</v>
      </c>
      <c r="E141" s="119" t="n">
        <f aca="false">E244</f>
        <v>4</v>
      </c>
      <c r="F141" s="119" t="n">
        <f aca="false">F244</f>
        <v>4</v>
      </c>
      <c r="G141" s="119" t="n">
        <f aca="false">G244</f>
        <v>4</v>
      </c>
      <c r="H141" s="119" t="n">
        <f aca="false">H244</f>
        <v>4</v>
      </c>
      <c r="I141" s="119" t="n">
        <f aca="false">I244</f>
        <v>4</v>
      </c>
      <c r="J141" s="119" t="n">
        <f aca="false">J244</f>
        <v>4</v>
      </c>
      <c r="K141" s="119" t="n">
        <f aca="false">K244</f>
        <v>4</v>
      </c>
      <c r="L141" s="119" t="n">
        <f aca="false">L244</f>
        <v>4</v>
      </c>
      <c r="M141" s="119" t="n">
        <f aca="false">M244</f>
        <v>4</v>
      </c>
      <c r="N141" s="119" t="n">
        <f aca="false">N244</f>
        <v>4</v>
      </c>
      <c r="O141" s="119" t="n">
        <f aca="false">O244</f>
        <v>4</v>
      </c>
      <c r="P141" s="119" t="n">
        <f aca="false">P244</f>
        <v>4</v>
      </c>
      <c r="Q141" s="119" t="n">
        <f aca="false">Q244</f>
        <v>4</v>
      </c>
      <c r="R141" s="119" t="n">
        <f aca="false">R244</f>
        <v>4</v>
      </c>
      <c r="S141" s="119" t="n">
        <f aca="false">S244</f>
        <v>4</v>
      </c>
      <c r="T141" s="119" t="n">
        <f aca="false">T244</f>
        <v>4</v>
      </c>
      <c r="U141" s="119" t="n">
        <f aca="false">U244</f>
        <v>4</v>
      </c>
      <c r="V141" s="119" t="n">
        <f aca="false">V244</f>
        <v>4</v>
      </c>
      <c r="W141" s="119" t="n">
        <f aca="false">W244</f>
        <v>4</v>
      </c>
      <c r="X141" s="119" t="n">
        <f aca="false">X244</f>
        <v>4</v>
      </c>
      <c r="Y141" s="119" t="n">
        <f aca="false">Y244</f>
        <v>4</v>
      </c>
      <c r="Z141" s="119" t="n">
        <f aca="false">Z244</f>
        <v>4</v>
      </c>
      <c r="AA141" s="119" t="n">
        <f aca="false">AA244</f>
        <v>4</v>
      </c>
      <c r="AB141" s="119" t="n">
        <f aca="false">AB244</f>
        <v>4</v>
      </c>
      <c r="AC141" s="119" t="n">
        <f aca="false">AC244</f>
        <v>4</v>
      </c>
      <c r="AD141" s="119" t="n">
        <f aca="false">AD244</f>
        <v>4</v>
      </c>
      <c r="AE141" s="119" t="n">
        <f aca="false">AE244</f>
        <v>4</v>
      </c>
      <c r="AF141" s="119" t="n">
        <f aca="false">AF244</f>
        <v>4</v>
      </c>
      <c r="AG141" s="119" t="n">
        <f aca="false">AG244</f>
        <v>4</v>
      </c>
      <c r="AH141" s="119" t="n">
        <f aca="false">AH244</f>
        <v>4</v>
      </c>
      <c r="AI141" s="119" t="n">
        <f aca="false">AI244</f>
        <v>4</v>
      </c>
      <c r="AJ141" s="119" t="n">
        <f aca="false">AJ244</f>
        <v>4</v>
      </c>
      <c r="AK141" s="119" t="n">
        <f aca="false">AK244</f>
        <v>4</v>
      </c>
      <c r="AL141" s="119" t="n">
        <f aca="false">AL244</f>
        <v>4</v>
      </c>
    </row>
    <row r="142" customFormat="false" ht="15" hidden="false" customHeight="false" outlineLevel="0" collapsed="false">
      <c r="A142" s="6" t="s">
        <v>390</v>
      </c>
      <c r="C142" s="120" t="n">
        <f aca="false">Inputs!$C$14*Inputs!$C$15*Inputs!$C$9*1</f>
        <v>624</v>
      </c>
      <c r="D142" s="120" t="n">
        <f aca="false">Inputs!$C$14*Inputs!$C$15*Inputs!$C$9*1</f>
        <v>624</v>
      </c>
      <c r="E142" s="120" t="n">
        <f aca="false">Inputs!$C$14*Inputs!$C$15*Inputs!$C$9*1</f>
        <v>624</v>
      </c>
      <c r="F142" s="120" t="n">
        <f aca="false">Inputs!$C$14*Inputs!$C$15*Inputs!$C$9*1</f>
        <v>624</v>
      </c>
      <c r="G142" s="120" t="n">
        <f aca="false">Inputs!$C$14*Inputs!$C$15*Inputs!$C$9*1</f>
        <v>624</v>
      </c>
      <c r="H142" s="120" t="n">
        <f aca="false">Inputs!$C$14*Inputs!$C$15*Inputs!$C$9*1</f>
        <v>624</v>
      </c>
      <c r="I142" s="120" t="n">
        <f aca="false">Inputs!$C$14*Inputs!$C$15*Inputs!$C$9*1</f>
        <v>624</v>
      </c>
      <c r="J142" s="120" t="n">
        <f aca="false">Inputs!$C$14*Inputs!$C$15*Inputs!$C$9*1</f>
        <v>624</v>
      </c>
      <c r="K142" s="120" t="n">
        <f aca="false">Inputs!$C$14*Inputs!$C$15*Inputs!$C$9*1</f>
        <v>624</v>
      </c>
      <c r="L142" s="120" t="n">
        <f aca="false">Inputs!$C$14*Inputs!$C$15*Inputs!$C$9*1</f>
        <v>624</v>
      </c>
      <c r="M142" s="120" t="n">
        <f aca="false">Inputs!$C$14*Inputs!$C$15*Inputs!$C$9*1</f>
        <v>624</v>
      </c>
      <c r="N142" s="120" t="n">
        <f aca="false">Inputs!$C$14*Inputs!$C$15*Inputs!$C$9*1</f>
        <v>624</v>
      </c>
      <c r="O142" s="120" t="n">
        <f aca="false">Inputs!$C$14*Inputs!$C$15*Inputs!$C$9*1</f>
        <v>624</v>
      </c>
      <c r="P142" s="120" t="n">
        <f aca="false">Inputs!$C$14*Inputs!$C$15*Inputs!$C$9*1</f>
        <v>624</v>
      </c>
      <c r="Q142" s="120" t="n">
        <f aca="false">Inputs!$C$14*Inputs!$C$15*Inputs!$C$9*1</f>
        <v>624</v>
      </c>
      <c r="R142" s="120" t="n">
        <f aca="false">Inputs!$C$14*Inputs!$C$15*Inputs!$C$9*1</f>
        <v>624</v>
      </c>
      <c r="S142" s="120" t="n">
        <f aca="false">Inputs!$C$14*Inputs!$C$15*Inputs!$C$9*1</f>
        <v>624</v>
      </c>
      <c r="T142" s="120" t="n">
        <f aca="false">Inputs!$C$14*Inputs!$C$15*Inputs!$C$9*1</f>
        <v>624</v>
      </c>
      <c r="U142" s="120" t="n">
        <f aca="false">Inputs!$C$14*Inputs!$C$15*Inputs!$C$9*1</f>
        <v>624</v>
      </c>
      <c r="V142" s="120" t="n">
        <f aca="false">Inputs!$C$14*Inputs!$C$15*Inputs!$C$9*1</f>
        <v>624</v>
      </c>
      <c r="W142" s="120" t="n">
        <f aca="false">Inputs!$C$14*Inputs!$C$15*Inputs!$C$9*1</f>
        <v>624</v>
      </c>
      <c r="X142" s="120" t="n">
        <f aca="false">Inputs!$C$14*Inputs!$C$15*Inputs!$C$9*1</f>
        <v>624</v>
      </c>
      <c r="Y142" s="120" t="n">
        <f aca="false">Inputs!$C$14*Inputs!$C$15*Inputs!$C$9*1</f>
        <v>624</v>
      </c>
      <c r="Z142" s="120" t="n">
        <f aca="false">Inputs!$C$14*Inputs!$C$15*Inputs!$C$9*1</f>
        <v>624</v>
      </c>
      <c r="AA142" s="120" t="n">
        <f aca="false">Inputs!$C$14*Inputs!$C$15*Inputs!$C$9*1</f>
        <v>624</v>
      </c>
      <c r="AB142" s="120" t="n">
        <f aca="false">Inputs!$C$14*Inputs!$C$15*Inputs!$C$9*1</f>
        <v>624</v>
      </c>
      <c r="AC142" s="120" t="n">
        <f aca="false">Inputs!$C$14*Inputs!$C$15*Inputs!$C$9*1</f>
        <v>624</v>
      </c>
      <c r="AD142" s="120" t="n">
        <f aca="false">Inputs!$C$14*Inputs!$C$15*Inputs!$C$9*1</f>
        <v>624</v>
      </c>
      <c r="AE142" s="120" t="n">
        <f aca="false">Inputs!$C$14*Inputs!$C$15*Inputs!$C$9*1</f>
        <v>624</v>
      </c>
      <c r="AF142" s="120" t="n">
        <f aca="false">Inputs!$C$14*Inputs!$C$15*Inputs!$C$9*1</f>
        <v>624</v>
      </c>
      <c r="AG142" s="120" t="n">
        <f aca="false">Inputs!$C$14*Inputs!$C$15*Inputs!$C$9*1</f>
        <v>624</v>
      </c>
      <c r="AH142" s="120" t="n">
        <f aca="false">Inputs!$C$14*Inputs!$C$15*Inputs!$C$9*1</f>
        <v>624</v>
      </c>
      <c r="AI142" s="120" t="n">
        <f aca="false">Inputs!$C$14*Inputs!$C$15*Inputs!$C$9*1</f>
        <v>624</v>
      </c>
      <c r="AJ142" s="120" t="n">
        <f aca="false">Inputs!$C$14*Inputs!$C$15*Inputs!$C$9*1</f>
        <v>624</v>
      </c>
      <c r="AK142" s="120" t="n">
        <f aca="false">Inputs!$C$14*Inputs!$C$15*Inputs!$C$9*1</f>
        <v>624</v>
      </c>
      <c r="AL142" s="120" t="n">
        <f aca="false">Inputs!$C$14*Inputs!$C$15*Inputs!$C$9*1</f>
        <v>624</v>
      </c>
    </row>
    <row r="143" customFormat="false" ht="15" hidden="false" customHeight="false" outlineLevel="0" collapsed="false">
      <c r="A143" s="6" t="s">
        <v>391</v>
      </c>
      <c r="C143" s="120" t="n">
        <f aca="false">C141*Inputs!$C$16*Inputs!$C$9*1</f>
        <v>572</v>
      </c>
      <c r="D143" s="120" t="n">
        <f aca="false">D141*Inputs!$C$16*Inputs!$C$9*1</f>
        <v>572</v>
      </c>
      <c r="E143" s="120" t="n">
        <f aca="false">E141*Inputs!$C$16*Inputs!$C$9*1</f>
        <v>572</v>
      </c>
      <c r="F143" s="120" t="n">
        <f aca="false">F141*Inputs!$C$16*Inputs!$C$9*1</f>
        <v>572</v>
      </c>
      <c r="G143" s="120" t="n">
        <f aca="false">G141*Inputs!$C$16*Inputs!$C$9*1</f>
        <v>572</v>
      </c>
      <c r="H143" s="120" t="n">
        <f aca="false">H141*Inputs!$C$16*Inputs!$C$9*1</f>
        <v>572</v>
      </c>
      <c r="I143" s="120" t="n">
        <f aca="false">I141*Inputs!$C$16*Inputs!$C$9*1</f>
        <v>572</v>
      </c>
      <c r="J143" s="120" t="n">
        <f aca="false">J141*Inputs!$C$16*Inputs!$C$9*1</f>
        <v>572</v>
      </c>
      <c r="K143" s="120" t="n">
        <f aca="false">K141*Inputs!$C$16*Inputs!$C$9*1</f>
        <v>572</v>
      </c>
      <c r="L143" s="120" t="n">
        <f aca="false">L141*Inputs!$C$16*Inputs!$C$9*1</f>
        <v>572</v>
      </c>
      <c r="M143" s="120" t="n">
        <f aca="false">M141*Inputs!$C$16*Inputs!$C$9*1</f>
        <v>572</v>
      </c>
      <c r="N143" s="120" t="n">
        <f aca="false">N141*Inputs!$C$16*Inputs!$C$9*1</f>
        <v>572</v>
      </c>
      <c r="O143" s="120" t="n">
        <f aca="false">O141*Inputs!$C$16*Inputs!$C$9*1</f>
        <v>572</v>
      </c>
      <c r="P143" s="120" t="n">
        <f aca="false">P141*Inputs!$C$16*Inputs!$C$9*1</f>
        <v>572</v>
      </c>
      <c r="Q143" s="120" t="n">
        <f aca="false">Q141*Inputs!$C$16*Inputs!$C$9*1</f>
        <v>572</v>
      </c>
      <c r="R143" s="120" t="n">
        <f aca="false">R141*Inputs!$C$16*Inputs!$C$9*1</f>
        <v>572</v>
      </c>
      <c r="S143" s="120" t="n">
        <f aca="false">S141*Inputs!$C$16*Inputs!$C$9*1</f>
        <v>572</v>
      </c>
      <c r="T143" s="120" t="n">
        <f aca="false">T141*Inputs!$C$16*Inputs!$C$9*1</f>
        <v>572</v>
      </c>
      <c r="U143" s="120" t="n">
        <f aca="false">U141*Inputs!$C$16*Inputs!$C$9*1</f>
        <v>572</v>
      </c>
      <c r="V143" s="120" t="n">
        <f aca="false">V141*Inputs!$C$16*Inputs!$C$9*1</f>
        <v>572</v>
      </c>
      <c r="W143" s="120" t="n">
        <f aca="false">W141*Inputs!$C$16*Inputs!$C$9*1</f>
        <v>572</v>
      </c>
      <c r="X143" s="120" t="n">
        <f aca="false">X141*Inputs!$C$16*Inputs!$C$9*1</f>
        <v>572</v>
      </c>
      <c r="Y143" s="120" t="n">
        <f aca="false">Y141*Inputs!$C$16*Inputs!$C$9*1</f>
        <v>572</v>
      </c>
      <c r="Z143" s="120" t="n">
        <f aca="false">Z141*Inputs!$C$16*Inputs!$C$9*1</f>
        <v>572</v>
      </c>
      <c r="AA143" s="120" t="n">
        <f aca="false">AA141*Inputs!$C$16*Inputs!$C$9*1</f>
        <v>572</v>
      </c>
      <c r="AB143" s="120" t="n">
        <f aca="false">AB141*Inputs!$C$16*Inputs!$C$9*1</f>
        <v>572</v>
      </c>
      <c r="AC143" s="120" t="n">
        <f aca="false">AC141*Inputs!$C$16*Inputs!$C$9*1</f>
        <v>572</v>
      </c>
      <c r="AD143" s="120" t="n">
        <f aca="false">AD141*Inputs!$C$16*Inputs!$C$9*1</f>
        <v>572</v>
      </c>
      <c r="AE143" s="120" t="n">
        <f aca="false">AE141*Inputs!$C$16*Inputs!$C$9*1</f>
        <v>572</v>
      </c>
      <c r="AF143" s="120" t="n">
        <f aca="false">AF141*Inputs!$C$16*Inputs!$C$9*1</f>
        <v>572</v>
      </c>
      <c r="AG143" s="120" t="n">
        <f aca="false">AG141*Inputs!$C$16*Inputs!$C$9*1</f>
        <v>572</v>
      </c>
      <c r="AH143" s="120" t="n">
        <f aca="false">AH141*Inputs!$C$16*Inputs!$C$9*1</f>
        <v>572</v>
      </c>
      <c r="AI143" s="120" t="n">
        <f aca="false">AI141*Inputs!$C$16*Inputs!$C$9*1</f>
        <v>572</v>
      </c>
      <c r="AJ143" s="120" t="n">
        <f aca="false">AJ141*Inputs!$C$16*Inputs!$C$9*1</f>
        <v>572</v>
      </c>
      <c r="AK143" s="120" t="n">
        <f aca="false">AK141*Inputs!$C$16*Inputs!$C$9*1</f>
        <v>572</v>
      </c>
      <c r="AL143" s="120" t="n">
        <f aca="false">AL141*Inputs!$C$16*Inputs!$C$9*1</f>
        <v>572</v>
      </c>
    </row>
    <row r="144" customFormat="false" ht="15" hidden="false" customHeight="false" outlineLevel="0" collapsed="false">
      <c r="A144" s="6" t="s">
        <v>232</v>
      </c>
      <c r="C144" s="120" t="n">
        <f aca="false">MIN(C142,C143)</f>
        <v>572</v>
      </c>
      <c r="D144" s="120" t="n">
        <f aca="false">MIN(D142,D143)</f>
        <v>572</v>
      </c>
      <c r="E144" s="120" t="n">
        <f aca="false">MIN(E142,E143)</f>
        <v>572</v>
      </c>
      <c r="F144" s="120" t="n">
        <f aca="false">MIN(F142,F143)</f>
        <v>572</v>
      </c>
      <c r="G144" s="120" t="n">
        <f aca="false">MIN(G142,G143)</f>
        <v>572</v>
      </c>
      <c r="H144" s="120" t="n">
        <f aca="false">MIN(H142,H143)</f>
        <v>572</v>
      </c>
      <c r="I144" s="120" t="n">
        <f aca="false">MIN(I142,I143)</f>
        <v>572</v>
      </c>
      <c r="J144" s="120" t="n">
        <f aca="false">MIN(J142,J143)</f>
        <v>572</v>
      </c>
      <c r="K144" s="120" t="n">
        <f aca="false">MIN(K142,K143)</f>
        <v>572</v>
      </c>
      <c r="L144" s="120" t="n">
        <f aca="false">MIN(L142,L143)</f>
        <v>572</v>
      </c>
      <c r="M144" s="120" t="n">
        <f aca="false">MIN(M142,M143)</f>
        <v>572</v>
      </c>
      <c r="N144" s="120" t="n">
        <f aca="false">MIN(N142,N143)</f>
        <v>572</v>
      </c>
      <c r="O144" s="120" t="n">
        <f aca="false">MIN(O142,O143)</f>
        <v>572</v>
      </c>
      <c r="P144" s="120" t="n">
        <f aca="false">MIN(P142,P143)</f>
        <v>572</v>
      </c>
      <c r="Q144" s="120" t="n">
        <f aca="false">MIN(Q142,Q143)</f>
        <v>572</v>
      </c>
      <c r="R144" s="120" t="n">
        <f aca="false">MIN(R142,R143)</f>
        <v>572</v>
      </c>
      <c r="S144" s="120" t="n">
        <f aca="false">MIN(S142,S143)</f>
        <v>572</v>
      </c>
      <c r="T144" s="120" t="n">
        <f aca="false">MIN(T142,T143)</f>
        <v>572</v>
      </c>
      <c r="U144" s="120" t="n">
        <f aca="false">MIN(U142,U143)</f>
        <v>572</v>
      </c>
      <c r="V144" s="120" t="n">
        <f aca="false">MIN(V142,V143)</f>
        <v>572</v>
      </c>
      <c r="W144" s="120" t="n">
        <f aca="false">MIN(W142,W143)</f>
        <v>572</v>
      </c>
      <c r="X144" s="120" t="n">
        <f aca="false">MIN(X142,X143)</f>
        <v>572</v>
      </c>
      <c r="Y144" s="120" t="n">
        <f aca="false">MIN(Y142,Y143)</f>
        <v>572</v>
      </c>
      <c r="Z144" s="120" t="n">
        <f aca="false">MIN(Z142,Z143)</f>
        <v>572</v>
      </c>
      <c r="AA144" s="120" t="n">
        <f aca="false">MIN(AA142,AA143)</f>
        <v>572</v>
      </c>
      <c r="AB144" s="120" t="n">
        <f aca="false">MIN(AB142,AB143)</f>
        <v>572</v>
      </c>
      <c r="AC144" s="120" t="n">
        <f aca="false">MIN(AC142,AC143)</f>
        <v>572</v>
      </c>
      <c r="AD144" s="120" t="n">
        <f aca="false">MIN(AD142,AD143)</f>
        <v>572</v>
      </c>
      <c r="AE144" s="120" t="n">
        <f aca="false">MIN(AE142,AE143)</f>
        <v>572</v>
      </c>
      <c r="AF144" s="120" t="n">
        <f aca="false">MIN(AF142,AF143)</f>
        <v>572</v>
      </c>
      <c r="AG144" s="120" t="n">
        <f aca="false">MIN(AG142,AG143)</f>
        <v>572</v>
      </c>
      <c r="AH144" s="120" t="n">
        <f aca="false">MIN(AH142,AH143)</f>
        <v>572</v>
      </c>
      <c r="AI144" s="120" t="n">
        <f aca="false">MIN(AI142,AI143)</f>
        <v>572</v>
      </c>
      <c r="AJ144" s="120" t="n">
        <f aca="false">MIN(AJ142,AJ143)</f>
        <v>572</v>
      </c>
      <c r="AK144" s="120" t="n">
        <f aca="false">MIN(AK142,AK143)</f>
        <v>572</v>
      </c>
      <c r="AL144" s="120" t="n">
        <f aca="false">MIN(AL142,AL143)</f>
        <v>572</v>
      </c>
    </row>
    <row r="145" customFormat="false" ht="15" hidden="false" customHeight="false" outlineLevel="0" collapsed="false">
      <c r="A145" s="4" t="s">
        <v>392</v>
      </c>
      <c r="C145" s="122" t="n">
        <f aca="false">MIN(C138,C144)</f>
        <v>166.4</v>
      </c>
      <c r="D145" s="122" t="n">
        <f aca="false">MIN(D138,D144)</f>
        <v>191.36</v>
      </c>
      <c r="E145" s="122" t="n">
        <f aca="false">MIN(E138,E144)</f>
        <v>216.32</v>
      </c>
      <c r="F145" s="122" t="n">
        <f aca="false">MIN(F138,F144)</f>
        <v>241.28</v>
      </c>
      <c r="G145" s="122" t="n">
        <f aca="false">MIN(G138,G144)</f>
        <v>266.24</v>
      </c>
      <c r="H145" s="122" t="n">
        <f aca="false">MIN(H138,H144)</f>
        <v>291.2</v>
      </c>
      <c r="I145" s="122" t="n">
        <f aca="false">MIN(I138,I144)</f>
        <v>316.16</v>
      </c>
      <c r="J145" s="122" t="n">
        <f aca="false">MIN(J138,J144)</f>
        <v>341.12</v>
      </c>
      <c r="K145" s="122" t="n">
        <f aca="false">MIN(K138,K144)</f>
        <v>366.08</v>
      </c>
      <c r="L145" s="122" t="n">
        <f aca="false">MIN(L138,L144)</f>
        <v>391.04</v>
      </c>
      <c r="M145" s="122" t="n">
        <f aca="false">MIN(M138,M144)</f>
        <v>416</v>
      </c>
      <c r="N145" s="122" t="n">
        <f aca="false">MIN(N138,N144)</f>
        <v>416</v>
      </c>
      <c r="O145" s="122" t="n">
        <f aca="false">MIN(O138,O144)</f>
        <v>428.48</v>
      </c>
      <c r="P145" s="122" t="n">
        <f aca="false">MIN(P138,P144)</f>
        <v>428.48</v>
      </c>
      <c r="Q145" s="122" t="n">
        <f aca="false">MIN(Q138,Q144)</f>
        <v>428.48</v>
      </c>
      <c r="R145" s="122" t="n">
        <f aca="false">MIN(R138,R144)</f>
        <v>428.48</v>
      </c>
      <c r="S145" s="122" t="n">
        <f aca="false">MIN(S138,S144)</f>
        <v>428.48</v>
      </c>
      <c r="T145" s="122" t="n">
        <f aca="false">MIN(T138,T144)</f>
        <v>428.48</v>
      </c>
      <c r="U145" s="122" t="n">
        <f aca="false">MIN(U138,U144)</f>
        <v>428.48</v>
      </c>
      <c r="V145" s="122" t="n">
        <f aca="false">MIN(V138,V144)</f>
        <v>428.48</v>
      </c>
      <c r="W145" s="122" t="n">
        <f aca="false">MIN(W138,W144)</f>
        <v>428.48</v>
      </c>
      <c r="X145" s="122" t="n">
        <f aca="false">MIN(X138,X144)</f>
        <v>428.48</v>
      </c>
      <c r="Y145" s="122" t="n">
        <f aca="false">MIN(Y138,Y144)</f>
        <v>428.48</v>
      </c>
      <c r="Z145" s="122" t="n">
        <f aca="false">MIN(Z138,Z144)</f>
        <v>428.48</v>
      </c>
      <c r="AA145" s="122" t="n">
        <f aca="false">MIN(AA138,AA144)</f>
        <v>441.3344</v>
      </c>
      <c r="AB145" s="122" t="n">
        <f aca="false">MIN(AB138,AB144)</f>
        <v>441.3344</v>
      </c>
      <c r="AC145" s="122" t="n">
        <f aca="false">MIN(AC138,AC144)</f>
        <v>441.3344</v>
      </c>
      <c r="AD145" s="122" t="n">
        <f aca="false">MIN(AD138,AD144)</f>
        <v>441.3344</v>
      </c>
      <c r="AE145" s="122" t="n">
        <f aca="false">MIN(AE138,AE144)</f>
        <v>441.3344</v>
      </c>
      <c r="AF145" s="122" t="n">
        <f aca="false">MIN(AF138,AF144)</f>
        <v>441.3344</v>
      </c>
      <c r="AG145" s="122" t="n">
        <f aca="false">MIN(AG138,AG144)</f>
        <v>441.3344</v>
      </c>
      <c r="AH145" s="122" t="n">
        <f aca="false">MIN(AH138,AH144)</f>
        <v>441.3344</v>
      </c>
      <c r="AI145" s="122" t="n">
        <f aca="false">MIN(AI138,AI144)</f>
        <v>441.3344</v>
      </c>
      <c r="AJ145" s="122" t="n">
        <f aca="false">MIN(AJ138,AJ144)</f>
        <v>441.3344</v>
      </c>
      <c r="AK145" s="122" t="n">
        <f aca="false">MIN(AK138,AK144)</f>
        <v>441.3344</v>
      </c>
      <c r="AL145" s="122" t="n">
        <f aca="false">MIN(AL138,AL144)</f>
        <v>441.3344</v>
      </c>
    </row>
    <row r="146" customFormat="false" ht="15" hidden="false" customHeight="false" outlineLevel="0" collapsed="false">
      <c r="A146" s="6" t="s">
        <v>233</v>
      </c>
      <c r="C146" s="120" t="n">
        <f aca="false">C138-C145</f>
        <v>0</v>
      </c>
      <c r="D146" s="120" t="n">
        <f aca="false">D138-D145</f>
        <v>0</v>
      </c>
      <c r="E146" s="120" t="n">
        <f aca="false">E138-E145</f>
        <v>0</v>
      </c>
      <c r="F146" s="120" t="n">
        <f aca="false">F138-F145</f>
        <v>0</v>
      </c>
      <c r="G146" s="120" t="n">
        <f aca="false">G138-G145</f>
        <v>0</v>
      </c>
      <c r="H146" s="120" t="n">
        <f aca="false">H138-H145</f>
        <v>0</v>
      </c>
      <c r="I146" s="120" t="n">
        <f aca="false">I138-I145</f>
        <v>0</v>
      </c>
      <c r="J146" s="120" t="n">
        <f aca="false">J138-J145</f>
        <v>0</v>
      </c>
      <c r="K146" s="120" t="n">
        <f aca="false">K138-K145</f>
        <v>0</v>
      </c>
      <c r="L146" s="120" t="n">
        <f aca="false">L138-L145</f>
        <v>0</v>
      </c>
      <c r="M146" s="120" t="n">
        <f aca="false">M138-M145</f>
        <v>0</v>
      </c>
      <c r="N146" s="120" t="n">
        <f aca="false">N138-N145</f>
        <v>0</v>
      </c>
      <c r="O146" s="120" t="n">
        <f aca="false">O138-O145</f>
        <v>0</v>
      </c>
      <c r="P146" s="120" t="n">
        <f aca="false">P138-P145</f>
        <v>0</v>
      </c>
      <c r="Q146" s="120" t="n">
        <f aca="false">Q138-Q145</f>
        <v>0</v>
      </c>
      <c r="R146" s="120" t="n">
        <f aca="false">R138-R145</f>
        <v>0</v>
      </c>
      <c r="S146" s="120" t="n">
        <f aca="false">S138-S145</f>
        <v>0</v>
      </c>
      <c r="T146" s="120" t="n">
        <f aca="false">T138-T145</f>
        <v>0</v>
      </c>
      <c r="U146" s="120" t="n">
        <f aca="false">U138-U145</f>
        <v>0</v>
      </c>
      <c r="V146" s="120" t="n">
        <f aca="false">V138-V145</f>
        <v>0</v>
      </c>
      <c r="W146" s="120" t="n">
        <f aca="false">W138-W145</f>
        <v>0</v>
      </c>
      <c r="X146" s="120" t="n">
        <f aca="false">X138-X145</f>
        <v>0</v>
      </c>
      <c r="Y146" s="120" t="n">
        <f aca="false">Y138-Y145</f>
        <v>0</v>
      </c>
      <c r="Z146" s="120" t="n">
        <f aca="false">Z138-Z145</f>
        <v>0</v>
      </c>
      <c r="AA146" s="120" t="n">
        <f aca="false">AA138-AA145</f>
        <v>0</v>
      </c>
      <c r="AB146" s="120" t="n">
        <f aca="false">AB138-AB145</f>
        <v>0</v>
      </c>
      <c r="AC146" s="120" t="n">
        <f aca="false">AC138-AC145</f>
        <v>0</v>
      </c>
      <c r="AD146" s="120" t="n">
        <f aca="false">AD138-AD145</f>
        <v>0</v>
      </c>
      <c r="AE146" s="120" t="n">
        <f aca="false">AE138-AE145</f>
        <v>0</v>
      </c>
      <c r="AF146" s="120" t="n">
        <f aca="false">AF138-AF145</f>
        <v>0</v>
      </c>
      <c r="AG146" s="120" t="n">
        <f aca="false">AG138-AG145</f>
        <v>0</v>
      </c>
      <c r="AH146" s="120" t="n">
        <f aca="false">AH138-AH145</f>
        <v>0</v>
      </c>
      <c r="AI146" s="120" t="n">
        <f aca="false">AI138-AI145</f>
        <v>0</v>
      </c>
      <c r="AJ146" s="120" t="n">
        <f aca="false">AJ138-AJ145</f>
        <v>0</v>
      </c>
      <c r="AK146" s="120" t="n">
        <f aca="false">AK138-AK145</f>
        <v>0</v>
      </c>
      <c r="AL146" s="120" t="n">
        <f aca="false">AL138-AL145</f>
        <v>0</v>
      </c>
    </row>
    <row r="148" customFormat="false" ht="15.75" hidden="false" customHeight="true" outlineLevel="0" collapsed="false">
      <c r="A148" s="7" t="s">
        <v>270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customFormat="false" ht="15" hidden="false" customHeight="false" outlineLevel="0" collapsed="false">
      <c r="A149" s="6" t="s">
        <v>393</v>
      </c>
      <c r="C149" s="79" t="n">
        <f aca="false">IF(OR(AND(MOD(C$132-1,12)&gt;=5,MOD(C$132-1,12)&lt;=7),MOD(C$132-1,12)=11),1+Inputs!$C$28,1-Inputs!$C$28/2)</f>
        <v>0.9</v>
      </c>
      <c r="D149" s="79" t="n">
        <f aca="false">IF(OR(AND(MOD(D$132-1,12)&gt;=5,MOD(D$132-1,12)&lt;=7),MOD(D$132-1,12)=11),1+Inputs!$C$28,1-Inputs!$C$28/2)</f>
        <v>0.9</v>
      </c>
      <c r="E149" s="79" t="n">
        <f aca="false">IF(OR(AND(MOD(E$132-1,12)&gt;=5,MOD(E$132-1,12)&lt;=7),MOD(E$132-1,12)=11),1+Inputs!$C$28,1-Inputs!$C$28/2)</f>
        <v>0.9</v>
      </c>
      <c r="F149" s="79" t="n">
        <f aca="false">IF(OR(AND(MOD(F$132-1,12)&gt;=5,MOD(F$132-1,12)&lt;=7),MOD(F$132-1,12)=11),1+Inputs!$C$28,1-Inputs!$C$28/2)</f>
        <v>0.9</v>
      </c>
      <c r="G149" s="79" t="n">
        <f aca="false">IF(OR(AND(MOD(G$132-1,12)&gt;=5,MOD(G$132-1,12)&lt;=7),MOD(G$132-1,12)=11),1+Inputs!$C$28,1-Inputs!$C$28/2)</f>
        <v>0.9</v>
      </c>
      <c r="H149" s="79" t="n">
        <f aca="false">IF(OR(AND(MOD(H$132-1,12)&gt;=5,MOD(H$132-1,12)&lt;=7),MOD(H$132-1,12)=11),1+Inputs!$C$28,1-Inputs!$C$28/2)</f>
        <v>1.2</v>
      </c>
      <c r="I149" s="79" t="n">
        <f aca="false">IF(OR(AND(MOD(I$132-1,12)&gt;=5,MOD(I$132-1,12)&lt;=7),MOD(I$132-1,12)=11),1+Inputs!$C$28,1-Inputs!$C$28/2)</f>
        <v>1.2</v>
      </c>
      <c r="J149" s="79" t="n">
        <f aca="false">IF(OR(AND(MOD(J$132-1,12)&gt;=5,MOD(J$132-1,12)&lt;=7),MOD(J$132-1,12)=11),1+Inputs!$C$28,1-Inputs!$C$28/2)</f>
        <v>1.2</v>
      </c>
      <c r="K149" s="79" t="n">
        <f aca="false">IF(OR(AND(MOD(K$132-1,12)&gt;=5,MOD(K$132-1,12)&lt;=7),MOD(K$132-1,12)=11),1+Inputs!$C$28,1-Inputs!$C$28/2)</f>
        <v>0.9</v>
      </c>
      <c r="L149" s="79" t="n">
        <f aca="false">IF(OR(AND(MOD(L$132-1,12)&gt;=5,MOD(L$132-1,12)&lt;=7),MOD(L$132-1,12)=11),1+Inputs!$C$28,1-Inputs!$C$28/2)</f>
        <v>0.9</v>
      </c>
      <c r="M149" s="79" t="n">
        <f aca="false">IF(OR(AND(MOD(M$132-1,12)&gt;=5,MOD(M$132-1,12)&lt;=7),MOD(M$132-1,12)=11),1+Inputs!$C$28,1-Inputs!$C$28/2)</f>
        <v>0.9</v>
      </c>
      <c r="N149" s="79" t="n">
        <f aca="false">IF(OR(AND(MOD(N$132-1,12)&gt;=5,MOD(N$132-1,12)&lt;=7),MOD(N$132-1,12)=11),1+Inputs!$C$28,1-Inputs!$C$28/2)</f>
        <v>1.2</v>
      </c>
      <c r="O149" s="79" t="n">
        <f aca="false">IF(OR(AND(MOD(O$132-1,12)&gt;=5,MOD(O$132-1,12)&lt;=7),MOD(O$132-1,12)=11),1+Inputs!$C$28,1-Inputs!$C$28/2)</f>
        <v>0.9</v>
      </c>
      <c r="P149" s="79" t="n">
        <f aca="false">IF(OR(AND(MOD(P$132-1,12)&gt;=5,MOD(P$132-1,12)&lt;=7),MOD(P$132-1,12)=11),1+Inputs!$C$28,1-Inputs!$C$28/2)</f>
        <v>0.9</v>
      </c>
      <c r="Q149" s="79" t="n">
        <f aca="false">IF(OR(AND(MOD(Q$132-1,12)&gt;=5,MOD(Q$132-1,12)&lt;=7),MOD(Q$132-1,12)=11),1+Inputs!$C$28,1-Inputs!$C$28/2)</f>
        <v>0.9</v>
      </c>
      <c r="R149" s="79" t="n">
        <f aca="false">IF(OR(AND(MOD(R$132-1,12)&gt;=5,MOD(R$132-1,12)&lt;=7),MOD(R$132-1,12)=11),1+Inputs!$C$28,1-Inputs!$C$28/2)</f>
        <v>0.9</v>
      </c>
      <c r="S149" s="79" t="n">
        <f aca="false">IF(OR(AND(MOD(S$132-1,12)&gt;=5,MOD(S$132-1,12)&lt;=7),MOD(S$132-1,12)=11),1+Inputs!$C$28,1-Inputs!$C$28/2)</f>
        <v>0.9</v>
      </c>
      <c r="T149" s="79" t="n">
        <f aca="false">IF(OR(AND(MOD(T$132-1,12)&gt;=5,MOD(T$132-1,12)&lt;=7),MOD(T$132-1,12)=11),1+Inputs!$C$28,1-Inputs!$C$28/2)</f>
        <v>1.2</v>
      </c>
      <c r="U149" s="79" t="n">
        <f aca="false">IF(OR(AND(MOD(U$132-1,12)&gt;=5,MOD(U$132-1,12)&lt;=7),MOD(U$132-1,12)=11),1+Inputs!$C$28,1-Inputs!$C$28/2)</f>
        <v>1.2</v>
      </c>
      <c r="V149" s="79" t="n">
        <f aca="false">IF(OR(AND(MOD(V$132-1,12)&gt;=5,MOD(V$132-1,12)&lt;=7),MOD(V$132-1,12)=11),1+Inputs!$C$28,1-Inputs!$C$28/2)</f>
        <v>1.2</v>
      </c>
      <c r="W149" s="79" t="n">
        <f aca="false">IF(OR(AND(MOD(W$132-1,12)&gt;=5,MOD(W$132-1,12)&lt;=7),MOD(W$132-1,12)=11),1+Inputs!$C$28,1-Inputs!$C$28/2)</f>
        <v>0.9</v>
      </c>
      <c r="X149" s="79" t="n">
        <f aca="false">IF(OR(AND(MOD(X$132-1,12)&gt;=5,MOD(X$132-1,12)&lt;=7),MOD(X$132-1,12)=11),1+Inputs!$C$28,1-Inputs!$C$28/2)</f>
        <v>0.9</v>
      </c>
      <c r="Y149" s="79" t="n">
        <f aca="false">IF(OR(AND(MOD(Y$132-1,12)&gt;=5,MOD(Y$132-1,12)&lt;=7),MOD(Y$132-1,12)=11),1+Inputs!$C$28,1-Inputs!$C$28/2)</f>
        <v>0.9</v>
      </c>
      <c r="Z149" s="79" t="n">
        <f aca="false">IF(OR(AND(MOD(Z$132-1,12)&gt;=5,MOD(Z$132-1,12)&lt;=7),MOD(Z$132-1,12)=11),1+Inputs!$C$28,1-Inputs!$C$28/2)</f>
        <v>1.2</v>
      </c>
      <c r="AA149" s="79" t="n">
        <f aca="false">IF(OR(AND(MOD(AA$132-1,12)&gt;=5,MOD(AA$132-1,12)&lt;=7),MOD(AA$132-1,12)=11),1+Inputs!$C$28,1-Inputs!$C$28/2)</f>
        <v>0.9</v>
      </c>
      <c r="AB149" s="79" t="n">
        <f aca="false">IF(OR(AND(MOD(AB$132-1,12)&gt;=5,MOD(AB$132-1,12)&lt;=7),MOD(AB$132-1,12)=11),1+Inputs!$C$28,1-Inputs!$C$28/2)</f>
        <v>0.9</v>
      </c>
      <c r="AC149" s="79" t="n">
        <f aca="false">IF(OR(AND(MOD(AC$132-1,12)&gt;=5,MOD(AC$132-1,12)&lt;=7),MOD(AC$132-1,12)=11),1+Inputs!$C$28,1-Inputs!$C$28/2)</f>
        <v>0.9</v>
      </c>
      <c r="AD149" s="79" t="n">
        <f aca="false">IF(OR(AND(MOD(AD$132-1,12)&gt;=5,MOD(AD$132-1,12)&lt;=7),MOD(AD$132-1,12)=11),1+Inputs!$C$28,1-Inputs!$C$28/2)</f>
        <v>0.9</v>
      </c>
      <c r="AE149" s="79" t="n">
        <f aca="false">IF(OR(AND(MOD(AE$132-1,12)&gt;=5,MOD(AE$132-1,12)&lt;=7),MOD(AE$132-1,12)=11),1+Inputs!$C$28,1-Inputs!$C$28/2)</f>
        <v>0.9</v>
      </c>
      <c r="AF149" s="79" t="n">
        <f aca="false">IF(OR(AND(MOD(AF$132-1,12)&gt;=5,MOD(AF$132-1,12)&lt;=7),MOD(AF$132-1,12)=11),1+Inputs!$C$28,1-Inputs!$C$28/2)</f>
        <v>1.2</v>
      </c>
      <c r="AG149" s="79" t="n">
        <f aca="false">IF(OR(AND(MOD(AG$132-1,12)&gt;=5,MOD(AG$132-1,12)&lt;=7),MOD(AG$132-1,12)=11),1+Inputs!$C$28,1-Inputs!$C$28/2)</f>
        <v>1.2</v>
      </c>
      <c r="AH149" s="79" t="n">
        <f aca="false">IF(OR(AND(MOD(AH$132-1,12)&gt;=5,MOD(AH$132-1,12)&lt;=7),MOD(AH$132-1,12)=11),1+Inputs!$C$28,1-Inputs!$C$28/2)</f>
        <v>1.2</v>
      </c>
      <c r="AI149" s="79" t="n">
        <f aca="false">IF(OR(AND(MOD(AI$132-1,12)&gt;=5,MOD(AI$132-1,12)&lt;=7),MOD(AI$132-1,12)=11),1+Inputs!$C$28,1-Inputs!$C$28/2)</f>
        <v>0.9</v>
      </c>
      <c r="AJ149" s="79" t="n">
        <f aca="false">IF(OR(AND(MOD(AJ$132-1,12)&gt;=5,MOD(AJ$132-1,12)&lt;=7),MOD(AJ$132-1,12)=11),1+Inputs!$C$28,1-Inputs!$C$28/2)</f>
        <v>0.9</v>
      </c>
      <c r="AK149" s="79" t="n">
        <f aca="false">IF(OR(AND(MOD(AK$132-1,12)&gt;=5,MOD(AK$132-1,12)&lt;=7),MOD(AK$132-1,12)=11),1+Inputs!$C$28,1-Inputs!$C$28/2)</f>
        <v>0.9</v>
      </c>
      <c r="AL149" s="79" t="n">
        <f aca="false">IF(OR(AND(MOD(AL$132-1,12)&gt;=5,MOD(AL$132-1,12)&lt;=7),MOD(AL$132-1,12)=11),1+Inputs!$C$28,1-Inputs!$C$28/2)</f>
        <v>1.2</v>
      </c>
    </row>
    <row r="150" customFormat="false" ht="15" hidden="false" customHeight="false" outlineLevel="0" collapsed="false">
      <c r="A150" s="6" t="s">
        <v>394</v>
      </c>
      <c r="C150" s="120" t="n">
        <f aca="false">Inputs!$C$25*Inputs!$C$29*1</f>
        <v>912</v>
      </c>
      <c r="D150" s="120" t="n">
        <f aca="false">Inputs!$C$25*Inputs!$C$29*1</f>
        <v>912</v>
      </c>
      <c r="E150" s="120" t="n">
        <f aca="false">Inputs!$C$25*Inputs!$C$29*1</f>
        <v>912</v>
      </c>
      <c r="F150" s="120" t="n">
        <f aca="false">Inputs!$C$25*Inputs!$C$29*1</f>
        <v>912</v>
      </c>
      <c r="G150" s="120" t="n">
        <f aca="false">Inputs!$C$25*Inputs!$C$29*1</f>
        <v>912</v>
      </c>
      <c r="H150" s="120" t="n">
        <f aca="false">Inputs!$C$25*Inputs!$C$29*1</f>
        <v>912</v>
      </c>
      <c r="I150" s="120" t="n">
        <f aca="false">Inputs!$C$25*Inputs!$C$29*1</f>
        <v>912</v>
      </c>
      <c r="J150" s="120" t="n">
        <f aca="false">Inputs!$C$25*Inputs!$C$29*1</f>
        <v>912</v>
      </c>
      <c r="K150" s="120" t="n">
        <f aca="false">Inputs!$C$25*Inputs!$C$29*1</f>
        <v>912</v>
      </c>
      <c r="L150" s="120" t="n">
        <f aca="false">Inputs!$C$25*Inputs!$C$29*1</f>
        <v>912</v>
      </c>
      <c r="M150" s="120" t="n">
        <f aca="false">Inputs!$C$25*Inputs!$C$29*1</f>
        <v>912</v>
      </c>
      <c r="N150" s="120" t="n">
        <f aca="false">Inputs!$C$25*Inputs!$C$29*1</f>
        <v>912</v>
      </c>
      <c r="O150" s="120" t="n">
        <f aca="false">Inputs!$C$25*Inputs!$C$29*1</f>
        <v>912</v>
      </c>
      <c r="P150" s="120" t="n">
        <f aca="false">Inputs!$C$25*Inputs!$C$29*1</f>
        <v>912</v>
      </c>
      <c r="Q150" s="120" t="n">
        <f aca="false">Inputs!$C$25*Inputs!$C$29*1</f>
        <v>912</v>
      </c>
      <c r="R150" s="120" t="n">
        <f aca="false">Inputs!$C$25*Inputs!$C$29*1</f>
        <v>912</v>
      </c>
      <c r="S150" s="120" t="n">
        <f aca="false">Inputs!$C$25*Inputs!$C$29*1</f>
        <v>912</v>
      </c>
      <c r="T150" s="120" t="n">
        <f aca="false">Inputs!$C$25*Inputs!$C$29*1</f>
        <v>912</v>
      </c>
      <c r="U150" s="120" t="n">
        <f aca="false">Inputs!$C$25*Inputs!$C$29*1</f>
        <v>912</v>
      </c>
      <c r="V150" s="120" t="n">
        <f aca="false">Inputs!$C$25*Inputs!$C$29*1</f>
        <v>912</v>
      </c>
      <c r="W150" s="120" t="n">
        <f aca="false">Inputs!$C$25*Inputs!$C$29*1</f>
        <v>912</v>
      </c>
      <c r="X150" s="120" t="n">
        <f aca="false">Inputs!$C$25*Inputs!$C$29*1</f>
        <v>912</v>
      </c>
      <c r="Y150" s="120" t="n">
        <f aca="false">Inputs!$C$25*Inputs!$C$29*1</f>
        <v>912</v>
      </c>
      <c r="Z150" s="120" t="n">
        <f aca="false">Inputs!$C$25*Inputs!$C$29*1</f>
        <v>912</v>
      </c>
      <c r="AA150" s="120" t="n">
        <f aca="false">Inputs!$C$25*Inputs!$C$29*1</f>
        <v>912</v>
      </c>
      <c r="AB150" s="120" t="n">
        <f aca="false">Inputs!$C$25*Inputs!$C$29*1</f>
        <v>912</v>
      </c>
      <c r="AC150" s="120" t="n">
        <f aca="false">Inputs!$C$25*Inputs!$C$29*1</f>
        <v>912</v>
      </c>
      <c r="AD150" s="120" t="n">
        <f aca="false">Inputs!$C$25*Inputs!$C$29*1</f>
        <v>912</v>
      </c>
      <c r="AE150" s="120" t="n">
        <f aca="false">Inputs!$C$25*Inputs!$C$29*1</f>
        <v>912</v>
      </c>
      <c r="AF150" s="120" t="n">
        <f aca="false">Inputs!$C$25*Inputs!$C$29*1</f>
        <v>912</v>
      </c>
      <c r="AG150" s="120" t="n">
        <f aca="false">Inputs!$C$25*Inputs!$C$29*1</f>
        <v>912</v>
      </c>
      <c r="AH150" s="120" t="n">
        <f aca="false">Inputs!$C$25*Inputs!$C$29*1</f>
        <v>912</v>
      </c>
      <c r="AI150" s="120" t="n">
        <f aca="false">Inputs!$C$25*Inputs!$C$29*1</f>
        <v>912</v>
      </c>
      <c r="AJ150" s="120" t="n">
        <f aca="false">Inputs!$C$25*Inputs!$C$29*1</f>
        <v>912</v>
      </c>
      <c r="AK150" s="120" t="n">
        <f aca="false">Inputs!$C$25*Inputs!$C$29*1</f>
        <v>912</v>
      </c>
      <c r="AL150" s="120" t="n">
        <f aca="false">Inputs!$C$25*Inputs!$C$29*1</f>
        <v>912</v>
      </c>
    </row>
    <row r="151" customFormat="false" ht="15" hidden="false" customHeight="false" outlineLevel="0" collapsed="false">
      <c r="A151" s="39" t="s">
        <v>395</v>
      </c>
      <c r="C151" s="76" t="n">
        <f aca="false">MIN(1,Inputs!$C$26*(1+Inputs!$C$27)^(C$133-1)*C137*C149)</f>
        <v>0.2232</v>
      </c>
      <c r="D151" s="76" t="n">
        <f aca="false">MIN(1,Inputs!$C$26*(1+Inputs!$C$27)^(D$133-1)*D137*D149)</f>
        <v>0.25668</v>
      </c>
      <c r="E151" s="76" t="n">
        <f aca="false">MIN(1,Inputs!$C$26*(1+Inputs!$C$27)^(E$133-1)*E137*E149)</f>
        <v>0.29016</v>
      </c>
      <c r="F151" s="76" t="n">
        <f aca="false">MIN(1,Inputs!$C$26*(1+Inputs!$C$27)^(F$133-1)*F137*F149)</f>
        <v>0.32364</v>
      </c>
      <c r="G151" s="76" t="n">
        <f aca="false">MIN(1,Inputs!$C$26*(1+Inputs!$C$27)^(G$133-1)*G137*G149)</f>
        <v>0.35712</v>
      </c>
      <c r="H151" s="76" t="n">
        <f aca="false">MIN(1,Inputs!$C$26*(1+Inputs!$C$27)^(H$133-1)*H137*H149)</f>
        <v>0.5208</v>
      </c>
      <c r="I151" s="76" t="n">
        <f aca="false">MIN(1,Inputs!$C$26*(1+Inputs!$C$27)^(I$133-1)*I137*I149)</f>
        <v>0.56544</v>
      </c>
      <c r="J151" s="76" t="n">
        <f aca="false">MIN(1,Inputs!$C$26*(1+Inputs!$C$27)^(J$133-1)*J137*J149)</f>
        <v>0.61008</v>
      </c>
      <c r="K151" s="76" t="n">
        <f aca="false">MIN(1,Inputs!$C$26*(1+Inputs!$C$27)^(K$133-1)*K137*K149)</f>
        <v>0.49104</v>
      </c>
      <c r="L151" s="76" t="n">
        <f aca="false">MIN(1,Inputs!$C$26*(1+Inputs!$C$27)^(L$133-1)*L137*L149)</f>
        <v>0.52452</v>
      </c>
      <c r="M151" s="76" t="n">
        <f aca="false">MIN(1,Inputs!$C$26*(1+Inputs!$C$27)^(M$133-1)*M137*M149)</f>
        <v>0.558</v>
      </c>
      <c r="N151" s="76" t="n">
        <f aca="false">MIN(1,Inputs!$C$26*(1+Inputs!$C$27)^(N$133-1)*N137*N149)</f>
        <v>0.744</v>
      </c>
      <c r="O151" s="76" t="n">
        <f aca="false">MIN(1,Inputs!$C$26*(1+Inputs!$C$27)^(O$133-1)*O137*O149)</f>
        <v>0.57474</v>
      </c>
      <c r="P151" s="76" t="n">
        <f aca="false">MIN(1,Inputs!$C$26*(1+Inputs!$C$27)^(P$133-1)*P137*P149)</f>
        <v>0.57474</v>
      </c>
      <c r="Q151" s="76" t="n">
        <f aca="false">MIN(1,Inputs!$C$26*(1+Inputs!$C$27)^(Q$133-1)*Q137*Q149)</f>
        <v>0.57474</v>
      </c>
      <c r="R151" s="76" t="n">
        <f aca="false">MIN(1,Inputs!$C$26*(1+Inputs!$C$27)^(R$133-1)*R137*R149)</f>
        <v>0.57474</v>
      </c>
      <c r="S151" s="76" t="n">
        <f aca="false">MIN(1,Inputs!$C$26*(1+Inputs!$C$27)^(S$133-1)*S137*S149)</f>
        <v>0.57474</v>
      </c>
      <c r="T151" s="76" t="n">
        <f aca="false">MIN(1,Inputs!$C$26*(1+Inputs!$C$27)^(T$133-1)*T137*T149)</f>
        <v>0.76632</v>
      </c>
      <c r="U151" s="76" t="n">
        <f aca="false">MIN(1,Inputs!$C$26*(1+Inputs!$C$27)^(U$133-1)*U137*U149)</f>
        <v>0.76632</v>
      </c>
      <c r="V151" s="76" t="n">
        <f aca="false">MIN(1,Inputs!$C$26*(1+Inputs!$C$27)^(V$133-1)*V137*V149)</f>
        <v>0.76632</v>
      </c>
      <c r="W151" s="76" t="n">
        <f aca="false">MIN(1,Inputs!$C$26*(1+Inputs!$C$27)^(W$133-1)*W137*W149)</f>
        <v>0.57474</v>
      </c>
      <c r="X151" s="76" t="n">
        <f aca="false">MIN(1,Inputs!$C$26*(1+Inputs!$C$27)^(X$133-1)*X137*X149)</f>
        <v>0.57474</v>
      </c>
      <c r="Y151" s="76" t="n">
        <f aca="false">MIN(1,Inputs!$C$26*(1+Inputs!$C$27)^(Y$133-1)*Y137*Y149)</f>
        <v>0.57474</v>
      </c>
      <c r="Z151" s="76" t="n">
        <f aca="false">MIN(1,Inputs!$C$26*(1+Inputs!$C$27)^(Z$133-1)*Z137*Z149)</f>
        <v>0.76632</v>
      </c>
      <c r="AA151" s="76" t="n">
        <f aca="false">MIN(1,Inputs!$C$26*(1+Inputs!$C$27)^(AA$133-1)*AA137*AA149)</f>
        <v>0.5919822</v>
      </c>
      <c r="AB151" s="76" t="n">
        <f aca="false">MIN(1,Inputs!$C$26*(1+Inputs!$C$27)^(AB$133-1)*AB137*AB149)</f>
        <v>0.5919822</v>
      </c>
      <c r="AC151" s="76" t="n">
        <f aca="false">MIN(1,Inputs!$C$26*(1+Inputs!$C$27)^(AC$133-1)*AC137*AC149)</f>
        <v>0.5919822</v>
      </c>
      <c r="AD151" s="76" t="n">
        <f aca="false">MIN(1,Inputs!$C$26*(1+Inputs!$C$27)^(AD$133-1)*AD137*AD149)</f>
        <v>0.5919822</v>
      </c>
      <c r="AE151" s="76" t="n">
        <f aca="false">MIN(1,Inputs!$C$26*(1+Inputs!$C$27)^(AE$133-1)*AE137*AE149)</f>
        <v>0.5919822</v>
      </c>
      <c r="AF151" s="76" t="n">
        <f aca="false">MIN(1,Inputs!$C$26*(1+Inputs!$C$27)^(AF$133-1)*AF137*AF149)</f>
        <v>0.7893096</v>
      </c>
      <c r="AG151" s="76" t="n">
        <f aca="false">MIN(1,Inputs!$C$26*(1+Inputs!$C$27)^(AG$133-1)*AG137*AG149)</f>
        <v>0.7893096</v>
      </c>
      <c r="AH151" s="76" t="n">
        <f aca="false">MIN(1,Inputs!$C$26*(1+Inputs!$C$27)^(AH$133-1)*AH137*AH149)</f>
        <v>0.7893096</v>
      </c>
      <c r="AI151" s="76" t="n">
        <f aca="false">MIN(1,Inputs!$C$26*(1+Inputs!$C$27)^(AI$133-1)*AI137*AI149)</f>
        <v>0.5919822</v>
      </c>
      <c r="AJ151" s="76" t="n">
        <f aca="false">MIN(1,Inputs!$C$26*(1+Inputs!$C$27)^(AJ$133-1)*AJ137*AJ149)</f>
        <v>0.5919822</v>
      </c>
      <c r="AK151" s="76" t="n">
        <f aca="false">MIN(1,Inputs!$C$26*(1+Inputs!$C$27)^(AK$133-1)*AK137*AK149)</f>
        <v>0.5919822</v>
      </c>
      <c r="AL151" s="76" t="n">
        <f aca="false">MIN(1,Inputs!$C$26*(1+Inputs!$C$27)^(AL$133-1)*AL137*AL149)</f>
        <v>0.7893096</v>
      </c>
    </row>
    <row r="152" customFormat="false" ht="15" hidden="false" customHeight="false" outlineLevel="0" collapsed="false">
      <c r="A152" s="4" t="s">
        <v>234</v>
      </c>
      <c r="C152" s="122" t="n">
        <f aca="false">C150*C151</f>
        <v>203.5584</v>
      </c>
      <c r="D152" s="122" t="n">
        <f aca="false">D150*D151</f>
        <v>234.09216</v>
      </c>
      <c r="E152" s="122" t="n">
        <f aca="false">E150*E151</f>
        <v>264.62592</v>
      </c>
      <c r="F152" s="122" t="n">
        <f aca="false">F150*F151</f>
        <v>295.15968</v>
      </c>
      <c r="G152" s="122" t="n">
        <f aca="false">G150*G151</f>
        <v>325.69344</v>
      </c>
      <c r="H152" s="122" t="n">
        <f aca="false">H150*H151</f>
        <v>474.9696</v>
      </c>
      <c r="I152" s="122" t="n">
        <f aca="false">I150*I151</f>
        <v>515.68128</v>
      </c>
      <c r="J152" s="122" t="n">
        <f aca="false">J150*J151</f>
        <v>556.39296</v>
      </c>
      <c r="K152" s="122" t="n">
        <f aca="false">K150*K151</f>
        <v>447.82848</v>
      </c>
      <c r="L152" s="122" t="n">
        <f aca="false">L150*L151</f>
        <v>478.36224</v>
      </c>
      <c r="M152" s="122" t="n">
        <f aca="false">M150*M151</f>
        <v>508.896</v>
      </c>
      <c r="N152" s="122" t="n">
        <f aca="false">N150*N151</f>
        <v>678.528</v>
      </c>
      <c r="O152" s="122" t="n">
        <f aca="false">O150*O151</f>
        <v>524.16288</v>
      </c>
      <c r="P152" s="122" t="n">
        <f aca="false">P150*P151</f>
        <v>524.16288</v>
      </c>
      <c r="Q152" s="122" t="n">
        <f aca="false">Q150*Q151</f>
        <v>524.16288</v>
      </c>
      <c r="R152" s="122" t="n">
        <f aca="false">R150*R151</f>
        <v>524.16288</v>
      </c>
      <c r="S152" s="122" t="n">
        <f aca="false">S150*S151</f>
        <v>524.16288</v>
      </c>
      <c r="T152" s="122" t="n">
        <f aca="false">T150*T151</f>
        <v>698.88384</v>
      </c>
      <c r="U152" s="122" t="n">
        <f aca="false">U150*U151</f>
        <v>698.88384</v>
      </c>
      <c r="V152" s="122" t="n">
        <f aca="false">V150*V151</f>
        <v>698.88384</v>
      </c>
      <c r="W152" s="122" t="n">
        <f aca="false">W150*W151</f>
        <v>524.16288</v>
      </c>
      <c r="X152" s="122" t="n">
        <f aca="false">X150*X151</f>
        <v>524.16288</v>
      </c>
      <c r="Y152" s="122" t="n">
        <f aca="false">Y150*Y151</f>
        <v>524.16288</v>
      </c>
      <c r="Z152" s="122" t="n">
        <f aca="false">Z150*Z151</f>
        <v>698.88384</v>
      </c>
      <c r="AA152" s="122" t="n">
        <f aca="false">AA150*AA151</f>
        <v>539.8877664</v>
      </c>
      <c r="AB152" s="122" t="n">
        <f aca="false">AB150*AB151</f>
        <v>539.8877664</v>
      </c>
      <c r="AC152" s="122" t="n">
        <f aca="false">AC150*AC151</f>
        <v>539.8877664</v>
      </c>
      <c r="AD152" s="122" t="n">
        <f aca="false">AD150*AD151</f>
        <v>539.8877664</v>
      </c>
      <c r="AE152" s="122" t="n">
        <f aca="false">AE150*AE151</f>
        <v>539.8877664</v>
      </c>
      <c r="AF152" s="122" t="n">
        <f aca="false">AF150*AF151</f>
        <v>719.8503552</v>
      </c>
      <c r="AG152" s="122" t="n">
        <f aca="false">AG150*AG151</f>
        <v>719.8503552</v>
      </c>
      <c r="AH152" s="122" t="n">
        <f aca="false">AH150*AH151</f>
        <v>719.8503552</v>
      </c>
      <c r="AI152" s="122" t="n">
        <f aca="false">AI150*AI151</f>
        <v>539.8877664</v>
      </c>
      <c r="AJ152" s="122" t="n">
        <f aca="false">AJ150*AJ151</f>
        <v>539.8877664</v>
      </c>
      <c r="AK152" s="122" t="n">
        <f aca="false">AK150*AK151</f>
        <v>539.8877664</v>
      </c>
      <c r="AL152" s="122" t="n">
        <f aca="false">AL150*AL151</f>
        <v>719.8503552</v>
      </c>
    </row>
    <row r="154" customFormat="false" ht="15.75" hidden="false" customHeight="true" outlineLevel="0" collapsed="false">
      <c r="A154" s="7" t="s">
        <v>44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customFormat="false" ht="15" hidden="false" customHeight="false" outlineLevel="0" collapsed="false">
      <c r="A155" s="6" t="s">
        <v>396</v>
      </c>
      <c r="C155" s="123" t="n">
        <f aca="false">Inputs!$C$19*(1+Inputs!$C$20)^(C$133-1)</f>
        <v>75</v>
      </c>
      <c r="D155" s="123" t="n">
        <f aca="false">Inputs!$C$19*(1+Inputs!$C$20)^(D$133-1)</f>
        <v>75</v>
      </c>
      <c r="E155" s="123" t="n">
        <f aca="false">Inputs!$C$19*(1+Inputs!$C$20)^(E$133-1)</f>
        <v>75</v>
      </c>
      <c r="F155" s="123" t="n">
        <f aca="false">Inputs!$C$19*(1+Inputs!$C$20)^(F$133-1)</f>
        <v>75</v>
      </c>
      <c r="G155" s="123" t="n">
        <f aca="false">Inputs!$C$19*(1+Inputs!$C$20)^(G$133-1)</f>
        <v>75</v>
      </c>
      <c r="H155" s="123" t="n">
        <f aca="false">Inputs!$C$19*(1+Inputs!$C$20)^(H$133-1)</f>
        <v>75</v>
      </c>
      <c r="I155" s="123" t="n">
        <f aca="false">Inputs!$C$19*(1+Inputs!$C$20)^(I$133-1)</f>
        <v>75</v>
      </c>
      <c r="J155" s="123" t="n">
        <f aca="false">Inputs!$C$19*(1+Inputs!$C$20)^(J$133-1)</f>
        <v>75</v>
      </c>
      <c r="K155" s="123" t="n">
        <f aca="false">Inputs!$C$19*(1+Inputs!$C$20)^(K$133-1)</f>
        <v>75</v>
      </c>
      <c r="L155" s="123" t="n">
        <f aca="false">Inputs!$C$19*(1+Inputs!$C$20)^(L$133-1)</f>
        <v>75</v>
      </c>
      <c r="M155" s="123" t="n">
        <f aca="false">Inputs!$C$19*(1+Inputs!$C$20)^(M$133-1)</f>
        <v>75</v>
      </c>
      <c r="N155" s="123" t="n">
        <f aca="false">Inputs!$C$19*(1+Inputs!$C$20)^(N$133-1)</f>
        <v>75</v>
      </c>
      <c r="O155" s="123" t="n">
        <f aca="false">Inputs!$C$19*(1+Inputs!$C$20)^(O$133-1)</f>
        <v>77.25</v>
      </c>
      <c r="P155" s="123" t="n">
        <f aca="false">Inputs!$C$19*(1+Inputs!$C$20)^(P$133-1)</f>
        <v>77.25</v>
      </c>
      <c r="Q155" s="123" t="n">
        <f aca="false">Inputs!$C$19*(1+Inputs!$C$20)^(Q$133-1)</f>
        <v>77.25</v>
      </c>
      <c r="R155" s="123" t="n">
        <f aca="false">Inputs!$C$19*(1+Inputs!$C$20)^(R$133-1)</f>
        <v>77.25</v>
      </c>
      <c r="S155" s="123" t="n">
        <f aca="false">Inputs!$C$19*(1+Inputs!$C$20)^(S$133-1)</f>
        <v>77.25</v>
      </c>
      <c r="T155" s="123" t="n">
        <f aca="false">Inputs!$C$19*(1+Inputs!$C$20)^(T$133-1)</f>
        <v>77.25</v>
      </c>
      <c r="U155" s="123" t="n">
        <f aca="false">Inputs!$C$19*(1+Inputs!$C$20)^(U$133-1)</f>
        <v>77.25</v>
      </c>
      <c r="V155" s="123" t="n">
        <f aca="false">Inputs!$C$19*(1+Inputs!$C$20)^(V$133-1)</f>
        <v>77.25</v>
      </c>
      <c r="W155" s="123" t="n">
        <f aca="false">Inputs!$C$19*(1+Inputs!$C$20)^(W$133-1)</f>
        <v>77.25</v>
      </c>
      <c r="X155" s="123" t="n">
        <f aca="false">Inputs!$C$19*(1+Inputs!$C$20)^(X$133-1)</f>
        <v>77.25</v>
      </c>
      <c r="Y155" s="123" t="n">
        <f aca="false">Inputs!$C$19*(1+Inputs!$C$20)^(Y$133-1)</f>
        <v>77.25</v>
      </c>
      <c r="Z155" s="123" t="n">
        <f aca="false">Inputs!$C$19*(1+Inputs!$C$20)^(Z$133-1)</f>
        <v>77.25</v>
      </c>
      <c r="AA155" s="123" t="n">
        <f aca="false">Inputs!$C$19*(1+Inputs!$C$20)^(AA$133-1)</f>
        <v>79.5675</v>
      </c>
      <c r="AB155" s="123" t="n">
        <f aca="false">Inputs!$C$19*(1+Inputs!$C$20)^(AB$133-1)</f>
        <v>79.5675</v>
      </c>
      <c r="AC155" s="123" t="n">
        <f aca="false">Inputs!$C$19*(1+Inputs!$C$20)^(AC$133-1)</f>
        <v>79.5675</v>
      </c>
      <c r="AD155" s="123" t="n">
        <f aca="false">Inputs!$C$19*(1+Inputs!$C$20)^(AD$133-1)</f>
        <v>79.5675</v>
      </c>
      <c r="AE155" s="123" t="n">
        <f aca="false">Inputs!$C$19*(1+Inputs!$C$20)^(AE$133-1)</f>
        <v>79.5675</v>
      </c>
      <c r="AF155" s="123" t="n">
        <f aca="false">Inputs!$C$19*(1+Inputs!$C$20)^(AF$133-1)</f>
        <v>79.5675</v>
      </c>
      <c r="AG155" s="123" t="n">
        <f aca="false">Inputs!$C$19*(1+Inputs!$C$20)^(AG$133-1)</f>
        <v>79.5675</v>
      </c>
      <c r="AH155" s="123" t="n">
        <f aca="false">Inputs!$C$19*(1+Inputs!$C$20)^(AH$133-1)</f>
        <v>79.5675</v>
      </c>
      <c r="AI155" s="123" t="n">
        <f aca="false">Inputs!$C$19*(1+Inputs!$C$20)^(AI$133-1)</f>
        <v>79.5675</v>
      </c>
      <c r="AJ155" s="123" t="n">
        <f aca="false">Inputs!$C$19*(1+Inputs!$C$20)^(AJ$133-1)</f>
        <v>79.5675</v>
      </c>
      <c r="AK155" s="123" t="n">
        <f aca="false">Inputs!$C$19*(1+Inputs!$C$20)^(AK$133-1)</f>
        <v>79.5675</v>
      </c>
      <c r="AL155" s="123" t="n">
        <f aca="false">Inputs!$C$19*(1+Inputs!$C$20)^(AL$133-1)</f>
        <v>79.5675</v>
      </c>
    </row>
    <row r="156" customFormat="false" ht="15" hidden="false" customHeight="false" outlineLevel="0" collapsed="false">
      <c r="A156" s="6" t="s">
        <v>236</v>
      </c>
      <c r="C156" s="69" t="n">
        <f aca="false">C145*C155</f>
        <v>12480</v>
      </c>
      <c r="D156" s="69" t="n">
        <f aca="false">D145*D155</f>
        <v>14352</v>
      </c>
      <c r="E156" s="69" t="n">
        <f aca="false">E145*E155</f>
        <v>16224</v>
      </c>
      <c r="F156" s="69" t="n">
        <f aca="false">F145*F155</f>
        <v>18096</v>
      </c>
      <c r="G156" s="69" t="n">
        <f aca="false">G145*G155</f>
        <v>19968</v>
      </c>
      <c r="H156" s="69" t="n">
        <f aca="false">H145*H155</f>
        <v>21840</v>
      </c>
      <c r="I156" s="69" t="n">
        <f aca="false">I145*I155</f>
        <v>23712</v>
      </c>
      <c r="J156" s="69" t="n">
        <f aca="false">J145*J155</f>
        <v>25584</v>
      </c>
      <c r="K156" s="69" t="n">
        <f aca="false">K145*K155</f>
        <v>27456</v>
      </c>
      <c r="L156" s="69" t="n">
        <f aca="false">L145*L155</f>
        <v>29328</v>
      </c>
      <c r="M156" s="69" t="n">
        <f aca="false">M145*M155</f>
        <v>31200</v>
      </c>
      <c r="N156" s="69" t="n">
        <f aca="false">N145*N155</f>
        <v>31200</v>
      </c>
      <c r="O156" s="69" t="n">
        <f aca="false">O145*O155</f>
        <v>33100.08</v>
      </c>
      <c r="P156" s="69" t="n">
        <f aca="false">P145*P155</f>
        <v>33100.08</v>
      </c>
      <c r="Q156" s="69" t="n">
        <f aca="false">Q145*Q155</f>
        <v>33100.08</v>
      </c>
      <c r="R156" s="69" t="n">
        <f aca="false">R145*R155</f>
        <v>33100.08</v>
      </c>
      <c r="S156" s="69" t="n">
        <f aca="false">S145*S155</f>
        <v>33100.08</v>
      </c>
      <c r="T156" s="69" t="n">
        <f aca="false">T145*T155</f>
        <v>33100.08</v>
      </c>
      <c r="U156" s="69" t="n">
        <f aca="false">U145*U155</f>
        <v>33100.08</v>
      </c>
      <c r="V156" s="69" t="n">
        <f aca="false">V145*V155</f>
        <v>33100.08</v>
      </c>
      <c r="W156" s="69" t="n">
        <f aca="false">W145*W155</f>
        <v>33100.08</v>
      </c>
      <c r="X156" s="69" t="n">
        <f aca="false">X145*X155</f>
        <v>33100.08</v>
      </c>
      <c r="Y156" s="69" t="n">
        <f aca="false">Y145*Y155</f>
        <v>33100.08</v>
      </c>
      <c r="Z156" s="69" t="n">
        <f aca="false">Z145*Z155</f>
        <v>33100.08</v>
      </c>
      <c r="AA156" s="69" t="n">
        <f aca="false">AA145*AA155</f>
        <v>35115.874872</v>
      </c>
      <c r="AB156" s="69" t="n">
        <f aca="false">AB145*AB155</f>
        <v>35115.874872</v>
      </c>
      <c r="AC156" s="69" t="n">
        <f aca="false">AC145*AC155</f>
        <v>35115.874872</v>
      </c>
      <c r="AD156" s="69" t="n">
        <f aca="false">AD145*AD155</f>
        <v>35115.874872</v>
      </c>
      <c r="AE156" s="69" t="n">
        <f aca="false">AE145*AE155</f>
        <v>35115.874872</v>
      </c>
      <c r="AF156" s="69" t="n">
        <f aca="false">AF145*AF155</f>
        <v>35115.874872</v>
      </c>
      <c r="AG156" s="69" t="n">
        <f aca="false">AG145*AG155</f>
        <v>35115.874872</v>
      </c>
      <c r="AH156" s="69" t="n">
        <f aca="false">AH145*AH155</f>
        <v>35115.874872</v>
      </c>
      <c r="AI156" s="69" t="n">
        <f aca="false">AI145*AI155</f>
        <v>35115.874872</v>
      </c>
      <c r="AJ156" s="69" t="n">
        <f aca="false">AJ145*AJ155</f>
        <v>35115.874872</v>
      </c>
      <c r="AK156" s="69" t="n">
        <f aca="false">AK145*AK155</f>
        <v>35115.874872</v>
      </c>
      <c r="AL156" s="69" t="n">
        <f aca="false">AL145*AL155</f>
        <v>35115.874872</v>
      </c>
    </row>
    <row r="157" customFormat="false" ht="15" hidden="false" customHeight="false" outlineLevel="0" collapsed="false">
      <c r="A157" s="6" t="s">
        <v>237</v>
      </c>
      <c r="C157" s="69" t="n">
        <f aca="false">C152*Inputs!$C$30*(1+Inputs!$C$20)^(C$133-1)</f>
        <v>11195.712</v>
      </c>
      <c r="D157" s="69" t="n">
        <f aca="false">D152*Inputs!$C$30*(1+Inputs!$C$20)^(D$133-1)</f>
        <v>12875.0688</v>
      </c>
      <c r="E157" s="69" t="n">
        <f aca="false">E152*Inputs!$C$30*(1+Inputs!$C$20)^(E$133-1)</f>
        <v>14554.4256</v>
      </c>
      <c r="F157" s="69" t="n">
        <f aca="false">F152*Inputs!$C$30*(1+Inputs!$C$20)^(F$133-1)</f>
        <v>16233.7824</v>
      </c>
      <c r="G157" s="69" t="n">
        <f aca="false">G152*Inputs!$C$30*(1+Inputs!$C$20)^(G$133-1)</f>
        <v>17913.1392</v>
      </c>
      <c r="H157" s="69" t="n">
        <f aca="false">H152*Inputs!$C$30*(1+Inputs!$C$20)^(H$133-1)</f>
        <v>26123.328</v>
      </c>
      <c r="I157" s="69" t="n">
        <f aca="false">I152*Inputs!$C$30*(1+Inputs!$C$20)^(I$133-1)</f>
        <v>28362.4704</v>
      </c>
      <c r="J157" s="69" t="n">
        <f aca="false">J152*Inputs!$C$30*(1+Inputs!$C$20)^(J$133-1)</f>
        <v>30601.6128</v>
      </c>
      <c r="K157" s="69" t="n">
        <f aca="false">K152*Inputs!$C$30*(1+Inputs!$C$20)^(K$133-1)</f>
        <v>24630.5664</v>
      </c>
      <c r="L157" s="69" t="n">
        <f aca="false">L152*Inputs!$C$30*(1+Inputs!$C$20)^(L$133-1)</f>
        <v>26309.9232</v>
      </c>
      <c r="M157" s="69" t="n">
        <f aca="false">M152*Inputs!$C$30*(1+Inputs!$C$20)^(M$133-1)</f>
        <v>27989.28</v>
      </c>
      <c r="N157" s="69" t="n">
        <f aca="false">N152*Inputs!$C$30*(1+Inputs!$C$20)^(N$133-1)</f>
        <v>37319.04</v>
      </c>
      <c r="O157" s="69" t="n">
        <f aca="false">O152*Inputs!$C$30*(1+Inputs!$C$20)^(O$133-1)</f>
        <v>29693.827152</v>
      </c>
      <c r="P157" s="69" t="n">
        <f aca="false">P152*Inputs!$C$30*(1+Inputs!$C$20)^(P$133-1)</f>
        <v>29693.827152</v>
      </c>
      <c r="Q157" s="69" t="n">
        <f aca="false">Q152*Inputs!$C$30*(1+Inputs!$C$20)^(Q$133-1)</f>
        <v>29693.827152</v>
      </c>
      <c r="R157" s="69" t="n">
        <f aca="false">R152*Inputs!$C$30*(1+Inputs!$C$20)^(R$133-1)</f>
        <v>29693.827152</v>
      </c>
      <c r="S157" s="69" t="n">
        <f aca="false">S152*Inputs!$C$30*(1+Inputs!$C$20)^(S$133-1)</f>
        <v>29693.827152</v>
      </c>
      <c r="T157" s="69" t="n">
        <f aca="false">T152*Inputs!$C$30*(1+Inputs!$C$20)^(T$133-1)</f>
        <v>39591.769536</v>
      </c>
      <c r="U157" s="69" t="n">
        <f aca="false">U152*Inputs!$C$30*(1+Inputs!$C$20)^(U$133-1)</f>
        <v>39591.769536</v>
      </c>
      <c r="V157" s="69" t="n">
        <f aca="false">V152*Inputs!$C$30*(1+Inputs!$C$20)^(V$133-1)</f>
        <v>39591.769536</v>
      </c>
      <c r="W157" s="69" t="n">
        <f aca="false">W152*Inputs!$C$30*(1+Inputs!$C$20)^(W$133-1)</f>
        <v>29693.827152</v>
      </c>
      <c r="X157" s="69" t="n">
        <f aca="false">X152*Inputs!$C$30*(1+Inputs!$C$20)^(X$133-1)</f>
        <v>29693.827152</v>
      </c>
      <c r="Y157" s="69" t="n">
        <f aca="false">Y152*Inputs!$C$30*(1+Inputs!$C$20)^(Y$133-1)</f>
        <v>29693.827152</v>
      </c>
      <c r="Z157" s="69" t="n">
        <f aca="false">Z152*Inputs!$C$30*(1+Inputs!$C$20)^(Z$133-1)</f>
        <v>39591.769536</v>
      </c>
      <c r="AA157" s="69" t="n">
        <f aca="false">AA152*Inputs!$C$30*(1+Inputs!$C$20)^(AA$133-1)</f>
        <v>31502.1812255568</v>
      </c>
      <c r="AB157" s="69" t="n">
        <f aca="false">AB152*Inputs!$C$30*(1+Inputs!$C$20)^(AB$133-1)</f>
        <v>31502.1812255568</v>
      </c>
      <c r="AC157" s="69" t="n">
        <f aca="false">AC152*Inputs!$C$30*(1+Inputs!$C$20)^(AC$133-1)</f>
        <v>31502.1812255568</v>
      </c>
      <c r="AD157" s="69" t="n">
        <f aca="false">AD152*Inputs!$C$30*(1+Inputs!$C$20)^(AD$133-1)</f>
        <v>31502.1812255568</v>
      </c>
      <c r="AE157" s="69" t="n">
        <f aca="false">AE152*Inputs!$C$30*(1+Inputs!$C$20)^(AE$133-1)</f>
        <v>31502.1812255568</v>
      </c>
      <c r="AF157" s="69" t="n">
        <f aca="false">AF152*Inputs!$C$30*(1+Inputs!$C$20)^(AF$133-1)</f>
        <v>42002.9083007424</v>
      </c>
      <c r="AG157" s="69" t="n">
        <f aca="false">AG152*Inputs!$C$30*(1+Inputs!$C$20)^(AG$133-1)</f>
        <v>42002.9083007424</v>
      </c>
      <c r="AH157" s="69" t="n">
        <f aca="false">AH152*Inputs!$C$30*(1+Inputs!$C$20)^(AH$133-1)</f>
        <v>42002.9083007424</v>
      </c>
      <c r="AI157" s="69" t="n">
        <f aca="false">AI152*Inputs!$C$30*(1+Inputs!$C$20)^(AI$133-1)</f>
        <v>31502.1812255568</v>
      </c>
      <c r="AJ157" s="69" t="n">
        <f aca="false">AJ152*Inputs!$C$30*(1+Inputs!$C$20)^(AJ$133-1)</f>
        <v>31502.1812255568</v>
      </c>
      <c r="AK157" s="69" t="n">
        <f aca="false">AK152*Inputs!$C$30*(1+Inputs!$C$20)^(AK$133-1)</f>
        <v>31502.1812255568</v>
      </c>
      <c r="AL157" s="69" t="n">
        <f aca="false">AL152*Inputs!$C$30*(1+Inputs!$C$20)^(AL$133-1)</f>
        <v>42002.9083007424</v>
      </c>
    </row>
    <row r="158" customFormat="false" ht="15" hidden="false" customHeight="false" outlineLevel="0" collapsed="false">
      <c r="A158" s="6" t="s">
        <v>238</v>
      </c>
      <c r="C158" s="69" t="n">
        <f aca="false">C145*Inputs!$C$21*(1+Inputs!$C$20)^(C$133-1)</f>
        <v>1331.2</v>
      </c>
      <c r="D158" s="69" t="n">
        <f aca="false">D145*Inputs!$C$21*(1+Inputs!$C$20)^(D$133-1)</f>
        <v>1530.88</v>
      </c>
      <c r="E158" s="69" t="n">
        <f aca="false">E145*Inputs!$C$21*(1+Inputs!$C$20)^(E$133-1)</f>
        <v>1730.56</v>
      </c>
      <c r="F158" s="69" t="n">
        <f aca="false">F145*Inputs!$C$21*(1+Inputs!$C$20)^(F$133-1)</f>
        <v>1930.24</v>
      </c>
      <c r="G158" s="69" t="n">
        <f aca="false">G145*Inputs!$C$21*(1+Inputs!$C$20)^(G$133-1)</f>
        <v>2129.92</v>
      </c>
      <c r="H158" s="69" t="n">
        <f aca="false">H145*Inputs!$C$21*(1+Inputs!$C$20)^(H$133-1)</f>
        <v>2329.6</v>
      </c>
      <c r="I158" s="69" t="n">
        <f aca="false">I145*Inputs!$C$21*(1+Inputs!$C$20)^(I$133-1)</f>
        <v>2529.28</v>
      </c>
      <c r="J158" s="69" t="n">
        <f aca="false">J145*Inputs!$C$21*(1+Inputs!$C$20)^(J$133-1)</f>
        <v>2728.96</v>
      </c>
      <c r="K158" s="69" t="n">
        <f aca="false">K145*Inputs!$C$21*(1+Inputs!$C$20)^(K$133-1)</f>
        <v>2928.64</v>
      </c>
      <c r="L158" s="69" t="n">
        <f aca="false">L145*Inputs!$C$21*(1+Inputs!$C$20)^(L$133-1)</f>
        <v>3128.32</v>
      </c>
      <c r="M158" s="69" t="n">
        <f aca="false">M145*Inputs!$C$21*(1+Inputs!$C$20)^(M$133-1)</f>
        <v>3328</v>
      </c>
      <c r="N158" s="69" t="n">
        <f aca="false">N145*Inputs!$C$21*(1+Inputs!$C$20)^(N$133-1)</f>
        <v>3328</v>
      </c>
      <c r="O158" s="69" t="n">
        <f aca="false">O145*Inputs!$C$21*(1+Inputs!$C$20)^(O$133-1)</f>
        <v>3530.6752</v>
      </c>
      <c r="P158" s="69" t="n">
        <f aca="false">P145*Inputs!$C$21*(1+Inputs!$C$20)^(P$133-1)</f>
        <v>3530.6752</v>
      </c>
      <c r="Q158" s="69" t="n">
        <f aca="false">Q145*Inputs!$C$21*(1+Inputs!$C$20)^(Q$133-1)</f>
        <v>3530.6752</v>
      </c>
      <c r="R158" s="69" t="n">
        <f aca="false">R145*Inputs!$C$21*(1+Inputs!$C$20)^(R$133-1)</f>
        <v>3530.6752</v>
      </c>
      <c r="S158" s="69" t="n">
        <f aca="false">S145*Inputs!$C$21*(1+Inputs!$C$20)^(S$133-1)</f>
        <v>3530.6752</v>
      </c>
      <c r="T158" s="69" t="n">
        <f aca="false">T145*Inputs!$C$21*(1+Inputs!$C$20)^(T$133-1)</f>
        <v>3530.6752</v>
      </c>
      <c r="U158" s="69" t="n">
        <f aca="false">U145*Inputs!$C$21*(1+Inputs!$C$20)^(U$133-1)</f>
        <v>3530.6752</v>
      </c>
      <c r="V158" s="69" t="n">
        <f aca="false">V145*Inputs!$C$21*(1+Inputs!$C$20)^(V$133-1)</f>
        <v>3530.6752</v>
      </c>
      <c r="W158" s="69" t="n">
        <f aca="false">W145*Inputs!$C$21*(1+Inputs!$C$20)^(W$133-1)</f>
        <v>3530.6752</v>
      </c>
      <c r="X158" s="69" t="n">
        <f aca="false">X145*Inputs!$C$21*(1+Inputs!$C$20)^(X$133-1)</f>
        <v>3530.6752</v>
      </c>
      <c r="Y158" s="69" t="n">
        <f aca="false">Y145*Inputs!$C$21*(1+Inputs!$C$20)^(Y$133-1)</f>
        <v>3530.6752</v>
      </c>
      <c r="Z158" s="69" t="n">
        <f aca="false">Z145*Inputs!$C$21*(1+Inputs!$C$20)^(Z$133-1)</f>
        <v>3530.6752</v>
      </c>
      <c r="AA158" s="69" t="n">
        <f aca="false">AA145*Inputs!$C$21*(1+Inputs!$C$20)^(AA$133-1)</f>
        <v>3745.69331968</v>
      </c>
      <c r="AB158" s="69" t="n">
        <f aca="false">AB145*Inputs!$C$21*(1+Inputs!$C$20)^(AB$133-1)</f>
        <v>3745.69331968</v>
      </c>
      <c r="AC158" s="69" t="n">
        <f aca="false">AC145*Inputs!$C$21*(1+Inputs!$C$20)^(AC$133-1)</f>
        <v>3745.69331968</v>
      </c>
      <c r="AD158" s="69" t="n">
        <f aca="false">AD145*Inputs!$C$21*(1+Inputs!$C$20)^(AD$133-1)</f>
        <v>3745.69331968</v>
      </c>
      <c r="AE158" s="69" t="n">
        <f aca="false">AE145*Inputs!$C$21*(1+Inputs!$C$20)^(AE$133-1)</f>
        <v>3745.69331968</v>
      </c>
      <c r="AF158" s="69" t="n">
        <f aca="false">AF145*Inputs!$C$21*(1+Inputs!$C$20)^(AF$133-1)</f>
        <v>3745.69331968</v>
      </c>
      <c r="AG158" s="69" t="n">
        <f aca="false">AG145*Inputs!$C$21*(1+Inputs!$C$20)^(AG$133-1)</f>
        <v>3745.69331968</v>
      </c>
      <c r="AH158" s="69" t="n">
        <f aca="false">AH145*Inputs!$C$21*(1+Inputs!$C$20)^(AH$133-1)</f>
        <v>3745.69331968</v>
      </c>
      <c r="AI158" s="69" t="n">
        <f aca="false">AI145*Inputs!$C$21*(1+Inputs!$C$20)^(AI$133-1)</f>
        <v>3745.69331968</v>
      </c>
      <c r="AJ158" s="69" t="n">
        <f aca="false">AJ145*Inputs!$C$21*(1+Inputs!$C$20)^(AJ$133-1)</f>
        <v>3745.69331968</v>
      </c>
      <c r="AK158" s="69" t="n">
        <f aca="false">AK145*Inputs!$C$21*(1+Inputs!$C$20)^(AK$133-1)</f>
        <v>3745.69331968</v>
      </c>
      <c r="AL158" s="69" t="n">
        <f aca="false">AL145*Inputs!$C$21*(1+Inputs!$C$20)^(AL$133-1)</f>
        <v>3745.69331968</v>
      </c>
    </row>
    <row r="159" customFormat="false" ht="15" hidden="false" customHeight="false" outlineLevel="0" collapsed="false">
      <c r="A159" s="115" t="s">
        <v>44</v>
      </c>
      <c r="C159" s="70" t="n">
        <f aca="false">C156+C157+C158</f>
        <v>25006.912</v>
      </c>
      <c r="D159" s="70" t="n">
        <f aca="false">D156+D157+D158</f>
        <v>28757.9488</v>
      </c>
      <c r="E159" s="70" t="n">
        <f aca="false">E156+E157+E158</f>
        <v>32508.9856</v>
      </c>
      <c r="F159" s="70" t="n">
        <f aca="false">F156+F157+F158</f>
        <v>36260.0224</v>
      </c>
      <c r="G159" s="70" t="n">
        <f aca="false">G156+G157+G158</f>
        <v>40011.0592</v>
      </c>
      <c r="H159" s="70" t="n">
        <f aca="false">H156+H157+H158</f>
        <v>50292.928</v>
      </c>
      <c r="I159" s="70" t="n">
        <f aca="false">I156+I157+I158</f>
        <v>54603.7504</v>
      </c>
      <c r="J159" s="70" t="n">
        <f aca="false">J156+J157+J158</f>
        <v>58914.5728</v>
      </c>
      <c r="K159" s="70" t="n">
        <f aca="false">K156+K157+K158</f>
        <v>55015.2064</v>
      </c>
      <c r="L159" s="70" t="n">
        <f aca="false">L156+L157+L158</f>
        <v>58766.2432</v>
      </c>
      <c r="M159" s="70" t="n">
        <f aca="false">M156+M157+M158</f>
        <v>62517.28</v>
      </c>
      <c r="N159" s="70" t="n">
        <f aca="false">N156+N157+N158</f>
        <v>71847.04</v>
      </c>
      <c r="O159" s="70" t="n">
        <f aca="false">O156+O157+O158</f>
        <v>66324.582352</v>
      </c>
      <c r="P159" s="70" t="n">
        <f aca="false">P156+P157+P158</f>
        <v>66324.582352</v>
      </c>
      <c r="Q159" s="70" t="n">
        <f aca="false">Q156+Q157+Q158</f>
        <v>66324.582352</v>
      </c>
      <c r="R159" s="70" t="n">
        <f aca="false">R156+R157+R158</f>
        <v>66324.582352</v>
      </c>
      <c r="S159" s="70" t="n">
        <f aca="false">S156+S157+S158</f>
        <v>66324.582352</v>
      </c>
      <c r="T159" s="70" t="n">
        <f aca="false">T156+T157+T158</f>
        <v>76222.524736</v>
      </c>
      <c r="U159" s="70" t="n">
        <f aca="false">U156+U157+U158</f>
        <v>76222.524736</v>
      </c>
      <c r="V159" s="70" t="n">
        <f aca="false">V156+V157+V158</f>
        <v>76222.524736</v>
      </c>
      <c r="W159" s="70" t="n">
        <f aca="false">W156+W157+W158</f>
        <v>66324.582352</v>
      </c>
      <c r="X159" s="70" t="n">
        <f aca="false">X156+X157+X158</f>
        <v>66324.582352</v>
      </c>
      <c r="Y159" s="70" t="n">
        <f aca="false">Y156+Y157+Y158</f>
        <v>66324.582352</v>
      </c>
      <c r="Z159" s="70" t="n">
        <f aca="false">Z156+Z157+Z158</f>
        <v>76222.524736</v>
      </c>
      <c r="AA159" s="70" t="n">
        <f aca="false">AA156+AA157+AA158</f>
        <v>70363.7494172368</v>
      </c>
      <c r="AB159" s="70" t="n">
        <f aca="false">AB156+AB157+AB158</f>
        <v>70363.7494172368</v>
      </c>
      <c r="AC159" s="70" t="n">
        <f aca="false">AC156+AC157+AC158</f>
        <v>70363.7494172368</v>
      </c>
      <c r="AD159" s="70" t="n">
        <f aca="false">AD156+AD157+AD158</f>
        <v>70363.7494172368</v>
      </c>
      <c r="AE159" s="70" t="n">
        <f aca="false">AE156+AE157+AE158</f>
        <v>70363.7494172368</v>
      </c>
      <c r="AF159" s="70" t="n">
        <f aca="false">AF156+AF157+AF158</f>
        <v>80864.4764924224</v>
      </c>
      <c r="AG159" s="70" t="n">
        <f aca="false">AG156+AG157+AG158</f>
        <v>80864.4764924224</v>
      </c>
      <c r="AH159" s="70" t="n">
        <f aca="false">AH156+AH157+AH158</f>
        <v>80864.4764924224</v>
      </c>
      <c r="AI159" s="70" t="n">
        <f aca="false">AI156+AI157+AI158</f>
        <v>70363.7494172368</v>
      </c>
      <c r="AJ159" s="70" t="n">
        <f aca="false">AJ156+AJ157+AJ158</f>
        <v>70363.7494172368</v>
      </c>
      <c r="AK159" s="70" t="n">
        <f aca="false">AK156+AK157+AK158</f>
        <v>70363.7494172368</v>
      </c>
      <c r="AL159" s="70" t="n">
        <f aca="false">AL156+AL157+AL158</f>
        <v>80864.4764924224</v>
      </c>
    </row>
    <row r="161" customFormat="false" ht="15.75" hidden="false" customHeight="true" outlineLevel="0" collapsed="false">
      <c r="A161" s="7" t="s">
        <v>76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customFormat="false" ht="15" hidden="false" customHeight="false" outlineLevel="0" collapsed="false">
      <c r="A162" s="6" t="s">
        <v>397</v>
      </c>
      <c r="C162" s="69" t="n">
        <f aca="false">C250</f>
        <v>-3833.33333333333</v>
      </c>
      <c r="D162" s="69" t="n">
        <f aca="false">D250</f>
        <v>-3833.33333333333</v>
      </c>
      <c r="E162" s="69" t="n">
        <f aca="false">E250</f>
        <v>-3833.33333333333</v>
      </c>
      <c r="F162" s="69" t="n">
        <f aca="false">F250</f>
        <v>-3833.33333333333</v>
      </c>
      <c r="G162" s="69" t="n">
        <f aca="false">G250</f>
        <v>-3833.33333333333</v>
      </c>
      <c r="H162" s="69" t="n">
        <f aca="false">H250</f>
        <v>-3833.33333333333</v>
      </c>
      <c r="I162" s="69" t="n">
        <f aca="false">I250</f>
        <v>-3833.33333333333</v>
      </c>
      <c r="J162" s="69" t="n">
        <f aca="false">J250</f>
        <v>-3833.33333333333</v>
      </c>
      <c r="K162" s="69" t="n">
        <f aca="false">K250</f>
        <v>-3833.33333333333</v>
      </c>
      <c r="L162" s="69" t="n">
        <f aca="false">L250</f>
        <v>-3833.33333333333</v>
      </c>
      <c r="M162" s="69" t="n">
        <f aca="false">M250</f>
        <v>-3833.33333333333</v>
      </c>
      <c r="N162" s="69" t="n">
        <f aca="false">N250</f>
        <v>-3833.33333333333</v>
      </c>
      <c r="O162" s="69" t="n">
        <f aca="false">O250</f>
        <v>-3948.33333333333</v>
      </c>
      <c r="P162" s="69" t="n">
        <f aca="false">P250</f>
        <v>-3948.33333333333</v>
      </c>
      <c r="Q162" s="69" t="n">
        <f aca="false">Q250</f>
        <v>-3948.33333333333</v>
      </c>
      <c r="R162" s="69" t="n">
        <f aca="false">R250</f>
        <v>-3948.33333333333</v>
      </c>
      <c r="S162" s="69" t="n">
        <f aca="false">S250</f>
        <v>-3948.33333333333</v>
      </c>
      <c r="T162" s="69" t="n">
        <f aca="false">T250</f>
        <v>-3948.33333333333</v>
      </c>
      <c r="U162" s="69" t="n">
        <f aca="false">U250</f>
        <v>-3948.33333333333</v>
      </c>
      <c r="V162" s="69" t="n">
        <f aca="false">V250</f>
        <v>-3948.33333333333</v>
      </c>
      <c r="W162" s="69" t="n">
        <f aca="false">W250</f>
        <v>-3948.33333333333</v>
      </c>
      <c r="X162" s="69" t="n">
        <f aca="false">X250</f>
        <v>-3948.33333333333</v>
      </c>
      <c r="Y162" s="69" t="n">
        <f aca="false">Y250</f>
        <v>-3948.33333333333</v>
      </c>
      <c r="Z162" s="69" t="n">
        <f aca="false">Z250</f>
        <v>-3948.33333333333</v>
      </c>
      <c r="AA162" s="69" t="n">
        <f aca="false">AA250</f>
        <v>-4066.78333333333</v>
      </c>
      <c r="AB162" s="69" t="n">
        <f aca="false">AB250</f>
        <v>-4066.78333333333</v>
      </c>
      <c r="AC162" s="69" t="n">
        <f aca="false">AC250</f>
        <v>-4066.78333333333</v>
      </c>
      <c r="AD162" s="69" t="n">
        <f aca="false">AD250</f>
        <v>-4066.78333333333</v>
      </c>
      <c r="AE162" s="69" t="n">
        <f aca="false">AE250</f>
        <v>-4066.78333333333</v>
      </c>
      <c r="AF162" s="69" t="n">
        <f aca="false">AF250</f>
        <v>-4066.78333333333</v>
      </c>
      <c r="AG162" s="69" t="n">
        <f aca="false">AG250</f>
        <v>-4066.78333333333</v>
      </c>
      <c r="AH162" s="69" t="n">
        <f aca="false">AH250</f>
        <v>-4066.78333333333</v>
      </c>
      <c r="AI162" s="69" t="n">
        <f aca="false">AI250</f>
        <v>-4066.78333333333</v>
      </c>
      <c r="AJ162" s="69" t="n">
        <f aca="false">AJ250</f>
        <v>-4066.78333333333</v>
      </c>
      <c r="AK162" s="69" t="n">
        <f aca="false">AK250</f>
        <v>-4066.78333333333</v>
      </c>
      <c r="AL162" s="69" t="n">
        <f aca="false">AL250</f>
        <v>-4066.78333333333</v>
      </c>
    </row>
    <row r="163" customFormat="false" ht="15" hidden="false" customHeight="false" outlineLevel="0" collapsed="false">
      <c r="A163" s="6" t="s">
        <v>398</v>
      </c>
      <c r="C163" s="69" t="n">
        <f aca="false">-C156*Inputs!$C$33</f>
        <v>-4368</v>
      </c>
      <c r="D163" s="69" t="n">
        <f aca="false">-D156*Inputs!$C$33</f>
        <v>-5023.2</v>
      </c>
      <c r="E163" s="69" t="n">
        <f aca="false">-E156*Inputs!$C$33</f>
        <v>-5678.4</v>
      </c>
      <c r="F163" s="69" t="n">
        <f aca="false">-F156*Inputs!$C$33</f>
        <v>-6333.6</v>
      </c>
      <c r="G163" s="69" t="n">
        <f aca="false">-G156*Inputs!$C$33</f>
        <v>-6988.8</v>
      </c>
      <c r="H163" s="69" t="n">
        <f aca="false">-H156*Inputs!$C$33</f>
        <v>-7644</v>
      </c>
      <c r="I163" s="69" t="n">
        <f aca="false">-I156*Inputs!$C$33</f>
        <v>-8299.2</v>
      </c>
      <c r="J163" s="69" t="n">
        <f aca="false">-J156*Inputs!$C$33</f>
        <v>-8954.4</v>
      </c>
      <c r="K163" s="69" t="n">
        <f aca="false">-K156*Inputs!$C$33</f>
        <v>-9609.6</v>
      </c>
      <c r="L163" s="69" t="n">
        <f aca="false">-L156*Inputs!$C$33</f>
        <v>-10264.8</v>
      </c>
      <c r="M163" s="69" t="n">
        <f aca="false">-M156*Inputs!$C$33</f>
        <v>-10920</v>
      </c>
      <c r="N163" s="69" t="n">
        <f aca="false">-N156*Inputs!$C$33</f>
        <v>-10920</v>
      </c>
      <c r="O163" s="69" t="n">
        <f aca="false">-O156*Inputs!$C$33</f>
        <v>-11585.028</v>
      </c>
      <c r="P163" s="69" t="n">
        <f aca="false">-P156*Inputs!$C$33</f>
        <v>-11585.028</v>
      </c>
      <c r="Q163" s="69" t="n">
        <f aca="false">-Q156*Inputs!$C$33</f>
        <v>-11585.028</v>
      </c>
      <c r="R163" s="69" t="n">
        <f aca="false">-R156*Inputs!$C$33</f>
        <v>-11585.028</v>
      </c>
      <c r="S163" s="69" t="n">
        <f aca="false">-S156*Inputs!$C$33</f>
        <v>-11585.028</v>
      </c>
      <c r="T163" s="69" t="n">
        <f aca="false">-T156*Inputs!$C$33</f>
        <v>-11585.028</v>
      </c>
      <c r="U163" s="69" t="n">
        <f aca="false">-U156*Inputs!$C$33</f>
        <v>-11585.028</v>
      </c>
      <c r="V163" s="69" t="n">
        <f aca="false">-V156*Inputs!$C$33</f>
        <v>-11585.028</v>
      </c>
      <c r="W163" s="69" t="n">
        <f aca="false">-W156*Inputs!$C$33</f>
        <v>-11585.028</v>
      </c>
      <c r="X163" s="69" t="n">
        <f aca="false">-X156*Inputs!$C$33</f>
        <v>-11585.028</v>
      </c>
      <c r="Y163" s="69" t="n">
        <f aca="false">-Y156*Inputs!$C$33</f>
        <v>-11585.028</v>
      </c>
      <c r="Z163" s="69" t="n">
        <f aca="false">-Z156*Inputs!$C$33</f>
        <v>-11585.028</v>
      </c>
      <c r="AA163" s="69" t="n">
        <f aca="false">-AA156*Inputs!$C$33</f>
        <v>-12290.5562052</v>
      </c>
      <c r="AB163" s="69" t="n">
        <f aca="false">-AB156*Inputs!$C$33</f>
        <v>-12290.5562052</v>
      </c>
      <c r="AC163" s="69" t="n">
        <f aca="false">-AC156*Inputs!$C$33</f>
        <v>-12290.5562052</v>
      </c>
      <c r="AD163" s="69" t="n">
        <f aca="false">-AD156*Inputs!$C$33</f>
        <v>-12290.5562052</v>
      </c>
      <c r="AE163" s="69" t="n">
        <f aca="false">-AE156*Inputs!$C$33</f>
        <v>-12290.5562052</v>
      </c>
      <c r="AF163" s="69" t="n">
        <f aca="false">-AF156*Inputs!$C$33</f>
        <v>-12290.5562052</v>
      </c>
      <c r="AG163" s="69" t="n">
        <f aca="false">-AG156*Inputs!$C$33</f>
        <v>-12290.5562052</v>
      </c>
      <c r="AH163" s="69" t="n">
        <f aca="false">-AH156*Inputs!$C$33</f>
        <v>-12290.5562052</v>
      </c>
      <c r="AI163" s="69" t="n">
        <f aca="false">-AI156*Inputs!$C$33</f>
        <v>-12290.5562052</v>
      </c>
      <c r="AJ163" s="69" t="n">
        <f aca="false">-AJ156*Inputs!$C$33</f>
        <v>-12290.5562052</v>
      </c>
      <c r="AK163" s="69" t="n">
        <f aca="false">-AK156*Inputs!$C$33</f>
        <v>-12290.5562052</v>
      </c>
      <c r="AL163" s="69" t="n">
        <f aca="false">-AL156*Inputs!$C$33</f>
        <v>-12290.5562052</v>
      </c>
    </row>
    <row r="164" customFormat="false" ht="15" hidden="false" customHeight="false" outlineLevel="0" collapsed="false">
      <c r="A164" s="6" t="s">
        <v>399</v>
      </c>
      <c r="C164" s="69" t="n">
        <f aca="false">-C145*Inputs!$C$34*(1+Inputs!$C$45)^(C$133-1)</f>
        <v>-748.8</v>
      </c>
      <c r="D164" s="69" t="n">
        <f aca="false">-D145*Inputs!$C$34*(1+Inputs!$C$45)^(D$133-1)</f>
        <v>-861.12</v>
      </c>
      <c r="E164" s="69" t="n">
        <f aca="false">-E145*Inputs!$C$34*(1+Inputs!$C$45)^(E$133-1)</f>
        <v>-973.44</v>
      </c>
      <c r="F164" s="69" t="n">
        <f aca="false">-F145*Inputs!$C$34*(1+Inputs!$C$45)^(F$133-1)</f>
        <v>-1085.76</v>
      </c>
      <c r="G164" s="69" t="n">
        <f aca="false">-G145*Inputs!$C$34*(1+Inputs!$C$45)^(G$133-1)</f>
        <v>-1198.08</v>
      </c>
      <c r="H164" s="69" t="n">
        <f aca="false">-H145*Inputs!$C$34*(1+Inputs!$C$45)^(H$133-1)</f>
        <v>-1310.4</v>
      </c>
      <c r="I164" s="69" t="n">
        <f aca="false">-I145*Inputs!$C$34*(1+Inputs!$C$45)^(I$133-1)</f>
        <v>-1422.72</v>
      </c>
      <c r="J164" s="69" t="n">
        <f aca="false">-J145*Inputs!$C$34*(1+Inputs!$C$45)^(J$133-1)</f>
        <v>-1535.04</v>
      </c>
      <c r="K164" s="69" t="n">
        <f aca="false">-K145*Inputs!$C$34*(1+Inputs!$C$45)^(K$133-1)</f>
        <v>-1647.36</v>
      </c>
      <c r="L164" s="69" t="n">
        <f aca="false">-L145*Inputs!$C$34*(1+Inputs!$C$45)^(L$133-1)</f>
        <v>-1759.68</v>
      </c>
      <c r="M164" s="69" t="n">
        <f aca="false">-M145*Inputs!$C$34*(1+Inputs!$C$45)^(M$133-1)</f>
        <v>-1872</v>
      </c>
      <c r="N164" s="69" t="n">
        <f aca="false">-N145*Inputs!$C$34*(1+Inputs!$C$45)^(N$133-1)</f>
        <v>-1872</v>
      </c>
      <c r="O164" s="69" t="n">
        <f aca="false">-O145*Inputs!$C$34*(1+Inputs!$C$45)^(O$133-1)</f>
        <v>-1986.0048</v>
      </c>
      <c r="P164" s="69" t="n">
        <f aca="false">-P145*Inputs!$C$34*(1+Inputs!$C$45)^(P$133-1)</f>
        <v>-1986.0048</v>
      </c>
      <c r="Q164" s="69" t="n">
        <f aca="false">-Q145*Inputs!$C$34*(1+Inputs!$C$45)^(Q$133-1)</f>
        <v>-1986.0048</v>
      </c>
      <c r="R164" s="69" t="n">
        <f aca="false">-R145*Inputs!$C$34*(1+Inputs!$C$45)^(R$133-1)</f>
        <v>-1986.0048</v>
      </c>
      <c r="S164" s="69" t="n">
        <f aca="false">-S145*Inputs!$C$34*(1+Inputs!$C$45)^(S$133-1)</f>
        <v>-1986.0048</v>
      </c>
      <c r="T164" s="69" t="n">
        <f aca="false">-T145*Inputs!$C$34*(1+Inputs!$C$45)^(T$133-1)</f>
        <v>-1986.0048</v>
      </c>
      <c r="U164" s="69" t="n">
        <f aca="false">-U145*Inputs!$C$34*(1+Inputs!$C$45)^(U$133-1)</f>
        <v>-1986.0048</v>
      </c>
      <c r="V164" s="69" t="n">
        <f aca="false">-V145*Inputs!$C$34*(1+Inputs!$C$45)^(V$133-1)</f>
        <v>-1986.0048</v>
      </c>
      <c r="W164" s="69" t="n">
        <f aca="false">-W145*Inputs!$C$34*(1+Inputs!$C$45)^(W$133-1)</f>
        <v>-1986.0048</v>
      </c>
      <c r="X164" s="69" t="n">
        <f aca="false">-X145*Inputs!$C$34*(1+Inputs!$C$45)^(X$133-1)</f>
        <v>-1986.0048</v>
      </c>
      <c r="Y164" s="69" t="n">
        <f aca="false">-Y145*Inputs!$C$34*(1+Inputs!$C$45)^(Y$133-1)</f>
        <v>-1986.0048</v>
      </c>
      <c r="Z164" s="69" t="n">
        <f aca="false">-Z145*Inputs!$C$34*(1+Inputs!$C$45)^(Z$133-1)</f>
        <v>-1986.0048</v>
      </c>
      <c r="AA164" s="69" t="n">
        <f aca="false">-AA145*Inputs!$C$34*(1+Inputs!$C$45)^(AA$133-1)</f>
        <v>-2106.95249232</v>
      </c>
      <c r="AB164" s="69" t="n">
        <f aca="false">-AB145*Inputs!$C$34*(1+Inputs!$C$45)^(AB$133-1)</f>
        <v>-2106.95249232</v>
      </c>
      <c r="AC164" s="69" t="n">
        <f aca="false">-AC145*Inputs!$C$34*(1+Inputs!$C$45)^(AC$133-1)</f>
        <v>-2106.95249232</v>
      </c>
      <c r="AD164" s="69" t="n">
        <f aca="false">-AD145*Inputs!$C$34*(1+Inputs!$C$45)^(AD$133-1)</f>
        <v>-2106.95249232</v>
      </c>
      <c r="AE164" s="69" t="n">
        <f aca="false">-AE145*Inputs!$C$34*(1+Inputs!$C$45)^(AE$133-1)</f>
        <v>-2106.95249232</v>
      </c>
      <c r="AF164" s="69" t="n">
        <f aca="false">-AF145*Inputs!$C$34*(1+Inputs!$C$45)^(AF$133-1)</f>
        <v>-2106.95249232</v>
      </c>
      <c r="AG164" s="69" t="n">
        <f aca="false">-AG145*Inputs!$C$34*(1+Inputs!$C$45)^(AG$133-1)</f>
        <v>-2106.95249232</v>
      </c>
      <c r="AH164" s="69" t="n">
        <f aca="false">-AH145*Inputs!$C$34*(1+Inputs!$C$45)^(AH$133-1)</f>
        <v>-2106.95249232</v>
      </c>
      <c r="AI164" s="69" t="n">
        <f aca="false">-AI145*Inputs!$C$34*(1+Inputs!$C$45)^(AI$133-1)</f>
        <v>-2106.95249232</v>
      </c>
      <c r="AJ164" s="69" t="n">
        <f aca="false">-AJ145*Inputs!$C$34*(1+Inputs!$C$45)^(AJ$133-1)</f>
        <v>-2106.95249232</v>
      </c>
      <c r="AK164" s="69" t="n">
        <f aca="false">-AK145*Inputs!$C$34*(1+Inputs!$C$45)^(AK$133-1)</f>
        <v>-2106.95249232</v>
      </c>
      <c r="AL164" s="69" t="n">
        <f aca="false">-AL145*Inputs!$C$34*(1+Inputs!$C$45)^(AL$133-1)</f>
        <v>-2106.95249232</v>
      </c>
    </row>
    <row r="165" customFormat="false" ht="15" hidden="false" customHeight="false" outlineLevel="0" collapsed="false">
      <c r="A165" s="6" t="s">
        <v>400</v>
      </c>
      <c r="C165" s="69" t="n">
        <f aca="false">-C152*Inputs!$C$35*(1+Inputs!$C$45)^(C$133-1)</f>
        <v>-1221.3504</v>
      </c>
      <c r="D165" s="69" t="n">
        <f aca="false">-D152*Inputs!$C$35*(1+Inputs!$C$45)^(D$133-1)</f>
        <v>-1404.55296</v>
      </c>
      <c r="E165" s="69" t="n">
        <f aca="false">-E152*Inputs!$C$35*(1+Inputs!$C$45)^(E$133-1)</f>
        <v>-1587.75552</v>
      </c>
      <c r="F165" s="69" t="n">
        <f aca="false">-F152*Inputs!$C$35*(1+Inputs!$C$45)^(F$133-1)</f>
        <v>-1770.95808</v>
      </c>
      <c r="G165" s="69" t="n">
        <f aca="false">-G152*Inputs!$C$35*(1+Inputs!$C$45)^(G$133-1)</f>
        <v>-1954.16064</v>
      </c>
      <c r="H165" s="69" t="n">
        <f aca="false">-H152*Inputs!$C$35*(1+Inputs!$C$45)^(H$133-1)</f>
        <v>-2849.8176</v>
      </c>
      <c r="I165" s="69" t="n">
        <f aca="false">-I152*Inputs!$C$35*(1+Inputs!$C$45)^(I$133-1)</f>
        <v>-3094.08768</v>
      </c>
      <c r="J165" s="69" t="n">
        <f aca="false">-J152*Inputs!$C$35*(1+Inputs!$C$45)^(J$133-1)</f>
        <v>-3338.35776</v>
      </c>
      <c r="K165" s="69" t="n">
        <f aca="false">-K152*Inputs!$C$35*(1+Inputs!$C$45)^(K$133-1)</f>
        <v>-2686.97088</v>
      </c>
      <c r="L165" s="69" t="n">
        <f aca="false">-L152*Inputs!$C$35*(1+Inputs!$C$45)^(L$133-1)</f>
        <v>-2870.17344</v>
      </c>
      <c r="M165" s="69" t="n">
        <f aca="false">-M152*Inputs!$C$35*(1+Inputs!$C$45)^(M$133-1)</f>
        <v>-3053.376</v>
      </c>
      <c r="N165" s="69" t="n">
        <f aca="false">-N152*Inputs!$C$35*(1+Inputs!$C$45)^(N$133-1)</f>
        <v>-4071.168</v>
      </c>
      <c r="O165" s="69" t="n">
        <f aca="false">-O152*Inputs!$C$35*(1+Inputs!$C$45)^(O$133-1)</f>
        <v>-3239.3265984</v>
      </c>
      <c r="P165" s="69" t="n">
        <f aca="false">-P152*Inputs!$C$35*(1+Inputs!$C$45)^(P$133-1)</f>
        <v>-3239.3265984</v>
      </c>
      <c r="Q165" s="69" t="n">
        <f aca="false">-Q152*Inputs!$C$35*(1+Inputs!$C$45)^(Q$133-1)</f>
        <v>-3239.3265984</v>
      </c>
      <c r="R165" s="69" t="n">
        <f aca="false">-R152*Inputs!$C$35*(1+Inputs!$C$45)^(R$133-1)</f>
        <v>-3239.3265984</v>
      </c>
      <c r="S165" s="69" t="n">
        <f aca="false">-S152*Inputs!$C$35*(1+Inputs!$C$45)^(S$133-1)</f>
        <v>-3239.3265984</v>
      </c>
      <c r="T165" s="69" t="n">
        <f aca="false">-T152*Inputs!$C$35*(1+Inputs!$C$45)^(T$133-1)</f>
        <v>-4319.1021312</v>
      </c>
      <c r="U165" s="69" t="n">
        <f aca="false">-U152*Inputs!$C$35*(1+Inputs!$C$45)^(U$133-1)</f>
        <v>-4319.1021312</v>
      </c>
      <c r="V165" s="69" t="n">
        <f aca="false">-V152*Inputs!$C$35*(1+Inputs!$C$45)^(V$133-1)</f>
        <v>-4319.1021312</v>
      </c>
      <c r="W165" s="69" t="n">
        <f aca="false">-W152*Inputs!$C$35*(1+Inputs!$C$45)^(W$133-1)</f>
        <v>-3239.3265984</v>
      </c>
      <c r="X165" s="69" t="n">
        <f aca="false">-X152*Inputs!$C$35*(1+Inputs!$C$45)^(X$133-1)</f>
        <v>-3239.3265984</v>
      </c>
      <c r="Y165" s="69" t="n">
        <f aca="false">-Y152*Inputs!$C$35*(1+Inputs!$C$45)^(Y$133-1)</f>
        <v>-3239.3265984</v>
      </c>
      <c r="Z165" s="69" t="n">
        <f aca="false">-Z152*Inputs!$C$35*(1+Inputs!$C$45)^(Z$133-1)</f>
        <v>-4319.1021312</v>
      </c>
      <c r="AA165" s="69" t="n">
        <f aca="false">-AA152*Inputs!$C$35*(1+Inputs!$C$45)^(AA$133-1)</f>
        <v>-3436.60158824256</v>
      </c>
      <c r="AB165" s="69" t="n">
        <f aca="false">-AB152*Inputs!$C$35*(1+Inputs!$C$45)^(AB$133-1)</f>
        <v>-3436.60158824256</v>
      </c>
      <c r="AC165" s="69" t="n">
        <f aca="false">-AC152*Inputs!$C$35*(1+Inputs!$C$45)^(AC$133-1)</f>
        <v>-3436.60158824256</v>
      </c>
      <c r="AD165" s="69" t="n">
        <f aca="false">-AD152*Inputs!$C$35*(1+Inputs!$C$45)^(AD$133-1)</f>
        <v>-3436.60158824256</v>
      </c>
      <c r="AE165" s="69" t="n">
        <f aca="false">-AE152*Inputs!$C$35*(1+Inputs!$C$45)^(AE$133-1)</f>
        <v>-3436.60158824256</v>
      </c>
      <c r="AF165" s="69" t="n">
        <f aca="false">-AF152*Inputs!$C$35*(1+Inputs!$C$45)^(AF$133-1)</f>
        <v>-4582.13545099008</v>
      </c>
      <c r="AG165" s="69" t="n">
        <f aca="false">-AG152*Inputs!$C$35*(1+Inputs!$C$45)^(AG$133-1)</f>
        <v>-4582.13545099008</v>
      </c>
      <c r="AH165" s="69" t="n">
        <f aca="false">-AH152*Inputs!$C$35*(1+Inputs!$C$45)^(AH$133-1)</f>
        <v>-4582.13545099008</v>
      </c>
      <c r="AI165" s="69" t="n">
        <f aca="false">-AI152*Inputs!$C$35*(1+Inputs!$C$45)^(AI$133-1)</f>
        <v>-3436.60158824256</v>
      </c>
      <c r="AJ165" s="69" t="n">
        <f aca="false">-AJ152*Inputs!$C$35*(1+Inputs!$C$45)^(AJ$133-1)</f>
        <v>-3436.60158824256</v>
      </c>
      <c r="AK165" s="69" t="n">
        <f aca="false">-AK152*Inputs!$C$35*(1+Inputs!$C$45)^(AK$133-1)</f>
        <v>-3436.60158824256</v>
      </c>
      <c r="AL165" s="69" t="n">
        <f aca="false">-AL152*Inputs!$C$35*(1+Inputs!$C$45)^(AL$133-1)</f>
        <v>-4582.13545099008</v>
      </c>
    </row>
    <row r="166" customFormat="false" ht="15" hidden="false" customHeight="false" outlineLevel="0" collapsed="false">
      <c r="A166" s="6" t="s">
        <v>401</v>
      </c>
      <c r="C166" s="69" t="n">
        <f aca="false">-C158*(1-Inputs!$C$22)</f>
        <v>-798.72</v>
      </c>
      <c r="D166" s="69" t="n">
        <f aca="false">-D158*(1-Inputs!$C$22)</f>
        <v>-918.528</v>
      </c>
      <c r="E166" s="69" t="n">
        <f aca="false">-E158*(1-Inputs!$C$22)</f>
        <v>-1038.336</v>
      </c>
      <c r="F166" s="69" t="n">
        <f aca="false">-F158*(1-Inputs!$C$22)</f>
        <v>-1158.144</v>
      </c>
      <c r="G166" s="69" t="n">
        <f aca="false">-G158*(1-Inputs!$C$22)</f>
        <v>-1277.952</v>
      </c>
      <c r="H166" s="69" t="n">
        <f aca="false">-H158*(1-Inputs!$C$22)</f>
        <v>-1397.76</v>
      </c>
      <c r="I166" s="69" t="n">
        <f aca="false">-I158*(1-Inputs!$C$22)</f>
        <v>-1517.568</v>
      </c>
      <c r="J166" s="69" t="n">
        <f aca="false">-J158*(1-Inputs!$C$22)</f>
        <v>-1637.376</v>
      </c>
      <c r="K166" s="69" t="n">
        <f aca="false">-K158*(1-Inputs!$C$22)</f>
        <v>-1757.184</v>
      </c>
      <c r="L166" s="69" t="n">
        <f aca="false">-L158*(1-Inputs!$C$22)</f>
        <v>-1876.992</v>
      </c>
      <c r="M166" s="69" t="n">
        <f aca="false">-M158*(1-Inputs!$C$22)</f>
        <v>-1996.8</v>
      </c>
      <c r="N166" s="69" t="n">
        <f aca="false">-N158*(1-Inputs!$C$22)</f>
        <v>-1996.8</v>
      </c>
      <c r="O166" s="69" t="n">
        <f aca="false">-O158*(1-Inputs!$C$22)</f>
        <v>-2118.40512</v>
      </c>
      <c r="P166" s="69" t="n">
        <f aca="false">-P158*(1-Inputs!$C$22)</f>
        <v>-2118.40512</v>
      </c>
      <c r="Q166" s="69" t="n">
        <f aca="false">-Q158*(1-Inputs!$C$22)</f>
        <v>-2118.40512</v>
      </c>
      <c r="R166" s="69" t="n">
        <f aca="false">-R158*(1-Inputs!$C$22)</f>
        <v>-2118.40512</v>
      </c>
      <c r="S166" s="69" t="n">
        <f aca="false">-S158*(1-Inputs!$C$22)</f>
        <v>-2118.40512</v>
      </c>
      <c r="T166" s="69" t="n">
        <f aca="false">-T158*(1-Inputs!$C$22)</f>
        <v>-2118.40512</v>
      </c>
      <c r="U166" s="69" t="n">
        <f aca="false">-U158*(1-Inputs!$C$22)</f>
        <v>-2118.40512</v>
      </c>
      <c r="V166" s="69" t="n">
        <f aca="false">-V158*(1-Inputs!$C$22)</f>
        <v>-2118.40512</v>
      </c>
      <c r="W166" s="69" t="n">
        <f aca="false">-W158*(1-Inputs!$C$22)</f>
        <v>-2118.40512</v>
      </c>
      <c r="X166" s="69" t="n">
        <f aca="false">-X158*(1-Inputs!$C$22)</f>
        <v>-2118.40512</v>
      </c>
      <c r="Y166" s="69" t="n">
        <f aca="false">-Y158*(1-Inputs!$C$22)</f>
        <v>-2118.40512</v>
      </c>
      <c r="Z166" s="69" t="n">
        <f aca="false">-Z158*(1-Inputs!$C$22)</f>
        <v>-2118.40512</v>
      </c>
      <c r="AA166" s="69" t="n">
        <f aca="false">-AA158*(1-Inputs!$C$22)</f>
        <v>-2247.415991808</v>
      </c>
      <c r="AB166" s="69" t="n">
        <f aca="false">-AB158*(1-Inputs!$C$22)</f>
        <v>-2247.415991808</v>
      </c>
      <c r="AC166" s="69" t="n">
        <f aca="false">-AC158*(1-Inputs!$C$22)</f>
        <v>-2247.415991808</v>
      </c>
      <c r="AD166" s="69" t="n">
        <f aca="false">-AD158*(1-Inputs!$C$22)</f>
        <v>-2247.415991808</v>
      </c>
      <c r="AE166" s="69" t="n">
        <f aca="false">-AE158*(1-Inputs!$C$22)</f>
        <v>-2247.415991808</v>
      </c>
      <c r="AF166" s="69" t="n">
        <f aca="false">-AF158*(1-Inputs!$C$22)</f>
        <v>-2247.415991808</v>
      </c>
      <c r="AG166" s="69" t="n">
        <f aca="false">-AG158*(1-Inputs!$C$22)</f>
        <v>-2247.415991808</v>
      </c>
      <c r="AH166" s="69" t="n">
        <f aca="false">-AH158*(1-Inputs!$C$22)</f>
        <v>-2247.415991808</v>
      </c>
      <c r="AI166" s="69" t="n">
        <f aca="false">-AI158*(1-Inputs!$C$22)</f>
        <v>-2247.415991808</v>
      </c>
      <c r="AJ166" s="69" t="n">
        <f aca="false">-AJ158*(1-Inputs!$C$22)</f>
        <v>-2247.415991808</v>
      </c>
      <c r="AK166" s="69" t="n">
        <f aca="false">-AK158*(1-Inputs!$C$22)</f>
        <v>-2247.415991808</v>
      </c>
      <c r="AL166" s="69" t="n">
        <f aca="false">-AL158*(1-Inputs!$C$22)</f>
        <v>-2247.415991808</v>
      </c>
    </row>
    <row r="167" customFormat="false" ht="15" hidden="false" customHeight="false" outlineLevel="0" collapsed="false">
      <c r="A167" s="4" t="s">
        <v>76</v>
      </c>
      <c r="C167" s="75" t="n">
        <f aca="false">C162+C163+C164+C165+C166</f>
        <v>-10970.2037333333</v>
      </c>
      <c r="D167" s="75" t="n">
        <f aca="false">D162+D163+D164+D165+D166</f>
        <v>-12040.7342933333</v>
      </c>
      <c r="E167" s="75" t="n">
        <f aca="false">E162+E163+E164+E165+E166</f>
        <v>-13111.2648533333</v>
      </c>
      <c r="F167" s="75" t="n">
        <f aca="false">F162+F163+F164+F165+F166</f>
        <v>-14181.7954133333</v>
      </c>
      <c r="G167" s="75" t="n">
        <f aca="false">G162+G163+G164+G165+G166</f>
        <v>-15252.3259733333</v>
      </c>
      <c r="H167" s="75" t="n">
        <f aca="false">H162+H163+H164+H165+H166</f>
        <v>-17035.3109333333</v>
      </c>
      <c r="I167" s="75" t="n">
        <f aca="false">I162+I163+I164+I165+I166</f>
        <v>-18166.9090133333</v>
      </c>
      <c r="J167" s="75" t="n">
        <f aca="false">J162+J163+J164+J165+J166</f>
        <v>-19298.5070933333</v>
      </c>
      <c r="K167" s="75" t="n">
        <f aca="false">K162+K163+K164+K165+K166</f>
        <v>-19534.4482133333</v>
      </c>
      <c r="L167" s="75" t="n">
        <f aca="false">L162+L163+L164+L165+L166</f>
        <v>-20604.9787733333</v>
      </c>
      <c r="M167" s="75" t="n">
        <f aca="false">M162+M163+M164+M165+M166</f>
        <v>-21675.5093333333</v>
      </c>
      <c r="N167" s="75" t="n">
        <f aca="false">N162+N163+N164+N165+N166</f>
        <v>-22693.3013333333</v>
      </c>
      <c r="O167" s="75" t="n">
        <f aca="false">O162+O163+O164+O165+O166</f>
        <v>-22877.0978517333</v>
      </c>
      <c r="P167" s="75" t="n">
        <f aca="false">P162+P163+P164+P165+P166</f>
        <v>-22877.0978517333</v>
      </c>
      <c r="Q167" s="75" t="n">
        <f aca="false">Q162+Q163+Q164+Q165+Q166</f>
        <v>-22877.0978517333</v>
      </c>
      <c r="R167" s="75" t="n">
        <f aca="false">R162+R163+R164+R165+R166</f>
        <v>-22877.0978517333</v>
      </c>
      <c r="S167" s="75" t="n">
        <f aca="false">S162+S163+S164+S165+S166</f>
        <v>-22877.0978517333</v>
      </c>
      <c r="T167" s="75" t="n">
        <f aca="false">T162+T163+T164+T165+T166</f>
        <v>-23956.8733845333</v>
      </c>
      <c r="U167" s="75" t="n">
        <f aca="false">U162+U163+U164+U165+U166</f>
        <v>-23956.8733845333</v>
      </c>
      <c r="V167" s="75" t="n">
        <f aca="false">V162+V163+V164+V165+V166</f>
        <v>-23956.8733845333</v>
      </c>
      <c r="W167" s="75" t="n">
        <f aca="false">W162+W163+W164+W165+W166</f>
        <v>-22877.0978517333</v>
      </c>
      <c r="X167" s="75" t="n">
        <f aca="false">X162+X163+X164+X165+X166</f>
        <v>-22877.0978517333</v>
      </c>
      <c r="Y167" s="75" t="n">
        <f aca="false">Y162+Y163+Y164+Y165+Y166</f>
        <v>-22877.0978517333</v>
      </c>
      <c r="Z167" s="75" t="n">
        <f aca="false">Z162+Z163+Z164+Z165+Z166</f>
        <v>-23956.8733845333</v>
      </c>
      <c r="AA167" s="75" t="n">
        <f aca="false">AA162+AA163+AA164+AA165+AA166</f>
        <v>-24148.3096109039</v>
      </c>
      <c r="AB167" s="75" t="n">
        <f aca="false">AB162+AB163+AB164+AB165+AB166</f>
        <v>-24148.3096109039</v>
      </c>
      <c r="AC167" s="75" t="n">
        <f aca="false">AC162+AC163+AC164+AC165+AC166</f>
        <v>-24148.3096109039</v>
      </c>
      <c r="AD167" s="75" t="n">
        <f aca="false">AD162+AD163+AD164+AD165+AD166</f>
        <v>-24148.3096109039</v>
      </c>
      <c r="AE167" s="75" t="n">
        <f aca="false">AE162+AE163+AE164+AE165+AE166</f>
        <v>-24148.3096109039</v>
      </c>
      <c r="AF167" s="75" t="n">
        <f aca="false">AF162+AF163+AF164+AF165+AF166</f>
        <v>-25293.8434736514</v>
      </c>
      <c r="AG167" s="75" t="n">
        <f aca="false">AG162+AG163+AG164+AG165+AG166</f>
        <v>-25293.8434736514</v>
      </c>
      <c r="AH167" s="75" t="n">
        <f aca="false">AH162+AH163+AH164+AH165+AH166</f>
        <v>-25293.8434736514</v>
      </c>
      <c r="AI167" s="75" t="n">
        <f aca="false">AI162+AI163+AI164+AI165+AI166</f>
        <v>-24148.3096109039</v>
      </c>
      <c r="AJ167" s="75" t="n">
        <f aca="false">AJ162+AJ163+AJ164+AJ165+AJ166</f>
        <v>-24148.3096109039</v>
      </c>
      <c r="AK167" s="75" t="n">
        <f aca="false">AK162+AK163+AK164+AK165+AK166</f>
        <v>-24148.3096109039</v>
      </c>
      <c r="AL167" s="75" t="n">
        <f aca="false">AL162+AL163+AL164+AL165+AL166</f>
        <v>-25293.8434736514</v>
      </c>
    </row>
    <row r="168" customFormat="false" ht="15" hidden="false" customHeight="false" outlineLevel="0" collapsed="false">
      <c r="A168" s="115" t="s">
        <v>45</v>
      </c>
      <c r="C168" s="70" t="n">
        <f aca="false">C159+C167</f>
        <v>14036.7082666667</v>
      </c>
      <c r="D168" s="70" t="n">
        <f aca="false">D159+D167</f>
        <v>16717.2145066667</v>
      </c>
      <c r="E168" s="70" t="n">
        <f aca="false">E159+E167</f>
        <v>19397.7207466667</v>
      </c>
      <c r="F168" s="70" t="n">
        <f aca="false">F159+F167</f>
        <v>22078.2269866667</v>
      </c>
      <c r="G168" s="70" t="n">
        <f aca="false">G159+G167</f>
        <v>24758.7332266667</v>
      </c>
      <c r="H168" s="70" t="n">
        <f aca="false">H159+H167</f>
        <v>33257.6170666667</v>
      </c>
      <c r="I168" s="70" t="n">
        <f aca="false">I159+I167</f>
        <v>36436.8413866667</v>
      </c>
      <c r="J168" s="70" t="n">
        <f aca="false">J159+J167</f>
        <v>39616.0657066667</v>
      </c>
      <c r="K168" s="70" t="n">
        <f aca="false">K159+K167</f>
        <v>35480.7581866667</v>
      </c>
      <c r="L168" s="70" t="n">
        <f aca="false">L159+L167</f>
        <v>38161.2644266667</v>
      </c>
      <c r="M168" s="70" t="n">
        <f aca="false">M159+M167</f>
        <v>40841.7706666667</v>
      </c>
      <c r="N168" s="70" t="n">
        <f aca="false">N159+N167</f>
        <v>49153.7386666667</v>
      </c>
      <c r="O168" s="70" t="n">
        <f aca="false">O159+O167</f>
        <v>43447.4845002667</v>
      </c>
      <c r="P168" s="70" t="n">
        <f aca="false">P159+P167</f>
        <v>43447.4845002667</v>
      </c>
      <c r="Q168" s="70" t="n">
        <f aca="false">Q159+Q167</f>
        <v>43447.4845002667</v>
      </c>
      <c r="R168" s="70" t="n">
        <f aca="false">R159+R167</f>
        <v>43447.4845002667</v>
      </c>
      <c r="S168" s="70" t="n">
        <f aca="false">S159+S167</f>
        <v>43447.4845002667</v>
      </c>
      <c r="T168" s="70" t="n">
        <f aca="false">T159+T167</f>
        <v>52265.6513514667</v>
      </c>
      <c r="U168" s="70" t="n">
        <f aca="false">U159+U167</f>
        <v>52265.6513514667</v>
      </c>
      <c r="V168" s="70" t="n">
        <f aca="false">V159+V167</f>
        <v>52265.6513514667</v>
      </c>
      <c r="W168" s="70" t="n">
        <f aca="false">W159+W167</f>
        <v>43447.4845002667</v>
      </c>
      <c r="X168" s="70" t="n">
        <f aca="false">X159+X167</f>
        <v>43447.4845002667</v>
      </c>
      <c r="Y168" s="70" t="n">
        <f aca="false">Y159+Y167</f>
        <v>43447.4845002667</v>
      </c>
      <c r="Z168" s="70" t="n">
        <f aca="false">Z159+Z167</f>
        <v>52265.6513514667</v>
      </c>
      <c r="AA168" s="70" t="n">
        <f aca="false">AA159+AA167</f>
        <v>46215.4398063329</v>
      </c>
      <c r="AB168" s="70" t="n">
        <f aca="false">AB159+AB167</f>
        <v>46215.4398063329</v>
      </c>
      <c r="AC168" s="70" t="n">
        <f aca="false">AC159+AC167</f>
        <v>46215.4398063329</v>
      </c>
      <c r="AD168" s="70" t="n">
        <f aca="false">AD159+AD167</f>
        <v>46215.4398063329</v>
      </c>
      <c r="AE168" s="70" t="n">
        <f aca="false">AE159+AE167</f>
        <v>46215.4398063329</v>
      </c>
      <c r="AF168" s="70" t="n">
        <f aca="false">AF159+AF167</f>
        <v>55570.633018771</v>
      </c>
      <c r="AG168" s="70" t="n">
        <f aca="false">AG159+AG167</f>
        <v>55570.633018771</v>
      </c>
      <c r="AH168" s="70" t="n">
        <f aca="false">AH159+AH167</f>
        <v>55570.633018771</v>
      </c>
      <c r="AI168" s="70" t="n">
        <f aca="false">AI159+AI167</f>
        <v>46215.4398063329</v>
      </c>
      <c r="AJ168" s="70" t="n">
        <f aca="false">AJ159+AJ167</f>
        <v>46215.4398063329</v>
      </c>
      <c r="AK168" s="70" t="n">
        <f aca="false">AK159+AK167</f>
        <v>46215.4398063329</v>
      </c>
      <c r="AL168" s="70" t="n">
        <f aca="false">AL159+AL167</f>
        <v>55570.633018771</v>
      </c>
    </row>
    <row r="170" customFormat="false" ht="15.75" hidden="false" customHeight="true" outlineLevel="0" collapsed="false">
      <c r="A170" s="7" t="s">
        <v>47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customFormat="false" ht="15" hidden="false" customHeight="false" outlineLevel="0" collapsed="false">
      <c r="A171" s="6" t="s">
        <v>335</v>
      </c>
      <c r="C171" s="69" t="n">
        <f aca="false">C253-C250</f>
        <v>-15237.5</v>
      </c>
      <c r="D171" s="69" t="n">
        <f aca="false">D253-D250</f>
        <v>-15237.5</v>
      </c>
      <c r="E171" s="69" t="n">
        <f aca="false">E253-E250</f>
        <v>-15237.5</v>
      </c>
      <c r="F171" s="69" t="n">
        <f aca="false">F253-F250</f>
        <v>-15237.5</v>
      </c>
      <c r="G171" s="69" t="n">
        <f aca="false">G253-G250</f>
        <v>-15237.5</v>
      </c>
      <c r="H171" s="69" t="n">
        <f aca="false">H253-H250</f>
        <v>-15237.5</v>
      </c>
      <c r="I171" s="69" t="n">
        <f aca="false">I253-I250</f>
        <v>-15237.5</v>
      </c>
      <c r="J171" s="69" t="n">
        <f aca="false">J253-J250</f>
        <v>-15237.5</v>
      </c>
      <c r="K171" s="69" t="n">
        <f aca="false">K253-K250</f>
        <v>-15237.5</v>
      </c>
      <c r="L171" s="69" t="n">
        <f aca="false">L253-L250</f>
        <v>-15237.5</v>
      </c>
      <c r="M171" s="69" t="n">
        <f aca="false">M253-M250</f>
        <v>-15237.5</v>
      </c>
      <c r="N171" s="69" t="n">
        <f aca="false">N253-N250</f>
        <v>-15237.5</v>
      </c>
      <c r="O171" s="69" t="n">
        <f aca="false">O253-O250</f>
        <v>-15694.625</v>
      </c>
      <c r="P171" s="69" t="n">
        <f aca="false">P253-P250</f>
        <v>-15694.625</v>
      </c>
      <c r="Q171" s="69" t="n">
        <f aca="false">Q253-Q250</f>
        <v>-15694.625</v>
      </c>
      <c r="R171" s="69" t="n">
        <f aca="false">R253-R250</f>
        <v>-15694.625</v>
      </c>
      <c r="S171" s="69" t="n">
        <f aca="false">S253-S250</f>
        <v>-15694.625</v>
      </c>
      <c r="T171" s="69" t="n">
        <f aca="false">T253-T250</f>
        <v>-15694.625</v>
      </c>
      <c r="U171" s="69" t="n">
        <f aca="false">U253-U250</f>
        <v>-15694.625</v>
      </c>
      <c r="V171" s="69" t="n">
        <f aca="false">V253-V250</f>
        <v>-15694.625</v>
      </c>
      <c r="W171" s="69" t="n">
        <f aca="false">W253-W250</f>
        <v>-15694.625</v>
      </c>
      <c r="X171" s="69" t="n">
        <f aca="false">X253-X250</f>
        <v>-15694.625</v>
      </c>
      <c r="Y171" s="69" t="n">
        <f aca="false">Y253-Y250</f>
        <v>-15694.625</v>
      </c>
      <c r="Z171" s="69" t="n">
        <f aca="false">Z253-Z250</f>
        <v>-15694.625</v>
      </c>
      <c r="AA171" s="69" t="n">
        <f aca="false">AA253-AA250</f>
        <v>-16165.46375</v>
      </c>
      <c r="AB171" s="69" t="n">
        <f aca="false">AB253-AB250</f>
        <v>-16165.46375</v>
      </c>
      <c r="AC171" s="69" t="n">
        <f aca="false">AC253-AC250</f>
        <v>-16165.46375</v>
      </c>
      <c r="AD171" s="69" t="n">
        <f aca="false">AD253-AD250</f>
        <v>-16165.46375</v>
      </c>
      <c r="AE171" s="69" t="n">
        <f aca="false">AE253-AE250</f>
        <v>-16165.46375</v>
      </c>
      <c r="AF171" s="69" t="n">
        <f aca="false">AF253-AF250</f>
        <v>-16165.46375</v>
      </c>
      <c r="AG171" s="69" t="n">
        <f aca="false">AG253-AG250</f>
        <v>-16165.46375</v>
      </c>
      <c r="AH171" s="69" t="n">
        <f aca="false">AH253-AH250</f>
        <v>-16165.46375</v>
      </c>
      <c r="AI171" s="69" t="n">
        <f aca="false">AI253-AI250</f>
        <v>-16165.46375</v>
      </c>
      <c r="AJ171" s="69" t="n">
        <f aca="false">AJ253-AJ250</f>
        <v>-16165.46375</v>
      </c>
      <c r="AK171" s="69" t="n">
        <f aca="false">AK253-AK250</f>
        <v>-16165.46375</v>
      </c>
      <c r="AL171" s="69" t="n">
        <f aca="false">AL253-AL250</f>
        <v>-16165.46375</v>
      </c>
    </row>
    <row r="172" customFormat="false" ht="15" hidden="false" customHeight="false" outlineLevel="0" collapsed="false">
      <c r="A172" s="6" t="s">
        <v>336</v>
      </c>
      <c r="C172" s="69" t="n">
        <f aca="false">-Inputs!$C$38*(1+Inputs!$C$39)^(C$133-1)*1</f>
        <v>-9000</v>
      </c>
      <c r="D172" s="69" t="n">
        <f aca="false">-Inputs!$C$38*(1+Inputs!$C$39)^(D$133-1)*1</f>
        <v>-9000</v>
      </c>
      <c r="E172" s="69" t="n">
        <f aca="false">-Inputs!$C$38*(1+Inputs!$C$39)^(E$133-1)*1</f>
        <v>-9000</v>
      </c>
      <c r="F172" s="69" t="n">
        <f aca="false">-Inputs!$C$38*(1+Inputs!$C$39)^(F$133-1)*1</f>
        <v>-9000</v>
      </c>
      <c r="G172" s="69" t="n">
        <f aca="false">-Inputs!$C$38*(1+Inputs!$C$39)^(G$133-1)*1</f>
        <v>-9000</v>
      </c>
      <c r="H172" s="69" t="n">
        <f aca="false">-Inputs!$C$38*(1+Inputs!$C$39)^(H$133-1)*1</f>
        <v>-9000</v>
      </c>
      <c r="I172" s="69" t="n">
        <f aca="false">-Inputs!$C$38*(1+Inputs!$C$39)^(I$133-1)*1</f>
        <v>-9000</v>
      </c>
      <c r="J172" s="69" t="n">
        <f aca="false">-Inputs!$C$38*(1+Inputs!$C$39)^(J$133-1)*1</f>
        <v>-9000</v>
      </c>
      <c r="K172" s="69" t="n">
        <f aca="false">-Inputs!$C$38*(1+Inputs!$C$39)^(K$133-1)*1</f>
        <v>-9000</v>
      </c>
      <c r="L172" s="69" t="n">
        <f aca="false">-Inputs!$C$38*(1+Inputs!$C$39)^(L$133-1)*1</f>
        <v>-9000</v>
      </c>
      <c r="M172" s="69" t="n">
        <f aca="false">-Inputs!$C$38*(1+Inputs!$C$39)^(M$133-1)*1</f>
        <v>-9000</v>
      </c>
      <c r="N172" s="69" t="n">
        <f aca="false">-Inputs!$C$38*(1+Inputs!$C$39)^(N$133-1)*1</f>
        <v>-9000</v>
      </c>
      <c r="O172" s="69" t="n">
        <f aca="false">-Inputs!$C$38*(1+Inputs!$C$39)^(O$133-1)*1</f>
        <v>-9270</v>
      </c>
      <c r="P172" s="69" t="n">
        <f aca="false">-Inputs!$C$38*(1+Inputs!$C$39)^(P$133-1)*1</f>
        <v>-9270</v>
      </c>
      <c r="Q172" s="69" t="n">
        <f aca="false">-Inputs!$C$38*(1+Inputs!$C$39)^(Q$133-1)*1</f>
        <v>-9270</v>
      </c>
      <c r="R172" s="69" t="n">
        <f aca="false">-Inputs!$C$38*(1+Inputs!$C$39)^(R$133-1)*1</f>
        <v>-9270</v>
      </c>
      <c r="S172" s="69" t="n">
        <f aca="false">-Inputs!$C$38*(1+Inputs!$C$39)^(S$133-1)*1</f>
        <v>-9270</v>
      </c>
      <c r="T172" s="69" t="n">
        <f aca="false">-Inputs!$C$38*(1+Inputs!$C$39)^(T$133-1)*1</f>
        <v>-9270</v>
      </c>
      <c r="U172" s="69" t="n">
        <f aca="false">-Inputs!$C$38*(1+Inputs!$C$39)^(U$133-1)*1</f>
        <v>-9270</v>
      </c>
      <c r="V172" s="69" t="n">
        <f aca="false">-Inputs!$C$38*(1+Inputs!$C$39)^(V$133-1)*1</f>
        <v>-9270</v>
      </c>
      <c r="W172" s="69" t="n">
        <f aca="false">-Inputs!$C$38*(1+Inputs!$C$39)^(W$133-1)*1</f>
        <v>-9270</v>
      </c>
      <c r="X172" s="69" t="n">
        <f aca="false">-Inputs!$C$38*(1+Inputs!$C$39)^(X$133-1)*1</f>
        <v>-9270</v>
      </c>
      <c r="Y172" s="69" t="n">
        <f aca="false">-Inputs!$C$38*(1+Inputs!$C$39)^(Y$133-1)*1</f>
        <v>-9270</v>
      </c>
      <c r="Z172" s="69" t="n">
        <f aca="false">-Inputs!$C$38*(1+Inputs!$C$39)^(Z$133-1)*1</f>
        <v>-9270</v>
      </c>
      <c r="AA172" s="69" t="n">
        <f aca="false">-Inputs!$C$38*(1+Inputs!$C$39)^(AA$133-1)*1</f>
        <v>-9548.1</v>
      </c>
      <c r="AB172" s="69" t="n">
        <f aca="false">-Inputs!$C$38*(1+Inputs!$C$39)^(AB$133-1)*1</f>
        <v>-9548.1</v>
      </c>
      <c r="AC172" s="69" t="n">
        <f aca="false">-Inputs!$C$38*(1+Inputs!$C$39)^(AC$133-1)*1</f>
        <v>-9548.1</v>
      </c>
      <c r="AD172" s="69" t="n">
        <f aca="false">-Inputs!$C$38*(1+Inputs!$C$39)^(AD$133-1)*1</f>
        <v>-9548.1</v>
      </c>
      <c r="AE172" s="69" t="n">
        <f aca="false">-Inputs!$C$38*(1+Inputs!$C$39)^(AE$133-1)*1</f>
        <v>-9548.1</v>
      </c>
      <c r="AF172" s="69" t="n">
        <f aca="false">-Inputs!$C$38*(1+Inputs!$C$39)^(AF$133-1)*1</f>
        <v>-9548.1</v>
      </c>
      <c r="AG172" s="69" t="n">
        <f aca="false">-Inputs!$C$38*(1+Inputs!$C$39)^(AG$133-1)*1</f>
        <v>-9548.1</v>
      </c>
      <c r="AH172" s="69" t="n">
        <f aca="false">-Inputs!$C$38*(1+Inputs!$C$39)^(AH$133-1)*1</f>
        <v>-9548.1</v>
      </c>
      <c r="AI172" s="69" t="n">
        <f aca="false">-Inputs!$C$38*(1+Inputs!$C$39)^(AI$133-1)*1</f>
        <v>-9548.1</v>
      </c>
      <c r="AJ172" s="69" t="n">
        <f aca="false">-Inputs!$C$38*(1+Inputs!$C$39)^(AJ$133-1)*1</f>
        <v>-9548.1</v>
      </c>
      <c r="AK172" s="69" t="n">
        <f aca="false">-Inputs!$C$38*(1+Inputs!$C$39)^(AK$133-1)*1</f>
        <v>-9548.1</v>
      </c>
      <c r="AL172" s="69" t="n">
        <f aca="false">-Inputs!$C$38*(1+Inputs!$C$39)^(AL$133-1)*1</f>
        <v>-9548.1</v>
      </c>
    </row>
    <row r="173" customFormat="false" ht="15" hidden="false" customHeight="false" outlineLevel="0" collapsed="false">
      <c r="A173" s="6" t="s">
        <v>337</v>
      </c>
      <c r="C173" s="69" t="n">
        <f aca="false">-Inputs!$C$40*(1+Inputs!$C$45)^(C$133-1)*1</f>
        <v>-2500</v>
      </c>
      <c r="D173" s="69" t="n">
        <f aca="false">-Inputs!$C$40*(1+Inputs!$C$45)^(D$133-1)*1</f>
        <v>-2500</v>
      </c>
      <c r="E173" s="69" t="n">
        <f aca="false">-Inputs!$C$40*(1+Inputs!$C$45)^(E$133-1)*1</f>
        <v>-2500</v>
      </c>
      <c r="F173" s="69" t="n">
        <f aca="false">-Inputs!$C$40*(1+Inputs!$C$45)^(F$133-1)*1</f>
        <v>-2500</v>
      </c>
      <c r="G173" s="69" t="n">
        <f aca="false">-Inputs!$C$40*(1+Inputs!$C$45)^(G$133-1)*1</f>
        <v>-2500</v>
      </c>
      <c r="H173" s="69" t="n">
        <f aca="false">-Inputs!$C$40*(1+Inputs!$C$45)^(H$133-1)*1</f>
        <v>-2500</v>
      </c>
      <c r="I173" s="69" t="n">
        <f aca="false">-Inputs!$C$40*(1+Inputs!$C$45)^(I$133-1)*1</f>
        <v>-2500</v>
      </c>
      <c r="J173" s="69" t="n">
        <f aca="false">-Inputs!$C$40*(1+Inputs!$C$45)^(J$133-1)*1</f>
        <v>-2500</v>
      </c>
      <c r="K173" s="69" t="n">
        <f aca="false">-Inputs!$C$40*(1+Inputs!$C$45)^(K$133-1)*1</f>
        <v>-2500</v>
      </c>
      <c r="L173" s="69" t="n">
        <f aca="false">-Inputs!$C$40*(1+Inputs!$C$45)^(L$133-1)*1</f>
        <v>-2500</v>
      </c>
      <c r="M173" s="69" t="n">
        <f aca="false">-Inputs!$C$40*(1+Inputs!$C$45)^(M$133-1)*1</f>
        <v>-2500</v>
      </c>
      <c r="N173" s="69" t="n">
        <f aca="false">-Inputs!$C$40*(1+Inputs!$C$45)^(N$133-1)*1</f>
        <v>-2500</v>
      </c>
      <c r="O173" s="69" t="n">
        <f aca="false">-Inputs!$C$40*(1+Inputs!$C$45)^(O$133-1)*1</f>
        <v>-2575</v>
      </c>
      <c r="P173" s="69" t="n">
        <f aca="false">-Inputs!$C$40*(1+Inputs!$C$45)^(P$133-1)*1</f>
        <v>-2575</v>
      </c>
      <c r="Q173" s="69" t="n">
        <f aca="false">-Inputs!$C$40*(1+Inputs!$C$45)^(Q$133-1)*1</f>
        <v>-2575</v>
      </c>
      <c r="R173" s="69" t="n">
        <f aca="false">-Inputs!$C$40*(1+Inputs!$C$45)^(R$133-1)*1</f>
        <v>-2575</v>
      </c>
      <c r="S173" s="69" t="n">
        <f aca="false">-Inputs!$C$40*(1+Inputs!$C$45)^(S$133-1)*1</f>
        <v>-2575</v>
      </c>
      <c r="T173" s="69" t="n">
        <f aca="false">-Inputs!$C$40*(1+Inputs!$C$45)^(T$133-1)*1</f>
        <v>-2575</v>
      </c>
      <c r="U173" s="69" t="n">
        <f aca="false">-Inputs!$C$40*(1+Inputs!$C$45)^(U$133-1)*1</f>
        <v>-2575</v>
      </c>
      <c r="V173" s="69" t="n">
        <f aca="false">-Inputs!$C$40*(1+Inputs!$C$45)^(V$133-1)*1</f>
        <v>-2575</v>
      </c>
      <c r="W173" s="69" t="n">
        <f aca="false">-Inputs!$C$40*(1+Inputs!$C$45)^(W$133-1)*1</f>
        <v>-2575</v>
      </c>
      <c r="X173" s="69" t="n">
        <f aca="false">-Inputs!$C$40*(1+Inputs!$C$45)^(X$133-1)*1</f>
        <v>-2575</v>
      </c>
      <c r="Y173" s="69" t="n">
        <f aca="false">-Inputs!$C$40*(1+Inputs!$C$45)^(Y$133-1)*1</f>
        <v>-2575</v>
      </c>
      <c r="Z173" s="69" t="n">
        <f aca="false">-Inputs!$C$40*(1+Inputs!$C$45)^(Z$133-1)*1</f>
        <v>-2575</v>
      </c>
      <c r="AA173" s="69" t="n">
        <f aca="false">-Inputs!$C$40*(1+Inputs!$C$45)^(AA$133-1)*1</f>
        <v>-2652.25</v>
      </c>
      <c r="AB173" s="69" t="n">
        <f aca="false">-Inputs!$C$40*(1+Inputs!$C$45)^(AB$133-1)*1</f>
        <v>-2652.25</v>
      </c>
      <c r="AC173" s="69" t="n">
        <f aca="false">-Inputs!$C$40*(1+Inputs!$C$45)^(AC$133-1)*1</f>
        <v>-2652.25</v>
      </c>
      <c r="AD173" s="69" t="n">
        <f aca="false">-Inputs!$C$40*(1+Inputs!$C$45)^(AD$133-1)*1</f>
        <v>-2652.25</v>
      </c>
      <c r="AE173" s="69" t="n">
        <f aca="false">-Inputs!$C$40*(1+Inputs!$C$45)^(AE$133-1)*1</f>
        <v>-2652.25</v>
      </c>
      <c r="AF173" s="69" t="n">
        <f aca="false">-Inputs!$C$40*(1+Inputs!$C$45)^(AF$133-1)*1</f>
        <v>-2652.25</v>
      </c>
      <c r="AG173" s="69" t="n">
        <f aca="false">-Inputs!$C$40*(1+Inputs!$C$45)^(AG$133-1)*1</f>
        <v>-2652.25</v>
      </c>
      <c r="AH173" s="69" t="n">
        <f aca="false">-Inputs!$C$40*(1+Inputs!$C$45)^(AH$133-1)*1</f>
        <v>-2652.25</v>
      </c>
      <c r="AI173" s="69" t="n">
        <f aca="false">-Inputs!$C$40*(1+Inputs!$C$45)^(AI$133-1)*1</f>
        <v>-2652.25</v>
      </c>
      <c r="AJ173" s="69" t="n">
        <f aca="false">-Inputs!$C$40*(1+Inputs!$C$45)^(AJ$133-1)*1</f>
        <v>-2652.25</v>
      </c>
      <c r="AK173" s="69" t="n">
        <f aca="false">-Inputs!$C$40*(1+Inputs!$C$45)^(AK$133-1)*1</f>
        <v>-2652.25</v>
      </c>
      <c r="AL173" s="69" t="n">
        <f aca="false">-Inputs!$C$40*(1+Inputs!$C$45)^(AL$133-1)*1</f>
        <v>-2652.25</v>
      </c>
    </row>
    <row r="174" customFormat="false" ht="15" hidden="false" customHeight="false" outlineLevel="0" collapsed="false">
      <c r="A174" s="6" t="s">
        <v>338</v>
      </c>
      <c r="C174" s="69" t="n">
        <f aca="false">-Inputs!$C$41*(1+Inputs!$C$45)^(C$133-1)*1</f>
        <v>-4500</v>
      </c>
      <c r="D174" s="69" t="n">
        <f aca="false">-Inputs!$C$41*(1+Inputs!$C$45)^(D$133-1)*1</f>
        <v>-4500</v>
      </c>
      <c r="E174" s="69" t="n">
        <f aca="false">-Inputs!$C$41*(1+Inputs!$C$45)^(E$133-1)*1</f>
        <v>-4500</v>
      </c>
      <c r="F174" s="69" t="n">
        <f aca="false">-Inputs!$C$41*(1+Inputs!$C$45)^(F$133-1)*1</f>
        <v>-4500</v>
      </c>
      <c r="G174" s="69" t="n">
        <f aca="false">-Inputs!$C$41*(1+Inputs!$C$45)^(G$133-1)*1</f>
        <v>-4500</v>
      </c>
      <c r="H174" s="69" t="n">
        <f aca="false">-Inputs!$C$41*(1+Inputs!$C$45)^(H$133-1)*1</f>
        <v>-4500</v>
      </c>
      <c r="I174" s="69" t="n">
        <f aca="false">-Inputs!$C$41*(1+Inputs!$C$45)^(I$133-1)*1</f>
        <v>-4500</v>
      </c>
      <c r="J174" s="69" t="n">
        <f aca="false">-Inputs!$C$41*(1+Inputs!$C$45)^(J$133-1)*1</f>
        <v>-4500</v>
      </c>
      <c r="K174" s="69" t="n">
        <f aca="false">-Inputs!$C$41*(1+Inputs!$C$45)^(K$133-1)*1</f>
        <v>-4500</v>
      </c>
      <c r="L174" s="69" t="n">
        <f aca="false">-Inputs!$C$41*(1+Inputs!$C$45)^(L$133-1)*1</f>
        <v>-4500</v>
      </c>
      <c r="M174" s="69" t="n">
        <f aca="false">-Inputs!$C$41*(1+Inputs!$C$45)^(M$133-1)*1</f>
        <v>-4500</v>
      </c>
      <c r="N174" s="69" t="n">
        <f aca="false">-Inputs!$C$41*(1+Inputs!$C$45)^(N$133-1)*1</f>
        <v>-4500</v>
      </c>
      <c r="O174" s="69" t="n">
        <f aca="false">-Inputs!$C$41*(1+Inputs!$C$45)^(O$133-1)*1</f>
        <v>-4635</v>
      </c>
      <c r="P174" s="69" t="n">
        <f aca="false">-Inputs!$C$41*(1+Inputs!$C$45)^(P$133-1)*1</f>
        <v>-4635</v>
      </c>
      <c r="Q174" s="69" t="n">
        <f aca="false">-Inputs!$C$41*(1+Inputs!$C$45)^(Q$133-1)*1</f>
        <v>-4635</v>
      </c>
      <c r="R174" s="69" t="n">
        <f aca="false">-Inputs!$C$41*(1+Inputs!$C$45)^(R$133-1)*1</f>
        <v>-4635</v>
      </c>
      <c r="S174" s="69" t="n">
        <f aca="false">-Inputs!$C$41*(1+Inputs!$C$45)^(S$133-1)*1</f>
        <v>-4635</v>
      </c>
      <c r="T174" s="69" t="n">
        <f aca="false">-Inputs!$C$41*(1+Inputs!$C$45)^(T$133-1)*1</f>
        <v>-4635</v>
      </c>
      <c r="U174" s="69" t="n">
        <f aca="false">-Inputs!$C$41*(1+Inputs!$C$45)^(U$133-1)*1</f>
        <v>-4635</v>
      </c>
      <c r="V174" s="69" t="n">
        <f aca="false">-Inputs!$C$41*(1+Inputs!$C$45)^(V$133-1)*1</f>
        <v>-4635</v>
      </c>
      <c r="W174" s="69" t="n">
        <f aca="false">-Inputs!$C$41*(1+Inputs!$C$45)^(W$133-1)*1</f>
        <v>-4635</v>
      </c>
      <c r="X174" s="69" t="n">
        <f aca="false">-Inputs!$C$41*(1+Inputs!$C$45)^(X$133-1)*1</f>
        <v>-4635</v>
      </c>
      <c r="Y174" s="69" t="n">
        <f aca="false">-Inputs!$C$41*(1+Inputs!$C$45)^(Y$133-1)*1</f>
        <v>-4635</v>
      </c>
      <c r="Z174" s="69" t="n">
        <f aca="false">-Inputs!$C$41*(1+Inputs!$C$45)^(Z$133-1)*1</f>
        <v>-4635</v>
      </c>
      <c r="AA174" s="69" t="n">
        <f aca="false">-Inputs!$C$41*(1+Inputs!$C$45)^(AA$133-1)*1</f>
        <v>-4774.05</v>
      </c>
      <c r="AB174" s="69" t="n">
        <f aca="false">-Inputs!$C$41*(1+Inputs!$C$45)^(AB$133-1)*1</f>
        <v>-4774.05</v>
      </c>
      <c r="AC174" s="69" t="n">
        <f aca="false">-Inputs!$C$41*(1+Inputs!$C$45)^(AC$133-1)*1</f>
        <v>-4774.05</v>
      </c>
      <c r="AD174" s="69" t="n">
        <f aca="false">-Inputs!$C$41*(1+Inputs!$C$45)^(AD$133-1)*1</f>
        <v>-4774.05</v>
      </c>
      <c r="AE174" s="69" t="n">
        <f aca="false">-Inputs!$C$41*(1+Inputs!$C$45)^(AE$133-1)*1</f>
        <v>-4774.05</v>
      </c>
      <c r="AF174" s="69" t="n">
        <f aca="false">-Inputs!$C$41*(1+Inputs!$C$45)^(AF$133-1)*1</f>
        <v>-4774.05</v>
      </c>
      <c r="AG174" s="69" t="n">
        <f aca="false">-Inputs!$C$41*(1+Inputs!$C$45)^(AG$133-1)*1</f>
        <v>-4774.05</v>
      </c>
      <c r="AH174" s="69" t="n">
        <f aca="false">-Inputs!$C$41*(1+Inputs!$C$45)^(AH$133-1)*1</f>
        <v>-4774.05</v>
      </c>
      <c r="AI174" s="69" t="n">
        <f aca="false">-Inputs!$C$41*(1+Inputs!$C$45)^(AI$133-1)*1</f>
        <v>-4774.05</v>
      </c>
      <c r="AJ174" s="69" t="n">
        <f aca="false">-Inputs!$C$41*(1+Inputs!$C$45)^(AJ$133-1)*1</f>
        <v>-4774.05</v>
      </c>
      <c r="AK174" s="69" t="n">
        <f aca="false">-Inputs!$C$41*(1+Inputs!$C$45)^(AK$133-1)*1</f>
        <v>-4774.05</v>
      </c>
      <c r="AL174" s="69" t="n">
        <f aca="false">-Inputs!$C$41*(1+Inputs!$C$45)^(AL$133-1)*1</f>
        <v>-4774.05</v>
      </c>
    </row>
    <row r="175" customFormat="false" ht="15" hidden="false" customHeight="false" outlineLevel="0" collapsed="false">
      <c r="A175" s="6" t="s">
        <v>339</v>
      </c>
      <c r="C175" s="69" t="n">
        <f aca="false">-Inputs!$C$42*(1+Inputs!$C$43)^(C$133-1)*1</f>
        <v>-3500</v>
      </c>
      <c r="D175" s="69" t="n">
        <f aca="false">-Inputs!$C$42*(1+Inputs!$C$43)^(D$133-1)*1</f>
        <v>-3500</v>
      </c>
      <c r="E175" s="69" t="n">
        <f aca="false">-Inputs!$C$42*(1+Inputs!$C$43)^(E$133-1)*1</f>
        <v>-3500</v>
      </c>
      <c r="F175" s="69" t="n">
        <f aca="false">-Inputs!$C$42*(1+Inputs!$C$43)^(F$133-1)*1</f>
        <v>-3500</v>
      </c>
      <c r="G175" s="69" t="n">
        <f aca="false">-Inputs!$C$42*(1+Inputs!$C$43)^(G$133-1)*1</f>
        <v>-3500</v>
      </c>
      <c r="H175" s="69" t="n">
        <f aca="false">-Inputs!$C$42*(1+Inputs!$C$43)^(H$133-1)*1</f>
        <v>-3500</v>
      </c>
      <c r="I175" s="69" t="n">
        <f aca="false">-Inputs!$C$42*(1+Inputs!$C$43)^(I$133-1)*1</f>
        <v>-3500</v>
      </c>
      <c r="J175" s="69" t="n">
        <f aca="false">-Inputs!$C$42*(1+Inputs!$C$43)^(J$133-1)*1</f>
        <v>-3500</v>
      </c>
      <c r="K175" s="69" t="n">
        <f aca="false">-Inputs!$C$42*(1+Inputs!$C$43)^(K$133-1)*1</f>
        <v>-3500</v>
      </c>
      <c r="L175" s="69" t="n">
        <f aca="false">-Inputs!$C$42*(1+Inputs!$C$43)^(L$133-1)*1</f>
        <v>-3500</v>
      </c>
      <c r="M175" s="69" t="n">
        <f aca="false">-Inputs!$C$42*(1+Inputs!$C$43)^(M$133-1)*1</f>
        <v>-3500</v>
      </c>
      <c r="N175" s="69" t="n">
        <f aca="false">-Inputs!$C$42*(1+Inputs!$C$43)^(N$133-1)*1</f>
        <v>-3500</v>
      </c>
      <c r="O175" s="69" t="n">
        <f aca="false">-Inputs!$C$42*(1+Inputs!$C$43)^(O$133-1)*1</f>
        <v>-2800</v>
      </c>
      <c r="P175" s="69" t="n">
        <f aca="false">-Inputs!$C$42*(1+Inputs!$C$43)^(P$133-1)*1</f>
        <v>-2800</v>
      </c>
      <c r="Q175" s="69" t="n">
        <f aca="false">-Inputs!$C$42*(1+Inputs!$C$43)^(Q$133-1)*1</f>
        <v>-2800</v>
      </c>
      <c r="R175" s="69" t="n">
        <f aca="false">-Inputs!$C$42*(1+Inputs!$C$43)^(R$133-1)*1</f>
        <v>-2800</v>
      </c>
      <c r="S175" s="69" t="n">
        <f aca="false">-Inputs!$C$42*(1+Inputs!$C$43)^(S$133-1)*1</f>
        <v>-2800</v>
      </c>
      <c r="T175" s="69" t="n">
        <f aca="false">-Inputs!$C$42*(1+Inputs!$C$43)^(T$133-1)*1</f>
        <v>-2800</v>
      </c>
      <c r="U175" s="69" t="n">
        <f aca="false">-Inputs!$C$42*(1+Inputs!$C$43)^(U$133-1)*1</f>
        <v>-2800</v>
      </c>
      <c r="V175" s="69" t="n">
        <f aca="false">-Inputs!$C$42*(1+Inputs!$C$43)^(V$133-1)*1</f>
        <v>-2800</v>
      </c>
      <c r="W175" s="69" t="n">
        <f aca="false">-Inputs!$C$42*(1+Inputs!$C$43)^(W$133-1)*1</f>
        <v>-2800</v>
      </c>
      <c r="X175" s="69" t="n">
        <f aca="false">-Inputs!$C$42*(1+Inputs!$C$43)^(X$133-1)*1</f>
        <v>-2800</v>
      </c>
      <c r="Y175" s="69" t="n">
        <f aca="false">-Inputs!$C$42*(1+Inputs!$C$43)^(Y$133-1)*1</f>
        <v>-2800</v>
      </c>
      <c r="Z175" s="69" t="n">
        <f aca="false">-Inputs!$C$42*(1+Inputs!$C$43)^(Z$133-1)*1</f>
        <v>-2800</v>
      </c>
      <c r="AA175" s="69" t="n">
        <f aca="false">-Inputs!$C$42*(1+Inputs!$C$43)^(AA$133-1)*1</f>
        <v>-2240</v>
      </c>
      <c r="AB175" s="69" t="n">
        <f aca="false">-Inputs!$C$42*(1+Inputs!$C$43)^(AB$133-1)*1</f>
        <v>-2240</v>
      </c>
      <c r="AC175" s="69" t="n">
        <f aca="false">-Inputs!$C$42*(1+Inputs!$C$43)^(AC$133-1)*1</f>
        <v>-2240</v>
      </c>
      <c r="AD175" s="69" t="n">
        <f aca="false">-Inputs!$C$42*(1+Inputs!$C$43)^(AD$133-1)*1</f>
        <v>-2240</v>
      </c>
      <c r="AE175" s="69" t="n">
        <f aca="false">-Inputs!$C$42*(1+Inputs!$C$43)^(AE$133-1)*1</f>
        <v>-2240</v>
      </c>
      <c r="AF175" s="69" t="n">
        <f aca="false">-Inputs!$C$42*(1+Inputs!$C$43)^(AF$133-1)*1</f>
        <v>-2240</v>
      </c>
      <c r="AG175" s="69" t="n">
        <f aca="false">-Inputs!$C$42*(1+Inputs!$C$43)^(AG$133-1)*1</f>
        <v>-2240</v>
      </c>
      <c r="AH175" s="69" t="n">
        <f aca="false">-Inputs!$C$42*(1+Inputs!$C$43)^(AH$133-1)*1</f>
        <v>-2240</v>
      </c>
      <c r="AI175" s="69" t="n">
        <f aca="false">-Inputs!$C$42*(1+Inputs!$C$43)^(AI$133-1)*1</f>
        <v>-2240</v>
      </c>
      <c r="AJ175" s="69" t="n">
        <f aca="false">-Inputs!$C$42*(1+Inputs!$C$43)^(AJ$133-1)*1</f>
        <v>-2240</v>
      </c>
      <c r="AK175" s="69" t="n">
        <f aca="false">-Inputs!$C$42*(1+Inputs!$C$43)^(AK$133-1)*1</f>
        <v>-2240</v>
      </c>
      <c r="AL175" s="69" t="n">
        <f aca="false">-Inputs!$C$42*(1+Inputs!$C$43)^(AL$133-1)*1</f>
        <v>-2240</v>
      </c>
    </row>
    <row r="176" customFormat="false" ht="15" hidden="false" customHeight="false" outlineLevel="0" collapsed="false">
      <c r="A176" s="6" t="s">
        <v>340</v>
      </c>
      <c r="C176" s="69" t="n">
        <f aca="false">-C159*Inputs!$C$44</f>
        <v>-750.20736</v>
      </c>
      <c r="D176" s="69" t="n">
        <f aca="false">-D159*Inputs!$C$44</f>
        <v>-862.738464</v>
      </c>
      <c r="E176" s="69" t="n">
        <f aca="false">-E159*Inputs!$C$44</f>
        <v>-975.269568</v>
      </c>
      <c r="F176" s="69" t="n">
        <f aca="false">-F159*Inputs!$C$44</f>
        <v>-1087.800672</v>
      </c>
      <c r="G176" s="69" t="n">
        <f aca="false">-G159*Inputs!$C$44</f>
        <v>-1200.331776</v>
      </c>
      <c r="H176" s="69" t="n">
        <f aca="false">-H159*Inputs!$C$44</f>
        <v>-1508.78784</v>
      </c>
      <c r="I176" s="69" t="n">
        <f aca="false">-I159*Inputs!$C$44</f>
        <v>-1638.112512</v>
      </c>
      <c r="J176" s="69" t="n">
        <f aca="false">-J159*Inputs!$C$44</f>
        <v>-1767.437184</v>
      </c>
      <c r="K176" s="69" t="n">
        <f aca="false">-K159*Inputs!$C$44</f>
        <v>-1650.456192</v>
      </c>
      <c r="L176" s="69" t="n">
        <f aca="false">-L159*Inputs!$C$44</f>
        <v>-1762.987296</v>
      </c>
      <c r="M176" s="69" t="n">
        <f aca="false">-M159*Inputs!$C$44</f>
        <v>-1875.5184</v>
      </c>
      <c r="N176" s="69" t="n">
        <f aca="false">-N159*Inputs!$C$44</f>
        <v>-2155.4112</v>
      </c>
      <c r="O176" s="69" t="n">
        <f aca="false">-O159*Inputs!$C$44</f>
        <v>-1989.73747056</v>
      </c>
      <c r="P176" s="69" t="n">
        <f aca="false">-P159*Inputs!$C$44</f>
        <v>-1989.73747056</v>
      </c>
      <c r="Q176" s="69" t="n">
        <f aca="false">-Q159*Inputs!$C$44</f>
        <v>-1989.73747056</v>
      </c>
      <c r="R176" s="69" t="n">
        <f aca="false">-R159*Inputs!$C$44</f>
        <v>-1989.73747056</v>
      </c>
      <c r="S176" s="69" t="n">
        <f aca="false">-S159*Inputs!$C$44</f>
        <v>-1989.73747056</v>
      </c>
      <c r="T176" s="69" t="n">
        <f aca="false">-T159*Inputs!$C$44</f>
        <v>-2286.67574208</v>
      </c>
      <c r="U176" s="69" t="n">
        <f aca="false">-U159*Inputs!$C$44</f>
        <v>-2286.67574208</v>
      </c>
      <c r="V176" s="69" t="n">
        <f aca="false">-V159*Inputs!$C$44</f>
        <v>-2286.67574208</v>
      </c>
      <c r="W176" s="69" t="n">
        <f aca="false">-W159*Inputs!$C$44</f>
        <v>-1989.73747056</v>
      </c>
      <c r="X176" s="69" t="n">
        <f aca="false">-X159*Inputs!$C$44</f>
        <v>-1989.73747056</v>
      </c>
      <c r="Y176" s="69" t="n">
        <f aca="false">-Y159*Inputs!$C$44</f>
        <v>-1989.73747056</v>
      </c>
      <c r="Z176" s="69" t="n">
        <f aca="false">-Z159*Inputs!$C$44</f>
        <v>-2286.67574208</v>
      </c>
      <c r="AA176" s="69" t="n">
        <f aca="false">-AA159*Inputs!$C$44</f>
        <v>-2110.9124825171</v>
      </c>
      <c r="AB176" s="69" t="n">
        <f aca="false">-AB159*Inputs!$C$44</f>
        <v>-2110.9124825171</v>
      </c>
      <c r="AC176" s="69" t="n">
        <f aca="false">-AC159*Inputs!$C$44</f>
        <v>-2110.9124825171</v>
      </c>
      <c r="AD176" s="69" t="n">
        <f aca="false">-AD159*Inputs!$C$44</f>
        <v>-2110.9124825171</v>
      </c>
      <c r="AE176" s="69" t="n">
        <f aca="false">-AE159*Inputs!$C$44</f>
        <v>-2110.9124825171</v>
      </c>
      <c r="AF176" s="69" t="n">
        <f aca="false">-AF159*Inputs!$C$44</f>
        <v>-2425.93429477267</v>
      </c>
      <c r="AG176" s="69" t="n">
        <f aca="false">-AG159*Inputs!$C$44</f>
        <v>-2425.93429477267</v>
      </c>
      <c r="AH176" s="69" t="n">
        <f aca="false">-AH159*Inputs!$C$44</f>
        <v>-2425.93429477267</v>
      </c>
      <c r="AI176" s="69" t="n">
        <f aca="false">-AI159*Inputs!$C$44</f>
        <v>-2110.9124825171</v>
      </c>
      <c r="AJ176" s="69" t="n">
        <f aca="false">-AJ159*Inputs!$C$44</f>
        <v>-2110.9124825171</v>
      </c>
      <c r="AK176" s="69" t="n">
        <f aca="false">-AK159*Inputs!$C$44</f>
        <v>-2110.9124825171</v>
      </c>
      <c r="AL176" s="69" t="n">
        <f aca="false">-AL159*Inputs!$C$44</f>
        <v>-2425.93429477267</v>
      </c>
    </row>
    <row r="177" customFormat="false" ht="15" hidden="false" customHeight="false" outlineLevel="0" collapsed="false">
      <c r="A177" s="115" t="s">
        <v>77</v>
      </c>
      <c r="C177" s="70" t="n">
        <f aca="false">C171+C172+C173+C174+C175+C176</f>
        <v>-35487.70736</v>
      </c>
      <c r="D177" s="70" t="n">
        <f aca="false">D171+D172+D173+D174+D175+D176</f>
        <v>-35600.238464</v>
      </c>
      <c r="E177" s="70" t="n">
        <f aca="false">E171+E172+E173+E174+E175+E176</f>
        <v>-35712.769568</v>
      </c>
      <c r="F177" s="70" t="n">
        <f aca="false">F171+F172+F173+F174+F175+F176</f>
        <v>-35825.300672</v>
      </c>
      <c r="G177" s="70" t="n">
        <f aca="false">G171+G172+G173+G174+G175+G176</f>
        <v>-35937.831776</v>
      </c>
      <c r="H177" s="70" t="n">
        <f aca="false">H171+H172+H173+H174+H175+H176</f>
        <v>-36246.28784</v>
      </c>
      <c r="I177" s="70" t="n">
        <f aca="false">I171+I172+I173+I174+I175+I176</f>
        <v>-36375.612512</v>
      </c>
      <c r="J177" s="70" t="n">
        <f aca="false">J171+J172+J173+J174+J175+J176</f>
        <v>-36504.937184</v>
      </c>
      <c r="K177" s="70" t="n">
        <f aca="false">K171+K172+K173+K174+K175+K176</f>
        <v>-36387.956192</v>
      </c>
      <c r="L177" s="70" t="n">
        <f aca="false">L171+L172+L173+L174+L175+L176</f>
        <v>-36500.487296</v>
      </c>
      <c r="M177" s="70" t="n">
        <f aca="false">M171+M172+M173+M174+M175+M176</f>
        <v>-36613.0184</v>
      </c>
      <c r="N177" s="70" t="n">
        <f aca="false">N171+N172+N173+N174+N175+N176</f>
        <v>-36892.9112</v>
      </c>
      <c r="O177" s="70" t="n">
        <f aca="false">O171+O172+O173+O174+O175+O176</f>
        <v>-36964.36247056</v>
      </c>
      <c r="P177" s="70" t="n">
        <f aca="false">P171+P172+P173+P174+P175+P176</f>
        <v>-36964.36247056</v>
      </c>
      <c r="Q177" s="70" t="n">
        <f aca="false">Q171+Q172+Q173+Q174+Q175+Q176</f>
        <v>-36964.36247056</v>
      </c>
      <c r="R177" s="70" t="n">
        <f aca="false">R171+R172+R173+R174+R175+R176</f>
        <v>-36964.36247056</v>
      </c>
      <c r="S177" s="70" t="n">
        <f aca="false">S171+S172+S173+S174+S175+S176</f>
        <v>-36964.36247056</v>
      </c>
      <c r="T177" s="70" t="n">
        <f aca="false">T171+T172+T173+T174+T175+T176</f>
        <v>-37261.30074208</v>
      </c>
      <c r="U177" s="70" t="n">
        <f aca="false">U171+U172+U173+U174+U175+U176</f>
        <v>-37261.30074208</v>
      </c>
      <c r="V177" s="70" t="n">
        <f aca="false">V171+V172+V173+V174+V175+V176</f>
        <v>-37261.30074208</v>
      </c>
      <c r="W177" s="70" t="n">
        <f aca="false">W171+W172+W173+W174+W175+W176</f>
        <v>-36964.36247056</v>
      </c>
      <c r="X177" s="70" t="n">
        <f aca="false">X171+X172+X173+X174+X175+X176</f>
        <v>-36964.36247056</v>
      </c>
      <c r="Y177" s="70" t="n">
        <f aca="false">Y171+Y172+Y173+Y174+Y175+Y176</f>
        <v>-36964.36247056</v>
      </c>
      <c r="Z177" s="70" t="n">
        <f aca="false">Z171+Z172+Z173+Z174+Z175+Z176</f>
        <v>-37261.30074208</v>
      </c>
      <c r="AA177" s="70" t="n">
        <f aca="false">AA171+AA172+AA173+AA174+AA175+AA176</f>
        <v>-37490.7762325171</v>
      </c>
      <c r="AB177" s="70" t="n">
        <f aca="false">AB171+AB172+AB173+AB174+AB175+AB176</f>
        <v>-37490.7762325171</v>
      </c>
      <c r="AC177" s="70" t="n">
        <f aca="false">AC171+AC172+AC173+AC174+AC175+AC176</f>
        <v>-37490.7762325171</v>
      </c>
      <c r="AD177" s="70" t="n">
        <f aca="false">AD171+AD172+AD173+AD174+AD175+AD176</f>
        <v>-37490.7762325171</v>
      </c>
      <c r="AE177" s="70" t="n">
        <f aca="false">AE171+AE172+AE173+AE174+AE175+AE176</f>
        <v>-37490.7762325171</v>
      </c>
      <c r="AF177" s="70" t="n">
        <f aca="false">AF171+AF172+AF173+AF174+AF175+AF176</f>
        <v>-37805.7980447727</v>
      </c>
      <c r="AG177" s="70" t="n">
        <f aca="false">AG171+AG172+AG173+AG174+AG175+AG176</f>
        <v>-37805.7980447727</v>
      </c>
      <c r="AH177" s="70" t="n">
        <f aca="false">AH171+AH172+AH173+AH174+AH175+AH176</f>
        <v>-37805.7980447727</v>
      </c>
      <c r="AI177" s="70" t="n">
        <f aca="false">AI171+AI172+AI173+AI174+AI175+AI176</f>
        <v>-37490.7762325171</v>
      </c>
      <c r="AJ177" s="70" t="n">
        <f aca="false">AJ171+AJ172+AJ173+AJ174+AJ175+AJ176</f>
        <v>-37490.7762325171</v>
      </c>
      <c r="AK177" s="70" t="n">
        <f aca="false">AK171+AK172+AK173+AK174+AK175+AK176</f>
        <v>-37490.7762325171</v>
      </c>
      <c r="AL177" s="70" t="n">
        <f aca="false">AL171+AL172+AL173+AL174+AL175+AL176</f>
        <v>-37805.7980447727</v>
      </c>
    </row>
    <row r="178" customFormat="false" ht="15" hidden="false" customHeight="false" outlineLevel="0" collapsed="false">
      <c r="A178" s="115" t="s">
        <v>48</v>
      </c>
      <c r="C178" s="70" t="n">
        <f aca="false">C168+C177</f>
        <v>-21450.9990933333</v>
      </c>
      <c r="D178" s="70" t="n">
        <f aca="false">D168+D177</f>
        <v>-18883.0239573333</v>
      </c>
      <c r="E178" s="70" t="n">
        <f aca="false">E168+E177</f>
        <v>-16315.0488213333</v>
      </c>
      <c r="F178" s="70" t="n">
        <f aca="false">F168+F177</f>
        <v>-13747.0736853333</v>
      </c>
      <c r="G178" s="70" t="n">
        <f aca="false">G168+G177</f>
        <v>-11179.0985493333</v>
      </c>
      <c r="H178" s="70" t="n">
        <f aca="false">H168+H177</f>
        <v>-2988.67077333334</v>
      </c>
      <c r="I178" s="70" t="n">
        <f aca="false">I168+I177</f>
        <v>61.2288746666673</v>
      </c>
      <c r="J178" s="70" t="n">
        <f aca="false">J168+J177</f>
        <v>3111.12852266667</v>
      </c>
      <c r="K178" s="70" t="n">
        <f aca="false">K168+K177</f>
        <v>-907.198005333339</v>
      </c>
      <c r="L178" s="70" t="n">
        <f aca="false">L168+L177</f>
        <v>1660.77713066666</v>
      </c>
      <c r="M178" s="70" t="n">
        <f aca="false">M168+M177</f>
        <v>4228.75226666666</v>
      </c>
      <c r="N178" s="70" t="n">
        <f aca="false">N168+N177</f>
        <v>12260.8274666667</v>
      </c>
      <c r="O178" s="70" t="n">
        <f aca="false">O168+O177</f>
        <v>6483.12202970667</v>
      </c>
      <c r="P178" s="70" t="n">
        <f aca="false">P168+P177</f>
        <v>6483.12202970667</v>
      </c>
      <c r="Q178" s="70" t="n">
        <f aca="false">Q168+Q177</f>
        <v>6483.12202970667</v>
      </c>
      <c r="R178" s="70" t="n">
        <f aca="false">R168+R177</f>
        <v>6483.12202970667</v>
      </c>
      <c r="S178" s="70" t="n">
        <f aca="false">S168+S177</f>
        <v>6483.12202970667</v>
      </c>
      <c r="T178" s="70" t="n">
        <f aca="false">T168+T177</f>
        <v>15004.3506093867</v>
      </c>
      <c r="U178" s="70" t="n">
        <f aca="false">U168+U177</f>
        <v>15004.3506093867</v>
      </c>
      <c r="V178" s="70" t="n">
        <f aca="false">V168+V177</f>
        <v>15004.3506093867</v>
      </c>
      <c r="W178" s="70" t="n">
        <f aca="false">W168+W177</f>
        <v>6483.12202970667</v>
      </c>
      <c r="X178" s="70" t="n">
        <f aca="false">X168+X177</f>
        <v>6483.12202970667</v>
      </c>
      <c r="Y178" s="70" t="n">
        <f aca="false">Y168+Y177</f>
        <v>6483.12202970667</v>
      </c>
      <c r="Z178" s="70" t="n">
        <f aca="false">Z168+Z177</f>
        <v>15004.3506093867</v>
      </c>
      <c r="AA178" s="70" t="n">
        <f aca="false">AA168+AA177</f>
        <v>8724.66357381579</v>
      </c>
      <c r="AB178" s="70" t="n">
        <f aca="false">AB168+AB177</f>
        <v>8724.66357381579</v>
      </c>
      <c r="AC178" s="70" t="n">
        <f aca="false">AC168+AC177</f>
        <v>8724.66357381579</v>
      </c>
      <c r="AD178" s="70" t="n">
        <f aca="false">AD168+AD177</f>
        <v>8724.66357381579</v>
      </c>
      <c r="AE178" s="70" t="n">
        <f aca="false">AE168+AE177</f>
        <v>8724.66357381579</v>
      </c>
      <c r="AF178" s="70" t="n">
        <f aca="false">AF168+AF177</f>
        <v>17764.8349739983</v>
      </c>
      <c r="AG178" s="70" t="n">
        <f aca="false">AG168+AG177</f>
        <v>17764.8349739983</v>
      </c>
      <c r="AH178" s="70" t="n">
        <f aca="false">AH168+AH177</f>
        <v>17764.8349739983</v>
      </c>
      <c r="AI178" s="70" t="n">
        <f aca="false">AI168+AI177</f>
        <v>8724.66357381579</v>
      </c>
      <c r="AJ178" s="70" t="n">
        <f aca="false">AJ168+AJ177</f>
        <v>8724.66357381579</v>
      </c>
      <c r="AK178" s="70" t="n">
        <f aca="false">AK168+AK177</f>
        <v>8724.66357381579</v>
      </c>
      <c r="AL178" s="70" t="n">
        <f aca="false">AL168+AL177</f>
        <v>17764.8349739983</v>
      </c>
    </row>
    <row r="180" customFormat="false" ht="15.75" hidden="false" customHeight="true" outlineLevel="0" collapsed="false">
      <c r="A180" s="7" t="s">
        <v>402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customFormat="false" ht="15" hidden="false" customHeight="false" outlineLevel="0" collapsed="false">
      <c r="A181" s="4" t="s">
        <v>79</v>
      </c>
      <c r="C181" s="75" t="n">
        <f aca="false">C178+C198</f>
        <v>-23419.7490933333</v>
      </c>
      <c r="D181" s="75" t="n">
        <f aca="false">D178+D198</f>
        <v>-20851.7739573333</v>
      </c>
      <c r="E181" s="75" t="n">
        <f aca="false">E178+E198</f>
        <v>-18283.7988213333</v>
      </c>
      <c r="F181" s="75" t="n">
        <f aca="false">F178+F198</f>
        <v>-15715.8236853333</v>
      </c>
      <c r="G181" s="75" t="n">
        <f aca="false">G178+G198</f>
        <v>-13147.8485493333</v>
      </c>
      <c r="H181" s="75" t="n">
        <f aca="false">H178+H198</f>
        <v>-4957.42077333334</v>
      </c>
      <c r="I181" s="75" t="n">
        <f aca="false">I178+I198</f>
        <v>-1907.52112533333</v>
      </c>
      <c r="J181" s="75" t="n">
        <f aca="false">J178+J198</f>
        <v>1142.37852266667</v>
      </c>
      <c r="K181" s="75" t="n">
        <f aca="false">K178+K198</f>
        <v>-2875.94800533334</v>
      </c>
      <c r="L181" s="75" t="n">
        <f aca="false">L178+L198</f>
        <v>-307.972869333338</v>
      </c>
      <c r="M181" s="75" t="n">
        <f aca="false">M178+M198</f>
        <v>2260.00226666666</v>
      </c>
      <c r="N181" s="75" t="n">
        <f aca="false">N178+N198</f>
        <v>10292.0774666667</v>
      </c>
      <c r="O181" s="75" t="n">
        <f aca="false">O178+O198</f>
        <v>4410.20536304</v>
      </c>
      <c r="P181" s="75" t="n">
        <f aca="false">P178+P198</f>
        <v>4410.20536304</v>
      </c>
      <c r="Q181" s="75" t="n">
        <f aca="false">Q178+Q198</f>
        <v>4410.20536304</v>
      </c>
      <c r="R181" s="75" t="n">
        <f aca="false">R178+R198</f>
        <v>4410.20536304</v>
      </c>
      <c r="S181" s="75" t="n">
        <f aca="false">S178+S198</f>
        <v>4410.20536304</v>
      </c>
      <c r="T181" s="75" t="n">
        <f aca="false">T178+T198</f>
        <v>12931.43394272</v>
      </c>
      <c r="U181" s="75" t="n">
        <f aca="false">U178+U198</f>
        <v>12931.43394272</v>
      </c>
      <c r="V181" s="75" t="n">
        <f aca="false">V178+V198</f>
        <v>12931.43394272</v>
      </c>
      <c r="W181" s="75" t="n">
        <f aca="false">W178+W198</f>
        <v>4410.20536304</v>
      </c>
      <c r="X181" s="75" t="n">
        <f aca="false">X178+X198</f>
        <v>4410.20536304</v>
      </c>
      <c r="Y181" s="75" t="n">
        <f aca="false">Y178+Y198</f>
        <v>4410.20536304</v>
      </c>
      <c r="Z181" s="75" t="n">
        <f aca="false">Z178+Z198</f>
        <v>12931.43394272</v>
      </c>
      <c r="AA181" s="75" t="n">
        <f aca="false">AA178+AA198</f>
        <v>6547.58024048246</v>
      </c>
      <c r="AB181" s="75" t="n">
        <f aca="false">AB178+AB198</f>
        <v>6547.58024048246</v>
      </c>
      <c r="AC181" s="75" t="n">
        <f aca="false">AC178+AC198</f>
        <v>6547.58024048246</v>
      </c>
      <c r="AD181" s="75" t="n">
        <f aca="false">AD178+AD198</f>
        <v>6547.58024048246</v>
      </c>
      <c r="AE181" s="75" t="n">
        <f aca="false">AE178+AE198</f>
        <v>6547.58024048246</v>
      </c>
      <c r="AF181" s="75" t="n">
        <f aca="false">AF178+AF198</f>
        <v>15587.751640665</v>
      </c>
      <c r="AG181" s="75" t="n">
        <f aca="false">AG178+AG198</f>
        <v>15587.751640665</v>
      </c>
      <c r="AH181" s="75" t="n">
        <f aca="false">AH178+AH198</f>
        <v>15587.751640665</v>
      </c>
      <c r="AI181" s="75" t="n">
        <f aca="false">AI178+AI198</f>
        <v>6547.58024048246</v>
      </c>
      <c r="AJ181" s="75" t="n">
        <f aca="false">AJ178+AJ198</f>
        <v>6547.58024048246</v>
      </c>
      <c r="AK181" s="75" t="n">
        <f aca="false">AK178+AK198</f>
        <v>6547.58024048246</v>
      </c>
      <c r="AL181" s="75" t="n">
        <f aca="false">AL178+AL198</f>
        <v>15587.751640665</v>
      </c>
    </row>
    <row r="182" customFormat="false" ht="15" hidden="false" customHeight="false" outlineLevel="0" collapsed="false">
      <c r="A182" s="6" t="s">
        <v>403</v>
      </c>
      <c r="C182" s="69" t="n">
        <f aca="false">-(C203+C204+C206)/2*Inputs!$C$73/12</f>
        <v>-750</v>
      </c>
      <c r="D182" s="69" t="n">
        <f aca="false">-(D203+D204+D206)/2*Inputs!$C$73/12</f>
        <v>-743.75</v>
      </c>
      <c r="E182" s="69" t="n">
        <f aca="false">-(E203+E204+E206)/2*Inputs!$C$73/12</f>
        <v>-731.25</v>
      </c>
      <c r="F182" s="69" t="n">
        <f aca="false">-(F203+F204+F206)/2*Inputs!$C$73/12</f>
        <v>-718.75</v>
      </c>
      <c r="G182" s="69" t="n">
        <f aca="false">-(G203+G204+G206)/2*Inputs!$C$73/12</f>
        <v>-706.25</v>
      </c>
      <c r="H182" s="69" t="n">
        <f aca="false">-(H203+H204+H206)/2*Inputs!$C$73/12</f>
        <v>-693.75</v>
      </c>
      <c r="I182" s="69" t="n">
        <f aca="false">-(I203+I204+I206)/2*Inputs!$C$73/12</f>
        <v>-681.25</v>
      </c>
      <c r="J182" s="69" t="n">
        <f aca="false">-(J203+J204+J206)/2*Inputs!$C$73/12</f>
        <v>-668.75</v>
      </c>
      <c r="K182" s="69" t="n">
        <f aca="false">-(K203+K204+K206)/2*Inputs!$C$73/12</f>
        <v>-656.25</v>
      </c>
      <c r="L182" s="69" t="n">
        <f aca="false">-(L203+L204+L206)/2*Inputs!$C$73/12</f>
        <v>-643.75</v>
      </c>
      <c r="M182" s="69" t="n">
        <f aca="false">-(M203+M204+M206)/2*Inputs!$C$73/12</f>
        <v>-631.25</v>
      </c>
      <c r="N182" s="69" t="n">
        <f aca="false">-(N203+N204+N206)/2*Inputs!$C$73/12</f>
        <v>-618.75</v>
      </c>
      <c r="O182" s="69" t="n">
        <f aca="false">-(O203+O204+O206)/2*Inputs!$C$73/12</f>
        <v>-606.25</v>
      </c>
      <c r="P182" s="69" t="n">
        <f aca="false">-(P203+P204+P206)/2*Inputs!$C$73/12</f>
        <v>-593.749999999999</v>
      </c>
      <c r="Q182" s="69" t="n">
        <f aca="false">-(Q203+Q204+Q206)/2*Inputs!$C$73/12</f>
        <v>-581.25</v>
      </c>
      <c r="R182" s="69" t="n">
        <f aca="false">-(R203+R204+R206)/2*Inputs!$C$73/12</f>
        <v>-568.749999999999</v>
      </c>
      <c r="S182" s="69" t="n">
        <f aca="false">-(S203+S204+S206)/2*Inputs!$C$73/12</f>
        <v>-556.249999999999</v>
      </c>
      <c r="T182" s="69" t="n">
        <f aca="false">-(T203+T204+T206)/2*Inputs!$C$73/12</f>
        <v>-543.749999999999</v>
      </c>
      <c r="U182" s="69" t="n">
        <f aca="false">-(U203+U204+U206)/2*Inputs!$C$73/12</f>
        <v>-531.249999999999</v>
      </c>
      <c r="V182" s="69" t="n">
        <f aca="false">-(V203+V204+V206)/2*Inputs!$C$73/12</f>
        <v>-518.749999999999</v>
      </c>
      <c r="W182" s="69" t="n">
        <f aca="false">-(W203+W204+W206)/2*Inputs!$C$73/12</f>
        <v>-506.249999999999</v>
      </c>
      <c r="X182" s="69" t="n">
        <f aca="false">-(X203+X204+X206)/2*Inputs!$C$73/12</f>
        <v>-493.749999999999</v>
      </c>
      <c r="Y182" s="69" t="n">
        <f aca="false">-(Y203+Y204+Y206)/2*Inputs!$C$73/12</f>
        <v>-481.249999999999</v>
      </c>
      <c r="Z182" s="69" t="n">
        <f aca="false">-(Z203+Z204+Z206)/2*Inputs!$C$73/12</f>
        <v>-468.749999999999</v>
      </c>
      <c r="AA182" s="69" t="n">
        <f aca="false">-(AA203+AA204+AA206)/2*Inputs!$C$73/12</f>
        <v>-456.249999999999</v>
      </c>
      <c r="AB182" s="69" t="n">
        <f aca="false">-(AB203+AB204+AB206)/2*Inputs!$C$73/12</f>
        <v>-443.749999999999</v>
      </c>
      <c r="AC182" s="69" t="n">
        <f aca="false">-(AC203+AC204+AC206)/2*Inputs!$C$73/12</f>
        <v>-431.249999999999</v>
      </c>
      <c r="AD182" s="69" t="n">
        <f aca="false">-(AD203+AD204+AD206)/2*Inputs!$C$73/12</f>
        <v>-418.749999999999</v>
      </c>
      <c r="AE182" s="69" t="n">
        <f aca="false">-(AE203+AE204+AE206)/2*Inputs!$C$73/12</f>
        <v>-406.249999999999</v>
      </c>
      <c r="AF182" s="69" t="n">
        <f aca="false">-(AF203+AF204+AF206)/2*Inputs!$C$73/12</f>
        <v>-393.75</v>
      </c>
      <c r="AG182" s="69" t="n">
        <f aca="false">-(AG203+AG204+AG206)/2*Inputs!$C$73/12</f>
        <v>-381.249999999999</v>
      </c>
      <c r="AH182" s="69" t="n">
        <f aca="false">-(AH203+AH204+AH206)/2*Inputs!$C$73/12</f>
        <v>-368.75</v>
      </c>
      <c r="AI182" s="69" t="n">
        <f aca="false">-(AI203+AI204+AI206)/2*Inputs!$C$73/12</f>
        <v>-356.25</v>
      </c>
      <c r="AJ182" s="69" t="n">
        <f aca="false">-(AJ203+AJ204+AJ206)/2*Inputs!$C$73/12</f>
        <v>-343.75</v>
      </c>
      <c r="AK182" s="69" t="n">
        <f aca="false">-(AK203+AK204+AK206)/2*Inputs!$C$73/12</f>
        <v>-331.25</v>
      </c>
      <c r="AL182" s="69" t="n">
        <f aca="false">-(AL203+AL204+AL206)/2*Inputs!$C$73/12</f>
        <v>-318.75</v>
      </c>
    </row>
    <row r="183" customFormat="false" ht="15" hidden="false" customHeight="false" outlineLevel="0" collapsed="false">
      <c r="A183" s="115" t="s">
        <v>81</v>
      </c>
      <c r="C183" s="70" t="n">
        <f aca="false">C181+C182</f>
        <v>-24169.7490933333</v>
      </c>
      <c r="D183" s="70" t="n">
        <f aca="false">D181+D182</f>
        <v>-21595.5239573333</v>
      </c>
      <c r="E183" s="70" t="n">
        <f aca="false">E181+E182</f>
        <v>-19015.0488213333</v>
      </c>
      <c r="F183" s="70" t="n">
        <f aca="false">F181+F182</f>
        <v>-16434.5736853333</v>
      </c>
      <c r="G183" s="70" t="n">
        <f aca="false">G181+G182</f>
        <v>-13854.0985493333</v>
      </c>
      <c r="H183" s="70" t="n">
        <f aca="false">H181+H182</f>
        <v>-5651.17077333334</v>
      </c>
      <c r="I183" s="70" t="n">
        <f aca="false">I181+I182</f>
        <v>-2588.77112533333</v>
      </c>
      <c r="J183" s="70" t="n">
        <f aca="false">J181+J182</f>
        <v>473.628522666666</v>
      </c>
      <c r="K183" s="70" t="n">
        <f aca="false">K181+K182</f>
        <v>-3532.19800533334</v>
      </c>
      <c r="L183" s="70" t="n">
        <f aca="false">L181+L182</f>
        <v>-951.722869333338</v>
      </c>
      <c r="M183" s="70" t="n">
        <f aca="false">M181+M182</f>
        <v>1628.75226666666</v>
      </c>
      <c r="N183" s="70" t="n">
        <f aca="false">N181+N182</f>
        <v>9673.32746666667</v>
      </c>
      <c r="O183" s="70" t="n">
        <f aca="false">O181+O182</f>
        <v>3803.95536304</v>
      </c>
      <c r="P183" s="70" t="n">
        <f aca="false">P181+P182</f>
        <v>3816.45536304</v>
      </c>
      <c r="Q183" s="70" t="n">
        <f aca="false">Q181+Q182</f>
        <v>3828.95536304</v>
      </c>
      <c r="R183" s="70" t="n">
        <f aca="false">R181+R182</f>
        <v>3841.45536304</v>
      </c>
      <c r="S183" s="70" t="n">
        <f aca="false">S181+S182</f>
        <v>3853.95536304</v>
      </c>
      <c r="T183" s="70" t="n">
        <f aca="false">T181+T182</f>
        <v>12387.68394272</v>
      </c>
      <c r="U183" s="70" t="n">
        <f aca="false">U181+U182</f>
        <v>12400.18394272</v>
      </c>
      <c r="V183" s="70" t="n">
        <f aca="false">V181+V182</f>
        <v>12412.68394272</v>
      </c>
      <c r="W183" s="70" t="n">
        <f aca="false">W181+W182</f>
        <v>3903.95536304</v>
      </c>
      <c r="X183" s="70" t="n">
        <f aca="false">X181+X182</f>
        <v>3916.45536304</v>
      </c>
      <c r="Y183" s="70" t="n">
        <f aca="false">Y181+Y182</f>
        <v>3928.95536304</v>
      </c>
      <c r="Z183" s="70" t="n">
        <f aca="false">Z181+Z182</f>
        <v>12462.68394272</v>
      </c>
      <c r="AA183" s="70" t="n">
        <f aca="false">AA181+AA182</f>
        <v>6091.33024048246</v>
      </c>
      <c r="AB183" s="70" t="n">
        <f aca="false">AB181+AB182</f>
        <v>6103.83024048246</v>
      </c>
      <c r="AC183" s="70" t="n">
        <f aca="false">AC181+AC182</f>
        <v>6116.33024048246</v>
      </c>
      <c r="AD183" s="70" t="n">
        <f aca="false">AD181+AD182</f>
        <v>6128.83024048246</v>
      </c>
      <c r="AE183" s="70" t="n">
        <f aca="false">AE181+AE182</f>
        <v>6141.33024048246</v>
      </c>
      <c r="AF183" s="70" t="n">
        <f aca="false">AF181+AF182</f>
        <v>15194.001640665</v>
      </c>
      <c r="AG183" s="70" t="n">
        <f aca="false">AG181+AG182</f>
        <v>15206.501640665</v>
      </c>
      <c r="AH183" s="70" t="n">
        <f aca="false">AH181+AH182</f>
        <v>15219.001640665</v>
      </c>
      <c r="AI183" s="70" t="n">
        <f aca="false">AI181+AI182</f>
        <v>6191.33024048246</v>
      </c>
      <c r="AJ183" s="70" t="n">
        <f aca="false">AJ181+AJ182</f>
        <v>6203.83024048246</v>
      </c>
      <c r="AK183" s="70" t="n">
        <f aca="false">AK181+AK182</f>
        <v>6216.33024048246</v>
      </c>
      <c r="AL183" s="70" t="n">
        <f aca="false">AL181+AL182</f>
        <v>15269.001640665</v>
      </c>
    </row>
    <row r="184" customFormat="false" ht="15" hidden="false" customHeight="false" outlineLevel="0" collapsed="false">
      <c r="A184" s="118" t="s">
        <v>404</v>
      </c>
      <c r="C184" s="69" t="n">
        <f aca="false">C183</f>
        <v>-24169.7490933333</v>
      </c>
      <c r="D184" s="69" t="n">
        <f aca="false">C184+D183</f>
        <v>-45765.2730506667</v>
      </c>
      <c r="E184" s="69" t="n">
        <f aca="false">D184+E183</f>
        <v>-64780.321872</v>
      </c>
      <c r="F184" s="69" t="n">
        <f aca="false">E184+F183</f>
        <v>-81214.8955573333</v>
      </c>
      <c r="G184" s="69" t="n">
        <f aca="false">F184+G183</f>
        <v>-95068.9941066667</v>
      </c>
      <c r="H184" s="69" t="n">
        <f aca="false">G184+H183</f>
        <v>-100720.16488</v>
      </c>
      <c r="I184" s="69" t="n">
        <f aca="false">H184+I183</f>
        <v>-103308.936005333</v>
      </c>
      <c r="J184" s="69" t="n">
        <f aca="false">I184+J183</f>
        <v>-102835.307482667</v>
      </c>
      <c r="K184" s="69" t="n">
        <f aca="false">J184+K183</f>
        <v>-106367.505488</v>
      </c>
      <c r="L184" s="69" t="n">
        <f aca="false">K184+L183</f>
        <v>-107319.228357333</v>
      </c>
      <c r="M184" s="69" t="n">
        <f aca="false">L184+M183</f>
        <v>-105690.476090667</v>
      </c>
      <c r="N184" s="69" t="n">
        <f aca="false">M184+N183</f>
        <v>-96017.148624</v>
      </c>
      <c r="O184" s="69" t="n">
        <f aca="false">N184+O183</f>
        <v>-92213.19326096</v>
      </c>
      <c r="P184" s="69" t="n">
        <f aca="false">O184+P183</f>
        <v>-88396.73789792</v>
      </c>
      <c r="Q184" s="69" t="n">
        <f aca="false">P184+Q183</f>
        <v>-84567.78253488</v>
      </c>
      <c r="R184" s="69" t="n">
        <f aca="false">Q184+R183</f>
        <v>-80726.32717184</v>
      </c>
      <c r="S184" s="69" t="n">
        <f aca="false">R184+S183</f>
        <v>-76872.3718088</v>
      </c>
      <c r="T184" s="69" t="n">
        <f aca="false">S184+T183</f>
        <v>-64484.68786608</v>
      </c>
      <c r="U184" s="69" t="n">
        <f aca="false">T184+U183</f>
        <v>-52084.50392336</v>
      </c>
      <c r="V184" s="69" t="n">
        <f aca="false">U184+V183</f>
        <v>-39671.81998064</v>
      </c>
      <c r="W184" s="69" t="n">
        <f aca="false">V184+W183</f>
        <v>-35767.8646176</v>
      </c>
      <c r="X184" s="69" t="n">
        <f aca="false">W184+X183</f>
        <v>-31851.40925456</v>
      </c>
      <c r="Y184" s="69" t="n">
        <f aca="false">X184+Y183</f>
        <v>-27922.45389152</v>
      </c>
      <c r="Z184" s="69" t="n">
        <f aca="false">Y184+Z183</f>
        <v>-15459.7699488</v>
      </c>
      <c r="AA184" s="69" t="n">
        <f aca="false">Z184+AA183</f>
        <v>-9368.43970831752</v>
      </c>
      <c r="AB184" s="69" t="n">
        <f aca="false">AA184+AB183</f>
        <v>-3264.60946783506</v>
      </c>
      <c r="AC184" s="69" t="n">
        <f aca="false">AB184+AC183</f>
        <v>2851.7207726474</v>
      </c>
      <c r="AD184" s="69" t="n">
        <f aca="false">AC184+AD183</f>
        <v>8980.55101312986</v>
      </c>
      <c r="AE184" s="69" t="n">
        <f aca="false">AD184+AE183</f>
        <v>15121.8812536123</v>
      </c>
      <c r="AF184" s="69" t="n">
        <f aca="false">AE184+AF183</f>
        <v>30315.8828942773</v>
      </c>
      <c r="AG184" s="69" t="n">
        <f aca="false">AF184+AG183</f>
        <v>45522.3845349423</v>
      </c>
      <c r="AH184" s="69" t="n">
        <f aca="false">AG184+AH183</f>
        <v>60741.3861756072</v>
      </c>
      <c r="AI184" s="69" t="n">
        <f aca="false">AH184+AI183</f>
        <v>66932.7164160897</v>
      </c>
      <c r="AJ184" s="69" t="n">
        <f aca="false">AI184+AJ183</f>
        <v>73136.5466565722</v>
      </c>
      <c r="AK184" s="69" t="n">
        <f aca="false">AJ184+AK183</f>
        <v>79352.8768970546</v>
      </c>
      <c r="AL184" s="69" t="n">
        <f aca="false">AK184+AL183</f>
        <v>94621.8785377196</v>
      </c>
    </row>
    <row r="185" customFormat="false" ht="15" hidden="false" customHeight="false" outlineLevel="0" collapsed="false">
      <c r="A185" s="118" t="s">
        <v>405</v>
      </c>
      <c r="C185" s="69" t="n">
        <f aca="false">MAX(0,C184)</f>
        <v>0</v>
      </c>
      <c r="D185" s="69" t="n">
        <f aca="false">MAX(C185,D184)</f>
        <v>0</v>
      </c>
      <c r="E185" s="69" t="n">
        <f aca="false">MAX(D185,E184)</f>
        <v>0</v>
      </c>
      <c r="F185" s="69" t="n">
        <f aca="false">MAX(E185,F184)</f>
        <v>0</v>
      </c>
      <c r="G185" s="69" t="n">
        <f aca="false">MAX(F185,G184)</f>
        <v>0</v>
      </c>
      <c r="H185" s="69" t="n">
        <f aca="false">MAX(G185,H184)</f>
        <v>0</v>
      </c>
      <c r="I185" s="69" t="n">
        <f aca="false">MAX(H185,I184)</f>
        <v>0</v>
      </c>
      <c r="J185" s="69" t="n">
        <f aca="false">MAX(I185,J184)</f>
        <v>0</v>
      </c>
      <c r="K185" s="69" t="n">
        <f aca="false">MAX(J185,K184)</f>
        <v>0</v>
      </c>
      <c r="L185" s="69" t="n">
        <f aca="false">MAX(K185,L184)</f>
        <v>0</v>
      </c>
      <c r="M185" s="69" t="n">
        <f aca="false">MAX(L185,M184)</f>
        <v>0</v>
      </c>
      <c r="N185" s="69" t="n">
        <f aca="false">MAX(M185,N184)</f>
        <v>0</v>
      </c>
      <c r="O185" s="69" t="n">
        <f aca="false">MAX(N185,O184)</f>
        <v>0</v>
      </c>
      <c r="P185" s="69" t="n">
        <f aca="false">MAX(O185,P184)</f>
        <v>0</v>
      </c>
      <c r="Q185" s="69" t="n">
        <f aca="false">MAX(P185,Q184)</f>
        <v>0</v>
      </c>
      <c r="R185" s="69" t="n">
        <f aca="false">MAX(Q185,R184)</f>
        <v>0</v>
      </c>
      <c r="S185" s="69" t="n">
        <f aca="false">MAX(R185,S184)</f>
        <v>0</v>
      </c>
      <c r="T185" s="69" t="n">
        <f aca="false">MAX(S185,T184)</f>
        <v>0</v>
      </c>
      <c r="U185" s="69" t="n">
        <f aca="false">MAX(T185,U184)</f>
        <v>0</v>
      </c>
      <c r="V185" s="69" t="n">
        <f aca="false">MAX(U185,V184)</f>
        <v>0</v>
      </c>
      <c r="W185" s="69" t="n">
        <f aca="false">MAX(V185,W184)</f>
        <v>0</v>
      </c>
      <c r="X185" s="69" t="n">
        <f aca="false">MAX(W185,X184)</f>
        <v>0</v>
      </c>
      <c r="Y185" s="69" t="n">
        <f aca="false">MAX(X185,Y184)</f>
        <v>0</v>
      </c>
      <c r="Z185" s="69" t="n">
        <f aca="false">MAX(Y185,Z184)</f>
        <v>0</v>
      </c>
      <c r="AA185" s="69" t="n">
        <f aca="false">MAX(Z185,AA184)</f>
        <v>0</v>
      </c>
      <c r="AB185" s="69" t="n">
        <f aca="false">MAX(AA185,AB184)</f>
        <v>0</v>
      </c>
      <c r="AC185" s="69" t="n">
        <f aca="false">MAX(AB185,AC184)</f>
        <v>2851.7207726474</v>
      </c>
      <c r="AD185" s="69" t="n">
        <f aca="false">MAX(AC185,AD184)</f>
        <v>8980.55101312986</v>
      </c>
      <c r="AE185" s="69" t="n">
        <f aca="false">MAX(AD185,AE184)</f>
        <v>15121.8812536123</v>
      </c>
      <c r="AF185" s="69" t="n">
        <f aca="false">MAX(AE185,AF184)</f>
        <v>30315.8828942773</v>
      </c>
      <c r="AG185" s="69" t="n">
        <f aca="false">MAX(AF185,AG184)</f>
        <v>45522.3845349423</v>
      </c>
      <c r="AH185" s="69" t="n">
        <f aca="false">MAX(AG185,AH184)</f>
        <v>60741.3861756072</v>
      </c>
      <c r="AI185" s="69" t="n">
        <f aca="false">MAX(AH185,AI184)</f>
        <v>66932.7164160897</v>
      </c>
      <c r="AJ185" s="69" t="n">
        <f aca="false">MAX(AI185,AJ184)</f>
        <v>73136.5466565722</v>
      </c>
      <c r="AK185" s="69" t="n">
        <f aca="false">MAX(AJ185,AK184)</f>
        <v>79352.8768970546</v>
      </c>
      <c r="AL185" s="69" t="n">
        <f aca="false">MAX(AK185,AL184)</f>
        <v>94621.8785377196</v>
      </c>
    </row>
    <row r="186" customFormat="false" ht="15" hidden="false" customHeight="false" outlineLevel="0" collapsed="false">
      <c r="A186" s="6" t="s">
        <v>82</v>
      </c>
      <c r="C186" s="69" t="n">
        <f aca="false">-C185*Inputs!$C$83</f>
        <v>-0</v>
      </c>
      <c r="D186" s="69" t="n">
        <f aca="false">-(D185-C185)*Inputs!$C$83</f>
        <v>-0</v>
      </c>
      <c r="E186" s="69" t="n">
        <f aca="false">-(E185-D185)*Inputs!$C$83</f>
        <v>-0</v>
      </c>
      <c r="F186" s="69" t="n">
        <f aca="false">-(F185-E185)*Inputs!$C$83</f>
        <v>-0</v>
      </c>
      <c r="G186" s="69" t="n">
        <f aca="false">-(G185-F185)*Inputs!$C$83</f>
        <v>-0</v>
      </c>
      <c r="H186" s="69" t="n">
        <f aca="false">-(H185-G185)*Inputs!$C$83</f>
        <v>-0</v>
      </c>
      <c r="I186" s="69" t="n">
        <f aca="false">-(I185-H185)*Inputs!$C$83</f>
        <v>-0</v>
      </c>
      <c r="J186" s="69" t="n">
        <f aca="false">-(J185-I185)*Inputs!$C$83</f>
        <v>-0</v>
      </c>
      <c r="K186" s="69" t="n">
        <f aca="false">-(K185-J185)*Inputs!$C$83</f>
        <v>-0</v>
      </c>
      <c r="L186" s="69" t="n">
        <f aca="false">-(L185-K185)*Inputs!$C$83</f>
        <v>-0</v>
      </c>
      <c r="M186" s="69" t="n">
        <f aca="false">-(M185-L185)*Inputs!$C$83</f>
        <v>-0</v>
      </c>
      <c r="N186" s="69" t="n">
        <f aca="false">-(N185-M185)*Inputs!$C$83</f>
        <v>-0</v>
      </c>
      <c r="O186" s="69" t="n">
        <f aca="false">-(O185-N185)*Inputs!$C$83</f>
        <v>-0</v>
      </c>
      <c r="P186" s="69" t="n">
        <f aca="false">-(P185-O185)*Inputs!$C$83</f>
        <v>-0</v>
      </c>
      <c r="Q186" s="69" t="n">
        <f aca="false">-(Q185-P185)*Inputs!$C$83</f>
        <v>-0</v>
      </c>
      <c r="R186" s="69" t="n">
        <f aca="false">-(R185-Q185)*Inputs!$C$83</f>
        <v>-0</v>
      </c>
      <c r="S186" s="69" t="n">
        <f aca="false">-(S185-R185)*Inputs!$C$83</f>
        <v>-0</v>
      </c>
      <c r="T186" s="69" t="n">
        <f aca="false">-(T185-S185)*Inputs!$C$83</f>
        <v>-0</v>
      </c>
      <c r="U186" s="69" t="n">
        <f aca="false">-(U185-T185)*Inputs!$C$83</f>
        <v>-0</v>
      </c>
      <c r="V186" s="69" t="n">
        <f aca="false">-(V185-U185)*Inputs!$C$83</f>
        <v>-0</v>
      </c>
      <c r="W186" s="69" t="n">
        <f aca="false">-(W185-V185)*Inputs!$C$83</f>
        <v>-0</v>
      </c>
      <c r="X186" s="69" t="n">
        <f aca="false">-(X185-W185)*Inputs!$C$83</f>
        <v>-0</v>
      </c>
      <c r="Y186" s="69" t="n">
        <f aca="false">-(Y185-X185)*Inputs!$C$83</f>
        <v>-0</v>
      </c>
      <c r="Z186" s="69" t="n">
        <f aca="false">-(Z185-Y185)*Inputs!$C$83</f>
        <v>-0</v>
      </c>
      <c r="AA186" s="69" t="n">
        <f aca="false">-(AA185-Z185)*Inputs!$C$83</f>
        <v>-0</v>
      </c>
      <c r="AB186" s="69" t="n">
        <f aca="false">-(AB185-AA185)*Inputs!$C$83</f>
        <v>-0</v>
      </c>
      <c r="AC186" s="69" t="n">
        <f aca="false">-(AC185-AB185)*Inputs!$C$83</f>
        <v>-598.861362255954</v>
      </c>
      <c r="AD186" s="69" t="n">
        <f aca="false">-(AD185-AC185)*Inputs!$C$83</f>
        <v>-1287.05435050132</v>
      </c>
      <c r="AE186" s="69" t="n">
        <f aca="false">-(AE185-AD185)*Inputs!$C$83</f>
        <v>-1289.67935050132</v>
      </c>
      <c r="AF186" s="69" t="n">
        <f aca="false">-(AF185-AE185)*Inputs!$C$83</f>
        <v>-3190.74034453965</v>
      </c>
      <c r="AG186" s="69" t="n">
        <f aca="false">-(AG185-AF185)*Inputs!$C$83</f>
        <v>-3193.36534453964</v>
      </c>
      <c r="AH186" s="69" t="n">
        <f aca="false">-(AH185-AG185)*Inputs!$C$83</f>
        <v>-3195.99034453964</v>
      </c>
      <c r="AI186" s="69" t="n">
        <f aca="false">-(AI185-AH185)*Inputs!$C$83</f>
        <v>-1300.17935050132</v>
      </c>
      <c r="AJ186" s="69" t="n">
        <f aca="false">-(AJ185-AI185)*Inputs!$C$83</f>
        <v>-1302.80435050132</v>
      </c>
      <c r="AK186" s="69" t="n">
        <f aca="false">-(AK185-AJ185)*Inputs!$C$83</f>
        <v>-1305.42935050132</v>
      </c>
      <c r="AL186" s="69" t="n">
        <f aca="false">-(AL185-AK185)*Inputs!$C$83</f>
        <v>-3206.49034453965</v>
      </c>
    </row>
    <row r="187" customFormat="false" ht="15" hidden="false" customHeight="false" outlineLevel="0" collapsed="false">
      <c r="A187" s="115" t="s">
        <v>50</v>
      </c>
      <c r="C187" s="70" t="n">
        <f aca="false">C183+C186</f>
        <v>-24169.7490933333</v>
      </c>
      <c r="D187" s="70" t="n">
        <f aca="false">D183+D186</f>
        <v>-21595.5239573333</v>
      </c>
      <c r="E187" s="70" t="n">
        <f aca="false">E183+E186</f>
        <v>-19015.0488213333</v>
      </c>
      <c r="F187" s="70" t="n">
        <f aca="false">F183+F186</f>
        <v>-16434.5736853333</v>
      </c>
      <c r="G187" s="70" t="n">
        <f aca="false">G183+G186</f>
        <v>-13854.0985493333</v>
      </c>
      <c r="H187" s="70" t="n">
        <f aca="false">H183+H186</f>
        <v>-5651.17077333334</v>
      </c>
      <c r="I187" s="70" t="n">
        <f aca="false">I183+I186</f>
        <v>-2588.77112533333</v>
      </c>
      <c r="J187" s="70" t="n">
        <f aca="false">J183+J186</f>
        <v>473.628522666666</v>
      </c>
      <c r="K187" s="70" t="n">
        <f aca="false">K183+K186</f>
        <v>-3532.19800533334</v>
      </c>
      <c r="L187" s="70" t="n">
        <f aca="false">L183+L186</f>
        <v>-951.722869333338</v>
      </c>
      <c r="M187" s="70" t="n">
        <f aca="false">M183+M186</f>
        <v>1628.75226666666</v>
      </c>
      <c r="N187" s="70" t="n">
        <f aca="false">N183+N186</f>
        <v>9673.32746666667</v>
      </c>
      <c r="O187" s="70" t="n">
        <f aca="false">O183+O186</f>
        <v>3803.95536304</v>
      </c>
      <c r="P187" s="70" t="n">
        <f aca="false">P183+P186</f>
        <v>3816.45536304</v>
      </c>
      <c r="Q187" s="70" t="n">
        <f aca="false">Q183+Q186</f>
        <v>3828.95536304</v>
      </c>
      <c r="R187" s="70" t="n">
        <f aca="false">R183+R186</f>
        <v>3841.45536304</v>
      </c>
      <c r="S187" s="70" t="n">
        <f aca="false">S183+S186</f>
        <v>3853.95536304</v>
      </c>
      <c r="T187" s="70" t="n">
        <f aca="false">T183+T186</f>
        <v>12387.68394272</v>
      </c>
      <c r="U187" s="70" t="n">
        <f aca="false">U183+U186</f>
        <v>12400.18394272</v>
      </c>
      <c r="V187" s="70" t="n">
        <f aca="false">V183+V186</f>
        <v>12412.68394272</v>
      </c>
      <c r="W187" s="70" t="n">
        <f aca="false">W183+W186</f>
        <v>3903.95536304</v>
      </c>
      <c r="X187" s="70" t="n">
        <f aca="false">X183+X186</f>
        <v>3916.45536304</v>
      </c>
      <c r="Y187" s="70" t="n">
        <f aca="false">Y183+Y186</f>
        <v>3928.95536304</v>
      </c>
      <c r="Z187" s="70" t="n">
        <f aca="false">Z183+Z186</f>
        <v>12462.68394272</v>
      </c>
      <c r="AA187" s="70" t="n">
        <f aca="false">AA183+AA186</f>
        <v>6091.33024048246</v>
      </c>
      <c r="AB187" s="70" t="n">
        <f aca="false">AB183+AB186</f>
        <v>6103.83024048246</v>
      </c>
      <c r="AC187" s="70" t="n">
        <f aca="false">AC183+AC186</f>
        <v>5517.46887822651</v>
      </c>
      <c r="AD187" s="70" t="n">
        <f aca="false">AD183+AD186</f>
        <v>4841.77588998114</v>
      </c>
      <c r="AE187" s="70" t="n">
        <f aca="false">AE183+AE186</f>
        <v>4851.65088998114</v>
      </c>
      <c r="AF187" s="70" t="n">
        <f aca="false">AF183+AF186</f>
        <v>12003.2612961253</v>
      </c>
      <c r="AG187" s="70" t="n">
        <f aca="false">AG183+AG186</f>
        <v>12013.1362961253</v>
      </c>
      <c r="AH187" s="70" t="n">
        <f aca="false">AH183+AH186</f>
        <v>12023.0112961253</v>
      </c>
      <c r="AI187" s="70" t="n">
        <f aca="false">AI183+AI186</f>
        <v>4891.15088998114</v>
      </c>
      <c r="AJ187" s="70" t="n">
        <f aca="false">AJ183+AJ186</f>
        <v>4901.02588998114</v>
      </c>
      <c r="AK187" s="70" t="n">
        <f aca="false">AK183+AK186</f>
        <v>4910.90088998114</v>
      </c>
      <c r="AL187" s="70" t="n">
        <f aca="false">AL183+AL186</f>
        <v>12062.5112961253</v>
      </c>
    </row>
    <row r="189" customFormat="false" ht="15.75" hidden="false" customHeight="true" outlineLevel="0" collapsed="false">
      <c r="A189" s="7" t="s">
        <v>406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customFormat="false" ht="15" hidden="false" customHeight="false" outlineLevel="0" collapsed="false">
      <c r="A190" s="6" t="s">
        <v>407</v>
      </c>
      <c r="C190" s="69" t="n">
        <f aca="false">IF(C$132=1,Inputs!$C$14*Inputs!$C$48,0)</f>
        <v>24000</v>
      </c>
      <c r="D190" s="69" t="n">
        <f aca="false">IF(D$132=1,Inputs!$C$14*Inputs!$C$48,0)</f>
        <v>0</v>
      </c>
      <c r="E190" s="69" t="n">
        <f aca="false">IF(E$132=1,Inputs!$C$14*Inputs!$C$48,0)</f>
        <v>0</v>
      </c>
      <c r="F190" s="69" t="n">
        <f aca="false">IF(F$132=1,Inputs!$C$14*Inputs!$C$48,0)</f>
        <v>0</v>
      </c>
      <c r="G190" s="69" t="n">
        <f aca="false">IF(G$132=1,Inputs!$C$14*Inputs!$C$48,0)</f>
        <v>0</v>
      </c>
      <c r="H190" s="69" t="n">
        <f aca="false">IF(H$132=1,Inputs!$C$14*Inputs!$C$48,0)</f>
        <v>0</v>
      </c>
      <c r="I190" s="69" t="n">
        <f aca="false">IF(I$132=1,Inputs!$C$14*Inputs!$C$48,0)</f>
        <v>0</v>
      </c>
      <c r="J190" s="69" t="n">
        <f aca="false">IF(J$132=1,Inputs!$C$14*Inputs!$C$48,0)</f>
        <v>0</v>
      </c>
      <c r="K190" s="69" t="n">
        <f aca="false">IF(K$132=1,Inputs!$C$14*Inputs!$C$48,0)</f>
        <v>0</v>
      </c>
      <c r="L190" s="69" t="n">
        <f aca="false">IF(L$132=1,Inputs!$C$14*Inputs!$C$48,0)</f>
        <v>0</v>
      </c>
      <c r="M190" s="69" t="n">
        <f aca="false">IF(M$132=1,Inputs!$C$14*Inputs!$C$48,0)</f>
        <v>0</v>
      </c>
      <c r="N190" s="69" t="n">
        <f aca="false">IF(N$132=1,Inputs!$C$14*Inputs!$C$48,0)</f>
        <v>0</v>
      </c>
      <c r="O190" s="69" t="n">
        <f aca="false">IF(O$132=1,Inputs!$C$14*Inputs!$C$48,0)</f>
        <v>0</v>
      </c>
      <c r="P190" s="69" t="n">
        <f aca="false">IF(P$132=1,Inputs!$C$14*Inputs!$C$48,0)</f>
        <v>0</v>
      </c>
      <c r="Q190" s="69" t="n">
        <f aca="false">IF(Q$132=1,Inputs!$C$14*Inputs!$C$48,0)</f>
        <v>0</v>
      </c>
      <c r="R190" s="69" t="n">
        <f aca="false">IF(R$132=1,Inputs!$C$14*Inputs!$C$48,0)</f>
        <v>0</v>
      </c>
      <c r="S190" s="69" t="n">
        <f aca="false">IF(S$132=1,Inputs!$C$14*Inputs!$C$48,0)</f>
        <v>0</v>
      </c>
      <c r="T190" s="69" t="n">
        <f aca="false">IF(T$132=1,Inputs!$C$14*Inputs!$C$48,0)</f>
        <v>0</v>
      </c>
      <c r="U190" s="69" t="n">
        <f aca="false">IF(U$132=1,Inputs!$C$14*Inputs!$C$48,0)</f>
        <v>0</v>
      </c>
      <c r="V190" s="69" t="n">
        <f aca="false">IF(V$132=1,Inputs!$C$14*Inputs!$C$48,0)</f>
        <v>0</v>
      </c>
      <c r="W190" s="69" t="n">
        <f aca="false">IF(W$132=1,Inputs!$C$14*Inputs!$C$48,0)</f>
        <v>0</v>
      </c>
      <c r="X190" s="69" t="n">
        <f aca="false">IF(X$132=1,Inputs!$C$14*Inputs!$C$48,0)</f>
        <v>0</v>
      </c>
      <c r="Y190" s="69" t="n">
        <f aca="false">IF(Y$132=1,Inputs!$C$14*Inputs!$C$48,0)</f>
        <v>0</v>
      </c>
      <c r="Z190" s="69" t="n">
        <f aca="false">IF(Z$132=1,Inputs!$C$14*Inputs!$C$48,0)</f>
        <v>0</v>
      </c>
      <c r="AA190" s="69" t="n">
        <f aca="false">IF(AA$132=1,Inputs!$C$14*Inputs!$C$48,0)</f>
        <v>0</v>
      </c>
      <c r="AB190" s="69" t="n">
        <f aca="false">IF(AB$132=1,Inputs!$C$14*Inputs!$C$48,0)</f>
        <v>0</v>
      </c>
      <c r="AC190" s="69" t="n">
        <f aca="false">IF(AC$132=1,Inputs!$C$14*Inputs!$C$48,0)</f>
        <v>0</v>
      </c>
      <c r="AD190" s="69" t="n">
        <f aca="false">IF(AD$132=1,Inputs!$C$14*Inputs!$C$48,0)</f>
        <v>0</v>
      </c>
      <c r="AE190" s="69" t="n">
        <f aca="false">IF(AE$132=1,Inputs!$C$14*Inputs!$C$48,0)</f>
        <v>0</v>
      </c>
      <c r="AF190" s="69" t="n">
        <f aca="false">IF(AF$132=1,Inputs!$C$14*Inputs!$C$48,0)</f>
        <v>0</v>
      </c>
      <c r="AG190" s="69" t="n">
        <f aca="false">IF(AG$132=1,Inputs!$C$14*Inputs!$C$48,0)</f>
        <v>0</v>
      </c>
      <c r="AH190" s="69" t="n">
        <f aca="false">IF(AH$132=1,Inputs!$C$14*Inputs!$C$48,0)</f>
        <v>0</v>
      </c>
      <c r="AI190" s="69" t="n">
        <f aca="false">IF(AI$132=1,Inputs!$C$14*Inputs!$C$48,0)</f>
        <v>0</v>
      </c>
      <c r="AJ190" s="69" t="n">
        <f aca="false">IF(AJ$132=1,Inputs!$C$14*Inputs!$C$48,0)</f>
        <v>0</v>
      </c>
      <c r="AK190" s="69" t="n">
        <f aca="false">IF(AK$132=1,Inputs!$C$14*Inputs!$C$48,0)</f>
        <v>0</v>
      </c>
      <c r="AL190" s="69" t="n">
        <f aca="false">IF(AL$132=1,Inputs!$C$14*Inputs!$C$48,0)</f>
        <v>0</v>
      </c>
    </row>
    <row r="191" customFormat="false" ht="15" hidden="false" customHeight="false" outlineLevel="0" collapsed="false">
      <c r="A191" s="6" t="s">
        <v>408</v>
      </c>
      <c r="C191" s="69" t="n">
        <f aca="false">IF(C$132=1,Inputs!$C$25*Inputs!$C$49,0)</f>
        <v>75000</v>
      </c>
      <c r="D191" s="69" t="n">
        <f aca="false">IF(D$132=1,Inputs!$C$25*Inputs!$C$49,0)</f>
        <v>0</v>
      </c>
      <c r="E191" s="69" t="n">
        <f aca="false">IF(E$132=1,Inputs!$C$25*Inputs!$C$49,0)</f>
        <v>0</v>
      </c>
      <c r="F191" s="69" t="n">
        <f aca="false">IF(F$132=1,Inputs!$C$25*Inputs!$C$49,0)</f>
        <v>0</v>
      </c>
      <c r="G191" s="69" t="n">
        <f aca="false">IF(G$132=1,Inputs!$C$25*Inputs!$C$49,0)</f>
        <v>0</v>
      </c>
      <c r="H191" s="69" t="n">
        <f aca="false">IF(H$132=1,Inputs!$C$25*Inputs!$C$49,0)</f>
        <v>0</v>
      </c>
      <c r="I191" s="69" t="n">
        <f aca="false">IF(I$132=1,Inputs!$C$25*Inputs!$C$49,0)</f>
        <v>0</v>
      </c>
      <c r="J191" s="69" t="n">
        <f aca="false">IF(J$132=1,Inputs!$C$25*Inputs!$C$49,0)</f>
        <v>0</v>
      </c>
      <c r="K191" s="69" t="n">
        <f aca="false">IF(K$132=1,Inputs!$C$25*Inputs!$C$49,0)</f>
        <v>0</v>
      </c>
      <c r="L191" s="69" t="n">
        <f aca="false">IF(L$132=1,Inputs!$C$25*Inputs!$C$49,0)</f>
        <v>0</v>
      </c>
      <c r="M191" s="69" t="n">
        <f aca="false">IF(M$132=1,Inputs!$C$25*Inputs!$C$49,0)</f>
        <v>0</v>
      </c>
      <c r="N191" s="69" t="n">
        <f aca="false">IF(N$132=1,Inputs!$C$25*Inputs!$C$49,0)</f>
        <v>0</v>
      </c>
      <c r="O191" s="69" t="n">
        <f aca="false">IF(O$132=1,Inputs!$C$25*Inputs!$C$49,0)</f>
        <v>0</v>
      </c>
      <c r="P191" s="69" t="n">
        <f aca="false">IF(P$132=1,Inputs!$C$25*Inputs!$C$49,0)</f>
        <v>0</v>
      </c>
      <c r="Q191" s="69" t="n">
        <f aca="false">IF(Q$132=1,Inputs!$C$25*Inputs!$C$49,0)</f>
        <v>0</v>
      </c>
      <c r="R191" s="69" t="n">
        <f aca="false">IF(R$132=1,Inputs!$C$25*Inputs!$C$49,0)</f>
        <v>0</v>
      </c>
      <c r="S191" s="69" t="n">
        <f aca="false">IF(S$132=1,Inputs!$C$25*Inputs!$C$49,0)</f>
        <v>0</v>
      </c>
      <c r="T191" s="69" t="n">
        <f aca="false">IF(T$132=1,Inputs!$C$25*Inputs!$C$49,0)</f>
        <v>0</v>
      </c>
      <c r="U191" s="69" t="n">
        <f aca="false">IF(U$132=1,Inputs!$C$25*Inputs!$C$49,0)</f>
        <v>0</v>
      </c>
      <c r="V191" s="69" t="n">
        <f aca="false">IF(V$132=1,Inputs!$C$25*Inputs!$C$49,0)</f>
        <v>0</v>
      </c>
      <c r="W191" s="69" t="n">
        <f aca="false">IF(W$132=1,Inputs!$C$25*Inputs!$C$49,0)</f>
        <v>0</v>
      </c>
      <c r="X191" s="69" t="n">
        <f aca="false">IF(X$132=1,Inputs!$C$25*Inputs!$C$49,0)</f>
        <v>0</v>
      </c>
      <c r="Y191" s="69" t="n">
        <f aca="false">IF(Y$132=1,Inputs!$C$25*Inputs!$C$49,0)</f>
        <v>0</v>
      </c>
      <c r="Z191" s="69" t="n">
        <f aca="false">IF(Z$132=1,Inputs!$C$25*Inputs!$C$49,0)</f>
        <v>0</v>
      </c>
      <c r="AA191" s="69" t="n">
        <f aca="false">IF(AA$132=1,Inputs!$C$25*Inputs!$C$49,0)</f>
        <v>0</v>
      </c>
      <c r="AB191" s="69" t="n">
        <f aca="false">IF(AB$132=1,Inputs!$C$25*Inputs!$C$49,0)</f>
        <v>0</v>
      </c>
      <c r="AC191" s="69" t="n">
        <f aca="false">IF(AC$132=1,Inputs!$C$25*Inputs!$C$49,0)</f>
        <v>0</v>
      </c>
      <c r="AD191" s="69" t="n">
        <f aca="false">IF(AD$132=1,Inputs!$C$25*Inputs!$C$49,0)</f>
        <v>0</v>
      </c>
      <c r="AE191" s="69" t="n">
        <f aca="false">IF(AE$132=1,Inputs!$C$25*Inputs!$C$49,0)</f>
        <v>0</v>
      </c>
      <c r="AF191" s="69" t="n">
        <f aca="false">IF(AF$132=1,Inputs!$C$25*Inputs!$C$49,0)</f>
        <v>0</v>
      </c>
      <c r="AG191" s="69" t="n">
        <f aca="false">IF(AG$132=1,Inputs!$C$25*Inputs!$C$49,0)</f>
        <v>0</v>
      </c>
      <c r="AH191" s="69" t="n">
        <f aca="false">IF(AH$132=1,Inputs!$C$25*Inputs!$C$49,0)</f>
        <v>0</v>
      </c>
      <c r="AI191" s="69" t="n">
        <f aca="false">IF(AI$132=1,Inputs!$C$25*Inputs!$C$49,0)</f>
        <v>0</v>
      </c>
      <c r="AJ191" s="69" t="n">
        <f aca="false">IF(AJ$132=1,Inputs!$C$25*Inputs!$C$49,0)</f>
        <v>0</v>
      </c>
      <c r="AK191" s="69" t="n">
        <f aca="false">IF(AK$132=1,Inputs!$C$25*Inputs!$C$49,0)</f>
        <v>0</v>
      </c>
      <c r="AL191" s="69" t="n">
        <f aca="false">IF(AL$132=1,Inputs!$C$25*Inputs!$C$49,0)</f>
        <v>0</v>
      </c>
    </row>
    <row r="192" customFormat="false" ht="15" hidden="false" customHeight="false" outlineLevel="0" collapsed="false">
      <c r="A192" s="6" t="s">
        <v>409</v>
      </c>
      <c r="C192" s="69" t="n">
        <f aca="false">IF(C$132=1,Inputs!$C$50,0)</f>
        <v>90000</v>
      </c>
      <c r="D192" s="69" t="n">
        <f aca="false">IF(D$132=1,Inputs!$C$50,0)</f>
        <v>0</v>
      </c>
      <c r="E192" s="69" t="n">
        <f aca="false">IF(E$132=1,Inputs!$C$50,0)</f>
        <v>0</v>
      </c>
      <c r="F192" s="69" t="n">
        <f aca="false">IF(F$132=1,Inputs!$C$50,0)</f>
        <v>0</v>
      </c>
      <c r="G192" s="69" t="n">
        <f aca="false">IF(G$132=1,Inputs!$C$50,0)</f>
        <v>0</v>
      </c>
      <c r="H192" s="69" t="n">
        <f aca="false">IF(H$132=1,Inputs!$C$50,0)</f>
        <v>0</v>
      </c>
      <c r="I192" s="69" t="n">
        <f aca="false">IF(I$132=1,Inputs!$C$50,0)</f>
        <v>0</v>
      </c>
      <c r="J192" s="69" t="n">
        <f aca="false">IF(J$132=1,Inputs!$C$50,0)</f>
        <v>0</v>
      </c>
      <c r="K192" s="69" t="n">
        <f aca="false">IF(K$132=1,Inputs!$C$50,0)</f>
        <v>0</v>
      </c>
      <c r="L192" s="69" t="n">
        <f aca="false">IF(L$132=1,Inputs!$C$50,0)</f>
        <v>0</v>
      </c>
      <c r="M192" s="69" t="n">
        <f aca="false">IF(M$132=1,Inputs!$C$50,0)</f>
        <v>0</v>
      </c>
      <c r="N192" s="69" t="n">
        <f aca="false">IF(N$132=1,Inputs!$C$50,0)</f>
        <v>0</v>
      </c>
      <c r="O192" s="69" t="n">
        <f aca="false">IF(O$132=1,Inputs!$C$50,0)</f>
        <v>0</v>
      </c>
      <c r="P192" s="69" t="n">
        <f aca="false">IF(P$132=1,Inputs!$C$50,0)</f>
        <v>0</v>
      </c>
      <c r="Q192" s="69" t="n">
        <f aca="false">IF(Q$132=1,Inputs!$C$50,0)</f>
        <v>0</v>
      </c>
      <c r="R192" s="69" t="n">
        <f aca="false">IF(R$132=1,Inputs!$C$50,0)</f>
        <v>0</v>
      </c>
      <c r="S192" s="69" t="n">
        <f aca="false">IF(S$132=1,Inputs!$C$50,0)</f>
        <v>0</v>
      </c>
      <c r="T192" s="69" t="n">
        <f aca="false">IF(T$132=1,Inputs!$C$50,0)</f>
        <v>0</v>
      </c>
      <c r="U192" s="69" t="n">
        <f aca="false">IF(U$132=1,Inputs!$C$50,0)</f>
        <v>0</v>
      </c>
      <c r="V192" s="69" t="n">
        <f aca="false">IF(V$132=1,Inputs!$C$50,0)</f>
        <v>0</v>
      </c>
      <c r="W192" s="69" t="n">
        <f aca="false">IF(W$132=1,Inputs!$C$50,0)</f>
        <v>0</v>
      </c>
      <c r="X192" s="69" t="n">
        <f aca="false">IF(X$132=1,Inputs!$C$50,0)</f>
        <v>0</v>
      </c>
      <c r="Y192" s="69" t="n">
        <f aca="false">IF(Y$132=1,Inputs!$C$50,0)</f>
        <v>0</v>
      </c>
      <c r="Z192" s="69" t="n">
        <f aca="false">IF(Z$132=1,Inputs!$C$50,0)</f>
        <v>0</v>
      </c>
      <c r="AA192" s="69" t="n">
        <f aca="false">IF(AA$132=1,Inputs!$C$50,0)</f>
        <v>0</v>
      </c>
      <c r="AB192" s="69" t="n">
        <f aca="false">IF(AB$132=1,Inputs!$C$50,0)</f>
        <v>0</v>
      </c>
      <c r="AC192" s="69" t="n">
        <f aca="false">IF(AC$132=1,Inputs!$C$50,0)</f>
        <v>0</v>
      </c>
      <c r="AD192" s="69" t="n">
        <f aca="false">IF(AD$132=1,Inputs!$C$50,0)</f>
        <v>0</v>
      </c>
      <c r="AE192" s="69" t="n">
        <f aca="false">IF(AE$132=1,Inputs!$C$50,0)</f>
        <v>0</v>
      </c>
      <c r="AF192" s="69" t="n">
        <f aca="false">IF(AF$132=1,Inputs!$C$50,0)</f>
        <v>0</v>
      </c>
      <c r="AG192" s="69" t="n">
        <f aca="false">IF(AG$132=1,Inputs!$C$50,0)</f>
        <v>0</v>
      </c>
      <c r="AH192" s="69" t="n">
        <f aca="false">IF(AH$132=1,Inputs!$C$50,0)</f>
        <v>0</v>
      </c>
      <c r="AI192" s="69" t="n">
        <f aca="false">IF(AI$132=1,Inputs!$C$50,0)</f>
        <v>0</v>
      </c>
      <c r="AJ192" s="69" t="n">
        <f aca="false">IF(AJ$132=1,Inputs!$C$50,0)</f>
        <v>0</v>
      </c>
      <c r="AK192" s="69" t="n">
        <f aca="false">IF(AK$132=1,Inputs!$C$50,0)</f>
        <v>0</v>
      </c>
      <c r="AL192" s="69" t="n">
        <f aca="false">IF(AL$132=1,Inputs!$C$50,0)</f>
        <v>0</v>
      </c>
    </row>
    <row r="193" customFormat="false" ht="15" hidden="false" customHeight="false" outlineLevel="0" collapsed="false">
      <c r="A193" s="6" t="s">
        <v>410</v>
      </c>
      <c r="C193" s="69" t="n">
        <f aca="false">IF(C$132=1,Inputs!$C$51,0)</f>
        <v>0</v>
      </c>
      <c r="D193" s="69" t="n">
        <f aca="false">IF(D$132=1,Inputs!$C$51,0)</f>
        <v>0</v>
      </c>
      <c r="E193" s="69" t="n">
        <f aca="false">IF(E$132=1,Inputs!$C$51,0)</f>
        <v>0</v>
      </c>
      <c r="F193" s="69" t="n">
        <f aca="false">IF(F$132=1,Inputs!$C$51,0)</f>
        <v>0</v>
      </c>
      <c r="G193" s="69" t="n">
        <f aca="false">IF(G$132=1,Inputs!$C$51,0)</f>
        <v>0</v>
      </c>
      <c r="H193" s="69" t="n">
        <f aca="false">IF(H$132=1,Inputs!$C$51,0)</f>
        <v>0</v>
      </c>
      <c r="I193" s="69" t="n">
        <f aca="false">IF(I$132=1,Inputs!$C$51,0)</f>
        <v>0</v>
      </c>
      <c r="J193" s="69" t="n">
        <f aca="false">IF(J$132=1,Inputs!$C$51,0)</f>
        <v>0</v>
      </c>
      <c r="K193" s="69" t="n">
        <f aca="false">IF(K$132=1,Inputs!$C$51,0)</f>
        <v>0</v>
      </c>
      <c r="L193" s="69" t="n">
        <f aca="false">IF(L$132=1,Inputs!$C$51,0)</f>
        <v>0</v>
      </c>
      <c r="M193" s="69" t="n">
        <f aca="false">IF(M$132=1,Inputs!$C$51,0)</f>
        <v>0</v>
      </c>
      <c r="N193" s="69" t="n">
        <f aca="false">IF(N$132=1,Inputs!$C$51,0)</f>
        <v>0</v>
      </c>
      <c r="O193" s="69" t="n">
        <f aca="false">IF(O$132=1,Inputs!$C$51,0)</f>
        <v>0</v>
      </c>
      <c r="P193" s="69" t="n">
        <f aca="false">IF(P$132=1,Inputs!$C$51,0)</f>
        <v>0</v>
      </c>
      <c r="Q193" s="69" t="n">
        <f aca="false">IF(Q$132=1,Inputs!$C$51,0)</f>
        <v>0</v>
      </c>
      <c r="R193" s="69" t="n">
        <f aca="false">IF(R$132=1,Inputs!$C$51,0)</f>
        <v>0</v>
      </c>
      <c r="S193" s="69" t="n">
        <f aca="false">IF(S$132=1,Inputs!$C$51,0)</f>
        <v>0</v>
      </c>
      <c r="T193" s="69" t="n">
        <f aca="false">IF(T$132=1,Inputs!$C$51,0)</f>
        <v>0</v>
      </c>
      <c r="U193" s="69" t="n">
        <f aca="false">IF(U$132=1,Inputs!$C$51,0)</f>
        <v>0</v>
      </c>
      <c r="V193" s="69" t="n">
        <f aca="false">IF(V$132=1,Inputs!$C$51,0)</f>
        <v>0</v>
      </c>
      <c r="W193" s="69" t="n">
        <f aca="false">IF(W$132=1,Inputs!$C$51,0)</f>
        <v>0</v>
      </c>
      <c r="X193" s="69" t="n">
        <f aca="false">IF(X$132=1,Inputs!$C$51,0)</f>
        <v>0</v>
      </c>
      <c r="Y193" s="69" t="n">
        <f aca="false">IF(Y$132=1,Inputs!$C$51,0)</f>
        <v>0</v>
      </c>
      <c r="Z193" s="69" t="n">
        <f aca="false">IF(Z$132=1,Inputs!$C$51,0)</f>
        <v>0</v>
      </c>
      <c r="AA193" s="69" t="n">
        <f aca="false">IF(AA$132=1,Inputs!$C$51,0)</f>
        <v>0</v>
      </c>
      <c r="AB193" s="69" t="n">
        <f aca="false">IF(AB$132=1,Inputs!$C$51,0)</f>
        <v>0</v>
      </c>
      <c r="AC193" s="69" t="n">
        <f aca="false">IF(AC$132=1,Inputs!$C$51,0)</f>
        <v>0</v>
      </c>
      <c r="AD193" s="69" t="n">
        <f aca="false">IF(AD$132=1,Inputs!$C$51,0)</f>
        <v>0</v>
      </c>
      <c r="AE193" s="69" t="n">
        <f aca="false">IF(AE$132=1,Inputs!$C$51,0)</f>
        <v>0</v>
      </c>
      <c r="AF193" s="69" t="n">
        <f aca="false">IF(AF$132=1,Inputs!$C$51,0)</f>
        <v>0</v>
      </c>
      <c r="AG193" s="69" t="n">
        <f aca="false">IF(AG$132=1,Inputs!$C$51,0)</f>
        <v>0</v>
      </c>
      <c r="AH193" s="69" t="n">
        <f aca="false">IF(AH$132=1,Inputs!$C$51,0)</f>
        <v>0</v>
      </c>
      <c r="AI193" s="69" t="n">
        <f aca="false">IF(AI$132=1,Inputs!$C$51,0)</f>
        <v>0</v>
      </c>
      <c r="AJ193" s="69" t="n">
        <f aca="false">IF(AJ$132=1,Inputs!$C$51,0)</f>
        <v>0</v>
      </c>
      <c r="AK193" s="69" t="n">
        <f aca="false">IF(AK$132=1,Inputs!$C$51,0)</f>
        <v>0</v>
      </c>
      <c r="AL193" s="69" t="n">
        <f aca="false">IF(AL$132=1,Inputs!$C$51,0)</f>
        <v>0</v>
      </c>
    </row>
    <row r="194" customFormat="false" ht="15" hidden="false" customHeight="false" outlineLevel="0" collapsed="false">
      <c r="A194" s="6" t="s">
        <v>411</v>
      </c>
      <c r="C194" s="69" t="n">
        <f aca="false">IF(AND(C$133&gt;1,MOD(C$132-1,12)=0),Inputs!$C$52,0)</f>
        <v>0</v>
      </c>
      <c r="D194" s="69" t="n">
        <f aca="false">IF(AND(D$133&gt;1,MOD(D$132-1,12)=0),Inputs!$C$52,0)</f>
        <v>0</v>
      </c>
      <c r="E194" s="69" t="n">
        <f aca="false">IF(AND(E$133&gt;1,MOD(E$132-1,12)=0),Inputs!$C$52,0)</f>
        <v>0</v>
      </c>
      <c r="F194" s="69" t="n">
        <f aca="false">IF(AND(F$133&gt;1,MOD(F$132-1,12)=0),Inputs!$C$52,0)</f>
        <v>0</v>
      </c>
      <c r="G194" s="69" t="n">
        <f aca="false">IF(AND(G$133&gt;1,MOD(G$132-1,12)=0),Inputs!$C$52,0)</f>
        <v>0</v>
      </c>
      <c r="H194" s="69" t="n">
        <f aca="false">IF(AND(H$133&gt;1,MOD(H$132-1,12)=0),Inputs!$C$52,0)</f>
        <v>0</v>
      </c>
      <c r="I194" s="69" t="n">
        <f aca="false">IF(AND(I$133&gt;1,MOD(I$132-1,12)=0),Inputs!$C$52,0)</f>
        <v>0</v>
      </c>
      <c r="J194" s="69" t="n">
        <f aca="false">IF(AND(J$133&gt;1,MOD(J$132-1,12)=0),Inputs!$C$52,0)</f>
        <v>0</v>
      </c>
      <c r="K194" s="69" t="n">
        <f aca="false">IF(AND(K$133&gt;1,MOD(K$132-1,12)=0),Inputs!$C$52,0)</f>
        <v>0</v>
      </c>
      <c r="L194" s="69" t="n">
        <f aca="false">IF(AND(L$133&gt;1,MOD(L$132-1,12)=0),Inputs!$C$52,0)</f>
        <v>0</v>
      </c>
      <c r="M194" s="69" t="n">
        <f aca="false">IF(AND(M$133&gt;1,MOD(M$132-1,12)=0),Inputs!$C$52,0)</f>
        <v>0</v>
      </c>
      <c r="N194" s="69" t="n">
        <f aca="false">IF(AND(N$133&gt;1,MOD(N$132-1,12)=0),Inputs!$C$52,0)</f>
        <v>0</v>
      </c>
      <c r="O194" s="69" t="n">
        <f aca="false">IF(AND(O$133&gt;1,MOD(O$132-1,12)=0),Inputs!$C$52,0)</f>
        <v>10000</v>
      </c>
      <c r="P194" s="69" t="n">
        <f aca="false">IF(AND(P$133&gt;1,MOD(P$132-1,12)=0),Inputs!$C$52,0)</f>
        <v>0</v>
      </c>
      <c r="Q194" s="69" t="n">
        <f aca="false">IF(AND(Q$133&gt;1,MOD(Q$132-1,12)=0),Inputs!$C$52,0)</f>
        <v>0</v>
      </c>
      <c r="R194" s="69" t="n">
        <f aca="false">IF(AND(R$133&gt;1,MOD(R$132-1,12)=0),Inputs!$C$52,0)</f>
        <v>0</v>
      </c>
      <c r="S194" s="69" t="n">
        <f aca="false">IF(AND(S$133&gt;1,MOD(S$132-1,12)=0),Inputs!$C$52,0)</f>
        <v>0</v>
      </c>
      <c r="T194" s="69" t="n">
        <f aca="false">IF(AND(T$133&gt;1,MOD(T$132-1,12)=0),Inputs!$C$52,0)</f>
        <v>0</v>
      </c>
      <c r="U194" s="69" t="n">
        <f aca="false">IF(AND(U$133&gt;1,MOD(U$132-1,12)=0),Inputs!$C$52,0)</f>
        <v>0</v>
      </c>
      <c r="V194" s="69" t="n">
        <f aca="false">IF(AND(V$133&gt;1,MOD(V$132-1,12)=0),Inputs!$C$52,0)</f>
        <v>0</v>
      </c>
      <c r="W194" s="69" t="n">
        <f aca="false">IF(AND(W$133&gt;1,MOD(W$132-1,12)=0),Inputs!$C$52,0)</f>
        <v>0</v>
      </c>
      <c r="X194" s="69" t="n">
        <f aca="false">IF(AND(X$133&gt;1,MOD(X$132-1,12)=0),Inputs!$C$52,0)</f>
        <v>0</v>
      </c>
      <c r="Y194" s="69" t="n">
        <f aca="false">IF(AND(Y$133&gt;1,MOD(Y$132-1,12)=0),Inputs!$C$52,0)</f>
        <v>0</v>
      </c>
      <c r="Z194" s="69" t="n">
        <f aca="false">IF(AND(Z$133&gt;1,MOD(Z$132-1,12)=0),Inputs!$C$52,0)</f>
        <v>0</v>
      </c>
      <c r="AA194" s="69" t="n">
        <f aca="false">IF(AND(AA$133&gt;1,MOD(AA$132-1,12)=0),Inputs!$C$52,0)</f>
        <v>10000</v>
      </c>
      <c r="AB194" s="69" t="n">
        <f aca="false">IF(AND(AB$133&gt;1,MOD(AB$132-1,12)=0),Inputs!$C$52,0)</f>
        <v>0</v>
      </c>
      <c r="AC194" s="69" t="n">
        <f aca="false">IF(AND(AC$133&gt;1,MOD(AC$132-1,12)=0),Inputs!$C$52,0)</f>
        <v>0</v>
      </c>
      <c r="AD194" s="69" t="n">
        <f aca="false">IF(AND(AD$133&gt;1,MOD(AD$132-1,12)=0),Inputs!$C$52,0)</f>
        <v>0</v>
      </c>
      <c r="AE194" s="69" t="n">
        <f aca="false">IF(AND(AE$133&gt;1,MOD(AE$132-1,12)=0),Inputs!$C$52,0)</f>
        <v>0</v>
      </c>
      <c r="AF194" s="69" t="n">
        <f aca="false">IF(AND(AF$133&gt;1,MOD(AF$132-1,12)=0),Inputs!$C$52,0)</f>
        <v>0</v>
      </c>
      <c r="AG194" s="69" t="n">
        <f aca="false">IF(AND(AG$133&gt;1,MOD(AG$132-1,12)=0),Inputs!$C$52,0)</f>
        <v>0</v>
      </c>
      <c r="AH194" s="69" t="n">
        <f aca="false">IF(AND(AH$133&gt;1,MOD(AH$132-1,12)=0),Inputs!$C$52,0)</f>
        <v>0</v>
      </c>
      <c r="AI194" s="69" t="n">
        <f aca="false">IF(AND(AI$133&gt;1,MOD(AI$132-1,12)=0),Inputs!$C$52,0)</f>
        <v>0</v>
      </c>
      <c r="AJ194" s="69" t="n">
        <f aca="false">IF(AND(AJ$133&gt;1,MOD(AJ$132-1,12)=0),Inputs!$C$52,0)</f>
        <v>0</v>
      </c>
      <c r="AK194" s="69" t="n">
        <f aca="false">IF(AND(AK$133&gt;1,MOD(AK$132-1,12)=0),Inputs!$C$52,0)</f>
        <v>0</v>
      </c>
      <c r="AL194" s="69" t="n">
        <f aca="false">IF(AND(AL$133&gt;1,MOD(AL$132-1,12)=0),Inputs!$C$52,0)</f>
        <v>0</v>
      </c>
    </row>
    <row r="195" customFormat="false" ht="15" hidden="false" customHeight="false" outlineLevel="0" collapsed="false">
      <c r="A195" s="4" t="s">
        <v>84</v>
      </c>
      <c r="C195" s="75" t="n">
        <f aca="false">C190+C191+C192+C193+C194</f>
        <v>189000</v>
      </c>
      <c r="D195" s="75" t="n">
        <f aca="false">D190+D191+D192+D193+D194</f>
        <v>0</v>
      </c>
      <c r="E195" s="75" t="n">
        <f aca="false">E190+E191+E192+E193+E194</f>
        <v>0</v>
      </c>
      <c r="F195" s="75" t="n">
        <f aca="false">F190+F191+F192+F193+F194</f>
        <v>0</v>
      </c>
      <c r="G195" s="75" t="n">
        <f aca="false">G190+G191+G192+G193+G194</f>
        <v>0</v>
      </c>
      <c r="H195" s="75" t="n">
        <f aca="false">H190+H191+H192+H193+H194</f>
        <v>0</v>
      </c>
      <c r="I195" s="75" t="n">
        <f aca="false">I190+I191+I192+I193+I194</f>
        <v>0</v>
      </c>
      <c r="J195" s="75" t="n">
        <f aca="false">J190+J191+J192+J193+J194</f>
        <v>0</v>
      </c>
      <c r="K195" s="75" t="n">
        <f aca="false">K190+K191+K192+K193+K194</f>
        <v>0</v>
      </c>
      <c r="L195" s="75" t="n">
        <f aca="false">L190+L191+L192+L193+L194</f>
        <v>0</v>
      </c>
      <c r="M195" s="75" t="n">
        <f aca="false">M190+M191+M192+M193+M194</f>
        <v>0</v>
      </c>
      <c r="N195" s="75" t="n">
        <f aca="false">N190+N191+N192+N193+N194</f>
        <v>0</v>
      </c>
      <c r="O195" s="75" t="n">
        <f aca="false">O190+O191+O192+O193+O194</f>
        <v>10000</v>
      </c>
      <c r="P195" s="75" t="n">
        <f aca="false">P190+P191+P192+P193+P194</f>
        <v>0</v>
      </c>
      <c r="Q195" s="75" t="n">
        <f aca="false">Q190+Q191+Q192+Q193+Q194</f>
        <v>0</v>
      </c>
      <c r="R195" s="75" t="n">
        <f aca="false">R190+R191+R192+R193+R194</f>
        <v>0</v>
      </c>
      <c r="S195" s="75" t="n">
        <f aca="false">S190+S191+S192+S193+S194</f>
        <v>0</v>
      </c>
      <c r="T195" s="75" t="n">
        <f aca="false">T190+T191+T192+T193+T194</f>
        <v>0</v>
      </c>
      <c r="U195" s="75" t="n">
        <f aca="false">U190+U191+U192+U193+U194</f>
        <v>0</v>
      </c>
      <c r="V195" s="75" t="n">
        <f aca="false">V190+V191+V192+V193+V194</f>
        <v>0</v>
      </c>
      <c r="W195" s="75" t="n">
        <f aca="false">W190+W191+W192+W193+W194</f>
        <v>0</v>
      </c>
      <c r="X195" s="75" t="n">
        <f aca="false">X190+X191+X192+X193+X194</f>
        <v>0</v>
      </c>
      <c r="Y195" s="75" t="n">
        <f aca="false">Y190+Y191+Y192+Y193+Y194</f>
        <v>0</v>
      </c>
      <c r="Z195" s="75" t="n">
        <f aca="false">Z190+Z191+Z192+Z193+Z194</f>
        <v>0</v>
      </c>
      <c r="AA195" s="75" t="n">
        <f aca="false">AA190+AA191+AA192+AA193+AA194</f>
        <v>10000</v>
      </c>
      <c r="AB195" s="75" t="n">
        <f aca="false">AB190+AB191+AB192+AB193+AB194</f>
        <v>0</v>
      </c>
      <c r="AC195" s="75" t="n">
        <f aca="false">AC190+AC191+AC192+AC193+AC194</f>
        <v>0</v>
      </c>
      <c r="AD195" s="75" t="n">
        <f aca="false">AD190+AD191+AD192+AD193+AD194</f>
        <v>0</v>
      </c>
      <c r="AE195" s="75" t="n">
        <f aca="false">AE190+AE191+AE192+AE193+AE194</f>
        <v>0</v>
      </c>
      <c r="AF195" s="75" t="n">
        <f aca="false">AF190+AF191+AF192+AF193+AF194</f>
        <v>0</v>
      </c>
      <c r="AG195" s="75" t="n">
        <f aca="false">AG190+AG191+AG192+AG193+AG194</f>
        <v>0</v>
      </c>
      <c r="AH195" s="75" t="n">
        <f aca="false">AH190+AH191+AH192+AH193+AH194</f>
        <v>0</v>
      </c>
      <c r="AI195" s="75" t="n">
        <f aca="false">AI190+AI191+AI192+AI193+AI194</f>
        <v>0</v>
      </c>
      <c r="AJ195" s="75" t="n">
        <f aca="false">AJ190+AJ191+AJ192+AJ193+AJ194</f>
        <v>0</v>
      </c>
      <c r="AK195" s="75" t="n">
        <f aca="false">AK190+AK191+AK192+AK193+AK194</f>
        <v>0</v>
      </c>
      <c r="AL195" s="75" t="n">
        <f aca="false">AL190+AL191+AL192+AL193+AL194</f>
        <v>0</v>
      </c>
    </row>
    <row r="196" customFormat="false" ht="15" hidden="false" customHeight="false" outlineLevel="0" collapsed="false">
      <c r="A196" s="6" t="s">
        <v>412</v>
      </c>
      <c r="C196" s="69" t="n">
        <f aca="false">C195</f>
        <v>189000</v>
      </c>
      <c r="D196" s="69" t="n">
        <f aca="false">C196+D195</f>
        <v>189000</v>
      </c>
      <c r="E196" s="69" t="n">
        <f aca="false">D196+E195</f>
        <v>189000</v>
      </c>
      <c r="F196" s="69" t="n">
        <f aca="false">E196+F195</f>
        <v>189000</v>
      </c>
      <c r="G196" s="69" t="n">
        <f aca="false">F196+G195</f>
        <v>189000</v>
      </c>
      <c r="H196" s="69" t="n">
        <f aca="false">G196+H195</f>
        <v>189000</v>
      </c>
      <c r="I196" s="69" t="n">
        <f aca="false">H196+I195</f>
        <v>189000</v>
      </c>
      <c r="J196" s="69" t="n">
        <f aca="false">I196+J195</f>
        <v>189000</v>
      </c>
      <c r="K196" s="69" t="n">
        <f aca="false">J196+K195</f>
        <v>189000</v>
      </c>
      <c r="L196" s="69" t="n">
        <f aca="false">K196+L195</f>
        <v>189000</v>
      </c>
      <c r="M196" s="69" t="n">
        <f aca="false">L196+M195</f>
        <v>189000</v>
      </c>
      <c r="N196" s="69" t="n">
        <f aca="false">M196+N195</f>
        <v>189000</v>
      </c>
      <c r="O196" s="69" t="n">
        <f aca="false">N196+O195</f>
        <v>199000</v>
      </c>
      <c r="P196" s="69" t="n">
        <f aca="false">O196+P195</f>
        <v>199000</v>
      </c>
      <c r="Q196" s="69" t="n">
        <f aca="false">P196+Q195</f>
        <v>199000</v>
      </c>
      <c r="R196" s="69" t="n">
        <f aca="false">Q196+R195</f>
        <v>199000</v>
      </c>
      <c r="S196" s="69" t="n">
        <f aca="false">R196+S195</f>
        <v>199000</v>
      </c>
      <c r="T196" s="69" t="n">
        <f aca="false">S196+T195</f>
        <v>199000</v>
      </c>
      <c r="U196" s="69" t="n">
        <f aca="false">T196+U195</f>
        <v>199000</v>
      </c>
      <c r="V196" s="69" t="n">
        <f aca="false">U196+V195</f>
        <v>199000</v>
      </c>
      <c r="W196" s="69" t="n">
        <f aca="false">V196+W195</f>
        <v>199000</v>
      </c>
      <c r="X196" s="69" t="n">
        <f aca="false">W196+X195</f>
        <v>199000</v>
      </c>
      <c r="Y196" s="69" t="n">
        <f aca="false">X196+Y195</f>
        <v>199000</v>
      </c>
      <c r="Z196" s="69" t="n">
        <f aca="false">Y196+Z195</f>
        <v>199000</v>
      </c>
      <c r="AA196" s="69" t="n">
        <f aca="false">Z196+AA195</f>
        <v>209000</v>
      </c>
      <c r="AB196" s="69" t="n">
        <f aca="false">AA196+AB195</f>
        <v>209000</v>
      </c>
      <c r="AC196" s="69" t="n">
        <f aca="false">AB196+AC195</f>
        <v>209000</v>
      </c>
      <c r="AD196" s="69" t="n">
        <f aca="false">AC196+AD195</f>
        <v>209000</v>
      </c>
      <c r="AE196" s="69" t="n">
        <f aca="false">AD196+AE195</f>
        <v>209000</v>
      </c>
      <c r="AF196" s="69" t="n">
        <f aca="false">AE196+AF195</f>
        <v>209000</v>
      </c>
      <c r="AG196" s="69" t="n">
        <f aca="false">AF196+AG195</f>
        <v>209000</v>
      </c>
      <c r="AH196" s="69" t="n">
        <f aca="false">AG196+AH195</f>
        <v>209000</v>
      </c>
      <c r="AI196" s="69" t="n">
        <f aca="false">AH196+AI195</f>
        <v>209000</v>
      </c>
      <c r="AJ196" s="69" t="n">
        <f aca="false">AI196+AJ195</f>
        <v>209000</v>
      </c>
      <c r="AK196" s="69" t="n">
        <f aca="false">AJ196+AK195</f>
        <v>209000</v>
      </c>
      <c r="AL196" s="69" t="n">
        <f aca="false">AK196+AL195</f>
        <v>209000</v>
      </c>
    </row>
    <row r="197" customFormat="false" ht="15" hidden="false" customHeight="false" outlineLevel="0" collapsed="false">
      <c r="A197" s="6" t="s">
        <v>413</v>
      </c>
      <c r="C197" s="69" t="n">
        <f aca="false">C193</f>
        <v>0</v>
      </c>
      <c r="D197" s="69" t="n">
        <f aca="false">C197+D193</f>
        <v>0</v>
      </c>
      <c r="E197" s="69" t="n">
        <f aca="false">D197+E193</f>
        <v>0</v>
      </c>
      <c r="F197" s="69" t="n">
        <f aca="false">E197+F193</f>
        <v>0</v>
      </c>
      <c r="G197" s="69" t="n">
        <f aca="false">F197+G193</f>
        <v>0</v>
      </c>
      <c r="H197" s="69" t="n">
        <f aca="false">G197+H193</f>
        <v>0</v>
      </c>
      <c r="I197" s="69" t="n">
        <f aca="false">H197+I193</f>
        <v>0</v>
      </c>
      <c r="J197" s="69" t="n">
        <f aca="false">I197+J193</f>
        <v>0</v>
      </c>
      <c r="K197" s="69" t="n">
        <f aca="false">J197+K193</f>
        <v>0</v>
      </c>
      <c r="L197" s="69" t="n">
        <f aca="false">K197+L193</f>
        <v>0</v>
      </c>
      <c r="M197" s="69" t="n">
        <f aca="false">L197+M193</f>
        <v>0</v>
      </c>
      <c r="N197" s="69" t="n">
        <f aca="false">M197+N193</f>
        <v>0</v>
      </c>
      <c r="O197" s="69" t="n">
        <f aca="false">N197+O193</f>
        <v>0</v>
      </c>
      <c r="P197" s="69" t="n">
        <f aca="false">O197+P193</f>
        <v>0</v>
      </c>
      <c r="Q197" s="69" t="n">
        <f aca="false">P197+Q193</f>
        <v>0</v>
      </c>
      <c r="R197" s="69" t="n">
        <f aca="false">Q197+R193</f>
        <v>0</v>
      </c>
      <c r="S197" s="69" t="n">
        <f aca="false">R197+S193</f>
        <v>0</v>
      </c>
      <c r="T197" s="69" t="n">
        <f aca="false">S197+T193</f>
        <v>0</v>
      </c>
      <c r="U197" s="69" t="n">
        <f aca="false">T197+U193</f>
        <v>0</v>
      </c>
      <c r="V197" s="69" t="n">
        <f aca="false">U197+V193</f>
        <v>0</v>
      </c>
      <c r="W197" s="69" t="n">
        <f aca="false">V197+W193</f>
        <v>0</v>
      </c>
      <c r="X197" s="69" t="n">
        <f aca="false">W197+X193</f>
        <v>0</v>
      </c>
      <c r="Y197" s="69" t="n">
        <f aca="false">X197+Y193</f>
        <v>0</v>
      </c>
      <c r="Z197" s="69" t="n">
        <f aca="false">Y197+Z193</f>
        <v>0</v>
      </c>
      <c r="AA197" s="69" t="n">
        <f aca="false">Z197+AA193</f>
        <v>0</v>
      </c>
      <c r="AB197" s="69" t="n">
        <f aca="false">AA197+AB193</f>
        <v>0</v>
      </c>
      <c r="AC197" s="69" t="n">
        <f aca="false">AB197+AC193</f>
        <v>0</v>
      </c>
      <c r="AD197" s="69" t="n">
        <f aca="false">AC197+AD193</f>
        <v>0</v>
      </c>
      <c r="AE197" s="69" t="n">
        <f aca="false">AD197+AE193</f>
        <v>0</v>
      </c>
      <c r="AF197" s="69" t="n">
        <f aca="false">AE197+AF193</f>
        <v>0</v>
      </c>
      <c r="AG197" s="69" t="n">
        <f aca="false">AF197+AG193</f>
        <v>0</v>
      </c>
      <c r="AH197" s="69" t="n">
        <f aca="false">AG197+AH193</f>
        <v>0</v>
      </c>
      <c r="AI197" s="69" t="n">
        <f aca="false">AH197+AI193</f>
        <v>0</v>
      </c>
      <c r="AJ197" s="69" t="n">
        <f aca="false">AI197+AJ193</f>
        <v>0</v>
      </c>
      <c r="AK197" s="69" t="n">
        <f aca="false">AJ197+AK193</f>
        <v>0</v>
      </c>
      <c r="AL197" s="69" t="n">
        <f aca="false">AK197+AL193</f>
        <v>0</v>
      </c>
    </row>
    <row r="198" customFormat="false" ht="15" hidden="false" customHeight="false" outlineLevel="0" collapsed="false">
      <c r="A198" s="6" t="s">
        <v>78</v>
      </c>
      <c r="C198" s="69" t="n">
        <f aca="false">-MIN((C196-C197)/MAX(1,Inputs!$C$82*12),C195-C197)</f>
        <v>-1968.75</v>
      </c>
      <c r="D198" s="69" t="n">
        <f aca="false">-MIN((D196-D197)/MAX(1,Inputs!$C$82*12),C200+D195-D197)</f>
        <v>-1968.75</v>
      </c>
      <c r="E198" s="69" t="n">
        <f aca="false">-MIN((E196-E197)/MAX(1,Inputs!$C$82*12),D200+E195-E197)</f>
        <v>-1968.75</v>
      </c>
      <c r="F198" s="69" t="n">
        <f aca="false">-MIN((F196-F197)/MAX(1,Inputs!$C$82*12),E200+F195-F197)</f>
        <v>-1968.75</v>
      </c>
      <c r="G198" s="69" t="n">
        <f aca="false">-MIN((G196-G197)/MAX(1,Inputs!$C$82*12),F200+G195-G197)</f>
        <v>-1968.75</v>
      </c>
      <c r="H198" s="69" t="n">
        <f aca="false">-MIN((H196-H197)/MAX(1,Inputs!$C$82*12),G200+H195-H197)</f>
        <v>-1968.75</v>
      </c>
      <c r="I198" s="69" t="n">
        <f aca="false">-MIN((I196-I197)/MAX(1,Inputs!$C$82*12),H200+I195-I197)</f>
        <v>-1968.75</v>
      </c>
      <c r="J198" s="69" t="n">
        <f aca="false">-MIN((J196-J197)/MAX(1,Inputs!$C$82*12),I200+J195-J197)</f>
        <v>-1968.75</v>
      </c>
      <c r="K198" s="69" t="n">
        <f aca="false">-MIN((K196-K197)/MAX(1,Inputs!$C$82*12),J200+K195-K197)</f>
        <v>-1968.75</v>
      </c>
      <c r="L198" s="69" t="n">
        <f aca="false">-MIN((L196-L197)/MAX(1,Inputs!$C$82*12),K200+L195-L197)</f>
        <v>-1968.75</v>
      </c>
      <c r="M198" s="69" t="n">
        <f aca="false">-MIN((M196-M197)/MAX(1,Inputs!$C$82*12),L200+M195-M197)</f>
        <v>-1968.75</v>
      </c>
      <c r="N198" s="69" t="n">
        <f aca="false">-MIN((N196-N197)/MAX(1,Inputs!$C$82*12),M200+N195-N197)</f>
        <v>-1968.75</v>
      </c>
      <c r="O198" s="69" t="n">
        <f aca="false">-MIN((O196-O197)/MAX(1,Inputs!$C$82*12),N200+O195-O197)</f>
        <v>-2072.91666666667</v>
      </c>
      <c r="P198" s="69" t="n">
        <f aca="false">-MIN((P196-P197)/MAX(1,Inputs!$C$82*12),O200+P195-P197)</f>
        <v>-2072.91666666667</v>
      </c>
      <c r="Q198" s="69" t="n">
        <f aca="false">-MIN((Q196-Q197)/MAX(1,Inputs!$C$82*12),P200+Q195-Q197)</f>
        <v>-2072.91666666667</v>
      </c>
      <c r="R198" s="69" t="n">
        <f aca="false">-MIN((R196-R197)/MAX(1,Inputs!$C$82*12),Q200+R195-R197)</f>
        <v>-2072.91666666667</v>
      </c>
      <c r="S198" s="69" t="n">
        <f aca="false">-MIN((S196-S197)/MAX(1,Inputs!$C$82*12),R200+S195-S197)</f>
        <v>-2072.91666666667</v>
      </c>
      <c r="T198" s="69" t="n">
        <f aca="false">-MIN((T196-T197)/MAX(1,Inputs!$C$82*12),S200+T195-T197)</f>
        <v>-2072.91666666667</v>
      </c>
      <c r="U198" s="69" t="n">
        <f aca="false">-MIN((U196-U197)/MAX(1,Inputs!$C$82*12),T200+U195-U197)</f>
        <v>-2072.91666666667</v>
      </c>
      <c r="V198" s="69" t="n">
        <f aca="false">-MIN((V196-V197)/MAX(1,Inputs!$C$82*12),U200+V195-V197)</f>
        <v>-2072.91666666667</v>
      </c>
      <c r="W198" s="69" t="n">
        <f aca="false">-MIN((W196-W197)/MAX(1,Inputs!$C$82*12),V200+W195-W197)</f>
        <v>-2072.91666666667</v>
      </c>
      <c r="X198" s="69" t="n">
        <f aca="false">-MIN((X196-X197)/MAX(1,Inputs!$C$82*12),W200+X195-X197)</f>
        <v>-2072.91666666667</v>
      </c>
      <c r="Y198" s="69" t="n">
        <f aca="false">-MIN((Y196-Y197)/MAX(1,Inputs!$C$82*12),X200+Y195-Y197)</f>
        <v>-2072.91666666667</v>
      </c>
      <c r="Z198" s="69" t="n">
        <f aca="false">-MIN((Z196-Z197)/MAX(1,Inputs!$C$82*12),Y200+Z195-Z197)</f>
        <v>-2072.91666666667</v>
      </c>
      <c r="AA198" s="69" t="n">
        <f aca="false">-MIN((AA196-AA197)/MAX(1,Inputs!$C$82*12),Z200+AA195-AA197)</f>
        <v>-2177.08333333333</v>
      </c>
      <c r="AB198" s="69" t="n">
        <f aca="false">-MIN((AB196-AB197)/MAX(1,Inputs!$C$82*12),AA200+AB195-AB197)</f>
        <v>-2177.08333333333</v>
      </c>
      <c r="AC198" s="69" t="n">
        <f aca="false">-MIN((AC196-AC197)/MAX(1,Inputs!$C$82*12),AB200+AC195-AC197)</f>
        <v>-2177.08333333333</v>
      </c>
      <c r="AD198" s="69" t="n">
        <f aca="false">-MIN((AD196-AD197)/MAX(1,Inputs!$C$82*12),AC200+AD195-AD197)</f>
        <v>-2177.08333333333</v>
      </c>
      <c r="AE198" s="69" t="n">
        <f aca="false">-MIN((AE196-AE197)/MAX(1,Inputs!$C$82*12),AD200+AE195-AE197)</f>
        <v>-2177.08333333333</v>
      </c>
      <c r="AF198" s="69" t="n">
        <f aca="false">-MIN((AF196-AF197)/MAX(1,Inputs!$C$82*12),AE200+AF195-AF197)</f>
        <v>-2177.08333333333</v>
      </c>
      <c r="AG198" s="69" t="n">
        <f aca="false">-MIN((AG196-AG197)/MAX(1,Inputs!$C$82*12),AF200+AG195-AG197)</f>
        <v>-2177.08333333333</v>
      </c>
      <c r="AH198" s="69" t="n">
        <f aca="false">-MIN((AH196-AH197)/MAX(1,Inputs!$C$82*12),AG200+AH195-AH197)</f>
        <v>-2177.08333333333</v>
      </c>
      <c r="AI198" s="69" t="n">
        <f aca="false">-MIN((AI196-AI197)/MAX(1,Inputs!$C$82*12),AH200+AI195-AI197)</f>
        <v>-2177.08333333333</v>
      </c>
      <c r="AJ198" s="69" t="n">
        <f aca="false">-MIN((AJ196-AJ197)/MAX(1,Inputs!$C$82*12),AI200+AJ195-AJ197)</f>
        <v>-2177.08333333333</v>
      </c>
      <c r="AK198" s="69" t="n">
        <f aca="false">-MIN((AK196-AK197)/MAX(1,Inputs!$C$82*12),AJ200+AK195-AK197)</f>
        <v>-2177.08333333333</v>
      </c>
      <c r="AL198" s="69" t="n">
        <f aca="false">-MIN((AL196-AL197)/MAX(1,Inputs!$C$82*12),AK200+AL195-AL197)</f>
        <v>-2177.08333333333</v>
      </c>
    </row>
    <row r="199" customFormat="false" ht="15" hidden="false" customHeight="false" outlineLevel="0" collapsed="false">
      <c r="A199" s="6" t="s">
        <v>414</v>
      </c>
      <c r="C199" s="69" t="n">
        <f aca="false">C198</f>
        <v>-1968.75</v>
      </c>
      <c r="D199" s="69" t="n">
        <f aca="false">C199+D198</f>
        <v>-3937.5</v>
      </c>
      <c r="E199" s="69" t="n">
        <f aca="false">D199+E198</f>
        <v>-5906.25</v>
      </c>
      <c r="F199" s="69" t="n">
        <f aca="false">E199+F198</f>
        <v>-7875</v>
      </c>
      <c r="G199" s="69" t="n">
        <f aca="false">F199+G198</f>
        <v>-9843.75</v>
      </c>
      <c r="H199" s="69" t="n">
        <f aca="false">G199+H198</f>
        <v>-11812.5</v>
      </c>
      <c r="I199" s="69" t="n">
        <f aca="false">H199+I198</f>
        <v>-13781.25</v>
      </c>
      <c r="J199" s="69" t="n">
        <f aca="false">I199+J198</f>
        <v>-15750</v>
      </c>
      <c r="K199" s="69" t="n">
        <f aca="false">J199+K198</f>
        <v>-17718.75</v>
      </c>
      <c r="L199" s="69" t="n">
        <f aca="false">K199+L198</f>
        <v>-19687.5</v>
      </c>
      <c r="M199" s="69" t="n">
        <f aca="false">L199+M198</f>
        <v>-21656.25</v>
      </c>
      <c r="N199" s="69" t="n">
        <f aca="false">M199+N198</f>
        <v>-23625</v>
      </c>
      <c r="O199" s="69" t="n">
        <f aca="false">N199+O198</f>
        <v>-25697.9166666667</v>
      </c>
      <c r="P199" s="69" t="n">
        <f aca="false">O199+P198</f>
        <v>-27770.8333333333</v>
      </c>
      <c r="Q199" s="69" t="n">
        <f aca="false">P199+Q198</f>
        <v>-29843.75</v>
      </c>
      <c r="R199" s="69" t="n">
        <f aca="false">Q199+R198</f>
        <v>-31916.6666666667</v>
      </c>
      <c r="S199" s="69" t="n">
        <f aca="false">R199+S198</f>
        <v>-33989.5833333333</v>
      </c>
      <c r="T199" s="69" t="n">
        <f aca="false">S199+T198</f>
        <v>-36062.5</v>
      </c>
      <c r="U199" s="69" t="n">
        <f aca="false">T199+U198</f>
        <v>-38135.4166666667</v>
      </c>
      <c r="V199" s="69" t="n">
        <f aca="false">U199+V198</f>
        <v>-40208.3333333333</v>
      </c>
      <c r="W199" s="69" t="n">
        <f aca="false">V199+W198</f>
        <v>-42281.25</v>
      </c>
      <c r="X199" s="69" t="n">
        <f aca="false">W199+X198</f>
        <v>-44354.1666666667</v>
      </c>
      <c r="Y199" s="69" t="n">
        <f aca="false">X199+Y198</f>
        <v>-46427.0833333333</v>
      </c>
      <c r="Z199" s="69" t="n">
        <f aca="false">Y199+Z198</f>
        <v>-48500</v>
      </c>
      <c r="AA199" s="69" t="n">
        <f aca="false">Z199+AA198</f>
        <v>-50677.0833333333</v>
      </c>
      <c r="AB199" s="69" t="n">
        <f aca="false">AA199+AB198</f>
        <v>-52854.1666666667</v>
      </c>
      <c r="AC199" s="69" t="n">
        <f aca="false">AB199+AC198</f>
        <v>-55031.25</v>
      </c>
      <c r="AD199" s="69" t="n">
        <f aca="false">AC199+AD198</f>
        <v>-57208.3333333333</v>
      </c>
      <c r="AE199" s="69" t="n">
        <f aca="false">AD199+AE198</f>
        <v>-59385.4166666667</v>
      </c>
      <c r="AF199" s="69" t="n">
        <f aca="false">AE199+AF198</f>
        <v>-61562.5</v>
      </c>
      <c r="AG199" s="69" t="n">
        <f aca="false">AF199+AG198</f>
        <v>-63739.5833333333</v>
      </c>
      <c r="AH199" s="69" t="n">
        <f aca="false">AG199+AH198</f>
        <v>-65916.6666666667</v>
      </c>
      <c r="AI199" s="69" t="n">
        <f aca="false">AH199+AI198</f>
        <v>-68093.75</v>
      </c>
      <c r="AJ199" s="69" t="n">
        <f aca="false">AI199+AJ198</f>
        <v>-70270.8333333333</v>
      </c>
      <c r="AK199" s="69" t="n">
        <f aca="false">AJ199+AK198</f>
        <v>-72447.9166666667</v>
      </c>
      <c r="AL199" s="69" t="n">
        <f aca="false">AK199+AL198</f>
        <v>-74625</v>
      </c>
    </row>
    <row r="200" customFormat="false" ht="15" hidden="false" customHeight="false" outlineLevel="0" collapsed="false">
      <c r="A200" s="4" t="s">
        <v>92</v>
      </c>
      <c r="C200" s="75" t="n">
        <f aca="false">C196+C199</f>
        <v>187031.25</v>
      </c>
      <c r="D200" s="75" t="n">
        <f aca="false">D196+D199</f>
        <v>185062.5</v>
      </c>
      <c r="E200" s="75" t="n">
        <f aca="false">E196+E199</f>
        <v>183093.75</v>
      </c>
      <c r="F200" s="75" t="n">
        <f aca="false">F196+F199</f>
        <v>181125</v>
      </c>
      <c r="G200" s="75" t="n">
        <f aca="false">G196+G199</f>
        <v>179156.25</v>
      </c>
      <c r="H200" s="75" t="n">
        <f aca="false">H196+H199</f>
        <v>177187.5</v>
      </c>
      <c r="I200" s="75" t="n">
        <f aca="false">I196+I199</f>
        <v>175218.75</v>
      </c>
      <c r="J200" s="75" t="n">
        <f aca="false">J196+J199</f>
        <v>173250</v>
      </c>
      <c r="K200" s="75" t="n">
        <f aca="false">K196+K199</f>
        <v>171281.25</v>
      </c>
      <c r="L200" s="75" t="n">
        <f aca="false">L196+L199</f>
        <v>169312.5</v>
      </c>
      <c r="M200" s="75" t="n">
        <f aca="false">M196+M199</f>
        <v>167343.75</v>
      </c>
      <c r="N200" s="75" t="n">
        <f aca="false">N196+N199</f>
        <v>165375</v>
      </c>
      <c r="O200" s="75" t="n">
        <f aca="false">O196+O199</f>
        <v>173302.083333333</v>
      </c>
      <c r="P200" s="75" t="n">
        <f aca="false">P196+P199</f>
        <v>171229.166666667</v>
      </c>
      <c r="Q200" s="75" t="n">
        <f aca="false">Q196+Q199</f>
        <v>169156.25</v>
      </c>
      <c r="R200" s="75" t="n">
        <f aca="false">R196+R199</f>
        <v>167083.333333333</v>
      </c>
      <c r="S200" s="75" t="n">
        <f aca="false">S196+S199</f>
        <v>165010.416666667</v>
      </c>
      <c r="T200" s="75" t="n">
        <f aca="false">T196+T199</f>
        <v>162937.5</v>
      </c>
      <c r="U200" s="75" t="n">
        <f aca="false">U196+U199</f>
        <v>160864.583333333</v>
      </c>
      <c r="V200" s="75" t="n">
        <f aca="false">V196+V199</f>
        <v>158791.666666667</v>
      </c>
      <c r="W200" s="75" t="n">
        <f aca="false">W196+W199</f>
        <v>156718.75</v>
      </c>
      <c r="X200" s="75" t="n">
        <f aca="false">X196+X199</f>
        <v>154645.833333333</v>
      </c>
      <c r="Y200" s="75" t="n">
        <f aca="false">Y196+Y199</f>
        <v>152572.916666667</v>
      </c>
      <c r="Z200" s="75" t="n">
        <f aca="false">Z196+Z199</f>
        <v>150500</v>
      </c>
      <c r="AA200" s="75" t="n">
        <f aca="false">AA196+AA199</f>
        <v>158322.916666667</v>
      </c>
      <c r="AB200" s="75" t="n">
        <f aca="false">AB196+AB199</f>
        <v>156145.833333333</v>
      </c>
      <c r="AC200" s="75" t="n">
        <f aca="false">AC196+AC199</f>
        <v>153968.75</v>
      </c>
      <c r="AD200" s="75" t="n">
        <f aca="false">AD196+AD199</f>
        <v>151791.666666667</v>
      </c>
      <c r="AE200" s="75" t="n">
        <f aca="false">AE196+AE199</f>
        <v>149614.583333333</v>
      </c>
      <c r="AF200" s="75" t="n">
        <f aca="false">AF196+AF199</f>
        <v>147437.5</v>
      </c>
      <c r="AG200" s="75" t="n">
        <f aca="false">AG196+AG199</f>
        <v>145260.416666667</v>
      </c>
      <c r="AH200" s="75" t="n">
        <f aca="false">AH196+AH199</f>
        <v>143083.333333333</v>
      </c>
      <c r="AI200" s="75" t="n">
        <f aca="false">AI196+AI199</f>
        <v>140906.25</v>
      </c>
      <c r="AJ200" s="75" t="n">
        <f aca="false">AJ196+AJ199</f>
        <v>138729.166666667</v>
      </c>
      <c r="AK200" s="75" t="n">
        <f aca="false">AK196+AK199</f>
        <v>136552.083333333</v>
      </c>
      <c r="AL200" s="75" t="n">
        <f aca="false">AL196+AL199</f>
        <v>134375</v>
      </c>
    </row>
    <row r="202" customFormat="false" ht="15.75" hidden="false" customHeight="true" outlineLevel="0" collapsed="false">
      <c r="A202" s="7" t="s">
        <v>415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customFormat="false" ht="15" hidden="false" customHeight="false" outlineLevel="0" collapsed="false">
      <c r="A203" s="6" t="s">
        <v>416</v>
      </c>
      <c r="C203" s="69" t="n">
        <f aca="false">0</f>
        <v>0</v>
      </c>
      <c r="D203" s="69" t="n">
        <f aca="false">C206</f>
        <v>100000</v>
      </c>
      <c r="E203" s="69" t="n">
        <f aca="false">D206</f>
        <v>98333.3333333333</v>
      </c>
      <c r="F203" s="69" t="n">
        <f aca="false">E206</f>
        <v>96666.6666666667</v>
      </c>
      <c r="G203" s="69" t="n">
        <f aca="false">F206</f>
        <v>95000</v>
      </c>
      <c r="H203" s="69" t="n">
        <f aca="false">G206</f>
        <v>93333.3333333333</v>
      </c>
      <c r="I203" s="69" t="n">
        <f aca="false">H206</f>
        <v>91666.6666666666</v>
      </c>
      <c r="J203" s="69" t="n">
        <f aca="false">I206</f>
        <v>90000</v>
      </c>
      <c r="K203" s="69" t="n">
        <f aca="false">J206</f>
        <v>88333.3333333333</v>
      </c>
      <c r="L203" s="69" t="n">
        <f aca="false">K206</f>
        <v>86666.6666666666</v>
      </c>
      <c r="M203" s="69" t="n">
        <f aca="false">L206</f>
        <v>85000</v>
      </c>
      <c r="N203" s="69" t="n">
        <f aca="false">M206</f>
        <v>83333.3333333333</v>
      </c>
      <c r="O203" s="69" t="n">
        <f aca="false">N206</f>
        <v>81666.6666666666</v>
      </c>
      <c r="P203" s="69" t="n">
        <f aca="false">O206</f>
        <v>79999.9999999999</v>
      </c>
      <c r="Q203" s="69" t="n">
        <f aca="false">P206</f>
        <v>78333.3333333333</v>
      </c>
      <c r="R203" s="69" t="n">
        <f aca="false">Q206</f>
        <v>76666.6666666666</v>
      </c>
      <c r="S203" s="69" t="n">
        <f aca="false">R206</f>
        <v>74999.9999999999</v>
      </c>
      <c r="T203" s="69" t="n">
        <f aca="false">S206</f>
        <v>73333.3333333333</v>
      </c>
      <c r="U203" s="69" t="n">
        <f aca="false">T206</f>
        <v>71666.6666666666</v>
      </c>
      <c r="V203" s="69" t="n">
        <f aca="false">U206</f>
        <v>69999.9999999999</v>
      </c>
      <c r="W203" s="69" t="n">
        <f aca="false">V206</f>
        <v>68333.3333333332</v>
      </c>
      <c r="X203" s="69" t="n">
        <f aca="false">W206</f>
        <v>66666.6666666666</v>
      </c>
      <c r="Y203" s="69" t="n">
        <f aca="false">X206</f>
        <v>64999.9999999999</v>
      </c>
      <c r="Z203" s="69" t="n">
        <f aca="false">Y206</f>
        <v>63333.3333333332</v>
      </c>
      <c r="AA203" s="69" t="n">
        <f aca="false">Z206</f>
        <v>61666.6666666666</v>
      </c>
      <c r="AB203" s="69" t="n">
        <f aca="false">AA206</f>
        <v>59999.9999999999</v>
      </c>
      <c r="AC203" s="69" t="n">
        <f aca="false">AB206</f>
        <v>58333.3333333333</v>
      </c>
      <c r="AD203" s="69" t="n">
        <f aca="false">AC206</f>
        <v>56666.6666666666</v>
      </c>
      <c r="AE203" s="69" t="n">
        <f aca="false">AD206</f>
        <v>54999.9999999999</v>
      </c>
      <c r="AF203" s="69" t="n">
        <f aca="false">AE206</f>
        <v>53333.3333333333</v>
      </c>
      <c r="AG203" s="69" t="n">
        <f aca="false">AF206</f>
        <v>51666.6666666666</v>
      </c>
      <c r="AH203" s="69" t="n">
        <f aca="false">AG206</f>
        <v>49999.9999999999</v>
      </c>
      <c r="AI203" s="69" t="n">
        <f aca="false">AH206</f>
        <v>48333.3333333333</v>
      </c>
      <c r="AJ203" s="69" t="n">
        <f aca="false">AI206</f>
        <v>46666.6666666666</v>
      </c>
      <c r="AK203" s="69" t="n">
        <f aca="false">AJ206</f>
        <v>44999.9999999999</v>
      </c>
      <c r="AL203" s="69" t="n">
        <f aca="false">AK206</f>
        <v>43333.3333333333</v>
      </c>
    </row>
    <row r="204" customFormat="false" ht="15" hidden="false" customHeight="false" outlineLevel="0" collapsed="false">
      <c r="A204" s="6" t="s">
        <v>85</v>
      </c>
      <c r="C204" s="69" t="n">
        <f aca="false">IF(C$132=1,Inputs!$C$72,0)</f>
        <v>100000</v>
      </c>
      <c r="D204" s="69" t="n">
        <f aca="false">IF(D$132=1,Inputs!$C$72,0)</f>
        <v>0</v>
      </c>
      <c r="E204" s="69" t="n">
        <f aca="false">IF(E$132=1,Inputs!$C$72,0)</f>
        <v>0</v>
      </c>
      <c r="F204" s="69" t="n">
        <f aca="false">IF(F$132=1,Inputs!$C$72,0)</f>
        <v>0</v>
      </c>
      <c r="G204" s="69" t="n">
        <f aca="false">IF(G$132=1,Inputs!$C$72,0)</f>
        <v>0</v>
      </c>
      <c r="H204" s="69" t="n">
        <f aca="false">IF(H$132=1,Inputs!$C$72,0)</f>
        <v>0</v>
      </c>
      <c r="I204" s="69" t="n">
        <f aca="false">IF(I$132=1,Inputs!$C$72,0)</f>
        <v>0</v>
      </c>
      <c r="J204" s="69" t="n">
        <f aca="false">IF(J$132=1,Inputs!$C$72,0)</f>
        <v>0</v>
      </c>
      <c r="K204" s="69" t="n">
        <f aca="false">IF(K$132=1,Inputs!$C$72,0)</f>
        <v>0</v>
      </c>
      <c r="L204" s="69" t="n">
        <f aca="false">IF(L$132=1,Inputs!$C$72,0)</f>
        <v>0</v>
      </c>
      <c r="M204" s="69" t="n">
        <f aca="false">IF(M$132=1,Inputs!$C$72,0)</f>
        <v>0</v>
      </c>
      <c r="N204" s="69" t="n">
        <f aca="false">IF(N$132=1,Inputs!$C$72,0)</f>
        <v>0</v>
      </c>
      <c r="O204" s="69" t="n">
        <f aca="false">IF(O$132=1,Inputs!$C$72,0)</f>
        <v>0</v>
      </c>
      <c r="P204" s="69" t="n">
        <f aca="false">IF(P$132=1,Inputs!$C$72,0)</f>
        <v>0</v>
      </c>
      <c r="Q204" s="69" t="n">
        <f aca="false">IF(Q$132=1,Inputs!$C$72,0)</f>
        <v>0</v>
      </c>
      <c r="R204" s="69" t="n">
        <f aca="false">IF(R$132=1,Inputs!$C$72,0)</f>
        <v>0</v>
      </c>
      <c r="S204" s="69" t="n">
        <f aca="false">IF(S$132=1,Inputs!$C$72,0)</f>
        <v>0</v>
      </c>
      <c r="T204" s="69" t="n">
        <f aca="false">IF(T$132=1,Inputs!$C$72,0)</f>
        <v>0</v>
      </c>
      <c r="U204" s="69" t="n">
        <f aca="false">IF(U$132=1,Inputs!$C$72,0)</f>
        <v>0</v>
      </c>
      <c r="V204" s="69" t="n">
        <f aca="false">IF(V$132=1,Inputs!$C$72,0)</f>
        <v>0</v>
      </c>
      <c r="W204" s="69" t="n">
        <f aca="false">IF(W$132=1,Inputs!$C$72,0)</f>
        <v>0</v>
      </c>
      <c r="X204" s="69" t="n">
        <f aca="false">IF(X$132=1,Inputs!$C$72,0)</f>
        <v>0</v>
      </c>
      <c r="Y204" s="69" t="n">
        <f aca="false">IF(Y$132=1,Inputs!$C$72,0)</f>
        <v>0</v>
      </c>
      <c r="Z204" s="69" t="n">
        <f aca="false">IF(Z$132=1,Inputs!$C$72,0)</f>
        <v>0</v>
      </c>
      <c r="AA204" s="69" t="n">
        <f aca="false">IF(AA$132=1,Inputs!$C$72,0)</f>
        <v>0</v>
      </c>
      <c r="AB204" s="69" t="n">
        <f aca="false">IF(AB$132=1,Inputs!$C$72,0)</f>
        <v>0</v>
      </c>
      <c r="AC204" s="69" t="n">
        <f aca="false">IF(AC$132=1,Inputs!$C$72,0)</f>
        <v>0</v>
      </c>
      <c r="AD204" s="69" t="n">
        <f aca="false">IF(AD$132=1,Inputs!$C$72,0)</f>
        <v>0</v>
      </c>
      <c r="AE204" s="69" t="n">
        <f aca="false">IF(AE$132=1,Inputs!$C$72,0)</f>
        <v>0</v>
      </c>
      <c r="AF204" s="69" t="n">
        <f aca="false">IF(AF$132=1,Inputs!$C$72,0)</f>
        <v>0</v>
      </c>
      <c r="AG204" s="69" t="n">
        <f aca="false">IF(AG$132=1,Inputs!$C$72,0)</f>
        <v>0</v>
      </c>
      <c r="AH204" s="69" t="n">
        <f aca="false">IF(AH$132=1,Inputs!$C$72,0)</f>
        <v>0</v>
      </c>
      <c r="AI204" s="69" t="n">
        <f aca="false">IF(AI$132=1,Inputs!$C$72,0)</f>
        <v>0</v>
      </c>
      <c r="AJ204" s="69" t="n">
        <f aca="false">IF(AJ$132=1,Inputs!$C$72,0)</f>
        <v>0</v>
      </c>
      <c r="AK204" s="69" t="n">
        <f aca="false">IF(AK$132=1,Inputs!$C$72,0)</f>
        <v>0</v>
      </c>
      <c r="AL204" s="69" t="n">
        <f aca="false">IF(AL$132=1,Inputs!$C$72,0)</f>
        <v>0</v>
      </c>
    </row>
    <row r="205" customFormat="false" ht="15" hidden="false" customHeight="false" outlineLevel="0" collapsed="false">
      <c r="A205" s="6" t="s">
        <v>86</v>
      </c>
      <c r="C205" s="69" t="n">
        <f aca="false">-MIN(C203,Inputs!$C$72/MAX(1,Inputs!$C$74*12))</f>
        <v>-0</v>
      </c>
      <c r="D205" s="69" t="n">
        <f aca="false">-MIN(D203,Inputs!$C$72/MAX(1,Inputs!$C$74*12))</f>
        <v>-1666.66666666667</v>
      </c>
      <c r="E205" s="69" t="n">
        <f aca="false">-MIN(E203,Inputs!$C$72/MAX(1,Inputs!$C$74*12))</f>
        <v>-1666.66666666667</v>
      </c>
      <c r="F205" s="69" t="n">
        <f aca="false">-MIN(F203,Inputs!$C$72/MAX(1,Inputs!$C$74*12))</f>
        <v>-1666.66666666667</v>
      </c>
      <c r="G205" s="69" t="n">
        <f aca="false">-MIN(G203,Inputs!$C$72/MAX(1,Inputs!$C$74*12))</f>
        <v>-1666.66666666667</v>
      </c>
      <c r="H205" s="69" t="n">
        <f aca="false">-MIN(H203,Inputs!$C$72/MAX(1,Inputs!$C$74*12))</f>
        <v>-1666.66666666667</v>
      </c>
      <c r="I205" s="69" t="n">
        <f aca="false">-MIN(I203,Inputs!$C$72/MAX(1,Inputs!$C$74*12))</f>
        <v>-1666.66666666667</v>
      </c>
      <c r="J205" s="69" t="n">
        <f aca="false">-MIN(J203,Inputs!$C$72/MAX(1,Inputs!$C$74*12))</f>
        <v>-1666.66666666667</v>
      </c>
      <c r="K205" s="69" t="n">
        <f aca="false">-MIN(K203,Inputs!$C$72/MAX(1,Inputs!$C$74*12))</f>
        <v>-1666.66666666667</v>
      </c>
      <c r="L205" s="69" t="n">
        <f aca="false">-MIN(L203,Inputs!$C$72/MAX(1,Inputs!$C$74*12))</f>
        <v>-1666.66666666667</v>
      </c>
      <c r="M205" s="69" t="n">
        <f aca="false">-MIN(M203,Inputs!$C$72/MAX(1,Inputs!$C$74*12))</f>
        <v>-1666.66666666667</v>
      </c>
      <c r="N205" s="69" t="n">
        <f aca="false">-MIN(N203,Inputs!$C$72/MAX(1,Inputs!$C$74*12))</f>
        <v>-1666.66666666667</v>
      </c>
      <c r="O205" s="69" t="n">
        <f aca="false">-MIN(O203,Inputs!$C$72/MAX(1,Inputs!$C$74*12))</f>
        <v>-1666.66666666667</v>
      </c>
      <c r="P205" s="69" t="n">
        <f aca="false">-MIN(P203,Inputs!$C$72/MAX(1,Inputs!$C$74*12))</f>
        <v>-1666.66666666667</v>
      </c>
      <c r="Q205" s="69" t="n">
        <f aca="false">-MIN(Q203,Inputs!$C$72/MAX(1,Inputs!$C$74*12))</f>
        <v>-1666.66666666667</v>
      </c>
      <c r="R205" s="69" t="n">
        <f aca="false">-MIN(R203,Inputs!$C$72/MAX(1,Inputs!$C$74*12))</f>
        <v>-1666.66666666667</v>
      </c>
      <c r="S205" s="69" t="n">
        <f aca="false">-MIN(S203,Inputs!$C$72/MAX(1,Inputs!$C$74*12))</f>
        <v>-1666.66666666667</v>
      </c>
      <c r="T205" s="69" t="n">
        <f aca="false">-MIN(T203,Inputs!$C$72/MAX(1,Inputs!$C$74*12))</f>
        <v>-1666.66666666667</v>
      </c>
      <c r="U205" s="69" t="n">
        <f aca="false">-MIN(U203,Inputs!$C$72/MAX(1,Inputs!$C$74*12))</f>
        <v>-1666.66666666667</v>
      </c>
      <c r="V205" s="69" t="n">
        <f aca="false">-MIN(V203,Inputs!$C$72/MAX(1,Inputs!$C$74*12))</f>
        <v>-1666.66666666667</v>
      </c>
      <c r="W205" s="69" t="n">
        <f aca="false">-MIN(W203,Inputs!$C$72/MAX(1,Inputs!$C$74*12))</f>
        <v>-1666.66666666667</v>
      </c>
      <c r="X205" s="69" t="n">
        <f aca="false">-MIN(X203,Inputs!$C$72/MAX(1,Inputs!$C$74*12))</f>
        <v>-1666.66666666667</v>
      </c>
      <c r="Y205" s="69" t="n">
        <f aca="false">-MIN(Y203,Inputs!$C$72/MAX(1,Inputs!$C$74*12))</f>
        <v>-1666.66666666667</v>
      </c>
      <c r="Z205" s="69" t="n">
        <f aca="false">-MIN(Z203,Inputs!$C$72/MAX(1,Inputs!$C$74*12))</f>
        <v>-1666.66666666667</v>
      </c>
      <c r="AA205" s="69" t="n">
        <f aca="false">-MIN(AA203,Inputs!$C$72/MAX(1,Inputs!$C$74*12))</f>
        <v>-1666.66666666667</v>
      </c>
      <c r="AB205" s="69" t="n">
        <f aca="false">-MIN(AB203,Inputs!$C$72/MAX(1,Inputs!$C$74*12))</f>
        <v>-1666.66666666667</v>
      </c>
      <c r="AC205" s="69" t="n">
        <f aca="false">-MIN(AC203,Inputs!$C$72/MAX(1,Inputs!$C$74*12))</f>
        <v>-1666.66666666667</v>
      </c>
      <c r="AD205" s="69" t="n">
        <f aca="false">-MIN(AD203,Inputs!$C$72/MAX(1,Inputs!$C$74*12))</f>
        <v>-1666.66666666667</v>
      </c>
      <c r="AE205" s="69" t="n">
        <f aca="false">-MIN(AE203,Inputs!$C$72/MAX(1,Inputs!$C$74*12))</f>
        <v>-1666.66666666667</v>
      </c>
      <c r="AF205" s="69" t="n">
        <f aca="false">-MIN(AF203,Inputs!$C$72/MAX(1,Inputs!$C$74*12))</f>
        <v>-1666.66666666667</v>
      </c>
      <c r="AG205" s="69" t="n">
        <f aca="false">-MIN(AG203,Inputs!$C$72/MAX(1,Inputs!$C$74*12))</f>
        <v>-1666.66666666667</v>
      </c>
      <c r="AH205" s="69" t="n">
        <f aca="false">-MIN(AH203,Inputs!$C$72/MAX(1,Inputs!$C$74*12))</f>
        <v>-1666.66666666667</v>
      </c>
      <c r="AI205" s="69" t="n">
        <f aca="false">-MIN(AI203,Inputs!$C$72/MAX(1,Inputs!$C$74*12))</f>
        <v>-1666.66666666667</v>
      </c>
      <c r="AJ205" s="69" t="n">
        <f aca="false">-MIN(AJ203,Inputs!$C$72/MAX(1,Inputs!$C$74*12))</f>
        <v>-1666.66666666667</v>
      </c>
      <c r="AK205" s="69" t="n">
        <f aca="false">-MIN(AK203,Inputs!$C$72/MAX(1,Inputs!$C$74*12))</f>
        <v>-1666.66666666667</v>
      </c>
      <c r="AL205" s="69" t="n">
        <f aca="false">-MIN(AL203,Inputs!$C$72/MAX(1,Inputs!$C$74*12))</f>
        <v>-1666.66666666667</v>
      </c>
    </row>
    <row r="206" customFormat="false" ht="15" hidden="false" customHeight="false" outlineLevel="0" collapsed="false">
      <c r="A206" s="4" t="s">
        <v>417</v>
      </c>
      <c r="C206" s="75" t="n">
        <f aca="false">C203+C204+C205</f>
        <v>100000</v>
      </c>
      <c r="D206" s="75" t="n">
        <f aca="false">D203+D204+D205</f>
        <v>98333.3333333333</v>
      </c>
      <c r="E206" s="75" t="n">
        <f aca="false">E203+E204+E205</f>
        <v>96666.6666666667</v>
      </c>
      <c r="F206" s="75" t="n">
        <f aca="false">F203+F204+F205</f>
        <v>95000</v>
      </c>
      <c r="G206" s="75" t="n">
        <f aca="false">G203+G204+G205</f>
        <v>93333.3333333333</v>
      </c>
      <c r="H206" s="75" t="n">
        <f aca="false">H203+H204+H205</f>
        <v>91666.6666666666</v>
      </c>
      <c r="I206" s="75" t="n">
        <f aca="false">I203+I204+I205</f>
        <v>90000</v>
      </c>
      <c r="J206" s="75" t="n">
        <f aca="false">J203+J204+J205</f>
        <v>88333.3333333333</v>
      </c>
      <c r="K206" s="75" t="n">
        <f aca="false">K203+K204+K205</f>
        <v>86666.6666666666</v>
      </c>
      <c r="L206" s="75" t="n">
        <f aca="false">L203+L204+L205</f>
        <v>85000</v>
      </c>
      <c r="M206" s="75" t="n">
        <f aca="false">M203+M204+M205</f>
        <v>83333.3333333333</v>
      </c>
      <c r="N206" s="75" t="n">
        <f aca="false">N203+N204+N205</f>
        <v>81666.6666666666</v>
      </c>
      <c r="O206" s="75" t="n">
        <f aca="false">O203+O204+O205</f>
        <v>79999.9999999999</v>
      </c>
      <c r="P206" s="75" t="n">
        <f aca="false">P203+P204+P205</f>
        <v>78333.3333333333</v>
      </c>
      <c r="Q206" s="75" t="n">
        <f aca="false">Q203+Q204+Q205</f>
        <v>76666.6666666666</v>
      </c>
      <c r="R206" s="75" t="n">
        <f aca="false">R203+R204+R205</f>
        <v>74999.9999999999</v>
      </c>
      <c r="S206" s="75" t="n">
        <f aca="false">S203+S204+S205</f>
        <v>73333.3333333333</v>
      </c>
      <c r="T206" s="75" t="n">
        <f aca="false">T203+T204+T205</f>
        <v>71666.6666666666</v>
      </c>
      <c r="U206" s="75" t="n">
        <f aca="false">U203+U204+U205</f>
        <v>69999.9999999999</v>
      </c>
      <c r="V206" s="75" t="n">
        <f aca="false">V203+V204+V205</f>
        <v>68333.3333333332</v>
      </c>
      <c r="W206" s="75" t="n">
        <f aca="false">W203+W204+W205</f>
        <v>66666.6666666666</v>
      </c>
      <c r="X206" s="75" t="n">
        <f aca="false">X203+X204+X205</f>
        <v>64999.9999999999</v>
      </c>
      <c r="Y206" s="75" t="n">
        <f aca="false">Y203+Y204+Y205</f>
        <v>63333.3333333332</v>
      </c>
      <c r="Z206" s="75" t="n">
        <f aca="false">Z203+Z204+Z205</f>
        <v>61666.6666666666</v>
      </c>
      <c r="AA206" s="75" t="n">
        <f aca="false">AA203+AA204+AA205</f>
        <v>59999.9999999999</v>
      </c>
      <c r="AB206" s="75" t="n">
        <f aca="false">AB203+AB204+AB205</f>
        <v>58333.3333333333</v>
      </c>
      <c r="AC206" s="75" t="n">
        <f aca="false">AC203+AC204+AC205</f>
        <v>56666.6666666666</v>
      </c>
      <c r="AD206" s="75" t="n">
        <f aca="false">AD203+AD204+AD205</f>
        <v>54999.9999999999</v>
      </c>
      <c r="AE206" s="75" t="n">
        <f aca="false">AE203+AE204+AE205</f>
        <v>53333.3333333333</v>
      </c>
      <c r="AF206" s="75" t="n">
        <f aca="false">AF203+AF204+AF205</f>
        <v>51666.6666666666</v>
      </c>
      <c r="AG206" s="75" t="n">
        <f aca="false">AG203+AG204+AG205</f>
        <v>49999.9999999999</v>
      </c>
      <c r="AH206" s="75" t="n">
        <f aca="false">AH203+AH204+AH205</f>
        <v>48333.3333333333</v>
      </c>
      <c r="AI206" s="75" t="n">
        <f aca="false">AI203+AI204+AI205</f>
        <v>46666.6666666666</v>
      </c>
      <c r="AJ206" s="75" t="n">
        <f aca="false">AJ203+AJ204+AJ205</f>
        <v>44999.9999999999</v>
      </c>
      <c r="AK206" s="75" t="n">
        <f aca="false">AK203+AK204+AK205</f>
        <v>43333.3333333333</v>
      </c>
      <c r="AL206" s="75" t="n">
        <f aca="false">AL203+AL204+AL205</f>
        <v>41666.6666666666</v>
      </c>
    </row>
    <row r="208" customFormat="false" ht="15.75" hidden="false" customHeight="true" outlineLevel="0" collapsed="false">
      <c r="A208" s="7" t="s">
        <v>319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customFormat="false" ht="15" hidden="false" customHeight="false" outlineLevel="0" collapsed="false">
      <c r="A209" s="6" t="s">
        <v>90</v>
      </c>
      <c r="C209" s="69" t="n">
        <f aca="false">C159*Inputs!$C$77/30</f>
        <v>1667.12746666667</v>
      </c>
      <c r="D209" s="69" t="n">
        <f aca="false">D159*Inputs!$C$77/30</f>
        <v>1917.19658666667</v>
      </c>
      <c r="E209" s="69" t="n">
        <f aca="false">E159*Inputs!$C$77/30</f>
        <v>2167.26570666667</v>
      </c>
      <c r="F209" s="69" t="n">
        <f aca="false">F159*Inputs!$C$77/30</f>
        <v>2417.33482666667</v>
      </c>
      <c r="G209" s="69" t="n">
        <f aca="false">G159*Inputs!$C$77/30</f>
        <v>2667.40394666667</v>
      </c>
      <c r="H209" s="69" t="n">
        <f aca="false">H159*Inputs!$C$77/30</f>
        <v>3352.86186666667</v>
      </c>
      <c r="I209" s="69" t="n">
        <f aca="false">I159*Inputs!$C$77/30</f>
        <v>3640.25002666667</v>
      </c>
      <c r="J209" s="69" t="n">
        <f aca="false">J159*Inputs!$C$77/30</f>
        <v>3927.63818666667</v>
      </c>
      <c r="K209" s="69" t="n">
        <f aca="false">K159*Inputs!$C$77/30</f>
        <v>3667.68042666667</v>
      </c>
      <c r="L209" s="69" t="n">
        <f aca="false">L159*Inputs!$C$77/30</f>
        <v>3917.74954666667</v>
      </c>
      <c r="M209" s="69" t="n">
        <f aca="false">M159*Inputs!$C$77/30</f>
        <v>4167.81866666667</v>
      </c>
      <c r="N209" s="69" t="n">
        <f aca="false">N159*Inputs!$C$77/30</f>
        <v>4789.80266666667</v>
      </c>
      <c r="O209" s="69" t="n">
        <f aca="false">O159*Inputs!$C$77/30</f>
        <v>4421.63882346667</v>
      </c>
      <c r="P209" s="69" t="n">
        <f aca="false">P159*Inputs!$C$77/30</f>
        <v>4421.63882346667</v>
      </c>
      <c r="Q209" s="69" t="n">
        <f aca="false">Q159*Inputs!$C$77/30</f>
        <v>4421.63882346667</v>
      </c>
      <c r="R209" s="69" t="n">
        <f aca="false">R159*Inputs!$C$77/30</f>
        <v>4421.63882346667</v>
      </c>
      <c r="S209" s="69" t="n">
        <f aca="false">S159*Inputs!$C$77/30</f>
        <v>4421.63882346667</v>
      </c>
      <c r="T209" s="69" t="n">
        <f aca="false">T159*Inputs!$C$77/30</f>
        <v>5081.50164906667</v>
      </c>
      <c r="U209" s="69" t="n">
        <f aca="false">U159*Inputs!$C$77/30</f>
        <v>5081.50164906667</v>
      </c>
      <c r="V209" s="69" t="n">
        <f aca="false">V159*Inputs!$C$77/30</f>
        <v>5081.50164906667</v>
      </c>
      <c r="W209" s="69" t="n">
        <f aca="false">W159*Inputs!$C$77/30</f>
        <v>4421.63882346667</v>
      </c>
      <c r="X209" s="69" t="n">
        <f aca="false">X159*Inputs!$C$77/30</f>
        <v>4421.63882346667</v>
      </c>
      <c r="Y209" s="69" t="n">
        <f aca="false">Y159*Inputs!$C$77/30</f>
        <v>4421.63882346667</v>
      </c>
      <c r="Z209" s="69" t="n">
        <f aca="false">Z159*Inputs!$C$77/30</f>
        <v>5081.50164906667</v>
      </c>
      <c r="AA209" s="69" t="n">
        <f aca="false">AA159*Inputs!$C$77/30</f>
        <v>4690.91662781579</v>
      </c>
      <c r="AB209" s="69" t="n">
        <f aca="false">AB159*Inputs!$C$77/30</f>
        <v>4690.91662781579</v>
      </c>
      <c r="AC209" s="69" t="n">
        <f aca="false">AC159*Inputs!$C$77/30</f>
        <v>4690.91662781579</v>
      </c>
      <c r="AD209" s="69" t="n">
        <f aca="false">AD159*Inputs!$C$77/30</f>
        <v>4690.91662781579</v>
      </c>
      <c r="AE209" s="69" t="n">
        <f aca="false">AE159*Inputs!$C$77/30</f>
        <v>4690.91662781579</v>
      </c>
      <c r="AF209" s="69" t="n">
        <f aca="false">AF159*Inputs!$C$77/30</f>
        <v>5390.96509949483</v>
      </c>
      <c r="AG209" s="69" t="n">
        <f aca="false">AG159*Inputs!$C$77/30</f>
        <v>5390.96509949483</v>
      </c>
      <c r="AH209" s="69" t="n">
        <f aca="false">AH159*Inputs!$C$77/30</f>
        <v>5390.96509949483</v>
      </c>
      <c r="AI209" s="69" t="n">
        <f aca="false">AI159*Inputs!$C$77/30</f>
        <v>4690.91662781579</v>
      </c>
      <c r="AJ209" s="69" t="n">
        <f aca="false">AJ159*Inputs!$C$77/30</f>
        <v>4690.91662781579</v>
      </c>
      <c r="AK209" s="69" t="n">
        <f aca="false">AK159*Inputs!$C$77/30</f>
        <v>4690.91662781579</v>
      </c>
      <c r="AL209" s="69" t="n">
        <f aca="false">AL159*Inputs!$C$77/30</f>
        <v>5390.96509949483</v>
      </c>
    </row>
    <row r="210" customFormat="false" ht="15" hidden="false" customHeight="false" outlineLevel="0" collapsed="false">
      <c r="A210" s="6" t="s">
        <v>91</v>
      </c>
      <c r="C210" s="69" t="n">
        <f aca="false">-C167*Inputs!$C$78/30</f>
        <v>2194.04074666667</v>
      </c>
      <c r="D210" s="69" t="n">
        <f aca="false">-D167*Inputs!$C$78/30</f>
        <v>2408.14685866667</v>
      </c>
      <c r="E210" s="69" t="n">
        <f aca="false">-E167*Inputs!$C$78/30</f>
        <v>2622.25297066667</v>
      </c>
      <c r="F210" s="69" t="n">
        <f aca="false">-F167*Inputs!$C$78/30</f>
        <v>2836.35908266667</v>
      </c>
      <c r="G210" s="69" t="n">
        <f aca="false">-G167*Inputs!$C$78/30</f>
        <v>3050.46519466667</v>
      </c>
      <c r="H210" s="69" t="n">
        <f aca="false">-H167*Inputs!$C$78/30</f>
        <v>3407.06218666667</v>
      </c>
      <c r="I210" s="69" t="n">
        <f aca="false">-I167*Inputs!$C$78/30</f>
        <v>3633.38180266667</v>
      </c>
      <c r="J210" s="69" t="n">
        <f aca="false">-J167*Inputs!$C$78/30</f>
        <v>3859.70141866667</v>
      </c>
      <c r="K210" s="69" t="n">
        <f aca="false">-K167*Inputs!$C$78/30</f>
        <v>3906.88964266667</v>
      </c>
      <c r="L210" s="69" t="n">
        <f aca="false">-L167*Inputs!$C$78/30</f>
        <v>4120.99575466667</v>
      </c>
      <c r="M210" s="69" t="n">
        <f aca="false">-M167*Inputs!$C$78/30</f>
        <v>4335.10186666667</v>
      </c>
      <c r="N210" s="69" t="n">
        <f aca="false">-N167*Inputs!$C$78/30</f>
        <v>4538.66026666667</v>
      </c>
      <c r="O210" s="69" t="n">
        <f aca="false">-O167*Inputs!$C$78/30</f>
        <v>4575.41957034667</v>
      </c>
      <c r="P210" s="69" t="n">
        <f aca="false">-P167*Inputs!$C$78/30</f>
        <v>4575.41957034667</v>
      </c>
      <c r="Q210" s="69" t="n">
        <f aca="false">-Q167*Inputs!$C$78/30</f>
        <v>4575.41957034667</v>
      </c>
      <c r="R210" s="69" t="n">
        <f aca="false">-R167*Inputs!$C$78/30</f>
        <v>4575.41957034667</v>
      </c>
      <c r="S210" s="69" t="n">
        <f aca="false">-S167*Inputs!$C$78/30</f>
        <v>4575.41957034667</v>
      </c>
      <c r="T210" s="69" t="n">
        <f aca="false">-T167*Inputs!$C$78/30</f>
        <v>4791.37467690667</v>
      </c>
      <c r="U210" s="69" t="n">
        <f aca="false">-U167*Inputs!$C$78/30</f>
        <v>4791.37467690667</v>
      </c>
      <c r="V210" s="69" t="n">
        <f aca="false">-V167*Inputs!$C$78/30</f>
        <v>4791.37467690667</v>
      </c>
      <c r="W210" s="69" t="n">
        <f aca="false">-W167*Inputs!$C$78/30</f>
        <v>4575.41957034667</v>
      </c>
      <c r="X210" s="69" t="n">
        <f aca="false">-X167*Inputs!$C$78/30</f>
        <v>4575.41957034667</v>
      </c>
      <c r="Y210" s="69" t="n">
        <f aca="false">-Y167*Inputs!$C$78/30</f>
        <v>4575.41957034667</v>
      </c>
      <c r="Z210" s="69" t="n">
        <f aca="false">-Z167*Inputs!$C$78/30</f>
        <v>4791.37467690667</v>
      </c>
      <c r="AA210" s="69" t="n">
        <f aca="false">-AA167*Inputs!$C$78/30</f>
        <v>4829.66192218078</v>
      </c>
      <c r="AB210" s="69" t="n">
        <f aca="false">-AB167*Inputs!$C$78/30</f>
        <v>4829.66192218078</v>
      </c>
      <c r="AC210" s="69" t="n">
        <f aca="false">-AC167*Inputs!$C$78/30</f>
        <v>4829.66192218078</v>
      </c>
      <c r="AD210" s="69" t="n">
        <f aca="false">-AD167*Inputs!$C$78/30</f>
        <v>4829.66192218078</v>
      </c>
      <c r="AE210" s="69" t="n">
        <f aca="false">-AE167*Inputs!$C$78/30</f>
        <v>4829.66192218078</v>
      </c>
      <c r="AF210" s="69" t="n">
        <f aca="false">-AF167*Inputs!$C$78/30</f>
        <v>5058.76869473028</v>
      </c>
      <c r="AG210" s="69" t="n">
        <f aca="false">-AG167*Inputs!$C$78/30</f>
        <v>5058.76869473028</v>
      </c>
      <c r="AH210" s="69" t="n">
        <f aca="false">-AH167*Inputs!$C$78/30</f>
        <v>5058.76869473028</v>
      </c>
      <c r="AI210" s="69" t="n">
        <f aca="false">-AI167*Inputs!$C$78/30</f>
        <v>4829.66192218078</v>
      </c>
      <c r="AJ210" s="69" t="n">
        <f aca="false">-AJ167*Inputs!$C$78/30</f>
        <v>4829.66192218078</v>
      </c>
      <c r="AK210" s="69" t="n">
        <f aca="false">-AK167*Inputs!$C$78/30</f>
        <v>4829.66192218078</v>
      </c>
      <c r="AL210" s="69" t="n">
        <f aca="false">-AL167*Inputs!$C$78/30</f>
        <v>5058.76869473028</v>
      </c>
    </row>
    <row r="211" customFormat="false" ht="15" hidden="false" customHeight="false" outlineLevel="0" collapsed="false">
      <c r="A211" s="6" t="s">
        <v>94</v>
      </c>
      <c r="C211" s="69" t="n">
        <f aca="false">-C167*Inputs!$C$79/30</f>
        <v>9141.83644444444</v>
      </c>
      <c r="D211" s="69" t="n">
        <f aca="false">-D167*Inputs!$C$79/30</f>
        <v>10033.9452444444</v>
      </c>
      <c r="E211" s="69" t="n">
        <f aca="false">-E167*Inputs!$C$79/30</f>
        <v>10926.0540444444</v>
      </c>
      <c r="F211" s="69" t="n">
        <f aca="false">-F167*Inputs!$C$79/30</f>
        <v>11818.1628444444</v>
      </c>
      <c r="G211" s="69" t="n">
        <f aca="false">-G167*Inputs!$C$79/30</f>
        <v>12710.2716444444</v>
      </c>
      <c r="H211" s="69" t="n">
        <f aca="false">-H167*Inputs!$C$79/30</f>
        <v>14196.0924444444</v>
      </c>
      <c r="I211" s="69" t="n">
        <f aca="false">-I167*Inputs!$C$79/30</f>
        <v>15139.0908444444</v>
      </c>
      <c r="J211" s="69" t="n">
        <f aca="false">-J167*Inputs!$C$79/30</f>
        <v>16082.0892444444</v>
      </c>
      <c r="K211" s="69" t="n">
        <f aca="false">-K167*Inputs!$C$79/30</f>
        <v>16278.7068444444</v>
      </c>
      <c r="L211" s="69" t="n">
        <f aca="false">-L167*Inputs!$C$79/30</f>
        <v>17170.8156444444</v>
      </c>
      <c r="M211" s="69" t="n">
        <f aca="false">-M167*Inputs!$C$79/30</f>
        <v>18062.9244444444</v>
      </c>
      <c r="N211" s="69" t="n">
        <f aca="false">-N167*Inputs!$C$79/30</f>
        <v>18911.0844444444</v>
      </c>
      <c r="O211" s="69" t="n">
        <f aca="false">-O167*Inputs!$C$79/30</f>
        <v>19064.2482097778</v>
      </c>
      <c r="P211" s="69" t="n">
        <f aca="false">-P167*Inputs!$C$79/30</f>
        <v>19064.2482097778</v>
      </c>
      <c r="Q211" s="69" t="n">
        <f aca="false">-Q167*Inputs!$C$79/30</f>
        <v>19064.2482097778</v>
      </c>
      <c r="R211" s="69" t="n">
        <f aca="false">-R167*Inputs!$C$79/30</f>
        <v>19064.2482097778</v>
      </c>
      <c r="S211" s="69" t="n">
        <f aca="false">-S167*Inputs!$C$79/30</f>
        <v>19064.2482097778</v>
      </c>
      <c r="T211" s="69" t="n">
        <f aca="false">-T167*Inputs!$C$79/30</f>
        <v>19964.0611537778</v>
      </c>
      <c r="U211" s="69" t="n">
        <f aca="false">-U167*Inputs!$C$79/30</f>
        <v>19964.0611537778</v>
      </c>
      <c r="V211" s="69" t="n">
        <f aca="false">-V167*Inputs!$C$79/30</f>
        <v>19964.0611537778</v>
      </c>
      <c r="W211" s="69" t="n">
        <f aca="false">-W167*Inputs!$C$79/30</f>
        <v>19064.2482097778</v>
      </c>
      <c r="X211" s="69" t="n">
        <f aca="false">-X167*Inputs!$C$79/30</f>
        <v>19064.2482097778</v>
      </c>
      <c r="Y211" s="69" t="n">
        <f aca="false">-Y167*Inputs!$C$79/30</f>
        <v>19064.2482097778</v>
      </c>
      <c r="Z211" s="69" t="n">
        <f aca="false">-Z167*Inputs!$C$79/30</f>
        <v>19964.0611537778</v>
      </c>
      <c r="AA211" s="69" t="n">
        <f aca="false">-AA167*Inputs!$C$79/30</f>
        <v>20123.5913424199</v>
      </c>
      <c r="AB211" s="69" t="n">
        <f aca="false">-AB167*Inputs!$C$79/30</f>
        <v>20123.5913424199</v>
      </c>
      <c r="AC211" s="69" t="n">
        <f aca="false">-AC167*Inputs!$C$79/30</f>
        <v>20123.5913424199</v>
      </c>
      <c r="AD211" s="69" t="n">
        <f aca="false">-AD167*Inputs!$C$79/30</f>
        <v>20123.5913424199</v>
      </c>
      <c r="AE211" s="69" t="n">
        <f aca="false">-AE167*Inputs!$C$79/30</f>
        <v>20123.5913424199</v>
      </c>
      <c r="AF211" s="69" t="n">
        <f aca="false">-AF167*Inputs!$C$79/30</f>
        <v>21078.2028947095</v>
      </c>
      <c r="AG211" s="69" t="n">
        <f aca="false">-AG167*Inputs!$C$79/30</f>
        <v>21078.2028947095</v>
      </c>
      <c r="AH211" s="69" t="n">
        <f aca="false">-AH167*Inputs!$C$79/30</f>
        <v>21078.2028947095</v>
      </c>
      <c r="AI211" s="69" t="n">
        <f aca="false">-AI167*Inputs!$C$79/30</f>
        <v>20123.5913424199</v>
      </c>
      <c r="AJ211" s="69" t="n">
        <f aca="false">-AJ167*Inputs!$C$79/30</f>
        <v>20123.5913424199</v>
      </c>
      <c r="AK211" s="69" t="n">
        <f aca="false">-AK167*Inputs!$C$79/30</f>
        <v>20123.5913424199</v>
      </c>
      <c r="AL211" s="69" t="n">
        <f aca="false">-AL167*Inputs!$C$79/30</f>
        <v>21078.2028947095</v>
      </c>
    </row>
    <row r="212" customFormat="false" ht="15" hidden="false" customHeight="false" outlineLevel="0" collapsed="false">
      <c r="A212" s="6" t="s">
        <v>342</v>
      </c>
      <c r="C212" s="69" t="n">
        <f aca="false">-C209</f>
        <v>-1667.12746666667</v>
      </c>
      <c r="D212" s="69" t="n">
        <f aca="false">C209-D209</f>
        <v>-250.06912</v>
      </c>
      <c r="E212" s="69" t="n">
        <f aca="false">D209-E209</f>
        <v>-250.069120000001</v>
      </c>
      <c r="F212" s="69" t="n">
        <f aca="false">E209-F209</f>
        <v>-250.06912</v>
      </c>
      <c r="G212" s="69" t="n">
        <f aca="false">F209-G209</f>
        <v>-250.06912</v>
      </c>
      <c r="H212" s="69" t="n">
        <f aca="false">G209-H209</f>
        <v>-685.457919999999</v>
      </c>
      <c r="I212" s="69" t="n">
        <f aca="false">H209-I209</f>
        <v>-287.38816</v>
      </c>
      <c r="J212" s="69" t="n">
        <f aca="false">I209-J209</f>
        <v>-287.38816</v>
      </c>
      <c r="K212" s="69" t="n">
        <f aca="false">J209-K209</f>
        <v>259.957760000001</v>
      </c>
      <c r="L212" s="69" t="n">
        <f aca="false">K209-L209</f>
        <v>-250.06912</v>
      </c>
      <c r="M212" s="69" t="n">
        <f aca="false">L209-M209</f>
        <v>-250.069120000001</v>
      </c>
      <c r="N212" s="69" t="n">
        <f aca="false">M209-N209</f>
        <v>-621.984</v>
      </c>
      <c r="O212" s="69" t="n">
        <f aca="false">N209-O209</f>
        <v>368.163843200001</v>
      </c>
      <c r="P212" s="69" t="n">
        <f aca="false">O209-P209</f>
        <v>0</v>
      </c>
      <c r="Q212" s="69" t="n">
        <f aca="false">P209-Q209</f>
        <v>0</v>
      </c>
      <c r="R212" s="69" t="n">
        <f aca="false">Q209-R209</f>
        <v>0</v>
      </c>
      <c r="S212" s="69" t="n">
        <f aca="false">R209-S209</f>
        <v>0</v>
      </c>
      <c r="T212" s="69" t="n">
        <f aca="false">S209-T209</f>
        <v>-659.862825599999</v>
      </c>
      <c r="U212" s="69" t="n">
        <f aca="false">T209-U209</f>
        <v>0</v>
      </c>
      <c r="V212" s="69" t="n">
        <f aca="false">U209-V209</f>
        <v>0</v>
      </c>
      <c r="W212" s="69" t="n">
        <f aca="false">V209-W209</f>
        <v>659.862825599999</v>
      </c>
      <c r="X212" s="69" t="n">
        <f aca="false">W209-X209</f>
        <v>0</v>
      </c>
      <c r="Y212" s="69" t="n">
        <f aca="false">X209-Y209</f>
        <v>0</v>
      </c>
      <c r="Z212" s="69" t="n">
        <f aca="false">Y209-Z209</f>
        <v>-659.862825599999</v>
      </c>
      <c r="AA212" s="69" t="n">
        <f aca="false">Z209-AA209</f>
        <v>390.58502125088</v>
      </c>
      <c r="AB212" s="69" t="n">
        <f aca="false">AA209-AB209</f>
        <v>0</v>
      </c>
      <c r="AC212" s="69" t="n">
        <f aca="false">AB209-AC209</f>
        <v>0</v>
      </c>
      <c r="AD212" s="69" t="n">
        <f aca="false">AC209-AD209</f>
        <v>0</v>
      </c>
      <c r="AE212" s="69" t="n">
        <f aca="false">AD209-AE209</f>
        <v>0</v>
      </c>
      <c r="AF212" s="69" t="n">
        <f aca="false">AE209-AF209</f>
        <v>-700.048471679041</v>
      </c>
      <c r="AG212" s="69" t="n">
        <f aca="false">AF209-AG209</f>
        <v>0</v>
      </c>
      <c r="AH212" s="69" t="n">
        <f aca="false">AG209-AH209</f>
        <v>0</v>
      </c>
      <c r="AI212" s="69" t="n">
        <f aca="false">AH209-AI209</f>
        <v>700.048471679041</v>
      </c>
      <c r="AJ212" s="69" t="n">
        <f aca="false">AI209-AJ209</f>
        <v>0</v>
      </c>
      <c r="AK212" s="69" t="n">
        <f aca="false">AJ209-AK209</f>
        <v>0</v>
      </c>
      <c r="AL212" s="69" t="n">
        <f aca="false">AK209-AL209</f>
        <v>-700.048471679041</v>
      </c>
    </row>
    <row r="213" customFormat="false" ht="15" hidden="false" customHeight="false" outlineLevel="0" collapsed="false">
      <c r="A213" s="6" t="s">
        <v>343</v>
      </c>
      <c r="C213" s="69" t="n">
        <f aca="false">-C210</f>
        <v>-2194.04074666667</v>
      </c>
      <c r="D213" s="69" t="n">
        <f aca="false">C210-D210</f>
        <v>-214.106112</v>
      </c>
      <c r="E213" s="69" t="n">
        <f aca="false">D210-E210</f>
        <v>-214.106112</v>
      </c>
      <c r="F213" s="69" t="n">
        <f aca="false">E210-F210</f>
        <v>-214.106112</v>
      </c>
      <c r="G213" s="69" t="n">
        <f aca="false">F210-G210</f>
        <v>-214.106111999999</v>
      </c>
      <c r="H213" s="69" t="n">
        <f aca="false">G210-H210</f>
        <v>-356.596992</v>
      </c>
      <c r="I213" s="69" t="n">
        <f aca="false">H210-I210</f>
        <v>-226.319615999999</v>
      </c>
      <c r="J213" s="69" t="n">
        <f aca="false">I210-J210</f>
        <v>-226.319616000001</v>
      </c>
      <c r="K213" s="69" t="n">
        <f aca="false">J210-K210</f>
        <v>-47.188224</v>
      </c>
      <c r="L213" s="69" t="n">
        <f aca="false">K210-L210</f>
        <v>-214.106111999999</v>
      </c>
      <c r="M213" s="69" t="n">
        <f aca="false">L210-M210</f>
        <v>-214.106112</v>
      </c>
      <c r="N213" s="69" t="n">
        <f aca="false">M210-N210</f>
        <v>-203.558400000001</v>
      </c>
      <c r="O213" s="69" t="n">
        <f aca="false">N210-O210</f>
        <v>-36.7593036799999</v>
      </c>
      <c r="P213" s="69" t="n">
        <f aca="false">O210-P210</f>
        <v>0</v>
      </c>
      <c r="Q213" s="69" t="n">
        <f aca="false">P210-Q210</f>
        <v>0</v>
      </c>
      <c r="R213" s="69" t="n">
        <f aca="false">Q210-R210</f>
        <v>0</v>
      </c>
      <c r="S213" s="69" t="n">
        <f aca="false">R210-S210</f>
        <v>0</v>
      </c>
      <c r="T213" s="69" t="n">
        <f aca="false">S210-T210</f>
        <v>-215.95510656</v>
      </c>
      <c r="U213" s="69" t="n">
        <f aca="false">T210-U210</f>
        <v>0</v>
      </c>
      <c r="V213" s="69" t="n">
        <f aca="false">U210-V210</f>
        <v>0</v>
      </c>
      <c r="W213" s="69" t="n">
        <f aca="false">V210-W210</f>
        <v>215.95510656</v>
      </c>
      <c r="X213" s="69" t="n">
        <f aca="false">W210-X210</f>
        <v>0</v>
      </c>
      <c r="Y213" s="69" t="n">
        <f aca="false">X210-Y210</f>
        <v>0</v>
      </c>
      <c r="Z213" s="69" t="n">
        <f aca="false">Y210-Z210</f>
        <v>-215.95510656</v>
      </c>
      <c r="AA213" s="69" t="n">
        <f aca="false">Z210-AA210</f>
        <v>-38.2872452741112</v>
      </c>
      <c r="AB213" s="69" t="n">
        <f aca="false">AA210-AB210</f>
        <v>0</v>
      </c>
      <c r="AC213" s="69" t="n">
        <f aca="false">AB210-AC210</f>
        <v>0</v>
      </c>
      <c r="AD213" s="69" t="n">
        <f aca="false">AC210-AD210</f>
        <v>0</v>
      </c>
      <c r="AE213" s="69" t="n">
        <f aca="false">AD210-AE210</f>
        <v>0</v>
      </c>
      <c r="AF213" s="69" t="n">
        <f aca="false">AE210-AF210</f>
        <v>-229.106772549504</v>
      </c>
      <c r="AG213" s="69" t="n">
        <f aca="false">AF210-AG210</f>
        <v>0</v>
      </c>
      <c r="AH213" s="69" t="n">
        <f aca="false">AG210-AH210</f>
        <v>0</v>
      </c>
      <c r="AI213" s="69" t="n">
        <f aca="false">AH210-AI210</f>
        <v>229.106772549504</v>
      </c>
      <c r="AJ213" s="69" t="n">
        <f aca="false">AI210-AJ210</f>
        <v>0</v>
      </c>
      <c r="AK213" s="69" t="n">
        <f aca="false">AJ210-AK210</f>
        <v>0</v>
      </c>
      <c r="AL213" s="69" t="n">
        <f aca="false">AK210-AL210</f>
        <v>-229.106772549504</v>
      </c>
    </row>
    <row r="214" customFormat="false" ht="15" hidden="false" customHeight="false" outlineLevel="0" collapsed="false">
      <c r="A214" s="6" t="s">
        <v>344</v>
      </c>
      <c r="C214" s="69" t="n">
        <f aca="false">C211</f>
        <v>9141.83644444444</v>
      </c>
      <c r="D214" s="69" t="n">
        <f aca="false">D211-C211</f>
        <v>892.108800000004</v>
      </c>
      <c r="E214" s="69" t="n">
        <f aca="false">E211-D211</f>
        <v>892.1088</v>
      </c>
      <c r="F214" s="69" t="n">
        <f aca="false">F211-E211</f>
        <v>892.108800000002</v>
      </c>
      <c r="G214" s="69" t="n">
        <f aca="false">G211-F211</f>
        <v>892.1088</v>
      </c>
      <c r="H214" s="69" t="n">
        <f aca="false">H211-G211</f>
        <v>1485.8208</v>
      </c>
      <c r="I214" s="69" t="n">
        <f aca="false">I211-H211</f>
        <v>942.998399999999</v>
      </c>
      <c r="J214" s="69" t="n">
        <f aca="false">J211-I211</f>
        <v>942.998400000004</v>
      </c>
      <c r="K214" s="69" t="n">
        <f aca="false">K211-J211</f>
        <v>196.6176</v>
      </c>
      <c r="L214" s="69" t="n">
        <f aca="false">L211-K211</f>
        <v>892.108799999995</v>
      </c>
      <c r="M214" s="69" t="n">
        <f aca="false">M211-L211</f>
        <v>892.108800000002</v>
      </c>
      <c r="N214" s="69" t="n">
        <f aca="false">N211-M211</f>
        <v>848.160000000004</v>
      </c>
      <c r="O214" s="69" t="n">
        <f aca="false">O211-N211</f>
        <v>153.163765333331</v>
      </c>
      <c r="P214" s="69" t="n">
        <f aca="false">P211-O211</f>
        <v>0</v>
      </c>
      <c r="Q214" s="69" t="n">
        <f aca="false">Q211-P211</f>
        <v>0</v>
      </c>
      <c r="R214" s="69" t="n">
        <f aca="false">R211-Q211</f>
        <v>0</v>
      </c>
      <c r="S214" s="69" t="n">
        <f aca="false">S211-R211</f>
        <v>0</v>
      </c>
      <c r="T214" s="69" t="n">
        <f aca="false">T211-S211</f>
        <v>899.812944000001</v>
      </c>
      <c r="U214" s="69" t="n">
        <f aca="false">U211-T211</f>
        <v>0</v>
      </c>
      <c r="V214" s="69" t="n">
        <f aca="false">V211-U211</f>
        <v>0</v>
      </c>
      <c r="W214" s="69" t="n">
        <f aca="false">W211-V211</f>
        <v>-899.812944000001</v>
      </c>
      <c r="X214" s="69" t="n">
        <f aca="false">X211-W211</f>
        <v>0</v>
      </c>
      <c r="Y214" s="69" t="n">
        <f aca="false">Y211-X211</f>
        <v>0</v>
      </c>
      <c r="Z214" s="69" t="n">
        <f aca="false">Z211-Y211</f>
        <v>899.812944000001</v>
      </c>
      <c r="AA214" s="69" t="n">
        <f aca="false">AA211-Z211</f>
        <v>159.530188642129</v>
      </c>
      <c r="AB214" s="69" t="n">
        <f aca="false">AB211-AA211</f>
        <v>0</v>
      </c>
      <c r="AC214" s="69" t="n">
        <f aca="false">AC211-AB211</f>
        <v>0</v>
      </c>
      <c r="AD214" s="69" t="n">
        <f aca="false">AD211-AC211</f>
        <v>0</v>
      </c>
      <c r="AE214" s="69" t="n">
        <f aca="false">AE211-AD211</f>
        <v>0</v>
      </c>
      <c r="AF214" s="69" t="n">
        <f aca="false">AF211-AE211</f>
        <v>954.611552289596</v>
      </c>
      <c r="AG214" s="69" t="n">
        <f aca="false">AG211-AF211</f>
        <v>0</v>
      </c>
      <c r="AH214" s="69" t="n">
        <f aca="false">AH211-AG211</f>
        <v>0</v>
      </c>
      <c r="AI214" s="69" t="n">
        <f aca="false">AI211-AH211</f>
        <v>-954.611552289596</v>
      </c>
      <c r="AJ214" s="69" t="n">
        <f aca="false">AJ211-AI211</f>
        <v>0</v>
      </c>
      <c r="AK214" s="69" t="n">
        <f aca="false">AK211-AJ211</f>
        <v>0</v>
      </c>
      <c r="AL214" s="69" t="n">
        <f aca="false">AL211-AK211</f>
        <v>954.611552289596</v>
      </c>
    </row>
    <row r="216" customFormat="false" ht="15.75" hidden="false" customHeight="true" outlineLevel="0" collapsed="false">
      <c r="A216" s="7" t="s">
        <v>418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customFormat="false" ht="15" hidden="false" customHeight="false" outlineLevel="0" collapsed="false">
      <c r="A217" s="4" t="s">
        <v>52</v>
      </c>
      <c r="C217" s="75" t="n">
        <f aca="false">C187-C198+C212+C213+C214</f>
        <v>-16920.3308622222</v>
      </c>
      <c r="D217" s="75" t="n">
        <f aca="false">D187-D198+D212+D213+D214</f>
        <v>-19198.8403893333</v>
      </c>
      <c r="E217" s="75" t="n">
        <f aca="false">E187-E198+E212+E213+E214</f>
        <v>-16618.3652533333</v>
      </c>
      <c r="F217" s="75" t="n">
        <f aca="false">F187-F198+F212+F213+F214</f>
        <v>-14037.8901173333</v>
      </c>
      <c r="G217" s="75" t="n">
        <f aca="false">G187-G198+G212+G213+G214</f>
        <v>-11457.4149813333</v>
      </c>
      <c r="H217" s="75" t="n">
        <f aca="false">H187-H198+H212+H213+H214</f>
        <v>-3238.65488533334</v>
      </c>
      <c r="I217" s="75" t="n">
        <f aca="false">I187-I198+I212+I213+I214</f>
        <v>-190.730501333334</v>
      </c>
      <c r="J217" s="75" t="n">
        <f aca="false">J187-J198+J212+J213+J214</f>
        <v>2871.66914666667</v>
      </c>
      <c r="K217" s="75" t="n">
        <f aca="false">K187-K198+K212+K213+K214</f>
        <v>-1154.06086933334</v>
      </c>
      <c r="L217" s="75" t="n">
        <f aca="false">L187-L198+L212+L213+L214</f>
        <v>1444.96069866666</v>
      </c>
      <c r="M217" s="75" t="n">
        <f aca="false">M187-M198+M212+M213+M214</f>
        <v>4025.43583466666</v>
      </c>
      <c r="N217" s="75" t="n">
        <f aca="false">N187-N198+N212+N213+N214</f>
        <v>11664.6950666667</v>
      </c>
      <c r="O217" s="75" t="n">
        <f aca="false">O187-O198+O212+O213+O214</f>
        <v>6361.44033456</v>
      </c>
      <c r="P217" s="75" t="n">
        <f aca="false">P187-P198+P212+P213+P214</f>
        <v>5889.37202970667</v>
      </c>
      <c r="Q217" s="75" t="n">
        <f aca="false">Q187-Q198+Q212+Q213+Q214</f>
        <v>5901.87202970667</v>
      </c>
      <c r="R217" s="75" t="n">
        <f aca="false">R187-R198+R212+R213+R214</f>
        <v>5914.37202970667</v>
      </c>
      <c r="S217" s="75" t="n">
        <f aca="false">S187-S198+S212+S213+S214</f>
        <v>5926.87202970667</v>
      </c>
      <c r="T217" s="75" t="n">
        <f aca="false">T187-T198+T212+T213+T214</f>
        <v>14484.5956212267</v>
      </c>
      <c r="U217" s="75" t="n">
        <f aca="false">U187-U198+U212+U213+U214</f>
        <v>14473.1006093867</v>
      </c>
      <c r="V217" s="75" t="n">
        <f aca="false">V187-V198+V212+V213+V214</f>
        <v>14485.6006093867</v>
      </c>
      <c r="W217" s="75" t="n">
        <f aca="false">W187-W198+W212+W213+W214</f>
        <v>5952.87701786667</v>
      </c>
      <c r="X217" s="75" t="n">
        <f aca="false">X187-X198+X212+X213+X214</f>
        <v>5989.37202970667</v>
      </c>
      <c r="Y217" s="75" t="n">
        <f aca="false">Y187-Y198+Y212+Y213+Y214</f>
        <v>6001.87202970667</v>
      </c>
      <c r="Z217" s="75" t="n">
        <f aca="false">Z187-Z198+Z212+Z213+Z214</f>
        <v>14559.5956212267</v>
      </c>
      <c r="AA217" s="75" t="n">
        <f aca="false">AA187-AA198+AA212+AA213+AA214</f>
        <v>8780.24153843469</v>
      </c>
      <c r="AB217" s="75" t="n">
        <f aca="false">AB187-AB198+AB212+AB213+AB214</f>
        <v>8280.91357381579</v>
      </c>
      <c r="AC217" s="75" t="n">
        <f aca="false">AC187-AC198+AC212+AC213+AC214</f>
        <v>7694.55221155984</v>
      </c>
      <c r="AD217" s="75" t="n">
        <f aca="false">AD187-AD198+AD212+AD213+AD214</f>
        <v>7018.85922331448</v>
      </c>
      <c r="AE217" s="75" t="n">
        <f aca="false">AE187-AE198+AE212+AE213+AE214</f>
        <v>7028.73422331448</v>
      </c>
      <c r="AF217" s="75" t="n">
        <f aca="false">AF187-AF198+AF212+AF213+AF214</f>
        <v>14205.8009375197</v>
      </c>
      <c r="AG217" s="75" t="n">
        <f aca="false">AG187-AG198+AG212+AG213+AG214</f>
        <v>14190.2196294587</v>
      </c>
      <c r="AH217" s="75" t="n">
        <f aca="false">AH187-AH198+AH212+AH213+AH214</f>
        <v>14200.0946294587</v>
      </c>
      <c r="AI217" s="75" t="n">
        <f aca="false">AI187-AI198+AI212+AI213+AI214</f>
        <v>7042.77791525342</v>
      </c>
      <c r="AJ217" s="75" t="n">
        <f aca="false">AJ187-AJ198+AJ212+AJ213+AJ214</f>
        <v>7078.10922331448</v>
      </c>
      <c r="AK217" s="75" t="n">
        <f aca="false">AK187-AK198+AK212+AK213+AK214</f>
        <v>7087.98422331448</v>
      </c>
      <c r="AL217" s="75" t="n">
        <f aca="false">AL187-AL198+AL212+AL213+AL214</f>
        <v>14265.0509375197</v>
      </c>
    </row>
    <row r="218" customFormat="false" ht="15" hidden="false" customHeight="false" outlineLevel="0" collapsed="false">
      <c r="A218" s="6" t="s">
        <v>419</v>
      </c>
      <c r="C218" s="69" t="n">
        <f aca="false">-C195</f>
        <v>-189000</v>
      </c>
      <c r="D218" s="69" t="n">
        <f aca="false">-D195</f>
        <v>-0</v>
      </c>
      <c r="E218" s="69" t="n">
        <f aca="false">-E195</f>
        <v>-0</v>
      </c>
      <c r="F218" s="69" t="n">
        <f aca="false">-F195</f>
        <v>-0</v>
      </c>
      <c r="G218" s="69" t="n">
        <f aca="false">-G195</f>
        <v>-0</v>
      </c>
      <c r="H218" s="69" t="n">
        <f aca="false">-H195</f>
        <v>-0</v>
      </c>
      <c r="I218" s="69" t="n">
        <f aca="false">-I195</f>
        <v>-0</v>
      </c>
      <c r="J218" s="69" t="n">
        <f aca="false">-J195</f>
        <v>-0</v>
      </c>
      <c r="K218" s="69" t="n">
        <f aca="false">-K195</f>
        <v>-0</v>
      </c>
      <c r="L218" s="69" t="n">
        <f aca="false">-L195</f>
        <v>-0</v>
      </c>
      <c r="M218" s="69" t="n">
        <f aca="false">-M195</f>
        <v>-0</v>
      </c>
      <c r="N218" s="69" t="n">
        <f aca="false">-N195</f>
        <v>-0</v>
      </c>
      <c r="O218" s="69" t="n">
        <f aca="false">-O195</f>
        <v>-10000</v>
      </c>
      <c r="P218" s="69" t="n">
        <f aca="false">-P195</f>
        <v>-0</v>
      </c>
      <c r="Q218" s="69" t="n">
        <f aca="false">-Q195</f>
        <v>-0</v>
      </c>
      <c r="R218" s="69" t="n">
        <f aca="false">-R195</f>
        <v>-0</v>
      </c>
      <c r="S218" s="69" t="n">
        <f aca="false">-S195</f>
        <v>-0</v>
      </c>
      <c r="T218" s="69" t="n">
        <f aca="false">-T195</f>
        <v>-0</v>
      </c>
      <c r="U218" s="69" t="n">
        <f aca="false">-U195</f>
        <v>-0</v>
      </c>
      <c r="V218" s="69" t="n">
        <f aca="false">-V195</f>
        <v>-0</v>
      </c>
      <c r="W218" s="69" t="n">
        <f aca="false">-W195</f>
        <v>-0</v>
      </c>
      <c r="X218" s="69" t="n">
        <f aca="false">-X195</f>
        <v>-0</v>
      </c>
      <c r="Y218" s="69" t="n">
        <f aca="false">-Y195</f>
        <v>-0</v>
      </c>
      <c r="Z218" s="69" t="n">
        <f aca="false">-Z195</f>
        <v>-0</v>
      </c>
      <c r="AA218" s="69" t="n">
        <f aca="false">-AA195</f>
        <v>-10000</v>
      </c>
      <c r="AB218" s="69" t="n">
        <f aca="false">-AB195</f>
        <v>-0</v>
      </c>
      <c r="AC218" s="69" t="n">
        <f aca="false">-AC195</f>
        <v>-0</v>
      </c>
      <c r="AD218" s="69" t="n">
        <f aca="false">-AD195</f>
        <v>-0</v>
      </c>
      <c r="AE218" s="69" t="n">
        <f aca="false">-AE195</f>
        <v>-0</v>
      </c>
      <c r="AF218" s="69" t="n">
        <f aca="false">-AF195</f>
        <v>-0</v>
      </c>
      <c r="AG218" s="69" t="n">
        <f aca="false">-AG195</f>
        <v>-0</v>
      </c>
      <c r="AH218" s="69" t="n">
        <f aca="false">-AH195</f>
        <v>-0</v>
      </c>
      <c r="AI218" s="69" t="n">
        <f aca="false">-AI195</f>
        <v>-0</v>
      </c>
      <c r="AJ218" s="69" t="n">
        <f aca="false">-AJ195</f>
        <v>-0</v>
      </c>
      <c r="AK218" s="69" t="n">
        <f aca="false">-AK195</f>
        <v>-0</v>
      </c>
      <c r="AL218" s="69" t="n">
        <f aca="false">-AL195</f>
        <v>-0</v>
      </c>
    </row>
    <row r="219" customFormat="false" ht="15" hidden="false" customHeight="false" outlineLevel="0" collapsed="false">
      <c r="A219" s="6" t="s">
        <v>64</v>
      </c>
      <c r="C219" s="69" t="n">
        <f aca="false">IF(C$132=1,Inputs!$C$71,0)</f>
        <v>330000</v>
      </c>
      <c r="D219" s="69" t="n">
        <f aca="false">IF(D$132=1,Inputs!$C$71,0)</f>
        <v>0</v>
      </c>
      <c r="E219" s="69" t="n">
        <f aca="false">IF(E$132=1,Inputs!$C$71,0)</f>
        <v>0</v>
      </c>
      <c r="F219" s="69" t="n">
        <f aca="false">IF(F$132=1,Inputs!$C$71,0)</f>
        <v>0</v>
      </c>
      <c r="G219" s="69" t="n">
        <f aca="false">IF(G$132=1,Inputs!$C$71,0)</f>
        <v>0</v>
      </c>
      <c r="H219" s="69" t="n">
        <f aca="false">IF(H$132=1,Inputs!$C$71,0)</f>
        <v>0</v>
      </c>
      <c r="I219" s="69" t="n">
        <f aca="false">IF(I$132=1,Inputs!$C$71,0)</f>
        <v>0</v>
      </c>
      <c r="J219" s="69" t="n">
        <f aca="false">IF(J$132=1,Inputs!$C$71,0)</f>
        <v>0</v>
      </c>
      <c r="K219" s="69" t="n">
        <f aca="false">IF(K$132=1,Inputs!$C$71,0)</f>
        <v>0</v>
      </c>
      <c r="L219" s="69" t="n">
        <f aca="false">IF(L$132=1,Inputs!$C$71,0)</f>
        <v>0</v>
      </c>
      <c r="M219" s="69" t="n">
        <f aca="false">IF(M$132=1,Inputs!$C$71,0)</f>
        <v>0</v>
      </c>
      <c r="N219" s="69" t="n">
        <f aca="false">IF(N$132=1,Inputs!$C$71,0)</f>
        <v>0</v>
      </c>
      <c r="O219" s="69" t="n">
        <f aca="false">IF(O$132=1,Inputs!$C$71,0)</f>
        <v>0</v>
      </c>
      <c r="P219" s="69" t="n">
        <f aca="false">IF(P$132=1,Inputs!$C$71,0)</f>
        <v>0</v>
      </c>
      <c r="Q219" s="69" t="n">
        <f aca="false">IF(Q$132=1,Inputs!$C$71,0)</f>
        <v>0</v>
      </c>
      <c r="R219" s="69" t="n">
        <f aca="false">IF(R$132=1,Inputs!$C$71,0)</f>
        <v>0</v>
      </c>
      <c r="S219" s="69" t="n">
        <f aca="false">IF(S$132=1,Inputs!$C$71,0)</f>
        <v>0</v>
      </c>
      <c r="T219" s="69" t="n">
        <f aca="false">IF(T$132=1,Inputs!$C$71,0)</f>
        <v>0</v>
      </c>
      <c r="U219" s="69" t="n">
        <f aca="false">IF(U$132=1,Inputs!$C$71,0)</f>
        <v>0</v>
      </c>
      <c r="V219" s="69" t="n">
        <f aca="false">IF(V$132=1,Inputs!$C$71,0)</f>
        <v>0</v>
      </c>
      <c r="W219" s="69" t="n">
        <f aca="false">IF(W$132=1,Inputs!$C$71,0)</f>
        <v>0</v>
      </c>
      <c r="X219" s="69" t="n">
        <f aca="false">IF(X$132=1,Inputs!$C$71,0)</f>
        <v>0</v>
      </c>
      <c r="Y219" s="69" t="n">
        <f aca="false">IF(Y$132=1,Inputs!$C$71,0)</f>
        <v>0</v>
      </c>
      <c r="Z219" s="69" t="n">
        <f aca="false">IF(Z$132=1,Inputs!$C$71,0)</f>
        <v>0</v>
      </c>
      <c r="AA219" s="69" t="n">
        <f aca="false">IF(AA$132=1,Inputs!$C$71,0)</f>
        <v>0</v>
      </c>
      <c r="AB219" s="69" t="n">
        <f aca="false">IF(AB$132=1,Inputs!$C$71,0)</f>
        <v>0</v>
      </c>
      <c r="AC219" s="69" t="n">
        <f aca="false">IF(AC$132=1,Inputs!$C$71,0)</f>
        <v>0</v>
      </c>
      <c r="AD219" s="69" t="n">
        <f aca="false">IF(AD$132=1,Inputs!$C$71,0)</f>
        <v>0</v>
      </c>
      <c r="AE219" s="69" t="n">
        <f aca="false">IF(AE$132=1,Inputs!$C$71,0)</f>
        <v>0</v>
      </c>
      <c r="AF219" s="69" t="n">
        <f aca="false">IF(AF$132=1,Inputs!$C$71,0)</f>
        <v>0</v>
      </c>
      <c r="AG219" s="69" t="n">
        <f aca="false">IF(AG$132=1,Inputs!$C$71,0)</f>
        <v>0</v>
      </c>
      <c r="AH219" s="69" t="n">
        <f aca="false">IF(AH$132=1,Inputs!$C$71,0)</f>
        <v>0</v>
      </c>
      <c r="AI219" s="69" t="n">
        <f aca="false">IF(AI$132=1,Inputs!$C$71,0)</f>
        <v>0</v>
      </c>
      <c r="AJ219" s="69" t="n">
        <f aca="false">IF(AJ$132=1,Inputs!$C$71,0)</f>
        <v>0</v>
      </c>
      <c r="AK219" s="69" t="n">
        <f aca="false">IF(AK$132=1,Inputs!$C$71,0)</f>
        <v>0</v>
      </c>
      <c r="AL219" s="69" t="n">
        <f aca="false">IF(AL$132=1,Inputs!$C$71,0)</f>
        <v>0</v>
      </c>
    </row>
    <row r="220" customFormat="false" ht="15" hidden="false" customHeight="false" outlineLevel="0" collapsed="false">
      <c r="A220" s="6" t="s">
        <v>54</v>
      </c>
      <c r="C220" s="69" t="n">
        <f aca="false">C219+C204+C205</f>
        <v>430000</v>
      </c>
      <c r="D220" s="69" t="n">
        <f aca="false">D219+D204+D205</f>
        <v>-1666.66666666667</v>
      </c>
      <c r="E220" s="69" t="n">
        <f aca="false">E219+E204+E205</f>
        <v>-1666.66666666667</v>
      </c>
      <c r="F220" s="69" t="n">
        <f aca="false">F219+F204+F205</f>
        <v>-1666.66666666667</v>
      </c>
      <c r="G220" s="69" t="n">
        <f aca="false">G219+G204+G205</f>
        <v>-1666.66666666667</v>
      </c>
      <c r="H220" s="69" t="n">
        <f aca="false">H219+H204+H205</f>
        <v>-1666.66666666667</v>
      </c>
      <c r="I220" s="69" t="n">
        <f aca="false">I219+I204+I205</f>
        <v>-1666.66666666667</v>
      </c>
      <c r="J220" s="69" t="n">
        <f aca="false">J219+J204+J205</f>
        <v>-1666.66666666667</v>
      </c>
      <c r="K220" s="69" t="n">
        <f aca="false">K219+K204+K205</f>
        <v>-1666.66666666667</v>
      </c>
      <c r="L220" s="69" t="n">
        <f aca="false">L219+L204+L205</f>
        <v>-1666.66666666667</v>
      </c>
      <c r="M220" s="69" t="n">
        <f aca="false">M219+M204+M205</f>
        <v>-1666.66666666667</v>
      </c>
      <c r="N220" s="69" t="n">
        <f aca="false">N219+N204+N205</f>
        <v>-1666.66666666667</v>
      </c>
      <c r="O220" s="69" t="n">
        <f aca="false">O219+O204+O205</f>
        <v>-1666.66666666667</v>
      </c>
      <c r="P220" s="69" t="n">
        <f aca="false">P219+P204+P205</f>
        <v>-1666.66666666667</v>
      </c>
      <c r="Q220" s="69" t="n">
        <f aca="false">Q219+Q204+Q205</f>
        <v>-1666.66666666667</v>
      </c>
      <c r="R220" s="69" t="n">
        <f aca="false">R219+R204+R205</f>
        <v>-1666.66666666667</v>
      </c>
      <c r="S220" s="69" t="n">
        <f aca="false">S219+S204+S205</f>
        <v>-1666.66666666667</v>
      </c>
      <c r="T220" s="69" t="n">
        <f aca="false">T219+T204+T205</f>
        <v>-1666.66666666667</v>
      </c>
      <c r="U220" s="69" t="n">
        <f aca="false">U219+U204+U205</f>
        <v>-1666.66666666667</v>
      </c>
      <c r="V220" s="69" t="n">
        <f aca="false">V219+V204+V205</f>
        <v>-1666.66666666667</v>
      </c>
      <c r="W220" s="69" t="n">
        <f aca="false">W219+W204+W205</f>
        <v>-1666.66666666667</v>
      </c>
      <c r="X220" s="69" t="n">
        <f aca="false">X219+X204+X205</f>
        <v>-1666.66666666667</v>
      </c>
      <c r="Y220" s="69" t="n">
        <f aca="false">Y219+Y204+Y205</f>
        <v>-1666.66666666667</v>
      </c>
      <c r="Z220" s="69" t="n">
        <f aca="false">Z219+Z204+Z205</f>
        <v>-1666.66666666667</v>
      </c>
      <c r="AA220" s="69" t="n">
        <f aca="false">AA219+AA204+AA205</f>
        <v>-1666.66666666667</v>
      </c>
      <c r="AB220" s="69" t="n">
        <f aca="false">AB219+AB204+AB205</f>
        <v>-1666.66666666667</v>
      </c>
      <c r="AC220" s="69" t="n">
        <f aca="false">AC219+AC204+AC205</f>
        <v>-1666.66666666667</v>
      </c>
      <c r="AD220" s="69" t="n">
        <f aca="false">AD219+AD204+AD205</f>
        <v>-1666.66666666667</v>
      </c>
      <c r="AE220" s="69" t="n">
        <f aca="false">AE219+AE204+AE205</f>
        <v>-1666.66666666667</v>
      </c>
      <c r="AF220" s="69" t="n">
        <f aca="false">AF219+AF204+AF205</f>
        <v>-1666.66666666667</v>
      </c>
      <c r="AG220" s="69" t="n">
        <f aca="false">AG219+AG204+AG205</f>
        <v>-1666.66666666667</v>
      </c>
      <c r="AH220" s="69" t="n">
        <f aca="false">AH219+AH204+AH205</f>
        <v>-1666.66666666667</v>
      </c>
      <c r="AI220" s="69" t="n">
        <f aca="false">AI219+AI204+AI205</f>
        <v>-1666.66666666667</v>
      </c>
      <c r="AJ220" s="69" t="n">
        <f aca="false">AJ219+AJ204+AJ205</f>
        <v>-1666.66666666667</v>
      </c>
      <c r="AK220" s="69" t="n">
        <f aca="false">AK219+AK204+AK205</f>
        <v>-1666.66666666667</v>
      </c>
      <c r="AL220" s="69" t="n">
        <f aca="false">AL219+AL204+AL205</f>
        <v>-1666.66666666667</v>
      </c>
    </row>
    <row r="221" customFormat="false" ht="15" hidden="false" customHeight="false" outlineLevel="0" collapsed="false">
      <c r="A221" s="115" t="s">
        <v>420</v>
      </c>
      <c r="C221" s="70" t="n">
        <f aca="false">C217+C218+C220</f>
        <v>224079.669137778</v>
      </c>
      <c r="D221" s="70" t="n">
        <f aca="false">D217+D218+D220</f>
        <v>-20865.507056</v>
      </c>
      <c r="E221" s="70" t="n">
        <f aca="false">E217+E218+E220</f>
        <v>-18285.03192</v>
      </c>
      <c r="F221" s="70" t="n">
        <f aca="false">F217+F218+F220</f>
        <v>-15704.556784</v>
      </c>
      <c r="G221" s="70" t="n">
        <f aca="false">G217+G218+G220</f>
        <v>-13124.081648</v>
      </c>
      <c r="H221" s="70" t="n">
        <f aca="false">H217+H218+H220</f>
        <v>-4905.32155200001</v>
      </c>
      <c r="I221" s="70" t="n">
        <f aca="false">I217+I218+I220</f>
        <v>-1857.397168</v>
      </c>
      <c r="J221" s="70" t="n">
        <f aca="false">J217+J218+J220</f>
        <v>1205.00248</v>
      </c>
      <c r="K221" s="70" t="n">
        <f aca="false">K217+K218+K220</f>
        <v>-2820.72753600001</v>
      </c>
      <c r="L221" s="70" t="n">
        <f aca="false">L217+L218+L220</f>
        <v>-221.705968000009</v>
      </c>
      <c r="M221" s="70" t="n">
        <f aca="false">M217+M218+M220</f>
        <v>2358.769168</v>
      </c>
      <c r="N221" s="70" t="n">
        <f aca="false">N217+N218+N220</f>
        <v>9998.02840000001</v>
      </c>
      <c r="O221" s="70" t="n">
        <f aca="false">O217+O218+O220</f>
        <v>-5305.22633210667</v>
      </c>
      <c r="P221" s="70" t="n">
        <f aca="false">P217+P218+P220</f>
        <v>4222.70536304</v>
      </c>
      <c r="Q221" s="70" t="n">
        <f aca="false">Q217+Q218+Q220</f>
        <v>4235.20536304</v>
      </c>
      <c r="R221" s="70" t="n">
        <f aca="false">R217+R218+R220</f>
        <v>4247.70536304</v>
      </c>
      <c r="S221" s="70" t="n">
        <f aca="false">S217+S218+S220</f>
        <v>4260.20536304</v>
      </c>
      <c r="T221" s="70" t="n">
        <f aca="false">T217+T218+T220</f>
        <v>12817.92895456</v>
      </c>
      <c r="U221" s="70" t="n">
        <f aca="false">U217+U218+U220</f>
        <v>12806.43394272</v>
      </c>
      <c r="V221" s="70" t="n">
        <f aca="false">V217+V218+V220</f>
        <v>12818.93394272</v>
      </c>
      <c r="W221" s="70" t="n">
        <f aca="false">W217+W218+W220</f>
        <v>4286.2103512</v>
      </c>
      <c r="X221" s="70" t="n">
        <f aca="false">X217+X218+X220</f>
        <v>4322.70536304</v>
      </c>
      <c r="Y221" s="70" t="n">
        <f aca="false">Y217+Y218+Y220</f>
        <v>4335.20536304</v>
      </c>
      <c r="Z221" s="70" t="n">
        <f aca="false">Z217+Z218+Z220</f>
        <v>12892.92895456</v>
      </c>
      <c r="AA221" s="70" t="n">
        <f aca="false">AA217+AA218+AA220</f>
        <v>-2886.42512823197</v>
      </c>
      <c r="AB221" s="70" t="n">
        <f aca="false">AB217+AB218+AB220</f>
        <v>6614.24690714913</v>
      </c>
      <c r="AC221" s="70" t="n">
        <f aca="false">AC217+AC218+AC220</f>
        <v>6027.88554489317</v>
      </c>
      <c r="AD221" s="70" t="n">
        <f aca="false">AD217+AD218+AD220</f>
        <v>5352.19255664781</v>
      </c>
      <c r="AE221" s="70" t="n">
        <f aca="false">AE217+AE218+AE220</f>
        <v>5362.06755664781</v>
      </c>
      <c r="AF221" s="70" t="n">
        <f aca="false">AF217+AF218+AF220</f>
        <v>12539.134270853</v>
      </c>
      <c r="AG221" s="70" t="n">
        <f aca="false">AG217+AG218+AG220</f>
        <v>12523.552962792</v>
      </c>
      <c r="AH221" s="70" t="n">
        <f aca="false">AH217+AH218+AH220</f>
        <v>12533.427962792</v>
      </c>
      <c r="AI221" s="70" t="n">
        <f aca="false">AI217+AI218+AI220</f>
        <v>5376.11124858676</v>
      </c>
      <c r="AJ221" s="70" t="n">
        <f aca="false">AJ217+AJ218+AJ220</f>
        <v>5411.44255664781</v>
      </c>
      <c r="AK221" s="70" t="n">
        <f aca="false">AK217+AK218+AK220</f>
        <v>5421.31755664781</v>
      </c>
      <c r="AL221" s="70" t="n">
        <f aca="false">AL217+AL218+AL220</f>
        <v>12598.384270853</v>
      </c>
    </row>
    <row r="222" customFormat="false" ht="15" hidden="false" customHeight="false" outlineLevel="0" collapsed="false">
      <c r="A222" s="6" t="s">
        <v>345</v>
      </c>
      <c r="C222" s="69" t="n">
        <f aca="false">0</f>
        <v>0</v>
      </c>
      <c r="D222" s="69" t="n">
        <f aca="false">C223</f>
        <v>224079.669137778</v>
      </c>
      <c r="E222" s="69" t="n">
        <f aca="false">D223</f>
        <v>203214.162081778</v>
      </c>
      <c r="F222" s="69" t="n">
        <f aca="false">E223</f>
        <v>184929.130161778</v>
      </c>
      <c r="G222" s="69" t="n">
        <f aca="false">F223</f>
        <v>169224.573377778</v>
      </c>
      <c r="H222" s="69" t="n">
        <f aca="false">G223</f>
        <v>156100.491729778</v>
      </c>
      <c r="I222" s="69" t="n">
        <f aca="false">H223</f>
        <v>151195.170177778</v>
      </c>
      <c r="J222" s="69" t="n">
        <f aca="false">I223</f>
        <v>149337.773009778</v>
      </c>
      <c r="K222" s="69" t="n">
        <f aca="false">J223</f>
        <v>150542.775489778</v>
      </c>
      <c r="L222" s="69" t="n">
        <f aca="false">K223</f>
        <v>147722.047953778</v>
      </c>
      <c r="M222" s="69" t="n">
        <f aca="false">L223</f>
        <v>147500.341985778</v>
      </c>
      <c r="N222" s="69" t="n">
        <f aca="false">M223</f>
        <v>149859.111153778</v>
      </c>
      <c r="O222" s="69" t="n">
        <f aca="false">N223</f>
        <v>159857.139553778</v>
      </c>
      <c r="P222" s="69" t="n">
        <f aca="false">O223</f>
        <v>154551.913221671</v>
      </c>
      <c r="Q222" s="69" t="n">
        <f aca="false">P223</f>
        <v>158774.618584711</v>
      </c>
      <c r="R222" s="69" t="n">
        <f aca="false">Q223</f>
        <v>163009.823947751</v>
      </c>
      <c r="S222" s="69" t="n">
        <f aca="false">R223</f>
        <v>167257.529310791</v>
      </c>
      <c r="T222" s="69" t="n">
        <f aca="false">S223</f>
        <v>171517.734673831</v>
      </c>
      <c r="U222" s="69" t="n">
        <f aca="false">T223</f>
        <v>184335.663628391</v>
      </c>
      <c r="V222" s="69" t="n">
        <f aca="false">U223</f>
        <v>197142.097571111</v>
      </c>
      <c r="W222" s="69" t="n">
        <f aca="false">V223</f>
        <v>209961.031513831</v>
      </c>
      <c r="X222" s="69" t="n">
        <f aca="false">W223</f>
        <v>214247.241865031</v>
      </c>
      <c r="Y222" s="69" t="n">
        <f aca="false">X223</f>
        <v>218569.947228071</v>
      </c>
      <c r="Z222" s="69" t="n">
        <f aca="false">Y223</f>
        <v>222905.152591111</v>
      </c>
      <c r="AA222" s="69" t="n">
        <f aca="false">Z223</f>
        <v>235798.081545671</v>
      </c>
      <c r="AB222" s="69" t="n">
        <f aca="false">AA223</f>
        <v>232911.656417439</v>
      </c>
      <c r="AC222" s="69" t="n">
        <f aca="false">AB223</f>
        <v>239525.903324588</v>
      </c>
      <c r="AD222" s="69" t="n">
        <f aca="false">AC223</f>
        <v>245553.788869481</v>
      </c>
      <c r="AE222" s="69" t="n">
        <f aca="false">AD223</f>
        <v>250905.981426129</v>
      </c>
      <c r="AF222" s="69" t="n">
        <f aca="false">AE223</f>
        <v>256268.048982777</v>
      </c>
      <c r="AG222" s="69" t="n">
        <f aca="false">AF223</f>
        <v>268807.18325363</v>
      </c>
      <c r="AH222" s="69" t="n">
        <f aca="false">AG223</f>
        <v>281330.736216422</v>
      </c>
      <c r="AI222" s="69" t="n">
        <f aca="false">AH223</f>
        <v>293864.164179214</v>
      </c>
      <c r="AJ222" s="69" t="n">
        <f aca="false">AI223</f>
        <v>299240.275427801</v>
      </c>
      <c r="AK222" s="69" t="n">
        <f aca="false">AJ223</f>
        <v>304651.717984449</v>
      </c>
      <c r="AL222" s="69" t="n">
        <f aca="false">AK223</f>
        <v>310073.035541097</v>
      </c>
    </row>
    <row r="223" customFormat="false" ht="15" hidden="false" customHeight="false" outlineLevel="0" collapsed="false">
      <c r="A223" s="115" t="s">
        <v>87</v>
      </c>
      <c r="C223" s="70" t="n">
        <f aca="false">C222+C221</f>
        <v>224079.669137778</v>
      </c>
      <c r="D223" s="70" t="n">
        <f aca="false">D222+D221</f>
        <v>203214.162081778</v>
      </c>
      <c r="E223" s="70" t="n">
        <f aca="false">E222+E221</f>
        <v>184929.130161778</v>
      </c>
      <c r="F223" s="70" t="n">
        <f aca="false">F222+F221</f>
        <v>169224.573377778</v>
      </c>
      <c r="G223" s="70" t="n">
        <f aca="false">G222+G221</f>
        <v>156100.491729778</v>
      </c>
      <c r="H223" s="70" t="n">
        <f aca="false">H222+H221</f>
        <v>151195.170177778</v>
      </c>
      <c r="I223" s="70" t="n">
        <f aca="false">I222+I221</f>
        <v>149337.773009778</v>
      </c>
      <c r="J223" s="70" t="n">
        <f aca="false">J222+J221</f>
        <v>150542.775489778</v>
      </c>
      <c r="K223" s="70" t="n">
        <f aca="false">K222+K221</f>
        <v>147722.047953778</v>
      </c>
      <c r="L223" s="70" t="n">
        <f aca="false">L222+L221</f>
        <v>147500.341985778</v>
      </c>
      <c r="M223" s="70" t="n">
        <f aca="false">M222+M221</f>
        <v>149859.111153778</v>
      </c>
      <c r="N223" s="70" t="n">
        <f aca="false">N222+N221</f>
        <v>159857.139553778</v>
      </c>
      <c r="O223" s="70" t="n">
        <f aca="false">O222+O221</f>
        <v>154551.913221671</v>
      </c>
      <c r="P223" s="70" t="n">
        <f aca="false">P222+P221</f>
        <v>158774.618584711</v>
      </c>
      <c r="Q223" s="70" t="n">
        <f aca="false">Q222+Q221</f>
        <v>163009.823947751</v>
      </c>
      <c r="R223" s="70" t="n">
        <f aca="false">R222+R221</f>
        <v>167257.529310791</v>
      </c>
      <c r="S223" s="70" t="n">
        <f aca="false">S222+S221</f>
        <v>171517.734673831</v>
      </c>
      <c r="T223" s="70" t="n">
        <f aca="false">T222+T221</f>
        <v>184335.663628391</v>
      </c>
      <c r="U223" s="70" t="n">
        <f aca="false">U222+U221</f>
        <v>197142.097571111</v>
      </c>
      <c r="V223" s="70" t="n">
        <f aca="false">V222+V221</f>
        <v>209961.031513831</v>
      </c>
      <c r="W223" s="70" t="n">
        <f aca="false">W222+W221</f>
        <v>214247.241865031</v>
      </c>
      <c r="X223" s="70" t="n">
        <f aca="false">X222+X221</f>
        <v>218569.947228071</v>
      </c>
      <c r="Y223" s="70" t="n">
        <f aca="false">Y222+Y221</f>
        <v>222905.152591111</v>
      </c>
      <c r="Z223" s="70" t="n">
        <f aca="false">Z222+Z221</f>
        <v>235798.081545671</v>
      </c>
      <c r="AA223" s="70" t="n">
        <f aca="false">AA222+AA221</f>
        <v>232911.656417439</v>
      </c>
      <c r="AB223" s="70" t="n">
        <f aca="false">AB222+AB221</f>
        <v>239525.903324588</v>
      </c>
      <c r="AC223" s="70" t="n">
        <f aca="false">AC222+AC221</f>
        <v>245553.788869481</v>
      </c>
      <c r="AD223" s="70" t="n">
        <f aca="false">AD222+AD221</f>
        <v>250905.981426129</v>
      </c>
      <c r="AE223" s="70" t="n">
        <f aca="false">AE222+AE221</f>
        <v>256268.048982777</v>
      </c>
      <c r="AF223" s="70" t="n">
        <f aca="false">AF222+AF221</f>
        <v>268807.18325363</v>
      </c>
      <c r="AG223" s="70" t="n">
        <f aca="false">AG222+AG221</f>
        <v>281330.736216422</v>
      </c>
      <c r="AH223" s="70" t="n">
        <f aca="false">AH222+AH221</f>
        <v>293864.164179214</v>
      </c>
      <c r="AI223" s="70" t="n">
        <f aca="false">AI222+AI221</f>
        <v>299240.275427801</v>
      </c>
      <c r="AJ223" s="70" t="n">
        <f aca="false">AJ222+AJ221</f>
        <v>304651.717984449</v>
      </c>
      <c r="AK223" s="70" t="n">
        <f aca="false">AK222+AK221</f>
        <v>310073.035541097</v>
      </c>
      <c r="AL223" s="70" t="n">
        <f aca="false">AL222+AL221</f>
        <v>322671.41981195</v>
      </c>
    </row>
    <row r="224" customFormat="false" ht="15" hidden="false" customHeight="false" outlineLevel="0" collapsed="false">
      <c r="A224" s="118" t="s">
        <v>421</v>
      </c>
      <c r="C224" s="120" t="n">
        <f aca="false">IF(C178&gt;0,1,0)</f>
        <v>0</v>
      </c>
      <c r="D224" s="120" t="n">
        <f aca="false">IF(D178&gt;0,1,0)</f>
        <v>0</v>
      </c>
      <c r="E224" s="120" t="n">
        <f aca="false">IF(E178&gt;0,1,0)</f>
        <v>0</v>
      </c>
      <c r="F224" s="120" t="n">
        <f aca="false">IF(F178&gt;0,1,0)</f>
        <v>0</v>
      </c>
      <c r="G224" s="120" t="n">
        <f aca="false">IF(G178&gt;0,1,0)</f>
        <v>0</v>
      </c>
      <c r="H224" s="120" t="n">
        <f aca="false">IF(H178&gt;0,1,0)</f>
        <v>0</v>
      </c>
      <c r="I224" s="120" t="n">
        <f aca="false">IF(I178&gt;0,1,0)</f>
        <v>1</v>
      </c>
      <c r="J224" s="120" t="n">
        <f aca="false">IF(J178&gt;0,1,0)</f>
        <v>1</v>
      </c>
      <c r="K224" s="120" t="n">
        <f aca="false">IF(K178&gt;0,1,0)</f>
        <v>0</v>
      </c>
      <c r="L224" s="120" t="n">
        <f aca="false">IF(L178&gt;0,1,0)</f>
        <v>1</v>
      </c>
      <c r="M224" s="120" t="n">
        <f aca="false">IF(M178&gt;0,1,0)</f>
        <v>1</v>
      </c>
      <c r="N224" s="120" t="n">
        <f aca="false">IF(N178&gt;0,1,0)</f>
        <v>1</v>
      </c>
      <c r="O224" s="120" t="n">
        <f aca="false">IF(O178&gt;0,1,0)</f>
        <v>1</v>
      </c>
      <c r="P224" s="120" t="n">
        <f aca="false">IF(P178&gt;0,1,0)</f>
        <v>1</v>
      </c>
      <c r="Q224" s="120" t="n">
        <f aca="false">IF(Q178&gt;0,1,0)</f>
        <v>1</v>
      </c>
      <c r="R224" s="120" t="n">
        <f aca="false">IF(R178&gt;0,1,0)</f>
        <v>1</v>
      </c>
      <c r="S224" s="120" t="n">
        <f aca="false">IF(S178&gt;0,1,0)</f>
        <v>1</v>
      </c>
      <c r="T224" s="120" t="n">
        <f aca="false">IF(T178&gt;0,1,0)</f>
        <v>1</v>
      </c>
      <c r="U224" s="120" t="n">
        <f aca="false">IF(U178&gt;0,1,0)</f>
        <v>1</v>
      </c>
      <c r="V224" s="120" t="n">
        <f aca="false">IF(V178&gt;0,1,0)</f>
        <v>1</v>
      </c>
      <c r="W224" s="120" t="n">
        <f aca="false">IF(W178&gt;0,1,0)</f>
        <v>1</v>
      </c>
      <c r="X224" s="120" t="n">
        <f aca="false">IF(X178&gt;0,1,0)</f>
        <v>1</v>
      </c>
      <c r="Y224" s="120" t="n">
        <f aca="false">IF(Y178&gt;0,1,0)</f>
        <v>1</v>
      </c>
      <c r="Z224" s="120" t="n">
        <f aca="false">IF(Z178&gt;0,1,0)</f>
        <v>1</v>
      </c>
      <c r="AA224" s="120" t="n">
        <f aca="false">IF(AA178&gt;0,1,0)</f>
        <v>1</v>
      </c>
      <c r="AB224" s="120" t="n">
        <f aca="false">IF(AB178&gt;0,1,0)</f>
        <v>1</v>
      </c>
      <c r="AC224" s="120" t="n">
        <f aca="false">IF(AC178&gt;0,1,0)</f>
        <v>1</v>
      </c>
      <c r="AD224" s="120" t="n">
        <f aca="false">IF(AD178&gt;0,1,0)</f>
        <v>1</v>
      </c>
      <c r="AE224" s="120" t="n">
        <f aca="false">IF(AE178&gt;0,1,0)</f>
        <v>1</v>
      </c>
      <c r="AF224" s="120" t="n">
        <f aca="false">IF(AF178&gt;0,1,0)</f>
        <v>1</v>
      </c>
      <c r="AG224" s="120" t="n">
        <f aca="false">IF(AG178&gt;0,1,0)</f>
        <v>1</v>
      </c>
      <c r="AH224" s="120" t="n">
        <f aca="false">IF(AH178&gt;0,1,0)</f>
        <v>1</v>
      </c>
      <c r="AI224" s="120" t="n">
        <f aca="false">IF(AI178&gt;0,1,0)</f>
        <v>1</v>
      </c>
      <c r="AJ224" s="120" t="n">
        <f aca="false">IF(AJ178&gt;0,1,0)</f>
        <v>1</v>
      </c>
      <c r="AK224" s="120" t="n">
        <f aca="false">IF(AK178&gt;0,1,0)</f>
        <v>1</v>
      </c>
      <c r="AL224" s="120" t="n">
        <f aca="false">IF(AL178&gt;0,1,0)</f>
        <v>1</v>
      </c>
    </row>
    <row r="226" customFormat="false" ht="15.75" hidden="false" customHeight="true" outlineLevel="0" collapsed="false">
      <c r="A226" s="7" t="s">
        <v>422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customFormat="false" ht="15" hidden="false" customHeight="false" outlineLevel="0" collapsed="false">
      <c r="A227" s="118" t="s">
        <v>423</v>
      </c>
      <c r="C227" s="120" t="n">
        <f aca="false">IF(C187&gt;0,1,0)</f>
        <v>0</v>
      </c>
      <c r="D227" s="120" t="n">
        <f aca="false">IF(D187&gt;0,1,0)</f>
        <v>0</v>
      </c>
      <c r="E227" s="120" t="n">
        <f aca="false">IF(E187&gt;0,1,0)</f>
        <v>0</v>
      </c>
      <c r="F227" s="120" t="n">
        <f aca="false">IF(F187&gt;0,1,0)</f>
        <v>0</v>
      </c>
      <c r="G227" s="120" t="n">
        <f aca="false">IF(G187&gt;0,1,0)</f>
        <v>0</v>
      </c>
      <c r="H227" s="120" t="n">
        <f aca="false">IF(H187&gt;0,1,0)</f>
        <v>0</v>
      </c>
      <c r="I227" s="120" t="n">
        <f aca="false">IF(I187&gt;0,1,0)</f>
        <v>0</v>
      </c>
      <c r="J227" s="120" t="n">
        <f aca="false">IF(J187&gt;0,1,0)</f>
        <v>1</v>
      </c>
      <c r="K227" s="120" t="n">
        <f aca="false">IF(K187&gt;0,1,0)</f>
        <v>0</v>
      </c>
      <c r="L227" s="120" t="n">
        <f aca="false">IF(L187&gt;0,1,0)</f>
        <v>0</v>
      </c>
      <c r="M227" s="120" t="n">
        <f aca="false">IF(M187&gt;0,1,0)</f>
        <v>1</v>
      </c>
      <c r="N227" s="120" t="n">
        <f aca="false">IF(N187&gt;0,1,0)</f>
        <v>1</v>
      </c>
      <c r="O227" s="120" t="n">
        <f aca="false">IF(O187&gt;0,1,0)</f>
        <v>1</v>
      </c>
      <c r="P227" s="120" t="n">
        <f aca="false">IF(P187&gt;0,1,0)</f>
        <v>1</v>
      </c>
      <c r="Q227" s="120" t="n">
        <f aca="false">IF(Q187&gt;0,1,0)</f>
        <v>1</v>
      </c>
      <c r="R227" s="120" t="n">
        <f aca="false">IF(R187&gt;0,1,0)</f>
        <v>1</v>
      </c>
      <c r="S227" s="120" t="n">
        <f aca="false">IF(S187&gt;0,1,0)</f>
        <v>1</v>
      </c>
      <c r="T227" s="120" t="n">
        <f aca="false">IF(T187&gt;0,1,0)</f>
        <v>1</v>
      </c>
      <c r="U227" s="120" t="n">
        <f aca="false">IF(U187&gt;0,1,0)</f>
        <v>1</v>
      </c>
      <c r="V227" s="120" t="n">
        <f aca="false">IF(V187&gt;0,1,0)</f>
        <v>1</v>
      </c>
      <c r="W227" s="120" t="n">
        <f aca="false">IF(W187&gt;0,1,0)</f>
        <v>1</v>
      </c>
      <c r="X227" s="120" t="n">
        <f aca="false">IF(X187&gt;0,1,0)</f>
        <v>1</v>
      </c>
      <c r="Y227" s="120" t="n">
        <f aca="false">IF(Y187&gt;0,1,0)</f>
        <v>1</v>
      </c>
      <c r="Z227" s="120" t="n">
        <f aca="false">IF(Z187&gt;0,1,0)</f>
        <v>1</v>
      </c>
      <c r="AA227" s="120" t="n">
        <f aca="false">IF(AA187&gt;0,1,0)</f>
        <v>1</v>
      </c>
      <c r="AB227" s="120" t="n">
        <f aca="false">IF(AB187&gt;0,1,0)</f>
        <v>1</v>
      </c>
      <c r="AC227" s="120" t="n">
        <f aca="false">IF(AC187&gt;0,1,0)</f>
        <v>1</v>
      </c>
      <c r="AD227" s="120" t="n">
        <f aca="false">IF(AD187&gt;0,1,0)</f>
        <v>1</v>
      </c>
      <c r="AE227" s="120" t="n">
        <f aca="false">IF(AE187&gt;0,1,0)</f>
        <v>1</v>
      </c>
      <c r="AF227" s="120" t="n">
        <f aca="false">IF(AF187&gt;0,1,0)</f>
        <v>1</v>
      </c>
      <c r="AG227" s="120" t="n">
        <f aca="false">IF(AG187&gt;0,1,0)</f>
        <v>1</v>
      </c>
      <c r="AH227" s="120" t="n">
        <f aca="false">IF(AH187&gt;0,1,0)</f>
        <v>1</v>
      </c>
      <c r="AI227" s="120" t="n">
        <f aca="false">IF(AI187&gt;0,1,0)</f>
        <v>1</v>
      </c>
      <c r="AJ227" s="120" t="n">
        <f aca="false">IF(AJ187&gt;0,1,0)</f>
        <v>1</v>
      </c>
      <c r="AK227" s="120" t="n">
        <f aca="false">IF(AK187&gt;0,1,0)</f>
        <v>1</v>
      </c>
      <c r="AL227" s="120" t="n">
        <f aca="false">IF(AL187&gt;0,1,0)</f>
        <v>1</v>
      </c>
    </row>
    <row r="228" customFormat="false" ht="15" hidden="false" customHeight="false" outlineLevel="0" collapsed="false">
      <c r="A228" s="6" t="s">
        <v>424</v>
      </c>
      <c r="C228" s="69" t="n">
        <f aca="false">C217+C218</f>
        <v>-205920.330862222</v>
      </c>
      <c r="D228" s="69" t="n">
        <f aca="false">D217+D218</f>
        <v>-19198.8403893333</v>
      </c>
      <c r="E228" s="69" t="n">
        <f aca="false">E217+E218</f>
        <v>-16618.3652533333</v>
      </c>
      <c r="F228" s="69" t="n">
        <f aca="false">F217+F218</f>
        <v>-14037.8901173333</v>
      </c>
      <c r="G228" s="69" t="n">
        <f aca="false">G217+G218</f>
        <v>-11457.4149813333</v>
      </c>
      <c r="H228" s="69" t="n">
        <f aca="false">H217+H218</f>
        <v>-3238.65488533334</v>
      </c>
      <c r="I228" s="69" t="n">
        <f aca="false">I217+I218</f>
        <v>-190.730501333334</v>
      </c>
      <c r="J228" s="69" t="n">
        <f aca="false">J217+J218</f>
        <v>2871.66914666667</v>
      </c>
      <c r="K228" s="69" t="n">
        <f aca="false">K217+K218</f>
        <v>-1154.06086933334</v>
      </c>
      <c r="L228" s="69" t="n">
        <f aca="false">L217+L218</f>
        <v>1444.96069866666</v>
      </c>
      <c r="M228" s="69" t="n">
        <f aca="false">M217+M218</f>
        <v>4025.43583466666</v>
      </c>
      <c r="N228" s="69" t="n">
        <f aca="false">N217+N218</f>
        <v>11664.6950666667</v>
      </c>
      <c r="O228" s="69" t="n">
        <f aca="false">O217+O218</f>
        <v>-3638.55966544</v>
      </c>
      <c r="P228" s="69" t="n">
        <f aca="false">P217+P218</f>
        <v>5889.37202970667</v>
      </c>
      <c r="Q228" s="69" t="n">
        <f aca="false">Q217+Q218</f>
        <v>5901.87202970667</v>
      </c>
      <c r="R228" s="69" t="n">
        <f aca="false">R217+R218</f>
        <v>5914.37202970667</v>
      </c>
      <c r="S228" s="69" t="n">
        <f aca="false">S217+S218</f>
        <v>5926.87202970667</v>
      </c>
      <c r="T228" s="69" t="n">
        <f aca="false">T217+T218</f>
        <v>14484.5956212267</v>
      </c>
      <c r="U228" s="69" t="n">
        <f aca="false">U217+U218</f>
        <v>14473.1006093867</v>
      </c>
      <c r="V228" s="69" t="n">
        <f aca="false">V217+V218</f>
        <v>14485.6006093867</v>
      </c>
      <c r="W228" s="69" t="n">
        <f aca="false">W217+W218</f>
        <v>5952.87701786667</v>
      </c>
      <c r="X228" s="69" t="n">
        <f aca="false">X217+X218</f>
        <v>5989.37202970667</v>
      </c>
      <c r="Y228" s="69" t="n">
        <f aca="false">Y217+Y218</f>
        <v>6001.87202970667</v>
      </c>
      <c r="Z228" s="69" t="n">
        <f aca="false">Z217+Z218</f>
        <v>14559.5956212267</v>
      </c>
      <c r="AA228" s="69" t="n">
        <f aca="false">AA217+AA218</f>
        <v>-1219.75846156531</v>
      </c>
      <c r="AB228" s="69" t="n">
        <f aca="false">AB217+AB218</f>
        <v>8280.91357381579</v>
      </c>
      <c r="AC228" s="69" t="n">
        <f aca="false">AC217+AC218</f>
        <v>7694.55221155984</v>
      </c>
      <c r="AD228" s="69" t="n">
        <f aca="false">AD217+AD218</f>
        <v>7018.85922331448</v>
      </c>
      <c r="AE228" s="69" t="n">
        <f aca="false">AE217+AE218</f>
        <v>7028.73422331448</v>
      </c>
      <c r="AF228" s="69" t="n">
        <f aca="false">AF217+AF218</f>
        <v>14205.8009375197</v>
      </c>
      <c r="AG228" s="69" t="n">
        <f aca="false">AG217+AG218</f>
        <v>14190.2196294587</v>
      </c>
      <c r="AH228" s="69" t="n">
        <f aca="false">AH217+AH218</f>
        <v>14200.0946294587</v>
      </c>
      <c r="AI228" s="69" t="n">
        <f aca="false">AI217+AI218</f>
        <v>7042.77791525342</v>
      </c>
      <c r="AJ228" s="69" t="n">
        <f aca="false">AJ217+AJ218</f>
        <v>7078.10922331448</v>
      </c>
      <c r="AK228" s="69" t="n">
        <f aca="false">AK217+AK218</f>
        <v>7087.98422331448</v>
      </c>
      <c r="AL228" s="69" t="n">
        <f aca="false">AL217+AL218</f>
        <v>14265.0509375197</v>
      </c>
    </row>
    <row r="229" customFormat="false" ht="15" hidden="false" customHeight="false" outlineLevel="0" collapsed="false">
      <c r="A229" s="6" t="s">
        <v>425</v>
      </c>
      <c r="C229" s="69" t="n">
        <f aca="false">C228</f>
        <v>-205920.330862222</v>
      </c>
      <c r="D229" s="69" t="n">
        <f aca="false">C229+D228</f>
        <v>-225119.171251556</v>
      </c>
      <c r="E229" s="69" t="n">
        <f aca="false">D229+E228</f>
        <v>-241737.536504889</v>
      </c>
      <c r="F229" s="69" t="n">
        <f aca="false">E229+F228</f>
        <v>-255775.426622222</v>
      </c>
      <c r="G229" s="69" t="n">
        <f aca="false">F229+G228</f>
        <v>-267232.841603556</v>
      </c>
      <c r="H229" s="69" t="n">
        <f aca="false">G229+H228</f>
        <v>-270471.496488889</v>
      </c>
      <c r="I229" s="69" t="n">
        <f aca="false">H229+I228</f>
        <v>-270662.226990222</v>
      </c>
      <c r="J229" s="69" t="n">
        <f aca="false">I229+J228</f>
        <v>-267790.557843556</v>
      </c>
      <c r="K229" s="69" t="n">
        <f aca="false">J229+K228</f>
        <v>-268944.618712889</v>
      </c>
      <c r="L229" s="69" t="n">
        <f aca="false">K229+L228</f>
        <v>-267499.658014222</v>
      </c>
      <c r="M229" s="69" t="n">
        <f aca="false">L229+M228</f>
        <v>-263474.222179556</v>
      </c>
      <c r="N229" s="69" t="n">
        <f aca="false">M229+N228</f>
        <v>-251809.527112889</v>
      </c>
      <c r="O229" s="69" t="n">
        <f aca="false">N229+O228</f>
        <v>-255448.086778329</v>
      </c>
      <c r="P229" s="69" t="n">
        <f aca="false">O229+P228</f>
        <v>-249558.714748622</v>
      </c>
      <c r="Q229" s="69" t="n">
        <f aca="false">P229+Q228</f>
        <v>-243656.842718916</v>
      </c>
      <c r="R229" s="69" t="n">
        <f aca="false">Q229+R228</f>
        <v>-237742.470689209</v>
      </c>
      <c r="S229" s="69" t="n">
        <f aca="false">R229+S228</f>
        <v>-231815.598659502</v>
      </c>
      <c r="T229" s="69" t="n">
        <f aca="false">S229+T228</f>
        <v>-217331.003038276</v>
      </c>
      <c r="U229" s="69" t="n">
        <f aca="false">T229+U228</f>
        <v>-202857.902428889</v>
      </c>
      <c r="V229" s="69" t="n">
        <f aca="false">U229+V228</f>
        <v>-188372.301819502</v>
      </c>
      <c r="W229" s="69" t="n">
        <f aca="false">V229+W228</f>
        <v>-182419.424801636</v>
      </c>
      <c r="X229" s="69" t="n">
        <f aca="false">W229+X228</f>
        <v>-176430.052771929</v>
      </c>
      <c r="Y229" s="69" t="n">
        <f aca="false">X229+Y228</f>
        <v>-170428.180742222</v>
      </c>
      <c r="Z229" s="69" t="n">
        <f aca="false">Y229+Z228</f>
        <v>-155868.585120996</v>
      </c>
      <c r="AA229" s="69" t="n">
        <f aca="false">Z229+AA228</f>
        <v>-157088.343582561</v>
      </c>
      <c r="AB229" s="69" t="n">
        <f aca="false">AA229+AB228</f>
        <v>-148807.430008745</v>
      </c>
      <c r="AC229" s="69" t="n">
        <f aca="false">AB229+AC228</f>
        <v>-141112.877797185</v>
      </c>
      <c r="AD229" s="69" t="n">
        <f aca="false">AC229+AD228</f>
        <v>-134094.018573871</v>
      </c>
      <c r="AE229" s="69" t="n">
        <f aca="false">AD229+AE228</f>
        <v>-127065.284350556</v>
      </c>
      <c r="AF229" s="69" t="n">
        <f aca="false">AE229+AF228</f>
        <v>-112859.483413037</v>
      </c>
      <c r="AG229" s="69" t="n">
        <f aca="false">AF229+AG228</f>
        <v>-98669.263783578</v>
      </c>
      <c r="AH229" s="69" t="n">
        <f aca="false">AG229+AH228</f>
        <v>-84469.1691541193</v>
      </c>
      <c r="AI229" s="69" t="n">
        <f aca="false">AH229+AI228</f>
        <v>-77426.3912388659</v>
      </c>
      <c r="AJ229" s="69" t="n">
        <f aca="false">AI229+AJ228</f>
        <v>-70348.2820155514</v>
      </c>
      <c r="AK229" s="69" t="n">
        <f aca="false">AJ229+AK228</f>
        <v>-63260.2977922369</v>
      </c>
      <c r="AL229" s="69" t="n">
        <f aca="false">AK229+AL228</f>
        <v>-48995.2468547172</v>
      </c>
    </row>
    <row r="230" customFormat="false" ht="15" hidden="false" customHeight="false" outlineLevel="0" collapsed="false">
      <c r="A230" s="118" t="s">
        <v>426</v>
      </c>
      <c r="C230" s="69" t="n">
        <f aca="false">C229</f>
        <v>-205920.330862222</v>
      </c>
      <c r="D230" s="69" t="n">
        <f aca="false">MIN(C230,D229)</f>
        <v>-225119.171251556</v>
      </c>
      <c r="E230" s="69" t="n">
        <f aca="false">MIN(D230,E229)</f>
        <v>-241737.536504889</v>
      </c>
      <c r="F230" s="69" t="n">
        <f aca="false">MIN(E230,F229)</f>
        <v>-255775.426622222</v>
      </c>
      <c r="G230" s="69" t="n">
        <f aca="false">MIN(F230,G229)</f>
        <v>-267232.841603556</v>
      </c>
      <c r="H230" s="69" t="n">
        <f aca="false">MIN(G230,H229)</f>
        <v>-270471.496488889</v>
      </c>
      <c r="I230" s="69" t="n">
        <f aca="false">MIN(H230,I229)</f>
        <v>-270662.226990222</v>
      </c>
      <c r="J230" s="69" t="n">
        <f aca="false">MIN(I230,J229)</f>
        <v>-270662.226990222</v>
      </c>
      <c r="K230" s="69" t="n">
        <f aca="false">MIN(J230,K229)</f>
        <v>-270662.226990222</v>
      </c>
      <c r="L230" s="69" t="n">
        <f aca="false">MIN(K230,L229)</f>
        <v>-270662.226990222</v>
      </c>
      <c r="M230" s="69" t="n">
        <f aca="false">MIN(L230,M229)</f>
        <v>-270662.226990222</v>
      </c>
      <c r="N230" s="69" t="n">
        <f aca="false">MIN(M230,N229)</f>
        <v>-270662.226990222</v>
      </c>
      <c r="O230" s="69" t="n">
        <f aca="false">MIN(N230,O229)</f>
        <v>-270662.226990222</v>
      </c>
      <c r="P230" s="69" t="n">
        <f aca="false">MIN(O230,P229)</f>
        <v>-270662.226990222</v>
      </c>
      <c r="Q230" s="69" t="n">
        <f aca="false">MIN(P230,Q229)</f>
        <v>-270662.226990222</v>
      </c>
      <c r="R230" s="69" t="n">
        <f aca="false">MIN(Q230,R229)</f>
        <v>-270662.226990222</v>
      </c>
      <c r="S230" s="69" t="n">
        <f aca="false">MIN(R230,S229)</f>
        <v>-270662.226990222</v>
      </c>
      <c r="T230" s="69" t="n">
        <f aca="false">MIN(S230,T229)</f>
        <v>-270662.226990222</v>
      </c>
      <c r="U230" s="69" t="n">
        <f aca="false">MIN(T230,U229)</f>
        <v>-270662.226990222</v>
      </c>
      <c r="V230" s="69" t="n">
        <f aca="false">MIN(U230,V229)</f>
        <v>-270662.226990222</v>
      </c>
      <c r="W230" s="69" t="n">
        <f aca="false">MIN(V230,W229)</f>
        <v>-270662.226990222</v>
      </c>
      <c r="X230" s="69" t="n">
        <f aca="false">MIN(W230,X229)</f>
        <v>-270662.226990222</v>
      </c>
      <c r="Y230" s="69" t="n">
        <f aca="false">MIN(X230,Y229)</f>
        <v>-270662.226990222</v>
      </c>
      <c r="Z230" s="69" t="n">
        <f aca="false">MIN(Y230,Z229)</f>
        <v>-270662.226990222</v>
      </c>
      <c r="AA230" s="69" t="n">
        <f aca="false">MIN(Z230,AA229)</f>
        <v>-270662.226990222</v>
      </c>
      <c r="AB230" s="69" t="n">
        <f aca="false">MIN(AA230,AB229)</f>
        <v>-270662.226990222</v>
      </c>
      <c r="AC230" s="69" t="n">
        <f aca="false">MIN(AB230,AC229)</f>
        <v>-270662.226990222</v>
      </c>
      <c r="AD230" s="69" t="n">
        <f aca="false">MIN(AC230,AD229)</f>
        <v>-270662.226990222</v>
      </c>
      <c r="AE230" s="69" t="n">
        <f aca="false">MIN(AD230,AE229)</f>
        <v>-270662.226990222</v>
      </c>
      <c r="AF230" s="69" t="n">
        <f aca="false">MIN(AE230,AF229)</f>
        <v>-270662.226990222</v>
      </c>
      <c r="AG230" s="69" t="n">
        <f aca="false">MIN(AF230,AG229)</f>
        <v>-270662.226990222</v>
      </c>
      <c r="AH230" s="69" t="n">
        <f aca="false">MIN(AG230,AH229)</f>
        <v>-270662.226990222</v>
      </c>
      <c r="AI230" s="69" t="n">
        <f aca="false">MIN(AH230,AI229)</f>
        <v>-270662.226990222</v>
      </c>
      <c r="AJ230" s="69" t="n">
        <f aca="false">MIN(AI230,AJ229)</f>
        <v>-270662.226990222</v>
      </c>
      <c r="AK230" s="69" t="n">
        <f aca="false">MIN(AJ230,AK229)</f>
        <v>-270662.226990222</v>
      </c>
      <c r="AL230" s="69" t="n">
        <f aca="false">MIN(AK230,AL229)</f>
        <v>-270662.226990222</v>
      </c>
    </row>
    <row r="231" customFormat="false" ht="15" hidden="false" customHeight="false" outlineLevel="0" collapsed="false">
      <c r="A231" s="118" t="s">
        <v>427</v>
      </c>
      <c r="C231" s="120" t="n">
        <f aca="false">IF(AND(C229&gt;=0,C230&lt;0),1,0)</f>
        <v>0</v>
      </c>
      <c r="D231" s="120" t="n">
        <f aca="false">IF(AND(D229&gt;=0,D230&lt;0),1,0)</f>
        <v>0</v>
      </c>
      <c r="E231" s="120" t="n">
        <f aca="false">IF(AND(E229&gt;=0,E230&lt;0),1,0)</f>
        <v>0</v>
      </c>
      <c r="F231" s="120" t="n">
        <f aca="false">IF(AND(F229&gt;=0,F230&lt;0),1,0)</f>
        <v>0</v>
      </c>
      <c r="G231" s="120" t="n">
        <f aca="false">IF(AND(G229&gt;=0,G230&lt;0),1,0)</f>
        <v>0</v>
      </c>
      <c r="H231" s="120" t="n">
        <f aca="false">IF(AND(H229&gt;=0,H230&lt;0),1,0)</f>
        <v>0</v>
      </c>
      <c r="I231" s="120" t="n">
        <f aca="false">IF(AND(I229&gt;=0,I230&lt;0),1,0)</f>
        <v>0</v>
      </c>
      <c r="J231" s="120" t="n">
        <f aca="false">IF(AND(J229&gt;=0,J230&lt;0),1,0)</f>
        <v>0</v>
      </c>
      <c r="K231" s="120" t="n">
        <f aca="false">IF(AND(K229&gt;=0,K230&lt;0),1,0)</f>
        <v>0</v>
      </c>
      <c r="L231" s="120" t="n">
        <f aca="false">IF(AND(L229&gt;=0,L230&lt;0),1,0)</f>
        <v>0</v>
      </c>
      <c r="M231" s="120" t="n">
        <f aca="false">IF(AND(M229&gt;=0,M230&lt;0),1,0)</f>
        <v>0</v>
      </c>
      <c r="N231" s="120" t="n">
        <f aca="false">IF(AND(N229&gt;=0,N230&lt;0),1,0)</f>
        <v>0</v>
      </c>
      <c r="O231" s="120" t="n">
        <f aca="false">IF(AND(O229&gt;=0,O230&lt;0),1,0)</f>
        <v>0</v>
      </c>
      <c r="P231" s="120" t="n">
        <f aca="false">IF(AND(P229&gt;=0,P230&lt;0),1,0)</f>
        <v>0</v>
      </c>
      <c r="Q231" s="120" t="n">
        <f aca="false">IF(AND(Q229&gt;=0,Q230&lt;0),1,0)</f>
        <v>0</v>
      </c>
      <c r="R231" s="120" t="n">
        <f aca="false">IF(AND(R229&gt;=0,R230&lt;0),1,0)</f>
        <v>0</v>
      </c>
      <c r="S231" s="120" t="n">
        <f aca="false">IF(AND(S229&gt;=0,S230&lt;0),1,0)</f>
        <v>0</v>
      </c>
      <c r="T231" s="120" t="n">
        <f aca="false">IF(AND(T229&gt;=0,T230&lt;0),1,0)</f>
        <v>0</v>
      </c>
      <c r="U231" s="120" t="n">
        <f aca="false">IF(AND(U229&gt;=0,U230&lt;0),1,0)</f>
        <v>0</v>
      </c>
      <c r="V231" s="120" t="n">
        <f aca="false">IF(AND(V229&gt;=0,V230&lt;0),1,0)</f>
        <v>0</v>
      </c>
      <c r="W231" s="120" t="n">
        <f aca="false">IF(AND(W229&gt;=0,W230&lt;0),1,0)</f>
        <v>0</v>
      </c>
      <c r="X231" s="120" t="n">
        <f aca="false">IF(AND(X229&gt;=0,X230&lt;0),1,0)</f>
        <v>0</v>
      </c>
      <c r="Y231" s="120" t="n">
        <f aca="false">IF(AND(Y229&gt;=0,Y230&lt;0),1,0)</f>
        <v>0</v>
      </c>
      <c r="Z231" s="120" t="n">
        <f aca="false">IF(AND(Z229&gt;=0,Z230&lt;0),1,0)</f>
        <v>0</v>
      </c>
      <c r="AA231" s="120" t="n">
        <f aca="false">IF(AND(AA229&gt;=0,AA230&lt;0),1,0)</f>
        <v>0</v>
      </c>
      <c r="AB231" s="120" t="n">
        <f aca="false">IF(AND(AB229&gt;=0,AB230&lt;0),1,0)</f>
        <v>0</v>
      </c>
      <c r="AC231" s="120" t="n">
        <f aca="false">IF(AND(AC229&gt;=0,AC230&lt;0),1,0)</f>
        <v>0</v>
      </c>
      <c r="AD231" s="120" t="n">
        <f aca="false">IF(AND(AD229&gt;=0,AD230&lt;0),1,0)</f>
        <v>0</v>
      </c>
      <c r="AE231" s="120" t="n">
        <f aca="false">IF(AND(AE229&gt;=0,AE230&lt;0),1,0)</f>
        <v>0</v>
      </c>
      <c r="AF231" s="120" t="n">
        <f aca="false">IF(AND(AF229&gt;=0,AF230&lt;0),1,0)</f>
        <v>0</v>
      </c>
      <c r="AG231" s="120" t="n">
        <f aca="false">IF(AND(AG229&gt;=0,AG230&lt;0),1,0)</f>
        <v>0</v>
      </c>
      <c r="AH231" s="120" t="n">
        <f aca="false">IF(AND(AH229&gt;=0,AH230&lt;0),1,0)</f>
        <v>0</v>
      </c>
      <c r="AI231" s="120" t="n">
        <f aca="false">IF(AND(AI229&gt;=0,AI230&lt;0),1,0)</f>
        <v>0</v>
      </c>
      <c r="AJ231" s="120" t="n">
        <f aca="false">IF(AND(AJ229&gt;=0,AJ230&lt;0),1,0)</f>
        <v>0</v>
      </c>
      <c r="AK231" s="120" t="n">
        <f aca="false">IF(AND(AK229&gt;=0,AK230&lt;0),1,0)</f>
        <v>0</v>
      </c>
      <c r="AL231" s="120" t="n">
        <f aca="false">IF(AND(AL229&gt;=0,AL230&lt;0),1,0)</f>
        <v>0</v>
      </c>
    </row>
    <row r="232" customFormat="false" ht="15" hidden="false" customHeight="false" outlineLevel="0" collapsed="false">
      <c r="A232" s="6" t="s">
        <v>428</v>
      </c>
      <c r="C232" s="69" t="n">
        <f aca="false">C217-C182*(1-Inputs!$C$83)+C218</f>
        <v>-205327.830862222</v>
      </c>
      <c r="D232" s="69" t="n">
        <f aca="false">D217-D182*(1-Inputs!$C$83)+D218</f>
        <v>-18611.2778893333</v>
      </c>
      <c r="E232" s="69" t="n">
        <f aca="false">E217-E182*(1-Inputs!$C$83)+E218</f>
        <v>-16040.6777533333</v>
      </c>
      <c r="F232" s="69" t="n">
        <f aca="false">F217-F182*(1-Inputs!$C$83)+F218</f>
        <v>-13470.0776173333</v>
      </c>
      <c r="G232" s="69" t="n">
        <f aca="false">G217-G182*(1-Inputs!$C$83)+G218</f>
        <v>-10899.4774813333</v>
      </c>
      <c r="H232" s="69" t="n">
        <f aca="false">H217-H182*(1-Inputs!$C$83)+H218</f>
        <v>-2690.59238533334</v>
      </c>
      <c r="I232" s="69" t="n">
        <f aca="false">I217-I182*(1-Inputs!$C$83)+I218</f>
        <v>347.456998666666</v>
      </c>
      <c r="J232" s="69" t="n">
        <f aca="false">J217-J182*(1-Inputs!$C$83)+J218</f>
        <v>3399.98164666667</v>
      </c>
      <c r="K232" s="69" t="n">
        <f aca="false">K217-K182*(1-Inputs!$C$83)+K218</f>
        <v>-635.623369333339</v>
      </c>
      <c r="L232" s="69" t="n">
        <f aca="false">L217-L182*(1-Inputs!$C$83)+L218</f>
        <v>1953.52319866666</v>
      </c>
      <c r="M232" s="69" t="n">
        <f aca="false">M217-M182*(1-Inputs!$C$83)+M218</f>
        <v>4524.12333466666</v>
      </c>
      <c r="N232" s="69" t="n">
        <f aca="false">N217-N182*(1-Inputs!$C$83)+N218</f>
        <v>12153.5075666667</v>
      </c>
      <c r="O232" s="69" t="n">
        <f aca="false">O217-O182*(1-Inputs!$C$83)+O218</f>
        <v>-3159.62216544</v>
      </c>
      <c r="P232" s="69" t="n">
        <f aca="false">P217-P182*(1-Inputs!$C$83)+P218</f>
        <v>6358.43452970667</v>
      </c>
      <c r="Q232" s="69" t="n">
        <f aca="false">Q217-Q182*(1-Inputs!$C$83)+Q218</f>
        <v>6361.05952970667</v>
      </c>
      <c r="R232" s="69" t="n">
        <f aca="false">R217-R182*(1-Inputs!$C$83)+R218</f>
        <v>6363.68452970667</v>
      </c>
      <c r="S232" s="69" t="n">
        <f aca="false">S217-S182*(1-Inputs!$C$83)+S218</f>
        <v>6366.30952970667</v>
      </c>
      <c r="T232" s="69" t="n">
        <f aca="false">T217-T182*(1-Inputs!$C$83)+T218</f>
        <v>14914.1581212267</v>
      </c>
      <c r="U232" s="69" t="n">
        <f aca="false">U217-U182*(1-Inputs!$C$83)+U218</f>
        <v>14892.7881093867</v>
      </c>
      <c r="V232" s="69" t="n">
        <f aca="false">V217-V182*(1-Inputs!$C$83)+V218</f>
        <v>14895.4131093867</v>
      </c>
      <c r="W232" s="69" t="n">
        <f aca="false">W217-W182*(1-Inputs!$C$83)+W218</f>
        <v>6352.81451786667</v>
      </c>
      <c r="X232" s="69" t="n">
        <f aca="false">X217-X182*(1-Inputs!$C$83)+X218</f>
        <v>6379.43452970667</v>
      </c>
      <c r="Y232" s="69" t="n">
        <f aca="false">Y217-Y182*(1-Inputs!$C$83)+Y218</f>
        <v>6382.05952970667</v>
      </c>
      <c r="Z232" s="69" t="n">
        <f aca="false">Z217-Z182*(1-Inputs!$C$83)+Z218</f>
        <v>14929.9081212267</v>
      </c>
      <c r="AA232" s="69" t="n">
        <f aca="false">AA217-AA182*(1-Inputs!$C$83)+AA218</f>
        <v>-859.320961565307</v>
      </c>
      <c r="AB232" s="69" t="n">
        <f aca="false">AB217-AB182*(1-Inputs!$C$83)+AB218</f>
        <v>8631.47607381579</v>
      </c>
      <c r="AC232" s="69" t="n">
        <f aca="false">AC217-AC182*(1-Inputs!$C$83)+AC218</f>
        <v>8035.23971155984</v>
      </c>
      <c r="AD232" s="69" t="n">
        <f aca="false">AD217-AD182*(1-Inputs!$C$83)+AD218</f>
        <v>7349.67172331448</v>
      </c>
      <c r="AE232" s="69" t="n">
        <f aca="false">AE217-AE182*(1-Inputs!$C$83)+AE218</f>
        <v>7349.67172331448</v>
      </c>
      <c r="AF232" s="69" t="n">
        <f aca="false">AF217-AF182*(1-Inputs!$C$83)+AF218</f>
        <v>14516.8634375197</v>
      </c>
      <c r="AG232" s="69" t="n">
        <f aca="false">AG217-AG182*(1-Inputs!$C$83)+AG218</f>
        <v>14491.4071294587</v>
      </c>
      <c r="AH232" s="69" t="n">
        <f aca="false">AH217-AH182*(1-Inputs!$C$83)+AH218</f>
        <v>14491.4071294587</v>
      </c>
      <c r="AI232" s="69" t="n">
        <f aca="false">AI217-AI182*(1-Inputs!$C$83)+AI218</f>
        <v>7324.21541525342</v>
      </c>
      <c r="AJ232" s="69" t="n">
        <f aca="false">AJ217-AJ182*(1-Inputs!$C$83)+AJ218</f>
        <v>7349.67172331448</v>
      </c>
      <c r="AK232" s="69" t="n">
        <f aca="false">AK217-AK182*(1-Inputs!$C$83)+AK218</f>
        <v>7349.67172331448</v>
      </c>
      <c r="AL232" s="69" t="n">
        <f aca="false">AL217-AL182*(1-Inputs!$C$83)+AL218</f>
        <v>14516.8634375197</v>
      </c>
    </row>
    <row r="234" customFormat="false" ht="15.75" hidden="false" customHeight="true" outlineLevel="0" collapsed="false">
      <c r="A234" s="7" t="s">
        <v>429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customFormat="false" ht="15" hidden="false" customHeight="false" outlineLevel="0" collapsed="false">
      <c r="A235" s="6" t="s">
        <v>97</v>
      </c>
      <c r="C235" s="69" t="n">
        <f aca="false">C219</f>
        <v>330000</v>
      </c>
      <c r="D235" s="69" t="n">
        <f aca="false">C235+D219</f>
        <v>330000</v>
      </c>
      <c r="E235" s="69" t="n">
        <f aca="false">D235+E219</f>
        <v>330000</v>
      </c>
      <c r="F235" s="69" t="n">
        <f aca="false">E235+F219</f>
        <v>330000</v>
      </c>
      <c r="G235" s="69" t="n">
        <f aca="false">F235+G219</f>
        <v>330000</v>
      </c>
      <c r="H235" s="69" t="n">
        <f aca="false">G235+H219</f>
        <v>330000</v>
      </c>
      <c r="I235" s="69" t="n">
        <f aca="false">H235+I219</f>
        <v>330000</v>
      </c>
      <c r="J235" s="69" t="n">
        <f aca="false">I235+J219</f>
        <v>330000</v>
      </c>
      <c r="K235" s="69" t="n">
        <f aca="false">J235+K219</f>
        <v>330000</v>
      </c>
      <c r="L235" s="69" t="n">
        <f aca="false">K235+L219</f>
        <v>330000</v>
      </c>
      <c r="M235" s="69" t="n">
        <f aca="false">L235+M219</f>
        <v>330000</v>
      </c>
      <c r="N235" s="69" t="n">
        <f aca="false">M235+N219</f>
        <v>330000</v>
      </c>
      <c r="O235" s="69" t="n">
        <f aca="false">N235+O219</f>
        <v>330000</v>
      </c>
      <c r="P235" s="69" t="n">
        <f aca="false">O235+P219</f>
        <v>330000</v>
      </c>
      <c r="Q235" s="69" t="n">
        <f aca="false">P235+Q219</f>
        <v>330000</v>
      </c>
      <c r="R235" s="69" t="n">
        <f aca="false">Q235+R219</f>
        <v>330000</v>
      </c>
      <c r="S235" s="69" t="n">
        <f aca="false">R235+S219</f>
        <v>330000</v>
      </c>
      <c r="T235" s="69" t="n">
        <f aca="false">S235+T219</f>
        <v>330000</v>
      </c>
      <c r="U235" s="69" t="n">
        <f aca="false">T235+U219</f>
        <v>330000</v>
      </c>
      <c r="V235" s="69" t="n">
        <f aca="false">U235+V219</f>
        <v>330000</v>
      </c>
      <c r="W235" s="69" t="n">
        <f aca="false">V235+W219</f>
        <v>330000</v>
      </c>
      <c r="X235" s="69" t="n">
        <f aca="false">W235+X219</f>
        <v>330000</v>
      </c>
      <c r="Y235" s="69" t="n">
        <f aca="false">X235+Y219</f>
        <v>330000</v>
      </c>
      <c r="Z235" s="69" t="n">
        <f aca="false">Y235+Z219</f>
        <v>330000</v>
      </c>
      <c r="AA235" s="69" t="n">
        <f aca="false">Z235+AA219</f>
        <v>330000</v>
      </c>
      <c r="AB235" s="69" t="n">
        <f aca="false">AA235+AB219</f>
        <v>330000</v>
      </c>
      <c r="AC235" s="69" t="n">
        <f aca="false">AB235+AC219</f>
        <v>330000</v>
      </c>
      <c r="AD235" s="69" t="n">
        <f aca="false">AC235+AD219</f>
        <v>330000</v>
      </c>
      <c r="AE235" s="69" t="n">
        <f aca="false">AD235+AE219</f>
        <v>330000</v>
      </c>
      <c r="AF235" s="69" t="n">
        <f aca="false">AE235+AF219</f>
        <v>330000</v>
      </c>
      <c r="AG235" s="69" t="n">
        <f aca="false">AF235+AG219</f>
        <v>330000</v>
      </c>
      <c r="AH235" s="69" t="n">
        <f aca="false">AG235+AH219</f>
        <v>330000</v>
      </c>
      <c r="AI235" s="69" t="n">
        <f aca="false">AH235+AI219</f>
        <v>330000</v>
      </c>
      <c r="AJ235" s="69" t="n">
        <f aca="false">AI235+AJ219</f>
        <v>330000</v>
      </c>
      <c r="AK235" s="69" t="n">
        <f aca="false">AJ235+AK219</f>
        <v>330000</v>
      </c>
      <c r="AL235" s="69" t="n">
        <f aca="false">AK235+AL219</f>
        <v>330000</v>
      </c>
    </row>
    <row r="236" customFormat="false" ht="15" hidden="false" customHeight="false" outlineLevel="0" collapsed="false">
      <c r="A236" s="6" t="s">
        <v>98</v>
      </c>
      <c r="C236" s="69" t="n">
        <f aca="false">C187</f>
        <v>-24169.7490933333</v>
      </c>
      <c r="D236" s="69" t="n">
        <f aca="false">C236+D187</f>
        <v>-45765.2730506667</v>
      </c>
      <c r="E236" s="69" t="n">
        <f aca="false">D236+E187</f>
        <v>-64780.321872</v>
      </c>
      <c r="F236" s="69" t="n">
        <f aca="false">E236+F187</f>
        <v>-81214.8955573333</v>
      </c>
      <c r="G236" s="69" t="n">
        <f aca="false">F236+G187</f>
        <v>-95068.9941066667</v>
      </c>
      <c r="H236" s="69" t="n">
        <f aca="false">G236+H187</f>
        <v>-100720.16488</v>
      </c>
      <c r="I236" s="69" t="n">
        <f aca="false">H236+I187</f>
        <v>-103308.936005333</v>
      </c>
      <c r="J236" s="69" t="n">
        <f aca="false">I236+J187</f>
        <v>-102835.307482667</v>
      </c>
      <c r="K236" s="69" t="n">
        <f aca="false">J236+K187</f>
        <v>-106367.505488</v>
      </c>
      <c r="L236" s="69" t="n">
        <f aca="false">K236+L187</f>
        <v>-107319.228357333</v>
      </c>
      <c r="M236" s="69" t="n">
        <f aca="false">L236+M187</f>
        <v>-105690.476090667</v>
      </c>
      <c r="N236" s="69" t="n">
        <f aca="false">M236+N187</f>
        <v>-96017.148624</v>
      </c>
      <c r="O236" s="69" t="n">
        <f aca="false">N236+O187</f>
        <v>-92213.19326096</v>
      </c>
      <c r="P236" s="69" t="n">
        <f aca="false">O236+P187</f>
        <v>-88396.73789792</v>
      </c>
      <c r="Q236" s="69" t="n">
        <f aca="false">P236+Q187</f>
        <v>-84567.78253488</v>
      </c>
      <c r="R236" s="69" t="n">
        <f aca="false">Q236+R187</f>
        <v>-80726.32717184</v>
      </c>
      <c r="S236" s="69" t="n">
        <f aca="false">R236+S187</f>
        <v>-76872.3718088</v>
      </c>
      <c r="T236" s="69" t="n">
        <f aca="false">S236+T187</f>
        <v>-64484.68786608</v>
      </c>
      <c r="U236" s="69" t="n">
        <f aca="false">T236+U187</f>
        <v>-52084.50392336</v>
      </c>
      <c r="V236" s="69" t="n">
        <f aca="false">U236+V187</f>
        <v>-39671.81998064</v>
      </c>
      <c r="W236" s="69" t="n">
        <f aca="false">V236+W187</f>
        <v>-35767.8646176</v>
      </c>
      <c r="X236" s="69" t="n">
        <f aca="false">W236+X187</f>
        <v>-31851.40925456</v>
      </c>
      <c r="Y236" s="69" t="n">
        <f aca="false">X236+Y187</f>
        <v>-27922.45389152</v>
      </c>
      <c r="Z236" s="69" t="n">
        <f aca="false">Y236+Z187</f>
        <v>-15459.7699488</v>
      </c>
      <c r="AA236" s="69" t="n">
        <f aca="false">Z236+AA187</f>
        <v>-9368.43970831752</v>
      </c>
      <c r="AB236" s="69" t="n">
        <f aca="false">AA236+AB187</f>
        <v>-3264.60946783506</v>
      </c>
      <c r="AC236" s="69" t="n">
        <f aca="false">AB236+AC187</f>
        <v>2252.85941039144</v>
      </c>
      <c r="AD236" s="69" t="n">
        <f aca="false">AC236+AD187</f>
        <v>7094.63530037259</v>
      </c>
      <c r="AE236" s="69" t="n">
        <f aca="false">AD236+AE187</f>
        <v>11946.2861903537</v>
      </c>
      <c r="AF236" s="69" t="n">
        <f aca="false">AE236+AF187</f>
        <v>23949.5474864791</v>
      </c>
      <c r="AG236" s="69" t="n">
        <f aca="false">AF236+AG187</f>
        <v>35962.6837826044</v>
      </c>
      <c r="AH236" s="69" t="n">
        <f aca="false">AG236+AH187</f>
        <v>47985.6950787297</v>
      </c>
      <c r="AI236" s="69" t="n">
        <f aca="false">AH236+AI187</f>
        <v>52876.8459687109</v>
      </c>
      <c r="AJ236" s="69" t="n">
        <f aca="false">AI236+AJ187</f>
        <v>57777.871858692</v>
      </c>
      <c r="AK236" s="69" t="n">
        <f aca="false">AJ236+AK187</f>
        <v>62688.7727486732</v>
      </c>
      <c r="AL236" s="69" t="n">
        <f aca="false">AK236+AL187</f>
        <v>74751.2840447985</v>
      </c>
    </row>
    <row r="237" customFormat="false" ht="15" hidden="false" customHeight="false" outlineLevel="0" collapsed="false">
      <c r="A237" s="4" t="s">
        <v>93</v>
      </c>
      <c r="C237" s="75" t="n">
        <f aca="false">C223+C209+C210+C200</f>
        <v>414972.087351111</v>
      </c>
      <c r="D237" s="75" t="n">
        <f aca="false">D223+D209+D210+D200</f>
        <v>392602.005527111</v>
      </c>
      <c r="E237" s="75" t="n">
        <f aca="false">E223+E209+E210+E200</f>
        <v>372812.398839111</v>
      </c>
      <c r="F237" s="75" t="n">
        <f aca="false">F223+F209+F210+F200</f>
        <v>355603.267287111</v>
      </c>
      <c r="G237" s="75" t="n">
        <f aca="false">G223+G209+G210+G200</f>
        <v>340974.610871111</v>
      </c>
      <c r="H237" s="75" t="n">
        <f aca="false">H223+H209+H210+H200</f>
        <v>335142.594231111</v>
      </c>
      <c r="I237" s="75" t="n">
        <f aca="false">I223+I209+I210+I200</f>
        <v>331830.154839111</v>
      </c>
      <c r="J237" s="75" t="n">
        <f aca="false">J223+J209+J210+J200</f>
        <v>331580.115095111</v>
      </c>
      <c r="K237" s="75" t="n">
        <f aca="false">K223+K209+K210+K200</f>
        <v>326577.868023111</v>
      </c>
      <c r="L237" s="75" t="n">
        <f aca="false">L223+L209+L210+L200</f>
        <v>324851.587287111</v>
      </c>
      <c r="M237" s="75" t="n">
        <f aca="false">M223+M209+M210+M200</f>
        <v>325705.781687111</v>
      </c>
      <c r="N237" s="75" t="n">
        <f aca="false">N223+N209+N210+N200</f>
        <v>334560.602487111</v>
      </c>
      <c r="O237" s="75" t="n">
        <f aca="false">O223+O209+O210+O200</f>
        <v>336851.054948818</v>
      </c>
      <c r="P237" s="75" t="n">
        <f aca="false">P223+P209+P210+P200</f>
        <v>339000.843645191</v>
      </c>
      <c r="Q237" s="75" t="n">
        <f aca="false">Q223+Q209+Q210+Q200</f>
        <v>341163.132341564</v>
      </c>
      <c r="R237" s="75" t="n">
        <f aca="false">R223+R209+R210+R200</f>
        <v>343337.921037938</v>
      </c>
      <c r="S237" s="75" t="n">
        <f aca="false">S223+S209+S210+S200</f>
        <v>345525.209734311</v>
      </c>
      <c r="T237" s="75" t="n">
        <f aca="false">T223+T209+T210+T200</f>
        <v>357146.039954365</v>
      </c>
      <c r="U237" s="75" t="n">
        <f aca="false">U223+U209+U210+U200</f>
        <v>367879.557230418</v>
      </c>
      <c r="V237" s="75" t="n">
        <f aca="false">V223+V209+V210+V200</f>
        <v>378625.574506471</v>
      </c>
      <c r="W237" s="75" t="n">
        <f aca="false">W223+W209+W210+W200</f>
        <v>379963.050258844</v>
      </c>
      <c r="X237" s="75" t="n">
        <f aca="false">X223+X209+X210+X200</f>
        <v>382212.838955218</v>
      </c>
      <c r="Y237" s="75" t="n">
        <f aca="false">Y223+Y209+Y210+Y200</f>
        <v>384475.127651591</v>
      </c>
      <c r="Z237" s="75" t="n">
        <f aca="false">Z223+Z209+Z210+Z200</f>
        <v>396170.957871644</v>
      </c>
      <c r="AA237" s="75" t="n">
        <f aca="false">AA223+AA209+AA210+AA200</f>
        <v>400755.151634102</v>
      </c>
      <c r="AB237" s="75" t="n">
        <f aca="false">AB223+AB209+AB210+AB200</f>
        <v>405192.315207918</v>
      </c>
      <c r="AC237" s="75" t="n">
        <f aca="false">AC223+AC209+AC210+AC200</f>
        <v>409043.117419478</v>
      </c>
      <c r="AD237" s="75" t="n">
        <f aca="false">AD223+AD209+AD210+AD200</f>
        <v>412218.226642793</v>
      </c>
      <c r="AE237" s="75" t="n">
        <f aca="false">AE223+AE209+AE210+AE200</f>
        <v>415403.210866107</v>
      </c>
      <c r="AF237" s="75" t="n">
        <f aca="false">AF223+AF209+AF210+AF200</f>
        <v>426694.417047855</v>
      </c>
      <c r="AG237" s="75" t="n">
        <f aca="false">AG223+AG209+AG210+AG200</f>
        <v>437040.886677314</v>
      </c>
      <c r="AH237" s="75" t="n">
        <f aca="false">AH223+AH209+AH210+AH200</f>
        <v>447397.231306773</v>
      </c>
      <c r="AI237" s="75" t="n">
        <f aca="false">AI223+AI209+AI210+AI200</f>
        <v>449667.103977798</v>
      </c>
      <c r="AJ237" s="75" t="n">
        <f aca="false">AJ223+AJ209+AJ210+AJ200</f>
        <v>452901.463201112</v>
      </c>
      <c r="AK237" s="75" t="n">
        <f aca="false">AK223+AK209+AK210+AK200</f>
        <v>456145.697424426</v>
      </c>
      <c r="AL237" s="75" t="n">
        <f aca="false">AL223+AL209+AL210+AL200</f>
        <v>467496.153606175</v>
      </c>
    </row>
    <row r="238" customFormat="false" ht="15" hidden="false" customHeight="false" outlineLevel="0" collapsed="false">
      <c r="A238" s="6" t="s">
        <v>96</v>
      </c>
      <c r="C238" s="69" t="n">
        <f aca="false">C211+C206</f>
        <v>109141.836444444</v>
      </c>
      <c r="D238" s="69" t="n">
        <f aca="false">D211+D206</f>
        <v>108367.278577778</v>
      </c>
      <c r="E238" s="69" t="n">
        <f aca="false">E211+E206</f>
        <v>107592.720711111</v>
      </c>
      <c r="F238" s="69" t="n">
        <f aca="false">F211+F206</f>
        <v>106818.162844444</v>
      </c>
      <c r="G238" s="69" t="n">
        <f aca="false">G211+G206</f>
        <v>106043.604977778</v>
      </c>
      <c r="H238" s="69" t="n">
        <f aca="false">H211+H206</f>
        <v>105862.759111111</v>
      </c>
      <c r="I238" s="69" t="n">
        <f aca="false">I211+I206</f>
        <v>105139.090844444</v>
      </c>
      <c r="J238" s="69" t="n">
        <f aca="false">J211+J206</f>
        <v>104415.422577778</v>
      </c>
      <c r="K238" s="69" t="n">
        <f aca="false">K211+K206</f>
        <v>102945.373511111</v>
      </c>
      <c r="L238" s="69" t="n">
        <f aca="false">L211+L206</f>
        <v>102170.815644444</v>
      </c>
      <c r="M238" s="69" t="n">
        <f aca="false">M211+M206</f>
        <v>101396.257777778</v>
      </c>
      <c r="N238" s="69" t="n">
        <f aca="false">N211+N206</f>
        <v>100577.751111111</v>
      </c>
      <c r="O238" s="69" t="n">
        <f aca="false">O211+O206</f>
        <v>99064.2482097777</v>
      </c>
      <c r="P238" s="69" t="n">
        <f aca="false">P211+P206</f>
        <v>97397.581543111</v>
      </c>
      <c r="Q238" s="69" t="n">
        <f aca="false">Q211+Q206</f>
        <v>95730.9148764444</v>
      </c>
      <c r="R238" s="69" t="n">
        <f aca="false">R211+R206</f>
        <v>94064.2482097777</v>
      </c>
      <c r="S238" s="69" t="n">
        <f aca="false">S211+S206</f>
        <v>92397.581543111</v>
      </c>
      <c r="T238" s="69" t="n">
        <f aca="false">T211+T206</f>
        <v>91630.7278204444</v>
      </c>
      <c r="U238" s="69" t="n">
        <f aca="false">U211+U206</f>
        <v>89964.0611537777</v>
      </c>
      <c r="V238" s="69" t="n">
        <f aca="false">V211+V206</f>
        <v>88297.394487111</v>
      </c>
      <c r="W238" s="69" t="n">
        <f aca="false">W211+W206</f>
        <v>85730.9148764444</v>
      </c>
      <c r="X238" s="69" t="n">
        <f aca="false">X211+X206</f>
        <v>84064.2482097777</v>
      </c>
      <c r="Y238" s="69" t="n">
        <f aca="false">Y211+Y206</f>
        <v>82397.581543111</v>
      </c>
      <c r="Z238" s="69" t="n">
        <f aca="false">Z211+Z206</f>
        <v>81630.7278204444</v>
      </c>
      <c r="AA238" s="69" t="n">
        <f aca="false">AA211+AA206</f>
        <v>80123.5913424198</v>
      </c>
      <c r="AB238" s="69" t="n">
        <f aca="false">AB211+AB206</f>
        <v>78456.9246757532</v>
      </c>
      <c r="AC238" s="69" t="n">
        <f aca="false">AC211+AC206</f>
        <v>76790.2580090865</v>
      </c>
      <c r="AD238" s="69" t="n">
        <f aca="false">AD211+AD206</f>
        <v>75123.5913424198</v>
      </c>
      <c r="AE238" s="69" t="n">
        <f aca="false">AE211+AE206</f>
        <v>73456.9246757532</v>
      </c>
      <c r="AF238" s="69" t="n">
        <f aca="false">AF211+AF206</f>
        <v>72744.8695613761</v>
      </c>
      <c r="AG238" s="69" t="n">
        <f aca="false">AG211+AG206</f>
        <v>71078.2028947094</v>
      </c>
      <c r="AH238" s="69" t="n">
        <f aca="false">AH211+AH206</f>
        <v>69411.5362280428</v>
      </c>
      <c r="AI238" s="69" t="n">
        <f aca="false">AI211+AI206</f>
        <v>66790.2580090865</v>
      </c>
      <c r="AJ238" s="69" t="n">
        <f aca="false">AJ211+AJ206</f>
        <v>65123.5913424198</v>
      </c>
      <c r="AK238" s="69" t="n">
        <f aca="false">AK211+AK206</f>
        <v>63456.9246757532</v>
      </c>
      <c r="AL238" s="69" t="n">
        <f aca="false">AL211+AL206</f>
        <v>62744.8695613761</v>
      </c>
    </row>
    <row r="239" customFormat="false" ht="15" hidden="false" customHeight="false" outlineLevel="0" collapsed="false">
      <c r="A239" s="6" t="s">
        <v>99</v>
      </c>
      <c r="C239" s="69" t="n">
        <f aca="false">C235+C236</f>
        <v>305830.250906667</v>
      </c>
      <c r="D239" s="69" t="n">
        <f aca="false">D235+D236</f>
        <v>284234.726949333</v>
      </c>
      <c r="E239" s="69" t="n">
        <f aca="false">E235+E236</f>
        <v>265219.678128</v>
      </c>
      <c r="F239" s="69" t="n">
        <f aca="false">F235+F236</f>
        <v>248785.104442667</v>
      </c>
      <c r="G239" s="69" t="n">
        <f aca="false">G235+G236</f>
        <v>234931.005893333</v>
      </c>
      <c r="H239" s="69" t="n">
        <f aca="false">H235+H236</f>
        <v>229279.83512</v>
      </c>
      <c r="I239" s="69" t="n">
        <f aca="false">I235+I236</f>
        <v>226691.063994667</v>
      </c>
      <c r="J239" s="69" t="n">
        <f aca="false">J235+J236</f>
        <v>227164.692517333</v>
      </c>
      <c r="K239" s="69" t="n">
        <f aca="false">K235+K236</f>
        <v>223632.494512</v>
      </c>
      <c r="L239" s="69" t="n">
        <f aca="false">L235+L236</f>
        <v>222680.771642667</v>
      </c>
      <c r="M239" s="69" t="n">
        <f aca="false">M235+M236</f>
        <v>224309.523909333</v>
      </c>
      <c r="N239" s="69" t="n">
        <f aca="false">N235+N236</f>
        <v>233982.851376</v>
      </c>
      <c r="O239" s="69" t="n">
        <f aca="false">O235+O236</f>
        <v>237786.80673904</v>
      </c>
      <c r="P239" s="69" t="n">
        <f aca="false">P235+P236</f>
        <v>241603.26210208</v>
      </c>
      <c r="Q239" s="69" t="n">
        <f aca="false">Q235+Q236</f>
        <v>245432.21746512</v>
      </c>
      <c r="R239" s="69" t="n">
        <f aca="false">R235+R236</f>
        <v>249273.67282816</v>
      </c>
      <c r="S239" s="69" t="n">
        <f aca="false">S235+S236</f>
        <v>253127.6281912</v>
      </c>
      <c r="T239" s="69" t="n">
        <f aca="false">T235+T236</f>
        <v>265515.31213392</v>
      </c>
      <c r="U239" s="69" t="n">
        <f aca="false">U235+U236</f>
        <v>277915.49607664</v>
      </c>
      <c r="V239" s="69" t="n">
        <f aca="false">V235+V236</f>
        <v>290328.18001936</v>
      </c>
      <c r="W239" s="69" t="n">
        <f aca="false">W235+W236</f>
        <v>294232.1353824</v>
      </c>
      <c r="X239" s="69" t="n">
        <f aca="false">X235+X236</f>
        <v>298148.59074544</v>
      </c>
      <c r="Y239" s="69" t="n">
        <f aca="false">Y235+Y236</f>
        <v>302077.54610848</v>
      </c>
      <c r="Z239" s="69" t="n">
        <f aca="false">Z235+Z236</f>
        <v>314540.2300512</v>
      </c>
      <c r="AA239" s="69" t="n">
        <f aca="false">AA235+AA236</f>
        <v>320631.560291683</v>
      </c>
      <c r="AB239" s="69" t="n">
        <f aca="false">AB235+AB236</f>
        <v>326735.390532165</v>
      </c>
      <c r="AC239" s="69" t="n">
        <f aca="false">AC235+AC236</f>
        <v>332252.859410391</v>
      </c>
      <c r="AD239" s="69" t="n">
        <f aca="false">AD235+AD236</f>
        <v>337094.635300373</v>
      </c>
      <c r="AE239" s="69" t="n">
        <f aca="false">AE235+AE236</f>
        <v>341946.286190354</v>
      </c>
      <c r="AF239" s="69" t="n">
        <f aca="false">AF235+AF236</f>
        <v>353949.547486479</v>
      </c>
      <c r="AG239" s="69" t="n">
        <f aca="false">AG235+AG236</f>
        <v>365962.683782604</v>
      </c>
      <c r="AH239" s="69" t="n">
        <f aca="false">AH235+AH236</f>
        <v>377985.69507873</v>
      </c>
      <c r="AI239" s="69" t="n">
        <f aca="false">AI235+AI236</f>
        <v>382876.845968711</v>
      </c>
      <c r="AJ239" s="69" t="n">
        <f aca="false">AJ235+AJ236</f>
        <v>387777.871858692</v>
      </c>
      <c r="AK239" s="69" t="n">
        <f aca="false">AK235+AK236</f>
        <v>392688.772748673</v>
      </c>
      <c r="AL239" s="69" t="n">
        <f aca="false">AL235+AL236</f>
        <v>404751.284044798</v>
      </c>
    </row>
    <row r="240" customFormat="false" ht="15" hidden="false" customHeight="false" outlineLevel="0" collapsed="false">
      <c r="A240" s="4" t="s">
        <v>100</v>
      </c>
      <c r="C240" s="75" t="n">
        <f aca="false">C238+C239</f>
        <v>414972.087351111</v>
      </c>
      <c r="D240" s="75" t="n">
        <f aca="false">D238+D239</f>
        <v>392602.005527111</v>
      </c>
      <c r="E240" s="75" t="n">
        <f aca="false">E238+E239</f>
        <v>372812.398839111</v>
      </c>
      <c r="F240" s="75" t="n">
        <f aca="false">F238+F239</f>
        <v>355603.267287111</v>
      </c>
      <c r="G240" s="75" t="n">
        <f aca="false">G238+G239</f>
        <v>340974.610871111</v>
      </c>
      <c r="H240" s="75" t="n">
        <f aca="false">H238+H239</f>
        <v>335142.594231111</v>
      </c>
      <c r="I240" s="75" t="n">
        <f aca="false">I238+I239</f>
        <v>331830.154839111</v>
      </c>
      <c r="J240" s="75" t="n">
        <f aca="false">J238+J239</f>
        <v>331580.115095111</v>
      </c>
      <c r="K240" s="75" t="n">
        <f aca="false">K238+K239</f>
        <v>326577.868023111</v>
      </c>
      <c r="L240" s="75" t="n">
        <f aca="false">L238+L239</f>
        <v>324851.587287111</v>
      </c>
      <c r="M240" s="75" t="n">
        <f aca="false">M238+M239</f>
        <v>325705.781687111</v>
      </c>
      <c r="N240" s="75" t="n">
        <f aca="false">N238+N239</f>
        <v>334560.602487111</v>
      </c>
      <c r="O240" s="75" t="n">
        <f aca="false">O238+O239</f>
        <v>336851.054948818</v>
      </c>
      <c r="P240" s="75" t="n">
        <f aca="false">P238+P239</f>
        <v>339000.843645191</v>
      </c>
      <c r="Q240" s="75" t="n">
        <f aca="false">Q238+Q239</f>
        <v>341163.132341564</v>
      </c>
      <c r="R240" s="75" t="n">
        <f aca="false">R238+R239</f>
        <v>343337.921037938</v>
      </c>
      <c r="S240" s="75" t="n">
        <f aca="false">S238+S239</f>
        <v>345525.209734311</v>
      </c>
      <c r="T240" s="75" t="n">
        <f aca="false">T238+T239</f>
        <v>357146.039954364</v>
      </c>
      <c r="U240" s="75" t="n">
        <f aca="false">U238+U239</f>
        <v>367879.557230418</v>
      </c>
      <c r="V240" s="75" t="n">
        <f aca="false">V238+V239</f>
        <v>378625.574506471</v>
      </c>
      <c r="W240" s="75" t="n">
        <f aca="false">W238+W239</f>
        <v>379963.050258844</v>
      </c>
      <c r="X240" s="75" t="n">
        <f aca="false">X238+X239</f>
        <v>382212.838955218</v>
      </c>
      <c r="Y240" s="75" t="n">
        <f aca="false">Y238+Y239</f>
        <v>384475.127651591</v>
      </c>
      <c r="Z240" s="75" t="n">
        <f aca="false">Z238+Z239</f>
        <v>396170.957871644</v>
      </c>
      <c r="AA240" s="75" t="n">
        <f aca="false">AA238+AA239</f>
        <v>400755.151634102</v>
      </c>
      <c r="AB240" s="75" t="n">
        <f aca="false">AB238+AB239</f>
        <v>405192.315207918</v>
      </c>
      <c r="AC240" s="75" t="n">
        <f aca="false">AC238+AC239</f>
        <v>409043.117419478</v>
      </c>
      <c r="AD240" s="75" t="n">
        <f aca="false">AD238+AD239</f>
        <v>412218.226642792</v>
      </c>
      <c r="AE240" s="75" t="n">
        <f aca="false">AE238+AE239</f>
        <v>415403.210866107</v>
      </c>
      <c r="AF240" s="75" t="n">
        <f aca="false">AF238+AF239</f>
        <v>426694.417047855</v>
      </c>
      <c r="AG240" s="75" t="n">
        <f aca="false">AG238+AG239</f>
        <v>437040.886677314</v>
      </c>
      <c r="AH240" s="75" t="n">
        <f aca="false">AH238+AH239</f>
        <v>447397.231306772</v>
      </c>
      <c r="AI240" s="75" t="n">
        <f aca="false">AI238+AI239</f>
        <v>449667.103977797</v>
      </c>
      <c r="AJ240" s="75" t="n">
        <f aca="false">AJ238+AJ239</f>
        <v>452901.463201112</v>
      </c>
      <c r="AK240" s="75" t="n">
        <f aca="false">AK238+AK239</f>
        <v>456145.697424426</v>
      </c>
      <c r="AL240" s="75" t="n">
        <f aca="false">AL238+AL239</f>
        <v>467496.153606175</v>
      </c>
    </row>
    <row r="241" customFormat="false" ht="15" hidden="false" customHeight="false" outlineLevel="0" collapsed="false">
      <c r="A241" s="6" t="s">
        <v>430</v>
      </c>
      <c r="C241" s="69" t="n">
        <f aca="false">C237-C240</f>
        <v>0</v>
      </c>
      <c r="D241" s="69" t="n">
        <f aca="false">D237-D240</f>
        <v>0</v>
      </c>
      <c r="E241" s="69" t="n">
        <f aca="false">E237-E240</f>
        <v>0</v>
      </c>
      <c r="F241" s="69" t="n">
        <f aca="false">F237-F240</f>
        <v>0</v>
      </c>
      <c r="G241" s="69" t="n">
        <f aca="false">G237-G240</f>
        <v>0</v>
      </c>
      <c r="H241" s="69" t="n">
        <f aca="false">H237-H240</f>
        <v>0</v>
      </c>
      <c r="I241" s="69" t="n">
        <f aca="false">I237-I240</f>
        <v>0</v>
      </c>
      <c r="J241" s="69" t="n">
        <f aca="false">J237-J240</f>
        <v>0</v>
      </c>
      <c r="K241" s="69" t="n">
        <f aca="false">K237-K240</f>
        <v>0</v>
      </c>
      <c r="L241" s="69" t="n">
        <f aca="false">L237-L240</f>
        <v>0</v>
      </c>
      <c r="M241" s="69" t="n">
        <f aca="false">M237-M240</f>
        <v>0</v>
      </c>
      <c r="N241" s="69" t="n">
        <f aca="false">N237-N240</f>
        <v>0</v>
      </c>
      <c r="O241" s="69" t="n">
        <f aca="false">O237-O240</f>
        <v>0</v>
      </c>
      <c r="P241" s="69" t="n">
        <f aca="false">P237-P240</f>
        <v>0</v>
      </c>
      <c r="Q241" s="69" t="n">
        <f aca="false">Q237-Q240</f>
        <v>0</v>
      </c>
      <c r="R241" s="69" t="n">
        <f aca="false">R237-R240</f>
        <v>0</v>
      </c>
      <c r="S241" s="69" t="n">
        <f aca="false">S237-S240</f>
        <v>0</v>
      </c>
      <c r="T241" s="69" t="n">
        <f aca="false">T237-T240</f>
        <v>0</v>
      </c>
      <c r="U241" s="69" t="n">
        <f aca="false">U237-U240</f>
        <v>0</v>
      </c>
      <c r="V241" s="69" t="n">
        <f aca="false">V237-V240</f>
        <v>0</v>
      </c>
      <c r="W241" s="69" t="n">
        <f aca="false">W237-W240</f>
        <v>0</v>
      </c>
      <c r="X241" s="69" t="n">
        <f aca="false">X237-X240</f>
        <v>0</v>
      </c>
      <c r="Y241" s="69" t="n">
        <f aca="false">Y237-Y240</f>
        <v>0</v>
      </c>
      <c r="Z241" s="69" t="n">
        <f aca="false">Z237-Z240</f>
        <v>0</v>
      </c>
      <c r="AA241" s="69" t="n">
        <f aca="false">AA237-AA240</f>
        <v>0</v>
      </c>
      <c r="AB241" s="69" t="n">
        <f aca="false">AB237-AB240</f>
        <v>0</v>
      </c>
      <c r="AC241" s="69" t="n">
        <f aca="false">AC237-AC240</f>
        <v>0</v>
      </c>
      <c r="AD241" s="69" t="n">
        <f aca="false">AD237-AD240</f>
        <v>0</v>
      </c>
      <c r="AE241" s="69" t="n">
        <f aca="false">AE237-AE240</f>
        <v>0</v>
      </c>
      <c r="AF241" s="69" t="n">
        <f aca="false">AF237-AF240</f>
        <v>0</v>
      </c>
      <c r="AG241" s="69" t="n">
        <f aca="false">AG237-AG240</f>
        <v>0</v>
      </c>
      <c r="AH241" s="69" t="n">
        <f aca="false">AH237-AH240</f>
        <v>0</v>
      </c>
      <c r="AI241" s="69" t="n">
        <f aca="false">AI237-AI240</f>
        <v>0</v>
      </c>
      <c r="AJ241" s="69" t="n">
        <f aca="false">AJ237-AJ240</f>
        <v>0</v>
      </c>
      <c r="AK241" s="69" t="n">
        <f aca="false">AK237-AK240</f>
        <v>0</v>
      </c>
      <c r="AL241" s="69" t="n">
        <f aca="false">AL237-AL240</f>
        <v>0</v>
      </c>
    </row>
    <row r="243" customFormat="false" ht="15.75" hidden="false" customHeight="true" outlineLevel="0" collapsed="false">
      <c r="A243" s="7" t="s">
        <v>432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customFormat="false" ht="15" hidden="false" customHeight="false" outlineLevel="0" collapsed="false">
      <c r="A244" s="6" t="s">
        <v>433</v>
      </c>
      <c r="C244" s="119" t="n">
        <f aca="false">Inputs!$C$55*(1+Inputs!$C$57)^(C$133-1)*MAX(0,MIN(1,C$132*1-Inputs!$C$58+1))/1</f>
        <v>4</v>
      </c>
      <c r="D244" s="119" t="n">
        <f aca="false">Inputs!$C$55*(1+Inputs!$C$57)^(D$133-1)*MAX(0,MIN(1,D$132*1-Inputs!$C$58+1))/1</f>
        <v>4</v>
      </c>
      <c r="E244" s="119" t="n">
        <f aca="false">Inputs!$C$55*(1+Inputs!$C$57)^(E$133-1)*MAX(0,MIN(1,E$132*1-Inputs!$C$58+1))/1</f>
        <v>4</v>
      </c>
      <c r="F244" s="119" t="n">
        <f aca="false">Inputs!$C$55*(1+Inputs!$C$57)^(F$133-1)*MAX(0,MIN(1,F$132*1-Inputs!$C$58+1))/1</f>
        <v>4</v>
      </c>
      <c r="G244" s="119" t="n">
        <f aca="false">Inputs!$C$55*(1+Inputs!$C$57)^(G$133-1)*MAX(0,MIN(1,G$132*1-Inputs!$C$58+1))/1</f>
        <v>4</v>
      </c>
      <c r="H244" s="119" t="n">
        <f aca="false">Inputs!$C$55*(1+Inputs!$C$57)^(H$133-1)*MAX(0,MIN(1,H$132*1-Inputs!$C$58+1))/1</f>
        <v>4</v>
      </c>
      <c r="I244" s="119" t="n">
        <f aca="false">Inputs!$C$55*(1+Inputs!$C$57)^(I$133-1)*MAX(0,MIN(1,I$132*1-Inputs!$C$58+1))/1</f>
        <v>4</v>
      </c>
      <c r="J244" s="119" t="n">
        <f aca="false">Inputs!$C$55*(1+Inputs!$C$57)^(J$133-1)*MAX(0,MIN(1,J$132*1-Inputs!$C$58+1))/1</f>
        <v>4</v>
      </c>
      <c r="K244" s="119" t="n">
        <f aca="false">Inputs!$C$55*(1+Inputs!$C$57)^(K$133-1)*MAX(0,MIN(1,K$132*1-Inputs!$C$58+1))/1</f>
        <v>4</v>
      </c>
      <c r="L244" s="119" t="n">
        <f aca="false">Inputs!$C$55*(1+Inputs!$C$57)^(L$133-1)*MAX(0,MIN(1,L$132*1-Inputs!$C$58+1))/1</f>
        <v>4</v>
      </c>
      <c r="M244" s="119" t="n">
        <f aca="false">Inputs!$C$55*(1+Inputs!$C$57)^(M$133-1)*MAX(0,MIN(1,M$132*1-Inputs!$C$58+1))/1</f>
        <v>4</v>
      </c>
      <c r="N244" s="119" t="n">
        <f aca="false">Inputs!$C$55*(1+Inputs!$C$57)^(N$133-1)*MAX(0,MIN(1,N$132*1-Inputs!$C$58+1))/1</f>
        <v>4</v>
      </c>
      <c r="O244" s="119" t="n">
        <f aca="false">Inputs!$C$55*(1+Inputs!$C$57)^(O$133-1)*MAX(0,MIN(1,O$132*1-Inputs!$C$58+1))/1</f>
        <v>4</v>
      </c>
      <c r="P244" s="119" t="n">
        <f aca="false">Inputs!$C$55*(1+Inputs!$C$57)^(P$133-1)*MAX(0,MIN(1,P$132*1-Inputs!$C$58+1))/1</f>
        <v>4</v>
      </c>
      <c r="Q244" s="119" t="n">
        <f aca="false">Inputs!$C$55*(1+Inputs!$C$57)^(Q$133-1)*MAX(0,MIN(1,Q$132*1-Inputs!$C$58+1))/1</f>
        <v>4</v>
      </c>
      <c r="R244" s="119" t="n">
        <f aca="false">Inputs!$C$55*(1+Inputs!$C$57)^(R$133-1)*MAX(0,MIN(1,R$132*1-Inputs!$C$58+1))/1</f>
        <v>4</v>
      </c>
      <c r="S244" s="119" t="n">
        <f aca="false">Inputs!$C$55*(1+Inputs!$C$57)^(S$133-1)*MAX(0,MIN(1,S$132*1-Inputs!$C$58+1))/1</f>
        <v>4</v>
      </c>
      <c r="T244" s="119" t="n">
        <f aca="false">Inputs!$C$55*(1+Inputs!$C$57)^(T$133-1)*MAX(0,MIN(1,T$132*1-Inputs!$C$58+1))/1</f>
        <v>4</v>
      </c>
      <c r="U244" s="119" t="n">
        <f aca="false">Inputs!$C$55*(1+Inputs!$C$57)^(U$133-1)*MAX(0,MIN(1,U$132*1-Inputs!$C$58+1))/1</f>
        <v>4</v>
      </c>
      <c r="V244" s="119" t="n">
        <f aca="false">Inputs!$C$55*(1+Inputs!$C$57)^(V$133-1)*MAX(0,MIN(1,V$132*1-Inputs!$C$58+1))/1</f>
        <v>4</v>
      </c>
      <c r="W244" s="119" t="n">
        <f aca="false">Inputs!$C$55*(1+Inputs!$C$57)^(W$133-1)*MAX(0,MIN(1,W$132*1-Inputs!$C$58+1))/1</f>
        <v>4</v>
      </c>
      <c r="X244" s="119" t="n">
        <f aca="false">Inputs!$C$55*(1+Inputs!$C$57)^(X$133-1)*MAX(0,MIN(1,X$132*1-Inputs!$C$58+1))/1</f>
        <v>4</v>
      </c>
      <c r="Y244" s="119" t="n">
        <f aca="false">Inputs!$C$55*(1+Inputs!$C$57)^(Y$133-1)*MAX(0,MIN(1,Y$132*1-Inputs!$C$58+1))/1</f>
        <v>4</v>
      </c>
      <c r="Z244" s="119" t="n">
        <f aca="false">Inputs!$C$55*(1+Inputs!$C$57)^(Z$133-1)*MAX(0,MIN(1,Z$132*1-Inputs!$C$58+1))/1</f>
        <v>4</v>
      </c>
      <c r="AA244" s="119" t="n">
        <f aca="false">Inputs!$C$55*(1+Inputs!$C$57)^(AA$133-1)*MAX(0,MIN(1,AA$132*1-Inputs!$C$58+1))/1</f>
        <v>4</v>
      </c>
      <c r="AB244" s="119" t="n">
        <f aca="false">Inputs!$C$55*(1+Inputs!$C$57)^(AB$133-1)*MAX(0,MIN(1,AB$132*1-Inputs!$C$58+1))/1</f>
        <v>4</v>
      </c>
      <c r="AC244" s="119" t="n">
        <f aca="false">Inputs!$C$55*(1+Inputs!$C$57)^(AC$133-1)*MAX(0,MIN(1,AC$132*1-Inputs!$C$58+1))/1</f>
        <v>4</v>
      </c>
      <c r="AD244" s="119" t="n">
        <f aca="false">Inputs!$C$55*(1+Inputs!$C$57)^(AD$133-1)*MAX(0,MIN(1,AD$132*1-Inputs!$C$58+1))/1</f>
        <v>4</v>
      </c>
      <c r="AE244" s="119" t="n">
        <f aca="false">Inputs!$C$55*(1+Inputs!$C$57)^(AE$133-1)*MAX(0,MIN(1,AE$132*1-Inputs!$C$58+1))/1</f>
        <v>4</v>
      </c>
      <c r="AF244" s="119" t="n">
        <f aca="false">Inputs!$C$55*(1+Inputs!$C$57)^(AF$133-1)*MAX(0,MIN(1,AF$132*1-Inputs!$C$58+1))/1</f>
        <v>4</v>
      </c>
      <c r="AG244" s="119" t="n">
        <f aca="false">Inputs!$C$55*(1+Inputs!$C$57)^(AG$133-1)*MAX(0,MIN(1,AG$132*1-Inputs!$C$58+1))/1</f>
        <v>4</v>
      </c>
      <c r="AH244" s="119" t="n">
        <f aca="false">Inputs!$C$55*(1+Inputs!$C$57)^(AH$133-1)*MAX(0,MIN(1,AH$132*1-Inputs!$C$58+1))/1</f>
        <v>4</v>
      </c>
      <c r="AI244" s="119" t="n">
        <f aca="false">Inputs!$C$55*(1+Inputs!$C$57)^(AI$133-1)*MAX(0,MIN(1,AI$132*1-Inputs!$C$58+1))/1</f>
        <v>4</v>
      </c>
      <c r="AJ244" s="119" t="n">
        <f aca="false">Inputs!$C$55*(1+Inputs!$C$57)^(AJ$133-1)*MAX(0,MIN(1,AJ$132*1-Inputs!$C$58+1))/1</f>
        <v>4</v>
      </c>
      <c r="AK244" s="119" t="n">
        <f aca="false">Inputs!$C$55*(1+Inputs!$C$57)^(AK$133-1)*MAX(0,MIN(1,AK$132*1-Inputs!$C$58+1))/1</f>
        <v>4</v>
      </c>
      <c r="AL244" s="119" t="n">
        <f aca="false">Inputs!$C$55*(1+Inputs!$C$57)^(AL$133-1)*MAX(0,MIN(1,AL$132*1-Inputs!$C$58+1))/1</f>
        <v>4</v>
      </c>
    </row>
    <row r="245" customFormat="false" ht="15" hidden="false" customHeight="false" outlineLevel="0" collapsed="false">
      <c r="A245" s="6" t="s">
        <v>434</v>
      </c>
      <c r="C245" s="119" t="n">
        <f aca="false">Inputs!$C$59*(1+Inputs!$C$61)^(C$133-1)*MAX(0,MIN(1,C$132*1-Inputs!$C$62+1))/1</f>
        <v>3</v>
      </c>
      <c r="D245" s="119" t="n">
        <f aca="false">Inputs!$C$59*(1+Inputs!$C$61)^(D$133-1)*MAX(0,MIN(1,D$132*1-Inputs!$C$62+1))/1</f>
        <v>3</v>
      </c>
      <c r="E245" s="119" t="n">
        <f aca="false">Inputs!$C$59*(1+Inputs!$C$61)^(E$133-1)*MAX(0,MIN(1,E$132*1-Inputs!$C$62+1))/1</f>
        <v>3</v>
      </c>
      <c r="F245" s="119" t="n">
        <f aca="false">Inputs!$C$59*(1+Inputs!$C$61)^(F$133-1)*MAX(0,MIN(1,F$132*1-Inputs!$C$62+1))/1</f>
        <v>3</v>
      </c>
      <c r="G245" s="119" t="n">
        <f aca="false">Inputs!$C$59*(1+Inputs!$C$61)^(G$133-1)*MAX(0,MIN(1,G$132*1-Inputs!$C$62+1))/1</f>
        <v>3</v>
      </c>
      <c r="H245" s="119" t="n">
        <f aca="false">Inputs!$C$59*(1+Inputs!$C$61)^(H$133-1)*MAX(0,MIN(1,H$132*1-Inputs!$C$62+1))/1</f>
        <v>3</v>
      </c>
      <c r="I245" s="119" t="n">
        <f aca="false">Inputs!$C$59*(1+Inputs!$C$61)^(I$133-1)*MAX(0,MIN(1,I$132*1-Inputs!$C$62+1))/1</f>
        <v>3</v>
      </c>
      <c r="J245" s="119" t="n">
        <f aca="false">Inputs!$C$59*(1+Inputs!$C$61)^(J$133-1)*MAX(0,MIN(1,J$132*1-Inputs!$C$62+1))/1</f>
        <v>3</v>
      </c>
      <c r="K245" s="119" t="n">
        <f aca="false">Inputs!$C$59*(1+Inputs!$C$61)^(K$133-1)*MAX(0,MIN(1,K$132*1-Inputs!$C$62+1))/1</f>
        <v>3</v>
      </c>
      <c r="L245" s="119" t="n">
        <f aca="false">Inputs!$C$59*(1+Inputs!$C$61)^(L$133-1)*MAX(0,MIN(1,L$132*1-Inputs!$C$62+1))/1</f>
        <v>3</v>
      </c>
      <c r="M245" s="119" t="n">
        <f aca="false">Inputs!$C$59*(1+Inputs!$C$61)^(M$133-1)*MAX(0,MIN(1,M$132*1-Inputs!$C$62+1))/1</f>
        <v>3</v>
      </c>
      <c r="N245" s="119" t="n">
        <f aca="false">Inputs!$C$59*(1+Inputs!$C$61)^(N$133-1)*MAX(0,MIN(1,N$132*1-Inputs!$C$62+1))/1</f>
        <v>3</v>
      </c>
      <c r="O245" s="119" t="n">
        <f aca="false">Inputs!$C$59*(1+Inputs!$C$61)^(O$133-1)*MAX(0,MIN(1,O$132*1-Inputs!$C$62+1))/1</f>
        <v>3</v>
      </c>
      <c r="P245" s="119" t="n">
        <f aca="false">Inputs!$C$59*(1+Inputs!$C$61)^(P$133-1)*MAX(0,MIN(1,P$132*1-Inputs!$C$62+1))/1</f>
        <v>3</v>
      </c>
      <c r="Q245" s="119" t="n">
        <f aca="false">Inputs!$C$59*(1+Inputs!$C$61)^(Q$133-1)*MAX(0,MIN(1,Q$132*1-Inputs!$C$62+1))/1</f>
        <v>3</v>
      </c>
      <c r="R245" s="119" t="n">
        <f aca="false">Inputs!$C$59*(1+Inputs!$C$61)^(R$133-1)*MAX(0,MIN(1,R$132*1-Inputs!$C$62+1))/1</f>
        <v>3</v>
      </c>
      <c r="S245" s="119" t="n">
        <f aca="false">Inputs!$C$59*(1+Inputs!$C$61)^(S$133-1)*MAX(0,MIN(1,S$132*1-Inputs!$C$62+1))/1</f>
        <v>3</v>
      </c>
      <c r="T245" s="119" t="n">
        <f aca="false">Inputs!$C$59*(1+Inputs!$C$61)^(T$133-1)*MAX(0,MIN(1,T$132*1-Inputs!$C$62+1))/1</f>
        <v>3</v>
      </c>
      <c r="U245" s="119" t="n">
        <f aca="false">Inputs!$C$59*(1+Inputs!$C$61)^(U$133-1)*MAX(0,MIN(1,U$132*1-Inputs!$C$62+1))/1</f>
        <v>3</v>
      </c>
      <c r="V245" s="119" t="n">
        <f aca="false">Inputs!$C$59*(1+Inputs!$C$61)^(V$133-1)*MAX(0,MIN(1,V$132*1-Inputs!$C$62+1))/1</f>
        <v>3</v>
      </c>
      <c r="W245" s="119" t="n">
        <f aca="false">Inputs!$C$59*(1+Inputs!$C$61)^(W$133-1)*MAX(0,MIN(1,W$132*1-Inputs!$C$62+1))/1</f>
        <v>3</v>
      </c>
      <c r="X245" s="119" t="n">
        <f aca="false">Inputs!$C$59*(1+Inputs!$C$61)^(X$133-1)*MAX(0,MIN(1,X$132*1-Inputs!$C$62+1))/1</f>
        <v>3</v>
      </c>
      <c r="Y245" s="119" t="n">
        <f aca="false">Inputs!$C$59*(1+Inputs!$C$61)^(Y$133-1)*MAX(0,MIN(1,Y$132*1-Inputs!$C$62+1))/1</f>
        <v>3</v>
      </c>
      <c r="Z245" s="119" t="n">
        <f aca="false">Inputs!$C$59*(1+Inputs!$C$61)^(Z$133-1)*MAX(0,MIN(1,Z$132*1-Inputs!$C$62+1))/1</f>
        <v>3</v>
      </c>
      <c r="AA245" s="119" t="n">
        <f aca="false">Inputs!$C$59*(1+Inputs!$C$61)^(AA$133-1)*MAX(0,MIN(1,AA$132*1-Inputs!$C$62+1))/1</f>
        <v>3</v>
      </c>
      <c r="AB245" s="119" t="n">
        <f aca="false">Inputs!$C$59*(1+Inputs!$C$61)^(AB$133-1)*MAX(0,MIN(1,AB$132*1-Inputs!$C$62+1))/1</f>
        <v>3</v>
      </c>
      <c r="AC245" s="119" t="n">
        <f aca="false">Inputs!$C$59*(1+Inputs!$C$61)^(AC$133-1)*MAX(0,MIN(1,AC$132*1-Inputs!$C$62+1))/1</f>
        <v>3</v>
      </c>
      <c r="AD245" s="119" t="n">
        <f aca="false">Inputs!$C$59*(1+Inputs!$C$61)^(AD$133-1)*MAX(0,MIN(1,AD$132*1-Inputs!$C$62+1))/1</f>
        <v>3</v>
      </c>
      <c r="AE245" s="119" t="n">
        <f aca="false">Inputs!$C$59*(1+Inputs!$C$61)^(AE$133-1)*MAX(0,MIN(1,AE$132*1-Inputs!$C$62+1))/1</f>
        <v>3</v>
      </c>
      <c r="AF245" s="119" t="n">
        <f aca="false">Inputs!$C$59*(1+Inputs!$C$61)^(AF$133-1)*MAX(0,MIN(1,AF$132*1-Inputs!$C$62+1))/1</f>
        <v>3</v>
      </c>
      <c r="AG245" s="119" t="n">
        <f aca="false">Inputs!$C$59*(1+Inputs!$C$61)^(AG$133-1)*MAX(0,MIN(1,AG$132*1-Inputs!$C$62+1))/1</f>
        <v>3</v>
      </c>
      <c r="AH245" s="119" t="n">
        <f aca="false">Inputs!$C$59*(1+Inputs!$C$61)^(AH$133-1)*MAX(0,MIN(1,AH$132*1-Inputs!$C$62+1))/1</f>
        <v>3</v>
      </c>
      <c r="AI245" s="119" t="n">
        <f aca="false">Inputs!$C$59*(1+Inputs!$C$61)^(AI$133-1)*MAX(0,MIN(1,AI$132*1-Inputs!$C$62+1))/1</f>
        <v>3</v>
      </c>
      <c r="AJ245" s="119" t="n">
        <f aca="false">Inputs!$C$59*(1+Inputs!$C$61)^(AJ$133-1)*MAX(0,MIN(1,AJ$132*1-Inputs!$C$62+1))/1</f>
        <v>3</v>
      </c>
      <c r="AK245" s="119" t="n">
        <f aca="false">Inputs!$C$59*(1+Inputs!$C$61)^(AK$133-1)*MAX(0,MIN(1,AK$132*1-Inputs!$C$62+1))/1</f>
        <v>3</v>
      </c>
      <c r="AL245" s="119" t="n">
        <f aca="false">Inputs!$C$59*(1+Inputs!$C$61)^(AL$133-1)*MAX(0,MIN(1,AL$132*1-Inputs!$C$62+1))/1</f>
        <v>3</v>
      </c>
    </row>
    <row r="246" customFormat="false" ht="15" hidden="false" customHeight="false" outlineLevel="0" collapsed="false">
      <c r="A246" s="6" t="s">
        <v>435</v>
      </c>
      <c r="C246" s="119" t="n">
        <f aca="false">Inputs!$C$63*(1+Inputs!$C$65)^(C$133-1)*MAX(0,MIN(1,C$132*1-Inputs!$C$66+1))/1</f>
        <v>1</v>
      </c>
      <c r="D246" s="119" t="n">
        <f aca="false">Inputs!$C$63*(1+Inputs!$C$65)^(D$133-1)*MAX(0,MIN(1,D$132*1-Inputs!$C$66+1))/1</f>
        <v>1</v>
      </c>
      <c r="E246" s="119" t="n">
        <f aca="false">Inputs!$C$63*(1+Inputs!$C$65)^(E$133-1)*MAX(0,MIN(1,E$132*1-Inputs!$C$66+1))/1</f>
        <v>1</v>
      </c>
      <c r="F246" s="119" t="n">
        <f aca="false">Inputs!$C$63*(1+Inputs!$C$65)^(F$133-1)*MAX(0,MIN(1,F$132*1-Inputs!$C$66+1))/1</f>
        <v>1</v>
      </c>
      <c r="G246" s="119" t="n">
        <f aca="false">Inputs!$C$63*(1+Inputs!$C$65)^(G$133-1)*MAX(0,MIN(1,G$132*1-Inputs!$C$66+1))/1</f>
        <v>1</v>
      </c>
      <c r="H246" s="119" t="n">
        <f aca="false">Inputs!$C$63*(1+Inputs!$C$65)^(H$133-1)*MAX(0,MIN(1,H$132*1-Inputs!$C$66+1))/1</f>
        <v>1</v>
      </c>
      <c r="I246" s="119" t="n">
        <f aca="false">Inputs!$C$63*(1+Inputs!$C$65)^(I$133-1)*MAX(0,MIN(1,I$132*1-Inputs!$C$66+1))/1</f>
        <v>1</v>
      </c>
      <c r="J246" s="119" t="n">
        <f aca="false">Inputs!$C$63*(1+Inputs!$C$65)^(J$133-1)*MAX(0,MIN(1,J$132*1-Inputs!$C$66+1))/1</f>
        <v>1</v>
      </c>
      <c r="K246" s="119" t="n">
        <f aca="false">Inputs!$C$63*(1+Inputs!$C$65)^(K$133-1)*MAX(0,MIN(1,K$132*1-Inputs!$C$66+1))/1</f>
        <v>1</v>
      </c>
      <c r="L246" s="119" t="n">
        <f aca="false">Inputs!$C$63*(1+Inputs!$C$65)^(L$133-1)*MAX(0,MIN(1,L$132*1-Inputs!$C$66+1))/1</f>
        <v>1</v>
      </c>
      <c r="M246" s="119" t="n">
        <f aca="false">Inputs!$C$63*(1+Inputs!$C$65)^(M$133-1)*MAX(0,MIN(1,M$132*1-Inputs!$C$66+1))/1</f>
        <v>1</v>
      </c>
      <c r="N246" s="119" t="n">
        <f aca="false">Inputs!$C$63*(1+Inputs!$C$65)^(N$133-1)*MAX(0,MIN(1,N$132*1-Inputs!$C$66+1))/1</f>
        <v>1</v>
      </c>
      <c r="O246" s="119" t="n">
        <f aca="false">Inputs!$C$63*(1+Inputs!$C$65)^(O$133-1)*MAX(0,MIN(1,O$132*1-Inputs!$C$66+1))/1</f>
        <v>1</v>
      </c>
      <c r="P246" s="119" t="n">
        <f aca="false">Inputs!$C$63*(1+Inputs!$C$65)^(P$133-1)*MAX(0,MIN(1,P$132*1-Inputs!$C$66+1))/1</f>
        <v>1</v>
      </c>
      <c r="Q246" s="119" t="n">
        <f aca="false">Inputs!$C$63*(1+Inputs!$C$65)^(Q$133-1)*MAX(0,MIN(1,Q$132*1-Inputs!$C$66+1))/1</f>
        <v>1</v>
      </c>
      <c r="R246" s="119" t="n">
        <f aca="false">Inputs!$C$63*(1+Inputs!$C$65)^(R$133-1)*MAX(0,MIN(1,R$132*1-Inputs!$C$66+1))/1</f>
        <v>1</v>
      </c>
      <c r="S246" s="119" t="n">
        <f aca="false">Inputs!$C$63*(1+Inputs!$C$65)^(S$133-1)*MAX(0,MIN(1,S$132*1-Inputs!$C$66+1))/1</f>
        <v>1</v>
      </c>
      <c r="T246" s="119" t="n">
        <f aca="false">Inputs!$C$63*(1+Inputs!$C$65)^(T$133-1)*MAX(0,MIN(1,T$132*1-Inputs!$C$66+1))/1</f>
        <v>1</v>
      </c>
      <c r="U246" s="119" t="n">
        <f aca="false">Inputs!$C$63*(1+Inputs!$C$65)^(U$133-1)*MAX(0,MIN(1,U$132*1-Inputs!$C$66+1))/1</f>
        <v>1</v>
      </c>
      <c r="V246" s="119" t="n">
        <f aca="false">Inputs!$C$63*(1+Inputs!$C$65)^(V$133-1)*MAX(0,MIN(1,V$132*1-Inputs!$C$66+1))/1</f>
        <v>1</v>
      </c>
      <c r="W246" s="119" t="n">
        <f aca="false">Inputs!$C$63*(1+Inputs!$C$65)^(W$133-1)*MAX(0,MIN(1,W$132*1-Inputs!$C$66+1))/1</f>
        <v>1</v>
      </c>
      <c r="X246" s="119" t="n">
        <f aca="false">Inputs!$C$63*(1+Inputs!$C$65)^(X$133-1)*MAX(0,MIN(1,X$132*1-Inputs!$C$66+1))/1</f>
        <v>1</v>
      </c>
      <c r="Y246" s="119" t="n">
        <f aca="false">Inputs!$C$63*(1+Inputs!$C$65)^(Y$133-1)*MAX(0,MIN(1,Y$132*1-Inputs!$C$66+1))/1</f>
        <v>1</v>
      </c>
      <c r="Z246" s="119" t="n">
        <f aca="false">Inputs!$C$63*(1+Inputs!$C$65)^(Z$133-1)*MAX(0,MIN(1,Z$132*1-Inputs!$C$66+1))/1</f>
        <v>1</v>
      </c>
      <c r="AA246" s="119" t="n">
        <f aca="false">Inputs!$C$63*(1+Inputs!$C$65)^(AA$133-1)*MAX(0,MIN(1,AA$132*1-Inputs!$C$66+1))/1</f>
        <v>1</v>
      </c>
      <c r="AB246" s="119" t="n">
        <f aca="false">Inputs!$C$63*(1+Inputs!$C$65)^(AB$133-1)*MAX(0,MIN(1,AB$132*1-Inputs!$C$66+1))/1</f>
        <v>1</v>
      </c>
      <c r="AC246" s="119" t="n">
        <f aca="false">Inputs!$C$63*(1+Inputs!$C$65)^(AC$133-1)*MAX(0,MIN(1,AC$132*1-Inputs!$C$66+1))/1</f>
        <v>1</v>
      </c>
      <c r="AD246" s="119" t="n">
        <f aca="false">Inputs!$C$63*(1+Inputs!$C$65)^(AD$133-1)*MAX(0,MIN(1,AD$132*1-Inputs!$C$66+1))/1</f>
        <v>1</v>
      </c>
      <c r="AE246" s="119" t="n">
        <f aca="false">Inputs!$C$63*(1+Inputs!$C$65)^(AE$133-1)*MAX(0,MIN(1,AE$132*1-Inputs!$C$66+1))/1</f>
        <v>1</v>
      </c>
      <c r="AF246" s="119" t="n">
        <f aca="false">Inputs!$C$63*(1+Inputs!$C$65)^(AF$133-1)*MAX(0,MIN(1,AF$132*1-Inputs!$C$66+1))/1</f>
        <v>1</v>
      </c>
      <c r="AG246" s="119" t="n">
        <f aca="false">Inputs!$C$63*(1+Inputs!$C$65)^(AG$133-1)*MAX(0,MIN(1,AG$132*1-Inputs!$C$66+1))/1</f>
        <v>1</v>
      </c>
      <c r="AH246" s="119" t="n">
        <f aca="false">Inputs!$C$63*(1+Inputs!$C$65)^(AH$133-1)*MAX(0,MIN(1,AH$132*1-Inputs!$C$66+1))/1</f>
        <v>1</v>
      </c>
      <c r="AI246" s="119" t="n">
        <f aca="false">Inputs!$C$63*(1+Inputs!$C$65)^(AI$133-1)*MAX(0,MIN(1,AI$132*1-Inputs!$C$66+1))/1</f>
        <v>1</v>
      </c>
      <c r="AJ246" s="119" t="n">
        <f aca="false">Inputs!$C$63*(1+Inputs!$C$65)^(AJ$133-1)*MAX(0,MIN(1,AJ$132*1-Inputs!$C$66+1))/1</f>
        <v>1</v>
      </c>
      <c r="AK246" s="119" t="n">
        <f aca="false">Inputs!$C$63*(1+Inputs!$C$65)^(AK$133-1)*MAX(0,MIN(1,AK$132*1-Inputs!$C$66+1))/1</f>
        <v>1</v>
      </c>
      <c r="AL246" s="119" t="n">
        <f aca="false">Inputs!$C$63*(1+Inputs!$C$65)^(AL$133-1)*MAX(0,MIN(1,AL$132*1-Inputs!$C$66+1))/1</f>
        <v>1</v>
      </c>
    </row>
    <row r="247" customFormat="false" ht="15" hidden="false" customHeight="false" outlineLevel="0" collapsed="false">
      <c r="A247" s="115" t="s">
        <v>436</v>
      </c>
      <c r="C247" s="124" t="n">
        <f aca="false">C244+C245+C246</f>
        <v>8</v>
      </c>
      <c r="D247" s="124" t="n">
        <f aca="false">D244+D245+D246</f>
        <v>8</v>
      </c>
      <c r="E247" s="124" t="n">
        <f aca="false">E244+E245+E246</f>
        <v>8</v>
      </c>
      <c r="F247" s="124" t="n">
        <f aca="false">F244+F245+F246</f>
        <v>8</v>
      </c>
      <c r="G247" s="124" t="n">
        <f aca="false">G244+G245+G246</f>
        <v>8</v>
      </c>
      <c r="H247" s="124" t="n">
        <f aca="false">H244+H245+H246</f>
        <v>8</v>
      </c>
      <c r="I247" s="124" t="n">
        <f aca="false">I244+I245+I246</f>
        <v>8</v>
      </c>
      <c r="J247" s="124" t="n">
        <f aca="false">J244+J245+J246</f>
        <v>8</v>
      </c>
      <c r="K247" s="124" t="n">
        <f aca="false">K244+K245+K246</f>
        <v>8</v>
      </c>
      <c r="L247" s="124" t="n">
        <f aca="false">L244+L245+L246</f>
        <v>8</v>
      </c>
      <c r="M247" s="124" t="n">
        <f aca="false">M244+M245+M246</f>
        <v>8</v>
      </c>
      <c r="N247" s="124" t="n">
        <f aca="false">N244+N245+N246</f>
        <v>8</v>
      </c>
      <c r="O247" s="124" t="n">
        <f aca="false">O244+O245+O246</f>
        <v>8</v>
      </c>
      <c r="P247" s="124" t="n">
        <f aca="false">P244+P245+P246</f>
        <v>8</v>
      </c>
      <c r="Q247" s="124" t="n">
        <f aca="false">Q244+Q245+Q246</f>
        <v>8</v>
      </c>
      <c r="R247" s="124" t="n">
        <f aca="false">R244+R245+R246</f>
        <v>8</v>
      </c>
      <c r="S247" s="124" t="n">
        <f aca="false">S244+S245+S246</f>
        <v>8</v>
      </c>
      <c r="T247" s="124" t="n">
        <f aca="false">T244+T245+T246</f>
        <v>8</v>
      </c>
      <c r="U247" s="124" t="n">
        <f aca="false">U244+U245+U246</f>
        <v>8</v>
      </c>
      <c r="V247" s="124" t="n">
        <f aca="false">V244+V245+V246</f>
        <v>8</v>
      </c>
      <c r="W247" s="124" t="n">
        <f aca="false">W244+W245+W246</f>
        <v>8</v>
      </c>
      <c r="X247" s="124" t="n">
        <f aca="false">X244+X245+X246</f>
        <v>8</v>
      </c>
      <c r="Y247" s="124" t="n">
        <f aca="false">Y244+Y245+Y246</f>
        <v>8</v>
      </c>
      <c r="Z247" s="124" t="n">
        <f aca="false">Z244+Z245+Z246</f>
        <v>8</v>
      </c>
      <c r="AA247" s="124" t="n">
        <f aca="false">AA244+AA245+AA246</f>
        <v>8</v>
      </c>
      <c r="AB247" s="124" t="n">
        <f aca="false">AB244+AB245+AB246</f>
        <v>8</v>
      </c>
      <c r="AC247" s="124" t="n">
        <f aca="false">AC244+AC245+AC246</f>
        <v>8</v>
      </c>
      <c r="AD247" s="124" t="n">
        <f aca="false">AD244+AD245+AD246</f>
        <v>8</v>
      </c>
      <c r="AE247" s="124" t="n">
        <f aca="false">AE244+AE245+AE246</f>
        <v>8</v>
      </c>
      <c r="AF247" s="124" t="n">
        <f aca="false">AF244+AF245+AF246</f>
        <v>8</v>
      </c>
      <c r="AG247" s="124" t="n">
        <f aca="false">AG244+AG245+AG246</f>
        <v>8</v>
      </c>
      <c r="AH247" s="124" t="n">
        <f aca="false">AH244+AH245+AH246</f>
        <v>8</v>
      </c>
      <c r="AI247" s="124" t="n">
        <f aca="false">AI244+AI245+AI246</f>
        <v>8</v>
      </c>
      <c r="AJ247" s="124" t="n">
        <f aca="false">AJ244+AJ245+AJ246</f>
        <v>8</v>
      </c>
      <c r="AK247" s="124" t="n">
        <f aca="false">AK244+AK245+AK246</f>
        <v>8</v>
      </c>
      <c r="AL247" s="124" t="n">
        <f aca="false">AL244+AL245+AL246</f>
        <v>8</v>
      </c>
    </row>
    <row r="249" customFormat="false" ht="15.75" hidden="false" customHeight="true" outlineLevel="0" collapsed="false">
      <c r="A249" s="7" t="s">
        <v>437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customFormat="false" ht="15" hidden="false" customHeight="false" outlineLevel="0" collapsed="false">
      <c r="A250" s="6" t="s">
        <v>438</v>
      </c>
      <c r="C250" s="69" t="n">
        <f aca="false">-C244*Inputs!$C$56/12*1*(1+Inputs!$C$67)*(1+Inputs!$C$68)^(C$133-1)</f>
        <v>-3833.33333333333</v>
      </c>
      <c r="D250" s="69" t="n">
        <f aca="false">-D244*Inputs!$C$56/12*1*(1+Inputs!$C$67)*(1+Inputs!$C$68)^(D$133-1)</f>
        <v>-3833.33333333333</v>
      </c>
      <c r="E250" s="69" t="n">
        <f aca="false">-E244*Inputs!$C$56/12*1*(1+Inputs!$C$67)*(1+Inputs!$C$68)^(E$133-1)</f>
        <v>-3833.33333333333</v>
      </c>
      <c r="F250" s="69" t="n">
        <f aca="false">-F244*Inputs!$C$56/12*1*(1+Inputs!$C$67)*(1+Inputs!$C$68)^(F$133-1)</f>
        <v>-3833.33333333333</v>
      </c>
      <c r="G250" s="69" t="n">
        <f aca="false">-G244*Inputs!$C$56/12*1*(1+Inputs!$C$67)*(1+Inputs!$C$68)^(G$133-1)</f>
        <v>-3833.33333333333</v>
      </c>
      <c r="H250" s="69" t="n">
        <f aca="false">-H244*Inputs!$C$56/12*1*(1+Inputs!$C$67)*(1+Inputs!$C$68)^(H$133-1)</f>
        <v>-3833.33333333333</v>
      </c>
      <c r="I250" s="69" t="n">
        <f aca="false">-I244*Inputs!$C$56/12*1*(1+Inputs!$C$67)*(1+Inputs!$C$68)^(I$133-1)</f>
        <v>-3833.33333333333</v>
      </c>
      <c r="J250" s="69" t="n">
        <f aca="false">-J244*Inputs!$C$56/12*1*(1+Inputs!$C$67)*(1+Inputs!$C$68)^(J$133-1)</f>
        <v>-3833.33333333333</v>
      </c>
      <c r="K250" s="69" t="n">
        <f aca="false">-K244*Inputs!$C$56/12*1*(1+Inputs!$C$67)*(1+Inputs!$C$68)^(K$133-1)</f>
        <v>-3833.33333333333</v>
      </c>
      <c r="L250" s="69" t="n">
        <f aca="false">-L244*Inputs!$C$56/12*1*(1+Inputs!$C$67)*(1+Inputs!$C$68)^(L$133-1)</f>
        <v>-3833.33333333333</v>
      </c>
      <c r="M250" s="69" t="n">
        <f aca="false">-M244*Inputs!$C$56/12*1*(1+Inputs!$C$67)*(1+Inputs!$C$68)^(M$133-1)</f>
        <v>-3833.33333333333</v>
      </c>
      <c r="N250" s="69" t="n">
        <f aca="false">-N244*Inputs!$C$56/12*1*(1+Inputs!$C$67)*(1+Inputs!$C$68)^(N$133-1)</f>
        <v>-3833.33333333333</v>
      </c>
      <c r="O250" s="69" t="n">
        <f aca="false">-O244*Inputs!$C$56/12*1*(1+Inputs!$C$67)*(1+Inputs!$C$68)^(O$133-1)</f>
        <v>-3948.33333333333</v>
      </c>
      <c r="P250" s="69" t="n">
        <f aca="false">-P244*Inputs!$C$56/12*1*(1+Inputs!$C$67)*(1+Inputs!$C$68)^(P$133-1)</f>
        <v>-3948.33333333333</v>
      </c>
      <c r="Q250" s="69" t="n">
        <f aca="false">-Q244*Inputs!$C$56/12*1*(1+Inputs!$C$67)*(1+Inputs!$C$68)^(Q$133-1)</f>
        <v>-3948.33333333333</v>
      </c>
      <c r="R250" s="69" t="n">
        <f aca="false">-R244*Inputs!$C$56/12*1*(1+Inputs!$C$67)*(1+Inputs!$C$68)^(R$133-1)</f>
        <v>-3948.33333333333</v>
      </c>
      <c r="S250" s="69" t="n">
        <f aca="false">-S244*Inputs!$C$56/12*1*(1+Inputs!$C$67)*(1+Inputs!$C$68)^(S$133-1)</f>
        <v>-3948.33333333333</v>
      </c>
      <c r="T250" s="69" t="n">
        <f aca="false">-T244*Inputs!$C$56/12*1*(1+Inputs!$C$67)*(1+Inputs!$C$68)^(T$133-1)</f>
        <v>-3948.33333333333</v>
      </c>
      <c r="U250" s="69" t="n">
        <f aca="false">-U244*Inputs!$C$56/12*1*(1+Inputs!$C$67)*(1+Inputs!$C$68)^(U$133-1)</f>
        <v>-3948.33333333333</v>
      </c>
      <c r="V250" s="69" t="n">
        <f aca="false">-V244*Inputs!$C$56/12*1*(1+Inputs!$C$67)*(1+Inputs!$C$68)^(V$133-1)</f>
        <v>-3948.33333333333</v>
      </c>
      <c r="W250" s="69" t="n">
        <f aca="false">-W244*Inputs!$C$56/12*1*(1+Inputs!$C$67)*(1+Inputs!$C$68)^(W$133-1)</f>
        <v>-3948.33333333333</v>
      </c>
      <c r="X250" s="69" t="n">
        <f aca="false">-X244*Inputs!$C$56/12*1*(1+Inputs!$C$67)*(1+Inputs!$C$68)^(X$133-1)</f>
        <v>-3948.33333333333</v>
      </c>
      <c r="Y250" s="69" t="n">
        <f aca="false">-Y244*Inputs!$C$56/12*1*(1+Inputs!$C$67)*(1+Inputs!$C$68)^(Y$133-1)</f>
        <v>-3948.33333333333</v>
      </c>
      <c r="Z250" s="69" t="n">
        <f aca="false">-Z244*Inputs!$C$56/12*1*(1+Inputs!$C$67)*(1+Inputs!$C$68)^(Z$133-1)</f>
        <v>-3948.33333333333</v>
      </c>
      <c r="AA250" s="69" t="n">
        <f aca="false">-AA244*Inputs!$C$56/12*1*(1+Inputs!$C$67)*(1+Inputs!$C$68)^(AA$133-1)</f>
        <v>-4066.78333333333</v>
      </c>
      <c r="AB250" s="69" t="n">
        <f aca="false">-AB244*Inputs!$C$56/12*1*(1+Inputs!$C$67)*(1+Inputs!$C$68)^(AB$133-1)</f>
        <v>-4066.78333333333</v>
      </c>
      <c r="AC250" s="69" t="n">
        <f aca="false">-AC244*Inputs!$C$56/12*1*(1+Inputs!$C$67)*(1+Inputs!$C$68)^(AC$133-1)</f>
        <v>-4066.78333333333</v>
      </c>
      <c r="AD250" s="69" t="n">
        <f aca="false">-AD244*Inputs!$C$56/12*1*(1+Inputs!$C$67)*(1+Inputs!$C$68)^(AD$133-1)</f>
        <v>-4066.78333333333</v>
      </c>
      <c r="AE250" s="69" t="n">
        <f aca="false">-AE244*Inputs!$C$56/12*1*(1+Inputs!$C$67)*(1+Inputs!$C$68)^(AE$133-1)</f>
        <v>-4066.78333333333</v>
      </c>
      <c r="AF250" s="69" t="n">
        <f aca="false">-AF244*Inputs!$C$56/12*1*(1+Inputs!$C$67)*(1+Inputs!$C$68)^(AF$133-1)</f>
        <v>-4066.78333333333</v>
      </c>
      <c r="AG250" s="69" t="n">
        <f aca="false">-AG244*Inputs!$C$56/12*1*(1+Inputs!$C$67)*(1+Inputs!$C$68)^(AG$133-1)</f>
        <v>-4066.78333333333</v>
      </c>
      <c r="AH250" s="69" t="n">
        <f aca="false">-AH244*Inputs!$C$56/12*1*(1+Inputs!$C$67)*(1+Inputs!$C$68)^(AH$133-1)</f>
        <v>-4066.78333333333</v>
      </c>
      <c r="AI250" s="69" t="n">
        <f aca="false">-AI244*Inputs!$C$56/12*1*(1+Inputs!$C$67)*(1+Inputs!$C$68)^(AI$133-1)</f>
        <v>-4066.78333333333</v>
      </c>
      <c r="AJ250" s="69" t="n">
        <f aca="false">-AJ244*Inputs!$C$56/12*1*(1+Inputs!$C$67)*(1+Inputs!$C$68)^(AJ$133-1)</f>
        <v>-4066.78333333333</v>
      </c>
      <c r="AK250" s="69" t="n">
        <f aca="false">-AK244*Inputs!$C$56/12*1*(1+Inputs!$C$67)*(1+Inputs!$C$68)^(AK$133-1)</f>
        <v>-4066.78333333333</v>
      </c>
      <c r="AL250" s="69" t="n">
        <f aca="false">-AL244*Inputs!$C$56/12*1*(1+Inputs!$C$67)*(1+Inputs!$C$68)^(AL$133-1)</f>
        <v>-4066.78333333333</v>
      </c>
    </row>
    <row r="251" customFormat="false" ht="15" hidden="false" customHeight="false" outlineLevel="0" collapsed="false">
      <c r="A251" s="6" t="s">
        <v>439</v>
      </c>
      <c r="C251" s="69" t="n">
        <f aca="false">-C245*Inputs!$C$60/12*1*(1+Inputs!$C$67)*(1+Inputs!$C$68)^(C$133-1)</f>
        <v>-9487.5</v>
      </c>
      <c r="D251" s="69" t="n">
        <f aca="false">-D245*Inputs!$C$60/12*1*(1+Inputs!$C$67)*(1+Inputs!$C$68)^(D$133-1)</f>
        <v>-9487.5</v>
      </c>
      <c r="E251" s="69" t="n">
        <f aca="false">-E245*Inputs!$C$60/12*1*(1+Inputs!$C$67)*(1+Inputs!$C$68)^(E$133-1)</f>
        <v>-9487.5</v>
      </c>
      <c r="F251" s="69" t="n">
        <f aca="false">-F245*Inputs!$C$60/12*1*(1+Inputs!$C$67)*(1+Inputs!$C$68)^(F$133-1)</f>
        <v>-9487.5</v>
      </c>
      <c r="G251" s="69" t="n">
        <f aca="false">-G245*Inputs!$C$60/12*1*(1+Inputs!$C$67)*(1+Inputs!$C$68)^(G$133-1)</f>
        <v>-9487.5</v>
      </c>
      <c r="H251" s="69" t="n">
        <f aca="false">-H245*Inputs!$C$60/12*1*(1+Inputs!$C$67)*(1+Inputs!$C$68)^(H$133-1)</f>
        <v>-9487.5</v>
      </c>
      <c r="I251" s="69" t="n">
        <f aca="false">-I245*Inputs!$C$60/12*1*(1+Inputs!$C$67)*(1+Inputs!$C$68)^(I$133-1)</f>
        <v>-9487.5</v>
      </c>
      <c r="J251" s="69" t="n">
        <f aca="false">-J245*Inputs!$C$60/12*1*(1+Inputs!$C$67)*(1+Inputs!$C$68)^(J$133-1)</f>
        <v>-9487.5</v>
      </c>
      <c r="K251" s="69" t="n">
        <f aca="false">-K245*Inputs!$C$60/12*1*(1+Inputs!$C$67)*(1+Inputs!$C$68)^(K$133-1)</f>
        <v>-9487.5</v>
      </c>
      <c r="L251" s="69" t="n">
        <f aca="false">-L245*Inputs!$C$60/12*1*(1+Inputs!$C$67)*(1+Inputs!$C$68)^(L$133-1)</f>
        <v>-9487.5</v>
      </c>
      <c r="M251" s="69" t="n">
        <f aca="false">-M245*Inputs!$C$60/12*1*(1+Inputs!$C$67)*(1+Inputs!$C$68)^(M$133-1)</f>
        <v>-9487.5</v>
      </c>
      <c r="N251" s="69" t="n">
        <f aca="false">-N245*Inputs!$C$60/12*1*(1+Inputs!$C$67)*(1+Inputs!$C$68)^(N$133-1)</f>
        <v>-9487.5</v>
      </c>
      <c r="O251" s="69" t="n">
        <f aca="false">-O245*Inputs!$C$60/12*1*(1+Inputs!$C$67)*(1+Inputs!$C$68)^(O$133-1)</f>
        <v>-9772.125</v>
      </c>
      <c r="P251" s="69" t="n">
        <f aca="false">-P245*Inputs!$C$60/12*1*(1+Inputs!$C$67)*(1+Inputs!$C$68)^(P$133-1)</f>
        <v>-9772.125</v>
      </c>
      <c r="Q251" s="69" t="n">
        <f aca="false">-Q245*Inputs!$C$60/12*1*(1+Inputs!$C$67)*(1+Inputs!$C$68)^(Q$133-1)</f>
        <v>-9772.125</v>
      </c>
      <c r="R251" s="69" t="n">
        <f aca="false">-R245*Inputs!$C$60/12*1*(1+Inputs!$C$67)*(1+Inputs!$C$68)^(R$133-1)</f>
        <v>-9772.125</v>
      </c>
      <c r="S251" s="69" t="n">
        <f aca="false">-S245*Inputs!$C$60/12*1*(1+Inputs!$C$67)*(1+Inputs!$C$68)^(S$133-1)</f>
        <v>-9772.125</v>
      </c>
      <c r="T251" s="69" t="n">
        <f aca="false">-T245*Inputs!$C$60/12*1*(1+Inputs!$C$67)*(1+Inputs!$C$68)^(T$133-1)</f>
        <v>-9772.125</v>
      </c>
      <c r="U251" s="69" t="n">
        <f aca="false">-U245*Inputs!$C$60/12*1*(1+Inputs!$C$67)*(1+Inputs!$C$68)^(U$133-1)</f>
        <v>-9772.125</v>
      </c>
      <c r="V251" s="69" t="n">
        <f aca="false">-V245*Inputs!$C$60/12*1*(1+Inputs!$C$67)*(1+Inputs!$C$68)^(V$133-1)</f>
        <v>-9772.125</v>
      </c>
      <c r="W251" s="69" t="n">
        <f aca="false">-W245*Inputs!$C$60/12*1*(1+Inputs!$C$67)*(1+Inputs!$C$68)^(W$133-1)</f>
        <v>-9772.125</v>
      </c>
      <c r="X251" s="69" t="n">
        <f aca="false">-X245*Inputs!$C$60/12*1*(1+Inputs!$C$67)*(1+Inputs!$C$68)^(X$133-1)</f>
        <v>-9772.125</v>
      </c>
      <c r="Y251" s="69" t="n">
        <f aca="false">-Y245*Inputs!$C$60/12*1*(1+Inputs!$C$67)*(1+Inputs!$C$68)^(Y$133-1)</f>
        <v>-9772.125</v>
      </c>
      <c r="Z251" s="69" t="n">
        <f aca="false">-Z245*Inputs!$C$60/12*1*(1+Inputs!$C$67)*(1+Inputs!$C$68)^(Z$133-1)</f>
        <v>-9772.125</v>
      </c>
      <c r="AA251" s="69" t="n">
        <f aca="false">-AA245*Inputs!$C$60/12*1*(1+Inputs!$C$67)*(1+Inputs!$C$68)^(AA$133-1)</f>
        <v>-10065.28875</v>
      </c>
      <c r="AB251" s="69" t="n">
        <f aca="false">-AB245*Inputs!$C$60/12*1*(1+Inputs!$C$67)*(1+Inputs!$C$68)^(AB$133-1)</f>
        <v>-10065.28875</v>
      </c>
      <c r="AC251" s="69" t="n">
        <f aca="false">-AC245*Inputs!$C$60/12*1*(1+Inputs!$C$67)*(1+Inputs!$C$68)^(AC$133-1)</f>
        <v>-10065.28875</v>
      </c>
      <c r="AD251" s="69" t="n">
        <f aca="false">-AD245*Inputs!$C$60/12*1*(1+Inputs!$C$67)*(1+Inputs!$C$68)^(AD$133-1)</f>
        <v>-10065.28875</v>
      </c>
      <c r="AE251" s="69" t="n">
        <f aca="false">-AE245*Inputs!$C$60/12*1*(1+Inputs!$C$67)*(1+Inputs!$C$68)^(AE$133-1)</f>
        <v>-10065.28875</v>
      </c>
      <c r="AF251" s="69" t="n">
        <f aca="false">-AF245*Inputs!$C$60/12*1*(1+Inputs!$C$67)*(1+Inputs!$C$68)^(AF$133-1)</f>
        <v>-10065.28875</v>
      </c>
      <c r="AG251" s="69" t="n">
        <f aca="false">-AG245*Inputs!$C$60/12*1*(1+Inputs!$C$67)*(1+Inputs!$C$68)^(AG$133-1)</f>
        <v>-10065.28875</v>
      </c>
      <c r="AH251" s="69" t="n">
        <f aca="false">-AH245*Inputs!$C$60/12*1*(1+Inputs!$C$67)*(1+Inputs!$C$68)^(AH$133-1)</f>
        <v>-10065.28875</v>
      </c>
      <c r="AI251" s="69" t="n">
        <f aca="false">-AI245*Inputs!$C$60/12*1*(1+Inputs!$C$67)*(1+Inputs!$C$68)^(AI$133-1)</f>
        <v>-10065.28875</v>
      </c>
      <c r="AJ251" s="69" t="n">
        <f aca="false">-AJ245*Inputs!$C$60/12*1*(1+Inputs!$C$67)*(1+Inputs!$C$68)^(AJ$133-1)</f>
        <v>-10065.28875</v>
      </c>
      <c r="AK251" s="69" t="n">
        <f aca="false">-AK245*Inputs!$C$60/12*1*(1+Inputs!$C$67)*(1+Inputs!$C$68)^(AK$133-1)</f>
        <v>-10065.28875</v>
      </c>
      <c r="AL251" s="69" t="n">
        <f aca="false">-AL245*Inputs!$C$60/12*1*(1+Inputs!$C$67)*(1+Inputs!$C$68)^(AL$133-1)</f>
        <v>-10065.28875</v>
      </c>
    </row>
    <row r="252" customFormat="false" ht="15" hidden="false" customHeight="false" outlineLevel="0" collapsed="false">
      <c r="A252" s="6" t="s">
        <v>440</v>
      </c>
      <c r="C252" s="69" t="n">
        <f aca="false">-C246*Inputs!$C$64/12*1*(1+Inputs!$C$67)*(1+Inputs!$C$68)^(C$133-1)</f>
        <v>-5750</v>
      </c>
      <c r="D252" s="69" t="n">
        <f aca="false">-D246*Inputs!$C$64/12*1*(1+Inputs!$C$67)*(1+Inputs!$C$68)^(D$133-1)</f>
        <v>-5750</v>
      </c>
      <c r="E252" s="69" t="n">
        <f aca="false">-E246*Inputs!$C$64/12*1*(1+Inputs!$C$67)*(1+Inputs!$C$68)^(E$133-1)</f>
        <v>-5750</v>
      </c>
      <c r="F252" s="69" t="n">
        <f aca="false">-F246*Inputs!$C$64/12*1*(1+Inputs!$C$67)*(1+Inputs!$C$68)^(F$133-1)</f>
        <v>-5750</v>
      </c>
      <c r="G252" s="69" t="n">
        <f aca="false">-G246*Inputs!$C$64/12*1*(1+Inputs!$C$67)*(1+Inputs!$C$68)^(G$133-1)</f>
        <v>-5750</v>
      </c>
      <c r="H252" s="69" t="n">
        <f aca="false">-H246*Inputs!$C$64/12*1*(1+Inputs!$C$67)*(1+Inputs!$C$68)^(H$133-1)</f>
        <v>-5750</v>
      </c>
      <c r="I252" s="69" t="n">
        <f aca="false">-I246*Inputs!$C$64/12*1*(1+Inputs!$C$67)*(1+Inputs!$C$68)^(I$133-1)</f>
        <v>-5750</v>
      </c>
      <c r="J252" s="69" t="n">
        <f aca="false">-J246*Inputs!$C$64/12*1*(1+Inputs!$C$67)*(1+Inputs!$C$68)^(J$133-1)</f>
        <v>-5750</v>
      </c>
      <c r="K252" s="69" t="n">
        <f aca="false">-K246*Inputs!$C$64/12*1*(1+Inputs!$C$67)*(1+Inputs!$C$68)^(K$133-1)</f>
        <v>-5750</v>
      </c>
      <c r="L252" s="69" t="n">
        <f aca="false">-L246*Inputs!$C$64/12*1*(1+Inputs!$C$67)*(1+Inputs!$C$68)^(L$133-1)</f>
        <v>-5750</v>
      </c>
      <c r="M252" s="69" t="n">
        <f aca="false">-M246*Inputs!$C$64/12*1*(1+Inputs!$C$67)*(1+Inputs!$C$68)^(M$133-1)</f>
        <v>-5750</v>
      </c>
      <c r="N252" s="69" t="n">
        <f aca="false">-N246*Inputs!$C$64/12*1*(1+Inputs!$C$67)*(1+Inputs!$C$68)^(N$133-1)</f>
        <v>-5750</v>
      </c>
      <c r="O252" s="69" t="n">
        <f aca="false">-O246*Inputs!$C$64/12*1*(1+Inputs!$C$67)*(1+Inputs!$C$68)^(O$133-1)</f>
        <v>-5922.5</v>
      </c>
      <c r="P252" s="69" t="n">
        <f aca="false">-P246*Inputs!$C$64/12*1*(1+Inputs!$C$67)*(1+Inputs!$C$68)^(P$133-1)</f>
        <v>-5922.5</v>
      </c>
      <c r="Q252" s="69" t="n">
        <f aca="false">-Q246*Inputs!$C$64/12*1*(1+Inputs!$C$67)*(1+Inputs!$C$68)^(Q$133-1)</f>
        <v>-5922.5</v>
      </c>
      <c r="R252" s="69" t="n">
        <f aca="false">-R246*Inputs!$C$64/12*1*(1+Inputs!$C$67)*(1+Inputs!$C$68)^(R$133-1)</f>
        <v>-5922.5</v>
      </c>
      <c r="S252" s="69" t="n">
        <f aca="false">-S246*Inputs!$C$64/12*1*(1+Inputs!$C$67)*(1+Inputs!$C$68)^(S$133-1)</f>
        <v>-5922.5</v>
      </c>
      <c r="T252" s="69" t="n">
        <f aca="false">-T246*Inputs!$C$64/12*1*(1+Inputs!$C$67)*(1+Inputs!$C$68)^(T$133-1)</f>
        <v>-5922.5</v>
      </c>
      <c r="U252" s="69" t="n">
        <f aca="false">-U246*Inputs!$C$64/12*1*(1+Inputs!$C$67)*(1+Inputs!$C$68)^(U$133-1)</f>
        <v>-5922.5</v>
      </c>
      <c r="V252" s="69" t="n">
        <f aca="false">-V246*Inputs!$C$64/12*1*(1+Inputs!$C$67)*(1+Inputs!$C$68)^(V$133-1)</f>
        <v>-5922.5</v>
      </c>
      <c r="W252" s="69" t="n">
        <f aca="false">-W246*Inputs!$C$64/12*1*(1+Inputs!$C$67)*(1+Inputs!$C$68)^(W$133-1)</f>
        <v>-5922.5</v>
      </c>
      <c r="X252" s="69" t="n">
        <f aca="false">-X246*Inputs!$C$64/12*1*(1+Inputs!$C$67)*(1+Inputs!$C$68)^(X$133-1)</f>
        <v>-5922.5</v>
      </c>
      <c r="Y252" s="69" t="n">
        <f aca="false">-Y246*Inputs!$C$64/12*1*(1+Inputs!$C$67)*(1+Inputs!$C$68)^(Y$133-1)</f>
        <v>-5922.5</v>
      </c>
      <c r="Z252" s="69" t="n">
        <f aca="false">-Z246*Inputs!$C$64/12*1*(1+Inputs!$C$67)*(1+Inputs!$C$68)^(Z$133-1)</f>
        <v>-5922.5</v>
      </c>
      <c r="AA252" s="69" t="n">
        <f aca="false">-AA246*Inputs!$C$64/12*1*(1+Inputs!$C$67)*(1+Inputs!$C$68)^(AA$133-1)</f>
        <v>-6100.175</v>
      </c>
      <c r="AB252" s="69" t="n">
        <f aca="false">-AB246*Inputs!$C$64/12*1*(1+Inputs!$C$67)*(1+Inputs!$C$68)^(AB$133-1)</f>
        <v>-6100.175</v>
      </c>
      <c r="AC252" s="69" t="n">
        <f aca="false">-AC246*Inputs!$C$64/12*1*(1+Inputs!$C$67)*(1+Inputs!$C$68)^(AC$133-1)</f>
        <v>-6100.175</v>
      </c>
      <c r="AD252" s="69" t="n">
        <f aca="false">-AD246*Inputs!$C$64/12*1*(1+Inputs!$C$67)*(1+Inputs!$C$68)^(AD$133-1)</f>
        <v>-6100.175</v>
      </c>
      <c r="AE252" s="69" t="n">
        <f aca="false">-AE246*Inputs!$C$64/12*1*(1+Inputs!$C$67)*(1+Inputs!$C$68)^(AE$133-1)</f>
        <v>-6100.175</v>
      </c>
      <c r="AF252" s="69" t="n">
        <f aca="false">-AF246*Inputs!$C$64/12*1*(1+Inputs!$C$67)*(1+Inputs!$C$68)^(AF$133-1)</f>
        <v>-6100.175</v>
      </c>
      <c r="AG252" s="69" t="n">
        <f aca="false">-AG246*Inputs!$C$64/12*1*(1+Inputs!$C$67)*(1+Inputs!$C$68)^(AG$133-1)</f>
        <v>-6100.175</v>
      </c>
      <c r="AH252" s="69" t="n">
        <f aca="false">-AH246*Inputs!$C$64/12*1*(1+Inputs!$C$67)*(1+Inputs!$C$68)^(AH$133-1)</f>
        <v>-6100.175</v>
      </c>
      <c r="AI252" s="69" t="n">
        <f aca="false">-AI246*Inputs!$C$64/12*1*(1+Inputs!$C$67)*(1+Inputs!$C$68)^(AI$133-1)</f>
        <v>-6100.175</v>
      </c>
      <c r="AJ252" s="69" t="n">
        <f aca="false">-AJ246*Inputs!$C$64/12*1*(1+Inputs!$C$67)*(1+Inputs!$C$68)^(AJ$133-1)</f>
        <v>-6100.175</v>
      </c>
      <c r="AK252" s="69" t="n">
        <f aca="false">-AK246*Inputs!$C$64/12*1*(1+Inputs!$C$67)*(1+Inputs!$C$68)^(AK$133-1)</f>
        <v>-6100.175</v>
      </c>
      <c r="AL252" s="69" t="n">
        <f aca="false">-AL246*Inputs!$C$64/12*1*(1+Inputs!$C$67)*(1+Inputs!$C$68)^(AL$133-1)</f>
        <v>-6100.175</v>
      </c>
    </row>
    <row r="253" customFormat="false" ht="15" hidden="false" customHeight="false" outlineLevel="0" collapsed="false">
      <c r="A253" s="115" t="s">
        <v>441</v>
      </c>
      <c r="C253" s="70" t="n">
        <f aca="false">C250+C251+C252</f>
        <v>-19070.8333333333</v>
      </c>
      <c r="D253" s="70" t="n">
        <f aca="false">D250+D251+D252</f>
        <v>-19070.8333333333</v>
      </c>
      <c r="E253" s="70" t="n">
        <f aca="false">E250+E251+E252</f>
        <v>-19070.8333333333</v>
      </c>
      <c r="F253" s="70" t="n">
        <f aca="false">F250+F251+F252</f>
        <v>-19070.8333333333</v>
      </c>
      <c r="G253" s="70" t="n">
        <f aca="false">G250+G251+G252</f>
        <v>-19070.8333333333</v>
      </c>
      <c r="H253" s="70" t="n">
        <f aca="false">H250+H251+H252</f>
        <v>-19070.8333333333</v>
      </c>
      <c r="I253" s="70" t="n">
        <f aca="false">I250+I251+I252</f>
        <v>-19070.8333333333</v>
      </c>
      <c r="J253" s="70" t="n">
        <f aca="false">J250+J251+J252</f>
        <v>-19070.8333333333</v>
      </c>
      <c r="K253" s="70" t="n">
        <f aca="false">K250+K251+K252</f>
        <v>-19070.8333333333</v>
      </c>
      <c r="L253" s="70" t="n">
        <f aca="false">L250+L251+L252</f>
        <v>-19070.8333333333</v>
      </c>
      <c r="M253" s="70" t="n">
        <f aca="false">M250+M251+M252</f>
        <v>-19070.8333333333</v>
      </c>
      <c r="N253" s="70" t="n">
        <f aca="false">N250+N251+N252</f>
        <v>-19070.8333333333</v>
      </c>
      <c r="O253" s="70" t="n">
        <f aca="false">O250+O251+O252</f>
        <v>-19642.9583333333</v>
      </c>
      <c r="P253" s="70" t="n">
        <f aca="false">P250+P251+P252</f>
        <v>-19642.9583333333</v>
      </c>
      <c r="Q253" s="70" t="n">
        <f aca="false">Q250+Q251+Q252</f>
        <v>-19642.9583333333</v>
      </c>
      <c r="R253" s="70" t="n">
        <f aca="false">R250+R251+R252</f>
        <v>-19642.9583333333</v>
      </c>
      <c r="S253" s="70" t="n">
        <f aca="false">S250+S251+S252</f>
        <v>-19642.9583333333</v>
      </c>
      <c r="T253" s="70" t="n">
        <f aca="false">T250+T251+T252</f>
        <v>-19642.9583333333</v>
      </c>
      <c r="U253" s="70" t="n">
        <f aca="false">U250+U251+U252</f>
        <v>-19642.9583333333</v>
      </c>
      <c r="V253" s="70" t="n">
        <f aca="false">V250+V251+V252</f>
        <v>-19642.9583333333</v>
      </c>
      <c r="W253" s="70" t="n">
        <f aca="false">W250+W251+W252</f>
        <v>-19642.9583333333</v>
      </c>
      <c r="X253" s="70" t="n">
        <f aca="false">X250+X251+X252</f>
        <v>-19642.9583333333</v>
      </c>
      <c r="Y253" s="70" t="n">
        <f aca="false">Y250+Y251+Y252</f>
        <v>-19642.9583333333</v>
      </c>
      <c r="Z253" s="70" t="n">
        <f aca="false">Z250+Z251+Z252</f>
        <v>-19642.9583333333</v>
      </c>
      <c r="AA253" s="70" t="n">
        <f aca="false">AA250+AA251+AA252</f>
        <v>-20232.2470833333</v>
      </c>
      <c r="AB253" s="70" t="n">
        <f aca="false">AB250+AB251+AB252</f>
        <v>-20232.2470833333</v>
      </c>
      <c r="AC253" s="70" t="n">
        <f aca="false">AC250+AC251+AC252</f>
        <v>-20232.2470833333</v>
      </c>
      <c r="AD253" s="70" t="n">
        <f aca="false">AD250+AD251+AD252</f>
        <v>-20232.2470833333</v>
      </c>
      <c r="AE253" s="70" t="n">
        <f aca="false">AE250+AE251+AE252</f>
        <v>-20232.2470833333</v>
      </c>
      <c r="AF253" s="70" t="n">
        <f aca="false">AF250+AF251+AF252</f>
        <v>-20232.2470833333</v>
      </c>
      <c r="AG253" s="70" t="n">
        <f aca="false">AG250+AG251+AG252</f>
        <v>-20232.2470833333</v>
      </c>
      <c r="AH253" s="70" t="n">
        <f aca="false">AH250+AH251+AH252</f>
        <v>-20232.2470833333</v>
      </c>
      <c r="AI253" s="70" t="n">
        <f aca="false">AI250+AI251+AI252</f>
        <v>-20232.2470833333</v>
      </c>
      <c r="AJ253" s="70" t="n">
        <f aca="false">AJ250+AJ251+AJ252</f>
        <v>-20232.2470833333</v>
      </c>
      <c r="AK253" s="70" t="n">
        <f aca="false">AK250+AK251+AK252</f>
        <v>-20232.2470833333</v>
      </c>
      <c r="AL253" s="70" t="n">
        <f aca="false">AL250+AL251+AL252</f>
        <v>-20232.2470833333</v>
      </c>
    </row>
    <row r="256" customFormat="false" ht="15.75" hidden="false" customHeight="true" outlineLevel="0" collapsed="false">
      <c r="A256" s="7" t="s">
        <v>446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customFormat="false" ht="15" hidden="false" customHeight="false" outlineLevel="0" collapsed="false">
      <c r="A257" s="33" t="s">
        <v>349</v>
      </c>
      <c r="C257" s="35" t="s">
        <v>350</v>
      </c>
      <c r="D257" s="35" t="s">
        <v>351</v>
      </c>
      <c r="E257" s="35" t="s">
        <v>352</v>
      </c>
      <c r="F257" s="35" t="s">
        <v>353</v>
      </c>
      <c r="G257" s="35" t="s">
        <v>354</v>
      </c>
      <c r="H257" s="35" t="s">
        <v>355</v>
      </c>
      <c r="I257" s="35" t="s">
        <v>356</v>
      </c>
      <c r="J257" s="35" t="s">
        <v>357</v>
      </c>
      <c r="K257" s="35" t="s">
        <v>358</v>
      </c>
      <c r="L257" s="35" t="s">
        <v>359</v>
      </c>
      <c r="M257" s="35" t="s">
        <v>360</v>
      </c>
      <c r="N257" s="35" t="s">
        <v>361</v>
      </c>
      <c r="O257" s="35" t="s">
        <v>362</v>
      </c>
      <c r="P257" s="35" t="s">
        <v>363</v>
      </c>
      <c r="Q257" s="35" t="s">
        <v>364</v>
      </c>
      <c r="R257" s="35" t="s">
        <v>365</v>
      </c>
      <c r="S257" s="35" t="s">
        <v>366</v>
      </c>
      <c r="T257" s="35" t="s">
        <v>367</v>
      </c>
      <c r="U257" s="35" t="s">
        <v>368</v>
      </c>
      <c r="V257" s="35" t="s">
        <v>369</v>
      </c>
      <c r="W257" s="35" t="s">
        <v>370</v>
      </c>
      <c r="X257" s="35" t="s">
        <v>371</v>
      </c>
      <c r="Y257" s="35" t="s">
        <v>372</v>
      </c>
      <c r="Z257" s="35" t="s">
        <v>373</v>
      </c>
      <c r="AA257" s="35" t="s">
        <v>374</v>
      </c>
      <c r="AB257" s="35" t="s">
        <v>375</v>
      </c>
      <c r="AC257" s="35" t="s">
        <v>376</v>
      </c>
      <c r="AD257" s="35" t="s">
        <v>377</v>
      </c>
      <c r="AE257" s="35" t="s">
        <v>378</v>
      </c>
      <c r="AF257" s="35" t="s">
        <v>379</v>
      </c>
      <c r="AG257" s="35" t="s">
        <v>380</v>
      </c>
      <c r="AH257" s="35" t="s">
        <v>381</v>
      </c>
      <c r="AI257" s="35" t="s">
        <v>382</v>
      </c>
      <c r="AJ257" s="35" t="s">
        <v>383</v>
      </c>
      <c r="AK257" s="35" t="s">
        <v>384</v>
      </c>
      <c r="AL257" s="35" t="s">
        <v>385</v>
      </c>
    </row>
    <row r="258" customFormat="false" ht="15" hidden="false" customHeight="false" outlineLevel="0" collapsed="false">
      <c r="A258" s="74" t="s">
        <v>386</v>
      </c>
      <c r="C258" s="74" t="n">
        <v>1</v>
      </c>
      <c r="D258" s="74" t="n">
        <v>2</v>
      </c>
      <c r="E258" s="74" t="n">
        <v>3</v>
      </c>
      <c r="F258" s="74" t="n">
        <v>4</v>
      </c>
      <c r="G258" s="74" t="n">
        <v>5</v>
      </c>
      <c r="H258" s="74" t="n">
        <v>6</v>
      </c>
      <c r="I258" s="74" t="n">
        <v>7</v>
      </c>
      <c r="J258" s="74" t="n">
        <v>8</v>
      </c>
      <c r="K258" s="74" t="n">
        <v>9</v>
      </c>
      <c r="L258" s="74" t="n">
        <v>10</v>
      </c>
      <c r="M258" s="74" t="n">
        <v>11</v>
      </c>
      <c r="N258" s="74" t="n">
        <v>12</v>
      </c>
      <c r="O258" s="74" t="n">
        <v>13</v>
      </c>
      <c r="P258" s="74" t="n">
        <v>14</v>
      </c>
      <c r="Q258" s="74" t="n">
        <v>15</v>
      </c>
      <c r="R258" s="74" t="n">
        <v>16</v>
      </c>
      <c r="S258" s="74" t="n">
        <v>17</v>
      </c>
      <c r="T258" s="74" t="n">
        <v>18</v>
      </c>
      <c r="U258" s="74" t="n">
        <v>19</v>
      </c>
      <c r="V258" s="74" t="n">
        <v>20</v>
      </c>
      <c r="W258" s="74" t="n">
        <v>21</v>
      </c>
      <c r="X258" s="74" t="n">
        <v>22</v>
      </c>
      <c r="Y258" s="74" t="n">
        <v>23</v>
      </c>
      <c r="Z258" s="74" t="n">
        <v>24</v>
      </c>
      <c r="AA258" s="74" t="n">
        <v>25</v>
      </c>
      <c r="AB258" s="74" t="n">
        <v>26</v>
      </c>
      <c r="AC258" s="74" t="n">
        <v>27</v>
      </c>
      <c r="AD258" s="74" t="n">
        <v>28</v>
      </c>
      <c r="AE258" s="74" t="n">
        <v>29</v>
      </c>
      <c r="AF258" s="74" t="n">
        <v>30</v>
      </c>
      <c r="AG258" s="74" t="n">
        <v>31</v>
      </c>
      <c r="AH258" s="74" t="n">
        <v>32</v>
      </c>
      <c r="AI258" s="74" t="n">
        <v>33</v>
      </c>
      <c r="AJ258" s="74" t="n">
        <v>34</v>
      </c>
      <c r="AK258" s="74" t="n">
        <v>35</v>
      </c>
      <c r="AL258" s="74" t="n">
        <v>36</v>
      </c>
    </row>
    <row r="259" customFormat="false" ht="15" hidden="false" customHeight="false" outlineLevel="0" collapsed="false">
      <c r="A259" s="74" t="s">
        <v>154</v>
      </c>
      <c r="C259" s="74" t="n">
        <f aca="false">ROUNDUP(C258*1/12,0)</f>
        <v>1</v>
      </c>
      <c r="D259" s="74" t="n">
        <f aca="false">ROUNDUP(D258*1/12,0)</f>
        <v>1</v>
      </c>
      <c r="E259" s="74" t="n">
        <f aca="false">ROUNDUP(E258*1/12,0)</f>
        <v>1</v>
      </c>
      <c r="F259" s="74" t="n">
        <f aca="false">ROUNDUP(F258*1/12,0)</f>
        <v>1</v>
      </c>
      <c r="G259" s="74" t="n">
        <f aca="false">ROUNDUP(G258*1/12,0)</f>
        <v>1</v>
      </c>
      <c r="H259" s="74" t="n">
        <f aca="false">ROUNDUP(H258*1/12,0)</f>
        <v>1</v>
      </c>
      <c r="I259" s="74" t="n">
        <f aca="false">ROUNDUP(I258*1/12,0)</f>
        <v>1</v>
      </c>
      <c r="J259" s="74" t="n">
        <f aca="false">ROUNDUP(J258*1/12,0)</f>
        <v>1</v>
      </c>
      <c r="K259" s="74" t="n">
        <f aca="false">ROUNDUP(K258*1/12,0)</f>
        <v>1</v>
      </c>
      <c r="L259" s="74" t="n">
        <f aca="false">ROUNDUP(L258*1/12,0)</f>
        <v>1</v>
      </c>
      <c r="M259" s="74" t="n">
        <f aca="false">ROUNDUP(M258*1/12,0)</f>
        <v>1</v>
      </c>
      <c r="N259" s="74" t="n">
        <f aca="false">ROUNDUP(N258*1/12,0)</f>
        <v>1</v>
      </c>
      <c r="O259" s="74" t="n">
        <f aca="false">ROUNDUP(O258*1/12,0)</f>
        <v>2</v>
      </c>
      <c r="P259" s="74" t="n">
        <f aca="false">ROUNDUP(P258*1/12,0)</f>
        <v>2</v>
      </c>
      <c r="Q259" s="74" t="n">
        <f aca="false">ROUNDUP(Q258*1/12,0)</f>
        <v>2</v>
      </c>
      <c r="R259" s="74" t="n">
        <f aca="false">ROUNDUP(R258*1/12,0)</f>
        <v>2</v>
      </c>
      <c r="S259" s="74" t="n">
        <f aca="false">ROUNDUP(S258*1/12,0)</f>
        <v>2</v>
      </c>
      <c r="T259" s="74" t="n">
        <f aca="false">ROUNDUP(T258*1/12,0)</f>
        <v>2</v>
      </c>
      <c r="U259" s="74" t="n">
        <f aca="false">ROUNDUP(U258*1/12,0)</f>
        <v>2</v>
      </c>
      <c r="V259" s="74" t="n">
        <f aca="false">ROUNDUP(V258*1/12,0)</f>
        <v>2</v>
      </c>
      <c r="W259" s="74" t="n">
        <f aca="false">ROUNDUP(W258*1/12,0)</f>
        <v>2</v>
      </c>
      <c r="X259" s="74" t="n">
        <f aca="false">ROUNDUP(X258*1/12,0)</f>
        <v>2</v>
      </c>
      <c r="Y259" s="74" t="n">
        <f aca="false">ROUNDUP(Y258*1/12,0)</f>
        <v>2</v>
      </c>
      <c r="Z259" s="74" t="n">
        <f aca="false">ROUNDUP(Z258*1/12,0)</f>
        <v>2</v>
      </c>
      <c r="AA259" s="74" t="n">
        <f aca="false">ROUNDUP(AA258*1/12,0)</f>
        <v>3</v>
      </c>
      <c r="AB259" s="74" t="n">
        <f aca="false">ROUNDUP(AB258*1/12,0)</f>
        <v>3</v>
      </c>
      <c r="AC259" s="74" t="n">
        <f aca="false">ROUNDUP(AC258*1/12,0)</f>
        <v>3</v>
      </c>
      <c r="AD259" s="74" t="n">
        <f aca="false">ROUNDUP(AD258*1/12,0)</f>
        <v>3</v>
      </c>
      <c r="AE259" s="74" t="n">
        <f aca="false">ROUNDUP(AE258*1/12,0)</f>
        <v>3</v>
      </c>
      <c r="AF259" s="74" t="n">
        <f aca="false">ROUNDUP(AF258*1/12,0)</f>
        <v>3</v>
      </c>
      <c r="AG259" s="74" t="n">
        <f aca="false">ROUNDUP(AG258*1/12,0)</f>
        <v>3</v>
      </c>
      <c r="AH259" s="74" t="n">
        <f aca="false">ROUNDUP(AH258*1/12,0)</f>
        <v>3</v>
      </c>
      <c r="AI259" s="74" t="n">
        <f aca="false">ROUNDUP(AI258*1/12,0)</f>
        <v>3</v>
      </c>
      <c r="AJ259" s="74" t="n">
        <f aca="false">ROUNDUP(AJ258*1/12,0)</f>
        <v>3</v>
      </c>
      <c r="AK259" s="74" t="n">
        <f aca="false">ROUNDUP(AK258*1/12,0)</f>
        <v>3</v>
      </c>
      <c r="AL259" s="74" t="n">
        <f aca="false">ROUNDUP(AL258*1/12,0)</f>
        <v>3</v>
      </c>
    </row>
    <row r="261" customFormat="false" ht="15.75" hidden="false" customHeight="true" outlineLevel="0" collapsed="false">
      <c r="A261" s="7" t="s">
        <v>247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customFormat="false" ht="15" hidden="false" customHeight="false" outlineLevel="0" collapsed="false">
      <c r="A262" s="118" t="s">
        <v>387</v>
      </c>
      <c r="C262" s="119" t="n">
        <f aca="false">MAX(0,MIN(1,Inputs!$D$10-(C$258-1)*1))</f>
        <v>1</v>
      </c>
      <c r="D262" s="119" t="n">
        <f aca="false">MAX(0,MIN(1,Inputs!$D$10-(D$258-1)*1))</f>
        <v>1</v>
      </c>
      <c r="E262" s="119" t="n">
        <f aca="false">MAX(0,MIN(1,Inputs!$D$10-(E$258-1)*1))</f>
        <v>1</v>
      </c>
      <c r="F262" s="119" t="n">
        <f aca="false">MAX(0,MIN(1,Inputs!$D$10-(F$258-1)*1))</f>
        <v>1</v>
      </c>
      <c r="G262" s="119" t="n">
        <f aca="false">MAX(0,MIN(1,Inputs!$D$10-(G$258-1)*1))</f>
        <v>1</v>
      </c>
      <c r="H262" s="119" t="n">
        <f aca="false">MAX(0,MIN(1,Inputs!$D$10-(H$258-1)*1))</f>
        <v>1</v>
      </c>
      <c r="I262" s="119" t="n">
        <f aca="false">MAX(0,MIN(1,Inputs!$D$10-(I$258-1)*1))</f>
        <v>1</v>
      </c>
      <c r="J262" s="119" t="n">
        <f aca="false">MAX(0,MIN(1,Inputs!$D$10-(J$258-1)*1))</f>
        <v>1</v>
      </c>
      <c r="K262" s="119" t="n">
        <f aca="false">MAX(0,MIN(1,Inputs!$D$10-(K$258-1)*1))</f>
        <v>0</v>
      </c>
      <c r="L262" s="119" t="n">
        <f aca="false">MAX(0,MIN(1,Inputs!$D$10-(L$258-1)*1))</f>
        <v>0</v>
      </c>
      <c r="M262" s="119" t="n">
        <f aca="false">MAX(0,MIN(1,Inputs!$D$10-(M$258-1)*1))</f>
        <v>0</v>
      </c>
      <c r="N262" s="119" t="n">
        <f aca="false">MAX(0,MIN(1,Inputs!$D$10-(N$258-1)*1))</f>
        <v>0</v>
      </c>
      <c r="O262" s="119" t="n">
        <f aca="false">MAX(0,MIN(1,Inputs!$D$10-(O$258-1)*1))</f>
        <v>0</v>
      </c>
      <c r="P262" s="119" t="n">
        <f aca="false">MAX(0,MIN(1,Inputs!$D$10-(P$258-1)*1))</f>
        <v>0</v>
      </c>
      <c r="Q262" s="119" t="n">
        <f aca="false">MAX(0,MIN(1,Inputs!$D$10-(Q$258-1)*1))</f>
        <v>0</v>
      </c>
      <c r="R262" s="119" t="n">
        <f aca="false">MAX(0,MIN(1,Inputs!$D$10-(R$258-1)*1))</f>
        <v>0</v>
      </c>
      <c r="S262" s="119" t="n">
        <f aca="false">MAX(0,MIN(1,Inputs!$D$10-(S$258-1)*1))</f>
        <v>0</v>
      </c>
      <c r="T262" s="119" t="n">
        <f aca="false">MAX(0,MIN(1,Inputs!$D$10-(T$258-1)*1))</f>
        <v>0</v>
      </c>
      <c r="U262" s="119" t="n">
        <f aca="false">MAX(0,MIN(1,Inputs!$D$10-(U$258-1)*1))</f>
        <v>0</v>
      </c>
      <c r="V262" s="119" t="n">
        <f aca="false">MAX(0,MIN(1,Inputs!$D$10-(V$258-1)*1))</f>
        <v>0</v>
      </c>
      <c r="W262" s="119" t="n">
        <f aca="false">MAX(0,MIN(1,Inputs!$D$10-(W$258-1)*1))</f>
        <v>0</v>
      </c>
      <c r="X262" s="119" t="n">
        <f aca="false">MAX(0,MIN(1,Inputs!$D$10-(X$258-1)*1))</f>
        <v>0</v>
      </c>
      <c r="Y262" s="119" t="n">
        <f aca="false">MAX(0,MIN(1,Inputs!$D$10-(Y$258-1)*1))</f>
        <v>0</v>
      </c>
      <c r="Z262" s="119" t="n">
        <f aca="false">MAX(0,MIN(1,Inputs!$D$10-(Z$258-1)*1))</f>
        <v>0</v>
      </c>
      <c r="AA262" s="119" t="n">
        <f aca="false">MAX(0,MIN(1,Inputs!$D$10-(AA$258-1)*1))</f>
        <v>0</v>
      </c>
      <c r="AB262" s="119" t="n">
        <f aca="false">MAX(0,MIN(1,Inputs!$D$10-(AB$258-1)*1))</f>
        <v>0</v>
      </c>
      <c r="AC262" s="119" t="n">
        <f aca="false">MAX(0,MIN(1,Inputs!$D$10-(AC$258-1)*1))</f>
        <v>0</v>
      </c>
      <c r="AD262" s="119" t="n">
        <f aca="false">MAX(0,MIN(1,Inputs!$D$10-(AD$258-1)*1))</f>
        <v>0</v>
      </c>
      <c r="AE262" s="119" t="n">
        <f aca="false">MAX(0,MIN(1,Inputs!$D$10-(AE$258-1)*1))</f>
        <v>0</v>
      </c>
      <c r="AF262" s="119" t="n">
        <f aca="false">MAX(0,MIN(1,Inputs!$D$10-(AF$258-1)*1))</f>
        <v>0</v>
      </c>
      <c r="AG262" s="119" t="n">
        <f aca="false">MAX(0,MIN(1,Inputs!$D$10-(AG$258-1)*1))</f>
        <v>0</v>
      </c>
      <c r="AH262" s="119" t="n">
        <f aca="false">MAX(0,MIN(1,Inputs!$D$10-(AH$258-1)*1))</f>
        <v>0</v>
      </c>
      <c r="AI262" s="119" t="n">
        <f aca="false">MAX(0,MIN(1,Inputs!$D$10-(AI$258-1)*1))</f>
        <v>0</v>
      </c>
      <c r="AJ262" s="119" t="n">
        <f aca="false">MAX(0,MIN(1,Inputs!$D$10-(AJ$258-1)*1))</f>
        <v>0</v>
      </c>
      <c r="AK262" s="119" t="n">
        <f aca="false">MAX(0,MIN(1,Inputs!$D$10-(AK$258-1)*1))</f>
        <v>0</v>
      </c>
      <c r="AL262" s="119" t="n">
        <f aca="false">MAX(0,MIN(1,Inputs!$D$10-(AL$258-1)*1))</f>
        <v>0</v>
      </c>
    </row>
    <row r="263" customFormat="false" ht="15" hidden="false" customHeight="false" outlineLevel="0" collapsed="false">
      <c r="A263" s="39" t="s">
        <v>388</v>
      </c>
      <c r="C263" s="76" t="n">
        <f aca="false">IF(Inputs!$D$10&lt;=0,1,(C262*Inputs!$D$11+(1-Inputs!$D$11)/MAX(1,Inputs!$D$10)*(C262*(C$258-1)*1+C262*(C262-1)/2)+1-C262)/1)</f>
        <v>0.5</v>
      </c>
      <c r="D263" s="76" t="n">
        <f aca="false">IF(Inputs!$D$10&lt;=0,1,(D262*Inputs!$D$11+(1-Inputs!$D$11)/MAX(1,Inputs!$D$10)*(D262*(D$258-1)*1+D262*(D262-1)/2)+1-D262)/1)</f>
        <v>0.5625</v>
      </c>
      <c r="E263" s="76" t="n">
        <f aca="false">IF(Inputs!$D$10&lt;=0,1,(E262*Inputs!$D$11+(1-Inputs!$D$11)/MAX(1,Inputs!$D$10)*(E262*(E$258-1)*1+E262*(E262-1)/2)+1-E262)/1)</f>
        <v>0.625</v>
      </c>
      <c r="F263" s="76" t="n">
        <f aca="false">IF(Inputs!$D$10&lt;=0,1,(F262*Inputs!$D$11+(1-Inputs!$D$11)/MAX(1,Inputs!$D$10)*(F262*(F$258-1)*1+F262*(F262-1)/2)+1-F262)/1)</f>
        <v>0.6875</v>
      </c>
      <c r="G263" s="76" t="n">
        <f aca="false">IF(Inputs!$D$10&lt;=0,1,(G262*Inputs!$D$11+(1-Inputs!$D$11)/MAX(1,Inputs!$D$10)*(G262*(G$258-1)*1+G262*(G262-1)/2)+1-G262)/1)</f>
        <v>0.75</v>
      </c>
      <c r="H263" s="76" t="n">
        <f aca="false">IF(Inputs!$D$10&lt;=0,1,(H262*Inputs!$D$11+(1-Inputs!$D$11)/MAX(1,Inputs!$D$10)*(H262*(H$258-1)*1+H262*(H262-1)/2)+1-H262)/1)</f>
        <v>0.8125</v>
      </c>
      <c r="I263" s="76" t="n">
        <f aca="false">IF(Inputs!$D$10&lt;=0,1,(I262*Inputs!$D$11+(1-Inputs!$D$11)/MAX(1,Inputs!$D$10)*(I262*(I$258-1)*1+I262*(I262-1)/2)+1-I262)/1)</f>
        <v>0.875</v>
      </c>
      <c r="J263" s="76" t="n">
        <f aca="false">IF(Inputs!$D$10&lt;=0,1,(J262*Inputs!$D$11+(1-Inputs!$D$11)/MAX(1,Inputs!$D$10)*(J262*(J$258-1)*1+J262*(J262-1)/2)+1-J262)/1)</f>
        <v>0.9375</v>
      </c>
      <c r="K263" s="76" t="n">
        <f aca="false">IF(Inputs!$D$10&lt;=0,1,(K262*Inputs!$D$11+(1-Inputs!$D$11)/MAX(1,Inputs!$D$10)*(K262*(K$258-1)*1+K262*(K262-1)/2)+1-K262)/1)</f>
        <v>1</v>
      </c>
      <c r="L263" s="76" t="n">
        <f aca="false">IF(Inputs!$D$10&lt;=0,1,(L262*Inputs!$D$11+(1-Inputs!$D$11)/MAX(1,Inputs!$D$10)*(L262*(L$258-1)*1+L262*(L262-1)/2)+1-L262)/1)</f>
        <v>1</v>
      </c>
      <c r="M263" s="76" t="n">
        <f aca="false">IF(Inputs!$D$10&lt;=0,1,(M262*Inputs!$D$11+(1-Inputs!$D$11)/MAX(1,Inputs!$D$10)*(M262*(M$258-1)*1+M262*(M262-1)/2)+1-M262)/1)</f>
        <v>1</v>
      </c>
      <c r="N263" s="76" t="n">
        <f aca="false">IF(Inputs!$D$10&lt;=0,1,(N262*Inputs!$D$11+(1-Inputs!$D$11)/MAX(1,Inputs!$D$10)*(N262*(N$258-1)*1+N262*(N262-1)/2)+1-N262)/1)</f>
        <v>1</v>
      </c>
      <c r="O263" s="76" t="n">
        <f aca="false">IF(Inputs!$D$10&lt;=0,1,(O262*Inputs!$D$11+(1-Inputs!$D$11)/MAX(1,Inputs!$D$10)*(O262*(O$258-1)*1+O262*(O262-1)/2)+1-O262)/1)</f>
        <v>1</v>
      </c>
      <c r="P263" s="76" t="n">
        <f aca="false">IF(Inputs!$D$10&lt;=0,1,(P262*Inputs!$D$11+(1-Inputs!$D$11)/MAX(1,Inputs!$D$10)*(P262*(P$258-1)*1+P262*(P262-1)/2)+1-P262)/1)</f>
        <v>1</v>
      </c>
      <c r="Q263" s="76" t="n">
        <f aca="false">IF(Inputs!$D$10&lt;=0,1,(Q262*Inputs!$D$11+(1-Inputs!$D$11)/MAX(1,Inputs!$D$10)*(Q262*(Q$258-1)*1+Q262*(Q262-1)/2)+1-Q262)/1)</f>
        <v>1</v>
      </c>
      <c r="R263" s="76" t="n">
        <f aca="false">IF(Inputs!$D$10&lt;=0,1,(R262*Inputs!$D$11+(1-Inputs!$D$11)/MAX(1,Inputs!$D$10)*(R262*(R$258-1)*1+R262*(R262-1)/2)+1-R262)/1)</f>
        <v>1</v>
      </c>
      <c r="S263" s="76" t="n">
        <f aca="false">IF(Inputs!$D$10&lt;=0,1,(S262*Inputs!$D$11+(1-Inputs!$D$11)/MAX(1,Inputs!$D$10)*(S262*(S$258-1)*1+S262*(S262-1)/2)+1-S262)/1)</f>
        <v>1</v>
      </c>
      <c r="T263" s="76" t="n">
        <f aca="false">IF(Inputs!$D$10&lt;=0,1,(T262*Inputs!$D$11+(1-Inputs!$D$11)/MAX(1,Inputs!$D$10)*(T262*(T$258-1)*1+T262*(T262-1)/2)+1-T262)/1)</f>
        <v>1</v>
      </c>
      <c r="U263" s="76" t="n">
        <f aca="false">IF(Inputs!$D$10&lt;=0,1,(U262*Inputs!$D$11+(1-Inputs!$D$11)/MAX(1,Inputs!$D$10)*(U262*(U$258-1)*1+U262*(U262-1)/2)+1-U262)/1)</f>
        <v>1</v>
      </c>
      <c r="V263" s="76" t="n">
        <f aca="false">IF(Inputs!$D$10&lt;=0,1,(V262*Inputs!$D$11+(1-Inputs!$D$11)/MAX(1,Inputs!$D$10)*(V262*(V$258-1)*1+V262*(V262-1)/2)+1-V262)/1)</f>
        <v>1</v>
      </c>
      <c r="W263" s="76" t="n">
        <f aca="false">IF(Inputs!$D$10&lt;=0,1,(W262*Inputs!$D$11+(1-Inputs!$D$11)/MAX(1,Inputs!$D$10)*(W262*(W$258-1)*1+W262*(W262-1)/2)+1-W262)/1)</f>
        <v>1</v>
      </c>
      <c r="X263" s="76" t="n">
        <f aca="false">IF(Inputs!$D$10&lt;=0,1,(X262*Inputs!$D$11+(1-Inputs!$D$11)/MAX(1,Inputs!$D$10)*(X262*(X$258-1)*1+X262*(X262-1)/2)+1-X262)/1)</f>
        <v>1</v>
      </c>
      <c r="Y263" s="76" t="n">
        <f aca="false">IF(Inputs!$D$10&lt;=0,1,(Y262*Inputs!$D$11+(1-Inputs!$D$11)/MAX(1,Inputs!$D$10)*(Y262*(Y$258-1)*1+Y262*(Y262-1)/2)+1-Y262)/1)</f>
        <v>1</v>
      </c>
      <c r="Z263" s="76" t="n">
        <f aca="false">IF(Inputs!$D$10&lt;=0,1,(Z262*Inputs!$D$11+(1-Inputs!$D$11)/MAX(1,Inputs!$D$10)*(Z262*(Z$258-1)*1+Z262*(Z262-1)/2)+1-Z262)/1)</f>
        <v>1</v>
      </c>
      <c r="AA263" s="76" t="n">
        <f aca="false">IF(Inputs!$D$10&lt;=0,1,(AA262*Inputs!$D$11+(1-Inputs!$D$11)/MAX(1,Inputs!$D$10)*(AA262*(AA$258-1)*1+AA262*(AA262-1)/2)+1-AA262)/1)</f>
        <v>1</v>
      </c>
      <c r="AB263" s="76" t="n">
        <f aca="false">IF(Inputs!$D$10&lt;=0,1,(AB262*Inputs!$D$11+(1-Inputs!$D$11)/MAX(1,Inputs!$D$10)*(AB262*(AB$258-1)*1+AB262*(AB262-1)/2)+1-AB262)/1)</f>
        <v>1</v>
      </c>
      <c r="AC263" s="76" t="n">
        <f aca="false">IF(Inputs!$D$10&lt;=0,1,(AC262*Inputs!$D$11+(1-Inputs!$D$11)/MAX(1,Inputs!$D$10)*(AC262*(AC$258-1)*1+AC262*(AC262-1)/2)+1-AC262)/1)</f>
        <v>1</v>
      </c>
      <c r="AD263" s="76" t="n">
        <f aca="false">IF(Inputs!$D$10&lt;=0,1,(AD262*Inputs!$D$11+(1-Inputs!$D$11)/MAX(1,Inputs!$D$10)*(AD262*(AD$258-1)*1+AD262*(AD262-1)/2)+1-AD262)/1)</f>
        <v>1</v>
      </c>
      <c r="AE263" s="76" t="n">
        <f aca="false">IF(Inputs!$D$10&lt;=0,1,(AE262*Inputs!$D$11+(1-Inputs!$D$11)/MAX(1,Inputs!$D$10)*(AE262*(AE$258-1)*1+AE262*(AE262-1)/2)+1-AE262)/1)</f>
        <v>1</v>
      </c>
      <c r="AF263" s="76" t="n">
        <f aca="false">IF(Inputs!$D$10&lt;=0,1,(AF262*Inputs!$D$11+(1-Inputs!$D$11)/MAX(1,Inputs!$D$10)*(AF262*(AF$258-1)*1+AF262*(AF262-1)/2)+1-AF262)/1)</f>
        <v>1</v>
      </c>
      <c r="AG263" s="76" t="n">
        <f aca="false">IF(Inputs!$D$10&lt;=0,1,(AG262*Inputs!$D$11+(1-Inputs!$D$11)/MAX(1,Inputs!$D$10)*(AG262*(AG$258-1)*1+AG262*(AG262-1)/2)+1-AG262)/1)</f>
        <v>1</v>
      </c>
      <c r="AH263" s="76" t="n">
        <f aca="false">IF(Inputs!$D$10&lt;=0,1,(AH262*Inputs!$D$11+(1-Inputs!$D$11)/MAX(1,Inputs!$D$10)*(AH262*(AH$258-1)*1+AH262*(AH262-1)/2)+1-AH262)/1)</f>
        <v>1</v>
      </c>
      <c r="AI263" s="76" t="n">
        <f aca="false">IF(Inputs!$D$10&lt;=0,1,(AI262*Inputs!$D$11+(1-Inputs!$D$11)/MAX(1,Inputs!$D$10)*(AI262*(AI$258-1)*1+AI262*(AI262-1)/2)+1-AI262)/1)</f>
        <v>1</v>
      </c>
      <c r="AJ263" s="76" t="n">
        <f aca="false">IF(Inputs!$D$10&lt;=0,1,(AJ262*Inputs!$D$11+(1-Inputs!$D$11)/MAX(1,Inputs!$D$10)*(AJ262*(AJ$258-1)*1+AJ262*(AJ262-1)/2)+1-AJ262)/1)</f>
        <v>1</v>
      </c>
      <c r="AK263" s="76" t="n">
        <f aca="false">IF(Inputs!$D$10&lt;=0,1,(AK262*Inputs!$D$11+(1-Inputs!$D$11)/MAX(1,Inputs!$D$10)*(AK262*(AK$258-1)*1+AK262*(AK262-1)/2)+1-AK262)/1)</f>
        <v>1</v>
      </c>
      <c r="AL263" s="76" t="n">
        <f aca="false">IF(Inputs!$D$10&lt;=0,1,(AL262*Inputs!$D$11+(1-Inputs!$D$11)/MAX(1,Inputs!$D$10)*(AL262*(AL$258-1)*1+AL262*(AL262-1)/2)+1-AL262)/1)</f>
        <v>1</v>
      </c>
    </row>
    <row r="264" customFormat="false" ht="15" hidden="false" customHeight="false" outlineLevel="0" collapsed="false">
      <c r="A264" s="6" t="s">
        <v>389</v>
      </c>
      <c r="C264" s="120" t="n">
        <f aca="false">Inputs!$D$7*(1+Inputs!$D$8)^(C$259-1)*Inputs!$D$9*1*C263</f>
        <v>247</v>
      </c>
      <c r="D264" s="120" t="n">
        <f aca="false">Inputs!$D$7*(1+Inputs!$D$8)^(D$259-1)*Inputs!$D$9*1*D263</f>
        <v>277.875</v>
      </c>
      <c r="E264" s="120" t="n">
        <f aca="false">Inputs!$D$7*(1+Inputs!$D$8)^(E$259-1)*Inputs!$D$9*1*E263</f>
        <v>308.75</v>
      </c>
      <c r="F264" s="120" t="n">
        <f aca="false">Inputs!$D$7*(1+Inputs!$D$8)^(F$259-1)*Inputs!$D$9*1*F263</f>
        <v>339.625</v>
      </c>
      <c r="G264" s="120" t="n">
        <f aca="false">Inputs!$D$7*(1+Inputs!$D$8)^(G$259-1)*Inputs!$D$9*1*G263</f>
        <v>370.5</v>
      </c>
      <c r="H264" s="120" t="n">
        <f aca="false">Inputs!$D$7*(1+Inputs!$D$8)^(H$259-1)*Inputs!$D$9*1*H263</f>
        <v>401.375</v>
      </c>
      <c r="I264" s="120" t="n">
        <f aca="false">Inputs!$D$7*(1+Inputs!$D$8)^(I$259-1)*Inputs!$D$9*1*I263</f>
        <v>432.25</v>
      </c>
      <c r="J264" s="120" t="n">
        <f aca="false">Inputs!$D$7*(1+Inputs!$D$8)^(J$259-1)*Inputs!$D$9*1*J263</f>
        <v>463.125</v>
      </c>
      <c r="K264" s="120" t="n">
        <f aca="false">Inputs!$D$7*(1+Inputs!$D$8)^(K$259-1)*Inputs!$D$9*1*K263</f>
        <v>494</v>
      </c>
      <c r="L264" s="120" t="n">
        <f aca="false">Inputs!$D$7*(1+Inputs!$D$8)^(L$259-1)*Inputs!$D$9*1*L263</f>
        <v>494</v>
      </c>
      <c r="M264" s="120" t="n">
        <f aca="false">Inputs!$D$7*(1+Inputs!$D$8)^(M$259-1)*Inputs!$D$9*1*M263</f>
        <v>494</v>
      </c>
      <c r="N264" s="120" t="n">
        <f aca="false">Inputs!$D$7*(1+Inputs!$D$8)^(N$259-1)*Inputs!$D$9*1*N263</f>
        <v>494</v>
      </c>
      <c r="O264" s="120" t="n">
        <f aca="false">Inputs!$D$7*(1+Inputs!$D$8)^(O$259-1)*Inputs!$D$9*1*O263</f>
        <v>523.64</v>
      </c>
      <c r="P264" s="120" t="n">
        <f aca="false">Inputs!$D$7*(1+Inputs!$D$8)^(P$259-1)*Inputs!$D$9*1*P263</f>
        <v>523.64</v>
      </c>
      <c r="Q264" s="120" t="n">
        <f aca="false">Inputs!$D$7*(1+Inputs!$D$8)^(Q$259-1)*Inputs!$D$9*1*Q263</f>
        <v>523.64</v>
      </c>
      <c r="R264" s="120" t="n">
        <f aca="false">Inputs!$D$7*(1+Inputs!$D$8)^(R$259-1)*Inputs!$D$9*1*R263</f>
        <v>523.64</v>
      </c>
      <c r="S264" s="120" t="n">
        <f aca="false">Inputs!$D$7*(1+Inputs!$D$8)^(S$259-1)*Inputs!$D$9*1*S263</f>
        <v>523.64</v>
      </c>
      <c r="T264" s="120" t="n">
        <f aca="false">Inputs!$D$7*(1+Inputs!$D$8)^(T$259-1)*Inputs!$D$9*1*T263</f>
        <v>523.64</v>
      </c>
      <c r="U264" s="120" t="n">
        <f aca="false">Inputs!$D$7*(1+Inputs!$D$8)^(U$259-1)*Inputs!$D$9*1*U263</f>
        <v>523.64</v>
      </c>
      <c r="V264" s="120" t="n">
        <f aca="false">Inputs!$D$7*(1+Inputs!$D$8)^(V$259-1)*Inputs!$D$9*1*V263</f>
        <v>523.64</v>
      </c>
      <c r="W264" s="120" t="n">
        <f aca="false">Inputs!$D$7*(1+Inputs!$D$8)^(W$259-1)*Inputs!$D$9*1*W263</f>
        <v>523.64</v>
      </c>
      <c r="X264" s="120" t="n">
        <f aca="false">Inputs!$D$7*(1+Inputs!$D$8)^(X$259-1)*Inputs!$D$9*1*X263</f>
        <v>523.64</v>
      </c>
      <c r="Y264" s="120" t="n">
        <f aca="false">Inputs!$D$7*(1+Inputs!$D$8)^(Y$259-1)*Inputs!$D$9*1*Y263</f>
        <v>523.64</v>
      </c>
      <c r="Z264" s="120" t="n">
        <f aca="false">Inputs!$D$7*(1+Inputs!$D$8)^(Z$259-1)*Inputs!$D$9*1*Z263</f>
        <v>523.64</v>
      </c>
      <c r="AA264" s="120" t="n">
        <f aca="false">Inputs!$D$7*(1+Inputs!$D$8)^(AA$259-1)*Inputs!$D$9*1*AA263</f>
        <v>555.0584</v>
      </c>
      <c r="AB264" s="120" t="n">
        <f aca="false">Inputs!$D$7*(1+Inputs!$D$8)^(AB$259-1)*Inputs!$D$9*1*AB263</f>
        <v>555.0584</v>
      </c>
      <c r="AC264" s="120" t="n">
        <f aca="false">Inputs!$D$7*(1+Inputs!$D$8)^(AC$259-1)*Inputs!$D$9*1*AC263</f>
        <v>555.0584</v>
      </c>
      <c r="AD264" s="120" t="n">
        <f aca="false">Inputs!$D$7*(1+Inputs!$D$8)^(AD$259-1)*Inputs!$D$9*1*AD263</f>
        <v>555.0584</v>
      </c>
      <c r="AE264" s="120" t="n">
        <f aca="false">Inputs!$D$7*(1+Inputs!$D$8)^(AE$259-1)*Inputs!$D$9*1*AE263</f>
        <v>555.0584</v>
      </c>
      <c r="AF264" s="120" t="n">
        <f aca="false">Inputs!$D$7*(1+Inputs!$D$8)^(AF$259-1)*Inputs!$D$9*1*AF263</f>
        <v>555.0584</v>
      </c>
      <c r="AG264" s="120" t="n">
        <f aca="false">Inputs!$D$7*(1+Inputs!$D$8)^(AG$259-1)*Inputs!$D$9*1*AG263</f>
        <v>555.0584</v>
      </c>
      <c r="AH264" s="120" t="n">
        <f aca="false">Inputs!$D$7*(1+Inputs!$D$8)^(AH$259-1)*Inputs!$D$9*1*AH263</f>
        <v>555.0584</v>
      </c>
      <c r="AI264" s="120" t="n">
        <f aca="false">Inputs!$D$7*(1+Inputs!$D$8)^(AI$259-1)*Inputs!$D$9*1*AI263</f>
        <v>555.0584</v>
      </c>
      <c r="AJ264" s="120" t="n">
        <f aca="false">Inputs!$D$7*(1+Inputs!$D$8)^(AJ$259-1)*Inputs!$D$9*1*AJ263</f>
        <v>555.0584</v>
      </c>
      <c r="AK264" s="120" t="n">
        <f aca="false">Inputs!$D$7*(1+Inputs!$D$8)^(AK$259-1)*Inputs!$D$9*1*AK263</f>
        <v>555.0584</v>
      </c>
      <c r="AL264" s="120" t="n">
        <f aca="false">Inputs!$D$7*(1+Inputs!$D$8)^(AL$259-1)*Inputs!$D$9*1*AL263</f>
        <v>555.0584</v>
      </c>
    </row>
    <row r="266" customFormat="false" ht="15.75" hidden="false" customHeight="true" outlineLevel="0" collapsed="false">
      <c r="A266" s="7" t="s">
        <v>259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customFormat="false" ht="15" hidden="false" customHeight="false" outlineLevel="0" collapsed="false">
      <c r="A267" s="6" t="s">
        <v>231</v>
      </c>
      <c r="C267" s="119" t="n">
        <f aca="false">C370</f>
        <v>4</v>
      </c>
      <c r="D267" s="119" t="n">
        <f aca="false">D370</f>
        <v>4</v>
      </c>
      <c r="E267" s="119" t="n">
        <f aca="false">E370</f>
        <v>4</v>
      </c>
      <c r="F267" s="119" t="n">
        <f aca="false">F370</f>
        <v>4</v>
      </c>
      <c r="G267" s="119" t="n">
        <f aca="false">G370</f>
        <v>4</v>
      </c>
      <c r="H267" s="119" t="n">
        <f aca="false">H370</f>
        <v>4</v>
      </c>
      <c r="I267" s="119" t="n">
        <f aca="false">I370</f>
        <v>4</v>
      </c>
      <c r="J267" s="119" t="n">
        <f aca="false">J370</f>
        <v>4</v>
      </c>
      <c r="K267" s="119" t="n">
        <f aca="false">K370</f>
        <v>4</v>
      </c>
      <c r="L267" s="119" t="n">
        <f aca="false">L370</f>
        <v>4</v>
      </c>
      <c r="M267" s="119" t="n">
        <f aca="false">M370</f>
        <v>4</v>
      </c>
      <c r="N267" s="119" t="n">
        <f aca="false">N370</f>
        <v>4</v>
      </c>
      <c r="O267" s="119" t="n">
        <f aca="false">O370</f>
        <v>4</v>
      </c>
      <c r="P267" s="119" t="n">
        <f aca="false">P370</f>
        <v>4</v>
      </c>
      <c r="Q267" s="119" t="n">
        <f aca="false">Q370</f>
        <v>4</v>
      </c>
      <c r="R267" s="119" t="n">
        <f aca="false">R370</f>
        <v>4</v>
      </c>
      <c r="S267" s="119" t="n">
        <f aca="false">S370</f>
        <v>4</v>
      </c>
      <c r="T267" s="119" t="n">
        <f aca="false">T370</f>
        <v>4</v>
      </c>
      <c r="U267" s="119" t="n">
        <f aca="false">U370</f>
        <v>4</v>
      </c>
      <c r="V267" s="119" t="n">
        <f aca="false">V370</f>
        <v>4</v>
      </c>
      <c r="W267" s="119" t="n">
        <f aca="false">W370</f>
        <v>4</v>
      </c>
      <c r="X267" s="119" t="n">
        <f aca="false">X370</f>
        <v>4</v>
      </c>
      <c r="Y267" s="119" t="n">
        <f aca="false">Y370</f>
        <v>4</v>
      </c>
      <c r="Z267" s="119" t="n">
        <f aca="false">Z370</f>
        <v>4</v>
      </c>
      <c r="AA267" s="119" t="n">
        <f aca="false">AA370</f>
        <v>4</v>
      </c>
      <c r="AB267" s="119" t="n">
        <f aca="false">AB370</f>
        <v>4</v>
      </c>
      <c r="AC267" s="119" t="n">
        <f aca="false">AC370</f>
        <v>4</v>
      </c>
      <c r="AD267" s="119" t="n">
        <f aca="false">AD370</f>
        <v>4</v>
      </c>
      <c r="AE267" s="119" t="n">
        <f aca="false">AE370</f>
        <v>4</v>
      </c>
      <c r="AF267" s="119" t="n">
        <f aca="false">AF370</f>
        <v>4</v>
      </c>
      <c r="AG267" s="119" t="n">
        <f aca="false">AG370</f>
        <v>4</v>
      </c>
      <c r="AH267" s="119" t="n">
        <f aca="false">AH370</f>
        <v>4</v>
      </c>
      <c r="AI267" s="119" t="n">
        <f aca="false">AI370</f>
        <v>4</v>
      </c>
      <c r="AJ267" s="119" t="n">
        <f aca="false">AJ370</f>
        <v>4</v>
      </c>
      <c r="AK267" s="119" t="n">
        <f aca="false">AK370</f>
        <v>4</v>
      </c>
      <c r="AL267" s="119" t="n">
        <f aca="false">AL370</f>
        <v>4</v>
      </c>
    </row>
    <row r="268" customFormat="false" ht="15" hidden="false" customHeight="false" outlineLevel="0" collapsed="false">
      <c r="A268" s="6" t="s">
        <v>390</v>
      </c>
      <c r="C268" s="120" t="n">
        <f aca="false">Inputs!$D$14*Inputs!$D$15*Inputs!$D$9*1</f>
        <v>624</v>
      </c>
      <c r="D268" s="120" t="n">
        <f aca="false">Inputs!$D$14*Inputs!$D$15*Inputs!$D$9*1</f>
        <v>624</v>
      </c>
      <c r="E268" s="120" t="n">
        <f aca="false">Inputs!$D$14*Inputs!$D$15*Inputs!$D$9*1</f>
        <v>624</v>
      </c>
      <c r="F268" s="120" t="n">
        <f aca="false">Inputs!$D$14*Inputs!$D$15*Inputs!$D$9*1</f>
        <v>624</v>
      </c>
      <c r="G268" s="120" t="n">
        <f aca="false">Inputs!$D$14*Inputs!$D$15*Inputs!$D$9*1</f>
        <v>624</v>
      </c>
      <c r="H268" s="120" t="n">
        <f aca="false">Inputs!$D$14*Inputs!$D$15*Inputs!$D$9*1</f>
        <v>624</v>
      </c>
      <c r="I268" s="120" t="n">
        <f aca="false">Inputs!$D$14*Inputs!$D$15*Inputs!$D$9*1</f>
        <v>624</v>
      </c>
      <c r="J268" s="120" t="n">
        <f aca="false">Inputs!$D$14*Inputs!$D$15*Inputs!$D$9*1</f>
        <v>624</v>
      </c>
      <c r="K268" s="120" t="n">
        <f aca="false">Inputs!$D$14*Inputs!$D$15*Inputs!$D$9*1</f>
        <v>624</v>
      </c>
      <c r="L268" s="120" t="n">
        <f aca="false">Inputs!$D$14*Inputs!$D$15*Inputs!$D$9*1</f>
        <v>624</v>
      </c>
      <c r="M268" s="120" t="n">
        <f aca="false">Inputs!$D$14*Inputs!$D$15*Inputs!$D$9*1</f>
        <v>624</v>
      </c>
      <c r="N268" s="120" t="n">
        <f aca="false">Inputs!$D$14*Inputs!$D$15*Inputs!$D$9*1</f>
        <v>624</v>
      </c>
      <c r="O268" s="120" t="n">
        <f aca="false">Inputs!$D$14*Inputs!$D$15*Inputs!$D$9*1</f>
        <v>624</v>
      </c>
      <c r="P268" s="120" t="n">
        <f aca="false">Inputs!$D$14*Inputs!$D$15*Inputs!$D$9*1</f>
        <v>624</v>
      </c>
      <c r="Q268" s="120" t="n">
        <f aca="false">Inputs!$D$14*Inputs!$D$15*Inputs!$D$9*1</f>
        <v>624</v>
      </c>
      <c r="R268" s="120" t="n">
        <f aca="false">Inputs!$D$14*Inputs!$D$15*Inputs!$D$9*1</f>
        <v>624</v>
      </c>
      <c r="S268" s="120" t="n">
        <f aca="false">Inputs!$D$14*Inputs!$D$15*Inputs!$D$9*1</f>
        <v>624</v>
      </c>
      <c r="T268" s="120" t="n">
        <f aca="false">Inputs!$D$14*Inputs!$D$15*Inputs!$D$9*1</f>
        <v>624</v>
      </c>
      <c r="U268" s="120" t="n">
        <f aca="false">Inputs!$D$14*Inputs!$D$15*Inputs!$D$9*1</f>
        <v>624</v>
      </c>
      <c r="V268" s="120" t="n">
        <f aca="false">Inputs!$D$14*Inputs!$D$15*Inputs!$D$9*1</f>
        <v>624</v>
      </c>
      <c r="W268" s="120" t="n">
        <f aca="false">Inputs!$D$14*Inputs!$D$15*Inputs!$D$9*1</f>
        <v>624</v>
      </c>
      <c r="X268" s="120" t="n">
        <f aca="false">Inputs!$D$14*Inputs!$D$15*Inputs!$D$9*1</f>
        <v>624</v>
      </c>
      <c r="Y268" s="120" t="n">
        <f aca="false">Inputs!$D$14*Inputs!$D$15*Inputs!$D$9*1</f>
        <v>624</v>
      </c>
      <c r="Z268" s="120" t="n">
        <f aca="false">Inputs!$D$14*Inputs!$D$15*Inputs!$D$9*1</f>
        <v>624</v>
      </c>
      <c r="AA268" s="120" t="n">
        <f aca="false">Inputs!$D$14*Inputs!$D$15*Inputs!$D$9*1</f>
        <v>624</v>
      </c>
      <c r="AB268" s="120" t="n">
        <f aca="false">Inputs!$D$14*Inputs!$D$15*Inputs!$D$9*1</f>
        <v>624</v>
      </c>
      <c r="AC268" s="120" t="n">
        <f aca="false">Inputs!$D$14*Inputs!$D$15*Inputs!$D$9*1</f>
        <v>624</v>
      </c>
      <c r="AD268" s="120" t="n">
        <f aca="false">Inputs!$D$14*Inputs!$D$15*Inputs!$D$9*1</f>
        <v>624</v>
      </c>
      <c r="AE268" s="120" t="n">
        <f aca="false">Inputs!$D$14*Inputs!$D$15*Inputs!$D$9*1</f>
        <v>624</v>
      </c>
      <c r="AF268" s="120" t="n">
        <f aca="false">Inputs!$D$14*Inputs!$D$15*Inputs!$D$9*1</f>
        <v>624</v>
      </c>
      <c r="AG268" s="120" t="n">
        <f aca="false">Inputs!$D$14*Inputs!$D$15*Inputs!$D$9*1</f>
        <v>624</v>
      </c>
      <c r="AH268" s="120" t="n">
        <f aca="false">Inputs!$D$14*Inputs!$D$15*Inputs!$D$9*1</f>
        <v>624</v>
      </c>
      <c r="AI268" s="120" t="n">
        <f aca="false">Inputs!$D$14*Inputs!$D$15*Inputs!$D$9*1</f>
        <v>624</v>
      </c>
      <c r="AJ268" s="120" t="n">
        <f aca="false">Inputs!$D$14*Inputs!$D$15*Inputs!$D$9*1</f>
        <v>624</v>
      </c>
      <c r="AK268" s="120" t="n">
        <f aca="false">Inputs!$D$14*Inputs!$D$15*Inputs!$D$9*1</f>
        <v>624</v>
      </c>
      <c r="AL268" s="120" t="n">
        <f aca="false">Inputs!$D$14*Inputs!$D$15*Inputs!$D$9*1</f>
        <v>624</v>
      </c>
    </row>
    <row r="269" customFormat="false" ht="15" hidden="false" customHeight="false" outlineLevel="0" collapsed="false">
      <c r="A269" s="6" t="s">
        <v>391</v>
      </c>
      <c r="C269" s="120" t="n">
        <f aca="false">C267*Inputs!$D$16*Inputs!$D$9*1</f>
        <v>624</v>
      </c>
      <c r="D269" s="120" t="n">
        <f aca="false">D267*Inputs!$D$16*Inputs!$D$9*1</f>
        <v>624</v>
      </c>
      <c r="E269" s="120" t="n">
        <f aca="false">E267*Inputs!$D$16*Inputs!$D$9*1</f>
        <v>624</v>
      </c>
      <c r="F269" s="120" t="n">
        <f aca="false">F267*Inputs!$D$16*Inputs!$D$9*1</f>
        <v>624</v>
      </c>
      <c r="G269" s="120" t="n">
        <f aca="false">G267*Inputs!$D$16*Inputs!$D$9*1</f>
        <v>624</v>
      </c>
      <c r="H269" s="120" t="n">
        <f aca="false">H267*Inputs!$D$16*Inputs!$D$9*1</f>
        <v>624</v>
      </c>
      <c r="I269" s="120" t="n">
        <f aca="false">I267*Inputs!$D$16*Inputs!$D$9*1</f>
        <v>624</v>
      </c>
      <c r="J269" s="120" t="n">
        <f aca="false">J267*Inputs!$D$16*Inputs!$D$9*1</f>
        <v>624</v>
      </c>
      <c r="K269" s="120" t="n">
        <f aca="false">K267*Inputs!$D$16*Inputs!$D$9*1</f>
        <v>624</v>
      </c>
      <c r="L269" s="120" t="n">
        <f aca="false">L267*Inputs!$D$16*Inputs!$D$9*1</f>
        <v>624</v>
      </c>
      <c r="M269" s="120" t="n">
        <f aca="false">M267*Inputs!$D$16*Inputs!$D$9*1</f>
        <v>624</v>
      </c>
      <c r="N269" s="120" t="n">
        <f aca="false">N267*Inputs!$D$16*Inputs!$D$9*1</f>
        <v>624</v>
      </c>
      <c r="O269" s="120" t="n">
        <f aca="false">O267*Inputs!$D$16*Inputs!$D$9*1</f>
        <v>624</v>
      </c>
      <c r="P269" s="120" t="n">
        <f aca="false">P267*Inputs!$D$16*Inputs!$D$9*1</f>
        <v>624</v>
      </c>
      <c r="Q269" s="120" t="n">
        <f aca="false">Q267*Inputs!$D$16*Inputs!$D$9*1</f>
        <v>624</v>
      </c>
      <c r="R269" s="120" t="n">
        <f aca="false">R267*Inputs!$D$16*Inputs!$D$9*1</f>
        <v>624</v>
      </c>
      <c r="S269" s="120" t="n">
        <f aca="false">S267*Inputs!$D$16*Inputs!$D$9*1</f>
        <v>624</v>
      </c>
      <c r="T269" s="120" t="n">
        <f aca="false">T267*Inputs!$D$16*Inputs!$D$9*1</f>
        <v>624</v>
      </c>
      <c r="U269" s="120" t="n">
        <f aca="false">U267*Inputs!$D$16*Inputs!$D$9*1</f>
        <v>624</v>
      </c>
      <c r="V269" s="120" t="n">
        <f aca="false">V267*Inputs!$D$16*Inputs!$D$9*1</f>
        <v>624</v>
      </c>
      <c r="W269" s="120" t="n">
        <f aca="false">W267*Inputs!$D$16*Inputs!$D$9*1</f>
        <v>624</v>
      </c>
      <c r="X269" s="120" t="n">
        <f aca="false">X267*Inputs!$D$16*Inputs!$D$9*1</f>
        <v>624</v>
      </c>
      <c r="Y269" s="120" t="n">
        <f aca="false">Y267*Inputs!$D$16*Inputs!$D$9*1</f>
        <v>624</v>
      </c>
      <c r="Z269" s="120" t="n">
        <f aca="false">Z267*Inputs!$D$16*Inputs!$D$9*1</f>
        <v>624</v>
      </c>
      <c r="AA269" s="120" t="n">
        <f aca="false">AA267*Inputs!$D$16*Inputs!$D$9*1</f>
        <v>624</v>
      </c>
      <c r="AB269" s="120" t="n">
        <f aca="false">AB267*Inputs!$D$16*Inputs!$D$9*1</f>
        <v>624</v>
      </c>
      <c r="AC269" s="120" t="n">
        <f aca="false">AC267*Inputs!$D$16*Inputs!$D$9*1</f>
        <v>624</v>
      </c>
      <c r="AD269" s="120" t="n">
        <f aca="false">AD267*Inputs!$D$16*Inputs!$D$9*1</f>
        <v>624</v>
      </c>
      <c r="AE269" s="120" t="n">
        <f aca="false">AE267*Inputs!$D$16*Inputs!$D$9*1</f>
        <v>624</v>
      </c>
      <c r="AF269" s="120" t="n">
        <f aca="false">AF267*Inputs!$D$16*Inputs!$D$9*1</f>
        <v>624</v>
      </c>
      <c r="AG269" s="120" t="n">
        <f aca="false">AG267*Inputs!$D$16*Inputs!$D$9*1</f>
        <v>624</v>
      </c>
      <c r="AH269" s="120" t="n">
        <f aca="false">AH267*Inputs!$D$16*Inputs!$D$9*1</f>
        <v>624</v>
      </c>
      <c r="AI269" s="120" t="n">
        <f aca="false">AI267*Inputs!$D$16*Inputs!$D$9*1</f>
        <v>624</v>
      </c>
      <c r="AJ269" s="120" t="n">
        <f aca="false">AJ267*Inputs!$D$16*Inputs!$D$9*1</f>
        <v>624</v>
      </c>
      <c r="AK269" s="120" t="n">
        <f aca="false">AK267*Inputs!$D$16*Inputs!$D$9*1</f>
        <v>624</v>
      </c>
      <c r="AL269" s="120" t="n">
        <f aca="false">AL267*Inputs!$D$16*Inputs!$D$9*1</f>
        <v>624</v>
      </c>
    </row>
    <row r="270" customFormat="false" ht="15" hidden="false" customHeight="false" outlineLevel="0" collapsed="false">
      <c r="A270" s="6" t="s">
        <v>232</v>
      </c>
      <c r="C270" s="120" t="n">
        <f aca="false">MIN(C268,C269)</f>
        <v>624</v>
      </c>
      <c r="D270" s="120" t="n">
        <f aca="false">MIN(D268,D269)</f>
        <v>624</v>
      </c>
      <c r="E270" s="120" t="n">
        <f aca="false">MIN(E268,E269)</f>
        <v>624</v>
      </c>
      <c r="F270" s="120" t="n">
        <f aca="false">MIN(F268,F269)</f>
        <v>624</v>
      </c>
      <c r="G270" s="120" t="n">
        <f aca="false">MIN(G268,G269)</f>
        <v>624</v>
      </c>
      <c r="H270" s="120" t="n">
        <f aca="false">MIN(H268,H269)</f>
        <v>624</v>
      </c>
      <c r="I270" s="120" t="n">
        <f aca="false">MIN(I268,I269)</f>
        <v>624</v>
      </c>
      <c r="J270" s="120" t="n">
        <f aca="false">MIN(J268,J269)</f>
        <v>624</v>
      </c>
      <c r="K270" s="120" t="n">
        <f aca="false">MIN(K268,K269)</f>
        <v>624</v>
      </c>
      <c r="L270" s="120" t="n">
        <f aca="false">MIN(L268,L269)</f>
        <v>624</v>
      </c>
      <c r="M270" s="120" t="n">
        <f aca="false">MIN(M268,M269)</f>
        <v>624</v>
      </c>
      <c r="N270" s="120" t="n">
        <f aca="false">MIN(N268,N269)</f>
        <v>624</v>
      </c>
      <c r="O270" s="120" t="n">
        <f aca="false">MIN(O268,O269)</f>
        <v>624</v>
      </c>
      <c r="P270" s="120" t="n">
        <f aca="false">MIN(P268,P269)</f>
        <v>624</v>
      </c>
      <c r="Q270" s="120" t="n">
        <f aca="false">MIN(Q268,Q269)</f>
        <v>624</v>
      </c>
      <c r="R270" s="120" t="n">
        <f aca="false">MIN(R268,R269)</f>
        <v>624</v>
      </c>
      <c r="S270" s="120" t="n">
        <f aca="false">MIN(S268,S269)</f>
        <v>624</v>
      </c>
      <c r="T270" s="120" t="n">
        <f aca="false">MIN(T268,T269)</f>
        <v>624</v>
      </c>
      <c r="U270" s="120" t="n">
        <f aca="false">MIN(U268,U269)</f>
        <v>624</v>
      </c>
      <c r="V270" s="120" t="n">
        <f aca="false">MIN(V268,V269)</f>
        <v>624</v>
      </c>
      <c r="W270" s="120" t="n">
        <f aca="false">MIN(W268,W269)</f>
        <v>624</v>
      </c>
      <c r="X270" s="120" t="n">
        <f aca="false">MIN(X268,X269)</f>
        <v>624</v>
      </c>
      <c r="Y270" s="120" t="n">
        <f aca="false">MIN(Y268,Y269)</f>
        <v>624</v>
      </c>
      <c r="Z270" s="120" t="n">
        <f aca="false">MIN(Z268,Z269)</f>
        <v>624</v>
      </c>
      <c r="AA270" s="120" t="n">
        <f aca="false">MIN(AA268,AA269)</f>
        <v>624</v>
      </c>
      <c r="AB270" s="120" t="n">
        <f aca="false">MIN(AB268,AB269)</f>
        <v>624</v>
      </c>
      <c r="AC270" s="120" t="n">
        <f aca="false">MIN(AC268,AC269)</f>
        <v>624</v>
      </c>
      <c r="AD270" s="120" t="n">
        <f aca="false">MIN(AD268,AD269)</f>
        <v>624</v>
      </c>
      <c r="AE270" s="120" t="n">
        <f aca="false">MIN(AE268,AE269)</f>
        <v>624</v>
      </c>
      <c r="AF270" s="120" t="n">
        <f aca="false">MIN(AF268,AF269)</f>
        <v>624</v>
      </c>
      <c r="AG270" s="120" t="n">
        <f aca="false">MIN(AG268,AG269)</f>
        <v>624</v>
      </c>
      <c r="AH270" s="120" t="n">
        <f aca="false">MIN(AH268,AH269)</f>
        <v>624</v>
      </c>
      <c r="AI270" s="120" t="n">
        <f aca="false">MIN(AI268,AI269)</f>
        <v>624</v>
      </c>
      <c r="AJ270" s="120" t="n">
        <f aca="false">MIN(AJ268,AJ269)</f>
        <v>624</v>
      </c>
      <c r="AK270" s="120" t="n">
        <f aca="false">MIN(AK268,AK269)</f>
        <v>624</v>
      </c>
      <c r="AL270" s="120" t="n">
        <f aca="false">MIN(AL268,AL269)</f>
        <v>624</v>
      </c>
    </row>
    <row r="271" customFormat="false" ht="15" hidden="false" customHeight="false" outlineLevel="0" collapsed="false">
      <c r="A271" s="4" t="s">
        <v>392</v>
      </c>
      <c r="C271" s="122" t="n">
        <f aca="false">MIN(C264,C270)</f>
        <v>247</v>
      </c>
      <c r="D271" s="122" t="n">
        <f aca="false">MIN(D264,D270)</f>
        <v>277.875</v>
      </c>
      <c r="E271" s="122" t="n">
        <f aca="false">MIN(E264,E270)</f>
        <v>308.75</v>
      </c>
      <c r="F271" s="122" t="n">
        <f aca="false">MIN(F264,F270)</f>
        <v>339.625</v>
      </c>
      <c r="G271" s="122" t="n">
        <f aca="false">MIN(G264,G270)</f>
        <v>370.5</v>
      </c>
      <c r="H271" s="122" t="n">
        <f aca="false">MIN(H264,H270)</f>
        <v>401.375</v>
      </c>
      <c r="I271" s="122" t="n">
        <f aca="false">MIN(I264,I270)</f>
        <v>432.25</v>
      </c>
      <c r="J271" s="122" t="n">
        <f aca="false">MIN(J264,J270)</f>
        <v>463.125</v>
      </c>
      <c r="K271" s="122" t="n">
        <f aca="false">MIN(K264,K270)</f>
        <v>494</v>
      </c>
      <c r="L271" s="122" t="n">
        <f aca="false">MIN(L264,L270)</f>
        <v>494</v>
      </c>
      <c r="M271" s="122" t="n">
        <f aca="false">MIN(M264,M270)</f>
        <v>494</v>
      </c>
      <c r="N271" s="122" t="n">
        <f aca="false">MIN(N264,N270)</f>
        <v>494</v>
      </c>
      <c r="O271" s="122" t="n">
        <f aca="false">MIN(O264,O270)</f>
        <v>523.64</v>
      </c>
      <c r="P271" s="122" t="n">
        <f aca="false">MIN(P264,P270)</f>
        <v>523.64</v>
      </c>
      <c r="Q271" s="122" t="n">
        <f aca="false">MIN(Q264,Q270)</f>
        <v>523.64</v>
      </c>
      <c r="R271" s="122" t="n">
        <f aca="false">MIN(R264,R270)</f>
        <v>523.64</v>
      </c>
      <c r="S271" s="122" t="n">
        <f aca="false">MIN(S264,S270)</f>
        <v>523.64</v>
      </c>
      <c r="T271" s="122" t="n">
        <f aca="false">MIN(T264,T270)</f>
        <v>523.64</v>
      </c>
      <c r="U271" s="122" t="n">
        <f aca="false">MIN(U264,U270)</f>
        <v>523.64</v>
      </c>
      <c r="V271" s="122" t="n">
        <f aca="false">MIN(V264,V270)</f>
        <v>523.64</v>
      </c>
      <c r="W271" s="122" t="n">
        <f aca="false">MIN(W264,W270)</f>
        <v>523.64</v>
      </c>
      <c r="X271" s="122" t="n">
        <f aca="false">MIN(X264,X270)</f>
        <v>523.64</v>
      </c>
      <c r="Y271" s="122" t="n">
        <f aca="false">MIN(Y264,Y270)</f>
        <v>523.64</v>
      </c>
      <c r="Z271" s="122" t="n">
        <f aca="false">MIN(Z264,Z270)</f>
        <v>523.64</v>
      </c>
      <c r="AA271" s="122" t="n">
        <f aca="false">MIN(AA264,AA270)</f>
        <v>555.0584</v>
      </c>
      <c r="AB271" s="122" t="n">
        <f aca="false">MIN(AB264,AB270)</f>
        <v>555.0584</v>
      </c>
      <c r="AC271" s="122" t="n">
        <f aca="false">MIN(AC264,AC270)</f>
        <v>555.0584</v>
      </c>
      <c r="AD271" s="122" t="n">
        <f aca="false">MIN(AD264,AD270)</f>
        <v>555.0584</v>
      </c>
      <c r="AE271" s="122" t="n">
        <f aca="false">MIN(AE264,AE270)</f>
        <v>555.0584</v>
      </c>
      <c r="AF271" s="122" t="n">
        <f aca="false">MIN(AF264,AF270)</f>
        <v>555.0584</v>
      </c>
      <c r="AG271" s="122" t="n">
        <f aca="false">MIN(AG264,AG270)</f>
        <v>555.0584</v>
      </c>
      <c r="AH271" s="122" t="n">
        <f aca="false">MIN(AH264,AH270)</f>
        <v>555.0584</v>
      </c>
      <c r="AI271" s="122" t="n">
        <f aca="false">MIN(AI264,AI270)</f>
        <v>555.0584</v>
      </c>
      <c r="AJ271" s="122" t="n">
        <f aca="false">MIN(AJ264,AJ270)</f>
        <v>555.0584</v>
      </c>
      <c r="AK271" s="122" t="n">
        <f aca="false">MIN(AK264,AK270)</f>
        <v>555.0584</v>
      </c>
      <c r="AL271" s="122" t="n">
        <f aca="false">MIN(AL264,AL270)</f>
        <v>555.0584</v>
      </c>
    </row>
    <row r="272" customFormat="false" ht="15" hidden="false" customHeight="false" outlineLevel="0" collapsed="false">
      <c r="A272" s="6" t="s">
        <v>233</v>
      </c>
      <c r="C272" s="120" t="n">
        <f aca="false">C264-C271</f>
        <v>0</v>
      </c>
      <c r="D272" s="120" t="n">
        <f aca="false">D264-D271</f>
        <v>0</v>
      </c>
      <c r="E272" s="120" t="n">
        <f aca="false">E264-E271</f>
        <v>0</v>
      </c>
      <c r="F272" s="120" t="n">
        <f aca="false">F264-F271</f>
        <v>0</v>
      </c>
      <c r="G272" s="120" t="n">
        <f aca="false">G264-G271</f>
        <v>0</v>
      </c>
      <c r="H272" s="120" t="n">
        <f aca="false">H264-H271</f>
        <v>0</v>
      </c>
      <c r="I272" s="120" t="n">
        <f aca="false">I264-I271</f>
        <v>0</v>
      </c>
      <c r="J272" s="120" t="n">
        <f aca="false">J264-J271</f>
        <v>0</v>
      </c>
      <c r="K272" s="120" t="n">
        <f aca="false">K264-K271</f>
        <v>0</v>
      </c>
      <c r="L272" s="120" t="n">
        <f aca="false">L264-L271</f>
        <v>0</v>
      </c>
      <c r="M272" s="120" t="n">
        <f aca="false">M264-M271</f>
        <v>0</v>
      </c>
      <c r="N272" s="120" t="n">
        <f aca="false">N264-N271</f>
        <v>0</v>
      </c>
      <c r="O272" s="120" t="n">
        <f aca="false">O264-O271</f>
        <v>0</v>
      </c>
      <c r="P272" s="120" t="n">
        <f aca="false">P264-P271</f>
        <v>0</v>
      </c>
      <c r="Q272" s="120" t="n">
        <f aca="false">Q264-Q271</f>
        <v>0</v>
      </c>
      <c r="R272" s="120" t="n">
        <f aca="false">R264-R271</f>
        <v>0</v>
      </c>
      <c r="S272" s="120" t="n">
        <f aca="false">S264-S271</f>
        <v>0</v>
      </c>
      <c r="T272" s="120" t="n">
        <f aca="false">T264-T271</f>
        <v>0</v>
      </c>
      <c r="U272" s="120" t="n">
        <f aca="false">U264-U271</f>
        <v>0</v>
      </c>
      <c r="V272" s="120" t="n">
        <f aca="false">V264-V271</f>
        <v>0</v>
      </c>
      <c r="W272" s="120" t="n">
        <f aca="false">W264-W271</f>
        <v>0</v>
      </c>
      <c r="X272" s="120" t="n">
        <f aca="false">X264-X271</f>
        <v>0</v>
      </c>
      <c r="Y272" s="120" t="n">
        <f aca="false">Y264-Y271</f>
        <v>0</v>
      </c>
      <c r="Z272" s="120" t="n">
        <f aca="false">Z264-Z271</f>
        <v>0</v>
      </c>
      <c r="AA272" s="120" t="n">
        <f aca="false">AA264-AA271</f>
        <v>0</v>
      </c>
      <c r="AB272" s="120" t="n">
        <f aca="false">AB264-AB271</f>
        <v>0</v>
      </c>
      <c r="AC272" s="120" t="n">
        <f aca="false">AC264-AC271</f>
        <v>0</v>
      </c>
      <c r="AD272" s="120" t="n">
        <f aca="false">AD264-AD271</f>
        <v>0</v>
      </c>
      <c r="AE272" s="120" t="n">
        <f aca="false">AE264-AE271</f>
        <v>0</v>
      </c>
      <c r="AF272" s="120" t="n">
        <f aca="false">AF264-AF271</f>
        <v>0</v>
      </c>
      <c r="AG272" s="120" t="n">
        <f aca="false">AG264-AG271</f>
        <v>0</v>
      </c>
      <c r="AH272" s="120" t="n">
        <f aca="false">AH264-AH271</f>
        <v>0</v>
      </c>
      <c r="AI272" s="120" t="n">
        <f aca="false">AI264-AI271</f>
        <v>0</v>
      </c>
      <c r="AJ272" s="120" t="n">
        <f aca="false">AJ264-AJ271</f>
        <v>0</v>
      </c>
      <c r="AK272" s="120" t="n">
        <f aca="false">AK264-AK271</f>
        <v>0</v>
      </c>
      <c r="AL272" s="120" t="n">
        <f aca="false">AL264-AL271</f>
        <v>0</v>
      </c>
    </row>
    <row r="274" customFormat="false" ht="15.75" hidden="false" customHeight="true" outlineLevel="0" collapsed="false">
      <c r="A274" s="7" t="s">
        <v>270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customFormat="false" ht="15" hidden="false" customHeight="false" outlineLevel="0" collapsed="false">
      <c r="A275" s="6" t="s">
        <v>393</v>
      </c>
      <c r="C275" s="79" t="n">
        <f aca="false">IF(OR(AND(MOD(C$258-1,12)&gt;=5,MOD(C$258-1,12)&lt;=7),MOD(C$258-1,12)=11),1+Inputs!$D$28,1-Inputs!$D$28/2)</f>
        <v>0.875</v>
      </c>
      <c r="D275" s="79" t="n">
        <f aca="false">IF(OR(AND(MOD(D$258-1,12)&gt;=5,MOD(D$258-1,12)&lt;=7),MOD(D$258-1,12)=11),1+Inputs!$D$28,1-Inputs!$D$28/2)</f>
        <v>0.875</v>
      </c>
      <c r="E275" s="79" t="n">
        <f aca="false">IF(OR(AND(MOD(E$258-1,12)&gt;=5,MOD(E$258-1,12)&lt;=7),MOD(E$258-1,12)=11),1+Inputs!$D$28,1-Inputs!$D$28/2)</f>
        <v>0.875</v>
      </c>
      <c r="F275" s="79" t="n">
        <f aca="false">IF(OR(AND(MOD(F$258-1,12)&gt;=5,MOD(F$258-1,12)&lt;=7),MOD(F$258-1,12)=11),1+Inputs!$D$28,1-Inputs!$D$28/2)</f>
        <v>0.875</v>
      </c>
      <c r="G275" s="79" t="n">
        <f aca="false">IF(OR(AND(MOD(G$258-1,12)&gt;=5,MOD(G$258-1,12)&lt;=7),MOD(G$258-1,12)=11),1+Inputs!$D$28,1-Inputs!$D$28/2)</f>
        <v>0.875</v>
      </c>
      <c r="H275" s="79" t="n">
        <f aca="false">IF(OR(AND(MOD(H$258-1,12)&gt;=5,MOD(H$258-1,12)&lt;=7),MOD(H$258-1,12)=11),1+Inputs!$D$28,1-Inputs!$D$28/2)</f>
        <v>1.25</v>
      </c>
      <c r="I275" s="79" t="n">
        <f aca="false">IF(OR(AND(MOD(I$258-1,12)&gt;=5,MOD(I$258-1,12)&lt;=7),MOD(I$258-1,12)=11),1+Inputs!$D$28,1-Inputs!$D$28/2)</f>
        <v>1.25</v>
      </c>
      <c r="J275" s="79" t="n">
        <f aca="false">IF(OR(AND(MOD(J$258-1,12)&gt;=5,MOD(J$258-1,12)&lt;=7),MOD(J$258-1,12)=11),1+Inputs!$D$28,1-Inputs!$D$28/2)</f>
        <v>1.25</v>
      </c>
      <c r="K275" s="79" t="n">
        <f aca="false">IF(OR(AND(MOD(K$258-1,12)&gt;=5,MOD(K$258-1,12)&lt;=7),MOD(K$258-1,12)=11),1+Inputs!$D$28,1-Inputs!$D$28/2)</f>
        <v>0.875</v>
      </c>
      <c r="L275" s="79" t="n">
        <f aca="false">IF(OR(AND(MOD(L$258-1,12)&gt;=5,MOD(L$258-1,12)&lt;=7),MOD(L$258-1,12)=11),1+Inputs!$D$28,1-Inputs!$D$28/2)</f>
        <v>0.875</v>
      </c>
      <c r="M275" s="79" t="n">
        <f aca="false">IF(OR(AND(MOD(M$258-1,12)&gt;=5,MOD(M$258-1,12)&lt;=7),MOD(M$258-1,12)=11),1+Inputs!$D$28,1-Inputs!$D$28/2)</f>
        <v>0.875</v>
      </c>
      <c r="N275" s="79" t="n">
        <f aca="false">IF(OR(AND(MOD(N$258-1,12)&gt;=5,MOD(N$258-1,12)&lt;=7),MOD(N$258-1,12)=11),1+Inputs!$D$28,1-Inputs!$D$28/2)</f>
        <v>1.25</v>
      </c>
      <c r="O275" s="79" t="n">
        <f aca="false">IF(OR(AND(MOD(O$258-1,12)&gt;=5,MOD(O$258-1,12)&lt;=7),MOD(O$258-1,12)=11),1+Inputs!$D$28,1-Inputs!$D$28/2)</f>
        <v>0.875</v>
      </c>
      <c r="P275" s="79" t="n">
        <f aca="false">IF(OR(AND(MOD(P$258-1,12)&gt;=5,MOD(P$258-1,12)&lt;=7),MOD(P$258-1,12)=11),1+Inputs!$D$28,1-Inputs!$D$28/2)</f>
        <v>0.875</v>
      </c>
      <c r="Q275" s="79" t="n">
        <f aca="false">IF(OR(AND(MOD(Q$258-1,12)&gt;=5,MOD(Q$258-1,12)&lt;=7),MOD(Q$258-1,12)=11),1+Inputs!$D$28,1-Inputs!$D$28/2)</f>
        <v>0.875</v>
      </c>
      <c r="R275" s="79" t="n">
        <f aca="false">IF(OR(AND(MOD(R$258-1,12)&gt;=5,MOD(R$258-1,12)&lt;=7),MOD(R$258-1,12)=11),1+Inputs!$D$28,1-Inputs!$D$28/2)</f>
        <v>0.875</v>
      </c>
      <c r="S275" s="79" t="n">
        <f aca="false">IF(OR(AND(MOD(S$258-1,12)&gt;=5,MOD(S$258-1,12)&lt;=7),MOD(S$258-1,12)=11),1+Inputs!$D$28,1-Inputs!$D$28/2)</f>
        <v>0.875</v>
      </c>
      <c r="T275" s="79" t="n">
        <f aca="false">IF(OR(AND(MOD(T$258-1,12)&gt;=5,MOD(T$258-1,12)&lt;=7),MOD(T$258-1,12)=11),1+Inputs!$D$28,1-Inputs!$D$28/2)</f>
        <v>1.25</v>
      </c>
      <c r="U275" s="79" t="n">
        <f aca="false">IF(OR(AND(MOD(U$258-1,12)&gt;=5,MOD(U$258-1,12)&lt;=7),MOD(U$258-1,12)=11),1+Inputs!$D$28,1-Inputs!$D$28/2)</f>
        <v>1.25</v>
      </c>
      <c r="V275" s="79" t="n">
        <f aca="false">IF(OR(AND(MOD(V$258-1,12)&gt;=5,MOD(V$258-1,12)&lt;=7),MOD(V$258-1,12)=11),1+Inputs!$D$28,1-Inputs!$D$28/2)</f>
        <v>1.25</v>
      </c>
      <c r="W275" s="79" t="n">
        <f aca="false">IF(OR(AND(MOD(W$258-1,12)&gt;=5,MOD(W$258-1,12)&lt;=7),MOD(W$258-1,12)=11),1+Inputs!$D$28,1-Inputs!$D$28/2)</f>
        <v>0.875</v>
      </c>
      <c r="X275" s="79" t="n">
        <f aca="false">IF(OR(AND(MOD(X$258-1,12)&gt;=5,MOD(X$258-1,12)&lt;=7),MOD(X$258-1,12)=11),1+Inputs!$D$28,1-Inputs!$D$28/2)</f>
        <v>0.875</v>
      </c>
      <c r="Y275" s="79" t="n">
        <f aca="false">IF(OR(AND(MOD(Y$258-1,12)&gt;=5,MOD(Y$258-1,12)&lt;=7),MOD(Y$258-1,12)=11),1+Inputs!$D$28,1-Inputs!$D$28/2)</f>
        <v>0.875</v>
      </c>
      <c r="Z275" s="79" t="n">
        <f aca="false">IF(OR(AND(MOD(Z$258-1,12)&gt;=5,MOD(Z$258-1,12)&lt;=7),MOD(Z$258-1,12)=11),1+Inputs!$D$28,1-Inputs!$D$28/2)</f>
        <v>1.25</v>
      </c>
      <c r="AA275" s="79" t="n">
        <f aca="false">IF(OR(AND(MOD(AA$258-1,12)&gt;=5,MOD(AA$258-1,12)&lt;=7),MOD(AA$258-1,12)=11),1+Inputs!$D$28,1-Inputs!$D$28/2)</f>
        <v>0.875</v>
      </c>
      <c r="AB275" s="79" t="n">
        <f aca="false">IF(OR(AND(MOD(AB$258-1,12)&gt;=5,MOD(AB$258-1,12)&lt;=7),MOD(AB$258-1,12)=11),1+Inputs!$D$28,1-Inputs!$D$28/2)</f>
        <v>0.875</v>
      </c>
      <c r="AC275" s="79" t="n">
        <f aca="false">IF(OR(AND(MOD(AC$258-1,12)&gt;=5,MOD(AC$258-1,12)&lt;=7),MOD(AC$258-1,12)=11),1+Inputs!$D$28,1-Inputs!$D$28/2)</f>
        <v>0.875</v>
      </c>
      <c r="AD275" s="79" t="n">
        <f aca="false">IF(OR(AND(MOD(AD$258-1,12)&gt;=5,MOD(AD$258-1,12)&lt;=7),MOD(AD$258-1,12)=11),1+Inputs!$D$28,1-Inputs!$D$28/2)</f>
        <v>0.875</v>
      </c>
      <c r="AE275" s="79" t="n">
        <f aca="false">IF(OR(AND(MOD(AE$258-1,12)&gt;=5,MOD(AE$258-1,12)&lt;=7),MOD(AE$258-1,12)=11),1+Inputs!$D$28,1-Inputs!$D$28/2)</f>
        <v>0.875</v>
      </c>
      <c r="AF275" s="79" t="n">
        <f aca="false">IF(OR(AND(MOD(AF$258-1,12)&gt;=5,MOD(AF$258-1,12)&lt;=7),MOD(AF$258-1,12)=11),1+Inputs!$D$28,1-Inputs!$D$28/2)</f>
        <v>1.25</v>
      </c>
      <c r="AG275" s="79" t="n">
        <f aca="false">IF(OR(AND(MOD(AG$258-1,12)&gt;=5,MOD(AG$258-1,12)&lt;=7),MOD(AG$258-1,12)=11),1+Inputs!$D$28,1-Inputs!$D$28/2)</f>
        <v>1.25</v>
      </c>
      <c r="AH275" s="79" t="n">
        <f aca="false">IF(OR(AND(MOD(AH$258-1,12)&gt;=5,MOD(AH$258-1,12)&lt;=7),MOD(AH$258-1,12)=11),1+Inputs!$D$28,1-Inputs!$D$28/2)</f>
        <v>1.25</v>
      </c>
      <c r="AI275" s="79" t="n">
        <f aca="false">IF(OR(AND(MOD(AI$258-1,12)&gt;=5,MOD(AI$258-1,12)&lt;=7),MOD(AI$258-1,12)=11),1+Inputs!$D$28,1-Inputs!$D$28/2)</f>
        <v>0.875</v>
      </c>
      <c r="AJ275" s="79" t="n">
        <f aca="false">IF(OR(AND(MOD(AJ$258-1,12)&gt;=5,MOD(AJ$258-1,12)&lt;=7),MOD(AJ$258-1,12)=11),1+Inputs!$D$28,1-Inputs!$D$28/2)</f>
        <v>0.875</v>
      </c>
      <c r="AK275" s="79" t="n">
        <f aca="false">IF(OR(AND(MOD(AK$258-1,12)&gt;=5,MOD(AK$258-1,12)&lt;=7),MOD(AK$258-1,12)=11),1+Inputs!$D$28,1-Inputs!$D$28/2)</f>
        <v>0.875</v>
      </c>
      <c r="AL275" s="79" t="n">
        <f aca="false">IF(OR(AND(MOD(AL$258-1,12)&gt;=5,MOD(AL$258-1,12)&lt;=7),MOD(AL$258-1,12)=11),1+Inputs!$D$28,1-Inputs!$D$28/2)</f>
        <v>1.25</v>
      </c>
    </row>
    <row r="276" customFormat="false" ht="15" hidden="false" customHeight="false" outlineLevel="0" collapsed="false">
      <c r="A276" s="6" t="s">
        <v>394</v>
      </c>
      <c r="C276" s="120" t="n">
        <f aca="false">Inputs!$D$25*Inputs!$D$29*1</f>
        <v>912</v>
      </c>
      <c r="D276" s="120" t="n">
        <f aca="false">Inputs!$D$25*Inputs!$D$29*1</f>
        <v>912</v>
      </c>
      <c r="E276" s="120" t="n">
        <f aca="false">Inputs!$D$25*Inputs!$D$29*1</f>
        <v>912</v>
      </c>
      <c r="F276" s="120" t="n">
        <f aca="false">Inputs!$D$25*Inputs!$D$29*1</f>
        <v>912</v>
      </c>
      <c r="G276" s="120" t="n">
        <f aca="false">Inputs!$D$25*Inputs!$D$29*1</f>
        <v>912</v>
      </c>
      <c r="H276" s="120" t="n">
        <f aca="false">Inputs!$D$25*Inputs!$D$29*1</f>
        <v>912</v>
      </c>
      <c r="I276" s="120" t="n">
        <f aca="false">Inputs!$D$25*Inputs!$D$29*1</f>
        <v>912</v>
      </c>
      <c r="J276" s="120" t="n">
        <f aca="false">Inputs!$D$25*Inputs!$D$29*1</f>
        <v>912</v>
      </c>
      <c r="K276" s="120" t="n">
        <f aca="false">Inputs!$D$25*Inputs!$D$29*1</f>
        <v>912</v>
      </c>
      <c r="L276" s="120" t="n">
        <f aca="false">Inputs!$D$25*Inputs!$D$29*1</f>
        <v>912</v>
      </c>
      <c r="M276" s="120" t="n">
        <f aca="false">Inputs!$D$25*Inputs!$D$29*1</f>
        <v>912</v>
      </c>
      <c r="N276" s="120" t="n">
        <f aca="false">Inputs!$D$25*Inputs!$D$29*1</f>
        <v>912</v>
      </c>
      <c r="O276" s="120" t="n">
        <f aca="false">Inputs!$D$25*Inputs!$D$29*1</f>
        <v>912</v>
      </c>
      <c r="P276" s="120" t="n">
        <f aca="false">Inputs!$D$25*Inputs!$D$29*1</f>
        <v>912</v>
      </c>
      <c r="Q276" s="120" t="n">
        <f aca="false">Inputs!$D$25*Inputs!$D$29*1</f>
        <v>912</v>
      </c>
      <c r="R276" s="120" t="n">
        <f aca="false">Inputs!$D$25*Inputs!$D$29*1</f>
        <v>912</v>
      </c>
      <c r="S276" s="120" t="n">
        <f aca="false">Inputs!$D$25*Inputs!$D$29*1</f>
        <v>912</v>
      </c>
      <c r="T276" s="120" t="n">
        <f aca="false">Inputs!$D$25*Inputs!$D$29*1</f>
        <v>912</v>
      </c>
      <c r="U276" s="120" t="n">
        <f aca="false">Inputs!$D$25*Inputs!$D$29*1</f>
        <v>912</v>
      </c>
      <c r="V276" s="120" t="n">
        <f aca="false">Inputs!$D$25*Inputs!$D$29*1</f>
        <v>912</v>
      </c>
      <c r="W276" s="120" t="n">
        <f aca="false">Inputs!$D$25*Inputs!$D$29*1</f>
        <v>912</v>
      </c>
      <c r="X276" s="120" t="n">
        <f aca="false">Inputs!$D$25*Inputs!$D$29*1</f>
        <v>912</v>
      </c>
      <c r="Y276" s="120" t="n">
        <f aca="false">Inputs!$D$25*Inputs!$D$29*1</f>
        <v>912</v>
      </c>
      <c r="Z276" s="120" t="n">
        <f aca="false">Inputs!$D$25*Inputs!$D$29*1</f>
        <v>912</v>
      </c>
      <c r="AA276" s="120" t="n">
        <f aca="false">Inputs!$D$25*Inputs!$D$29*1</f>
        <v>912</v>
      </c>
      <c r="AB276" s="120" t="n">
        <f aca="false">Inputs!$D$25*Inputs!$D$29*1</f>
        <v>912</v>
      </c>
      <c r="AC276" s="120" t="n">
        <f aca="false">Inputs!$D$25*Inputs!$D$29*1</f>
        <v>912</v>
      </c>
      <c r="AD276" s="120" t="n">
        <f aca="false">Inputs!$D$25*Inputs!$D$29*1</f>
        <v>912</v>
      </c>
      <c r="AE276" s="120" t="n">
        <f aca="false">Inputs!$D$25*Inputs!$D$29*1</f>
        <v>912</v>
      </c>
      <c r="AF276" s="120" t="n">
        <f aca="false">Inputs!$D$25*Inputs!$D$29*1</f>
        <v>912</v>
      </c>
      <c r="AG276" s="120" t="n">
        <f aca="false">Inputs!$D$25*Inputs!$D$29*1</f>
        <v>912</v>
      </c>
      <c r="AH276" s="120" t="n">
        <f aca="false">Inputs!$D$25*Inputs!$D$29*1</f>
        <v>912</v>
      </c>
      <c r="AI276" s="120" t="n">
        <f aca="false">Inputs!$D$25*Inputs!$D$29*1</f>
        <v>912</v>
      </c>
      <c r="AJ276" s="120" t="n">
        <f aca="false">Inputs!$D$25*Inputs!$D$29*1</f>
        <v>912</v>
      </c>
      <c r="AK276" s="120" t="n">
        <f aca="false">Inputs!$D$25*Inputs!$D$29*1</f>
        <v>912</v>
      </c>
      <c r="AL276" s="120" t="n">
        <f aca="false">Inputs!$D$25*Inputs!$D$29*1</f>
        <v>912</v>
      </c>
    </row>
    <row r="277" customFormat="false" ht="15" hidden="false" customHeight="false" outlineLevel="0" collapsed="false">
      <c r="A277" s="39" t="s">
        <v>395</v>
      </c>
      <c r="C277" s="76" t="n">
        <f aca="false">MIN(1,Inputs!$D$26*(1+Inputs!$D$27)^(C$259-1)*C263*C275)</f>
        <v>0.315</v>
      </c>
      <c r="D277" s="76" t="n">
        <f aca="false">MIN(1,Inputs!$D$26*(1+Inputs!$D$27)^(D$259-1)*D263*D275)</f>
        <v>0.354375</v>
      </c>
      <c r="E277" s="76" t="n">
        <f aca="false">MIN(1,Inputs!$D$26*(1+Inputs!$D$27)^(E$259-1)*E263*E275)</f>
        <v>0.39375</v>
      </c>
      <c r="F277" s="76" t="n">
        <f aca="false">MIN(1,Inputs!$D$26*(1+Inputs!$D$27)^(F$259-1)*F263*F275)</f>
        <v>0.433125</v>
      </c>
      <c r="G277" s="76" t="n">
        <f aca="false">MIN(1,Inputs!$D$26*(1+Inputs!$D$27)^(G$259-1)*G263*G275)</f>
        <v>0.4725</v>
      </c>
      <c r="H277" s="76" t="n">
        <f aca="false">MIN(1,Inputs!$D$26*(1+Inputs!$D$27)^(H$259-1)*H263*H275)</f>
        <v>0.73125</v>
      </c>
      <c r="I277" s="76" t="n">
        <f aca="false">MIN(1,Inputs!$D$26*(1+Inputs!$D$27)^(I$259-1)*I263*I275)</f>
        <v>0.7875</v>
      </c>
      <c r="J277" s="76" t="n">
        <f aca="false">MIN(1,Inputs!$D$26*(1+Inputs!$D$27)^(J$259-1)*J263*J275)</f>
        <v>0.84375</v>
      </c>
      <c r="K277" s="76" t="n">
        <f aca="false">MIN(1,Inputs!$D$26*(1+Inputs!$D$27)^(K$259-1)*K263*K275)</f>
        <v>0.63</v>
      </c>
      <c r="L277" s="76" t="n">
        <f aca="false">MIN(1,Inputs!$D$26*(1+Inputs!$D$27)^(L$259-1)*L263*L275)</f>
        <v>0.63</v>
      </c>
      <c r="M277" s="76" t="n">
        <f aca="false">MIN(1,Inputs!$D$26*(1+Inputs!$D$27)^(M$259-1)*M263*M275)</f>
        <v>0.63</v>
      </c>
      <c r="N277" s="76" t="n">
        <f aca="false">MIN(1,Inputs!$D$26*(1+Inputs!$D$27)^(N$259-1)*N263*N275)</f>
        <v>0.9</v>
      </c>
      <c r="O277" s="76" t="n">
        <f aca="false">MIN(1,Inputs!$D$26*(1+Inputs!$D$27)^(O$259-1)*O263*O275)</f>
        <v>0.6615</v>
      </c>
      <c r="P277" s="76" t="n">
        <f aca="false">MIN(1,Inputs!$D$26*(1+Inputs!$D$27)^(P$259-1)*P263*P275)</f>
        <v>0.6615</v>
      </c>
      <c r="Q277" s="76" t="n">
        <f aca="false">MIN(1,Inputs!$D$26*(1+Inputs!$D$27)^(Q$259-1)*Q263*Q275)</f>
        <v>0.6615</v>
      </c>
      <c r="R277" s="76" t="n">
        <f aca="false">MIN(1,Inputs!$D$26*(1+Inputs!$D$27)^(R$259-1)*R263*R275)</f>
        <v>0.6615</v>
      </c>
      <c r="S277" s="76" t="n">
        <f aca="false">MIN(1,Inputs!$D$26*(1+Inputs!$D$27)^(S$259-1)*S263*S275)</f>
        <v>0.6615</v>
      </c>
      <c r="T277" s="76" t="n">
        <f aca="false">MIN(1,Inputs!$D$26*(1+Inputs!$D$27)^(T$259-1)*T263*T275)</f>
        <v>0.945</v>
      </c>
      <c r="U277" s="76" t="n">
        <f aca="false">MIN(1,Inputs!$D$26*(1+Inputs!$D$27)^(U$259-1)*U263*U275)</f>
        <v>0.945</v>
      </c>
      <c r="V277" s="76" t="n">
        <f aca="false">MIN(1,Inputs!$D$26*(1+Inputs!$D$27)^(V$259-1)*V263*V275)</f>
        <v>0.945</v>
      </c>
      <c r="W277" s="76" t="n">
        <f aca="false">MIN(1,Inputs!$D$26*(1+Inputs!$D$27)^(W$259-1)*W263*W275)</f>
        <v>0.6615</v>
      </c>
      <c r="X277" s="76" t="n">
        <f aca="false">MIN(1,Inputs!$D$26*(1+Inputs!$D$27)^(X$259-1)*X263*X275)</f>
        <v>0.6615</v>
      </c>
      <c r="Y277" s="76" t="n">
        <f aca="false">MIN(1,Inputs!$D$26*(1+Inputs!$D$27)^(Y$259-1)*Y263*Y275)</f>
        <v>0.6615</v>
      </c>
      <c r="Z277" s="76" t="n">
        <f aca="false">MIN(1,Inputs!$D$26*(1+Inputs!$D$27)^(Z$259-1)*Z263*Z275)</f>
        <v>0.945</v>
      </c>
      <c r="AA277" s="76" t="n">
        <f aca="false">MIN(1,Inputs!$D$26*(1+Inputs!$D$27)^(AA$259-1)*AA263*AA275)</f>
        <v>0.694575</v>
      </c>
      <c r="AB277" s="76" t="n">
        <f aca="false">MIN(1,Inputs!$D$26*(1+Inputs!$D$27)^(AB$259-1)*AB263*AB275)</f>
        <v>0.694575</v>
      </c>
      <c r="AC277" s="76" t="n">
        <f aca="false">MIN(1,Inputs!$D$26*(1+Inputs!$D$27)^(AC$259-1)*AC263*AC275)</f>
        <v>0.694575</v>
      </c>
      <c r="AD277" s="76" t="n">
        <f aca="false">MIN(1,Inputs!$D$26*(1+Inputs!$D$27)^(AD$259-1)*AD263*AD275)</f>
        <v>0.694575</v>
      </c>
      <c r="AE277" s="76" t="n">
        <f aca="false">MIN(1,Inputs!$D$26*(1+Inputs!$D$27)^(AE$259-1)*AE263*AE275)</f>
        <v>0.694575</v>
      </c>
      <c r="AF277" s="76" t="n">
        <f aca="false">MIN(1,Inputs!$D$26*(1+Inputs!$D$27)^(AF$259-1)*AF263*AF275)</f>
        <v>0.99225</v>
      </c>
      <c r="AG277" s="76" t="n">
        <f aca="false">MIN(1,Inputs!$D$26*(1+Inputs!$D$27)^(AG$259-1)*AG263*AG275)</f>
        <v>0.99225</v>
      </c>
      <c r="AH277" s="76" t="n">
        <f aca="false">MIN(1,Inputs!$D$26*(1+Inputs!$D$27)^(AH$259-1)*AH263*AH275)</f>
        <v>0.99225</v>
      </c>
      <c r="AI277" s="76" t="n">
        <f aca="false">MIN(1,Inputs!$D$26*(1+Inputs!$D$27)^(AI$259-1)*AI263*AI275)</f>
        <v>0.694575</v>
      </c>
      <c r="AJ277" s="76" t="n">
        <f aca="false">MIN(1,Inputs!$D$26*(1+Inputs!$D$27)^(AJ$259-1)*AJ263*AJ275)</f>
        <v>0.694575</v>
      </c>
      <c r="AK277" s="76" t="n">
        <f aca="false">MIN(1,Inputs!$D$26*(1+Inputs!$D$27)^(AK$259-1)*AK263*AK275)</f>
        <v>0.694575</v>
      </c>
      <c r="AL277" s="76" t="n">
        <f aca="false">MIN(1,Inputs!$D$26*(1+Inputs!$D$27)^(AL$259-1)*AL263*AL275)</f>
        <v>0.99225</v>
      </c>
    </row>
    <row r="278" customFormat="false" ht="15" hidden="false" customHeight="false" outlineLevel="0" collapsed="false">
      <c r="A278" s="4" t="s">
        <v>234</v>
      </c>
      <c r="C278" s="122" t="n">
        <f aca="false">C276*C277</f>
        <v>287.28</v>
      </c>
      <c r="D278" s="122" t="n">
        <f aca="false">D276*D277</f>
        <v>323.19</v>
      </c>
      <c r="E278" s="122" t="n">
        <f aca="false">E276*E277</f>
        <v>359.1</v>
      </c>
      <c r="F278" s="122" t="n">
        <f aca="false">F276*F277</f>
        <v>395.01</v>
      </c>
      <c r="G278" s="122" t="n">
        <f aca="false">G276*G277</f>
        <v>430.92</v>
      </c>
      <c r="H278" s="122" t="n">
        <f aca="false">H276*H277</f>
        <v>666.9</v>
      </c>
      <c r="I278" s="122" t="n">
        <f aca="false">I276*I277</f>
        <v>718.2</v>
      </c>
      <c r="J278" s="122" t="n">
        <f aca="false">J276*J277</f>
        <v>769.5</v>
      </c>
      <c r="K278" s="122" t="n">
        <f aca="false">K276*K277</f>
        <v>574.56</v>
      </c>
      <c r="L278" s="122" t="n">
        <f aca="false">L276*L277</f>
        <v>574.56</v>
      </c>
      <c r="M278" s="122" t="n">
        <f aca="false">M276*M277</f>
        <v>574.56</v>
      </c>
      <c r="N278" s="122" t="n">
        <f aca="false">N276*N277</f>
        <v>820.8</v>
      </c>
      <c r="O278" s="122" t="n">
        <f aca="false">O276*O277</f>
        <v>603.288</v>
      </c>
      <c r="P278" s="122" t="n">
        <f aca="false">P276*P277</f>
        <v>603.288</v>
      </c>
      <c r="Q278" s="122" t="n">
        <f aca="false">Q276*Q277</f>
        <v>603.288</v>
      </c>
      <c r="R278" s="122" t="n">
        <f aca="false">R276*R277</f>
        <v>603.288</v>
      </c>
      <c r="S278" s="122" t="n">
        <f aca="false">S276*S277</f>
        <v>603.288</v>
      </c>
      <c r="T278" s="122" t="n">
        <f aca="false">T276*T277</f>
        <v>861.84</v>
      </c>
      <c r="U278" s="122" t="n">
        <f aca="false">U276*U277</f>
        <v>861.84</v>
      </c>
      <c r="V278" s="122" t="n">
        <f aca="false">V276*V277</f>
        <v>861.84</v>
      </c>
      <c r="W278" s="122" t="n">
        <f aca="false">W276*W277</f>
        <v>603.288</v>
      </c>
      <c r="X278" s="122" t="n">
        <f aca="false">X276*X277</f>
        <v>603.288</v>
      </c>
      <c r="Y278" s="122" t="n">
        <f aca="false">Y276*Y277</f>
        <v>603.288</v>
      </c>
      <c r="Z278" s="122" t="n">
        <f aca="false">Z276*Z277</f>
        <v>861.84</v>
      </c>
      <c r="AA278" s="122" t="n">
        <f aca="false">AA276*AA277</f>
        <v>633.4524</v>
      </c>
      <c r="AB278" s="122" t="n">
        <f aca="false">AB276*AB277</f>
        <v>633.4524</v>
      </c>
      <c r="AC278" s="122" t="n">
        <f aca="false">AC276*AC277</f>
        <v>633.4524</v>
      </c>
      <c r="AD278" s="122" t="n">
        <f aca="false">AD276*AD277</f>
        <v>633.4524</v>
      </c>
      <c r="AE278" s="122" t="n">
        <f aca="false">AE276*AE277</f>
        <v>633.4524</v>
      </c>
      <c r="AF278" s="122" t="n">
        <f aca="false">AF276*AF277</f>
        <v>904.932</v>
      </c>
      <c r="AG278" s="122" t="n">
        <f aca="false">AG276*AG277</f>
        <v>904.932</v>
      </c>
      <c r="AH278" s="122" t="n">
        <f aca="false">AH276*AH277</f>
        <v>904.932</v>
      </c>
      <c r="AI278" s="122" t="n">
        <f aca="false">AI276*AI277</f>
        <v>633.4524</v>
      </c>
      <c r="AJ278" s="122" t="n">
        <f aca="false">AJ276*AJ277</f>
        <v>633.4524</v>
      </c>
      <c r="AK278" s="122" t="n">
        <f aca="false">AK276*AK277</f>
        <v>633.4524</v>
      </c>
      <c r="AL278" s="122" t="n">
        <f aca="false">AL276*AL277</f>
        <v>904.932</v>
      </c>
    </row>
    <row r="280" customFormat="false" ht="15.75" hidden="false" customHeight="true" outlineLevel="0" collapsed="false">
      <c r="A280" s="7" t="s">
        <v>44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customFormat="false" ht="15" hidden="false" customHeight="false" outlineLevel="0" collapsed="false">
      <c r="A281" s="6" t="s">
        <v>396</v>
      </c>
      <c r="C281" s="123" t="n">
        <f aca="false">Inputs!$D$19*(1+Inputs!$D$20)^(C$259-1)</f>
        <v>82</v>
      </c>
      <c r="D281" s="123" t="n">
        <f aca="false">Inputs!$D$19*(1+Inputs!$D$20)^(D$259-1)</f>
        <v>82</v>
      </c>
      <c r="E281" s="123" t="n">
        <f aca="false">Inputs!$D$19*(1+Inputs!$D$20)^(E$259-1)</f>
        <v>82</v>
      </c>
      <c r="F281" s="123" t="n">
        <f aca="false">Inputs!$D$19*(1+Inputs!$D$20)^(F$259-1)</f>
        <v>82</v>
      </c>
      <c r="G281" s="123" t="n">
        <f aca="false">Inputs!$D$19*(1+Inputs!$D$20)^(G$259-1)</f>
        <v>82</v>
      </c>
      <c r="H281" s="123" t="n">
        <f aca="false">Inputs!$D$19*(1+Inputs!$D$20)^(H$259-1)</f>
        <v>82</v>
      </c>
      <c r="I281" s="123" t="n">
        <f aca="false">Inputs!$D$19*(1+Inputs!$D$20)^(I$259-1)</f>
        <v>82</v>
      </c>
      <c r="J281" s="123" t="n">
        <f aca="false">Inputs!$D$19*(1+Inputs!$D$20)^(J$259-1)</f>
        <v>82</v>
      </c>
      <c r="K281" s="123" t="n">
        <f aca="false">Inputs!$D$19*(1+Inputs!$D$20)^(K$259-1)</f>
        <v>82</v>
      </c>
      <c r="L281" s="123" t="n">
        <f aca="false">Inputs!$D$19*(1+Inputs!$D$20)^(L$259-1)</f>
        <v>82</v>
      </c>
      <c r="M281" s="123" t="n">
        <f aca="false">Inputs!$D$19*(1+Inputs!$D$20)^(M$259-1)</f>
        <v>82</v>
      </c>
      <c r="N281" s="123" t="n">
        <f aca="false">Inputs!$D$19*(1+Inputs!$D$20)^(N$259-1)</f>
        <v>82</v>
      </c>
      <c r="O281" s="123" t="n">
        <f aca="false">Inputs!$D$19*(1+Inputs!$D$20)^(O$259-1)</f>
        <v>85.28</v>
      </c>
      <c r="P281" s="123" t="n">
        <f aca="false">Inputs!$D$19*(1+Inputs!$D$20)^(P$259-1)</f>
        <v>85.28</v>
      </c>
      <c r="Q281" s="123" t="n">
        <f aca="false">Inputs!$D$19*(1+Inputs!$D$20)^(Q$259-1)</f>
        <v>85.28</v>
      </c>
      <c r="R281" s="123" t="n">
        <f aca="false">Inputs!$D$19*(1+Inputs!$D$20)^(R$259-1)</f>
        <v>85.28</v>
      </c>
      <c r="S281" s="123" t="n">
        <f aca="false">Inputs!$D$19*(1+Inputs!$D$20)^(S$259-1)</f>
        <v>85.28</v>
      </c>
      <c r="T281" s="123" t="n">
        <f aca="false">Inputs!$D$19*(1+Inputs!$D$20)^(T$259-1)</f>
        <v>85.28</v>
      </c>
      <c r="U281" s="123" t="n">
        <f aca="false">Inputs!$D$19*(1+Inputs!$D$20)^(U$259-1)</f>
        <v>85.28</v>
      </c>
      <c r="V281" s="123" t="n">
        <f aca="false">Inputs!$D$19*(1+Inputs!$D$20)^(V$259-1)</f>
        <v>85.28</v>
      </c>
      <c r="W281" s="123" t="n">
        <f aca="false">Inputs!$D$19*(1+Inputs!$D$20)^(W$259-1)</f>
        <v>85.28</v>
      </c>
      <c r="X281" s="123" t="n">
        <f aca="false">Inputs!$D$19*(1+Inputs!$D$20)^(X$259-1)</f>
        <v>85.28</v>
      </c>
      <c r="Y281" s="123" t="n">
        <f aca="false">Inputs!$D$19*(1+Inputs!$D$20)^(Y$259-1)</f>
        <v>85.28</v>
      </c>
      <c r="Z281" s="123" t="n">
        <f aca="false">Inputs!$D$19*(1+Inputs!$D$20)^(Z$259-1)</f>
        <v>85.28</v>
      </c>
      <c r="AA281" s="123" t="n">
        <f aca="false">Inputs!$D$19*(1+Inputs!$D$20)^(AA$259-1)</f>
        <v>88.6912</v>
      </c>
      <c r="AB281" s="123" t="n">
        <f aca="false">Inputs!$D$19*(1+Inputs!$D$20)^(AB$259-1)</f>
        <v>88.6912</v>
      </c>
      <c r="AC281" s="123" t="n">
        <f aca="false">Inputs!$D$19*(1+Inputs!$D$20)^(AC$259-1)</f>
        <v>88.6912</v>
      </c>
      <c r="AD281" s="123" t="n">
        <f aca="false">Inputs!$D$19*(1+Inputs!$D$20)^(AD$259-1)</f>
        <v>88.6912</v>
      </c>
      <c r="AE281" s="123" t="n">
        <f aca="false">Inputs!$D$19*(1+Inputs!$D$20)^(AE$259-1)</f>
        <v>88.6912</v>
      </c>
      <c r="AF281" s="123" t="n">
        <f aca="false">Inputs!$D$19*(1+Inputs!$D$20)^(AF$259-1)</f>
        <v>88.6912</v>
      </c>
      <c r="AG281" s="123" t="n">
        <f aca="false">Inputs!$D$19*(1+Inputs!$D$20)^(AG$259-1)</f>
        <v>88.6912</v>
      </c>
      <c r="AH281" s="123" t="n">
        <f aca="false">Inputs!$D$19*(1+Inputs!$D$20)^(AH$259-1)</f>
        <v>88.6912</v>
      </c>
      <c r="AI281" s="123" t="n">
        <f aca="false">Inputs!$D$19*(1+Inputs!$D$20)^(AI$259-1)</f>
        <v>88.6912</v>
      </c>
      <c r="AJ281" s="123" t="n">
        <f aca="false">Inputs!$D$19*(1+Inputs!$D$20)^(AJ$259-1)</f>
        <v>88.6912</v>
      </c>
      <c r="AK281" s="123" t="n">
        <f aca="false">Inputs!$D$19*(1+Inputs!$D$20)^(AK$259-1)</f>
        <v>88.6912</v>
      </c>
      <c r="AL281" s="123" t="n">
        <f aca="false">Inputs!$D$19*(1+Inputs!$D$20)^(AL$259-1)</f>
        <v>88.6912</v>
      </c>
    </row>
    <row r="282" customFormat="false" ht="15" hidden="false" customHeight="false" outlineLevel="0" collapsed="false">
      <c r="A282" s="6" t="s">
        <v>236</v>
      </c>
      <c r="C282" s="69" t="n">
        <f aca="false">C271*C281</f>
        <v>20254</v>
      </c>
      <c r="D282" s="69" t="n">
        <f aca="false">D271*D281</f>
        <v>22785.75</v>
      </c>
      <c r="E282" s="69" t="n">
        <f aca="false">E271*E281</f>
        <v>25317.5</v>
      </c>
      <c r="F282" s="69" t="n">
        <f aca="false">F271*F281</f>
        <v>27849.25</v>
      </c>
      <c r="G282" s="69" t="n">
        <f aca="false">G271*G281</f>
        <v>30381</v>
      </c>
      <c r="H282" s="69" t="n">
        <f aca="false">H271*H281</f>
        <v>32912.75</v>
      </c>
      <c r="I282" s="69" t="n">
        <f aca="false">I271*I281</f>
        <v>35444.5</v>
      </c>
      <c r="J282" s="69" t="n">
        <f aca="false">J271*J281</f>
        <v>37976.25</v>
      </c>
      <c r="K282" s="69" t="n">
        <f aca="false">K271*K281</f>
        <v>40508</v>
      </c>
      <c r="L282" s="69" t="n">
        <f aca="false">L271*L281</f>
        <v>40508</v>
      </c>
      <c r="M282" s="69" t="n">
        <f aca="false">M271*M281</f>
        <v>40508</v>
      </c>
      <c r="N282" s="69" t="n">
        <f aca="false">N271*N281</f>
        <v>40508</v>
      </c>
      <c r="O282" s="69" t="n">
        <f aca="false">O271*O281</f>
        <v>44656.0192</v>
      </c>
      <c r="P282" s="69" t="n">
        <f aca="false">P271*P281</f>
        <v>44656.0192</v>
      </c>
      <c r="Q282" s="69" t="n">
        <f aca="false">Q271*Q281</f>
        <v>44656.0192</v>
      </c>
      <c r="R282" s="69" t="n">
        <f aca="false">R271*R281</f>
        <v>44656.0192</v>
      </c>
      <c r="S282" s="69" t="n">
        <f aca="false">S271*S281</f>
        <v>44656.0192</v>
      </c>
      <c r="T282" s="69" t="n">
        <f aca="false">T271*T281</f>
        <v>44656.0192</v>
      </c>
      <c r="U282" s="69" t="n">
        <f aca="false">U271*U281</f>
        <v>44656.0192</v>
      </c>
      <c r="V282" s="69" t="n">
        <f aca="false">V271*V281</f>
        <v>44656.0192</v>
      </c>
      <c r="W282" s="69" t="n">
        <f aca="false">W271*W281</f>
        <v>44656.0192</v>
      </c>
      <c r="X282" s="69" t="n">
        <f aca="false">X271*X281</f>
        <v>44656.0192</v>
      </c>
      <c r="Y282" s="69" t="n">
        <f aca="false">Y271*Y281</f>
        <v>44656.0192</v>
      </c>
      <c r="Z282" s="69" t="n">
        <f aca="false">Z271*Z281</f>
        <v>44656.0192</v>
      </c>
      <c r="AA282" s="69" t="n">
        <f aca="false">AA271*AA281</f>
        <v>49228.79556608</v>
      </c>
      <c r="AB282" s="69" t="n">
        <f aca="false">AB271*AB281</f>
        <v>49228.79556608</v>
      </c>
      <c r="AC282" s="69" t="n">
        <f aca="false">AC271*AC281</f>
        <v>49228.79556608</v>
      </c>
      <c r="AD282" s="69" t="n">
        <f aca="false">AD271*AD281</f>
        <v>49228.79556608</v>
      </c>
      <c r="AE282" s="69" t="n">
        <f aca="false">AE271*AE281</f>
        <v>49228.79556608</v>
      </c>
      <c r="AF282" s="69" t="n">
        <f aca="false">AF271*AF281</f>
        <v>49228.79556608</v>
      </c>
      <c r="AG282" s="69" t="n">
        <f aca="false">AG271*AG281</f>
        <v>49228.79556608</v>
      </c>
      <c r="AH282" s="69" t="n">
        <f aca="false">AH271*AH281</f>
        <v>49228.79556608</v>
      </c>
      <c r="AI282" s="69" t="n">
        <f aca="false">AI271*AI281</f>
        <v>49228.79556608</v>
      </c>
      <c r="AJ282" s="69" t="n">
        <f aca="false">AJ271*AJ281</f>
        <v>49228.79556608</v>
      </c>
      <c r="AK282" s="69" t="n">
        <f aca="false">AK271*AK281</f>
        <v>49228.79556608</v>
      </c>
      <c r="AL282" s="69" t="n">
        <f aca="false">AL271*AL281</f>
        <v>49228.79556608</v>
      </c>
    </row>
    <row r="283" customFormat="false" ht="15" hidden="false" customHeight="false" outlineLevel="0" collapsed="false">
      <c r="A283" s="6" t="s">
        <v>237</v>
      </c>
      <c r="C283" s="69" t="n">
        <f aca="false">C278*Inputs!$D$30*(1+Inputs!$D$20)^(C$259-1)</f>
        <v>17236.8</v>
      </c>
      <c r="D283" s="69" t="n">
        <f aca="false">D278*Inputs!$D$30*(1+Inputs!$D$20)^(D$259-1)</f>
        <v>19391.4</v>
      </c>
      <c r="E283" s="69" t="n">
        <f aca="false">E278*Inputs!$D$30*(1+Inputs!$D$20)^(E$259-1)</f>
        <v>21546</v>
      </c>
      <c r="F283" s="69" t="n">
        <f aca="false">F278*Inputs!$D$30*(1+Inputs!$D$20)^(F$259-1)</f>
        <v>23700.6</v>
      </c>
      <c r="G283" s="69" t="n">
        <f aca="false">G278*Inputs!$D$30*(1+Inputs!$D$20)^(G$259-1)</f>
        <v>25855.2</v>
      </c>
      <c r="H283" s="69" t="n">
        <f aca="false">H278*Inputs!$D$30*(1+Inputs!$D$20)^(H$259-1)</f>
        <v>40014</v>
      </c>
      <c r="I283" s="69" t="n">
        <f aca="false">I278*Inputs!$D$30*(1+Inputs!$D$20)^(I$259-1)</f>
        <v>43092</v>
      </c>
      <c r="J283" s="69" t="n">
        <f aca="false">J278*Inputs!$D$30*(1+Inputs!$D$20)^(J$259-1)</f>
        <v>46170</v>
      </c>
      <c r="K283" s="69" t="n">
        <f aca="false">K278*Inputs!$D$30*(1+Inputs!$D$20)^(K$259-1)</f>
        <v>34473.6</v>
      </c>
      <c r="L283" s="69" t="n">
        <f aca="false">L278*Inputs!$D$30*(1+Inputs!$D$20)^(L$259-1)</f>
        <v>34473.6</v>
      </c>
      <c r="M283" s="69" t="n">
        <f aca="false">M278*Inputs!$D$30*(1+Inputs!$D$20)^(M$259-1)</f>
        <v>34473.6</v>
      </c>
      <c r="N283" s="69" t="n">
        <f aca="false">N278*Inputs!$D$30*(1+Inputs!$D$20)^(N$259-1)</f>
        <v>49248</v>
      </c>
      <c r="O283" s="69" t="n">
        <f aca="false">O278*Inputs!$D$30*(1+Inputs!$D$20)^(O$259-1)</f>
        <v>37645.1712</v>
      </c>
      <c r="P283" s="69" t="n">
        <f aca="false">P278*Inputs!$D$30*(1+Inputs!$D$20)^(P$259-1)</f>
        <v>37645.1712</v>
      </c>
      <c r="Q283" s="69" t="n">
        <f aca="false">Q278*Inputs!$D$30*(1+Inputs!$D$20)^(Q$259-1)</f>
        <v>37645.1712</v>
      </c>
      <c r="R283" s="69" t="n">
        <f aca="false">R278*Inputs!$D$30*(1+Inputs!$D$20)^(R$259-1)</f>
        <v>37645.1712</v>
      </c>
      <c r="S283" s="69" t="n">
        <f aca="false">S278*Inputs!$D$30*(1+Inputs!$D$20)^(S$259-1)</f>
        <v>37645.1712</v>
      </c>
      <c r="T283" s="69" t="n">
        <f aca="false">T278*Inputs!$D$30*(1+Inputs!$D$20)^(T$259-1)</f>
        <v>53778.816</v>
      </c>
      <c r="U283" s="69" t="n">
        <f aca="false">U278*Inputs!$D$30*(1+Inputs!$D$20)^(U$259-1)</f>
        <v>53778.816</v>
      </c>
      <c r="V283" s="69" t="n">
        <f aca="false">V278*Inputs!$D$30*(1+Inputs!$D$20)^(V$259-1)</f>
        <v>53778.816</v>
      </c>
      <c r="W283" s="69" t="n">
        <f aca="false">W278*Inputs!$D$30*(1+Inputs!$D$20)^(W$259-1)</f>
        <v>37645.1712</v>
      </c>
      <c r="X283" s="69" t="n">
        <f aca="false">X278*Inputs!$D$30*(1+Inputs!$D$20)^(X$259-1)</f>
        <v>37645.1712</v>
      </c>
      <c r="Y283" s="69" t="n">
        <f aca="false">Y278*Inputs!$D$30*(1+Inputs!$D$20)^(Y$259-1)</f>
        <v>37645.1712</v>
      </c>
      <c r="Z283" s="69" t="n">
        <f aca="false">Z278*Inputs!$D$30*(1+Inputs!$D$20)^(Z$259-1)</f>
        <v>53778.816</v>
      </c>
      <c r="AA283" s="69" t="n">
        <f aca="false">AA278*Inputs!$D$30*(1+Inputs!$D$20)^(AA$259-1)</f>
        <v>41108.5269504</v>
      </c>
      <c r="AB283" s="69" t="n">
        <f aca="false">AB278*Inputs!$D$30*(1+Inputs!$D$20)^(AB$259-1)</f>
        <v>41108.5269504</v>
      </c>
      <c r="AC283" s="69" t="n">
        <f aca="false">AC278*Inputs!$D$30*(1+Inputs!$D$20)^(AC$259-1)</f>
        <v>41108.5269504</v>
      </c>
      <c r="AD283" s="69" t="n">
        <f aca="false">AD278*Inputs!$D$30*(1+Inputs!$D$20)^(AD$259-1)</f>
        <v>41108.5269504</v>
      </c>
      <c r="AE283" s="69" t="n">
        <f aca="false">AE278*Inputs!$D$30*(1+Inputs!$D$20)^(AE$259-1)</f>
        <v>41108.5269504</v>
      </c>
      <c r="AF283" s="69" t="n">
        <f aca="false">AF278*Inputs!$D$30*(1+Inputs!$D$20)^(AF$259-1)</f>
        <v>58726.467072</v>
      </c>
      <c r="AG283" s="69" t="n">
        <f aca="false">AG278*Inputs!$D$30*(1+Inputs!$D$20)^(AG$259-1)</f>
        <v>58726.467072</v>
      </c>
      <c r="AH283" s="69" t="n">
        <f aca="false">AH278*Inputs!$D$30*(1+Inputs!$D$20)^(AH$259-1)</f>
        <v>58726.467072</v>
      </c>
      <c r="AI283" s="69" t="n">
        <f aca="false">AI278*Inputs!$D$30*(1+Inputs!$D$20)^(AI$259-1)</f>
        <v>41108.5269504</v>
      </c>
      <c r="AJ283" s="69" t="n">
        <f aca="false">AJ278*Inputs!$D$30*(1+Inputs!$D$20)^(AJ$259-1)</f>
        <v>41108.5269504</v>
      </c>
      <c r="AK283" s="69" t="n">
        <f aca="false">AK278*Inputs!$D$30*(1+Inputs!$D$20)^(AK$259-1)</f>
        <v>41108.5269504</v>
      </c>
      <c r="AL283" s="69" t="n">
        <f aca="false">AL278*Inputs!$D$30*(1+Inputs!$D$20)^(AL$259-1)</f>
        <v>58726.467072</v>
      </c>
    </row>
    <row r="284" customFormat="false" ht="15" hidden="false" customHeight="false" outlineLevel="0" collapsed="false">
      <c r="A284" s="6" t="s">
        <v>238</v>
      </c>
      <c r="C284" s="69" t="n">
        <f aca="false">C271*Inputs!$D$21*(1+Inputs!$D$20)^(C$259-1)</f>
        <v>2470</v>
      </c>
      <c r="D284" s="69" t="n">
        <f aca="false">D271*Inputs!$D$21*(1+Inputs!$D$20)^(D$259-1)</f>
        <v>2778.75</v>
      </c>
      <c r="E284" s="69" t="n">
        <f aca="false">E271*Inputs!$D$21*(1+Inputs!$D$20)^(E$259-1)</f>
        <v>3087.5</v>
      </c>
      <c r="F284" s="69" t="n">
        <f aca="false">F271*Inputs!$D$21*(1+Inputs!$D$20)^(F$259-1)</f>
        <v>3396.25</v>
      </c>
      <c r="G284" s="69" t="n">
        <f aca="false">G271*Inputs!$D$21*(1+Inputs!$D$20)^(G$259-1)</f>
        <v>3705</v>
      </c>
      <c r="H284" s="69" t="n">
        <f aca="false">H271*Inputs!$D$21*(1+Inputs!$D$20)^(H$259-1)</f>
        <v>4013.75</v>
      </c>
      <c r="I284" s="69" t="n">
        <f aca="false">I271*Inputs!$D$21*(1+Inputs!$D$20)^(I$259-1)</f>
        <v>4322.5</v>
      </c>
      <c r="J284" s="69" t="n">
        <f aca="false">J271*Inputs!$D$21*(1+Inputs!$D$20)^(J$259-1)</f>
        <v>4631.25</v>
      </c>
      <c r="K284" s="69" t="n">
        <f aca="false">K271*Inputs!$D$21*(1+Inputs!$D$20)^(K$259-1)</f>
        <v>4940</v>
      </c>
      <c r="L284" s="69" t="n">
        <f aca="false">L271*Inputs!$D$21*(1+Inputs!$D$20)^(L$259-1)</f>
        <v>4940</v>
      </c>
      <c r="M284" s="69" t="n">
        <f aca="false">M271*Inputs!$D$21*(1+Inputs!$D$20)^(M$259-1)</f>
        <v>4940</v>
      </c>
      <c r="N284" s="69" t="n">
        <f aca="false">N271*Inputs!$D$21*(1+Inputs!$D$20)^(N$259-1)</f>
        <v>4940</v>
      </c>
      <c r="O284" s="69" t="n">
        <f aca="false">O271*Inputs!$D$21*(1+Inputs!$D$20)^(O$259-1)</f>
        <v>5445.856</v>
      </c>
      <c r="P284" s="69" t="n">
        <f aca="false">P271*Inputs!$D$21*(1+Inputs!$D$20)^(P$259-1)</f>
        <v>5445.856</v>
      </c>
      <c r="Q284" s="69" t="n">
        <f aca="false">Q271*Inputs!$D$21*(1+Inputs!$D$20)^(Q$259-1)</f>
        <v>5445.856</v>
      </c>
      <c r="R284" s="69" t="n">
        <f aca="false">R271*Inputs!$D$21*(1+Inputs!$D$20)^(R$259-1)</f>
        <v>5445.856</v>
      </c>
      <c r="S284" s="69" t="n">
        <f aca="false">S271*Inputs!$D$21*(1+Inputs!$D$20)^(S$259-1)</f>
        <v>5445.856</v>
      </c>
      <c r="T284" s="69" t="n">
        <f aca="false">T271*Inputs!$D$21*(1+Inputs!$D$20)^(T$259-1)</f>
        <v>5445.856</v>
      </c>
      <c r="U284" s="69" t="n">
        <f aca="false">U271*Inputs!$D$21*(1+Inputs!$D$20)^(U$259-1)</f>
        <v>5445.856</v>
      </c>
      <c r="V284" s="69" t="n">
        <f aca="false">V271*Inputs!$D$21*(1+Inputs!$D$20)^(V$259-1)</f>
        <v>5445.856</v>
      </c>
      <c r="W284" s="69" t="n">
        <f aca="false">W271*Inputs!$D$21*(1+Inputs!$D$20)^(W$259-1)</f>
        <v>5445.856</v>
      </c>
      <c r="X284" s="69" t="n">
        <f aca="false">X271*Inputs!$D$21*(1+Inputs!$D$20)^(X$259-1)</f>
        <v>5445.856</v>
      </c>
      <c r="Y284" s="69" t="n">
        <f aca="false">Y271*Inputs!$D$21*(1+Inputs!$D$20)^(Y$259-1)</f>
        <v>5445.856</v>
      </c>
      <c r="Z284" s="69" t="n">
        <f aca="false">Z271*Inputs!$D$21*(1+Inputs!$D$20)^(Z$259-1)</f>
        <v>5445.856</v>
      </c>
      <c r="AA284" s="69" t="n">
        <f aca="false">AA271*Inputs!$D$21*(1+Inputs!$D$20)^(AA$259-1)</f>
        <v>6003.5116544</v>
      </c>
      <c r="AB284" s="69" t="n">
        <f aca="false">AB271*Inputs!$D$21*(1+Inputs!$D$20)^(AB$259-1)</f>
        <v>6003.5116544</v>
      </c>
      <c r="AC284" s="69" t="n">
        <f aca="false">AC271*Inputs!$D$21*(1+Inputs!$D$20)^(AC$259-1)</f>
        <v>6003.5116544</v>
      </c>
      <c r="AD284" s="69" t="n">
        <f aca="false">AD271*Inputs!$D$21*(1+Inputs!$D$20)^(AD$259-1)</f>
        <v>6003.5116544</v>
      </c>
      <c r="AE284" s="69" t="n">
        <f aca="false">AE271*Inputs!$D$21*(1+Inputs!$D$20)^(AE$259-1)</f>
        <v>6003.5116544</v>
      </c>
      <c r="AF284" s="69" t="n">
        <f aca="false">AF271*Inputs!$D$21*(1+Inputs!$D$20)^(AF$259-1)</f>
        <v>6003.5116544</v>
      </c>
      <c r="AG284" s="69" t="n">
        <f aca="false">AG271*Inputs!$D$21*(1+Inputs!$D$20)^(AG$259-1)</f>
        <v>6003.5116544</v>
      </c>
      <c r="AH284" s="69" t="n">
        <f aca="false">AH271*Inputs!$D$21*(1+Inputs!$D$20)^(AH$259-1)</f>
        <v>6003.5116544</v>
      </c>
      <c r="AI284" s="69" t="n">
        <f aca="false">AI271*Inputs!$D$21*(1+Inputs!$D$20)^(AI$259-1)</f>
        <v>6003.5116544</v>
      </c>
      <c r="AJ284" s="69" t="n">
        <f aca="false">AJ271*Inputs!$D$21*(1+Inputs!$D$20)^(AJ$259-1)</f>
        <v>6003.5116544</v>
      </c>
      <c r="AK284" s="69" t="n">
        <f aca="false">AK271*Inputs!$D$21*(1+Inputs!$D$20)^(AK$259-1)</f>
        <v>6003.5116544</v>
      </c>
      <c r="AL284" s="69" t="n">
        <f aca="false">AL271*Inputs!$D$21*(1+Inputs!$D$20)^(AL$259-1)</f>
        <v>6003.5116544</v>
      </c>
    </row>
    <row r="285" customFormat="false" ht="15" hidden="false" customHeight="false" outlineLevel="0" collapsed="false">
      <c r="A285" s="115" t="s">
        <v>44</v>
      </c>
      <c r="C285" s="70" t="n">
        <f aca="false">C282+C283+C284</f>
        <v>39960.8</v>
      </c>
      <c r="D285" s="70" t="n">
        <f aca="false">D282+D283+D284</f>
        <v>44955.9</v>
      </c>
      <c r="E285" s="70" t="n">
        <f aca="false">E282+E283+E284</f>
        <v>49951</v>
      </c>
      <c r="F285" s="70" t="n">
        <f aca="false">F282+F283+F284</f>
        <v>54946.1</v>
      </c>
      <c r="G285" s="70" t="n">
        <f aca="false">G282+G283+G284</f>
        <v>59941.2</v>
      </c>
      <c r="H285" s="70" t="n">
        <f aca="false">H282+H283+H284</f>
        <v>76940.5</v>
      </c>
      <c r="I285" s="70" t="n">
        <f aca="false">I282+I283+I284</f>
        <v>82859</v>
      </c>
      <c r="J285" s="70" t="n">
        <f aca="false">J282+J283+J284</f>
        <v>88777.5</v>
      </c>
      <c r="K285" s="70" t="n">
        <f aca="false">K282+K283+K284</f>
        <v>79921.6</v>
      </c>
      <c r="L285" s="70" t="n">
        <f aca="false">L282+L283+L284</f>
        <v>79921.6</v>
      </c>
      <c r="M285" s="70" t="n">
        <f aca="false">M282+M283+M284</f>
        <v>79921.6</v>
      </c>
      <c r="N285" s="70" t="n">
        <f aca="false">N282+N283+N284</f>
        <v>94696</v>
      </c>
      <c r="O285" s="70" t="n">
        <f aca="false">O282+O283+O284</f>
        <v>87747.0464</v>
      </c>
      <c r="P285" s="70" t="n">
        <f aca="false">P282+P283+P284</f>
        <v>87747.0464</v>
      </c>
      <c r="Q285" s="70" t="n">
        <f aca="false">Q282+Q283+Q284</f>
        <v>87747.0464</v>
      </c>
      <c r="R285" s="70" t="n">
        <f aca="false">R282+R283+R284</f>
        <v>87747.0464</v>
      </c>
      <c r="S285" s="70" t="n">
        <f aca="false">S282+S283+S284</f>
        <v>87747.0464</v>
      </c>
      <c r="T285" s="70" t="n">
        <f aca="false">T282+T283+T284</f>
        <v>103880.6912</v>
      </c>
      <c r="U285" s="70" t="n">
        <f aca="false">U282+U283+U284</f>
        <v>103880.6912</v>
      </c>
      <c r="V285" s="70" t="n">
        <f aca="false">V282+V283+V284</f>
        <v>103880.6912</v>
      </c>
      <c r="W285" s="70" t="n">
        <f aca="false">W282+W283+W284</f>
        <v>87747.0464</v>
      </c>
      <c r="X285" s="70" t="n">
        <f aca="false">X282+X283+X284</f>
        <v>87747.0464</v>
      </c>
      <c r="Y285" s="70" t="n">
        <f aca="false">Y282+Y283+Y284</f>
        <v>87747.0464</v>
      </c>
      <c r="Z285" s="70" t="n">
        <f aca="false">Z282+Z283+Z284</f>
        <v>103880.6912</v>
      </c>
      <c r="AA285" s="70" t="n">
        <f aca="false">AA282+AA283+AA284</f>
        <v>96340.83417088</v>
      </c>
      <c r="AB285" s="70" t="n">
        <f aca="false">AB282+AB283+AB284</f>
        <v>96340.83417088</v>
      </c>
      <c r="AC285" s="70" t="n">
        <f aca="false">AC282+AC283+AC284</f>
        <v>96340.83417088</v>
      </c>
      <c r="AD285" s="70" t="n">
        <f aca="false">AD282+AD283+AD284</f>
        <v>96340.83417088</v>
      </c>
      <c r="AE285" s="70" t="n">
        <f aca="false">AE282+AE283+AE284</f>
        <v>96340.83417088</v>
      </c>
      <c r="AF285" s="70" t="n">
        <f aca="false">AF282+AF283+AF284</f>
        <v>113958.77429248</v>
      </c>
      <c r="AG285" s="70" t="n">
        <f aca="false">AG282+AG283+AG284</f>
        <v>113958.77429248</v>
      </c>
      <c r="AH285" s="70" t="n">
        <f aca="false">AH282+AH283+AH284</f>
        <v>113958.77429248</v>
      </c>
      <c r="AI285" s="70" t="n">
        <f aca="false">AI282+AI283+AI284</f>
        <v>96340.83417088</v>
      </c>
      <c r="AJ285" s="70" t="n">
        <f aca="false">AJ282+AJ283+AJ284</f>
        <v>96340.83417088</v>
      </c>
      <c r="AK285" s="70" t="n">
        <f aca="false">AK282+AK283+AK284</f>
        <v>96340.83417088</v>
      </c>
      <c r="AL285" s="70" t="n">
        <f aca="false">AL282+AL283+AL284</f>
        <v>113958.77429248</v>
      </c>
    </row>
    <row r="287" customFormat="false" ht="15.75" hidden="false" customHeight="true" outlineLevel="0" collapsed="false">
      <c r="A287" s="7" t="s">
        <v>76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customFormat="false" ht="15" hidden="false" customHeight="false" outlineLevel="0" collapsed="false">
      <c r="A288" s="6" t="s">
        <v>397</v>
      </c>
      <c r="C288" s="69" t="n">
        <f aca="false">C376</f>
        <v>-3833.33333333333</v>
      </c>
      <c r="D288" s="69" t="n">
        <f aca="false">D376</f>
        <v>-3833.33333333333</v>
      </c>
      <c r="E288" s="69" t="n">
        <f aca="false">E376</f>
        <v>-3833.33333333333</v>
      </c>
      <c r="F288" s="69" t="n">
        <f aca="false">F376</f>
        <v>-3833.33333333333</v>
      </c>
      <c r="G288" s="69" t="n">
        <f aca="false">G376</f>
        <v>-3833.33333333333</v>
      </c>
      <c r="H288" s="69" t="n">
        <f aca="false">H376</f>
        <v>-3833.33333333333</v>
      </c>
      <c r="I288" s="69" t="n">
        <f aca="false">I376</f>
        <v>-3833.33333333333</v>
      </c>
      <c r="J288" s="69" t="n">
        <f aca="false">J376</f>
        <v>-3833.33333333333</v>
      </c>
      <c r="K288" s="69" t="n">
        <f aca="false">K376</f>
        <v>-3833.33333333333</v>
      </c>
      <c r="L288" s="69" t="n">
        <f aca="false">L376</f>
        <v>-3833.33333333333</v>
      </c>
      <c r="M288" s="69" t="n">
        <f aca="false">M376</f>
        <v>-3833.33333333333</v>
      </c>
      <c r="N288" s="69" t="n">
        <f aca="false">N376</f>
        <v>-3833.33333333333</v>
      </c>
      <c r="O288" s="69" t="n">
        <f aca="false">O376</f>
        <v>-3948.33333333333</v>
      </c>
      <c r="P288" s="69" t="n">
        <f aca="false">P376</f>
        <v>-3948.33333333333</v>
      </c>
      <c r="Q288" s="69" t="n">
        <f aca="false">Q376</f>
        <v>-3948.33333333333</v>
      </c>
      <c r="R288" s="69" t="n">
        <f aca="false">R376</f>
        <v>-3948.33333333333</v>
      </c>
      <c r="S288" s="69" t="n">
        <f aca="false">S376</f>
        <v>-3948.33333333333</v>
      </c>
      <c r="T288" s="69" t="n">
        <f aca="false">T376</f>
        <v>-3948.33333333333</v>
      </c>
      <c r="U288" s="69" t="n">
        <f aca="false">U376</f>
        <v>-3948.33333333333</v>
      </c>
      <c r="V288" s="69" t="n">
        <f aca="false">V376</f>
        <v>-3948.33333333333</v>
      </c>
      <c r="W288" s="69" t="n">
        <f aca="false">W376</f>
        <v>-3948.33333333333</v>
      </c>
      <c r="X288" s="69" t="n">
        <f aca="false">X376</f>
        <v>-3948.33333333333</v>
      </c>
      <c r="Y288" s="69" t="n">
        <f aca="false">Y376</f>
        <v>-3948.33333333333</v>
      </c>
      <c r="Z288" s="69" t="n">
        <f aca="false">Z376</f>
        <v>-3948.33333333333</v>
      </c>
      <c r="AA288" s="69" t="n">
        <f aca="false">AA376</f>
        <v>-4066.78333333333</v>
      </c>
      <c r="AB288" s="69" t="n">
        <f aca="false">AB376</f>
        <v>-4066.78333333333</v>
      </c>
      <c r="AC288" s="69" t="n">
        <f aca="false">AC376</f>
        <v>-4066.78333333333</v>
      </c>
      <c r="AD288" s="69" t="n">
        <f aca="false">AD376</f>
        <v>-4066.78333333333</v>
      </c>
      <c r="AE288" s="69" t="n">
        <f aca="false">AE376</f>
        <v>-4066.78333333333</v>
      </c>
      <c r="AF288" s="69" t="n">
        <f aca="false">AF376</f>
        <v>-4066.78333333333</v>
      </c>
      <c r="AG288" s="69" t="n">
        <f aca="false">AG376</f>
        <v>-4066.78333333333</v>
      </c>
      <c r="AH288" s="69" t="n">
        <f aca="false">AH376</f>
        <v>-4066.78333333333</v>
      </c>
      <c r="AI288" s="69" t="n">
        <f aca="false">AI376</f>
        <v>-4066.78333333333</v>
      </c>
      <c r="AJ288" s="69" t="n">
        <f aca="false">AJ376</f>
        <v>-4066.78333333333</v>
      </c>
      <c r="AK288" s="69" t="n">
        <f aca="false">AK376</f>
        <v>-4066.78333333333</v>
      </c>
      <c r="AL288" s="69" t="n">
        <f aca="false">AL376</f>
        <v>-4066.78333333333</v>
      </c>
    </row>
    <row r="289" customFormat="false" ht="15" hidden="false" customHeight="false" outlineLevel="0" collapsed="false">
      <c r="A289" s="6" t="s">
        <v>398</v>
      </c>
      <c r="C289" s="69" t="n">
        <f aca="false">-C282*Inputs!$D$33</f>
        <v>-6683.82</v>
      </c>
      <c r="D289" s="69" t="n">
        <f aca="false">-D282*Inputs!$D$33</f>
        <v>-7519.2975</v>
      </c>
      <c r="E289" s="69" t="n">
        <f aca="false">-E282*Inputs!$D$33</f>
        <v>-8354.775</v>
      </c>
      <c r="F289" s="69" t="n">
        <f aca="false">-F282*Inputs!$D$33</f>
        <v>-9190.2525</v>
      </c>
      <c r="G289" s="69" t="n">
        <f aca="false">-G282*Inputs!$D$33</f>
        <v>-10025.73</v>
      </c>
      <c r="H289" s="69" t="n">
        <f aca="false">-H282*Inputs!$D$33</f>
        <v>-10861.2075</v>
      </c>
      <c r="I289" s="69" t="n">
        <f aca="false">-I282*Inputs!$D$33</f>
        <v>-11696.685</v>
      </c>
      <c r="J289" s="69" t="n">
        <f aca="false">-J282*Inputs!$D$33</f>
        <v>-12532.1625</v>
      </c>
      <c r="K289" s="69" t="n">
        <f aca="false">-K282*Inputs!$D$33</f>
        <v>-13367.64</v>
      </c>
      <c r="L289" s="69" t="n">
        <f aca="false">-L282*Inputs!$D$33</f>
        <v>-13367.64</v>
      </c>
      <c r="M289" s="69" t="n">
        <f aca="false">-M282*Inputs!$D$33</f>
        <v>-13367.64</v>
      </c>
      <c r="N289" s="69" t="n">
        <f aca="false">-N282*Inputs!$D$33</f>
        <v>-13367.64</v>
      </c>
      <c r="O289" s="69" t="n">
        <f aca="false">-O282*Inputs!$D$33</f>
        <v>-14736.486336</v>
      </c>
      <c r="P289" s="69" t="n">
        <f aca="false">-P282*Inputs!$D$33</f>
        <v>-14736.486336</v>
      </c>
      <c r="Q289" s="69" t="n">
        <f aca="false">-Q282*Inputs!$D$33</f>
        <v>-14736.486336</v>
      </c>
      <c r="R289" s="69" t="n">
        <f aca="false">-R282*Inputs!$D$33</f>
        <v>-14736.486336</v>
      </c>
      <c r="S289" s="69" t="n">
        <f aca="false">-S282*Inputs!$D$33</f>
        <v>-14736.486336</v>
      </c>
      <c r="T289" s="69" t="n">
        <f aca="false">-T282*Inputs!$D$33</f>
        <v>-14736.486336</v>
      </c>
      <c r="U289" s="69" t="n">
        <f aca="false">-U282*Inputs!$D$33</f>
        <v>-14736.486336</v>
      </c>
      <c r="V289" s="69" t="n">
        <f aca="false">-V282*Inputs!$D$33</f>
        <v>-14736.486336</v>
      </c>
      <c r="W289" s="69" t="n">
        <f aca="false">-W282*Inputs!$D$33</f>
        <v>-14736.486336</v>
      </c>
      <c r="X289" s="69" t="n">
        <f aca="false">-X282*Inputs!$D$33</f>
        <v>-14736.486336</v>
      </c>
      <c r="Y289" s="69" t="n">
        <f aca="false">-Y282*Inputs!$D$33</f>
        <v>-14736.486336</v>
      </c>
      <c r="Z289" s="69" t="n">
        <f aca="false">-Z282*Inputs!$D$33</f>
        <v>-14736.486336</v>
      </c>
      <c r="AA289" s="69" t="n">
        <f aca="false">-AA282*Inputs!$D$33</f>
        <v>-16245.5025368064</v>
      </c>
      <c r="AB289" s="69" t="n">
        <f aca="false">-AB282*Inputs!$D$33</f>
        <v>-16245.5025368064</v>
      </c>
      <c r="AC289" s="69" t="n">
        <f aca="false">-AC282*Inputs!$D$33</f>
        <v>-16245.5025368064</v>
      </c>
      <c r="AD289" s="69" t="n">
        <f aca="false">-AD282*Inputs!$D$33</f>
        <v>-16245.5025368064</v>
      </c>
      <c r="AE289" s="69" t="n">
        <f aca="false">-AE282*Inputs!$D$33</f>
        <v>-16245.5025368064</v>
      </c>
      <c r="AF289" s="69" t="n">
        <f aca="false">-AF282*Inputs!$D$33</f>
        <v>-16245.5025368064</v>
      </c>
      <c r="AG289" s="69" t="n">
        <f aca="false">-AG282*Inputs!$D$33</f>
        <v>-16245.5025368064</v>
      </c>
      <c r="AH289" s="69" t="n">
        <f aca="false">-AH282*Inputs!$D$33</f>
        <v>-16245.5025368064</v>
      </c>
      <c r="AI289" s="69" t="n">
        <f aca="false">-AI282*Inputs!$D$33</f>
        <v>-16245.5025368064</v>
      </c>
      <c r="AJ289" s="69" t="n">
        <f aca="false">-AJ282*Inputs!$D$33</f>
        <v>-16245.5025368064</v>
      </c>
      <c r="AK289" s="69" t="n">
        <f aca="false">-AK282*Inputs!$D$33</f>
        <v>-16245.5025368064</v>
      </c>
      <c r="AL289" s="69" t="n">
        <f aca="false">-AL282*Inputs!$D$33</f>
        <v>-16245.5025368064</v>
      </c>
    </row>
    <row r="290" customFormat="false" ht="15" hidden="false" customHeight="false" outlineLevel="0" collapsed="false">
      <c r="A290" s="6" t="s">
        <v>399</v>
      </c>
      <c r="C290" s="69" t="n">
        <f aca="false">-C271*Inputs!$D$34*(1+Inputs!$D$45)^(C$259-1)</f>
        <v>-988</v>
      </c>
      <c r="D290" s="69" t="n">
        <f aca="false">-D271*Inputs!$D$34*(1+Inputs!$D$45)^(D$259-1)</f>
        <v>-1111.5</v>
      </c>
      <c r="E290" s="69" t="n">
        <f aca="false">-E271*Inputs!$D$34*(1+Inputs!$D$45)^(E$259-1)</f>
        <v>-1235</v>
      </c>
      <c r="F290" s="69" t="n">
        <f aca="false">-F271*Inputs!$D$34*(1+Inputs!$D$45)^(F$259-1)</f>
        <v>-1358.5</v>
      </c>
      <c r="G290" s="69" t="n">
        <f aca="false">-G271*Inputs!$D$34*(1+Inputs!$D$45)^(G$259-1)</f>
        <v>-1482</v>
      </c>
      <c r="H290" s="69" t="n">
        <f aca="false">-H271*Inputs!$D$34*(1+Inputs!$D$45)^(H$259-1)</f>
        <v>-1605.5</v>
      </c>
      <c r="I290" s="69" t="n">
        <f aca="false">-I271*Inputs!$D$34*(1+Inputs!$D$45)^(I$259-1)</f>
        <v>-1729</v>
      </c>
      <c r="J290" s="69" t="n">
        <f aca="false">-J271*Inputs!$D$34*(1+Inputs!$D$45)^(J$259-1)</f>
        <v>-1852.5</v>
      </c>
      <c r="K290" s="69" t="n">
        <f aca="false">-K271*Inputs!$D$34*(1+Inputs!$D$45)^(K$259-1)</f>
        <v>-1976</v>
      </c>
      <c r="L290" s="69" t="n">
        <f aca="false">-L271*Inputs!$D$34*(1+Inputs!$D$45)^(L$259-1)</f>
        <v>-1976</v>
      </c>
      <c r="M290" s="69" t="n">
        <f aca="false">-M271*Inputs!$D$34*(1+Inputs!$D$45)^(M$259-1)</f>
        <v>-1976</v>
      </c>
      <c r="N290" s="69" t="n">
        <f aca="false">-N271*Inputs!$D$34*(1+Inputs!$D$45)^(N$259-1)</f>
        <v>-1976</v>
      </c>
      <c r="O290" s="69" t="n">
        <f aca="false">-O271*Inputs!$D$34*(1+Inputs!$D$45)^(O$259-1)</f>
        <v>-2146.924</v>
      </c>
      <c r="P290" s="69" t="n">
        <f aca="false">-P271*Inputs!$D$34*(1+Inputs!$D$45)^(P$259-1)</f>
        <v>-2146.924</v>
      </c>
      <c r="Q290" s="69" t="n">
        <f aca="false">-Q271*Inputs!$D$34*(1+Inputs!$D$45)^(Q$259-1)</f>
        <v>-2146.924</v>
      </c>
      <c r="R290" s="69" t="n">
        <f aca="false">-R271*Inputs!$D$34*(1+Inputs!$D$45)^(R$259-1)</f>
        <v>-2146.924</v>
      </c>
      <c r="S290" s="69" t="n">
        <f aca="false">-S271*Inputs!$D$34*(1+Inputs!$D$45)^(S$259-1)</f>
        <v>-2146.924</v>
      </c>
      <c r="T290" s="69" t="n">
        <f aca="false">-T271*Inputs!$D$34*(1+Inputs!$D$45)^(T$259-1)</f>
        <v>-2146.924</v>
      </c>
      <c r="U290" s="69" t="n">
        <f aca="false">-U271*Inputs!$D$34*(1+Inputs!$D$45)^(U$259-1)</f>
        <v>-2146.924</v>
      </c>
      <c r="V290" s="69" t="n">
        <f aca="false">-V271*Inputs!$D$34*(1+Inputs!$D$45)^(V$259-1)</f>
        <v>-2146.924</v>
      </c>
      <c r="W290" s="69" t="n">
        <f aca="false">-W271*Inputs!$D$34*(1+Inputs!$D$45)^(W$259-1)</f>
        <v>-2146.924</v>
      </c>
      <c r="X290" s="69" t="n">
        <f aca="false">-X271*Inputs!$D$34*(1+Inputs!$D$45)^(X$259-1)</f>
        <v>-2146.924</v>
      </c>
      <c r="Y290" s="69" t="n">
        <f aca="false">-Y271*Inputs!$D$34*(1+Inputs!$D$45)^(Y$259-1)</f>
        <v>-2146.924</v>
      </c>
      <c r="Z290" s="69" t="n">
        <f aca="false">-Z271*Inputs!$D$34*(1+Inputs!$D$45)^(Z$259-1)</f>
        <v>-2146.924</v>
      </c>
      <c r="AA290" s="69" t="n">
        <f aca="false">-AA271*Inputs!$D$34*(1+Inputs!$D$45)^(AA$259-1)</f>
        <v>-2332.632926</v>
      </c>
      <c r="AB290" s="69" t="n">
        <f aca="false">-AB271*Inputs!$D$34*(1+Inputs!$D$45)^(AB$259-1)</f>
        <v>-2332.632926</v>
      </c>
      <c r="AC290" s="69" t="n">
        <f aca="false">-AC271*Inputs!$D$34*(1+Inputs!$D$45)^(AC$259-1)</f>
        <v>-2332.632926</v>
      </c>
      <c r="AD290" s="69" t="n">
        <f aca="false">-AD271*Inputs!$D$34*(1+Inputs!$D$45)^(AD$259-1)</f>
        <v>-2332.632926</v>
      </c>
      <c r="AE290" s="69" t="n">
        <f aca="false">-AE271*Inputs!$D$34*(1+Inputs!$D$45)^(AE$259-1)</f>
        <v>-2332.632926</v>
      </c>
      <c r="AF290" s="69" t="n">
        <f aca="false">-AF271*Inputs!$D$34*(1+Inputs!$D$45)^(AF$259-1)</f>
        <v>-2332.632926</v>
      </c>
      <c r="AG290" s="69" t="n">
        <f aca="false">-AG271*Inputs!$D$34*(1+Inputs!$D$45)^(AG$259-1)</f>
        <v>-2332.632926</v>
      </c>
      <c r="AH290" s="69" t="n">
        <f aca="false">-AH271*Inputs!$D$34*(1+Inputs!$D$45)^(AH$259-1)</f>
        <v>-2332.632926</v>
      </c>
      <c r="AI290" s="69" t="n">
        <f aca="false">-AI271*Inputs!$D$34*(1+Inputs!$D$45)^(AI$259-1)</f>
        <v>-2332.632926</v>
      </c>
      <c r="AJ290" s="69" t="n">
        <f aca="false">-AJ271*Inputs!$D$34*(1+Inputs!$D$45)^(AJ$259-1)</f>
        <v>-2332.632926</v>
      </c>
      <c r="AK290" s="69" t="n">
        <f aca="false">-AK271*Inputs!$D$34*(1+Inputs!$D$45)^(AK$259-1)</f>
        <v>-2332.632926</v>
      </c>
      <c r="AL290" s="69" t="n">
        <f aca="false">-AL271*Inputs!$D$34*(1+Inputs!$D$45)^(AL$259-1)</f>
        <v>-2332.632926</v>
      </c>
    </row>
    <row r="291" customFormat="false" ht="15" hidden="false" customHeight="false" outlineLevel="0" collapsed="false">
      <c r="A291" s="6" t="s">
        <v>400</v>
      </c>
      <c r="C291" s="69" t="n">
        <f aca="false">-C278*Inputs!$D$35*(1+Inputs!$D$45)^(C$259-1)</f>
        <v>-1580.04</v>
      </c>
      <c r="D291" s="69" t="n">
        <f aca="false">-D278*Inputs!$D$35*(1+Inputs!$D$45)^(D$259-1)</f>
        <v>-1777.545</v>
      </c>
      <c r="E291" s="69" t="n">
        <f aca="false">-E278*Inputs!$D$35*(1+Inputs!$D$45)^(E$259-1)</f>
        <v>-1975.05</v>
      </c>
      <c r="F291" s="69" t="n">
        <f aca="false">-F278*Inputs!$D$35*(1+Inputs!$D$45)^(F$259-1)</f>
        <v>-2172.555</v>
      </c>
      <c r="G291" s="69" t="n">
        <f aca="false">-G278*Inputs!$D$35*(1+Inputs!$D$45)^(G$259-1)</f>
        <v>-2370.06</v>
      </c>
      <c r="H291" s="69" t="n">
        <f aca="false">-H278*Inputs!$D$35*(1+Inputs!$D$45)^(H$259-1)</f>
        <v>-3667.95</v>
      </c>
      <c r="I291" s="69" t="n">
        <f aca="false">-I278*Inputs!$D$35*(1+Inputs!$D$45)^(I$259-1)</f>
        <v>-3950.1</v>
      </c>
      <c r="J291" s="69" t="n">
        <f aca="false">-J278*Inputs!$D$35*(1+Inputs!$D$45)^(J$259-1)</f>
        <v>-4232.25</v>
      </c>
      <c r="K291" s="69" t="n">
        <f aca="false">-K278*Inputs!$D$35*(1+Inputs!$D$45)^(K$259-1)</f>
        <v>-3160.08</v>
      </c>
      <c r="L291" s="69" t="n">
        <f aca="false">-L278*Inputs!$D$35*(1+Inputs!$D$45)^(L$259-1)</f>
        <v>-3160.08</v>
      </c>
      <c r="M291" s="69" t="n">
        <f aca="false">-M278*Inputs!$D$35*(1+Inputs!$D$45)^(M$259-1)</f>
        <v>-3160.08</v>
      </c>
      <c r="N291" s="69" t="n">
        <f aca="false">-N278*Inputs!$D$35*(1+Inputs!$D$45)^(N$259-1)</f>
        <v>-4514.4</v>
      </c>
      <c r="O291" s="69" t="n">
        <f aca="false">-O278*Inputs!$D$35*(1+Inputs!$D$45)^(O$259-1)</f>
        <v>-3401.0361</v>
      </c>
      <c r="P291" s="69" t="n">
        <f aca="false">-P278*Inputs!$D$35*(1+Inputs!$D$45)^(P$259-1)</f>
        <v>-3401.0361</v>
      </c>
      <c r="Q291" s="69" t="n">
        <f aca="false">-Q278*Inputs!$D$35*(1+Inputs!$D$45)^(Q$259-1)</f>
        <v>-3401.0361</v>
      </c>
      <c r="R291" s="69" t="n">
        <f aca="false">-R278*Inputs!$D$35*(1+Inputs!$D$45)^(R$259-1)</f>
        <v>-3401.0361</v>
      </c>
      <c r="S291" s="69" t="n">
        <f aca="false">-S278*Inputs!$D$35*(1+Inputs!$D$45)^(S$259-1)</f>
        <v>-3401.0361</v>
      </c>
      <c r="T291" s="69" t="n">
        <f aca="false">-T278*Inputs!$D$35*(1+Inputs!$D$45)^(T$259-1)</f>
        <v>-4858.623</v>
      </c>
      <c r="U291" s="69" t="n">
        <f aca="false">-U278*Inputs!$D$35*(1+Inputs!$D$45)^(U$259-1)</f>
        <v>-4858.623</v>
      </c>
      <c r="V291" s="69" t="n">
        <f aca="false">-V278*Inputs!$D$35*(1+Inputs!$D$45)^(V$259-1)</f>
        <v>-4858.623</v>
      </c>
      <c r="W291" s="69" t="n">
        <f aca="false">-W278*Inputs!$D$35*(1+Inputs!$D$45)^(W$259-1)</f>
        <v>-3401.0361</v>
      </c>
      <c r="X291" s="69" t="n">
        <f aca="false">-X278*Inputs!$D$35*(1+Inputs!$D$45)^(X$259-1)</f>
        <v>-3401.0361</v>
      </c>
      <c r="Y291" s="69" t="n">
        <f aca="false">-Y278*Inputs!$D$35*(1+Inputs!$D$45)^(Y$259-1)</f>
        <v>-3401.0361</v>
      </c>
      <c r="Z291" s="69" t="n">
        <f aca="false">-Z278*Inputs!$D$35*(1+Inputs!$D$45)^(Z$259-1)</f>
        <v>-4858.623</v>
      </c>
      <c r="AA291" s="69" t="n">
        <f aca="false">-AA278*Inputs!$D$35*(1+Inputs!$D$45)^(AA$259-1)</f>
        <v>-3660.365102625</v>
      </c>
      <c r="AB291" s="69" t="n">
        <f aca="false">-AB278*Inputs!$D$35*(1+Inputs!$D$45)^(AB$259-1)</f>
        <v>-3660.365102625</v>
      </c>
      <c r="AC291" s="69" t="n">
        <f aca="false">-AC278*Inputs!$D$35*(1+Inputs!$D$45)^(AC$259-1)</f>
        <v>-3660.365102625</v>
      </c>
      <c r="AD291" s="69" t="n">
        <f aca="false">-AD278*Inputs!$D$35*(1+Inputs!$D$45)^(AD$259-1)</f>
        <v>-3660.365102625</v>
      </c>
      <c r="AE291" s="69" t="n">
        <f aca="false">-AE278*Inputs!$D$35*(1+Inputs!$D$45)^(AE$259-1)</f>
        <v>-3660.365102625</v>
      </c>
      <c r="AF291" s="69" t="n">
        <f aca="false">-AF278*Inputs!$D$35*(1+Inputs!$D$45)^(AF$259-1)</f>
        <v>-5229.09300375</v>
      </c>
      <c r="AG291" s="69" t="n">
        <f aca="false">-AG278*Inputs!$D$35*(1+Inputs!$D$45)^(AG$259-1)</f>
        <v>-5229.09300375</v>
      </c>
      <c r="AH291" s="69" t="n">
        <f aca="false">-AH278*Inputs!$D$35*(1+Inputs!$D$45)^(AH$259-1)</f>
        <v>-5229.09300375</v>
      </c>
      <c r="AI291" s="69" t="n">
        <f aca="false">-AI278*Inputs!$D$35*(1+Inputs!$D$45)^(AI$259-1)</f>
        <v>-3660.365102625</v>
      </c>
      <c r="AJ291" s="69" t="n">
        <f aca="false">-AJ278*Inputs!$D$35*(1+Inputs!$D$45)^(AJ$259-1)</f>
        <v>-3660.365102625</v>
      </c>
      <c r="AK291" s="69" t="n">
        <f aca="false">-AK278*Inputs!$D$35*(1+Inputs!$D$45)^(AK$259-1)</f>
        <v>-3660.365102625</v>
      </c>
      <c r="AL291" s="69" t="n">
        <f aca="false">-AL278*Inputs!$D$35*(1+Inputs!$D$45)^(AL$259-1)</f>
        <v>-5229.09300375</v>
      </c>
    </row>
    <row r="292" customFormat="false" ht="15" hidden="false" customHeight="false" outlineLevel="0" collapsed="false">
      <c r="A292" s="6" t="s">
        <v>401</v>
      </c>
      <c r="C292" s="69" t="n">
        <f aca="false">-C284*(1-Inputs!$D$22)</f>
        <v>-1383.2</v>
      </c>
      <c r="D292" s="69" t="n">
        <f aca="false">-D284*(1-Inputs!$D$22)</f>
        <v>-1556.1</v>
      </c>
      <c r="E292" s="69" t="n">
        <f aca="false">-E284*(1-Inputs!$D$22)</f>
        <v>-1729</v>
      </c>
      <c r="F292" s="69" t="n">
        <f aca="false">-F284*(1-Inputs!$D$22)</f>
        <v>-1901.9</v>
      </c>
      <c r="G292" s="69" t="n">
        <f aca="false">-G284*(1-Inputs!$D$22)</f>
        <v>-2074.8</v>
      </c>
      <c r="H292" s="69" t="n">
        <f aca="false">-H284*(1-Inputs!$D$22)</f>
        <v>-2247.7</v>
      </c>
      <c r="I292" s="69" t="n">
        <f aca="false">-I284*(1-Inputs!$D$22)</f>
        <v>-2420.6</v>
      </c>
      <c r="J292" s="69" t="n">
        <f aca="false">-J284*(1-Inputs!$D$22)</f>
        <v>-2593.5</v>
      </c>
      <c r="K292" s="69" t="n">
        <f aca="false">-K284*(1-Inputs!$D$22)</f>
        <v>-2766.4</v>
      </c>
      <c r="L292" s="69" t="n">
        <f aca="false">-L284*(1-Inputs!$D$22)</f>
        <v>-2766.4</v>
      </c>
      <c r="M292" s="69" t="n">
        <f aca="false">-M284*(1-Inputs!$D$22)</f>
        <v>-2766.4</v>
      </c>
      <c r="N292" s="69" t="n">
        <f aca="false">-N284*(1-Inputs!$D$22)</f>
        <v>-2766.4</v>
      </c>
      <c r="O292" s="69" t="n">
        <f aca="false">-O284*(1-Inputs!$D$22)</f>
        <v>-3049.67936</v>
      </c>
      <c r="P292" s="69" t="n">
        <f aca="false">-P284*(1-Inputs!$D$22)</f>
        <v>-3049.67936</v>
      </c>
      <c r="Q292" s="69" t="n">
        <f aca="false">-Q284*(1-Inputs!$D$22)</f>
        <v>-3049.67936</v>
      </c>
      <c r="R292" s="69" t="n">
        <f aca="false">-R284*(1-Inputs!$D$22)</f>
        <v>-3049.67936</v>
      </c>
      <c r="S292" s="69" t="n">
        <f aca="false">-S284*(1-Inputs!$D$22)</f>
        <v>-3049.67936</v>
      </c>
      <c r="T292" s="69" t="n">
        <f aca="false">-T284*(1-Inputs!$D$22)</f>
        <v>-3049.67936</v>
      </c>
      <c r="U292" s="69" t="n">
        <f aca="false">-U284*(1-Inputs!$D$22)</f>
        <v>-3049.67936</v>
      </c>
      <c r="V292" s="69" t="n">
        <f aca="false">-V284*(1-Inputs!$D$22)</f>
        <v>-3049.67936</v>
      </c>
      <c r="W292" s="69" t="n">
        <f aca="false">-W284*(1-Inputs!$D$22)</f>
        <v>-3049.67936</v>
      </c>
      <c r="X292" s="69" t="n">
        <f aca="false">-X284*(1-Inputs!$D$22)</f>
        <v>-3049.67936</v>
      </c>
      <c r="Y292" s="69" t="n">
        <f aca="false">-Y284*(1-Inputs!$D$22)</f>
        <v>-3049.67936</v>
      </c>
      <c r="Z292" s="69" t="n">
        <f aca="false">-Z284*(1-Inputs!$D$22)</f>
        <v>-3049.67936</v>
      </c>
      <c r="AA292" s="69" t="n">
        <f aca="false">-AA284*(1-Inputs!$D$22)</f>
        <v>-3361.966526464</v>
      </c>
      <c r="AB292" s="69" t="n">
        <f aca="false">-AB284*(1-Inputs!$D$22)</f>
        <v>-3361.966526464</v>
      </c>
      <c r="AC292" s="69" t="n">
        <f aca="false">-AC284*(1-Inputs!$D$22)</f>
        <v>-3361.966526464</v>
      </c>
      <c r="AD292" s="69" t="n">
        <f aca="false">-AD284*(1-Inputs!$D$22)</f>
        <v>-3361.966526464</v>
      </c>
      <c r="AE292" s="69" t="n">
        <f aca="false">-AE284*(1-Inputs!$D$22)</f>
        <v>-3361.966526464</v>
      </c>
      <c r="AF292" s="69" t="n">
        <f aca="false">-AF284*(1-Inputs!$D$22)</f>
        <v>-3361.966526464</v>
      </c>
      <c r="AG292" s="69" t="n">
        <f aca="false">-AG284*(1-Inputs!$D$22)</f>
        <v>-3361.966526464</v>
      </c>
      <c r="AH292" s="69" t="n">
        <f aca="false">-AH284*(1-Inputs!$D$22)</f>
        <v>-3361.966526464</v>
      </c>
      <c r="AI292" s="69" t="n">
        <f aca="false">-AI284*(1-Inputs!$D$22)</f>
        <v>-3361.966526464</v>
      </c>
      <c r="AJ292" s="69" t="n">
        <f aca="false">-AJ284*(1-Inputs!$D$22)</f>
        <v>-3361.966526464</v>
      </c>
      <c r="AK292" s="69" t="n">
        <f aca="false">-AK284*(1-Inputs!$D$22)</f>
        <v>-3361.966526464</v>
      </c>
      <c r="AL292" s="69" t="n">
        <f aca="false">-AL284*(1-Inputs!$D$22)</f>
        <v>-3361.966526464</v>
      </c>
    </row>
    <row r="293" customFormat="false" ht="15" hidden="false" customHeight="false" outlineLevel="0" collapsed="false">
      <c r="A293" s="4" t="s">
        <v>76</v>
      </c>
      <c r="C293" s="75" t="n">
        <f aca="false">C288+C289+C290+C291+C292</f>
        <v>-14468.3933333333</v>
      </c>
      <c r="D293" s="75" t="n">
        <f aca="false">D288+D289+D290+D291+D292</f>
        <v>-15797.7758333333</v>
      </c>
      <c r="E293" s="75" t="n">
        <f aca="false">E288+E289+E290+E291+E292</f>
        <v>-17127.1583333333</v>
      </c>
      <c r="F293" s="75" t="n">
        <f aca="false">F288+F289+F290+F291+F292</f>
        <v>-18456.5408333333</v>
      </c>
      <c r="G293" s="75" t="n">
        <f aca="false">G288+G289+G290+G291+G292</f>
        <v>-19785.9233333333</v>
      </c>
      <c r="H293" s="75" t="n">
        <f aca="false">H288+H289+H290+H291+H292</f>
        <v>-22215.6908333333</v>
      </c>
      <c r="I293" s="75" t="n">
        <f aca="false">I288+I289+I290+I291+I292</f>
        <v>-23629.7183333333</v>
      </c>
      <c r="J293" s="75" t="n">
        <f aca="false">J288+J289+J290+J291+J292</f>
        <v>-25043.7458333333</v>
      </c>
      <c r="K293" s="75" t="n">
        <f aca="false">K288+K289+K290+K291+K292</f>
        <v>-25103.4533333333</v>
      </c>
      <c r="L293" s="75" t="n">
        <f aca="false">L288+L289+L290+L291+L292</f>
        <v>-25103.4533333333</v>
      </c>
      <c r="M293" s="75" t="n">
        <f aca="false">M288+M289+M290+M291+M292</f>
        <v>-25103.4533333333</v>
      </c>
      <c r="N293" s="75" t="n">
        <f aca="false">N288+N289+N290+N291+N292</f>
        <v>-26457.7733333333</v>
      </c>
      <c r="O293" s="75" t="n">
        <f aca="false">O288+O289+O290+O291+O292</f>
        <v>-27282.4591293333</v>
      </c>
      <c r="P293" s="75" t="n">
        <f aca="false">P288+P289+P290+P291+P292</f>
        <v>-27282.4591293333</v>
      </c>
      <c r="Q293" s="75" t="n">
        <f aca="false">Q288+Q289+Q290+Q291+Q292</f>
        <v>-27282.4591293333</v>
      </c>
      <c r="R293" s="75" t="n">
        <f aca="false">R288+R289+R290+R291+R292</f>
        <v>-27282.4591293333</v>
      </c>
      <c r="S293" s="75" t="n">
        <f aca="false">S288+S289+S290+S291+S292</f>
        <v>-27282.4591293333</v>
      </c>
      <c r="T293" s="75" t="n">
        <f aca="false">T288+T289+T290+T291+T292</f>
        <v>-28740.0460293333</v>
      </c>
      <c r="U293" s="75" t="n">
        <f aca="false">U288+U289+U290+U291+U292</f>
        <v>-28740.0460293333</v>
      </c>
      <c r="V293" s="75" t="n">
        <f aca="false">V288+V289+V290+V291+V292</f>
        <v>-28740.0460293333</v>
      </c>
      <c r="W293" s="75" t="n">
        <f aca="false">W288+W289+W290+W291+W292</f>
        <v>-27282.4591293333</v>
      </c>
      <c r="X293" s="75" t="n">
        <f aca="false">X288+X289+X290+X291+X292</f>
        <v>-27282.4591293333</v>
      </c>
      <c r="Y293" s="75" t="n">
        <f aca="false">Y288+Y289+Y290+Y291+Y292</f>
        <v>-27282.4591293333</v>
      </c>
      <c r="Z293" s="75" t="n">
        <f aca="false">Z288+Z289+Z290+Z291+Z292</f>
        <v>-28740.0460293333</v>
      </c>
      <c r="AA293" s="75" t="n">
        <f aca="false">AA288+AA289+AA290+AA291+AA292</f>
        <v>-29667.2504252287</v>
      </c>
      <c r="AB293" s="75" t="n">
        <f aca="false">AB288+AB289+AB290+AB291+AB292</f>
        <v>-29667.2504252287</v>
      </c>
      <c r="AC293" s="75" t="n">
        <f aca="false">AC288+AC289+AC290+AC291+AC292</f>
        <v>-29667.2504252287</v>
      </c>
      <c r="AD293" s="75" t="n">
        <f aca="false">AD288+AD289+AD290+AD291+AD292</f>
        <v>-29667.2504252287</v>
      </c>
      <c r="AE293" s="75" t="n">
        <f aca="false">AE288+AE289+AE290+AE291+AE292</f>
        <v>-29667.2504252287</v>
      </c>
      <c r="AF293" s="75" t="n">
        <f aca="false">AF288+AF289+AF290+AF291+AF292</f>
        <v>-31235.9783263537</v>
      </c>
      <c r="AG293" s="75" t="n">
        <f aca="false">AG288+AG289+AG290+AG291+AG292</f>
        <v>-31235.9783263537</v>
      </c>
      <c r="AH293" s="75" t="n">
        <f aca="false">AH288+AH289+AH290+AH291+AH292</f>
        <v>-31235.9783263537</v>
      </c>
      <c r="AI293" s="75" t="n">
        <f aca="false">AI288+AI289+AI290+AI291+AI292</f>
        <v>-29667.2504252287</v>
      </c>
      <c r="AJ293" s="75" t="n">
        <f aca="false">AJ288+AJ289+AJ290+AJ291+AJ292</f>
        <v>-29667.2504252287</v>
      </c>
      <c r="AK293" s="75" t="n">
        <f aca="false">AK288+AK289+AK290+AK291+AK292</f>
        <v>-29667.2504252287</v>
      </c>
      <c r="AL293" s="75" t="n">
        <f aca="false">AL288+AL289+AL290+AL291+AL292</f>
        <v>-31235.9783263537</v>
      </c>
    </row>
    <row r="294" customFormat="false" ht="15" hidden="false" customHeight="false" outlineLevel="0" collapsed="false">
      <c r="A294" s="115" t="s">
        <v>45</v>
      </c>
      <c r="C294" s="70" t="n">
        <f aca="false">C285+C293</f>
        <v>25492.4066666667</v>
      </c>
      <c r="D294" s="70" t="n">
        <f aca="false">D285+D293</f>
        <v>29158.1241666667</v>
      </c>
      <c r="E294" s="70" t="n">
        <f aca="false">E285+E293</f>
        <v>32823.8416666667</v>
      </c>
      <c r="F294" s="70" t="n">
        <f aca="false">F285+F293</f>
        <v>36489.5591666667</v>
      </c>
      <c r="G294" s="70" t="n">
        <f aca="false">G285+G293</f>
        <v>40155.2766666667</v>
      </c>
      <c r="H294" s="70" t="n">
        <f aca="false">H285+H293</f>
        <v>54724.8091666667</v>
      </c>
      <c r="I294" s="70" t="n">
        <f aca="false">I285+I293</f>
        <v>59229.2816666667</v>
      </c>
      <c r="J294" s="70" t="n">
        <f aca="false">J285+J293</f>
        <v>63733.7541666667</v>
      </c>
      <c r="K294" s="70" t="n">
        <f aca="false">K285+K293</f>
        <v>54818.1466666667</v>
      </c>
      <c r="L294" s="70" t="n">
        <f aca="false">L285+L293</f>
        <v>54818.1466666667</v>
      </c>
      <c r="M294" s="70" t="n">
        <f aca="false">M285+M293</f>
        <v>54818.1466666667</v>
      </c>
      <c r="N294" s="70" t="n">
        <f aca="false">N285+N293</f>
        <v>68238.2266666667</v>
      </c>
      <c r="O294" s="70" t="n">
        <f aca="false">O285+O293</f>
        <v>60464.5872706667</v>
      </c>
      <c r="P294" s="70" t="n">
        <f aca="false">P285+P293</f>
        <v>60464.5872706667</v>
      </c>
      <c r="Q294" s="70" t="n">
        <f aca="false">Q285+Q293</f>
        <v>60464.5872706667</v>
      </c>
      <c r="R294" s="70" t="n">
        <f aca="false">R285+R293</f>
        <v>60464.5872706667</v>
      </c>
      <c r="S294" s="70" t="n">
        <f aca="false">S285+S293</f>
        <v>60464.5872706667</v>
      </c>
      <c r="T294" s="70" t="n">
        <f aca="false">T285+T293</f>
        <v>75140.6451706667</v>
      </c>
      <c r="U294" s="70" t="n">
        <f aca="false">U285+U293</f>
        <v>75140.6451706667</v>
      </c>
      <c r="V294" s="70" t="n">
        <f aca="false">V285+V293</f>
        <v>75140.6451706667</v>
      </c>
      <c r="W294" s="70" t="n">
        <f aca="false">W285+W293</f>
        <v>60464.5872706667</v>
      </c>
      <c r="X294" s="70" t="n">
        <f aca="false">X285+X293</f>
        <v>60464.5872706667</v>
      </c>
      <c r="Y294" s="70" t="n">
        <f aca="false">Y285+Y293</f>
        <v>60464.5872706667</v>
      </c>
      <c r="Z294" s="70" t="n">
        <f aca="false">Z285+Z293</f>
        <v>75140.6451706667</v>
      </c>
      <c r="AA294" s="70" t="n">
        <f aca="false">AA285+AA293</f>
        <v>66673.5837456513</v>
      </c>
      <c r="AB294" s="70" t="n">
        <f aca="false">AB285+AB293</f>
        <v>66673.5837456513</v>
      </c>
      <c r="AC294" s="70" t="n">
        <f aca="false">AC285+AC293</f>
        <v>66673.5837456513</v>
      </c>
      <c r="AD294" s="70" t="n">
        <f aca="false">AD285+AD293</f>
        <v>66673.5837456513</v>
      </c>
      <c r="AE294" s="70" t="n">
        <f aca="false">AE285+AE293</f>
        <v>66673.5837456513</v>
      </c>
      <c r="AF294" s="70" t="n">
        <f aca="false">AF285+AF293</f>
        <v>82722.7959661263</v>
      </c>
      <c r="AG294" s="70" t="n">
        <f aca="false">AG285+AG293</f>
        <v>82722.7959661263</v>
      </c>
      <c r="AH294" s="70" t="n">
        <f aca="false">AH285+AH293</f>
        <v>82722.7959661263</v>
      </c>
      <c r="AI294" s="70" t="n">
        <f aca="false">AI285+AI293</f>
        <v>66673.5837456513</v>
      </c>
      <c r="AJ294" s="70" t="n">
        <f aca="false">AJ285+AJ293</f>
        <v>66673.5837456513</v>
      </c>
      <c r="AK294" s="70" t="n">
        <f aca="false">AK285+AK293</f>
        <v>66673.5837456513</v>
      </c>
      <c r="AL294" s="70" t="n">
        <f aca="false">AL285+AL293</f>
        <v>82722.7959661263</v>
      </c>
    </row>
    <row r="296" customFormat="false" ht="15.75" hidden="false" customHeight="true" outlineLevel="0" collapsed="false">
      <c r="A296" s="7" t="s">
        <v>47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customFormat="false" ht="15" hidden="false" customHeight="false" outlineLevel="0" collapsed="false">
      <c r="A297" s="6" t="s">
        <v>335</v>
      </c>
      <c r="C297" s="69" t="n">
        <f aca="false">C379-C376</f>
        <v>-15237.5</v>
      </c>
      <c r="D297" s="69" t="n">
        <f aca="false">D379-D376</f>
        <v>-15237.5</v>
      </c>
      <c r="E297" s="69" t="n">
        <f aca="false">E379-E376</f>
        <v>-15237.5</v>
      </c>
      <c r="F297" s="69" t="n">
        <f aca="false">F379-F376</f>
        <v>-15237.5</v>
      </c>
      <c r="G297" s="69" t="n">
        <f aca="false">G379-G376</f>
        <v>-15237.5</v>
      </c>
      <c r="H297" s="69" t="n">
        <f aca="false">H379-H376</f>
        <v>-15237.5</v>
      </c>
      <c r="I297" s="69" t="n">
        <f aca="false">I379-I376</f>
        <v>-15237.5</v>
      </c>
      <c r="J297" s="69" t="n">
        <f aca="false">J379-J376</f>
        <v>-15237.5</v>
      </c>
      <c r="K297" s="69" t="n">
        <f aca="false">K379-K376</f>
        <v>-15237.5</v>
      </c>
      <c r="L297" s="69" t="n">
        <f aca="false">L379-L376</f>
        <v>-15237.5</v>
      </c>
      <c r="M297" s="69" t="n">
        <f aca="false">M379-M376</f>
        <v>-15237.5</v>
      </c>
      <c r="N297" s="69" t="n">
        <f aca="false">N379-N376</f>
        <v>-15237.5</v>
      </c>
      <c r="O297" s="69" t="n">
        <f aca="false">O379-O376</f>
        <v>-15694.625</v>
      </c>
      <c r="P297" s="69" t="n">
        <f aca="false">P379-P376</f>
        <v>-15694.625</v>
      </c>
      <c r="Q297" s="69" t="n">
        <f aca="false">Q379-Q376</f>
        <v>-15694.625</v>
      </c>
      <c r="R297" s="69" t="n">
        <f aca="false">R379-R376</f>
        <v>-15694.625</v>
      </c>
      <c r="S297" s="69" t="n">
        <f aca="false">S379-S376</f>
        <v>-15694.625</v>
      </c>
      <c r="T297" s="69" t="n">
        <f aca="false">T379-T376</f>
        <v>-15694.625</v>
      </c>
      <c r="U297" s="69" t="n">
        <f aca="false">U379-U376</f>
        <v>-15694.625</v>
      </c>
      <c r="V297" s="69" t="n">
        <f aca="false">V379-V376</f>
        <v>-15694.625</v>
      </c>
      <c r="W297" s="69" t="n">
        <f aca="false">W379-W376</f>
        <v>-15694.625</v>
      </c>
      <c r="X297" s="69" t="n">
        <f aca="false">X379-X376</f>
        <v>-15694.625</v>
      </c>
      <c r="Y297" s="69" t="n">
        <f aca="false">Y379-Y376</f>
        <v>-15694.625</v>
      </c>
      <c r="Z297" s="69" t="n">
        <f aca="false">Z379-Z376</f>
        <v>-15694.625</v>
      </c>
      <c r="AA297" s="69" t="n">
        <f aca="false">AA379-AA376</f>
        <v>-16165.46375</v>
      </c>
      <c r="AB297" s="69" t="n">
        <f aca="false">AB379-AB376</f>
        <v>-16165.46375</v>
      </c>
      <c r="AC297" s="69" t="n">
        <f aca="false">AC379-AC376</f>
        <v>-16165.46375</v>
      </c>
      <c r="AD297" s="69" t="n">
        <f aca="false">AD379-AD376</f>
        <v>-16165.46375</v>
      </c>
      <c r="AE297" s="69" t="n">
        <f aca="false">AE379-AE376</f>
        <v>-16165.46375</v>
      </c>
      <c r="AF297" s="69" t="n">
        <f aca="false">AF379-AF376</f>
        <v>-16165.46375</v>
      </c>
      <c r="AG297" s="69" t="n">
        <f aca="false">AG379-AG376</f>
        <v>-16165.46375</v>
      </c>
      <c r="AH297" s="69" t="n">
        <f aca="false">AH379-AH376</f>
        <v>-16165.46375</v>
      </c>
      <c r="AI297" s="69" t="n">
        <f aca="false">AI379-AI376</f>
        <v>-16165.46375</v>
      </c>
      <c r="AJ297" s="69" t="n">
        <f aca="false">AJ379-AJ376</f>
        <v>-16165.46375</v>
      </c>
      <c r="AK297" s="69" t="n">
        <f aca="false">AK379-AK376</f>
        <v>-16165.46375</v>
      </c>
      <c r="AL297" s="69" t="n">
        <f aca="false">AL379-AL376</f>
        <v>-16165.46375</v>
      </c>
    </row>
    <row r="298" customFormat="false" ht="15" hidden="false" customHeight="false" outlineLevel="0" collapsed="false">
      <c r="A298" s="6" t="s">
        <v>336</v>
      </c>
      <c r="C298" s="69" t="n">
        <f aca="false">-Inputs!$D$38*(1+Inputs!$D$39)^(C$259-1)*1</f>
        <v>-9000</v>
      </c>
      <c r="D298" s="69" t="n">
        <f aca="false">-Inputs!$D$38*(1+Inputs!$D$39)^(D$259-1)*1</f>
        <v>-9000</v>
      </c>
      <c r="E298" s="69" t="n">
        <f aca="false">-Inputs!$D$38*(1+Inputs!$D$39)^(E$259-1)*1</f>
        <v>-9000</v>
      </c>
      <c r="F298" s="69" t="n">
        <f aca="false">-Inputs!$D$38*(1+Inputs!$D$39)^(F$259-1)*1</f>
        <v>-9000</v>
      </c>
      <c r="G298" s="69" t="n">
        <f aca="false">-Inputs!$D$38*(1+Inputs!$D$39)^(G$259-1)*1</f>
        <v>-9000</v>
      </c>
      <c r="H298" s="69" t="n">
        <f aca="false">-Inputs!$D$38*(1+Inputs!$D$39)^(H$259-1)*1</f>
        <v>-9000</v>
      </c>
      <c r="I298" s="69" t="n">
        <f aca="false">-Inputs!$D$38*(1+Inputs!$D$39)^(I$259-1)*1</f>
        <v>-9000</v>
      </c>
      <c r="J298" s="69" t="n">
        <f aca="false">-Inputs!$D$38*(1+Inputs!$D$39)^(J$259-1)*1</f>
        <v>-9000</v>
      </c>
      <c r="K298" s="69" t="n">
        <f aca="false">-Inputs!$D$38*(1+Inputs!$D$39)^(K$259-1)*1</f>
        <v>-9000</v>
      </c>
      <c r="L298" s="69" t="n">
        <f aca="false">-Inputs!$D$38*(1+Inputs!$D$39)^(L$259-1)*1</f>
        <v>-9000</v>
      </c>
      <c r="M298" s="69" t="n">
        <f aca="false">-Inputs!$D$38*(1+Inputs!$D$39)^(M$259-1)*1</f>
        <v>-9000</v>
      </c>
      <c r="N298" s="69" t="n">
        <f aca="false">-Inputs!$D$38*(1+Inputs!$D$39)^(N$259-1)*1</f>
        <v>-9000</v>
      </c>
      <c r="O298" s="69" t="n">
        <f aca="false">-Inputs!$D$38*(1+Inputs!$D$39)^(O$259-1)*1</f>
        <v>-9270</v>
      </c>
      <c r="P298" s="69" t="n">
        <f aca="false">-Inputs!$D$38*(1+Inputs!$D$39)^(P$259-1)*1</f>
        <v>-9270</v>
      </c>
      <c r="Q298" s="69" t="n">
        <f aca="false">-Inputs!$D$38*(1+Inputs!$D$39)^(Q$259-1)*1</f>
        <v>-9270</v>
      </c>
      <c r="R298" s="69" t="n">
        <f aca="false">-Inputs!$D$38*(1+Inputs!$D$39)^(R$259-1)*1</f>
        <v>-9270</v>
      </c>
      <c r="S298" s="69" t="n">
        <f aca="false">-Inputs!$D$38*(1+Inputs!$D$39)^(S$259-1)*1</f>
        <v>-9270</v>
      </c>
      <c r="T298" s="69" t="n">
        <f aca="false">-Inputs!$D$38*(1+Inputs!$D$39)^(T$259-1)*1</f>
        <v>-9270</v>
      </c>
      <c r="U298" s="69" t="n">
        <f aca="false">-Inputs!$D$38*(1+Inputs!$D$39)^(U$259-1)*1</f>
        <v>-9270</v>
      </c>
      <c r="V298" s="69" t="n">
        <f aca="false">-Inputs!$D$38*(1+Inputs!$D$39)^(V$259-1)*1</f>
        <v>-9270</v>
      </c>
      <c r="W298" s="69" t="n">
        <f aca="false">-Inputs!$D$38*(1+Inputs!$D$39)^(W$259-1)*1</f>
        <v>-9270</v>
      </c>
      <c r="X298" s="69" t="n">
        <f aca="false">-Inputs!$D$38*(1+Inputs!$D$39)^(X$259-1)*1</f>
        <v>-9270</v>
      </c>
      <c r="Y298" s="69" t="n">
        <f aca="false">-Inputs!$D$38*(1+Inputs!$D$39)^(Y$259-1)*1</f>
        <v>-9270</v>
      </c>
      <c r="Z298" s="69" t="n">
        <f aca="false">-Inputs!$D$38*(1+Inputs!$D$39)^(Z$259-1)*1</f>
        <v>-9270</v>
      </c>
      <c r="AA298" s="69" t="n">
        <f aca="false">-Inputs!$D$38*(1+Inputs!$D$39)^(AA$259-1)*1</f>
        <v>-9548.1</v>
      </c>
      <c r="AB298" s="69" t="n">
        <f aca="false">-Inputs!$D$38*(1+Inputs!$D$39)^(AB$259-1)*1</f>
        <v>-9548.1</v>
      </c>
      <c r="AC298" s="69" t="n">
        <f aca="false">-Inputs!$D$38*(1+Inputs!$D$39)^(AC$259-1)*1</f>
        <v>-9548.1</v>
      </c>
      <c r="AD298" s="69" t="n">
        <f aca="false">-Inputs!$D$38*(1+Inputs!$D$39)^(AD$259-1)*1</f>
        <v>-9548.1</v>
      </c>
      <c r="AE298" s="69" t="n">
        <f aca="false">-Inputs!$D$38*(1+Inputs!$D$39)^(AE$259-1)*1</f>
        <v>-9548.1</v>
      </c>
      <c r="AF298" s="69" t="n">
        <f aca="false">-Inputs!$D$38*(1+Inputs!$D$39)^(AF$259-1)*1</f>
        <v>-9548.1</v>
      </c>
      <c r="AG298" s="69" t="n">
        <f aca="false">-Inputs!$D$38*(1+Inputs!$D$39)^(AG$259-1)*1</f>
        <v>-9548.1</v>
      </c>
      <c r="AH298" s="69" t="n">
        <f aca="false">-Inputs!$D$38*(1+Inputs!$D$39)^(AH$259-1)*1</f>
        <v>-9548.1</v>
      </c>
      <c r="AI298" s="69" t="n">
        <f aca="false">-Inputs!$D$38*(1+Inputs!$D$39)^(AI$259-1)*1</f>
        <v>-9548.1</v>
      </c>
      <c r="AJ298" s="69" t="n">
        <f aca="false">-Inputs!$D$38*(1+Inputs!$D$39)^(AJ$259-1)*1</f>
        <v>-9548.1</v>
      </c>
      <c r="AK298" s="69" t="n">
        <f aca="false">-Inputs!$D$38*(1+Inputs!$D$39)^(AK$259-1)*1</f>
        <v>-9548.1</v>
      </c>
      <c r="AL298" s="69" t="n">
        <f aca="false">-Inputs!$D$38*(1+Inputs!$D$39)^(AL$259-1)*1</f>
        <v>-9548.1</v>
      </c>
    </row>
    <row r="299" customFormat="false" ht="15" hidden="false" customHeight="false" outlineLevel="0" collapsed="false">
      <c r="A299" s="6" t="s">
        <v>337</v>
      </c>
      <c r="C299" s="69" t="n">
        <f aca="false">-Inputs!$D$40*(1+Inputs!$D$45)^(C$259-1)*1</f>
        <v>-2500</v>
      </c>
      <c r="D299" s="69" t="n">
        <f aca="false">-Inputs!$D$40*(1+Inputs!$D$45)^(D$259-1)*1</f>
        <v>-2500</v>
      </c>
      <c r="E299" s="69" t="n">
        <f aca="false">-Inputs!$D$40*(1+Inputs!$D$45)^(E$259-1)*1</f>
        <v>-2500</v>
      </c>
      <c r="F299" s="69" t="n">
        <f aca="false">-Inputs!$D$40*(1+Inputs!$D$45)^(F$259-1)*1</f>
        <v>-2500</v>
      </c>
      <c r="G299" s="69" t="n">
        <f aca="false">-Inputs!$D$40*(1+Inputs!$D$45)^(G$259-1)*1</f>
        <v>-2500</v>
      </c>
      <c r="H299" s="69" t="n">
        <f aca="false">-Inputs!$D$40*(1+Inputs!$D$45)^(H$259-1)*1</f>
        <v>-2500</v>
      </c>
      <c r="I299" s="69" t="n">
        <f aca="false">-Inputs!$D$40*(1+Inputs!$D$45)^(I$259-1)*1</f>
        <v>-2500</v>
      </c>
      <c r="J299" s="69" t="n">
        <f aca="false">-Inputs!$D$40*(1+Inputs!$D$45)^(J$259-1)*1</f>
        <v>-2500</v>
      </c>
      <c r="K299" s="69" t="n">
        <f aca="false">-Inputs!$D$40*(1+Inputs!$D$45)^(K$259-1)*1</f>
        <v>-2500</v>
      </c>
      <c r="L299" s="69" t="n">
        <f aca="false">-Inputs!$D$40*(1+Inputs!$D$45)^(L$259-1)*1</f>
        <v>-2500</v>
      </c>
      <c r="M299" s="69" t="n">
        <f aca="false">-Inputs!$D$40*(1+Inputs!$D$45)^(M$259-1)*1</f>
        <v>-2500</v>
      </c>
      <c r="N299" s="69" t="n">
        <f aca="false">-Inputs!$D$40*(1+Inputs!$D$45)^(N$259-1)*1</f>
        <v>-2500</v>
      </c>
      <c r="O299" s="69" t="n">
        <f aca="false">-Inputs!$D$40*(1+Inputs!$D$45)^(O$259-1)*1</f>
        <v>-2562.5</v>
      </c>
      <c r="P299" s="69" t="n">
        <f aca="false">-Inputs!$D$40*(1+Inputs!$D$45)^(P$259-1)*1</f>
        <v>-2562.5</v>
      </c>
      <c r="Q299" s="69" t="n">
        <f aca="false">-Inputs!$D$40*(1+Inputs!$D$45)^(Q$259-1)*1</f>
        <v>-2562.5</v>
      </c>
      <c r="R299" s="69" t="n">
        <f aca="false">-Inputs!$D$40*(1+Inputs!$D$45)^(R$259-1)*1</f>
        <v>-2562.5</v>
      </c>
      <c r="S299" s="69" t="n">
        <f aca="false">-Inputs!$D$40*(1+Inputs!$D$45)^(S$259-1)*1</f>
        <v>-2562.5</v>
      </c>
      <c r="T299" s="69" t="n">
        <f aca="false">-Inputs!$D$40*(1+Inputs!$D$45)^(T$259-1)*1</f>
        <v>-2562.5</v>
      </c>
      <c r="U299" s="69" t="n">
        <f aca="false">-Inputs!$D$40*(1+Inputs!$D$45)^(U$259-1)*1</f>
        <v>-2562.5</v>
      </c>
      <c r="V299" s="69" t="n">
        <f aca="false">-Inputs!$D$40*(1+Inputs!$D$45)^(V$259-1)*1</f>
        <v>-2562.5</v>
      </c>
      <c r="W299" s="69" t="n">
        <f aca="false">-Inputs!$D$40*(1+Inputs!$D$45)^(W$259-1)*1</f>
        <v>-2562.5</v>
      </c>
      <c r="X299" s="69" t="n">
        <f aca="false">-Inputs!$D$40*(1+Inputs!$D$45)^(X$259-1)*1</f>
        <v>-2562.5</v>
      </c>
      <c r="Y299" s="69" t="n">
        <f aca="false">-Inputs!$D$40*(1+Inputs!$D$45)^(Y$259-1)*1</f>
        <v>-2562.5</v>
      </c>
      <c r="Z299" s="69" t="n">
        <f aca="false">-Inputs!$D$40*(1+Inputs!$D$45)^(Z$259-1)*1</f>
        <v>-2562.5</v>
      </c>
      <c r="AA299" s="69" t="n">
        <f aca="false">-Inputs!$D$40*(1+Inputs!$D$45)^(AA$259-1)*1</f>
        <v>-2626.5625</v>
      </c>
      <c r="AB299" s="69" t="n">
        <f aca="false">-Inputs!$D$40*(1+Inputs!$D$45)^(AB$259-1)*1</f>
        <v>-2626.5625</v>
      </c>
      <c r="AC299" s="69" t="n">
        <f aca="false">-Inputs!$D$40*(1+Inputs!$D$45)^(AC$259-1)*1</f>
        <v>-2626.5625</v>
      </c>
      <c r="AD299" s="69" t="n">
        <f aca="false">-Inputs!$D$40*(1+Inputs!$D$45)^(AD$259-1)*1</f>
        <v>-2626.5625</v>
      </c>
      <c r="AE299" s="69" t="n">
        <f aca="false">-Inputs!$D$40*(1+Inputs!$D$45)^(AE$259-1)*1</f>
        <v>-2626.5625</v>
      </c>
      <c r="AF299" s="69" t="n">
        <f aca="false">-Inputs!$D$40*(1+Inputs!$D$45)^(AF$259-1)*1</f>
        <v>-2626.5625</v>
      </c>
      <c r="AG299" s="69" t="n">
        <f aca="false">-Inputs!$D$40*(1+Inputs!$D$45)^(AG$259-1)*1</f>
        <v>-2626.5625</v>
      </c>
      <c r="AH299" s="69" t="n">
        <f aca="false">-Inputs!$D$40*(1+Inputs!$D$45)^(AH$259-1)*1</f>
        <v>-2626.5625</v>
      </c>
      <c r="AI299" s="69" t="n">
        <f aca="false">-Inputs!$D$40*(1+Inputs!$D$45)^(AI$259-1)*1</f>
        <v>-2626.5625</v>
      </c>
      <c r="AJ299" s="69" t="n">
        <f aca="false">-Inputs!$D$40*(1+Inputs!$D$45)^(AJ$259-1)*1</f>
        <v>-2626.5625</v>
      </c>
      <c r="AK299" s="69" t="n">
        <f aca="false">-Inputs!$D$40*(1+Inputs!$D$45)^(AK$259-1)*1</f>
        <v>-2626.5625</v>
      </c>
      <c r="AL299" s="69" t="n">
        <f aca="false">-Inputs!$D$40*(1+Inputs!$D$45)^(AL$259-1)*1</f>
        <v>-2626.5625</v>
      </c>
    </row>
    <row r="300" customFormat="false" ht="15" hidden="false" customHeight="false" outlineLevel="0" collapsed="false">
      <c r="A300" s="6" t="s">
        <v>338</v>
      </c>
      <c r="C300" s="69" t="n">
        <f aca="false">-Inputs!$D$41*(1+Inputs!$D$45)^(C$259-1)*1</f>
        <v>-4500</v>
      </c>
      <c r="D300" s="69" t="n">
        <f aca="false">-Inputs!$D$41*(1+Inputs!$D$45)^(D$259-1)*1</f>
        <v>-4500</v>
      </c>
      <c r="E300" s="69" t="n">
        <f aca="false">-Inputs!$D$41*(1+Inputs!$D$45)^(E$259-1)*1</f>
        <v>-4500</v>
      </c>
      <c r="F300" s="69" t="n">
        <f aca="false">-Inputs!$D$41*(1+Inputs!$D$45)^(F$259-1)*1</f>
        <v>-4500</v>
      </c>
      <c r="G300" s="69" t="n">
        <f aca="false">-Inputs!$D$41*(1+Inputs!$D$45)^(G$259-1)*1</f>
        <v>-4500</v>
      </c>
      <c r="H300" s="69" t="n">
        <f aca="false">-Inputs!$D$41*(1+Inputs!$D$45)^(H$259-1)*1</f>
        <v>-4500</v>
      </c>
      <c r="I300" s="69" t="n">
        <f aca="false">-Inputs!$D$41*(1+Inputs!$D$45)^(I$259-1)*1</f>
        <v>-4500</v>
      </c>
      <c r="J300" s="69" t="n">
        <f aca="false">-Inputs!$D$41*(1+Inputs!$D$45)^(J$259-1)*1</f>
        <v>-4500</v>
      </c>
      <c r="K300" s="69" t="n">
        <f aca="false">-Inputs!$D$41*(1+Inputs!$D$45)^(K$259-1)*1</f>
        <v>-4500</v>
      </c>
      <c r="L300" s="69" t="n">
        <f aca="false">-Inputs!$D$41*(1+Inputs!$D$45)^(L$259-1)*1</f>
        <v>-4500</v>
      </c>
      <c r="M300" s="69" t="n">
        <f aca="false">-Inputs!$D$41*(1+Inputs!$D$45)^(M$259-1)*1</f>
        <v>-4500</v>
      </c>
      <c r="N300" s="69" t="n">
        <f aca="false">-Inputs!$D$41*(1+Inputs!$D$45)^(N$259-1)*1</f>
        <v>-4500</v>
      </c>
      <c r="O300" s="69" t="n">
        <f aca="false">-Inputs!$D$41*(1+Inputs!$D$45)^(O$259-1)*1</f>
        <v>-4612.5</v>
      </c>
      <c r="P300" s="69" t="n">
        <f aca="false">-Inputs!$D$41*(1+Inputs!$D$45)^(P$259-1)*1</f>
        <v>-4612.5</v>
      </c>
      <c r="Q300" s="69" t="n">
        <f aca="false">-Inputs!$D$41*(1+Inputs!$D$45)^(Q$259-1)*1</f>
        <v>-4612.5</v>
      </c>
      <c r="R300" s="69" t="n">
        <f aca="false">-Inputs!$D$41*(1+Inputs!$D$45)^(R$259-1)*1</f>
        <v>-4612.5</v>
      </c>
      <c r="S300" s="69" t="n">
        <f aca="false">-Inputs!$D$41*(1+Inputs!$D$45)^(S$259-1)*1</f>
        <v>-4612.5</v>
      </c>
      <c r="T300" s="69" t="n">
        <f aca="false">-Inputs!$D$41*(1+Inputs!$D$45)^(T$259-1)*1</f>
        <v>-4612.5</v>
      </c>
      <c r="U300" s="69" t="n">
        <f aca="false">-Inputs!$D$41*(1+Inputs!$D$45)^(U$259-1)*1</f>
        <v>-4612.5</v>
      </c>
      <c r="V300" s="69" t="n">
        <f aca="false">-Inputs!$D$41*(1+Inputs!$D$45)^(V$259-1)*1</f>
        <v>-4612.5</v>
      </c>
      <c r="W300" s="69" t="n">
        <f aca="false">-Inputs!$D$41*(1+Inputs!$D$45)^(W$259-1)*1</f>
        <v>-4612.5</v>
      </c>
      <c r="X300" s="69" t="n">
        <f aca="false">-Inputs!$D$41*(1+Inputs!$D$45)^(X$259-1)*1</f>
        <v>-4612.5</v>
      </c>
      <c r="Y300" s="69" t="n">
        <f aca="false">-Inputs!$D$41*(1+Inputs!$D$45)^(Y$259-1)*1</f>
        <v>-4612.5</v>
      </c>
      <c r="Z300" s="69" t="n">
        <f aca="false">-Inputs!$D$41*(1+Inputs!$D$45)^(Z$259-1)*1</f>
        <v>-4612.5</v>
      </c>
      <c r="AA300" s="69" t="n">
        <f aca="false">-Inputs!$D$41*(1+Inputs!$D$45)^(AA$259-1)*1</f>
        <v>-4727.8125</v>
      </c>
      <c r="AB300" s="69" t="n">
        <f aca="false">-Inputs!$D$41*(1+Inputs!$D$45)^(AB$259-1)*1</f>
        <v>-4727.8125</v>
      </c>
      <c r="AC300" s="69" t="n">
        <f aca="false">-Inputs!$D$41*(1+Inputs!$D$45)^(AC$259-1)*1</f>
        <v>-4727.8125</v>
      </c>
      <c r="AD300" s="69" t="n">
        <f aca="false">-Inputs!$D$41*(1+Inputs!$D$45)^(AD$259-1)*1</f>
        <v>-4727.8125</v>
      </c>
      <c r="AE300" s="69" t="n">
        <f aca="false">-Inputs!$D$41*(1+Inputs!$D$45)^(AE$259-1)*1</f>
        <v>-4727.8125</v>
      </c>
      <c r="AF300" s="69" t="n">
        <f aca="false">-Inputs!$D$41*(1+Inputs!$D$45)^(AF$259-1)*1</f>
        <v>-4727.8125</v>
      </c>
      <c r="AG300" s="69" t="n">
        <f aca="false">-Inputs!$D$41*(1+Inputs!$D$45)^(AG$259-1)*1</f>
        <v>-4727.8125</v>
      </c>
      <c r="AH300" s="69" t="n">
        <f aca="false">-Inputs!$D$41*(1+Inputs!$D$45)^(AH$259-1)*1</f>
        <v>-4727.8125</v>
      </c>
      <c r="AI300" s="69" t="n">
        <f aca="false">-Inputs!$D$41*(1+Inputs!$D$45)^(AI$259-1)*1</f>
        <v>-4727.8125</v>
      </c>
      <c r="AJ300" s="69" t="n">
        <f aca="false">-Inputs!$D$41*(1+Inputs!$D$45)^(AJ$259-1)*1</f>
        <v>-4727.8125</v>
      </c>
      <c r="AK300" s="69" t="n">
        <f aca="false">-Inputs!$D$41*(1+Inputs!$D$45)^(AK$259-1)*1</f>
        <v>-4727.8125</v>
      </c>
      <c r="AL300" s="69" t="n">
        <f aca="false">-Inputs!$D$41*(1+Inputs!$D$45)^(AL$259-1)*1</f>
        <v>-4727.8125</v>
      </c>
    </row>
    <row r="301" customFormat="false" ht="15" hidden="false" customHeight="false" outlineLevel="0" collapsed="false">
      <c r="A301" s="6" t="s">
        <v>339</v>
      </c>
      <c r="C301" s="69" t="n">
        <f aca="false">-Inputs!$D$42*(1+Inputs!$D$43)^(C$259-1)*1</f>
        <v>-3500</v>
      </c>
      <c r="D301" s="69" t="n">
        <f aca="false">-Inputs!$D$42*(1+Inputs!$D$43)^(D$259-1)*1</f>
        <v>-3500</v>
      </c>
      <c r="E301" s="69" t="n">
        <f aca="false">-Inputs!$D$42*(1+Inputs!$D$43)^(E$259-1)*1</f>
        <v>-3500</v>
      </c>
      <c r="F301" s="69" t="n">
        <f aca="false">-Inputs!$D$42*(1+Inputs!$D$43)^(F$259-1)*1</f>
        <v>-3500</v>
      </c>
      <c r="G301" s="69" t="n">
        <f aca="false">-Inputs!$D$42*(1+Inputs!$D$43)^(G$259-1)*1</f>
        <v>-3500</v>
      </c>
      <c r="H301" s="69" t="n">
        <f aca="false">-Inputs!$D$42*(1+Inputs!$D$43)^(H$259-1)*1</f>
        <v>-3500</v>
      </c>
      <c r="I301" s="69" t="n">
        <f aca="false">-Inputs!$D$42*(1+Inputs!$D$43)^(I$259-1)*1</f>
        <v>-3500</v>
      </c>
      <c r="J301" s="69" t="n">
        <f aca="false">-Inputs!$D$42*(1+Inputs!$D$43)^(J$259-1)*1</f>
        <v>-3500</v>
      </c>
      <c r="K301" s="69" t="n">
        <f aca="false">-Inputs!$D$42*(1+Inputs!$D$43)^(K$259-1)*1</f>
        <v>-3500</v>
      </c>
      <c r="L301" s="69" t="n">
        <f aca="false">-Inputs!$D$42*(1+Inputs!$D$43)^(L$259-1)*1</f>
        <v>-3500</v>
      </c>
      <c r="M301" s="69" t="n">
        <f aca="false">-Inputs!$D$42*(1+Inputs!$D$43)^(M$259-1)*1</f>
        <v>-3500</v>
      </c>
      <c r="N301" s="69" t="n">
        <f aca="false">-Inputs!$D$42*(1+Inputs!$D$43)^(N$259-1)*1</f>
        <v>-3500</v>
      </c>
      <c r="O301" s="69" t="n">
        <f aca="false">-Inputs!$D$42*(1+Inputs!$D$43)^(O$259-1)*1</f>
        <v>-3150</v>
      </c>
      <c r="P301" s="69" t="n">
        <f aca="false">-Inputs!$D$42*(1+Inputs!$D$43)^(P$259-1)*1</f>
        <v>-3150</v>
      </c>
      <c r="Q301" s="69" t="n">
        <f aca="false">-Inputs!$D$42*(1+Inputs!$D$43)^(Q$259-1)*1</f>
        <v>-3150</v>
      </c>
      <c r="R301" s="69" t="n">
        <f aca="false">-Inputs!$D$42*(1+Inputs!$D$43)^(R$259-1)*1</f>
        <v>-3150</v>
      </c>
      <c r="S301" s="69" t="n">
        <f aca="false">-Inputs!$D$42*(1+Inputs!$D$43)^(S$259-1)*1</f>
        <v>-3150</v>
      </c>
      <c r="T301" s="69" t="n">
        <f aca="false">-Inputs!$D$42*(1+Inputs!$D$43)^(T$259-1)*1</f>
        <v>-3150</v>
      </c>
      <c r="U301" s="69" t="n">
        <f aca="false">-Inputs!$D$42*(1+Inputs!$D$43)^(U$259-1)*1</f>
        <v>-3150</v>
      </c>
      <c r="V301" s="69" t="n">
        <f aca="false">-Inputs!$D$42*(1+Inputs!$D$43)^(V$259-1)*1</f>
        <v>-3150</v>
      </c>
      <c r="W301" s="69" t="n">
        <f aca="false">-Inputs!$D$42*(1+Inputs!$D$43)^(W$259-1)*1</f>
        <v>-3150</v>
      </c>
      <c r="X301" s="69" t="n">
        <f aca="false">-Inputs!$D$42*(1+Inputs!$D$43)^(X$259-1)*1</f>
        <v>-3150</v>
      </c>
      <c r="Y301" s="69" t="n">
        <f aca="false">-Inputs!$D$42*(1+Inputs!$D$43)^(Y$259-1)*1</f>
        <v>-3150</v>
      </c>
      <c r="Z301" s="69" t="n">
        <f aca="false">-Inputs!$D$42*(1+Inputs!$D$43)^(Z$259-1)*1</f>
        <v>-3150</v>
      </c>
      <c r="AA301" s="69" t="n">
        <f aca="false">-Inputs!$D$42*(1+Inputs!$D$43)^(AA$259-1)*1</f>
        <v>-2835</v>
      </c>
      <c r="AB301" s="69" t="n">
        <f aca="false">-Inputs!$D$42*(1+Inputs!$D$43)^(AB$259-1)*1</f>
        <v>-2835</v>
      </c>
      <c r="AC301" s="69" t="n">
        <f aca="false">-Inputs!$D$42*(1+Inputs!$D$43)^(AC$259-1)*1</f>
        <v>-2835</v>
      </c>
      <c r="AD301" s="69" t="n">
        <f aca="false">-Inputs!$D$42*(1+Inputs!$D$43)^(AD$259-1)*1</f>
        <v>-2835</v>
      </c>
      <c r="AE301" s="69" t="n">
        <f aca="false">-Inputs!$D$42*(1+Inputs!$D$43)^(AE$259-1)*1</f>
        <v>-2835</v>
      </c>
      <c r="AF301" s="69" t="n">
        <f aca="false">-Inputs!$D$42*(1+Inputs!$D$43)^(AF$259-1)*1</f>
        <v>-2835</v>
      </c>
      <c r="AG301" s="69" t="n">
        <f aca="false">-Inputs!$D$42*(1+Inputs!$D$43)^(AG$259-1)*1</f>
        <v>-2835</v>
      </c>
      <c r="AH301" s="69" t="n">
        <f aca="false">-Inputs!$D$42*(1+Inputs!$D$43)^(AH$259-1)*1</f>
        <v>-2835</v>
      </c>
      <c r="AI301" s="69" t="n">
        <f aca="false">-Inputs!$D$42*(1+Inputs!$D$43)^(AI$259-1)*1</f>
        <v>-2835</v>
      </c>
      <c r="AJ301" s="69" t="n">
        <f aca="false">-Inputs!$D$42*(1+Inputs!$D$43)^(AJ$259-1)*1</f>
        <v>-2835</v>
      </c>
      <c r="AK301" s="69" t="n">
        <f aca="false">-Inputs!$D$42*(1+Inputs!$D$43)^(AK$259-1)*1</f>
        <v>-2835</v>
      </c>
      <c r="AL301" s="69" t="n">
        <f aca="false">-Inputs!$D$42*(1+Inputs!$D$43)^(AL$259-1)*1</f>
        <v>-2835</v>
      </c>
    </row>
    <row r="302" customFormat="false" ht="15" hidden="false" customHeight="false" outlineLevel="0" collapsed="false">
      <c r="A302" s="6" t="s">
        <v>340</v>
      </c>
      <c r="C302" s="69" t="n">
        <f aca="false">-C285*Inputs!$D$44</f>
        <v>-1118.9024</v>
      </c>
      <c r="D302" s="69" t="n">
        <f aca="false">-D285*Inputs!$D$44</f>
        <v>-1258.7652</v>
      </c>
      <c r="E302" s="69" t="n">
        <f aca="false">-E285*Inputs!$D$44</f>
        <v>-1398.628</v>
      </c>
      <c r="F302" s="69" t="n">
        <f aca="false">-F285*Inputs!$D$44</f>
        <v>-1538.4908</v>
      </c>
      <c r="G302" s="69" t="n">
        <f aca="false">-G285*Inputs!$D$44</f>
        <v>-1678.3536</v>
      </c>
      <c r="H302" s="69" t="n">
        <f aca="false">-H285*Inputs!$D$44</f>
        <v>-2154.334</v>
      </c>
      <c r="I302" s="69" t="n">
        <f aca="false">-I285*Inputs!$D$44</f>
        <v>-2320.052</v>
      </c>
      <c r="J302" s="69" t="n">
        <f aca="false">-J285*Inputs!$D$44</f>
        <v>-2485.77</v>
      </c>
      <c r="K302" s="69" t="n">
        <f aca="false">-K285*Inputs!$D$44</f>
        <v>-2237.8048</v>
      </c>
      <c r="L302" s="69" t="n">
        <f aca="false">-L285*Inputs!$D$44</f>
        <v>-2237.8048</v>
      </c>
      <c r="M302" s="69" t="n">
        <f aca="false">-M285*Inputs!$D$44</f>
        <v>-2237.8048</v>
      </c>
      <c r="N302" s="69" t="n">
        <f aca="false">-N285*Inputs!$D$44</f>
        <v>-2651.488</v>
      </c>
      <c r="O302" s="69" t="n">
        <f aca="false">-O285*Inputs!$D$44</f>
        <v>-2456.9172992</v>
      </c>
      <c r="P302" s="69" t="n">
        <f aca="false">-P285*Inputs!$D$44</f>
        <v>-2456.9172992</v>
      </c>
      <c r="Q302" s="69" t="n">
        <f aca="false">-Q285*Inputs!$D$44</f>
        <v>-2456.9172992</v>
      </c>
      <c r="R302" s="69" t="n">
        <f aca="false">-R285*Inputs!$D$44</f>
        <v>-2456.9172992</v>
      </c>
      <c r="S302" s="69" t="n">
        <f aca="false">-S285*Inputs!$D$44</f>
        <v>-2456.9172992</v>
      </c>
      <c r="T302" s="69" t="n">
        <f aca="false">-T285*Inputs!$D$44</f>
        <v>-2908.6593536</v>
      </c>
      <c r="U302" s="69" t="n">
        <f aca="false">-U285*Inputs!$D$44</f>
        <v>-2908.6593536</v>
      </c>
      <c r="V302" s="69" t="n">
        <f aca="false">-V285*Inputs!$D$44</f>
        <v>-2908.6593536</v>
      </c>
      <c r="W302" s="69" t="n">
        <f aca="false">-W285*Inputs!$D$44</f>
        <v>-2456.9172992</v>
      </c>
      <c r="X302" s="69" t="n">
        <f aca="false">-X285*Inputs!$D$44</f>
        <v>-2456.9172992</v>
      </c>
      <c r="Y302" s="69" t="n">
        <f aca="false">-Y285*Inputs!$D$44</f>
        <v>-2456.9172992</v>
      </c>
      <c r="Z302" s="69" t="n">
        <f aca="false">-Z285*Inputs!$D$44</f>
        <v>-2908.6593536</v>
      </c>
      <c r="AA302" s="69" t="n">
        <f aca="false">-AA285*Inputs!$D$44</f>
        <v>-2697.54335678464</v>
      </c>
      <c r="AB302" s="69" t="n">
        <f aca="false">-AB285*Inputs!$D$44</f>
        <v>-2697.54335678464</v>
      </c>
      <c r="AC302" s="69" t="n">
        <f aca="false">-AC285*Inputs!$D$44</f>
        <v>-2697.54335678464</v>
      </c>
      <c r="AD302" s="69" t="n">
        <f aca="false">-AD285*Inputs!$D$44</f>
        <v>-2697.54335678464</v>
      </c>
      <c r="AE302" s="69" t="n">
        <f aca="false">-AE285*Inputs!$D$44</f>
        <v>-2697.54335678464</v>
      </c>
      <c r="AF302" s="69" t="n">
        <f aca="false">-AF285*Inputs!$D$44</f>
        <v>-3190.84568018944</v>
      </c>
      <c r="AG302" s="69" t="n">
        <f aca="false">-AG285*Inputs!$D$44</f>
        <v>-3190.84568018944</v>
      </c>
      <c r="AH302" s="69" t="n">
        <f aca="false">-AH285*Inputs!$D$44</f>
        <v>-3190.84568018944</v>
      </c>
      <c r="AI302" s="69" t="n">
        <f aca="false">-AI285*Inputs!$D$44</f>
        <v>-2697.54335678464</v>
      </c>
      <c r="AJ302" s="69" t="n">
        <f aca="false">-AJ285*Inputs!$D$44</f>
        <v>-2697.54335678464</v>
      </c>
      <c r="AK302" s="69" t="n">
        <f aca="false">-AK285*Inputs!$D$44</f>
        <v>-2697.54335678464</v>
      </c>
      <c r="AL302" s="69" t="n">
        <f aca="false">-AL285*Inputs!$D$44</f>
        <v>-3190.84568018944</v>
      </c>
    </row>
    <row r="303" customFormat="false" ht="15" hidden="false" customHeight="false" outlineLevel="0" collapsed="false">
      <c r="A303" s="115" t="s">
        <v>77</v>
      </c>
      <c r="C303" s="70" t="n">
        <f aca="false">C297+C298+C299+C300+C301+C302</f>
        <v>-35856.4024</v>
      </c>
      <c r="D303" s="70" t="n">
        <f aca="false">D297+D298+D299+D300+D301+D302</f>
        <v>-35996.2652</v>
      </c>
      <c r="E303" s="70" t="n">
        <f aca="false">E297+E298+E299+E300+E301+E302</f>
        <v>-36136.128</v>
      </c>
      <c r="F303" s="70" t="n">
        <f aca="false">F297+F298+F299+F300+F301+F302</f>
        <v>-36275.9908</v>
      </c>
      <c r="G303" s="70" t="n">
        <f aca="false">G297+G298+G299+G300+G301+G302</f>
        <v>-36415.8536</v>
      </c>
      <c r="H303" s="70" t="n">
        <f aca="false">H297+H298+H299+H300+H301+H302</f>
        <v>-36891.834</v>
      </c>
      <c r="I303" s="70" t="n">
        <f aca="false">I297+I298+I299+I300+I301+I302</f>
        <v>-37057.552</v>
      </c>
      <c r="J303" s="70" t="n">
        <f aca="false">J297+J298+J299+J300+J301+J302</f>
        <v>-37223.27</v>
      </c>
      <c r="K303" s="70" t="n">
        <f aca="false">K297+K298+K299+K300+K301+K302</f>
        <v>-36975.3048</v>
      </c>
      <c r="L303" s="70" t="n">
        <f aca="false">L297+L298+L299+L300+L301+L302</f>
        <v>-36975.3048</v>
      </c>
      <c r="M303" s="70" t="n">
        <f aca="false">M297+M298+M299+M300+M301+M302</f>
        <v>-36975.3048</v>
      </c>
      <c r="N303" s="70" t="n">
        <f aca="false">N297+N298+N299+N300+N301+N302</f>
        <v>-37388.988</v>
      </c>
      <c r="O303" s="70" t="n">
        <f aca="false">O297+O298+O299+O300+O301+O302</f>
        <v>-37746.5422992</v>
      </c>
      <c r="P303" s="70" t="n">
        <f aca="false">P297+P298+P299+P300+P301+P302</f>
        <v>-37746.5422992</v>
      </c>
      <c r="Q303" s="70" t="n">
        <f aca="false">Q297+Q298+Q299+Q300+Q301+Q302</f>
        <v>-37746.5422992</v>
      </c>
      <c r="R303" s="70" t="n">
        <f aca="false">R297+R298+R299+R300+R301+R302</f>
        <v>-37746.5422992</v>
      </c>
      <c r="S303" s="70" t="n">
        <f aca="false">S297+S298+S299+S300+S301+S302</f>
        <v>-37746.5422992</v>
      </c>
      <c r="T303" s="70" t="n">
        <f aca="false">T297+T298+T299+T300+T301+T302</f>
        <v>-38198.2843536</v>
      </c>
      <c r="U303" s="70" t="n">
        <f aca="false">U297+U298+U299+U300+U301+U302</f>
        <v>-38198.2843536</v>
      </c>
      <c r="V303" s="70" t="n">
        <f aca="false">V297+V298+V299+V300+V301+V302</f>
        <v>-38198.2843536</v>
      </c>
      <c r="W303" s="70" t="n">
        <f aca="false">W297+W298+W299+W300+W301+W302</f>
        <v>-37746.5422992</v>
      </c>
      <c r="X303" s="70" t="n">
        <f aca="false">X297+X298+X299+X300+X301+X302</f>
        <v>-37746.5422992</v>
      </c>
      <c r="Y303" s="70" t="n">
        <f aca="false">Y297+Y298+Y299+Y300+Y301+Y302</f>
        <v>-37746.5422992</v>
      </c>
      <c r="Z303" s="70" t="n">
        <f aca="false">Z297+Z298+Z299+Z300+Z301+Z302</f>
        <v>-38198.2843536</v>
      </c>
      <c r="AA303" s="70" t="n">
        <f aca="false">AA297+AA298+AA299+AA300+AA301+AA302</f>
        <v>-38600.4821067846</v>
      </c>
      <c r="AB303" s="70" t="n">
        <f aca="false">AB297+AB298+AB299+AB300+AB301+AB302</f>
        <v>-38600.4821067846</v>
      </c>
      <c r="AC303" s="70" t="n">
        <f aca="false">AC297+AC298+AC299+AC300+AC301+AC302</f>
        <v>-38600.4821067846</v>
      </c>
      <c r="AD303" s="70" t="n">
        <f aca="false">AD297+AD298+AD299+AD300+AD301+AD302</f>
        <v>-38600.4821067846</v>
      </c>
      <c r="AE303" s="70" t="n">
        <f aca="false">AE297+AE298+AE299+AE300+AE301+AE302</f>
        <v>-38600.4821067846</v>
      </c>
      <c r="AF303" s="70" t="n">
        <f aca="false">AF297+AF298+AF299+AF300+AF301+AF302</f>
        <v>-39093.7844301894</v>
      </c>
      <c r="AG303" s="70" t="n">
        <f aca="false">AG297+AG298+AG299+AG300+AG301+AG302</f>
        <v>-39093.7844301894</v>
      </c>
      <c r="AH303" s="70" t="n">
        <f aca="false">AH297+AH298+AH299+AH300+AH301+AH302</f>
        <v>-39093.7844301894</v>
      </c>
      <c r="AI303" s="70" t="n">
        <f aca="false">AI297+AI298+AI299+AI300+AI301+AI302</f>
        <v>-38600.4821067846</v>
      </c>
      <c r="AJ303" s="70" t="n">
        <f aca="false">AJ297+AJ298+AJ299+AJ300+AJ301+AJ302</f>
        <v>-38600.4821067846</v>
      </c>
      <c r="AK303" s="70" t="n">
        <f aca="false">AK297+AK298+AK299+AK300+AK301+AK302</f>
        <v>-38600.4821067846</v>
      </c>
      <c r="AL303" s="70" t="n">
        <f aca="false">AL297+AL298+AL299+AL300+AL301+AL302</f>
        <v>-39093.7844301894</v>
      </c>
    </row>
    <row r="304" customFormat="false" ht="15" hidden="false" customHeight="false" outlineLevel="0" collapsed="false">
      <c r="A304" s="115" t="s">
        <v>48</v>
      </c>
      <c r="C304" s="70" t="n">
        <f aca="false">C294+C303</f>
        <v>-10363.9957333333</v>
      </c>
      <c r="D304" s="70" t="n">
        <f aca="false">D294+D303</f>
        <v>-6838.14103333333</v>
      </c>
      <c r="E304" s="70" t="n">
        <f aca="false">E294+E303</f>
        <v>-3312.28633333333</v>
      </c>
      <c r="F304" s="70" t="n">
        <f aca="false">F294+F303</f>
        <v>213.568366666659</v>
      </c>
      <c r="G304" s="70" t="n">
        <f aca="false">G294+G303</f>
        <v>3739.42306666666</v>
      </c>
      <c r="H304" s="70" t="n">
        <f aca="false">H294+H303</f>
        <v>17832.9751666667</v>
      </c>
      <c r="I304" s="70" t="n">
        <f aca="false">I294+I303</f>
        <v>22171.7296666667</v>
      </c>
      <c r="J304" s="70" t="n">
        <f aca="false">J294+J303</f>
        <v>26510.4841666667</v>
      </c>
      <c r="K304" s="70" t="n">
        <f aca="false">K294+K303</f>
        <v>17842.8418666667</v>
      </c>
      <c r="L304" s="70" t="n">
        <f aca="false">L294+L303</f>
        <v>17842.8418666667</v>
      </c>
      <c r="M304" s="70" t="n">
        <f aca="false">M294+M303</f>
        <v>17842.8418666667</v>
      </c>
      <c r="N304" s="70" t="n">
        <f aca="false">N294+N303</f>
        <v>30849.2386666667</v>
      </c>
      <c r="O304" s="70" t="n">
        <f aca="false">O294+O303</f>
        <v>22718.0449714667</v>
      </c>
      <c r="P304" s="70" t="n">
        <f aca="false">P294+P303</f>
        <v>22718.0449714667</v>
      </c>
      <c r="Q304" s="70" t="n">
        <f aca="false">Q294+Q303</f>
        <v>22718.0449714667</v>
      </c>
      <c r="R304" s="70" t="n">
        <f aca="false">R294+R303</f>
        <v>22718.0449714667</v>
      </c>
      <c r="S304" s="70" t="n">
        <f aca="false">S294+S303</f>
        <v>22718.0449714667</v>
      </c>
      <c r="T304" s="70" t="n">
        <f aca="false">T294+T303</f>
        <v>36942.3608170667</v>
      </c>
      <c r="U304" s="70" t="n">
        <f aca="false">U294+U303</f>
        <v>36942.3608170667</v>
      </c>
      <c r="V304" s="70" t="n">
        <f aca="false">V294+V303</f>
        <v>36942.3608170667</v>
      </c>
      <c r="W304" s="70" t="n">
        <f aca="false">W294+W303</f>
        <v>22718.0449714667</v>
      </c>
      <c r="X304" s="70" t="n">
        <f aca="false">X294+X303</f>
        <v>22718.0449714667</v>
      </c>
      <c r="Y304" s="70" t="n">
        <f aca="false">Y294+Y303</f>
        <v>22718.0449714667</v>
      </c>
      <c r="Z304" s="70" t="n">
        <f aca="false">Z294+Z303</f>
        <v>36942.3608170667</v>
      </c>
      <c r="AA304" s="70" t="n">
        <f aca="false">AA294+AA303</f>
        <v>28073.1016388666</v>
      </c>
      <c r="AB304" s="70" t="n">
        <f aca="false">AB294+AB303</f>
        <v>28073.1016388666</v>
      </c>
      <c r="AC304" s="70" t="n">
        <f aca="false">AC294+AC303</f>
        <v>28073.1016388666</v>
      </c>
      <c r="AD304" s="70" t="n">
        <f aca="false">AD294+AD303</f>
        <v>28073.1016388666</v>
      </c>
      <c r="AE304" s="70" t="n">
        <f aca="false">AE294+AE303</f>
        <v>28073.1016388666</v>
      </c>
      <c r="AF304" s="70" t="n">
        <f aca="false">AF294+AF303</f>
        <v>43629.0115359368</v>
      </c>
      <c r="AG304" s="70" t="n">
        <f aca="false">AG294+AG303</f>
        <v>43629.0115359368</v>
      </c>
      <c r="AH304" s="70" t="n">
        <f aca="false">AH294+AH303</f>
        <v>43629.0115359368</v>
      </c>
      <c r="AI304" s="70" t="n">
        <f aca="false">AI294+AI303</f>
        <v>28073.1016388666</v>
      </c>
      <c r="AJ304" s="70" t="n">
        <f aca="false">AJ294+AJ303</f>
        <v>28073.1016388666</v>
      </c>
      <c r="AK304" s="70" t="n">
        <f aca="false">AK294+AK303</f>
        <v>28073.1016388666</v>
      </c>
      <c r="AL304" s="70" t="n">
        <f aca="false">AL294+AL303</f>
        <v>43629.0115359368</v>
      </c>
    </row>
    <row r="306" customFormat="false" ht="15.75" hidden="false" customHeight="true" outlineLevel="0" collapsed="false">
      <c r="A306" s="7" t="s">
        <v>402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customFormat="false" ht="15" hidden="false" customHeight="false" outlineLevel="0" collapsed="false">
      <c r="A307" s="4" t="s">
        <v>79</v>
      </c>
      <c r="C307" s="75" t="n">
        <f aca="false">C304+C324</f>
        <v>-12332.7457333333</v>
      </c>
      <c r="D307" s="75" t="n">
        <f aca="false">D304+D324</f>
        <v>-8806.89103333333</v>
      </c>
      <c r="E307" s="75" t="n">
        <f aca="false">E304+E324</f>
        <v>-5281.03633333333</v>
      </c>
      <c r="F307" s="75" t="n">
        <f aca="false">F304+F324</f>
        <v>-1755.18163333334</v>
      </c>
      <c r="G307" s="75" t="n">
        <f aca="false">G304+G324</f>
        <v>1770.67306666666</v>
      </c>
      <c r="H307" s="75" t="n">
        <f aca="false">H304+H324</f>
        <v>15864.2251666667</v>
      </c>
      <c r="I307" s="75" t="n">
        <f aca="false">I304+I324</f>
        <v>20202.9796666667</v>
      </c>
      <c r="J307" s="75" t="n">
        <f aca="false">J304+J324</f>
        <v>24541.7341666667</v>
      </c>
      <c r="K307" s="75" t="n">
        <f aca="false">K304+K324</f>
        <v>15874.0918666667</v>
      </c>
      <c r="L307" s="75" t="n">
        <f aca="false">L304+L324</f>
        <v>15874.0918666667</v>
      </c>
      <c r="M307" s="75" t="n">
        <f aca="false">M304+M324</f>
        <v>15874.0918666667</v>
      </c>
      <c r="N307" s="75" t="n">
        <f aca="false">N304+N324</f>
        <v>28880.4886666667</v>
      </c>
      <c r="O307" s="75" t="n">
        <f aca="false">O304+O324</f>
        <v>20645.1283048</v>
      </c>
      <c r="P307" s="75" t="n">
        <f aca="false">P304+P324</f>
        <v>20645.1283048</v>
      </c>
      <c r="Q307" s="75" t="n">
        <f aca="false">Q304+Q324</f>
        <v>20645.1283048</v>
      </c>
      <c r="R307" s="75" t="n">
        <f aca="false">R304+R324</f>
        <v>20645.1283048</v>
      </c>
      <c r="S307" s="75" t="n">
        <f aca="false">S304+S324</f>
        <v>20645.1283048</v>
      </c>
      <c r="T307" s="75" t="n">
        <f aca="false">T304+T324</f>
        <v>34869.4441504</v>
      </c>
      <c r="U307" s="75" t="n">
        <f aca="false">U304+U324</f>
        <v>34869.4441504</v>
      </c>
      <c r="V307" s="75" t="n">
        <f aca="false">V304+V324</f>
        <v>34869.4441504</v>
      </c>
      <c r="W307" s="75" t="n">
        <f aca="false">W304+W324</f>
        <v>20645.1283048</v>
      </c>
      <c r="X307" s="75" t="n">
        <f aca="false">X304+X324</f>
        <v>20645.1283048</v>
      </c>
      <c r="Y307" s="75" t="n">
        <f aca="false">Y304+Y324</f>
        <v>20645.1283048</v>
      </c>
      <c r="Z307" s="75" t="n">
        <f aca="false">Z304+Z324</f>
        <v>34869.4441504</v>
      </c>
      <c r="AA307" s="75" t="n">
        <f aca="false">AA304+AA324</f>
        <v>25896.0183055333</v>
      </c>
      <c r="AB307" s="75" t="n">
        <f aca="false">AB304+AB324</f>
        <v>25896.0183055333</v>
      </c>
      <c r="AC307" s="75" t="n">
        <f aca="false">AC304+AC324</f>
        <v>25896.0183055333</v>
      </c>
      <c r="AD307" s="75" t="n">
        <f aca="false">AD304+AD324</f>
        <v>25896.0183055333</v>
      </c>
      <c r="AE307" s="75" t="n">
        <f aca="false">AE304+AE324</f>
        <v>25896.0183055333</v>
      </c>
      <c r="AF307" s="75" t="n">
        <f aca="false">AF304+AF324</f>
        <v>41451.9282026035</v>
      </c>
      <c r="AG307" s="75" t="n">
        <f aca="false">AG304+AG324</f>
        <v>41451.9282026035</v>
      </c>
      <c r="AH307" s="75" t="n">
        <f aca="false">AH304+AH324</f>
        <v>41451.9282026035</v>
      </c>
      <c r="AI307" s="75" t="n">
        <f aca="false">AI304+AI324</f>
        <v>25896.0183055333</v>
      </c>
      <c r="AJ307" s="75" t="n">
        <f aca="false">AJ304+AJ324</f>
        <v>25896.0183055333</v>
      </c>
      <c r="AK307" s="75" t="n">
        <f aca="false">AK304+AK324</f>
        <v>25896.0183055333</v>
      </c>
      <c r="AL307" s="75" t="n">
        <f aca="false">AL304+AL324</f>
        <v>41451.9282026035</v>
      </c>
    </row>
    <row r="308" customFormat="false" ht="15" hidden="false" customHeight="false" outlineLevel="0" collapsed="false">
      <c r="A308" s="6" t="s">
        <v>403</v>
      </c>
      <c r="C308" s="69" t="n">
        <f aca="false">-(C329+C330+C332)/2*Inputs!$D$73/12</f>
        <v>-750</v>
      </c>
      <c r="D308" s="69" t="n">
        <f aca="false">-(D329+D330+D332)/2*Inputs!$D$73/12</f>
        <v>-743.75</v>
      </c>
      <c r="E308" s="69" t="n">
        <f aca="false">-(E329+E330+E332)/2*Inputs!$D$73/12</f>
        <v>-731.25</v>
      </c>
      <c r="F308" s="69" t="n">
        <f aca="false">-(F329+F330+F332)/2*Inputs!$D$73/12</f>
        <v>-718.75</v>
      </c>
      <c r="G308" s="69" t="n">
        <f aca="false">-(G329+G330+G332)/2*Inputs!$D$73/12</f>
        <v>-706.25</v>
      </c>
      <c r="H308" s="69" t="n">
        <f aca="false">-(H329+H330+H332)/2*Inputs!$D$73/12</f>
        <v>-693.75</v>
      </c>
      <c r="I308" s="69" t="n">
        <f aca="false">-(I329+I330+I332)/2*Inputs!$D$73/12</f>
        <v>-681.25</v>
      </c>
      <c r="J308" s="69" t="n">
        <f aca="false">-(J329+J330+J332)/2*Inputs!$D$73/12</f>
        <v>-668.75</v>
      </c>
      <c r="K308" s="69" t="n">
        <f aca="false">-(K329+K330+K332)/2*Inputs!$D$73/12</f>
        <v>-656.25</v>
      </c>
      <c r="L308" s="69" t="n">
        <f aca="false">-(L329+L330+L332)/2*Inputs!$D$73/12</f>
        <v>-643.75</v>
      </c>
      <c r="M308" s="69" t="n">
        <f aca="false">-(M329+M330+M332)/2*Inputs!$D$73/12</f>
        <v>-631.25</v>
      </c>
      <c r="N308" s="69" t="n">
        <f aca="false">-(N329+N330+N332)/2*Inputs!$D$73/12</f>
        <v>-618.75</v>
      </c>
      <c r="O308" s="69" t="n">
        <f aca="false">-(O329+O330+O332)/2*Inputs!$D$73/12</f>
        <v>-606.25</v>
      </c>
      <c r="P308" s="69" t="n">
        <f aca="false">-(P329+P330+P332)/2*Inputs!$D$73/12</f>
        <v>-593.749999999999</v>
      </c>
      <c r="Q308" s="69" t="n">
        <f aca="false">-(Q329+Q330+Q332)/2*Inputs!$D$73/12</f>
        <v>-581.25</v>
      </c>
      <c r="R308" s="69" t="n">
        <f aca="false">-(R329+R330+R332)/2*Inputs!$D$73/12</f>
        <v>-568.749999999999</v>
      </c>
      <c r="S308" s="69" t="n">
        <f aca="false">-(S329+S330+S332)/2*Inputs!$D$73/12</f>
        <v>-556.249999999999</v>
      </c>
      <c r="T308" s="69" t="n">
        <f aca="false">-(T329+T330+T332)/2*Inputs!$D$73/12</f>
        <v>-543.749999999999</v>
      </c>
      <c r="U308" s="69" t="n">
        <f aca="false">-(U329+U330+U332)/2*Inputs!$D$73/12</f>
        <v>-531.249999999999</v>
      </c>
      <c r="V308" s="69" t="n">
        <f aca="false">-(V329+V330+V332)/2*Inputs!$D$73/12</f>
        <v>-518.749999999999</v>
      </c>
      <c r="W308" s="69" t="n">
        <f aca="false">-(W329+W330+W332)/2*Inputs!$D$73/12</f>
        <v>-506.249999999999</v>
      </c>
      <c r="X308" s="69" t="n">
        <f aca="false">-(X329+X330+X332)/2*Inputs!$D$73/12</f>
        <v>-493.749999999999</v>
      </c>
      <c r="Y308" s="69" t="n">
        <f aca="false">-(Y329+Y330+Y332)/2*Inputs!$D$73/12</f>
        <v>-481.249999999999</v>
      </c>
      <c r="Z308" s="69" t="n">
        <f aca="false">-(Z329+Z330+Z332)/2*Inputs!$D$73/12</f>
        <v>-468.749999999999</v>
      </c>
      <c r="AA308" s="69" t="n">
        <f aca="false">-(AA329+AA330+AA332)/2*Inputs!$D$73/12</f>
        <v>-456.249999999999</v>
      </c>
      <c r="AB308" s="69" t="n">
        <f aca="false">-(AB329+AB330+AB332)/2*Inputs!$D$73/12</f>
        <v>-443.749999999999</v>
      </c>
      <c r="AC308" s="69" t="n">
        <f aca="false">-(AC329+AC330+AC332)/2*Inputs!$D$73/12</f>
        <v>-431.249999999999</v>
      </c>
      <c r="AD308" s="69" t="n">
        <f aca="false">-(AD329+AD330+AD332)/2*Inputs!$D$73/12</f>
        <v>-418.749999999999</v>
      </c>
      <c r="AE308" s="69" t="n">
        <f aca="false">-(AE329+AE330+AE332)/2*Inputs!$D$73/12</f>
        <v>-406.249999999999</v>
      </c>
      <c r="AF308" s="69" t="n">
        <f aca="false">-(AF329+AF330+AF332)/2*Inputs!$D$73/12</f>
        <v>-393.75</v>
      </c>
      <c r="AG308" s="69" t="n">
        <f aca="false">-(AG329+AG330+AG332)/2*Inputs!$D$73/12</f>
        <v>-381.249999999999</v>
      </c>
      <c r="AH308" s="69" t="n">
        <f aca="false">-(AH329+AH330+AH332)/2*Inputs!$D$73/12</f>
        <v>-368.75</v>
      </c>
      <c r="AI308" s="69" t="n">
        <f aca="false">-(AI329+AI330+AI332)/2*Inputs!$D$73/12</f>
        <v>-356.25</v>
      </c>
      <c r="AJ308" s="69" t="n">
        <f aca="false">-(AJ329+AJ330+AJ332)/2*Inputs!$D$73/12</f>
        <v>-343.75</v>
      </c>
      <c r="AK308" s="69" t="n">
        <f aca="false">-(AK329+AK330+AK332)/2*Inputs!$D$73/12</f>
        <v>-331.25</v>
      </c>
      <c r="AL308" s="69" t="n">
        <f aca="false">-(AL329+AL330+AL332)/2*Inputs!$D$73/12</f>
        <v>-318.75</v>
      </c>
    </row>
    <row r="309" customFormat="false" ht="15" hidden="false" customHeight="false" outlineLevel="0" collapsed="false">
      <c r="A309" s="115" t="s">
        <v>81</v>
      </c>
      <c r="C309" s="70" t="n">
        <f aca="false">C307+C308</f>
        <v>-13082.7457333333</v>
      </c>
      <c r="D309" s="70" t="n">
        <f aca="false">D307+D308</f>
        <v>-9550.64103333333</v>
      </c>
      <c r="E309" s="70" t="n">
        <f aca="false">E307+E308</f>
        <v>-6012.28633333333</v>
      </c>
      <c r="F309" s="70" t="n">
        <f aca="false">F307+F308</f>
        <v>-2473.93163333334</v>
      </c>
      <c r="G309" s="70" t="n">
        <f aca="false">G307+G308</f>
        <v>1064.42306666666</v>
      </c>
      <c r="H309" s="70" t="n">
        <f aca="false">H307+H308</f>
        <v>15170.4751666667</v>
      </c>
      <c r="I309" s="70" t="n">
        <f aca="false">I307+I308</f>
        <v>19521.7296666667</v>
      </c>
      <c r="J309" s="70" t="n">
        <f aca="false">J307+J308</f>
        <v>23872.9841666667</v>
      </c>
      <c r="K309" s="70" t="n">
        <f aca="false">K307+K308</f>
        <v>15217.8418666667</v>
      </c>
      <c r="L309" s="70" t="n">
        <f aca="false">L307+L308</f>
        <v>15230.3418666667</v>
      </c>
      <c r="M309" s="70" t="n">
        <f aca="false">M307+M308</f>
        <v>15242.8418666667</v>
      </c>
      <c r="N309" s="70" t="n">
        <f aca="false">N307+N308</f>
        <v>28261.7386666667</v>
      </c>
      <c r="O309" s="70" t="n">
        <f aca="false">O307+O308</f>
        <v>20038.8783048</v>
      </c>
      <c r="P309" s="70" t="n">
        <f aca="false">P307+P308</f>
        <v>20051.3783048</v>
      </c>
      <c r="Q309" s="70" t="n">
        <f aca="false">Q307+Q308</f>
        <v>20063.8783048</v>
      </c>
      <c r="R309" s="70" t="n">
        <f aca="false">R307+R308</f>
        <v>20076.3783048</v>
      </c>
      <c r="S309" s="70" t="n">
        <f aca="false">S307+S308</f>
        <v>20088.8783048</v>
      </c>
      <c r="T309" s="70" t="n">
        <f aca="false">T307+T308</f>
        <v>34325.6941504</v>
      </c>
      <c r="U309" s="70" t="n">
        <f aca="false">U307+U308</f>
        <v>34338.1941504</v>
      </c>
      <c r="V309" s="70" t="n">
        <f aca="false">V307+V308</f>
        <v>34350.6941504</v>
      </c>
      <c r="W309" s="70" t="n">
        <f aca="false">W307+W308</f>
        <v>20138.8783048</v>
      </c>
      <c r="X309" s="70" t="n">
        <f aca="false">X307+X308</f>
        <v>20151.3783048</v>
      </c>
      <c r="Y309" s="70" t="n">
        <f aca="false">Y307+Y308</f>
        <v>20163.8783048</v>
      </c>
      <c r="Z309" s="70" t="n">
        <f aca="false">Z307+Z308</f>
        <v>34400.6941504</v>
      </c>
      <c r="AA309" s="70" t="n">
        <f aca="false">AA307+AA308</f>
        <v>25439.7683055333</v>
      </c>
      <c r="AB309" s="70" t="n">
        <f aca="false">AB307+AB308</f>
        <v>25452.2683055333</v>
      </c>
      <c r="AC309" s="70" t="n">
        <f aca="false">AC307+AC308</f>
        <v>25464.7683055333</v>
      </c>
      <c r="AD309" s="70" t="n">
        <f aca="false">AD307+AD308</f>
        <v>25477.2683055333</v>
      </c>
      <c r="AE309" s="70" t="n">
        <f aca="false">AE307+AE308</f>
        <v>25489.7683055333</v>
      </c>
      <c r="AF309" s="70" t="n">
        <f aca="false">AF307+AF308</f>
        <v>41058.1782026035</v>
      </c>
      <c r="AG309" s="70" t="n">
        <f aca="false">AG307+AG308</f>
        <v>41070.6782026035</v>
      </c>
      <c r="AH309" s="70" t="n">
        <f aca="false">AH307+AH308</f>
        <v>41083.1782026035</v>
      </c>
      <c r="AI309" s="70" t="n">
        <f aca="false">AI307+AI308</f>
        <v>25539.7683055333</v>
      </c>
      <c r="AJ309" s="70" t="n">
        <f aca="false">AJ307+AJ308</f>
        <v>25552.2683055333</v>
      </c>
      <c r="AK309" s="70" t="n">
        <f aca="false">AK307+AK308</f>
        <v>25564.7683055333</v>
      </c>
      <c r="AL309" s="70" t="n">
        <f aca="false">AL307+AL308</f>
        <v>41133.1782026035</v>
      </c>
    </row>
    <row r="310" customFormat="false" ht="15" hidden="false" customHeight="false" outlineLevel="0" collapsed="false">
      <c r="A310" s="118" t="s">
        <v>404</v>
      </c>
      <c r="C310" s="69" t="n">
        <f aca="false">C309</f>
        <v>-13082.7457333333</v>
      </c>
      <c r="D310" s="69" t="n">
        <f aca="false">C310+D309</f>
        <v>-22633.3867666667</v>
      </c>
      <c r="E310" s="69" t="n">
        <f aca="false">D310+E309</f>
        <v>-28645.6731</v>
      </c>
      <c r="F310" s="69" t="n">
        <f aca="false">E310+F309</f>
        <v>-31119.6047333333</v>
      </c>
      <c r="G310" s="69" t="n">
        <f aca="false">F310+G309</f>
        <v>-30055.1816666667</v>
      </c>
      <c r="H310" s="69" t="n">
        <f aca="false">G310+H309</f>
        <v>-14884.7065</v>
      </c>
      <c r="I310" s="69" t="n">
        <f aca="false">H310+I309</f>
        <v>4637.02316666666</v>
      </c>
      <c r="J310" s="69" t="n">
        <f aca="false">I310+J309</f>
        <v>28510.0073333333</v>
      </c>
      <c r="K310" s="69" t="n">
        <f aca="false">J310+K309</f>
        <v>43727.8492</v>
      </c>
      <c r="L310" s="69" t="n">
        <f aca="false">K310+L309</f>
        <v>58958.1910666667</v>
      </c>
      <c r="M310" s="69" t="n">
        <f aca="false">L310+M309</f>
        <v>74201.0329333333</v>
      </c>
      <c r="N310" s="69" t="n">
        <f aca="false">M310+N309</f>
        <v>102462.7716</v>
      </c>
      <c r="O310" s="69" t="n">
        <f aca="false">N310+O309</f>
        <v>122501.6499048</v>
      </c>
      <c r="P310" s="69" t="n">
        <f aca="false">O310+P309</f>
        <v>142553.0282096</v>
      </c>
      <c r="Q310" s="69" t="n">
        <f aca="false">P310+Q309</f>
        <v>162616.9065144</v>
      </c>
      <c r="R310" s="69" t="n">
        <f aca="false">Q310+R309</f>
        <v>182693.2848192</v>
      </c>
      <c r="S310" s="69" t="n">
        <f aca="false">R310+S309</f>
        <v>202782.163124</v>
      </c>
      <c r="T310" s="69" t="n">
        <f aca="false">S310+T309</f>
        <v>237107.8572744</v>
      </c>
      <c r="U310" s="69" t="n">
        <f aca="false">T310+U309</f>
        <v>271446.0514248</v>
      </c>
      <c r="V310" s="69" t="n">
        <f aca="false">U310+V309</f>
        <v>305796.7455752</v>
      </c>
      <c r="W310" s="69" t="n">
        <f aca="false">V310+W309</f>
        <v>325935.62388</v>
      </c>
      <c r="X310" s="69" t="n">
        <f aca="false">W310+X309</f>
        <v>346087.0021848</v>
      </c>
      <c r="Y310" s="69" t="n">
        <f aca="false">X310+Y309</f>
        <v>366250.8804896</v>
      </c>
      <c r="Z310" s="69" t="n">
        <f aca="false">Y310+Z309</f>
        <v>400651.57464</v>
      </c>
      <c r="AA310" s="69" t="n">
        <f aca="false">Z310+AA309</f>
        <v>426091.342945533</v>
      </c>
      <c r="AB310" s="69" t="n">
        <f aca="false">AA310+AB309</f>
        <v>451543.611251066</v>
      </c>
      <c r="AC310" s="69" t="n">
        <f aca="false">AB310+AC309</f>
        <v>477008.3795566</v>
      </c>
      <c r="AD310" s="69" t="n">
        <f aca="false">AC310+AD309</f>
        <v>502485.647862133</v>
      </c>
      <c r="AE310" s="69" t="n">
        <f aca="false">AD310+AE309</f>
        <v>527975.416167666</v>
      </c>
      <c r="AF310" s="69" t="n">
        <f aca="false">AE310+AF309</f>
        <v>569033.59437027</v>
      </c>
      <c r="AG310" s="69" t="n">
        <f aca="false">AF310+AG309</f>
        <v>610104.272572873</v>
      </c>
      <c r="AH310" s="69" t="n">
        <f aca="false">AG310+AH309</f>
        <v>651187.450775477</v>
      </c>
      <c r="AI310" s="69" t="n">
        <f aca="false">AH310+AI309</f>
        <v>676727.21908101</v>
      </c>
      <c r="AJ310" s="69" t="n">
        <f aca="false">AI310+AJ309</f>
        <v>702279.487386543</v>
      </c>
      <c r="AK310" s="69" t="n">
        <f aca="false">AJ310+AK309</f>
        <v>727844.255692077</v>
      </c>
      <c r="AL310" s="69" t="n">
        <f aca="false">AK310+AL309</f>
        <v>768977.43389468</v>
      </c>
    </row>
    <row r="311" customFormat="false" ht="15" hidden="false" customHeight="false" outlineLevel="0" collapsed="false">
      <c r="A311" s="118" t="s">
        <v>405</v>
      </c>
      <c r="C311" s="69" t="n">
        <f aca="false">MAX(0,C310)</f>
        <v>0</v>
      </c>
      <c r="D311" s="69" t="n">
        <f aca="false">MAX(C311,D310)</f>
        <v>0</v>
      </c>
      <c r="E311" s="69" t="n">
        <f aca="false">MAX(D311,E310)</f>
        <v>0</v>
      </c>
      <c r="F311" s="69" t="n">
        <f aca="false">MAX(E311,F310)</f>
        <v>0</v>
      </c>
      <c r="G311" s="69" t="n">
        <f aca="false">MAX(F311,G310)</f>
        <v>0</v>
      </c>
      <c r="H311" s="69" t="n">
        <f aca="false">MAX(G311,H310)</f>
        <v>0</v>
      </c>
      <c r="I311" s="69" t="n">
        <f aca="false">MAX(H311,I310)</f>
        <v>4637.02316666666</v>
      </c>
      <c r="J311" s="69" t="n">
        <f aca="false">MAX(I311,J310)</f>
        <v>28510.0073333333</v>
      </c>
      <c r="K311" s="69" t="n">
        <f aca="false">MAX(J311,K310)</f>
        <v>43727.8492</v>
      </c>
      <c r="L311" s="69" t="n">
        <f aca="false">MAX(K311,L310)</f>
        <v>58958.1910666667</v>
      </c>
      <c r="M311" s="69" t="n">
        <f aca="false">MAX(L311,M310)</f>
        <v>74201.0329333333</v>
      </c>
      <c r="N311" s="69" t="n">
        <f aca="false">MAX(M311,N310)</f>
        <v>102462.7716</v>
      </c>
      <c r="O311" s="69" t="n">
        <f aca="false">MAX(N311,O310)</f>
        <v>122501.6499048</v>
      </c>
      <c r="P311" s="69" t="n">
        <f aca="false">MAX(O311,P310)</f>
        <v>142553.0282096</v>
      </c>
      <c r="Q311" s="69" t="n">
        <f aca="false">MAX(P311,Q310)</f>
        <v>162616.9065144</v>
      </c>
      <c r="R311" s="69" t="n">
        <f aca="false">MAX(Q311,R310)</f>
        <v>182693.2848192</v>
      </c>
      <c r="S311" s="69" t="n">
        <f aca="false">MAX(R311,S310)</f>
        <v>202782.163124</v>
      </c>
      <c r="T311" s="69" t="n">
        <f aca="false">MAX(S311,T310)</f>
        <v>237107.8572744</v>
      </c>
      <c r="U311" s="69" t="n">
        <f aca="false">MAX(T311,U310)</f>
        <v>271446.0514248</v>
      </c>
      <c r="V311" s="69" t="n">
        <f aca="false">MAX(U311,V310)</f>
        <v>305796.7455752</v>
      </c>
      <c r="W311" s="69" t="n">
        <f aca="false">MAX(V311,W310)</f>
        <v>325935.62388</v>
      </c>
      <c r="X311" s="69" t="n">
        <f aca="false">MAX(W311,X310)</f>
        <v>346087.0021848</v>
      </c>
      <c r="Y311" s="69" t="n">
        <f aca="false">MAX(X311,Y310)</f>
        <v>366250.8804896</v>
      </c>
      <c r="Z311" s="69" t="n">
        <f aca="false">MAX(Y311,Z310)</f>
        <v>400651.57464</v>
      </c>
      <c r="AA311" s="69" t="n">
        <f aca="false">MAX(Z311,AA310)</f>
        <v>426091.342945533</v>
      </c>
      <c r="AB311" s="69" t="n">
        <f aca="false">MAX(AA311,AB310)</f>
        <v>451543.611251066</v>
      </c>
      <c r="AC311" s="69" t="n">
        <f aca="false">MAX(AB311,AC310)</f>
        <v>477008.3795566</v>
      </c>
      <c r="AD311" s="69" t="n">
        <f aca="false">MAX(AC311,AD310)</f>
        <v>502485.647862133</v>
      </c>
      <c r="AE311" s="69" t="n">
        <f aca="false">MAX(AD311,AE310)</f>
        <v>527975.416167666</v>
      </c>
      <c r="AF311" s="69" t="n">
        <f aca="false">MAX(AE311,AF310)</f>
        <v>569033.59437027</v>
      </c>
      <c r="AG311" s="69" t="n">
        <f aca="false">MAX(AF311,AG310)</f>
        <v>610104.272572873</v>
      </c>
      <c r="AH311" s="69" t="n">
        <f aca="false">MAX(AG311,AH310)</f>
        <v>651187.450775477</v>
      </c>
      <c r="AI311" s="69" t="n">
        <f aca="false">MAX(AH311,AI310)</f>
        <v>676727.21908101</v>
      </c>
      <c r="AJ311" s="69" t="n">
        <f aca="false">MAX(AI311,AJ310)</f>
        <v>702279.487386543</v>
      </c>
      <c r="AK311" s="69" t="n">
        <f aca="false">MAX(AJ311,AK310)</f>
        <v>727844.255692077</v>
      </c>
      <c r="AL311" s="69" t="n">
        <f aca="false">MAX(AK311,AL310)</f>
        <v>768977.43389468</v>
      </c>
    </row>
    <row r="312" customFormat="false" ht="15" hidden="false" customHeight="false" outlineLevel="0" collapsed="false">
      <c r="A312" s="6" t="s">
        <v>82</v>
      </c>
      <c r="C312" s="69" t="n">
        <f aca="false">-C311*Inputs!$D$83</f>
        <v>-0</v>
      </c>
      <c r="D312" s="69" t="n">
        <f aca="false">-(D311-C311)*Inputs!$D$83</f>
        <v>-0</v>
      </c>
      <c r="E312" s="69" t="n">
        <f aca="false">-(E311-D311)*Inputs!$D$83</f>
        <v>-0</v>
      </c>
      <c r="F312" s="69" t="n">
        <f aca="false">-(F311-E311)*Inputs!$D$83</f>
        <v>-0</v>
      </c>
      <c r="G312" s="69" t="n">
        <f aca="false">-(G311-F311)*Inputs!$D$83</f>
        <v>-0</v>
      </c>
      <c r="H312" s="69" t="n">
        <f aca="false">-(H311-G311)*Inputs!$D$83</f>
        <v>-0</v>
      </c>
      <c r="I312" s="69" t="n">
        <f aca="false">-(I311-H311)*Inputs!$D$83</f>
        <v>-973.774864999998</v>
      </c>
      <c r="J312" s="69" t="n">
        <f aca="false">-(J311-I311)*Inputs!$D$83</f>
        <v>-5013.326675</v>
      </c>
      <c r="K312" s="69" t="n">
        <f aca="false">-(K311-J311)*Inputs!$D$83</f>
        <v>-3195.746792</v>
      </c>
      <c r="L312" s="69" t="n">
        <f aca="false">-(L311-K311)*Inputs!$D$83</f>
        <v>-3198.371792</v>
      </c>
      <c r="M312" s="69" t="n">
        <f aca="false">-(M311-L311)*Inputs!$D$83</f>
        <v>-3200.996792</v>
      </c>
      <c r="N312" s="69" t="n">
        <f aca="false">-(N311-M311)*Inputs!$D$83</f>
        <v>-5934.96512</v>
      </c>
      <c r="O312" s="69" t="n">
        <f aca="false">-(O311-N311)*Inputs!$D$83</f>
        <v>-4208.164444008</v>
      </c>
      <c r="P312" s="69" t="n">
        <f aca="false">-(P311-O311)*Inputs!$D$83</f>
        <v>-4210.78944400799</v>
      </c>
      <c r="Q312" s="69" t="n">
        <f aca="false">-(Q311-P311)*Inputs!$D$83</f>
        <v>-4213.414444008</v>
      </c>
      <c r="R312" s="69" t="n">
        <f aca="false">-(R311-Q311)*Inputs!$D$83</f>
        <v>-4216.039444008</v>
      </c>
      <c r="S312" s="69" t="n">
        <f aca="false">-(S311-R311)*Inputs!$D$83</f>
        <v>-4218.664444008</v>
      </c>
      <c r="T312" s="69" t="n">
        <f aca="false">-(T311-S311)*Inputs!$D$83</f>
        <v>-7208.395771584</v>
      </c>
      <c r="U312" s="69" t="n">
        <f aca="false">-(U311-T311)*Inputs!$D$83</f>
        <v>-7211.02077158401</v>
      </c>
      <c r="V312" s="69" t="n">
        <f aca="false">-(V311-U311)*Inputs!$D$83</f>
        <v>-7213.645771584</v>
      </c>
      <c r="W312" s="69" t="n">
        <f aca="false">-(W311-V311)*Inputs!$D$83</f>
        <v>-4229.16444400799</v>
      </c>
      <c r="X312" s="69" t="n">
        <f aca="false">-(X311-W311)*Inputs!$D$83</f>
        <v>-4231.78944400799</v>
      </c>
      <c r="Y312" s="69" t="n">
        <f aca="false">-(Y311-X311)*Inputs!$D$83</f>
        <v>-4234.41444400799</v>
      </c>
      <c r="Z312" s="69" t="n">
        <f aca="false">-(Z311-Y311)*Inputs!$D$83</f>
        <v>-7224.145771584</v>
      </c>
      <c r="AA312" s="69" t="n">
        <f aca="false">-(AA311-Z311)*Inputs!$D$83</f>
        <v>-5342.35134416199</v>
      </c>
      <c r="AB312" s="69" t="n">
        <f aca="false">-(AB311-AA311)*Inputs!$D$83</f>
        <v>-5344.97634416199</v>
      </c>
      <c r="AC312" s="69" t="n">
        <f aca="false">-(AC311-AB311)*Inputs!$D$83</f>
        <v>-5347.60134416199</v>
      </c>
      <c r="AD312" s="69" t="n">
        <f aca="false">-(AD311-AC311)*Inputs!$D$83</f>
        <v>-5350.22634416199</v>
      </c>
      <c r="AE312" s="69" t="n">
        <f aca="false">-(AE311-AD311)*Inputs!$D$83</f>
        <v>-5352.85134416199</v>
      </c>
      <c r="AF312" s="69" t="n">
        <f aca="false">-(AF311-AE311)*Inputs!$D$83</f>
        <v>-8622.21742254673</v>
      </c>
      <c r="AG312" s="69" t="n">
        <f aca="false">-(AG311-AF311)*Inputs!$D$83</f>
        <v>-8624.84242254673</v>
      </c>
      <c r="AH312" s="69" t="n">
        <f aca="false">-(AH311-AG311)*Inputs!$D$83</f>
        <v>-8627.46742254673</v>
      </c>
      <c r="AI312" s="69" t="n">
        <f aca="false">-(AI311-AH311)*Inputs!$D$83</f>
        <v>-5363.351344162</v>
      </c>
      <c r="AJ312" s="69" t="n">
        <f aca="false">-(AJ311-AI311)*Inputs!$D$83</f>
        <v>-5365.976344162</v>
      </c>
      <c r="AK312" s="69" t="n">
        <f aca="false">-(AK311-AJ311)*Inputs!$D$83</f>
        <v>-5368.601344162</v>
      </c>
      <c r="AL312" s="69" t="n">
        <f aca="false">-(AL311-AK311)*Inputs!$D$83</f>
        <v>-8637.96742254673</v>
      </c>
    </row>
    <row r="313" customFormat="false" ht="15" hidden="false" customHeight="false" outlineLevel="0" collapsed="false">
      <c r="A313" s="115" t="s">
        <v>50</v>
      </c>
      <c r="C313" s="70" t="n">
        <f aca="false">C309+C312</f>
        <v>-13082.7457333333</v>
      </c>
      <c r="D313" s="70" t="n">
        <f aca="false">D309+D312</f>
        <v>-9550.64103333333</v>
      </c>
      <c r="E313" s="70" t="n">
        <f aca="false">E309+E312</f>
        <v>-6012.28633333333</v>
      </c>
      <c r="F313" s="70" t="n">
        <f aca="false">F309+F312</f>
        <v>-2473.93163333334</v>
      </c>
      <c r="G313" s="70" t="n">
        <f aca="false">G309+G312</f>
        <v>1064.42306666666</v>
      </c>
      <c r="H313" s="70" t="n">
        <f aca="false">H309+H312</f>
        <v>15170.4751666667</v>
      </c>
      <c r="I313" s="70" t="n">
        <f aca="false">I309+I312</f>
        <v>18547.9548016667</v>
      </c>
      <c r="J313" s="70" t="n">
        <f aca="false">J309+J312</f>
        <v>18859.6574916667</v>
      </c>
      <c r="K313" s="70" t="n">
        <f aca="false">K309+K312</f>
        <v>12022.0950746667</v>
      </c>
      <c r="L313" s="70" t="n">
        <f aca="false">L309+L312</f>
        <v>12031.9700746667</v>
      </c>
      <c r="M313" s="70" t="n">
        <f aca="false">M309+M312</f>
        <v>12041.8450746667</v>
      </c>
      <c r="N313" s="70" t="n">
        <f aca="false">N309+N312</f>
        <v>22326.7735466667</v>
      </c>
      <c r="O313" s="70" t="n">
        <f aca="false">O309+O312</f>
        <v>15830.713860792</v>
      </c>
      <c r="P313" s="70" t="n">
        <f aca="false">P309+P312</f>
        <v>15840.588860792</v>
      </c>
      <c r="Q313" s="70" t="n">
        <f aca="false">Q309+Q312</f>
        <v>15850.463860792</v>
      </c>
      <c r="R313" s="70" t="n">
        <f aca="false">R309+R312</f>
        <v>15860.338860792</v>
      </c>
      <c r="S313" s="70" t="n">
        <f aca="false">S309+S312</f>
        <v>15870.213860792</v>
      </c>
      <c r="T313" s="70" t="n">
        <f aca="false">T309+T312</f>
        <v>27117.298378816</v>
      </c>
      <c r="U313" s="70" t="n">
        <f aca="false">U309+U312</f>
        <v>27127.173378816</v>
      </c>
      <c r="V313" s="70" t="n">
        <f aca="false">V309+V312</f>
        <v>27137.048378816</v>
      </c>
      <c r="W313" s="70" t="n">
        <f aca="false">W309+W312</f>
        <v>15909.713860792</v>
      </c>
      <c r="X313" s="70" t="n">
        <f aca="false">X309+X312</f>
        <v>15919.588860792</v>
      </c>
      <c r="Y313" s="70" t="n">
        <f aca="false">Y309+Y312</f>
        <v>15929.463860792</v>
      </c>
      <c r="Z313" s="70" t="n">
        <f aca="false">Z309+Z312</f>
        <v>27176.548378816</v>
      </c>
      <c r="AA313" s="70" t="n">
        <f aca="false">AA309+AA312</f>
        <v>20097.4169613713</v>
      </c>
      <c r="AB313" s="70" t="n">
        <f aca="false">AB309+AB312</f>
        <v>20107.2919613713</v>
      </c>
      <c r="AC313" s="70" t="n">
        <f aca="false">AC309+AC312</f>
        <v>20117.1669613713</v>
      </c>
      <c r="AD313" s="70" t="n">
        <f aca="false">AD309+AD312</f>
        <v>20127.0419613713</v>
      </c>
      <c r="AE313" s="70" t="n">
        <f aca="false">AE309+AE312</f>
        <v>20136.9169613713</v>
      </c>
      <c r="AF313" s="70" t="n">
        <f aca="false">AF309+AF312</f>
        <v>32435.9607800568</v>
      </c>
      <c r="AG313" s="70" t="n">
        <f aca="false">AG309+AG312</f>
        <v>32445.8357800568</v>
      </c>
      <c r="AH313" s="70" t="n">
        <f aca="false">AH309+AH312</f>
        <v>32455.7107800568</v>
      </c>
      <c r="AI313" s="70" t="n">
        <f aca="false">AI309+AI312</f>
        <v>20176.4169613713</v>
      </c>
      <c r="AJ313" s="70" t="n">
        <f aca="false">AJ309+AJ312</f>
        <v>20186.2919613713</v>
      </c>
      <c r="AK313" s="70" t="n">
        <f aca="false">AK309+AK312</f>
        <v>20196.1669613713</v>
      </c>
      <c r="AL313" s="70" t="n">
        <f aca="false">AL309+AL312</f>
        <v>32495.2107800568</v>
      </c>
    </row>
    <row r="315" customFormat="false" ht="15.75" hidden="false" customHeight="true" outlineLevel="0" collapsed="false">
      <c r="A315" s="7" t="s">
        <v>406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customFormat="false" ht="15" hidden="false" customHeight="false" outlineLevel="0" collapsed="false">
      <c r="A316" s="6" t="s">
        <v>407</v>
      </c>
      <c r="C316" s="69" t="n">
        <f aca="false">IF(C$258=1,Inputs!$D$14*Inputs!$D$48,0)</f>
        <v>24000</v>
      </c>
      <c r="D316" s="69" t="n">
        <f aca="false">IF(D$258=1,Inputs!$D$14*Inputs!$D$48,0)</f>
        <v>0</v>
      </c>
      <c r="E316" s="69" t="n">
        <f aca="false">IF(E$258=1,Inputs!$D$14*Inputs!$D$48,0)</f>
        <v>0</v>
      </c>
      <c r="F316" s="69" t="n">
        <f aca="false">IF(F$258=1,Inputs!$D$14*Inputs!$D$48,0)</f>
        <v>0</v>
      </c>
      <c r="G316" s="69" t="n">
        <f aca="false">IF(G$258=1,Inputs!$D$14*Inputs!$D$48,0)</f>
        <v>0</v>
      </c>
      <c r="H316" s="69" t="n">
        <f aca="false">IF(H$258=1,Inputs!$D$14*Inputs!$D$48,0)</f>
        <v>0</v>
      </c>
      <c r="I316" s="69" t="n">
        <f aca="false">IF(I$258=1,Inputs!$D$14*Inputs!$D$48,0)</f>
        <v>0</v>
      </c>
      <c r="J316" s="69" t="n">
        <f aca="false">IF(J$258=1,Inputs!$D$14*Inputs!$D$48,0)</f>
        <v>0</v>
      </c>
      <c r="K316" s="69" t="n">
        <f aca="false">IF(K$258=1,Inputs!$D$14*Inputs!$D$48,0)</f>
        <v>0</v>
      </c>
      <c r="L316" s="69" t="n">
        <f aca="false">IF(L$258=1,Inputs!$D$14*Inputs!$D$48,0)</f>
        <v>0</v>
      </c>
      <c r="M316" s="69" t="n">
        <f aca="false">IF(M$258=1,Inputs!$D$14*Inputs!$D$48,0)</f>
        <v>0</v>
      </c>
      <c r="N316" s="69" t="n">
        <f aca="false">IF(N$258=1,Inputs!$D$14*Inputs!$D$48,0)</f>
        <v>0</v>
      </c>
      <c r="O316" s="69" t="n">
        <f aca="false">IF(O$258=1,Inputs!$D$14*Inputs!$D$48,0)</f>
        <v>0</v>
      </c>
      <c r="P316" s="69" t="n">
        <f aca="false">IF(P$258=1,Inputs!$D$14*Inputs!$D$48,0)</f>
        <v>0</v>
      </c>
      <c r="Q316" s="69" t="n">
        <f aca="false">IF(Q$258=1,Inputs!$D$14*Inputs!$D$48,0)</f>
        <v>0</v>
      </c>
      <c r="R316" s="69" t="n">
        <f aca="false">IF(R$258=1,Inputs!$D$14*Inputs!$D$48,0)</f>
        <v>0</v>
      </c>
      <c r="S316" s="69" t="n">
        <f aca="false">IF(S$258=1,Inputs!$D$14*Inputs!$D$48,0)</f>
        <v>0</v>
      </c>
      <c r="T316" s="69" t="n">
        <f aca="false">IF(T$258=1,Inputs!$D$14*Inputs!$D$48,0)</f>
        <v>0</v>
      </c>
      <c r="U316" s="69" t="n">
        <f aca="false">IF(U$258=1,Inputs!$D$14*Inputs!$D$48,0)</f>
        <v>0</v>
      </c>
      <c r="V316" s="69" t="n">
        <f aca="false">IF(V$258=1,Inputs!$D$14*Inputs!$D$48,0)</f>
        <v>0</v>
      </c>
      <c r="W316" s="69" t="n">
        <f aca="false">IF(W$258=1,Inputs!$D$14*Inputs!$D$48,0)</f>
        <v>0</v>
      </c>
      <c r="X316" s="69" t="n">
        <f aca="false">IF(X$258=1,Inputs!$D$14*Inputs!$D$48,0)</f>
        <v>0</v>
      </c>
      <c r="Y316" s="69" t="n">
        <f aca="false">IF(Y$258=1,Inputs!$D$14*Inputs!$D$48,0)</f>
        <v>0</v>
      </c>
      <c r="Z316" s="69" t="n">
        <f aca="false">IF(Z$258=1,Inputs!$D$14*Inputs!$D$48,0)</f>
        <v>0</v>
      </c>
      <c r="AA316" s="69" t="n">
        <f aca="false">IF(AA$258=1,Inputs!$D$14*Inputs!$D$48,0)</f>
        <v>0</v>
      </c>
      <c r="AB316" s="69" t="n">
        <f aca="false">IF(AB$258=1,Inputs!$D$14*Inputs!$D$48,0)</f>
        <v>0</v>
      </c>
      <c r="AC316" s="69" t="n">
        <f aca="false">IF(AC$258=1,Inputs!$D$14*Inputs!$D$48,0)</f>
        <v>0</v>
      </c>
      <c r="AD316" s="69" t="n">
        <f aca="false">IF(AD$258=1,Inputs!$D$14*Inputs!$D$48,0)</f>
        <v>0</v>
      </c>
      <c r="AE316" s="69" t="n">
        <f aca="false">IF(AE$258=1,Inputs!$D$14*Inputs!$D$48,0)</f>
        <v>0</v>
      </c>
      <c r="AF316" s="69" t="n">
        <f aca="false">IF(AF$258=1,Inputs!$D$14*Inputs!$D$48,0)</f>
        <v>0</v>
      </c>
      <c r="AG316" s="69" t="n">
        <f aca="false">IF(AG$258=1,Inputs!$D$14*Inputs!$D$48,0)</f>
        <v>0</v>
      </c>
      <c r="AH316" s="69" t="n">
        <f aca="false">IF(AH$258=1,Inputs!$D$14*Inputs!$D$48,0)</f>
        <v>0</v>
      </c>
      <c r="AI316" s="69" t="n">
        <f aca="false">IF(AI$258=1,Inputs!$D$14*Inputs!$D$48,0)</f>
        <v>0</v>
      </c>
      <c r="AJ316" s="69" t="n">
        <f aca="false">IF(AJ$258=1,Inputs!$D$14*Inputs!$D$48,0)</f>
        <v>0</v>
      </c>
      <c r="AK316" s="69" t="n">
        <f aca="false">IF(AK$258=1,Inputs!$D$14*Inputs!$D$48,0)</f>
        <v>0</v>
      </c>
      <c r="AL316" s="69" t="n">
        <f aca="false">IF(AL$258=1,Inputs!$D$14*Inputs!$D$48,0)</f>
        <v>0</v>
      </c>
    </row>
    <row r="317" customFormat="false" ht="15" hidden="false" customHeight="false" outlineLevel="0" collapsed="false">
      <c r="A317" s="6" t="s">
        <v>408</v>
      </c>
      <c r="C317" s="69" t="n">
        <f aca="false">IF(C$258=1,Inputs!$D$25*Inputs!$D$49,0)</f>
        <v>75000</v>
      </c>
      <c r="D317" s="69" t="n">
        <f aca="false">IF(D$258=1,Inputs!$D$25*Inputs!$D$49,0)</f>
        <v>0</v>
      </c>
      <c r="E317" s="69" t="n">
        <f aca="false">IF(E$258=1,Inputs!$D$25*Inputs!$D$49,0)</f>
        <v>0</v>
      </c>
      <c r="F317" s="69" t="n">
        <f aca="false">IF(F$258=1,Inputs!$D$25*Inputs!$D$49,0)</f>
        <v>0</v>
      </c>
      <c r="G317" s="69" t="n">
        <f aca="false">IF(G$258=1,Inputs!$D$25*Inputs!$D$49,0)</f>
        <v>0</v>
      </c>
      <c r="H317" s="69" t="n">
        <f aca="false">IF(H$258=1,Inputs!$D$25*Inputs!$D$49,0)</f>
        <v>0</v>
      </c>
      <c r="I317" s="69" t="n">
        <f aca="false">IF(I$258=1,Inputs!$D$25*Inputs!$D$49,0)</f>
        <v>0</v>
      </c>
      <c r="J317" s="69" t="n">
        <f aca="false">IF(J$258=1,Inputs!$D$25*Inputs!$D$49,0)</f>
        <v>0</v>
      </c>
      <c r="K317" s="69" t="n">
        <f aca="false">IF(K$258=1,Inputs!$D$25*Inputs!$D$49,0)</f>
        <v>0</v>
      </c>
      <c r="L317" s="69" t="n">
        <f aca="false">IF(L$258=1,Inputs!$D$25*Inputs!$D$49,0)</f>
        <v>0</v>
      </c>
      <c r="M317" s="69" t="n">
        <f aca="false">IF(M$258=1,Inputs!$D$25*Inputs!$D$49,0)</f>
        <v>0</v>
      </c>
      <c r="N317" s="69" t="n">
        <f aca="false">IF(N$258=1,Inputs!$D$25*Inputs!$D$49,0)</f>
        <v>0</v>
      </c>
      <c r="O317" s="69" t="n">
        <f aca="false">IF(O$258=1,Inputs!$D$25*Inputs!$D$49,0)</f>
        <v>0</v>
      </c>
      <c r="P317" s="69" t="n">
        <f aca="false">IF(P$258=1,Inputs!$D$25*Inputs!$D$49,0)</f>
        <v>0</v>
      </c>
      <c r="Q317" s="69" t="n">
        <f aca="false">IF(Q$258=1,Inputs!$D$25*Inputs!$D$49,0)</f>
        <v>0</v>
      </c>
      <c r="R317" s="69" t="n">
        <f aca="false">IF(R$258=1,Inputs!$D$25*Inputs!$D$49,0)</f>
        <v>0</v>
      </c>
      <c r="S317" s="69" t="n">
        <f aca="false">IF(S$258=1,Inputs!$D$25*Inputs!$D$49,0)</f>
        <v>0</v>
      </c>
      <c r="T317" s="69" t="n">
        <f aca="false">IF(T$258=1,Inputs!$D$25*Inputs!$D$49,0)</f>
        <v>0</v>
      </c>
      <c r="U317" s="69" t="n">
        <f aca="false">IF(U$258=1,Inputs!$D$25*Inputs!$D$49,0)</f>
        <v>0</v>
      </c>
      <c r="V317" s="69" t="n">
        <f aca="false">IF(V$258=1,Inputs!$D$25*Inputs!$D$49,0)</f>
        <v>0</v>
      </c>
      <c r="W317" s="69" t="n">
        <f aca="false">IF(W$258=1,Inputs!$D$25*Inputs!$D$49,0)</f>
        <v>0</v>
      </c>
      <c r="X317" s="69" t="n">
        <f aca="false">IF(X$258=1,Inputs!$D$25*Inputs!$D$49,0)</f>
        <v>0</v>
      </c>
      <c r="Y317" s="69" t="n">
        <f aca="false">IF(Y$258=1,Inputs!$D$25*Inputs!$D$49,0)</f>
        <v>0</v>
      </c>
      <c r="Z317" s="69" t="n">
        <f aca="false">IF(Z$258=1,Inputs!$D$25*Inputs!$D$49,0)</f>
        <v>0</v>
      </c>
      <c r="AA317" s="69" t="n">
        <f aca="false">IF(AA$258=1,Inputs!$D$25*Inputs!$D$49,0)</f>
        <v>0</v>
      </c>
      <c r="AB317" s="69" t="n">
        <f aca="false">IF(AB$258=1,Inputs!$D$25*Inputs!$D$49,0)</f>
        <v>0</v>
      </c>
      <c r="AC317" s="69" t="n">
        <f aca="false">IF(AC$258=1,Inputs!$D$25*Inputs!$D$49,0)</f>
        <v>0</v>
      </c>
      <c r="AD317" s="69" t="n">
        <f aca="false">IF(AD$258=1,Inputs!$D$25*Inputs!$D$49,0)</f>
        <v>0</v>
      </c>
      <c r="AE317" s="69" t="n">
        <f aca="false">IF(AE$258=1,Inputs!$D$25*Inputs!$D$49,0)</f>
        <v>0</v>
      </c>
      <c r="AF317" s="69" t="n">
        <f aca="false">IF(AF$258=1,Inputs!$D$25*Inputs!$D$49,0)</f>
        <v>0</v>
      </c>
      <c r="AG317" s="69" t="n">
        <f aca="false">IF(AG$258=1,Inputs!$D$25*Inputs!$D$49,0)</f>
        <v>0</v>
      </c>
      <c r="AH317" s="69" t="n">
        <f aca="false">IF(AH$258=1,Inputs!$D$25*Inputs!$D$49,0)</f>
        <v>0</v>
      </c>
      <c r="AI317" s="69" t="n">
        <f aca="false">IF(AI$258=1,Inputs!$D$25*Inputs!$D$49,0)</f>
        <v>0</v>
      </c>
      <c r="AJ317" s="69" t="n">
        <f aca="false">IF(AJ$258=1,Inputs!$D$25*Inputs!$D$49,0)</f>
        <v>0</v>
      </c>
      <c r="AK317" s="69" t="n">
        <f aca="false">IF(AK$258=1,Inputs!$D$25*Inputs!$D$49,0)</f>
        <v>0</v>
      </c>
      <c r="AL317" s="69" t="n">
        <f aca="false">IF(AL$258=1,Inputs!$D$25*Inputs!$D$49,0)</f>
        <v>0</v>
      </c>
    </row>
    <row r="318" customFormat="false" ht="15" hidden="false" customHeight="false" outlineLevel="0" collapsed="false">
      <c r="A318" s="6" t="s">
        <v>409</v>
      </c>
      <c r="C318" s="69" t="n">
        <f aca="false">IF(C$258=1,Inputs!$D$50,0)</f>
        <v>90000</v>
      </c>
      <c r="D318" s="69" t="n">
        <f aca="false">IF(D$258=1,Inputs!$D$50,0)</f>
        <v>0</v>
      </c>
      <c r="E318" s="69" t="n">
        <f aca="false">IF(E$258=1,Inputs!$D$50,0)</f>
        <v>0</v>
      </c>
      <c r="F318" s="69" t="n">
        <f aca="false">IF(F$258=1,Inputs!$D$50,0)</f>
        <v>0</v>
      </c>
      <c r="G318" s="69" t="n">
        <f aca="false">IF(G$258=1,Inputs!$D$50,0)</f>
        <v>0</v>
      </c>
      <c r="H318" s="69" t="n">
        <f aca="false">IF(H$258=1,Inputs!$D$50,0)</f>
        <v>0</v>
      </c>
      <c r="I318" s="69" t="n">
        <f aca="false">IF(I$258=1,Inputs!$D$50,0)</f>
        <v>0</v>
      </c>
      <c r="J318" s="69" t="n">
        <f aca="false">IF(J$258=1,Inputs!$D$50,0)</f>
        <v>0</v>
      </c>
      <c r="K318" s="69" t="n">
        <f aca="false">IF(K$258=1,Inputs!$D$50,0)</f>
        <v>0</v>
      </c>
      <c r="L318" s="69" t="n">
        <f aca="false">IF(L$258=1,Inputs!$D$50,0)</f>
        <v>0</v>
      </c>
      <c r="M318" s="69" t="n">
        <f aca="false">IF(M$258=1,Inputs!$D$50,0)</f>
        <v>0</v>
      </c>
      <c r="N318" s="69" t="n">
        <f aca="false">IF(N$258=1,Inputs!$D$50,0)</f>
        <v>0</v>
      </c>
      <c r="O318" s="69" t="n">
        <f aca="false">IF(O$258=1,Inputs!$D$50,0)</f>
        <v>0</v>
      </c>
      <c r="P318" s="69" t="n">
        <f aca="false">IF(P$258=1,Inputs!$D$50,0)</f>
        <v>0</v>
      </c>
      <c r="Q318" s="69" t="n">
        <f aca="false">IF(Q$258=1,Inputs!$D$50,0)</f>
        <v>0</v>
      </c>
      <c r="R318" s="69" t="n">
        <f aca="false">IF(R$258=1,Inputs!$D$50,0)</f>
        <v>0</v>
      </c>
      <c r="S318" s="69" t="n">
        <f aca="false">IF(S$258=1,Inputs!$D$50,0)</f>
        <v>0</v>
      </c>
      <c r="T318" s="69" t="n">
        <f aca="false">IF(T$258=1,Inputs!$D$50,0)</f>
        <v>0</v>
      </c>
      <c r="U318" s="69" t="n">
        <f aca="false">IF(U$258=1,Inputs!$D$50,0)</f>
        <v>0</v>
      </c>
      <c r="V318" s="69" t="n">
        <f aca="false">IF(V$258=1,Inputs!$D$50,0)</f>
        <v>0</v>
      </c>
      <c r="W318" s="69" t="n">
        <f aca="false">IF(W$258=1,Inputs!$D$50,0)</f>
        <v>0</v>
      </c>
      <c r="X318" s="69" t="n">
        <f aca="false">IF(X$258=1,Inputs!$D$50,0)</f>
        <v>0</v>
      </c>
      <c r="Y318" s="69" t="n">
        <f aca="false">IF(Y$258=1,Inputs!$D$50,0)</f>
        <v>0</v>
      </c>
      <c r="Z318" s="69" t="n">
        <f aca="false">IF(Z$258=1,Inputs!$D$50,0)</f>
        <v>0</v>
      </c>
      <c r="AA318" s="69" t="n">
        <f aca="false">IF(AA$258=1,Inputs!$D$50,0)</f>
        <v>0</v>
      </c>
      <c r="AB318" s="69" t="n">
        <f aca="false">IF(AB$258=1,Inputs!$D$50,0)</f>
        <v>0</v>
      </c>
      <c r="AC318" s="69" t="n">
        <f aca="false">IF(AC$258=1,Inputs!$D$50,0)</f>
        <v>0</v>
      </c>
      <c r="AD318" s="69" t="n">
        <f aca="false">IF(AD$258=1,Inputs!$D$50,0)</f>
        <v>0</v>
      </c>
      <c r="AE318" s="69" t="n">
        <f aca="false">IF(AE$258=1,Inputs!$D$50,0)</f>
        <v>0</v>
      </c>
      <c r="AF318" s="69" t="n">
        <f aca="false">IF(AF$258=1,Inputs!$D$50,0)</f>
        <v>0</v>
      </c>
      <c r="AG318" s="69" t="n">
        <f aca="false">IF(AG$258=1,Inputs!$D$50,0)</f>
        <v>0</v>
      </c>
      <c r="AH318" s="69" t="n">
        <f aca="false">IF(AH$258=1,Inputs!$D$50,0)</f>
        <v>0</v>
      </c>
      <c r="AI318" s="69" t="n">
        <f aca="false">IF(AI$258=1,Inputs!$D$50,0)</f>
        <v>0</v>
      </c>
      <c r="AJ318" s="69" t="n">
        <f aca="false">IF(AJ$258=1,Inputs!$D$50,0)</f>
        <v>0</v>
      </c>
      <c r="AK318" s="69" t="n">
        <f aca="false">IF(AK$258=1,Inputs!$D$50,0)</f>
        <v>0</v>
      </c>
      <c r="AL318" s="69" t="n">
        <f aca="false">IF(AL$258=1,Inputs!$D$50,0)</f>
        <v>0</v>
      </c>
    </row>
    <row r="319" customFormat="false" ht="15" hidden="false" customHeight="false" outlineLevel="0" collapsed="false">
      <c r="A319" s="6" t="s">
        <v>410</v>
      </c>
      <c r="C319" s="69" t="n">
        <f aca="false">IF(C$258=1,Inputs!$D$51,0)</f>
        <v>0</v>
      </c>
      <c r="D319" s="69" t="n">
        <f aca="false">IF(D$258=1,Inputs!$D$51,0)</f>
        <v>0</v>
      </c>
      <c r="E319" s="69" t="n">
        <f aca="false">IF(E$258=1,Inputs!$D$51,0)</f>
        <v>0</v>
      </c>
      <c r="F319" s="69" t="n">
        <f aca="false">IF(F$258=1,Inputs!$D$51,0)</f>
        <v>0</v>
      </c>
      <c r="G319" s="69" t="n">
        <f aca="false">IF(G$258=1,Inputs!$D$51,0)</f>
        <v>0</v>
      </c>
      <c r="H319" s="69" t="n">
        <f aca="false">IF(H$258=1,Inputs!$D$51,0)</f>
        <v>0</v>
      </c>
      <c r="I319" s="69" t="n">
        <f aca="false">IF(I$258=1,Inputs!$D$51,0)</f>
        <v>0</v>
      </c>
      <c r="J319" s="69" t="n">
        <f aca="false">IF(J$258=1,Inputs!$D$51,0)</f>
        <v>0</v>
      </c>
      <c r="K319" s="69" t="n">
        <f aca="false">IF(K$258=1,Inputs!$D$51,0)</f>
        <v>0</v>
      </c>
      <c r="L319" s="69" t="n">
        <f aca="false">IF(L$258=1,Inputs!$D$51,0)</f>
        <v>0</v>
      </c>
      <c r="M319" s="69" t="n">
        <f aca="false">IF(M$258=1,Inputs!$D$51,0)</f>
        <v>0</v>
      </c>
      <c r="N319" s="69" t="n">
        <f aca="false">IF(N$258=1,Inputs!$D$51,0)</f>
        <v>0</v>
      </c>
      <c r="O319" s="69" t="n">
        <f aca="false">IF(O$258=1,Inputs!$D$51,0)</f>
        <v>0</v>
      </c>
      <c r="P319" s="69" t="n">
        <f aca="false">IF(P$258=1,Inputs!$D$51,0)</f>
        <v>0</v>
      </c>
      <c r="Q319" s="69" t="n">
        <f aca="false">IF(Q$258=1,Inputs!$D$51,0)</f>
        <v>0</v>
      </c>
      <c r="R319" s="69" t="n">
        <f aca="false">IF(R$258=1,Inputs!$D$51,0)</f>
        <v>0</v>
      </c>
      <c r="S319" s="69" t="n">
        <f aca="false">IF(S$258=1,Inputs!$D$51,0)</f>
        <v>0</v>
      </c>
      <c r="T319" s="69" t="n">
        <f aca="false">IF(T$258=1,Inputs!$D$51,0)</f>
        <v>0</v>
      </c>
      <c r="U319" s="69" t="n">
        <f aca="false">IF(U$258=1,Inputs!$D$51,0)</f>
        <v>0</v>
      </c>
      <c r="V319" s="69" t="n">
        <f aca="false">IF(V$258=1,Inputs!$D$51,0)</f>
        <v>0</v>
      </c>
      <c r="W319" s="69" t="n">
        <f aca="false">IF(W$258=1,Inputs!$D$51,0)</f>
        <v>0</v>
      </c>
      <c r="X319" s="69" t="n">
        <f aca="false">IF(X$258=1,Inputs!$D$51,0)</f>
        <v>0</v>
      </c>
      <c r="Y319" s="69" t="n">
        <f aca="false">IF(Y$258=1,Inputs!$D$51,0)</f>
        <v>0</v>
      </c>
      <c r="Z319" s="69" t="n">
        <f aca="false">IF(Z$258=1,Inputs!$D$51,0)</f>
        <v>0</v>
      </c>
      <c r="AA319" s="69" t="n">
        <f aca="false">IF(AA$258=1,Inputs!$D$51,0)</f>
        <v>0</v>
      </c>
      <c r="AB319" s="69" t="n">
        <f aca="false">IF(AB$258=1,Inputs!$D$51,0)</f>
        <v>0</v>
      </c>
      <c r="AC319" s="69" t="n">
        <f aca="false">IF(AC$258=1,Inputs!$D$51,0)</f>
        <v>0</v>
      </c>
      <c r="AD319" s="69" t="n">
        <f aca="false">IF(AD$258=1,Inputs!$D$51,0)</f>
        <v>0</v>
      </c>
      <c r="AE319" s="69" t="n">
        <f aca="false">IF(AE$258=1,Inputs!$D$51,0)</f>
        <v>0</v>
      </c>
      <c r="AF319" s="69" t="n">
        <f aca="false">IF(AF$258=1,Inputs!$D$51,0)</f>
        <v>0</v>
      </c>
      <c r="AG319" s="69" t="n">
        <f aca="false">IF(AG$258=1,Inputs!$D$51,0)</f>
        <v>0</v>
      </c>
      <c r="AH319" s="69" t="n">
        <f aca="false">IF(AH$258=1,Inputs!$D$51,0)</f>
        <v>0</v>
      </c>
      <c r="AI319" s="69" t="n">
        <f aca="false">IF(AI$258=1,Inputs!$D$51,0)</f>
        <v>0</v>
      </c>
      <c r="AJ319" s="69" t="n">
        <f aca="false">IF(AJ$258=1,Inputs!$D$51,0)</f>
        <v>0</v>
      </c>
      <c r="AK319" s="69" t="n">
        <f aca="false">IF(AK$258=1,Inputs!$D$51,0)</f>
        <v>0</v>
      </c>
      <c r="AL319" s="69" t="n">
        <f aca="false">IF(AL$258=1,Inputs!$D$51,0)</f>
        <v>0</v>
      </c>
    </row>
    <row r="320" customFormat="false" ht="15" hidden="false" customHeight="false" outlineLevel="0" collapsed="false">
      <c r="A320" s="6" t="s">
        <v>411</v>
      </c>
      <c r="C320" s="69" t="n">
        <f aca="false">IF(AND(C$259&gt;1,MOD(C$258-1,12)=0),Inputs!$D$52,0)</f>
        <v>0</v>
      </c>
      <c r="D320" s="69" t="n">
        <f aca="false">IF(AND(D$259&gt;1,MOD(D$258-1,12)=0),Inputs!$D$52,0)</f>
        <v>0</v>
      </c>
      <c r="E320" s="69" t="n">
        <f aca="false">IF(AND(E$259&gt;1,MOD(E$258-1,12)=0),Inputs!$D$52,0)</f>
        <v>0</v>
      </c>
      <c r="F320" s="69" t="n">
        <f aca="false">IF(AND(F$259&gt;1,MOD(F$258-1,12)=0),Inputs!$D$52,0)</f>
        <v>0</v>
      </c>
      <c r="G320" s="69" t="n">
        <f aca="false">IF(AND(G$259&gt;1,MOD(G$258-1,12)=0),Inputs!$D$52,0)</f>
        <v>0</v>
      </c>
      <c r="H320" s="69" t="n">
        <f aca="false">IF(AND(H$259&gt;1,MOD(H$258-1,12)=0),Inputs!$D$52,0)</f>
        <v>0</v>
      </c>
      <c r="I320" s="69" t="n">
        <f aca="false">IF(AND(I$259&gt;1,MOD(I$258-1,12)=0),Inputs!$D$52,0)</f>
        <v>0</v>
      </c>
      <c r="J320" s="69" t="n">
        <f aca="false">IF(AND(J$259&gt;1,MOD(J$258-1,12)=0),Inputs!$D$52,0)</f>
        <v>0</v>
      </c>
      <c r="K320" s="69" t="n">
        <f aca="false">IF(AND(K$259&gt;1,MOD(K$258-1,12)=0),Inputs!$D$52,0)</f>
        <v>0</v>
      </c>
      <c r="L320" s="69" t="n">
        <f aca="false">IF(AND(L$259&gt;1,MOD(L$258-1,12)=0),Inputs!$D$52,0)</f>
        <v>0</v>
      </c>
      <c r="M320" s="69" t="n">
        <f aca="false">IF(AND(M$259&gt;1,MOD(M$258-1,12)=0),Inputs!$D$52,0)</f>
        <v>0</v>
      </c>
      <c r="N320" s="69" t="n">
        <f aca="false">IF(AND(N$259&gt;1,MOD(N$258-1,12)=0),Inputs!$D$52,0)</f>
        <v>0</v>
      </c>
      <c r="O320" s="69" t="n">
        <f aca="false">IF(AND(O$259&gt;1,MOD(O$258-1,12)=0),Inputs!$D$52,0)</f>
        <v>10000</v>
      </c>
      <c r="P320" s="69" t="n">
        <f aca="false">IF(AND(P$259&gt;1,MOD(P$258-1,12)=0),Inputs!$D$52,0)</f>
        <v>0</v>
      </c>
      <c r="Q320" s="69" t="n">
        <f aca="false">IF(AND(Q$259&gt;1,MOD(Q$258-1,12)=0),Inputs!$D$52,0)</f>
        <v>0</v>
      </c>
      <c r="R320" s="69" t="n">
        <f aca="false">IF(AND(R$259&gt;1,MOD(R$258-1,12)=0),Inputs!$D$52,0)</f>
        <v>0</v>
      </c>
      <c r="S320" s="69" t="n">
        <f aca="false">IF(AND(S$259&gt;1,MOD(S$258-1,12)=0),Inputs!$D$52,0)</f>
        <v>0</v>
      </c>
      <c r="T320" s="69" t="n">
        <f aca="false">IF(AND(T$259&gt;1,MOD(T$258-1,12)=0),Inputs!$D$52,0)</f>
        <v>0</v>
      </c>
      <c r="U320" s="69" t="n">
        <f aca="false">IF(AND(U$259&gt;1,MOD(U$258-1,12)=0),Inputs!$D$52,0)</f>
        <v>0</v>
      </c>
      <c r="V320" s="69" t="n">
        <f aca="false">IF(AND(V$259&gt;1,MOD(V$258-1,12)=0),Inputs!$D$52,0)</f>
        <v>0</v>
      </c>
      <c r="W320" s="69" t="n">
        <f aca="false">IF(AND(W$259&gt;1,MOD(W$258-1,12)=0),Inputs!$D$52,0)</f>
        <v>0</v>
      </c>
      <c r="X320" s="69" t="n">
        <f aca="false">IF(AND(X$259&gt;1,MOD(X$258-1,12)=0),Inputs!$D$52,0)</f>
        <v>0</v>
      </c>
      <c r="Y320" s="69" t="n">
        <f aca="false">IF(AND(Y$259&gt;1,MOD(Y$258-1,12)=0),Inputs!$D$52,0)</f>
        <v>0</v>
      </c>
      <c r="Z320" s="69" t="n">
        <f aca="false">IF(AND(Z$259&gt;1,MOD(Z$258-1,12)=0),Inputs!$D$52,0)</f>
        <v>0</v>
      </c>
      <c r="AA320" s="69" t="n">
        <f aca="false">IF(AND(AA$259&gt;1,MOD(AA$258-1,12)=0),Inputs!$D$52,0)</f>
        <v>10000</v>
      </c>
      <c r="AB320" s="69" t="n">
        <f aca="false">IF(AND(AB$259&gt;1,MOD(AB$258-1,12)=0),Inputs!$D$52,0)</f>
        <v>0</v>
      </c>
      <c r="AC320" s="69" t="n">
        <f aca="false">IF(AND(AC$259&gt;1,MOD(AC$258-1,12)=0),Inputs!$D$52,0)</f>
        <v>0</v>
      </c>
      <c r="AD320" s="69" t="n">
        <f aca="false">IF(AND(AD$259&gt;1,MOD(AD$258-1,12)=0),Inputs!$D$52,0)</f>
        <v>0</v>
      </c>
      <c r="AE320" s="69" t="n">
        <f aca="false">IF(AND(AE$259&gt;1,MOD(AE$258-1,12)=0),Inputs!$D$52,0)</f>
        <v>0</v>
      </c>
      <c r="AF320" s="69" t="n">
        <f aca="false">IF(AND(AF$259&gt;1,MOD(AF$258-1,12)=0),Inputs!$D$52,0)</f>
        <v>0</v>
      </c>
      <c r="AG320" s="69" t="n">
        <f aca="false">IF(AND(AG$259&gt;1,MOD(AG$258-1,12)=0),Inputs!$D$52,0)</f>
        <v>0</v>
      </c>
      <c r="AH320" s="69" t="n">
        <f aca="false">IF(AND(AH$259&gt;1,MOD(AH$258-1,12)=0),Inputs!$D$52,0)</f>
        <v>0</v>
      </c>
      <c r="AI320" s="69" t="n">
        <f aca="false">IF(AND(AI$259&gt;1,MOD(AI$258-1,12)=0),Inputs!$D$52,0)</f>
        <v>0</v>
      </c>
      <c r="AJ320" s="69" t="n">
        <f aca="false">IF(AND(AJ$259&gt;1,MOD(AJ$258-1,12)=0),Inputs!$D$52,0)</f>
        <v>0</v>
      </c>
      <c r="AK320" s="69" t="n">
        <f aca="false">IF(AND(AK$259&gt;1,MOD(AK$258-1,12)=0),Inputs!$D$52,0)</f>
        <v>0</v>
      </c>
      <c r="AL320" s="69" t="n">
        <f aca="false">IF(AND(AL$259&gt;1,MOD(AL$258-1,12)=0),Inputs!$D$52,0)</f>
        <v>0</v>
      </c>
    </row>
    <row r="321" customFormat="false" ht="15" hidden="false" customHeight="false" outlineLevel="0" collapsed="false">
      <c r="A321" s="4" t="s">
        <v>84</v>
      </c>
      <c r="C321" s="75" t="n">
        <f aca="false">C316+C317+C318+C319+C320</f>
        <v>189000</v>
      </c>
      <c r="D321" s="75" t="n">
        <f aca="false">D316+D317+D318+D319+D320</f>
        <v>0</v>
      </c>
      <c r="E321" s="75" t="n">
        <f aca="false">E316+E317+E318+E319+E320</f>
        <v>0</v>
      </c>
      <c r="F321" s="75" t="n">
        <f aca="false">F316+F317+F318+F319+F320</f>
        <v>0</v>
      </c>
      <c r="G321" s="75" t="n">
        <f aca="false">G316+G317+G318+G319+G320</f>
        <v>0</v>
      </c>
      <c r="H321" s="75" t="n">
        <f aca="false">H316+H317+H318+H319+H320</f>
        <v>0</v>
      </c>
      <c r="I321" s="75" t="n">
        <f aca="false">I316+I317+I318+I319+I320</f>
        <v>0</v>
      </c>
      <c r="J321" s="75" t="n">
        <f aca="false">J316+J317+J318+J319+J320</f>
        <v>0</v>
      </c>
      <c r="K321" s="75" t="n">
        <f aca="false">K316+K317+K318+K319+K320</f>
        <v>0</v>
      </c>
      <c r="L321" s="75" t="n">
        <f aca="false">L316+L317+L318+L319+L320</f>
        <v>0</v>
      </c>
      <c r="M321" s="75" t="n">
        <f aca="false">M316+M317+M318+M319+M320</f>
        <v>0</v>
      </c>
      <c r="N321" s="75" t="n">
        <f aca="false">N316+N317+N318+N319+N320</f>
        <v>0</v>
      </c>
      <c r="O321" s="75" t="n">
        <f aca="false">O316+O317+O318+O319+O320</f>
        <v>10000</v>
      </c>
      <c r="P321" s="75" t="n">
        <f aca="false">P316+P317+P318+P319+P320</f>
        <v>0</v>
      </c>
      <c r="Q321" s="75" t="n">
        <f aca="false">Q316+Q317+Q318+Q319+Q320</f>
        <v>0</v>
      </c>
      <c r="R321" s="75" t="n">
        <f aca="false">R316+R317+R318+R319+R320</f>
        <v>0</v>
      </c>
      <c r="S321" s="75" t="n">
        <f aca="false">S316+S317+S318+S319+S320</f>
        <v>0</v>
      </c>
      <c r="T321" s="75" t="n">
        <f aca="false">T316+T317+T318+T319+T320</f>
        <v>0</v>
      </c>
      <c r="U321" s="75" t="n">
        <f aca="false">U316+U317+U318+U319+U320</f>
        <v>0</v>
      </c>
      <c r="V321" s="75" t="n">
        <f aca="false">V316+V317+V318+V319+V320</f>
        <v>0</v>
      </c>
      <c r="W321" s="75" t="n">
        <f aca="false">W316+W317+W318+W319+W320</f>
        <v>0</v>
      </c>
      <c r="X321" s="75" t="n">
        <f aca="false">X316+X317+X318+X319+X320</f>
        <v>0</v>
      </c>
      <c r="Y321" s="75" t="n">
        <f aca="false">Y316+Y317+Y318+Y319+Y320</f>
        <v>0</v>
      </c>
      <c r="Z321" s="75" t="n">
        <f aca="false">Z316+Z317+Z318+Z319+Z320</f>
        <v>0</v>
      </c>
      <c r="AA321" s="75" t="n">
        <f aca="false">AA316+AA317+AA318+AA319+AA320</f>
        <v>10000</v>
      </c>
      <c r="AB321" s="75" t="n">
        <f aca="false">AB316+AB317+AB318+AB319+AB320</f>
        <v>0</v>
      </c>
      <c r="AC321" s="75" t="n">
        <f aca="false">AC316+AC317+AC318+AC319+AC320</f>
        <v>0</v>
      </c>
      <c r="AD321" s="75" t="n">
        <f aca="false">AD316+AD317+AD318+AD319+AD320</f>
        <v>0</v>
      </c>
      <c r="AE321" s="75" t="n">
        <f aca="false">AE316+AE317+AE318+AE319+AE320</f>
        <v>0</v>
      </c>
      <c r="AF321" s="75" t="n">
        <f aca="false">AF316+AF317+AF318+AF319+AF320</f>
        <v>0</v>
      </c>
      <c r="AG321" s="75" t="n">
        <f aca="false">AG316+AG317+AG318+AG319+AG320</f>
        <v>0</v>
      </c>
      <c r="AH321" s="75" t="n">
        <f aca="false">AH316+AH317+AH318+AH319+AH320</f>
        <v>0</v>
      </c>
      <c r="AI321" s="75" t="n">
        <f aca="false">AI316+AI317+AI318+AI319+AI320</f>
        <v>0</v>
      </c>
      <c r="AJ321" s="75" t="n">
        <f aca="false">AJ316+AJ317+AJ318+AJ319+AJ320</f>
        <v>0</v>
      </c>
      <c r="AK321" s="75" t="n">
        <f aca="false">AK316+AK317+AK318+AK319+AK320</f>
        <v>0</v>
      </c>
      <c r="AL321" s="75" t="n">
        <f aca="false">AL316+AL317+AL318+AL319+AL320</f>
        <v>0</v>
      </c>
    </row>
    <row r="322" customFormat="false" ht="15" hidden="false" customHeight="false" outlineLevel="0" collapsed="false">
      <c r="A322" s="6" t="s">
        <v>412</v>
      </c>
      <c r="C322" s="69" t="n">
        <f aca="false">C321</f>
        <v>189000</v>
      </c>
      <c r="D322" s="69" t="n">
        <f aca="false">C322+D321</f>
        <v>189000</v>
      </c>
      <c r="E322" s="69" t="n">
        <f aca="false">D322+E321</f>
        <v>189000</v>
      </c>
      <c r="F322" s="69" t="n">
        <f aca="false">E322+F321</f>
        <v>189000</v>
      </c>
      <c r="G322" s="69" t="n">
        <f aca="false">F322+G321</f>
        <v>189000</v>
      </c>
      <c r="H322" s="69" t="n">
        <f aca="false">G322+H321</f>
        <v>189000</v>
      </c>
      <c r="I322" s="69" t="n">
        <f aca="false">H322+I321</f>
        <v>189000</v>
      </c>
      <c r="J322" s="69" t="n">
        <f aca="false">I322+J321</f>
        <v>189000</v>
      </c>
      <c r="K322" s="69" t="n">
        <f aca="false">J322+K321</f>
        <v>189000</v>
      </c>
      <c r="L322" s="69" t="n">
        <f aca="false">K322+L321</f>
        <v>189000</v>
      </c>
      <c r="M322" s="69" t="n">
        <f aca="false">L322+M321</f>
        <v>189000</v>
      </c>
      <c r="N322" s="69" t="n">
        <f aca="false">M322+N321</f>
        <v>189000</v>
      </c>
      <c r="O322" s="69" t="n">
        <f aca="false">N322+O321</f>
        <v>199000</v>
      </c>
      <c r="P322" s="69" t="n">
        <f aca="false">O322+P321</f>
        <v>199000</v>
      </c>
      <c r="Q322" s="69" t="n">
        <f aca="false">P322+Q321</f>
        <v>199000</v>
      </c>
      <c r="R322" s="69" t="n">
        <f aca="false">Q322+R321</f>
        <v>199000</v>
      </c>
      <c r="S322" s="69" t="n">
        <f aca="false">R322+S321</f>
        <v>199000</v>
      </c>
      <c r="T322" s="69" t="n">
        <f aca="false">S322+T321</f>
        <v>199000</v>
      </c>
      <c r="U322" s="69" t="n">
        <f aca="false">T322+U321</f>
        <v>199000</v>
      </c>
      <c r="V322" s="69" t="n">
        <f aca="false">U322+V321</f>
        <v>199000</v>
      </c>
      <c r="W322" s="69" t="n">
        <f aca="false">V322+W321</f>
        <v>199000</v>
      </c>
      <c r="X322" s="69" t="n">
        <f aca="false">W322+X321</f>
        <v>199000</v>
      </c>
      <c r="Y322" s="69" t="n">
        <f aca="false">X322+Y321</f>
        <v>199000</v>
      </c>
      <c r="Z322" s="69" t="n">
        <f aca="false">Y322+Z321</f>
        <v>199000</v>
      </c>
      <c r="AA322" s="69" t="n">
        <f aca="false">Z322+AA321</f>
        <v>209000</v>
      </c>
      <c r="AB322" s="69" t="n">
        <f aca="false">AA322+AB321</f>
        <v>209000</v>
      </c>
      <c r="AC322" s="69" t="n">
        <f aca="false">AB322+AC321</f>
        <v>209000</v>
      </c>
      <c r="AD322" s="69" t="n">
        <f aca="false">AC322+AD321</f>
        <v>209000</v>
      </c>
      <c r="AE322" s="69" t="n">
        <f aca="false">AD322+AE321</f>
        <v>209000</v>
      </c>
      <c r="AF322" s="69" t="n">
        <f aca="false">AE322+AF321</f>
        <v>209000</v>
      </c>
      <c r="AG322" s="69" t="n">
        <f aca="false">AF322+AG321</f>
        <v>209000</v>
      </c>
      <c r="AH322" s="69" t="n">
        <f aca="false">AG322+AH321</f>
        <v>209000</v>
      </c>
      <c r="AI322" s="69" t="n">
        <f aca="false">AH322+AI321</f>
        <v>209000</v>
      </c>
      <c r="AJ322" s="69" t="n">
        <f aca="false">AI322+AJ321</f>
        <v>209000</v>
      </c>
      <c r="AK322" s="69" t="n">
        <f aca="false">AJ322+AK321</f>
        <v>209000</v>
      </c>
      <c r="AL322" s="69" t="n">
        <f aca="false">AK322+AL321</f>
        <v>209000</v>
      </c>
    </row>
    <row r="323" customFormat="false" ht="15" hidden="false" customHeight="false" outlineLevel="0" collapsed="false">
      <c r="A323" s="6" t="s">
        <v>413</v>
      </c>
      <c r="C323" s="69" t="n">
        <f aca="false">C319</f>
        <v>0</v>
      </c>
      <c r="D323" s="69" t="n">
        <f aca="false">C323+D319</f>
        <v>0</v>
      </c>
      <c r="E323" s="69" t="n">
        <f aca="false">D323+E319</f>
        <v>0</v>
      </c>
      <c r="F323" s="69" t="n">
        <f aca="false">E323+F319</f>
        <v>0</v>
      </c>
      <c r="G323" s="69" t="n">
        <f aca="false">F323+G319</f>
        <v>0</v>
      </c>
      <c r="H323" s="69" t="n">
        <f aca="false">G323+H319</f>
        <v>0</v>
      </c>
      <c r="I323" s="69" t="n">
        <f aca="false">H323+I319</f>
        <v>0</v>
      </c>
      <c r="J323" s="69" t="n">
        <f aca="false">I323+J319</f>
        <v>0</v>
      </c>
      <c r="K323" s="69" t="n">
        <f aca="false">J323+K319</f>
        <v>0</v>
      </c>
      <c r="L323" s="69" t="n">
        <f aca="false">K323+L319</f>
        <v>0</v>
      </c>
      <c r="M323" s="69" t="n">
        <f aca="false">L323+M319</f>
        <v>0</v>
      </c>
      <c r="N323" s="69" t="n">
        <f aca="false">M323+N319</f>
        <v>0</v>
      </c>
      <c r="O323" s="69" t="n">
        <f aca="false">N323+O319</f>
        <v>0</v>
      </c>
      <c r="P323" s="69" t="n">
        <f aca="false">O323+P319</f>
        <v>0</v>
      </c>
      <c r="Q323" s="69" t="n">
        <f aca="false">P323+Q319</f>
        <v>0</v>
      </c>
      <c r="R323" s="69" t="n">
        <f aca="false">Q323+R319</f>
        <v>0</v>
      </c>
      <c r="S323" s="69" t="n">
        <f aca="false">R323+S319</f>
        <v>0</v>
      </c>
      <c r="T323" s="69" t="n">
        <f aca="false">S323+T319</f>
        <v>0</v>
      </c>
      <c r="U323" s="69" t="n">
        <f aca="false">T323+U319</f>
        <v>0</v>
      </c>
      <c r="V323" s="69" t="n">
        <f aca="false">U323+V319</f>
        <v>0</v>
      </c>
      <c r="W323" s="69" t="n">
        <f aca="false">V323+W319</f>
        <v>0</v>
      </c>
      <c r="X323" s="69" t="n">
        <f aca="false">W323+X319</f>
        <v>0</v>
      </c>
      <c r="Y323" s="69" t="n">
        <f aca="false">X323+Y319</f>
        <v>0</v>
      </c>
      <c r="Z323" s="69" t="n">
        <f aca="false">Y323+Z319</f>
        <v>0</v>
      </c>
      <c r="AA323" s="69" t="n">
        <f aca="false">Z323+AA319</f>
        <v>0</v>
      </c>
      <c r="AB323" s="69" t="n">
        <f aca="false">AA323+AB319</f>
        <v>0</v>
      </c>
      <c r="AC323" s="69" t="n">
        <f aca="false">AB323+AC319</f>
        <v>0</v>
      </c>
      <c r="AD323" s="69" t="n">
        <f aca="false">AC323+AD319</f>
        <v>0</v>
      </c>
      <c r="AE323" s="69" t="n">
        <f aca="false">AD323+AE319</f>
        <v>0</v>
      </c>
      <c r="AF323" s="69" t="n">
        <f aca="false">AE323+AF319</f>
        <v>0</v>
      </c>
      <c r="AG323" s="69" t="n">
        <f aca="false">AF323+AG319</f>
        <v>0</v>
      </c>
      <c r="AH323" s="69" t="n">
        <f aca="false">AG323+AH319</f>
        <v>0</v>
      </c>
      <c r="AI323" s="69" t="n">
        <f aca="false">AH323+AI319</f>
        <v>0</v>
      </c>
      <c r="AJ323" s="69" t="n">
        <f aca="false">AI323+AJ319</f>
        <v>0</v>
      </c>
      <c r="AK323" s="69" t="n">
        <f aca="false">AJ323+AK319</f>
        <v>0</v>
      </c>
      <c r="AL323" s="69" t="n">
        <f aca="false">AK323+AL319</f>
        <v>0</v>
      </c>
    </row>
    <row r="324" customFormat="false" ht="15" hidden="false" customHeight="false" outlineLevel="0" collapsed="false">
      <c r="A324" s="6" t="s">
        <v>78</v>
      </c>
      <c r="C324" s="69" t="n">
        <f aca="false">-MIN((C322-C323)/MAX(1,Inputs!$D$82*12),C321-C323)</f>
        <v>-1968.75</v>
      </c>
      <c r="D324" s="69" t="n">
        <f aca="false">-MIN((D322-D323)/MAX(1,Inputs!$D$82*12),C326+D321-D323)</f>
        <v>-1968.75</v>
      </c>
      <c r="E324" s="69" t="n">
        <f aca="false">-MIN((E322-E323)/MAX(1,Inputs!$D$82*12),D326+E321-E323)</f>
        <v>-1968.75</v>
      </c>
      <c r="F324" s="69" t="n">
        <f aca="false">-MIN((F322-F323)/MAX(1,Inputs!$D$82*12),E326+F321-F323)</f>
        <v>-1968.75</v>
      </c>
      <c r="G324" s="69" t="n">
        <f aca="false">-MIN((G322-G323)/MAX(1,Inputs!$D$82*12),F326+G321-G323)</f>
        <v>-1968.75</v>
      </c>
      <c r="H324" s="69" t="n">
        <f aca="false">-MIN((H322-H323)/MAX(1,Inputs!$D$82*12),G326+H321-H323)</f>
        <v>-1968.75</v>
      </c>
      <c r="I324" s="69" t="n">
        <f aca="false">-MIN((I322-I323)/MAX(1,Inputs!$D$82*12),H326+I321-I323)</f>
        <v>-1968.75</v>
      </c>
      <c r="J324" s="69" t="n">
        <f aca="false">-MIN((J322-J323)/MAX(1,Inputs!$D$82*12),I326+J321-J323)</f>
        <v>-1968.75</v>
      </c>
      <c r="K324" s="69" t="n">
        <f aca="false">-MIN((K322-K323)/MAX(1,Inputs!$D$82*12),J326+K321-K323)</f>
        <v>-1968.75</v>
      </c>
      <c r="L324" s="69" t="n">
        <f aca="false">-MIN((L322-L323)/MAX(1,Inputs!$D$82*12),K326+L321-L323)</f>
        <v>-1968.75</v>
      </c>
      <c r="M324" s="69" t="n">
        <f aca="false">-MIN((M322-M323)/MAX(1,Inputs!$D$82*12),L326+M321-M323)</f>
        <v>-1968.75</v>
      </c>
      <c r="N324" s="69" t="n">
        <f aca="false">-MIN((N322-N323)/MAX(1,Inputs!$D$82*12),M326+N321-N323)</f>
        <v>-1968.75</v>
      </c>
      <c r="O324" s="69" t="n">
        <f aca="false">-MIN((O322-O323)/MAX(1,Inputs!$D$82*12),N326+O321-O323)</f>
        <v>-2072.91666666667</v>
      </c>
      <c r="P324" s="69" t="n">
        <f aca="false">-MIN((P322-P323)/MAX(1,Inputs!$D$82*12),O326+P321-P323)</f>
        <v>-2072.91666666667</v>
      </c>
      <c r="Q324" s="69" t="n">
        <f aca="false">-MIN((Q322-Q323)/MAX(1,Inputs!$D$82*12),P326+Q321-Q323)</f>
        <v>-2072.91666666667</v>
      </c>
      <c r="R324" s="69" t="n">
        <f aca="false">-MIN((R322-R323)/MAX(1,Inputs!$D$82*12),Q326+R321-R323)</f>
        <v>-2072.91666666667</v>
      </c>
      <c r="S324" s="69" t="n">
        <f aca="false">-MIN((S322-S323)/MAX(1,Inputs!$D$82*12),R326+S321-S323)</f>
        <v>-2072.91666666667</v>
      </c>
      <c r="T324" s="69" t="n">
        <f aca="false">-MIN((T322-T323)/MAX(1,Inputs!$D$82*12),S326+T321-T323)</f>
        <v>-2072.91666666667</v>
      </c>
      <c r="U324" s="69" t="n">
        <f aca="false">-MIN((U322-U323)/MAX(1,Inputs!$D$82*12),T326+U321-U323)</f>
        <v>-2072.91666666667</v>
      </c>
      <c r="V324" s="69" t="n">
        <f aca="false">-MIN((V322-V323)/MAX(1,Inputs!$D$82*12),U326+V321-V323)</f>
        <v>-2072.91666666667</v>
      </c>
      <c r="W324" s="69" t="n">
        <f aca="false">-MIN((W322-W323)/MAX(1,Inputs!$D$82*12),V326+W321-W323)</f>
        <v>-2072.91666666667</v>
      </c>
      <c r="X324" s="69" t="n">
        <f aca="false">-MIN((X322-X323)/MAX(1,Inputs!$D$82*12),W326+X321-X323)</f>
        <v>-2072.91666666667</v>
      </c>
      <c r="Y324" s="69" t="n">
        <f aca="false">-MIN((Y322-Y323)/MAX(1,Inputs!$D$82*12),X326+Y321-Y323)</f>
        <v>-2072.91666666667</v>
      </c>
      <c r="Z324" s="69" t="n">
        <f aca="false">-MIN((Z322-Z323)/MAX(1,Inputs!$D$82*12),Y326+Z321-Z323)</f>
        <v>-2072.91666666667</v>
      </c>
      <c r="AA324" s="69" t="n">
        <f aca="false">-MIN((AA322-AA323)/MAX(1,Inputs!$D$82*12),Z326+AA321-AA323)</f>
        <v>-2177.08333333333</v>
      </c>
      <c r="AB324" s="69" t="n">
        <f aca="false">-MIN((AB322-AB323)/MAX(1,Inputs!$D$82*12),AA326+AB321-AB323)</f>
        <v>-2177.08333333333</v>
      </c>
      <c r="AC324" s="69" t="n">
        <f aca="false">-MIN((AC322-AC323)/MAX(1,Inputs!$D$82*12),AB326+AC321-AC323)</f>
        <v>-2177.08333333333</v>
      </c>
      <c r="AD324" s="69" t="n">
        <f aca="false">-MIN((AD322-AD323)/MAX(1,Inputs!$D$82*12),AC326+AD321-AD323)</f>
        <v>-2177.08333333333</v>
      </c>
      <c r="AE324" s="69" t="n">
        <f aca="false">-MIN((AE322-AE323)/MAX(1,Inputs!$D$82*12),AD326+AE321-AE323)</f>
        <v>-2177.08333333333</v>
      </c>
      <c r="AF324" s="69" t="n">
        <f aca="false">-MIN((AF322-AF323)/MAX(1,Inputs!$D$82*12),AE326+AF321-AF323)</f>
        <v>-2177.08333333333</v>
      </c>
      <c r="AG324" s="69" t="n">
        <f aca="false">-MIN((AG322-AG323)/MAX(1,Inputs!$D$82*12),AF326+AG321-AG323)</f>
        <v>-2177.08333333333</v>
      </c>
      <c r="AH324" s="69" t="n">
        <f aca="false">-MIN((AH322-AH323)/MAX(1,Inputs!$D$82*12),AG326+AH321-AH323)</f>
        <v>-2177.08333333333</v>
      </c>
      <c r="AI324" s="69" t="n">
        <f aca="false">-MIN((AI322-AI323)/MAX(1,Inputs!$D$82*12),AH326+AI321-AI323)</f>
        <v>-2177.08333333333</v>
      </c>
      <c r="AJ324" s="69" t="n">
        <f aca="false">-MIN((AJ322-AJ323)/MAX(1,Inputs!$D$82*12),AI326+AJ321-AJ323)</f>
        <v>-2177.08333333333</v>
      </c>
      <c r="AK324" s="69" t="n">
        <f aca="false">-MIN((AK322-AK323)/MAX(1,Inputs!$D$82*12),AJ326+AK321-AK323)</f>
        <v>-2177.08333333333</v>
      </c>
      <c r="AL324" s="69" t="n">
        <f aca="false">-MIN((AL322-AL323)/MAX(1,Inputs!$D$82*12),AK326+AL321-AL323)</f>
        <v>-2177.08333333333</v>
      </c>
    </row>
    <row r="325" customFormat="false" ht="15" hidden="false" customHeight="false" outlineLevel="0" collapsed="false">
      <c r="A325" s="6" t="s">
        <v>414</v>
      </c>
      <c r="C325" s="69" t="n">
        <f aca="false">C324</f>
        <v>-1968.75</v>
      </c>
      <c r="D325" s="69" t="n">
        <f aca="false">C325+D324</f>
        <v>-3937.5</v>
      </c>
      <c r="E325" s="69" t="n">
        <f aca="false">D325+E324</f>
        <v>-5906.25</v>
      </c>
      <c r="F325" s="69" t="n">
        <f aca="false">E325+F324</f>
        <v>-7875</v>
      </c>
      <c r="G325" s="69" t="n">
        <f aca="false">F325+G324</f>
        <v>-9843.75</v>
      </c>
      <c r="H325" s="69" t="n">
        <f aca="false">G325+H324</f>
        <v>-11812.5</v>
      </c>
      <c r="I325" s="69" t="n">
        <f aca="false">H325+I324</f>
        <v>-13781.25</v>
      </c>
      <c r="J325" s="69" t="n">
        <f aca="false">I325+J324</f>
        <v>-15750</v>
      </c>
      <c r="K325" s="69" t="n">
        <f aca="false">J325+K324</f>
        <v>-17718.75</v>
      </c>
      <c r="L325" s="69" t="n">
        <f aca="false">K325+L324</f>
        <v>-19687.5</v>
      </c>
      <c r="M325" s="69" t="n">
        <f aca="false">L325+M324</f>
        <v>-21656.25</v>
      </c>
      <c r="N325" s="69" t="n">
        <f aca="false">M325+N324</f>
        <v>-23625</v>
      </c>
      <c r="O325" s="69" t="n">
        <f aca="false">N325+O324</f>
        <v>-25697.9166666667</v>
      </c>
      <c r="P325" s="69" t="n">
        <f aca="false">O325+P324</f>
        <v>-27770.8333333333</v>
      </c>
      <c r="Q325" s="69" t="n">
        <f aca="false">P325+Q324</f>
        <v>-29843.75</v>
      </c>
      <c r="R325" s="69" t="n">
        <f aca="false">Q325+R324</f>
        <v>-31916.6666666667</v>
      </c>
      <c r="S325" s="69" t="n">
        <f aca="false">R325+S324</f>
        <v>-33989.5833333333</v>
      </c>
      <c r="T325" s="69" t="n">
        <f aca="false">S325+T324</f>
        <v>-36062.5</v>
      </c>
      <c r="U325" s="69" t="n">
        <f aca="false">T325+U324</f>
        <v>-38135.4166666667</v>
      </c>
      <c r="V325" s="69" t="n">
        <f aca="false">U325+V324</f>
        <v>-40208.3333333333</v>
      </c>
      <c r="W325" s="69" t="n">
        <f aca="false">V325+W324</f>
        <v>-42281.25</v>
      </c>
      <c r="X325" s="69" t="n">
        <f aca="false">W325+X324</f>
        <v>-44354.1666666667</v>
      </c>
      <c r="Y325" s="69" t="n">
        <f aca="false">X325+Y324</f>
        <v>-46427.0833333333</v>
      </c>
      <c r="Z325" s="69" t="n">
        <f aca="false">Y325+Z324</f>
        <v>-48500</v>
      </c>
      <c r="AA325" s="69" t="n">
        <f aca="false">Z325+AA324</f>
        <v>-50677.0833333333</v>
      </c>
      <c r="AB325" s="69" t="n">
        <f aca="false">AA325+AB324</f>
        <v>-52854.1666666667</v>
      </c>
      <c r="AC325" s="69" t="n">
        <f aca="false">AB325+AC324</f>
        <v>-55031.25</v>
      </c>
      <c r="AD325" s="69" t="n">
        <f aca="false">AC325+AD324</f>
        <v>-57208.3333333333</v>
      </c>
      <c r="AE325" s="69" t="n">
        <f aca="false">AD325+AE324</f>
        <v>-59385.4166666667</v>
      </c>
      <c r="AF325" s="69" t="n">
        <f aca="false">AE325+AF324</f>
        <v>-61562.5</v>
      </c>
      <c r="AG325" s="69" t="n">
        <f aca="false">AF325+AG324</f>
        <v>-63739.5833333333</v>
      </c>
      <c r="AH325" s="69" t="n">
        <f aca="false">AG325+AH324</f>
        <v>-65916.6666666667</v>
      </c>
      <c r="AI325" s="69" t="n">
        <f aca="false">AH325+AI324</f>
        <v>-68093.75</v>
      </c>
      <c r="AJ325" s="69" t="n">
        <f aca="false">AI325+AJ324</f>
        <v>-70270.8333333333</v>
      </c>
      <c r="AK325" s="69" t="n">
        <f aca="false">AJ325+AK324</f>
        <v>-72447.9166666667</v>
      </c>
      <c r="AL325" s="69" t="n">
        <f aca="false">AK325+AL324</f>
        <v>-74625</v>
      </c>
    </row>
    <row r="326" customFormat="false" ht="15" hidden="false" customHeight="false" outlineLevel="0" collapsed="false">
      <c r="A326" s="4" t="s">
        <v>92</v>
      </c>
      <c r="C326" s="75" t="n">
        <f aca="false">C322+C325</f>
        <v>187031.25</v>
      </c>
      <c r="D326" s="75" t="n">
        <f aca="false">D322+D325</f>
        <v>185062.5</v>
      </c>
      <c r="E326" s="75" t="n">
        <f aca="false">E322+E325</f>
        <v>183093.75</v>
      </c>
      <c r="F326" s="75" t="n">
        <f aca="false">F322+F325</f>
        <v>181125</v>
      </c>
      <c r="G326" s="75" t="n">
        <f aca="false">G322+G325</f>
        <v>179156.25</v>
      </c>
      <c r="H326" s="75" t="n">
        <f aca="false">H322+H325</f>
        <v>177187.5</v>
      </c>
      <c r="I326" s="75" t="n">
        <f aca="false">I322+I325</f>
        <v>175218.75</v>
      </c>
      <c r="J326" s="75" t="n">
        <f aca="false">J322+J325</f>
        <v>173250</v>
      </c>
      <c r="K326" s="75" t="n">
        <f aca="false">K322+K325</f>
        <v>171281.25</v>
      </c>
      <c r="L326" s="75" t="n">
        <f aca="false">L322+L325</f>
        <v>169312.5</v>
      </c>
      <c r="M326" s="75" t="n">
        <f aca="false">M322+M325</f>
        <v>167343.75</v>
      </c>
      <c r="N326" s="75" t="n">
        <f aca="false">N322+N325</f>
        <v>165375</v>
      </c>
      <c r="O326" s="75" t="n">
        <f aca="false">O322+O325</f>
        <v>173302.083333333</v>
      </c>
      <c r="P326" s="75" t="n">
        <f aca="false">P322+P325</f>
        <v>171229.166666667</v>
      </c>
      <c r="Q326" s="75" t="n">
        <f aca="false">Q322+Q325</f>
        <v>169156.25</v>
      </c>
      <c r="R326" s="75" t="n">
        <f aca="false">R322+R325</f>
        <v>167083.333333333</v>
      </c>
      <c r="S326" s="75" t="n">
        <f aca="false">S322+S325</f>
        <v>165010.416666667</v>
      </c>
      <c r="T326" s="75" t="n">
        <f aca="false">T322+T325</f>
        <v>162937.5</v>
      </c>
      <c r="U326" s="75" t="n">
        <f aca="false">U322+U325</f>
        <v>160864.583333333</v>
      </c>
      <c r="V326" s="75" t="n">
        <f aca="false">V322+V325</f>
        <v>158791.666666667</v>
      </c>
      <c r="W326" s="75" t="n">
        <f aca="false">W322+W325</f>
        <v>156718.75</v>
      </c>
      <c r="X326" s="75" t="n">
        <f aca="false">X322+X325</f>
        <v>154645.833333333</v>
      </c>
      <c r="Y326" s="75" t="n">
        <f aca="false">Y322+Y325</f>
        <v>152572.916666667</v>
      </c>
      <c r="Z326" s="75" t="n">
        <f aca="false">Z322+Z325</f>
        <v>150500</v>
      </c>
      <c r="AA326" s="75" t="n">
        <f aca="false">AA322+AA325</f>
        <v>158322.916666667</v>
      </c>
      <c r="AB326" s="75" t="n">
        <f aca="false">AB322+AB325</f>
        <v>156145.833333333</v>
      </c>
      <c r="AC326" s="75" t="n">
        <f aca="false">AC322+AC325</f>
        <v>153968.75</v>
      </c>
      <c r="AD326" s="75" t="n">
        <f aca="false">AD322+AD325</f>
        <v>151791.666666667</v>
      </c>
      <c r="AE326" s="75" t="n">
        <f aca="false">AE322+AE325</f>
        <v>149614.583333333</v>
      </c>
      <c r="AF326" s="75" t="n">
        <f aca="false">AF322+AF325</f>
        <v>147437.5</v>
      </c>
      <c r="AG326" s="75" t="n">
        <f aca="false">AG322+AG325</f>
        <v>145260.416666667</v>
      </c>
      <c r="AH326" s="75" t="n">
        <f aca="false">AH322+AH325</f>
        <v>143083.333333333</v>
      </c>
      <c r="AI326" s="75" t="n">
        <f aca="false">AI322+AI325</f>
        <v>140906.25</v>
      </c>
      <c r="AJ326" s="75" t="n">
        <f aca="false">AJ322+AJ325</f>
        <v>138729.166666667</v>
      </c>
      <c r="AK326" s="75" t="n">
        <f aca="false">AK322+AK325</f>
        <v>136552.083333333</v>
      </c>
      <c r="AL326" s="75" t="n">
        <f aca="false">AL322+AL325</f>
        <v>134375</v>
      </c>
    </row>
    <row r="328" customFormat="false" ht="15.75" hidden="false" customHeight="true" outlineLevel="0" collapsed="false">
      <c r="A328" s="7" t="s">
        <v>415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customFormat="false" ht="15" hidden="false" customHeight="false" outlineLevel="0" collapsed="false">
      <c r="A329" s="6" t="s">
        <v>416</v>
      </c>
      <c r="C329" s="69" t="n">
        <f aca="false">0</f>
        <v>0</v>
      </c>
      <c r="D329" s="69" t="n">
        <f aca="false">C332</f>
        <v>100000</v>
      </c>
      <c r="E329" s="69" t="n">
        <f aca="false">D332</f>
        <v>98333.3333333333</v>
      </c>
      <c r="F329" s="69" t="n">
        <f aca="false">E332</f>
        <v>96666.6666666667</v>
      </c>
      <c r="G329" s="69" t="n">
        <f aca="false">F332</f>
        <v>95000</v>
      </c>
      <c r="H329" s="69" t="n">
        <f aca="false">G332</f>
        <v>93333.3333333333</v>
      </c>
      <c r="I329" s="69" t="n">
        <f aca="false">H332</f>
        <v>91666.6666666666</v>
      </c>
      <c r="J329" s="69" t="n">
        <f aca="false">I332</f>
        <v>90000</v>
      </c>
      <c r="K329" s="69" t="n">
        <f aca="false">J332</f>
        <v>88333.3333333333</v>
      </c>
      <c r="L329" s="69" t="n">
        <f aca="false">K332</f>
        <v>86666.6666666666</v>
      </c>
      <c r="M329" s="69" t="n">
        <f aca="false">L332</f>
        <v>85000</v>
      </c>
      <c r="N329" s="69" t="n">
        <f aca="false">M332</f>
        <v>83333.3333333333</v>
      </c>
      <c r="O329" s="69" t="n">
        <f aca="false">N332</f>
        <v>81666.6666666666</v>
      </c>
      <c r="P329" s="69" t="n">
        <f aca="false">O332</f>
        <v>79999.9999999999</v>
      </c>
      <c r="Q329" s="69" t="n">
        <f aca="false">P332</f>
        <v>78333.3333333333</v>
      </c>
      <c r="R329" s="69" t="n">
        <f aca="false">Q332</f>
        <v>76666.6666666666</v>
      </c>
      <c r="S329" s="69" t="n">
        <f aca="false">R332</f>
        <v>74999.9999999999</v>
      </c>
      <c r="T329" s="69" t="n">
        <f aca="false">S332</f>
        <v>73333.3333333333</v>
      </c>
      <c r="U329" s="69" t="n">
        <f aca="false">T332</f>
        <v>71666.6666666666</v>
      </c>
      <c r="V329" s="69" t="n">
        <f aca="false">U332</f>
        <v>69999.9999999999</v>
      </c>
      <c r="W329" s="69" t="n">
        <f aca="false">V332</f>
        <v>68333.3333333332</v>
      </c>
      <c r="X329" s="69" t="n">
        <f aca="false">W332</f>
        <v>66666.6666666666</v>
      </c>
      <c r="Y329" s="69" t="n">
        <f aca="false">X332</f>
        <v>64999.9999999999</v>
      </c>
      <c r="Z329" s="69" t="n">
        <f aca="false">Y332</f>
        <v>63333.3333333332</v>
      </c>
      <c r="AA329" s="69" t="n">
        <f aca="false">Z332</f>
        <v>61666.6666666666</v>
      </c>
      <c r="AB329" s="69" t="n">
        <f aca="false">AA332</f>
        <v>59999.9999999999</v>
      </c>
      <c r="AC329" s="69" t="n">
        <f aca="false">AB332</f>
        <v>58333.3333333333</v>
      </c>
      <c r="AD329" s="69" t="n">
        <f aca="false">AC332</f>
        <v>56666.6666666666</v>
      </c>
      <c r="AE329" s="69" t="n">
        <f aca="false">AD332</f>
        <v>54999.9999999999</v>
      </c>
      <c r="AF329" s="69" t="n">
        <f aca="false">AE332</f>
        <v>53333.3333333333</v>
      </c>
      <c r="AG329" s="69" t="n">
        <f aca="false">AF332</f>
        <v>51666.6666666666</v>
      </c>
      <c r="AH329" s="69" t="n">
        <f aca="false">AG332</f>
        <v>49999.9999999999</v>
      </c>
      <c r="AI329" s="69" t="n">
        <f aca="false">AH332</f>
        <v>48333.3333333333</v>
      </c>
      <c r="AJ329" s="69" t="n">
        <f aca="false">AI332</f>
        <v>46666.6666666666</v>
      </c>
      <c r="AK329" s="69" t="n">
        <f aca="false">AJ332</f>
        <v>44999.9999999999</v>
      </c>
      <c r="AL329" s="69" t="n">
        <f aca="false">AK332</f>
        <v>43333.3333333333</v>
      </c>
    </row>
    <row r="330" customFormat="false" ht="15" hidden="false" customHeight="false" outlineLevel="0" collapsed="false">
      <c r="A330" s="6" t="s">
        <v>85</v>
      </c>
      <c r="C330" s="69" t="n">
        <f aca="false">IF(C$258=1,Inputs!$D$72,0)</f>
        <v>100000</v>
      </c>
      <c r="D330" s="69" t="n">
        <f aca="false">IF(D$258=1,Inputs!$D$72,0)</f>
        <v>0</v>
      </c>
      <c r="E330" s="69" t="n">
        <f aca="false">IF(E$258=1,Inputs!$D$72,0)</f>
        <v>0</v>
      </c>
      <c r="F330" s="69" t="n">
        <f aca="false">IF(F$258=1,Inputs!$D$72,0)</f>
        <v>0</v>
      </c>
      <c r="G330" s="69" t="n">
        <f aca="false">IF(G$258=1,Inputs!$D$72,0)</f>
        <v>0</v>
      </c>
      <c r="H330" s="69" t="n">
        <f aca="false">IF(H$258=1,Inputs!$D$72,0)</f>
        <v>0</v>
      </c>
      <c r="I330" s="69" t="n">
        <f aca="false">IF(I$258=1,Inputs!$D$72,0)</f>
        <v>0</v>
      </c>
      <c r="J330" s="69" t="n">
        <f aca="false">IF(J$258=1,Inputs!$D$72,0)</f>
        <v>0</v>
      </c>
      <c r="K330" s="69" t="n">
        <f aca="false">IF(K$258=1,Inputs!$D$72,0)</f>
        <v>0</v>
      </c>
      <c r="L330" s="69" t="n">
        <f aca="false">IF(L$258=1,Inputs!$D$72,0)</f>
        <v>0</v>
      </c>
      <c r="M330" s="69" t="n">
        <f aca="false">IF(M$258=1,Inputs!$D$72,0)</f>
        <v>0</v>
      </c>
      <c r="N330" s="69" t="n">
        <f aca="false">IF(N$258=1,Inputs!$D$72,0)</f>
        <v>0</v>
      </c>
      <c r="O330" s="69" t="n">
        <f aca="false">IF(O$258=1,Inputs!$D$72,0)</f>
        <v>0</v>
      </c>
      <c r="P330" s="69" t="n">
        <f aca="false">IF(P$258=1,Inputs!$D$72,0)</f>
        <v>0</v>
      </c>
      <c r="Q330" s="69" t="n">
        <f aca="false">IF(Q$258=1,Inputs!$D$72,0)</f>
        <v>0</v>
      </c>
      <c r="R330" s="69" t="n">
        <f aca="false">IF(R$258=1,Inputs!$D$72,0)</f>
        <v>0</v>
      </c>
      <c r="S330" s="69" t="n">
        <f aca="false">IF(S$258=1,Inputs!$D$72,0)</f>
        <v>0</v>
      </c>
      <c r="T330" s="69" t="n">
        <f aca="false">IF(T$258=1,Inputs!$D$72,0)</f>
        <v>0</v>
      </c>
      <c r="U330" s="69" t="n">
        <f aca="false">IF(U$258=1,Inputs!$D$72,0)</f>
        <v>0</v>
      </c>
      <c r="V330" s="69" t="n">
        <f aca="false">IF(V$258=1,Inputs!$D$72,0)</f>
        <v>0</v>
      </c>
      <c r="W330" s="69" t="n">
        <f aca="false">IF(W$258=1,Inputs!$D$72,0)</f>
        <v>0</v>
      </c>
      <c r="X330" s="69" t="n">
        <f aca="false">IF(X$258=1,Inputs!$D$72,0)</f>
        <v>0</v>
      </c>
      <c r="Y330" s="69" t="n">
        <f aca="false">IF(Y$258=1,Inputs!$D$72,0)</f>
        <v>0</v>
      </c>
      <c r="Z330" s="69" t="n">
        <f aca="false">IF(Z$258=1,Inputs!$D$72,0)</f>
        <v>0</v>
      </c>
      <c r="AA330" s="69" t="n">
        <f aca="false">IF(AA$258=1,Inputs!$D$72,0)</f>
        <v>0</v>
      </c>
      <c r="AB330" s="69" t="n">
        <f aca="false">IF(AB$258=1,Inputs!$D$72,0)</f>
        <v>0</v>
      </c>
      <c r="AC330" s="69" t="n">
        <f aca="false">IF(AC$258=1,Inputs!$D$72,0)</f>
        <v>0</v>
      </c>
      <c r="AD330" s="69" t="n">
        <f aca="false">IF(AD$258=1,Inputs!$D$72,0)</f>
        <v>0</v>
      </c>
      <c r="AE330" s="69" t="n">
        <f aca="false">IF(AE$258=1,Inputs!$D$72,0)</f>
        <v>0</v>
      </c>
      <c r="AF330" s="69" t="n">
        <f aca="false">IF(AF$258=1,Inputs!$D$72,0)</f>
        <v>0</v>
      </c>
      <c r="AG330" s="69" t="n">
        <f aca="false">IF(AG$258=1,Inputs!$D$72,0)</f>
        <v>0</v>
      </c>
      <c r="AH330" s="69" t="n">
        <f aca="false">IF(AH$258=1,Inputs!$D$72,0)</f>
        <v>0</v>
      </c>
      <c r="AI330" s="69" t="n">
        <f aca="false">IF(AI$258=1,Inputs!$D$72,0)</f>
        <v>0</v>
      </c>
      <c r="AJ330" s="69" t="n">
        <f aca="false">IF(AJ$258=1,Inputs!$D$72,0)</f>
        <v>0</v>
      </c>
      <c r="AK330" s="69" t="n">
        <f aca="false">IF(AK$258=1,Inputs!$D$72,0)</f>
        <v>0</v>
      </c>
      <c r="AL330" s="69" t="n">
        <f aca="false">IF(AL$258=1,Inputs!$D$72,0)</f>
        <v>0</v>
      </c>
    </row>
    <row r="331" customFormat="false" ht="15" hidden="false" customHeight="false" outlineLevel="0" collapsed="false">
      <c r="A331" s="6" t="s">
        <v>86</v>
      </c>
      <c r="C331" s="69" t="n">
        <f aca="false">-MIN(C329,Inputs!$D$72/MAX(1,Inputs!$D$74*12))</f>
        <v>-0</v>
      </c>
      <c r="D331" s="69" t="n">
        <f aca="false">-MIN(D329,Inputs!$D$72/MAX(1,Inputs!$D$74*12))</f>
        <v>-1666.66666666667</v>
      </c>
      <c r="E331" s="69" t="n">
        <f aca="false">-MIN(E329,Inputs!$D$72/MAX(1,Inputs!$D$74*12))</f>
        <v>-1666.66666666667</v>
      </c>
      <c r="F331" s="69" t="n">
        <f aca="false">-MIN(F329,Inputs!$D$72/MAX(1,Inputs!$D$74*12))</f>
        <v>-1666.66666666667</v>
      </c>
      <c r="G331" s="69" t="n">
        <f aca="false">-MIN(G329,Inputs!$D$72/MAX(1,Inputs!$D$74*12))</f>
        <v>-1666.66666666667</v>
      </c>
      <c r="H331" s="69" t="n">
        <f aca="false">-MIN(H329,Inputs!$D$72/MAX(1,Inputs!$D$74*12))</f>
        <v>-1666.66666666667</v>
      </c>
      <c r="I331" s="69" t="n">
        <f aca="false">-MIN(I329,Inputs!$D$72/MAX(1,Inputs!$D$74*12))</f>
        <v>-1666.66666666667</v>
      </c>
      <c r="J331" s="69" t="n">
        <f aca="false">-MIN(J329,Inputs!$D$72/MAX(1,Inputs!$D$74*12))</f>
        <v>-1666.66666666667</v>
      </c>
      <c r="K331" s="69" t="n">
        <f aca="false">-MIN(K329,Inputs!$D$72/MAX(1,Inputs!$D$74*12))</f>
        <v>-1666.66666666667</v>
      </c>
      <c r="L331" s="69" t="n">
        <f aca="false">-MIN(L329,Inputs!$D$72/MAX(1,Inputs!$D$74*12))</f>
        <v>-1666.66666666667</v>
      </c>
      <c r="M331" s="69" t="n">
        <f aca="false">-MIN(M329,Inputs!$D$72/MAX(1,Inputs!$D$74*12))</f>
        <v>-1666.66666666667</v>
      </c>
      <c r="N331" s="69" t="n">
        <f aca="false">-MIN(N329,Inputs!$D$72/MAX(1,Inputs!$D$74*12))</f>
        <v>-1666.66666666667</v>
      </c>
      <c r="O331" s="69" t="n">
        <f aca="false">-MIN(O329,Inputs!$D$72/MAX(1,Inputs!$D$74*12))</f>
        <v>-1666.66666666667</v>
      </c>
      <c r="P331" s="69" t="n">
        <f aca="false">-MIN(P329,Inputs!$D$72/MAX(1,Inputs!$D$74*12))</f>
        <v>-1666.66666666667</v>
      </c>
      <c r="Q331" s="69" t="n">
        <f aca="false">-MIN(Q329,Inputs!$D$72/MAX(1,Inputs!$D$74*12))</f>
        <v>-1666.66666666667</v>
      </c>
      <c r="R331" s="69" t="n">
        <f aca="false">-MIN(R329,Inputs!$D$72/MAX(1,Inputs!$D$74*12))</f>
        <v>-1666.66666666667</v>
      </c>
      <c r="S331" s="69" t="n">
        <f aca="false">-MIN(S329,Inputs!$D$72/MAX(1,Inputs!$D$74*12))</f>
        <v>-1666.66666666667</v>
      </c>
      <c r="T331" s="69" t="n">
        <f aca="false">-MIN(T329,Inputs!$D$72/MAX(1,Inputs!$D$74*12))</f>
        <v>-1666.66666666667</v>
      </c>
      <c r="U331" s="69" t="n">
        <f aca="false">-MIN(U329,Inputs!$D$72/MAX(1,Inputs!$D$74*12))</f>
        <v>-1666.66666666667</v>
      </c>
      <c r="V331" s="69" t="n">
        <f aca="false">-MIN(V329,Inputs!$D$72/MAX(1,Inputs!$D$74*12))</f>
        <v>-1666.66666666667</v>
      </c>
      <c r="W331" s="69" t="n">
        <f aca="false">-MIN(W329,Inputs!$D$72/MAX(1,Inputs!$D$74*12))</f>
        <v>-1666.66666666667</v>
      </c>
      <c r="X331" s="69" t="n">
        <f aca="false">-MIN(X329,Inputs!$D$72/MAX(1,Inputs!$D$74*12))</f>
        <v>-1666.66666666667</v>
      </c>
      <c r="Y331" s="69" t="n">
        <f aca="false">-MIN(Y329,Inputs!$D$72/MAX(1,Inputs!$D$74*12))</f>
        <v>-1666.66666666667</v>
      </c>
      <c r="Z331" s="69" t="n">
        <f aca="false">-MIN(Z329,Inputs!$D$72/MAX(1,Inputs!$D$74*12))</f>
        <v>-1666.66666666667</v>
      </c>
      <c r="AA331" s="69" t="n">
        <f aca="false">-MIN(AA329,Inputs!$D$72/MAX(1,Inputs!$D$74*12))</f>
        <v>-1666.66666666667</v>
      </c>
      <c r="AB331" s="69" t="n">
        <f aca="false">-MIN(AB329,Inputs!$D$72/MAX(1,Inputs!$D$74*12))</f>
        <v>-1666.66666666667</v>
      </c>
      <c r="AC331" s="69" t="n">
        <f aca="false">-MIN(AC329,Inputs!$D$72/MAX(1,Inputs!$D$74*12))</f>
        <v>-1666.66666666667</v>
      </c>
      <c r="AD331" s="69" t="n">
        <f aca="false">-MIN(AD329,Inputs!$D$72/MAX(1,Inputs!$D$74*12))</f>
        <v>-1666.66666666667</v>
      </c>
      <c r="AE331" s="69" t="n">
        <f aca="false">-MIN(AE329,Inputs!$D$72/MAX(1,Inputs!$D$74*12))</f>
        <v>-1666.66666666667</v>
      </c>
      <c r="AF331" s="69" t="n">
        <f aca="false">-MIN(AF329,Inputs!$D$72/MAX(1,Inputs!$D$74*12))</f>
        <v>-1666.66666666667</v>
      </c>
      <c r="AG331" s="69" t="n">
        <f aca="false">-MIN(AG329,Inputs!$D$72/MAX(1,Inputs!$D$74*12))</f>
        <v>-1666.66666666667</v>
      </c>
      <c r="AH331" s="69" t="n">
        <f aca="false">-MIN(AH329,Inputs!$D$72/MAX(1,Inputs!$D$74*12))</f>
        <v>-1666.66666666667</v>
      </c>
      <c r="AI331" s="69" t="n">
        <f aca="false">-MIN(AI329,Inputs!$D$72/MAX(1,Inputs!$D$74*12))</f>
        <v>-1666.66666666667</v>
      </c>
      <c r="AJ331" s="69" t="n">
        <f aca="false">-MIN(AJ329,Inputs!$D$72/MAX(1,Inputs!$D$74*12))</f>
        <v>-1666.66666666667</v>
      </c>
      <c r="AK331" s="69" t="n">
        <f aca="false">-MIN(AK329,Inputs!$D$72/MAX(1,Inputs!$D$74*12))</f>
        <v>-1666.66666666667</v>
      </c>
      <c r="AL331" s="69" t="n">
        <f aca="false">-MIN(AL329,Inputs!$D$72/MAX(1,Inputs!$D$74*12))</f>
        <v>-1666.66666666667</v>
      </c>
    </row>
    <row r="332" customFormat="false" ht="15" hidden="false" customHeight="false" outlineLevel="0" collapsed="false">
      <c r="A332" s="4" t="s">
        <v>417</v>
      </c>
      <c r="C332" s="75" t="n">
        <f aca="false">C329+C330+C331</f>
        <v>100000</v>
      </c>
      <c r="D332" s="75" t="n">
        <f aca="false">D329+D330+D331</f>
        <v>98333.3333333333</v>
      </c>
      <c r="E332" s="75" t="n">
        <f aca="false">E329+E330+E331</f>
        <v>96666.6666666667</v>
      </c>
      <c r="F332" s="75" t="n">
        <f aca="false">F329+F330+F331</f>
        <v>95000</v>
      </c>
      <c r="G332" s="75" t="n">
        <f aca="false">G329+G330+G331</f>
        <v>93333.3333333333</v>
      </c>
      <c r="H332" s="75" t="n">
        <f aca="false">H329+H330+H331</f>
        <v>91666.6666666666</v>
      </c>
      <c r="I332" s="75" t="n">
        <f aca="false">I329+I330+I331</f>
        <v>90000</v>
      </c>
      <c r="J332" s="75" t="n">
        <f aca="false">J329+J330+J331</f>
        <v>88333.3333333333</v>
      </c>
      <c r="K332" s="75" t="n">
        <f aca="false">K329+K330+K331</f>
        <v>86666.6666666666</v>
      </c>
      <c r="L332" s="75" t="n">
        <f aca="false">L329+L330+L331</f>
        <v>85000</v>
      </c>
      <c r="M332" s="75" t="n">
        <f aca="false">M329+M330+M331</f>
        <v>83333.3333333333</v>
      </c>
      <c r="N332" s="75" t="n">
        <f aca="false">N329+N330+N331</f>
        <v>81666.6666666666</v>
      </c>
      <c r="O332" s="75" t="n">
        <f aca="false">O329+O330+O331</f>
        <v>79999.9999999999</v>
      </c>
      <c r="P332" s="75" t="n">
        <f aca="false">P329+P330+P331</f>
        <v>78333.3333333333</v>
      </c>
      <c r="Q332" s="75" t="n">
        <f aca="false">Q329+Q330+Q331</f>
        <v>76666.6666666666</v>
      </c>
      <c r="R332" s="75" t="n">
        <f aca="false">R329+R330+R331</f>
        <v>74999.9999999999</v>
      </c>
      <c r="S332" s="75" t="n">
        <f aca="false">S329+S330+S331</f>
        <v>73333.3333333333</v>
      </c>
      <c r="T332" s="75" t="n">
        <f aca="false">T329+T330+T331</f>
        <v>71666.6666666666</v>
      </c>
      <c r="U332" s="75" t="n">
        <f aca="false">U329+U330+U331</f>
        <v>69999.9999999999</v>
      </c>
      <c r="V332" s="75" t="n">
        <f aca="false">V329+V330+V331</f>
        <v>68333.3333333332</v>
      </c>
      <c r="W332" s="75" t="n">
        <f aca="false">W329+W330+W331</f>
        <v>66666.6666666666</v>
      </c>
      <c r="X332" s="75" t="n">
        <f aca="false">X329+X330+X331</f>
        <v>64999.9999999999</v>
      </c>
      <c r="Y332" s="75" t="n">
        <f aca="false">Y329+Y330+Y331</f>
        <v>63333.3333333332</v>
      </c>
      <c r="Z332" s="75" t="n">
        <f aca="false">Z329+Z330+Z331</f>
        <v>61666.6666666666</v>
      </c>
      <c r="AA332" s="75" t="n">
        <f aca="false">AA329+AA330+AA331</f>
        <v>59999.9999999999</v>
      </c>
      <c r="AB332" s="75" t="n">
        <f aca="false">AB329+AB330+AB331</f>
        <v>58333.3333333333</v>
      </c>
      <c r="AC332" s="75" t="n">
        <f aca="false">AC329+AC330+AC331</f>
        <v>56666.6666666666</v>
      </c>
      <c r="AD332" s="75" t="n">
        <f aca="false">AD329+AD330+AD331</f>
        <v>54999.9999999999</v>
      </c>
      <c r="AE332" s="75" t="n">
        <f aca="false">AE329+AE330+AE331</f>
        <v>53333.3333333333</v>
      </c>
      <c r="AF332" s="75" t="n">
        <f aca="false">AF329+AF330+AF331</f>
        <v>51666.6666666666</v>
      </c>
      <c r="AG332" s="75" t="n">
        <f aca="false">AG329+AG330+AG331</f>
        <v>49999.9999999999</v>
      </c>
      <c r="AH332" s="75" t="n">
        <f aca="false">AH329+AH330+AH331</f>
        <v>48333.3333333333</v>
      </c>
      <c r="AI332" s="75" t="n">
        <f aca="false">AI329+AI330+AI331</f>
        <v>46666.6666666666</v>
      </c>
      <c r="AJ332" s="75" t="n">
        <f aca="false">AJ329+AJ330+AJ331</f>
        <v>44999.9999999999</v>
      </c>
      <c r="AK332" s="75" t="n">
        <f aca="false">AK329+AK330+AK331</f>
        <v>43333.3333333333</v>
      </c>
      <c r="AL332" s="75" t="n">
        <f aca="false">AL329+AL330+AL331</f>
        <v>41666.6666666666</v>
      </c>
    </row>
    <row r="334" customFormat="false" ht="15.75" hidden="false" customHeight="true" outlineLevel="0" collapsed="false">
      <c r="A334" s="7" t="s">
        <v>319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customFormat="false" ht="15" hidden="false" customHeight="false" outlineLevel="0" collapsed="false">
      <c r="A335" s="6" t="s">
        <v>90</v>
      </c>
      <c r="C335" s="69" t="n">
        <f aca="false">C285*Inputs!$D$77/30</f>
        <v>2664.05333333333</v>
      </c>
      <c r="D335" s="69" t="n">
        <f aca="false">D285*Inputs!$D$77/30</f>
        <v>2997.06</v>
      </c>
      <c r="E335" s="69" t="n">
        <f aca="false">E285*Inputs!$D$77/30</f>
        <v>3330.06666666667</v>
      </c>
      <c r="F335" s="69" t="n">
        <f aca="false">F285*Inputs!$D$77/30</f>
        <v>3663.07333333333</v>
      </c>
      <c r="G335" s="69" t="n">
        <f aca="false">G285*Inputs!$D$77/30</f>
        <v>3996.08</v>
      </c>
      <c r="H335" s="69" t="n">
        <f aca="false">H285*Inputs!$D$77/30</f>
        <v>5129.36666666667</v>
      </c>
      <c r="I335" s="69" t="n">
        <f aca="false">I285*Inputs!$D$77/30</f>
        <v>5523.93333333333</v>
      </c>
      <c r="J335" s="69" t="n">
        <f aca="false">J285*Inputs!$D$77/30</f>
        <v>5918.5</v>
      </c>
      <c r="K335" s="69" t="n">
        <f aca="false">K285*Inputs!$D$77/30</f>
        <v>5328.10666666667</v>
      </c>
      <c r="L335" s="69" t="n">
        <f aca="false">L285*Inputs!$D$77/30</f>
        <v>5328.10666666667</v>
      </c>
      <c r="M335" s="69" t="n">
        <f aca="false">M285*Inputs!$D$77/30</f>
        <v>5328.10666666667</v>
      </c>
      <c r="N335" s="69" t="n">
        <f aca="false">N285*Inputs!$D$77/30</f>
        <v>6313.06666666667</v>
      </c>
      <c r="O335" s="69" t="n">
        <f aca="false">O285*Inputs!$D$77/30</f>
        <v>5849.80309333333</v>
      </c>
      <c r="P335" s="69" t="n">
        <f aca="false">P285*Inputs!$D$77/30</f>
        <v>5849.80309333333</v>
      </c>
      <c r="Q335" s="69" t="n">
        <f aca="false">Q285*Inputs!$D$77/30</f>
        <v>5849.80309333333</v>
      </c>
      <c r="R335" s="69" t="n">
        <f aca="false">R285*Inputs!$D$77/30</f>
        <v>5849.80309333333</v>
      </c>
      <c r="S335" s="69" t="n">
        <f aca="false">S285*Inputs!$D$77/30</f>
        <v>5849.80309333333</v>
      </c>
      <c r="T335" s="69" t="n">
        <f aca="false">T285*Inputs!$D$77/30</f>
        <v>6925.37941333333</v>
      </c>
      <c r="U335" s="69" t="n">
        <f aca="false">U285*Inputs!$D$77/30</f>
        <v>6925.37941333333</v>
      </c>
      <c r="V335" s="69" t="n">
        <f aca="false">V285*Inputs!$D$77/30</f>
        <v>6925.37941333333</v>
      </c>
      <c r="W335" s="69" t="n">
        <f aca="false">W285*Inputs!$D$77/30</f>
        <v>5849.80309333333</v>
      </c>
      <c r="X335" s="69" t="n">
        <f aca="false">X285*Inputs!$D$77/30</f>
        <v>5849.80309333333</v>
      </c>
      <c r="Y335" s="69" t="n">
        <f aca="false">Y285*Inputs!$D$77/30</f>
        <v>5849.80309333333</v>
      </c>
      <c r="Z335" s="69" t="n">
        <f aca="false">Z285*Inputs!$D$77/30</f>
        <v>6925.37941333333</v>
      </c>
      <c r="AA335" s="69" t="n">
        <f aca="false">AA285*Inputs!$D$77/30</f>
        <v>6422.72227805867</v>
      </c>
      <c r="AB335" s="69" t="n">
        <f aca="false">AB285*Inputs!$D$77/30</f>
        <v>6422.72227805867</v>
      </c>
      <c r="AC335" s="69" t="n">
        <f aca="false">AC285*Inputs!$D$77/30</f>
        <v>6422.72227805867</v>
      </c>
      <c r="AD335" s="69" t="n">
        <f aca="false">AD285*Inputs!$D$77/30</f>
        <v>6422.72227805867</v>
      </c>
      <c r="AE335" s="69" t="n">
        <f aca="false">AE285*Inputs!$D$77/30</f>
        <v>6422.72227805867</v>
      </c>
      <c r="AF335" s="69" t="n">
        <f aca="false">AF285*Inputs!$D$77/30</f>
        <v>7597.25161949867</v>
      </c>
      <c r="AG335" s="69" t="n">
        <f aca="false">AG285*Inputs!$D$77/30</f>
        <v>7597.25161949867</v>
      </c>
      <c r="AH335" s="69" t="n">
        <f aca="false">AH285*Inputs!$D$77/30</f>
        <v>7597.25161949867</v>
      </c>
      <c r="AI335" s="69" t="n">
        <f aca="false">AI285*Inputs!$D$77/30</f>
        <v>6422.72227805867</v>
      </c>
      <c r="AJ335" s="69" t="n">
        <f aca="false">AJ285*Inputs!$D$77/30</f>
        <v>6422.72227805867</v>
      </c>
      <c r="AK335" s="69" t="n">
        <f aca="false">AK285*Inputs!$D$77/30</f>
        <v>6422.72227805867</v>
      </c>
      <c r="AL335" s="69" t="n">
        <f aca="false">AL285*Inputs!$D$77/30</f>
        <v>7597.25161949867</v>
      </c>
    </row>
    <row r="336" customFormat="false" ht="15" hidden="false" customHeight="false" outlineLevel="0" collapsed="false">
      <c r="A336" s="6" t="s">
        <v>91</v>
      </c>
      <c r="C336" s="69" t="n">
        <f aca="false">-C293*Inputs!$D$78/30</f>
        <v>2893.67866666667</v>
      </c>
      <c r="D336" s="69" t="n">
        <f aca="false">-D293*Inputs!$D$78/30</f>
        <v>3159.55516666667</v>
      </c>
      <c r="E336" s="69" t="n">
        <f aca="false">-E293*Inputs!$D$78/30</f>
        <v>3425.43166666667</v>
      </c>
      <c r="F336" s="69" t="n">
        <f aca="false">-F293*Inputs!$D$78/30</f>
        <v>3691.30816666667</v>
      </c>
      <c r="G336" s="69" t="n">
        <f aca="false">-G293*Inputs!$D$78/30</f>
        <v>3957.18466666667</v>
      </c>
      <c r="H336" s="69" t="n">
        <f aca="false">-H293*Inputs!$D$78/30</f>
        <v>4443.13816666667</v>
      </c>
      <c r="I336" s="69" t="n">
        <f aca="false">-I293*Inputs!$D$78/30</f>
        <v>4725.94366666667</v>
      </c>
      <c r="J336" s="69" t="n">
        <f aca="false">-J293*Inputs!$D$78/30</f>
        <v>5008.74916666667</v>
      </c>
      <c r="K336" s="69" t="n">
        <f aca="false">-K293*Inputs!$D$78/30</f>
        <v>5020.69066666667</v>
      </c>
      <c r="L336" s="69" t="n">
        <f aca="false">-L293*Inputs!$D$78/30</f>
        <v>5020.69066666667</v>
      </c>
      <c r="M336" s="69" t="n">
        <f aca="false">-M293*Inputs!$D$78/30</f>
        <v>5020.69066666667</v>
      </c>
      <c r="N336" s="69" t="n">
        <f aca="false">-N293*Inputs!$D$78/30</f>
        <v>5291.55466666667</v>
      </c>
      <c r="O336" s="69" t="n">
        <f aca="false">-O293*Inputs!$D$78/30</f>
        <v>5456.49182586667</v>
      </c>
      <c r="P336" s="69" t="n">
        <f aca="false">-P293*Inputs!$D$78/30</f>
        <v>5456.49182586667</v>
      </c>
      <c r="Q336" s="69" t="n">
        <f aca="false">-Q293*Inputs!$D$78/30</f>
        <v>5456.49182586667</v>
      </c>
      <c r="R336" s="69" t="n">
        <f aca="false">-R293*Inputs!$D$78/30</f>
        <v>5456.49182586667</v>
      </c>
      <c r="S336" s="69" t="n">
        <f aca="false">-S293*Inputs!$D$78/30</f>
        <v>5456.49182586667</v>
      </c>
      <c r="T336" s="69" t="n">
        <f aca="false">-T293*Inputs!$D$78/30</f>
        <v>5748.00920586667</v>
      </c>
      <c r="U336" s="69" t="n">
        <f aca="false">-U293*Inputs!$D$78/30</f>
        <v>5748.00920586667</v>
      </c>
      <c r="V336" s="69" t="n">
        <f aca="false">-V293*Inputs!$D$78/30</f>
        <v>5748.00920586667</v>
      </c>
      <c r="W336" s="69" t="n">
        <f aca="false">-W293*Inputs!$D$78/30</f>
        <v>5456.49182586667</v>
      </c>
      <c r="X336" s="69" t="n">
        <f aca="false">-X293*Inputs!$D$78/30</f>
        <v>5456.49182586667</v>
      </c>
      <c r="Y336" s="69" t="n">
        <f aca="false">-Y293*Inputs!$D$78/30</f>
        <v>5456.49182586667</v>
      </c>
      <c r="Z336" s="69" t="n">
        <f aca="false">-Z293*Inputs!$D$78/30</f>
        <v>5748.00920586667</v>
      </c>
      <c r="AA336" s="69" t="n">
        <f aca="false">-AA293*Inputs!$D$78/30</f>
        <v>5933.45008504575</v>
      </c>
      <c r="AB336" s="69" t="n">
        <f aca="false">-AB293*Inputs!$D$78/30</f>
        <v>5933.45008504575</v>
      </c>
      <c r="AC336" s="69" t="n">
        <f aca="false">-AC293*Inputs!$D$78/30</f>
        <v>5933.45008504575</v>
      </c>
      <c r="AD336" s="69" t="n">
        <f aca="false">-AD293*Inputs!$D$78/30</f>
        <v>5933.45008504575</v>
      </c>
      <c r="AE336" s="69" t="n">
        <f aca="false">-AE293*Inputs!$D$78/30</f>
        <v>5933.45008504575</v>
      </c>
      <c r="AF336" s="69" t="n">
        <f aca="false">-AF293*Inputs!$D$78/30</f>
        <v>6247.19566527075</v>
      </c>
      <c r="AG336" s="69" t="n">
        <f aca="false">-AG293*Inputs!$D$78/30</f>
        <v>6247.19566527075</v>
      </c>
      <c r="AH336" s="69" t="n">
        <f aca="false">-AH293*Inputs!$D$78/30</f>
        <v>6247.19566527075</v>
      </c>
      <c r="AI336" s="69" t="n">
        <f aca="false">-AI293*Inputs!$D$78/30</f>
        <v>5933.45008504575</v>
      </c>
      <c r="AJ336" s="69" t="n">
        <f aca="false">-AJ293*Inputs!$D$78/30</f>
        <v>5933.45008504575</v>
      </c>
      <c r="AK336" s="69" t="n">
        <f aca="false">-AK293*Inputs!$D$78/30</f>
        <v>5933.45008504575</v>
      </c>
      <c r="AL336" s="69" t="n">
        <f aca="false">-AL293*Inputs!$D$78/30</f>
        <v>6247.19566527075</v>
      </c>
    </row>
    <row r="337" customFormat="false" ht="15" hidden="false" customHeight="false" outlineLevel="0" collapsed="false">
      <c r="A337" s="6" t="s">
        <v>94</v>
      </c>
      <c r="C337" s="69" t="n">
        <f aca="false">-C293*Inputs!$D$79/30</f>
        <v>12056.9944444444</v>
      </c>
      <c r="D337" s="69" t="n">
        <f aca="false">-D293*Inputs!$D$79/30</f>
        <v>13164.8131944444</v>
      </c>
      <c r="E337" s="69" t="n">
        <f aca="false">-E293*Inputs!$D$79/30</f>
        <v>14272.6319444444</v>
      </c>
      <c r="F337" s="69" t="n">
        <f aca="false">-F293*Inputs!$D$79/30</f>
        <v>15380.4506944444</v>
      </c>
      <c r="G337" s="69" t="n">
        <f aca="false">-G293*Inputs!$D$79/30</f>
        <v>16488.2694444444</v>
      </c>
      <c r="H337" s="69" t="n">
        <f aca="false">-H293*Inputs!$D$79/30</f>
        <v>18513.0756944444</v>
      </c>
      <c r="I337" s="69" t="n">
        <f aca="false">-I293*Inputs!$D$79/30</f>
        <v>19691.4319444444</v>
      </c>
      <c r="J337" s="69" t="n">
        <f aca="false">-J293*Inputs!$D$79/30</f>
        <v>20869.7881944444</v>
      </c>
      <c r="K337" s="69" t="n">
        <f aca="false">-K293*Inputs!$D$79/30</f>
        <v>20919.5444444445</v>
      </c>
      <c r="L337" s="69" t="n">
        <f aca="false">-L293*Inputs!$D$79/30</f>
        <v>20919.5444444445</v>
      </c>
      <c r="M337" s="69" t="n">
        <f aca="false">-M293*Inputs!$D$79/30</f>
        <v>20919.5444444445</v>
      </c>
      <c r="N337" s="69" t="n">
        <f aca="false">-N293*Inputs!$D$79/30</f>
        <v>22048.1444444445</v>
      </c>
      <c r="O337" s="69" t="n">
        <f aca="false">-O293*Inputs!$D$79/30</f>
        <v>22735.3826077778</v>
      </c>
      <c r="P337" s="69" t="n">
        <f aca="false">-P293*Inputs!$D$79/30</f>
        <v>22735.3826077778</v>
      </c>
      <c r="Q337" s="69" t="n">
        <f aca="false">-Q293*Inputs!$D$79/30</f>
        <v>22735.3826077778</v>
      </c>
      <c r="R337" s="69" t="n">
        <f aca="false">-R293*Inputs!$D$79/30</f>
        <v>22735.3826077778</v>
      </c>
      <c r="S337" s="69" t="n">
        <f aca="false">-S293*Inputs!$D$79/30</f>
        <v>22735.3826077778</v>
      </c>
      <c r="T337" s="69" t="n">
        <f aca="false">-T293*Inputs!$D$79/30</f>
        <v>23950.0383577778</v>
      </c>
      <c r="U337" s="69" t="n">
        <f aca="false">-U293*Inputs!$D$79/30</f>
        <v>23950.0383577778</v>
      </c>
      <c r="V337" s="69" t="n">
        <f aca="false">-V293*Inputs!$D$79/30</f>
        <v>23950.0383577778</v>
      </c>
      <c r="W337" s="69" t="n">
        <f aca="false">-W293*Inputs!$D$79/30</f>
        <v>22735.3826077778</v>
      </c>
      <c r="X337" s="69" t="n">
        <f aca="false">-X293*Inputs!$D$79/30</f>
        <v>22735.3826077778</v>
      </c>
      <c r="Y337" s="69" t="n">
        <f aca="false">-Y293*Inputs!$D$79/30</f>
        <v>22735.3826077778</v>
      </c>
      <c r="Z337" s="69" t="n">
        <f aca="false">-Z293*Inputs!$D$79/30</f>
        <v>23950.0383577778</v>
      </c>
      <c r="AA337" s="69" t="n">
        <f aca="false">-AA293*Inputs!$D$79/30</f>
        <v>24722.7086876906</v>
      </c>
      <c r="AB337" s="69" t="n">
        <f aca="false">-AB293*Inputs!$D$79/30</f>
        <v>24722.7086876906</v>
      </c>
      <c r="AC337" s="69" t="n">
        <f aca="false">-AC293*Inputs!$D$79/30</f>
        <v>24722.7086876906</v>
      </c>
      <c r="AD337" s="69" t="n">
        <f aca="false">-AD293*Inputs!$D$79/30</f>
        <v>24722.7086876906</v>
      </c>
      <c r="AE337" s="69" t="n">
        <f aca="false">-AE293*Inputs!$D$79/30</f>
        <v>24722.7086876906</v>
      </c>
      <c r="AF337" s="69" t="n">
        <f aca="false">-AF293*Inputs!$D$79/30</f>
        <v>26029.9819386281</v>
      </c>
      <c r="AG337" s="69" t="n">
        <f aca="false">-AG293*Inputs!$D$79/30</f>
        <v>26029.9819386281</v>
      </c>
      <c r="AH337" s="69" t="n">
        <f aca="false">-AH293*Inputs!$D$79/30</f>
        <v>26029.9819386281</v>
      </c>
      <c r="AI337" s="69" t="n">
        <f aca="false">-AI293*Inputs!$D$79/30</f>
        <v>24722.7086876906</v>
      </c>
      <c r="AJ337" s="69" t="n">
        <f aca="false">-AJ293*Inputs!$D$79/30</f>
        <v>24722.7086876906</v>
      </c>
      <c r="AK337" s="69" t="n">
        <f aca="false">-AK293*Inputs!$D$79/30</f>
        <v>24722.7086876906</v>
      </c>
      <c r="AL337" s="69" t="n">
        <f aca="false">-AL293*Inputs!$D$79/30</f>
        <v>26029.9819386281</v>
      </c>
    </row>
    <row r="338" customFormat="false" ht="15" hidden="false" customHeight="false" outlineLevel="0" collapsed="false">
      <c r="A338" s="6" t="s">
        <v>342</v>
      </c>
      <c r="C338" s="69" t="n">
        <f aca="false">-C335</f>
        <v>-2664.05333333333</v>
      </c>
      <c r="D338" s="69" t="n">
        <f aca="false">C335-D335</f>
        <v>-333.006666666666</v>
      </c>
      <c r="E338" s="69" t="n">
        <f aca="false">D335-E335</f>
        <v>-333.006666666667</v>
      </c>
      <c r="F338" s="69" t="n">
        <f aca="false">E335-F335</f>
        <v>-333.006666666667</v>
      </c>
      <c r="G338" s="69" t="n">
        <f aca="false">F335-G335</f>
        <v>-333.006666666667</v>
      </c>
      <c r="H338" s="69" t="n">
        <f aca="false">G335-H335</f>
        <v>-1133.28666666667</v>
      </c>
      <c r="I338" s="69" t="n">
        <f aca="false">H335-I335</f>
        <v>-394.566666666667</v>
      </c>
      <c r="J338" s="69" t="n">
        <f aca="false">I335-J335</f>
        <v>-394.566666666667</v>
      </c>
      <c r="K338" s="69" t="n">
        <f aca="false">J335-K335</f>
        <v>590.393333333333</v>
      </c>
      <c r="L338" s="69" t="n">
        <f aca="false">K335-L335</f>
        <v>0</v>
      </c>
      <c r="M338" s="69" t="n">
        <f aca="false">L335-M335</f>
        <v>0</v>
      </c>
      <c r="N338" s="69" t="n">
        <f aca="false">M335-N335</f>
        <v>-984.959999999999</v>
      </c>
      <c r="O338" s="69" t="n">
        <f aca="false">N335-O335</f>
        <v>463.263573333334</v>
      </c>
      <c r="P338" s="69" t="n">
        <f aca="false">O335-P335</f>
        <v>0</v>
      </c>
      <c r="Q338" s="69" t="n">
        <f aca="false">P335-Q335</f>
        <v>0</v>
      </c>
      <c r="R338" s="69" t="n">
        <f aca="false">Q335-R335</f>
        <v>0</v>
      </c>
      <c r="S338" s="69" t="n">
        <f aca="false">R335-S335</f>
        <v>0</v>
      </c>
      <c r="T338" s="69" t="n">
        <f aca="false">S335-T335</f>
        <v>-1075.57632</v>
      </c>
      <c r="U338" s="69" t="n">
        <f aca="false">T335-U335</f>
        <v>0</v>
      </c>
      <c r="V338" s="69" t="n">
        <f aca="false">U335-V335</f>
        <v>0</v>
      </c>
      <c r="W338" s="69" t="n">
        <f aca="false">V335-W335</f>
        <v>1075.57632</v>
      </c>
      <c r="X338" s="69" t="n">
        <f aca="false">W335-X335</f>
        <v>0</v>
      </c>
      <c r="Y338" s="69" t="n">
        <f aca="false">X335-Y335</f>
        <v>0</v>
      </c>
      <c r="Z338" s="69" t="n">
        <f aca="false">Y335-Z335</f>
        <v>-1075.57632</v>
      </c>
      <c r="AA338" s="69" t="n">
        <f aca="false">Z335-AA335</f>
        <v>502.657135274667</v>
      </c>
      <c r="AB338" s="69" t="n">
        <f aca="false">AA335-AB335</f>
        <v>0</v>
      </c>
      <c r="AC338" s="69" t="n">
        <f aca="false">AB335-AC335</f>
        <v>0</v>
      </c>
      <c r="AD338" s="69" t="n">
        <f aca="false">AC335-AD335</f>
        <v>0</v>
      </c>
      <c r="AE338" s="69" t="n">
        <f aca="false">AD335-AE335</f>
        <v>0</v>
      </c>
      <c r="AF338" s="69" t="n">
        <f aca="false">AE335-AF335</f>
        <v>-1174.52934144</v>
      </c>
      <c r="AG338" s="69" t="n">
        <f aca="false">AF335-AG335</f>
        <v>0</v>
      </c>
      <c r="AH338" s="69" t="n">
        <f aca="false">AG335-AH335</f>
        <v>0</v>
      </c>
      <c r="AI338" s="69" t="n">
        <f aca="false">AH335-AI335</f>
        <v>1174.52934144</v>
      </c>
      <c r="AJ338" s="69" t="n">
        <f aca="false">AI335-AJ335</f>
        <v>0</v>
      </c>
      <c r="AK338" s="69" t="n">
        <f aca="false">AJ335-AK335</f>
        <v>0</v>
      </c>
      <c r="AL338" s="69" t="n">
        <f aca="false">AK335-AL335</f>
        <v>-1174.52934144</v>
      </c>
    </row>
    <row r="339" customFormat="false" ht="15" hidden="false" customHeight="false" outlineLevel="0" collapsed="false">
      <c r="A339" s="6" t="s">
        <v>343</v>
      </c>
      <c r="C339" s="69" t="n">
        <f aca="false">-C336</f>
        <v>-2893.67866666667</v>
      </c>
      <c r="D339" s="69" t="n">
        <f aca="false">C336-D336</f>
        <v>-265.876499999999</v>
      </c>
      <c r="E339" s="69" t="n">
        <f aca="false">D336-E336</f>
        <v>-265.8765</v>
      </c>
      <c r="F339" s="69" t="n">
        <f aca="false">E336-F336</f>
        <v>-265.876500000001</v>
      </c>
      <c r="G339" s="69" t="n">
        <f aca="false">F336-G336</f>
        <v>-265.876499999999</v>
      </c>
      <c r="H339" s="69" t="n">
        <f aca="false">G336-H336</f>
        <v>-485.953500000001</v>
      </c>
      <c r="I339" s="69" t="n">
        <f aca="false">H336-I336</f>
        <v>-282.8055</v>
      </c>
      <c r="J339" s="69" t="n">
        <f aca="false">I336-J336</f>
        <v>-282.8055</v>
      </c>
      <c r="K339" s="69" t="n">
        <f aca="false">J336-K336</f>
        <v>-11.9415000000008</v>
      </c>
      <c r="L339" s="69" t="n">
        <f aca="false">K336-L336</f>
        <v>0</v>
      </c>
      <c r="M339" s="69" t="n">
        <f aca="false">L336-M336</f>
        <v>0</v>
      </c>
      <c r="N339" s="69" t="n">
        <f aca="false">M336-N336</f>
        <v>-270.864</v>
      </c>
      <c r="O339" s="69" t="n">
        <f aca="false">N336-O336</f>
        <v>-164.937159200001</v>
      </c>
      <c r="P339" s="69" t="n">
        <f aca="false">O336-P336</f>
        <v>0</v>
      </c>
      <c r="Q339" s="69" t="n">
        <f aca="false">P336-Q336</f>
        <v>0</v>
      </c>
      <c r="R339" s="69" t="n">
        <f aca="false">Q336-R336</f>
        <v>0</v>
      </c>
      <c r="S339" s="69" t="n">
        <f aca="false">R336-S336</f>
        <v>0</v>
      </c>
      <c r="T339" s="69" t="n">
        <f aca="false">S336-T336</f>
        <v>-291.517379999998</v>
      </c>
      <c r="U339" s="69" t="n">
        <f aca="false">T336-U336</f>
        <v>0</v>
      </c>
      <c r="V339" s="69" t="n">
        <f aca="false">U336-V336</f>
        <v>0</v>
      </c>
      <c r="W339" s="69" t="n">
        <f aca="false">V336-W336</f>
        <v>291.517379999998</v>
      </c>
      <c r="X339" s="69" t="n">
        <f aca="false">W336-X336</f>
        <v>0</v>
      </c>
      <c r="Y339" s="69" t="n">
        <f aca="false">X336-Y336</f>
        <v>0</v>
      </c>
      <c r="Z339" s="69" t="n">
        <f aca="false">Y336-Z336</f>
        <v>-291.517379999998</v>
      </c>
      <c r="AA339" s="69" t="n">
        <f aca="false">Z336-AA336</f>
        <v>-185.44087917908</v>
      </c>
      <c r="AB339" s="69" t="n">
        <f aca="false">AA336-AB336</f>
        <v>0</v>
      </c>
      <c r="AC339" s="69" t="n">
        <f aca="false">AB336-AC336</f>
        <v>0</v>
      </c>
      <c r="AD339" s="69" t="n">
        <f aca="false">AC336-AD336</f>
        <v>0</v>
      </c>
      <c r="AE339" s="69" t="n">
        <f aca="false">AD336-AE336</f>
        <v>0</v>
      </c>
      <c r="AF339" s="69" t="n">
        <f aca="false">AE336-AF336</f>
        <v>-313.745580225</v>
      </c>
      <c r="AG339" s="69" t="n">
        <f aca="false">AF336-AG336</f>
        <v>0</v>
      </c>
      <c r="AH339" s="69" t="n">
        <f aca="false">AG336-AH336</f>
        <v>0</v>
      </c>
      <c r="AI339" s="69" t="n">
        <f aca="false">AH336-AI336</f>
        <v>313.745580225</v>
      </c>
      <c r="AJ339" s="69" t="n">
        <f aca="false">AI336-AJ336</f>
        <v>0</v>
      </c>
      <c r="AK339" s="69" t="n">
        <f aca="false">AJ336-AK336</f>
        <v>0</v>
      </c>
      <c r="AL339" s="69" t="n">
        <f aca="false">AK336-AL336</f>
        <v>-313.745580225</v>
      </c>
    </row>
    <row r="340" customFormat="false" ht="15" hidden="false" customHeight="false" outlineLevel="0" collapsed="false">
      <c r="A340" s="6" t="s">
        <v>344</v>
      </c>
      <c r="C340" s="69" t="n">
        <f aca="false">C337</f>
        <v>12056.9944444444</v>
      </c>
      <c r="D340" s="69" t="n">
        <f aca="false">D337-C337</f>
        <v>1107.81875</v>
      </c>
      <c r="E340" s="69" t="n">
        <f aca="false">E337-D337</f>
        <v>1107.81875</v>
      </c>
      <c r="F340" s="69" t="n">
        <f aca="false">F337-E337</f>
        <v>1107.81875</v>
      </c>
      <c r="G340" s="69" t="n">
        <f aca="false">G337-F337</f>
        <v>1107.81875</v>
      </c>
      <c r="H340" s="69" t="n">
        <f aca="false">H337-G337</f>
        <v>2024.80625000001</v>
      </c>
      <c r="I340" s="69" t="n">
        <f aca="false">I337-H337</f>
        <v>1178.35624999999</v>
      </c>
      <c r="J340" s="69" t="n">
        <f aca="false">J337-I337</f>
        <v>1178.35625</v>
      </c>
      <c r="K340" s="69" t="n">
        <f aca="false">K337-J337</f>
        <v>49.7562500000058</v>
      </c>
      <c r="L340" s="69" t="n">
        <f aca="false">L337-K337</f>
        <v>0</v>
      </c>
      <c r="M340" s="69" t="n">
        <f aca="false">M337-L337</f>
        <v>0</v>
      </c>
      <c r="N340" s="69" t="n">
        <f aca="false">N337-M337</f>
        <v>1128.6</v>
      </c>
      <c r="O340" s="69" t="n">
        <f aca="false">O337-N337</f>
        <v>687.238163333332</v>
      </c>
      <c r="P340" s="69" t="n">
        <f aca="false">P337-O337</f>
        <v>0</v>
      </c>
      <c r="Q340" s="69" t="n">
        <f aca="false">Q337-P337</f>
        <v>0</v>
      </c>
      <c r="R340" s="69" t="n">
        <f aca="false">R337-Q337</f>
        <v>0</v>
      </c>
      <c r="S340" s="69" t="n">
        <f aca="false">S337-R337</f>
        <v>0</v>
      </c>
      <c r="T340" s="69" t="n">
        <f aca="false">T337-S337</f>
        <v>1214.65574999999</v>
      </c>
      <c r="U340" s="69" t="n">
        <f aca="false">U337-T337</f>
        <v>0</v>
      </c>
      <c r="V340" s="69" t="n">
        <f aca="false">V337-U337</f>
        <v>0</v>
      </c>
      <c r="W340" s="69" t="n">
        <f aca="false">W337-V337</f>
        <v>-1214.65574999999</v>
      </c>
      <c r="X340" s="69" t="n">
        <f aca="false">X337-W337</f>
        <v>0</v>
      </c>
      <c r="Y340" s="69" t="n">
        <f aca="false">Y337-X337</f>
        <v>0</v>
      </c>
      <c r="Z340" s="69" t="n">
        <f aca="false">Z337-Y337</f>
        <v>1214.65574999999</v>
      </c>
      <c r="AA340" s="69" t="n">
        <f aca="false">AA337-Z337</f>
        <v>772.670329912835</v>
      </c>
      <c r="AB340" s="69" t="n">
        <f aca="false">AB337-AA337</f>
        <v>0</v>
      </c>
      <c r="AC340" s="69" t="n">
        <f aca="false">AC337-AB337</f>
        <v>0</v>
      </c>
      <c r="AD340" s="69" t="n">
        <f aca="false">AD337-AC337</f>
        <v>0</v>
      </c>
      <c r="AE340" s="69" t="n">
        <f aca="false">AE337-AD337</f>
        <v>0</v>
      </c>
      <c r="AF340" s="69" t="n">
        <f aca="false">AF337-AE337</f>
        <v>1307.2732509375</v>
      </c>
      <c r="AG340" s="69" t="n">
        <f aca="false">AG337-AF337</f>
        <v>0</v>
      </c>
      <c r="AH340" s="69" t="n">
        <f aca="false">AH337-AG337</f>
        <v>0</v>
      </c>
      <c r="AI340" s="69" t="n">
        <f aca="false">AI337-AH337</f>
        <v>-1307.2732509375</v>
      </c>
      <c r="AJ340" s="69" t="n">
        <f aca="false">AJ337-AI337</f>
        <v>0</v>
      </c>
      <c r="AK340" s="69" t="n">
        <f aca="false">AK337-AJ337</f>
        <v>0</v>
      </c>
      <c r="AL340" s="69" t="n">
        <f aca="false">AL337-AK337</f>
        <v>1307.2732509375</v>
      </c>
    </row>
    <row r="342" customFormat="false" ht="15.75" hidden="false" customHeight="true" outlineLevel="0" collapsed="false">
      <c r="A342" s="7" t="s">
        <v>418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customFormat="false" ht="15" hidden="false" customHeight="false" outlineLevel="0" collapsed="false">
      <c r="A343" s="4" t="s">
        <v>52</v>
      </c>
      <c r="C343" s="75" t="n">
        <f aca="false">C313-C324+C338+C339+C340</f>
        <v>-4614.73328888888</v>
      </c>
      <c r="D343" s="75" t="n">
        <f aca="false">D313-D324+D338+D339+D340</f>
        <v>-7072.95545</v>
      </c>
      <c r="E343" s="75" t="n">
        <f aca="false">E313-E324+E338+E339+E340</f>
        <v>-3534.60075</v>
      </c>
      <c r="F343" s="75" t="n">
        <f aca="false">F313-F324+F338+F339+F340</f>
        <v>3.75394999999526</v>
      </c>
      <c r="G343" s="75" t="n">
        <f aca="false">G313-G324+G338+G339+G340</f>
        <v>3542.10864999999</v>
      </c>
      <c r="H343" s="75" t="n">
        <f aca="false">H313-H324+H338+H339+H340</f>
        <v>17544.79125</v>
      </c>
      <c r="I343" s="75" t="n">
        <f aca="false">I313-I324+I338+I339+I340</f>
        <v>21017.688885</v>
      </c>
      <c r="J343" s="75" t="n">
        <f aca="false">J313-J324+J338+J339+J340</f>
        <v>21329.391575</v>
      </c>
      <c r="K343" s="75" t="n">
        <f aca="false">K313-K324+K338+K339+K340</f>
        <v>14619.053158</v>
      </c>
      <c r="L343" s="75" t="n">
        <f aca="false">L313-L324+L338+L339+L340</f>
        <v>14000.7200746667</v>
      </c>
      <c r="M343" s="75" t="n">
        <f aca="false">M313-M324+M338+M339+M340</f>
        <v>14010.5950746667</v>
      </c>
      <c r="N343" s="75" t="n">
        <f aca="false">N313-N324+N338+N339+N340</f>
        <v>24168.2995466667</v>
      </c>
      <c r="O343" s="75" t="n">
        <f aca="false">O313-O324+O338+O339+O340</f>
        <v>18889.1951049253</v>
      </c>
      <c r="P343" s="75" t="n">
        <f aca="false">P313-P324+P338+P339+P340</f>
        <v>17913.5055274587</v>
      </c>
      <c r="Q343" s="75" t="n">
        <f aca="false">Q313-Q324+Q338+Q339+Q340</f>
        <v>17923.3805274587</v>
      </c>
      <c r="R343" s="75" t="n">
        <f aca="false">R313-R324+R338+R339+R340</f>
        <v>17933.2555274587</v>
      </c>
      <c r="S343" s="75" t="n">
        <f aca="false">S313-S324+S338+S339+S340</f>
        <v>17943.1305274587</v>
      </c>
      <c r="T343" s="75" t="n">
        <f aca="false">T313-T324+T338+T339+T340</f>
        <v>29037.7770954827</v>
      </c>
      <c r="U343" s="75" t="n">
        <f aca="false">U313-U324+U338+U339+U340</f>
        <v>29200.0900454827</v>
      </c>
      <c r="V343" s="75" t="n">
        <f aca="false">V313-V324+V338+V339+V340</f>
        <v>29209.9650454827</v>
      </c>
      <c r="W343" s="75" t="n">
        <f aca="false">W313-W324+W338+W339+W340</f>
        <v>18135.0684774587</v>
      </c>
      <c r="X343" s="75" t="n">
        <f aca="false">X313-X324+X338+X339+X340</f>
        <v>17992.5055274587</v>
      </c>
      <c r="Y343" s="75" t="n">
        <f aca="false">Y313-Y324+Y338+Y339+Y340</f>
        <v>18002.3805274587</v>
      </c>
      <c r="Z343" s="75" t="n">
        <f aca="false">Z313-Z324+Z338+Z339+Z340</f>
        <v>29097.0270954827</v>
      </c>
      <c r="AA343" s="75" t="n">
        <f aca="false">AA313-AA324+AA338+AA339+AA340</f>
        <v>23364.3868807131</v>
      </c>
      <c r="AB343" s="75" t="n">
        <f aca="false">AB313-AB324+AB338+AB339+AB340</f>
        <v>22284.3752947046</v>
      </c>
      <c r="AC343" s="75" t="n">
        <f aca="false">AC313-AC324+AC338+AC339+AC340</f>
        <v>22294.2502947046</v>
      </c>
      <c r="AD343" s="75" t="n">
        <f aca="false">AD313-AD324+AD338+AD339+AD340</f>
        <v>22304.1252947046</v>
      </c>
      <c r="AE343" s="75" t="n">
        <f aca="false">AE313-AE324+AE338+AE339+AE340</f>
        <v>22314.0002947046</v>
      </c>
      <c r="AF343" s="75" t="n">
        <f aca="false">AF313-AF324+AF338+AF339+AF340</f>
        <v>34432.0424426626</v>
      </c>
      <c r="AG343" s="75" t="n">
        <f aca="false">AG313-AG324+AG338+AG339+AG340</f>
        <v>34622.9191133901</v>
      </c>
      <c r="AH343" s="75" t="n">
        <f aca="false">AH313-AH324+AH338+AH339+AH340</f>
        <v>34632.7941133901</v>
      </c>
      <c r="AI343" s="75" t="n">
        <f aca="false">AI313-AI324+AI338+AI339+AI340</f>
        <v>22534.5019654321</v>
      </c>
      <c r="AJ343" s="75" t="n">
        <f aca="false">AJ313-AJ324+AJ338+AJ339+AJ340</f>
        <v>22363.3752947046</v>
      </c>
      <c r="AK343" s="75" t="n">
        <f aca="false">AK313-AK324+AK338+AK339+AK340</f>
        <v>22373.2502947046</v>
      </c>
      <c r="AL343" s="75" t="n">
        <f aca="false">AL313-AL324+AL338+AL339+AL340</f>
        <v>34491.2924426626</v>
      </c>
    </row>
    <row r="344" customFormat="false" ht="15" hidden="false" customHeight="false" outlineLevel="0" collapsed="false">
      <c r="A344" s="6" t="s">
        <v>419</v>
      </c>
      <c r="C344" s="69" t="n">
        <f aca="false">-C321</f>
        <v>-189000</v>
      </c>
      <c r="D344" s="69" t="n">
        <f aca="false">-D321</f>
        <v>-0</v>
      </c>
      <c r="E344" s="69" t="n">
        <f aca="false">-E321</f>
        <v>-0</v>
      </c>
      <c r="F344" s="69" t="n">
        <f aca="false">-F321</f>
        <v>-0</v>
      </c>
      <c r="G344" s="69" t="n">
        <f aca="false">-G321</f>
        <v>-0</v>
      </c>
      <c r="H344" s="69" t="n">
        <f aca="false">-H321</f>
        <v>-0</v>
      </c>
      <c r="I344" s="69" t="n">
        <f aca="false">-I321</f>
        <v>-0</v>
      </c>
      <c r="J344" s="69" t="n">
        <f aca="false">-J321</f>
        <v>-0</v>
      </c>
      <c r="K344" s="69" t="n">
        <f aca="false">-K321</f>
        <v>-0</v>
      </c>
      <c r="L344" s="69" t="n">
        <f aca="false">-L321</f>
        <v>-0</v>
      </c>
      <c r="M344" s="69" t="n">
        <f aca="false">-M321</f>
        <v>-0</v>
      </c>
      <c r="N344" s="69" t="n">
        <f aca="false">-N321</f>
        <v>-0</v>
      </c>
      <c r="O344" s="69" t="n">
        <f aca="false">-O321</f>
        <v>-10000</v>
      </c>
      <c r="P344" s="69" t="n">
        <f aca="false">-P321</f>
        <v>-0</v>
      </c>
      <c r="Q344" s="69" t="n">
        <f aca="false">-Q321</f>
        <v>-0</v>
      </c>
      <c r="R344" s="69" t="n">
        <f aca="false">-R321</f>
        <v>-0</v>
      </c>
      <c r="S344" s="69" t="n">
        <f aca="false">-S321</f>
        <v>-0</v>
      </c>
      <c r="T344" s="69" t="n">
        <f aca="false">-T321</f>
        <v>-0</v>
      </c>
      <c r="U344" s="69" t="n">
        <f aca="false">-U321</f>
        <v>-0</v>
      </c>
      <c r="V344" s="69" t="n">
        <f aca="false">-V321</f>
        <v>-0</v>
      </c>
      <c r="W344" s="69" t="n">
        <f aca="false">-W321</f>
        <v>-0</v>
      </c>
      <c r="X344" s="69" t="n">
        <f aca="false">-X321</f>
        <v>-0</v>
      </c>
      <c r="Y344" s="69" t="n">
        <f aca="false">-Y321</f>
        <v>-0</v>
      </c>
      <c r="Z344" s="69" t="n">
        <f aca="false">-Z321</f>
        <v>-0</v>
      </c>
      <c r="AA344" s="69" t="n">
        <f aca="false">-AA321</f>
        <v>-10000</v>
      </c>
      <c r="AB344" s="69" t="n">
        <f aca="false">-AB321</f>
        <v>-0</v>
      </c>
      <c r="AC344" s="69" t="n">
        <f aca="false">-AC321</f>
        <v>-0</v>
      </c>
      <c r="AD344" s="69" t="n">
        <f aca="false">-AD321</f>
        <v>-0</v>
      </c>
      <c r="AE344" s="69" t="n">
        <f aca="false">-AE321</f>
        <v>-0</v>
      </c>
      <c r="AF344" s="69" t="n">
        <f aca="false">-AF321</f>
        <v>-0</v>
      </c>
      <c r="AG344" s="69" t="n">
        <f aca="false">-AG321</f>
        <v>-0</v>
      </c>
      <c r="AH344" s="69" t="n">
        <f aca="false">-AH321</f>
        <v>-0</v>
      </c>
      <c r="AI344" s="69" t="n">
        <f aca="false">-AI321</f>
        <v>-0</v>
      </c>
      <c r="AJ344" s="69" t="n">
        <f aca="false">-AJ321</f>
        <v>-0</v>
      </c>
      <c r="AK344" s="69" t="n">
        <f aca="false">-AK321</f>
        <v>-0</v>
      </c>
      <c r="AL344" s="69" t="n">
        <f aca="false">-AL321</f>
        <v>-0</v>
      </c>
    </row>
    <row r="345" customFormat="false" ht="15" hidden="false" customHeight="false" outlineLevel="0" collapsed="false">
      <c r="A345" s="6" t="s">
        <v>64</v>
      </c>
      <c r="C345" s="69" t="n">
        <f aca="false">IF(C$258=1,Inputs!$D$71,0)</f>
        <v>330000</v>
      </c>
      <c r="D345" s="69" t="n">
        <f aca="false">IF(D$258=1,Inputs!$D$71,0)</f>
        <v>0</v>
      </c>
      <c r="E345" s="69" t="n">
        <f aca="false">IF(E$258=1,Inputs!$D$71,0)</f>
        <v>0</v>
      </c>
      <c r="F345" s="69" t="n">
        <f aca="false">IF(F$258=1,Inputs!$D$71,0)</f>
        <v>0</v>
      </c>
      <c r="G345" s="69" t="n">
        <f aca="false">IF(G$258=1,Inputs!$D$71,0)</f>
        <v>0</v>
      </c>
      <c r="H345" s="69" t="n">
        <f aca="false">IF(H$258=1,Inputs!$D$71,0)</f>
        <v>0</v>
      </c>
      <c r="I345" s="69" t="n">
        <f aca="false">IF(I$258=1,Inputs!$D$71,0)</f>
        <v>0</v>
      </c>
      <c r="J345" s="69" t="n">
        <f aca="false">IF(J$258=1,Inputs!$D$71,0)</f>
        <v>0</v>
      </c>
      <c r="K345" s="69" t="n">
        <f aca="false">IF(K$258=1,Inputs!$D$71,0)</f>
        <v>0</v>
      </c>
      <c r="L345" s="69" t="n">
        <f aca="false">IF(L$258=1,Inputs!$D$71,0)</f>
        <v>0</v>
      </c>
      <c r="M345" s="69" t="n">
        <f aca="false">IF(M$258=1,Inputs!$D$71,0)</f>
        <v>0</v>
      </c>
      <c r="N345" s="69" t="n">
        <f aca="false">IF(N$258=1,Inputs!$D$71,0)</f>
        <v>0</v>
      </c>
      <c r="O345" s="69" t="n">
        <f aca="false">IF(O$258=1,Inputs!$D$71,0)</f>
        <v>0</v>
      </c>
      <c r="P345" s="69" t="n">
        <f aca="false">IF(P$258=1,Inputs!$D$71,0)</f>
        <v>0</v>
      </c>
      <c r="Q345" s="69" t="n">
        <f aca="false">IF(Q$258=1,Inputs!$D$71,0)</f>
        <v>0</v>
      </c>
      <c r="R345" s="69" t="n">
        <f aca="false">IF(R$258=1,Inputs!$D$71,0)</f>
        <v>0</v>
      </c>
      <c r="S345" s="69" t="n">
        <f aca="false">IF(S$258=1,Inputs!$D$71,0)</f>
        <v>0</v>
      </c>
      <c r="T345" s="69" t="n">
        <f aca="false">IF(T$258=1,Inputs!$D$71,0)</f>
        <v>0</v>
      </c>
      <c r="U345" s="69" t="n">
        <f aca="false">IF(U$258=1,Inputs!$D$71,0)</f>
        <v>0</v>
      </c>
      <c r="V345" s="69" t="n">
        <f aca="false">IF(V$258=1,Inputs!$D$71,0)</f>
        <v>0</v>
      </c>
      <c r="W345" s="69" t="n">
        <f aca="false">IF(W$258=1,Inputs!$D$71,0)</f>
        <v>0</v>
      </c>
      <c r="X345" s="69" t="n">
        <f aca="false">IF(X$258=1,Inputs!$D$71,0)</f>
        <v>0</v>
      </c>
      <c r="Y345" s="69" t="n">
        <f aca="false">IF(Y$258=1,Inputs!$D$71,0)</f>
        <v>0</v>
      </c>
      <c r="Z345" s="69" t="n">
        <f aca="false">IF(Z$258=1,Inputs!$D$71,0)</f>
        <v>0</v>
      </c>
      <c r="AA345" s="69" t="n">
        <f aca="false">IF(AA$258=1,Inputs!$D$71,0)</f>
        <v>0</v>
      </c>
      <c r="AB345" s="69" t="n">
        <f aca="false">IF(AB$258=1,Inputs!$D$71,0)</f>
        <v>0</v>
      </c>
      <c r="AC345" s="69" t="n">
        <f aca="false">IF(AC$258=1,Inputs!$D$71,0)</f>
        <v>0</v>
      </c>
      <c r="AD345" s="69" t="n">
        <f aca="false">IF(AD$258=1,Inputs!$D$71,0)</f>
        <v>0</v>
      </c>
      <c r="AE345" s="69" t="n">
        <f aca="false">IF(AE$258=1,Inputs!$D$71,0)</f>
        <v>0</v>
      </c>
      <c r="AF345" s="69" t="n">
        <f aca="false">IF(AF$258=1,Inputs!$D$71,0)</f>
        <v>0</v>
      </c>
      <c r="AG345" s="69" t="n">
        <f aca="false">IF(AG$258=1,Inputs!$D$71,0)</f>
        <v>0</v>
      </c>
      <c r="AH345" s="69" t="n">
        <f aca="false">IF(AH$258=1,Inputs!$D$71,0)</f>
        <v>0</v>
      </c>
      <c r="AI345" s="69" t="n">
        <f aca="false">IF(AI$258=1,Inputs!$D$71,0)</f>
        <v>0</v>
      </c>
      <c r="AJ345" s="69" t="n">
        <f aca="false">IF(AJ$258=1,Inputs!$D$71,0)</f>
        <v>0</v>
      </c>
      <c r="AK345" s="69" t="n">
        <f aca="false">IF(AK$258=1,Inputs!$D$71,0)</f>
        <v>0</v>
      </c>
      <c r="AL345" s="69" t="n">
        <f aca="false">IF(AL$258=1,Inputs!$D$71,0)</f>
        <v>0</v>
      </c>
    </row>
    <row r="346" customFormat="false" ht="15" hidden="false" customHeight="false" outlineLevel="0" collapsed="false">
      <c r="A346" s="6" t="s">
        <v>54</v>
      </c>
      <c r="C346" s="69" t="n">
        <f aca="false">C345+C330+C331</f>
        <v>430000</v>
      </c>
      <c r="D346" s="69" t="n">
        <f aca="false">D345+D330+D331</f>
        <v>-1666.66666666667</v>
      </c>
      <c r="E346" s="69" t="n">
        <f aca="false">E345+E330+E331</f>
        <v>-1666.66666666667</v>
      </c>
      <c r="F346" s="69" t="n">
        <f aca="false">F345+F330+F331</f>
        <v>-1666.66666666667</v>
      </c>
      <c r="G346" s="69" t="n">
        <f aca="false">G345+G330+G331</f>
        <v>-1666.66666666667</v>
      </c>
      <c r="H346" s="69" t="n">
        <f aca="false">H345+H330+H331</f>
        <v>-1666.66666666667</v>
      </c>
      <c r="I346" s="69" t="n">
        <f aca="false">I345+I330+I331</f>
        <v>-1666.66666666667</v>
      </c>
      <c r="J346" s="69" t="n">
        <f aca="false">J345+J330+J331</f>
        <v>-1666.66666666667</v>
      </c>
      <c r="K346" s="69" t="n">
        <f aca="false">K345+K330+K331</f>
        <v>-1666.66666666667</v>
      </c>
      <c r="L346" s="69" t="n">
        <f aca="false">L345+L330+L331</f>
        <v>-1666.66666666667</v>
      </c>
      <c r="M346" s="69" t="n">
        <f aca="false">M345+M330+M331</f>
        <v>-1666.66666666667</v>
      </c>
      <c r="N346" s="69" t="n">
        <f aca="false">N345+N330+N331</f>
        <v>-1666.66666666667</v>
      </c>
      <c r="O346" s="69" t="n">
        <f aca="false">O345+O330+O331</f>
        <v>-1666.66666666667</v>
      </c>
      <c r="P346" s="69" t="n">
        <f aca="false">P345+P330+P331</f>
        <v>-1666.66666666667</v>
      </c>
      <c r="Q346" s="69" t="n">
        <f aca="false">Q345+Q330+Q331</f>
        <v>-1666.66666666667</v>
      </c>
      <c r="R346" s="69" t="n">
        <f aca="false">R345+R330+R331</f>
        <v>-1666.66666666667</v>
      </c>
      <c r="S346" s="69" t="n">
        <f aca="false">S345+S330+S331</f>
        <v>-1666.66666666667</v>
      </c>
      <c r="T346" s="69" t="n">
        <f aca="false">T345+T330+T331</f>
        <v>-1666.66666666667</v>
      </c>
      <c r="U346" s="69" t="n">
        <f aca="false">U345+U330+U331</f>
        <v>-1666.66666666667</v>
      </c>
      <c r="V346" s="69" t="n">
        <f aca="false">V345+V330+V331</f>
        <v>-1666.66666666667</v>
      </c>
      <c r="W346" s="69" t="n">
        <f aca="false">W345+W330+W331</f>
        <v>-1666.66666666667</v>
      </c>
      <c r="X346" s="69" t="n">
        <f aca="false">X345+X330+X331</f>
        <v>-1666.66666666667</v>
      </c>
      <c r="Y346" s="69" t="n">
        <f aca="false">Y345+Y330+Y331</f>
        <v>-1666.66666666667</v>
      </c>
      <c r="Z346" s="69" t="n">
        <f aca="false">Z345+Z330+Z331</f>
        <v>-1666.66666666667</v>
      </c>
      <c r="AA346" s="69" t="n">
        <f aca="false">AA345+AA330+AA331</f>
        <v>-1666.66666666667</v>
      </c>
      <c r="AB346" s="69" t="n">
        <f aca="false">AB345+AB330+AB331</f>
        <v>-1666.66666666667</v>
      </c>
      <c r="AC346" s="69" t="n">
        <f aca="false">AC345+AC330+AC331</f>
        <v>-1666.66666666667</v>
      </c>
      <c r="AD346" s="69" t="n">
        <f aca="false">AD345+AD330+AD331</f>
        <v>-1666.66666666667</v>
      </c>
      <c r="AE346" s="69" t="n">
        <f aca="false">AE345+AE330+AE331</f>
        <v>-1666.66666666667</v>
      </c>
      <c r="AF346" s="69" t="n">
        <f aca="false">AF345+AF330+AF331</f>
        <v>-1666.66666666667</v>
      </c>
      <c r="AG346" s="69" t="n">
        <f aca="false">AG345+AG330+AG331</f>
        <v>-1666.66666666667</v>
      </c>
      <c r="AH346" s="69" t="n">
        <f aca="false">AH345+AH330+AH331</f>
        <v>-1666.66666666667</v>
      </c>
      <c r="AI346" s="69" t="n">
        <f aca="false">AI345+AI330+AI331</f>
        <v>-1666.66666666667</v>
      </c>
      <c r="AJ346" s="69" t="n">
        <f aca="false">AJ345+AJ330+AJ331</f>
        <v>-1666.66666666667</v>
      </c>
      <c r="AK346" s="69" t="n">
        <f aca="false">AK345+AK330+AK331</f>
        <v>-1666.66666666667</v>
      </c>
      <c r="AL346" s="69" t="n">
        <f aca="false">AL345+AL330+AL331</f>
        <v>-1666.66666666667</v>
      </c>
    </row>
    <row r="347" customFormat="false" ht="15" hidden="false" customHeight="false" outlineLevel="0" collapsed="false">
      <c r="A347" s="115" t="s">
        <v>420</v>
      </c>
      <c r="C347" s="70" t="n">
        <f aca="false">C343+C344+C346</f>
        <v>236385.266711111</v>
      </c>
      <c r="D347" s="70" t="n">
        <f aca="false">D343+D344+D346</f>
        <v>-8739.62211666667</v>
      </c>
      <c r="E347" s="70" t="n">
        <f aca="false">E343+E344+E346</f>
        <v>-5201.26741666666</v>
      </c>
      <c r="F347" s="70" t="n">
        <f aca="false">F343+F344+F346</f>
        <v>-1662.91271666667</v>
      </c>
      <c r="G347" s="70" t="n">
        <f aca="false">G343+G344+G346</f>
        <v>1875.44198333333</v>
      </c>
      <c r="H347" s="70" t="n">
        <f aca="false">H343+H344+H346</f>
        <v>15878.1245833333</v>
      </c>
      <c r="I347" s="70" t="n">
        <f aca="false">I343+I344+I346</f>
        <v>19351.0222183333</v>
      </c>
      <c r="J347" s="70" t="n">
        <f aca="false">J343+J344+J346</f>
        <v>19662.7249083333</v>
      </c>
      <c r="K347" s="70" t="n">
        <f aca="false">K343+K344+K346</f>
        <v>12952.3864913333</v>
      </c>
      <c r="L347" s="70" t="n">
        <f aca="false">L343+L344+L346</f>
        <v>12334.053408</v>
      </c>
      <c r="M347" s="70" t="n">
        <f aca="false">M343+M344+M346</f>
        <v>12343.928408</v>
      </c>
      <c r="N347" s="70" t="n">
        <f aca="false">N343+N344+N346</f>
        <v>22501.63288</v>
      </c>
      <c r="O347" s="70" t="n">
        <f aca="false">O343+O344+O346</f>
        <v>7222.52843825866</v>
      </c>
      <c r="P347" s="70" t="n">
        <f aca="false">P343+P344+P346</f>
        <v>16246.838860792</v>
      </c>
      <c r="Q347" s="70" t="n">
        <f aca="false">Q343+Q344+Q346</f>
        <v>16256.713860792</v>
      </c>
      <c r="R347" s="70" t="n">
        <f aca="false">R343+R344+R346</f>
        <v>16266.588860792</v>
      </c>
      <c r="S347" s="70" t="n">
        <f aca="false">S343+S344+S346</f>
        <v>16276.463860792</v>
      </c>
      <c r="T347" s="70" t="n">
        <f aca="false">T343+T344+T346</f>
        <v>27371.110428816</v>
      </c>
      <c r="U347" s="70" t="n">
        <f aca="false">U343+U344+U346</f>
        <v>27533.423378816</v>
      </c>
      <c r="V347" s="70" t="n">
        <f aca="false">V343+V344+V346</f>
        <v>27543.298378816</v>
      </c>
      <c r="W347" s="70" t="n">
        <f aca="false">W343+W344+W346</f>
        <v>16468.401810792</v>
      </c>
      <c r="X347" s="70" t="n">
        <f aca="false">X343+X344+X346</f>
        <v>16325.838860792</v>
      </c>
      <c r="Y347" s="70" t="n">
        <f aca="false">Y343+Y344+Y346</f>
        <v>16335.713860792</v>
      </c>
      <c r="Z347" s="70" t="n">
        <f aca="false">Z343+Z344+Z346</f>
        <v>27430.360428816</v>
      </c>
      <c r="AA347" s="70" t="n">
        <f aca="false">AA343+AA344+AA346</f>
        <v>11697.7202140464</v>
      </c>
      <c r="AB347" s="70" t="n">
        <f aca="false">AB343+AB344+AB346</f>
        <v>20617.708628038</v>
      </c>
      <c r="AC347" s="70" t="n">
        <f aca="false">AC343+AC344+AC346</f>
        <v>20627.583628038</v>
      </c>
      <c r="AD347" s="70" t="n">
        <f aca="false">AD343+AD344+AD346</f>
        <v>20637.458628038</v>
      </c>
      <c r="AE347" s="70" t="n">
        <f aca="false">AE343+AE344+AE346</f>
        <v>20647.333628038</v>
      </c>
      <c r="AF347" s="70" t="n">
        <f aca="false">AF343+AF344+AF346</f>
        <v>32765.3757759959</v>
      </c>
      <c r="AG347" s="70" t="n">
        <f aca="false">AG343+AG344+AG346</f>
        <v>32956.2524467235</v>
      </c>
      <c r="AH347" s="70" t="n">
        <f aca="false">AH343+AH344+AH346</f>
        <v>32966.1274467235</v>
      </c>
      <c r="AI347" s="70" t="n">
        <f aca="false">AI343+AI344+AI346</f>
        <v>20867.8352987655</v>
      </c>
      <c r="AJ347" s="70" t="n">
        <f aca="false">AJ343+AJ344+AJ346</f>
        <v>20696.708628038</v>
      </c>
      <c r="AK347" s="70" t="n">
        <f aca="false">AK343+AK344+AK346</f>
        <v>20706.583628038</v>
      </c>
      <c r="AL347" s="70" t="n">
        <f aca="false">AL343+AL344+AL346</f>
        <v>32824.625775996</v>
      </c>
    </row>
    <row r="348" customFormat="false" ht="15" hidden="false" customHeight="false" outlineLevel="0" collapsed="false">
      <c r="A348" s="6" t="s">
        <v>345</v>
      </c>
      <c r="C348" s="69" t="n">
        <f aca="false">0</f>
        <v>0</v>
      </c>
      <c r="D348" s="69" t="n">
        <f aca="false">C349</f>
        <v>236385.266711111</v>
      </c>
      <c r="E348" s="69" t="n">
        <f aca="false">D349</f>
        <v>227645.644594444</v>
      </c>
      <c r="F348" s="69" t="n">
        <f aca="false">E349</f>
        <v>222444.377177778</v>
      </c>
      <c r="G348" s="69" t="n">
        <f aca="false">F349</f>
        <v>220781.464461111</v>
      </c>
      <c r="H348" s="69" t="n">
        <f aca="false">G349</f>
        <v>222656.906444444</v>
      </c>
      <c r="I348" s="69" t="n">
        <f aca="false">H349</f>
        <v>238535.031027778</v>
      </c>
      <c r="J348" s="69" t="n">
        <f aca="false">I349</f>
        <v>257886.053246111</v>
      </c>
      <c r="K348" s="69" t="n">
        <f aca="false">J349</f>
        <v>277548.778154444</v>
      </c>
      <c r="L348" s="69" t="n">
        <f aca="false">K349</f>
        <v>290501.164645778</v>
      </c>
      <c r="M348" s="69" t="n">
        <f aca="false">L349</f>
        <v>302835.218053778</v>
      </c>
      <c r="N348" s="69" t="n">
        <f aca="false">M349</f>
        <v>315179.146461778</v>
      </c>
      <c r="O348" s="69" t="n">
        <f aca="false">N349</f>
        <v>337680.779341778</v>
      </c>
      <c r="P348" s="69" t="n">
        <f aca="false">O349</f>
        <v>344903.307780036</v>
      </c>
      <c r="Q348" s="69" t="n">
        <f aca="false">P349</f>
        <v>361150.146640828</v>
      </c>
      <c r="R348" s="69" t="n">
        <f aca="false">Q349</f>
        <v>377406.86050162</v>
      </c>
      <c r="S348" s="69" t="n">
        <f aca="false">R349</f>
        <v>393673.449362412</v>
      </c>
      <c r="T348" s="69" t="n">
        <f aca="false">S349</f>
        <v>409949.913223204</v>
      </c>
      <c r="U348" s="69" t="n">
        <f aca="false">T349</f>
        <v>437321.02365202</v>
      </c>
      <c r="V348" s="69" t="n">
        <f aca="false">U349</f>
        <v>464854.447030836</v>
      </c>
      <c r="W348" s="69" t="n">
        <f aca="false">V349</f>
        <v>492397.745409652</v>
      </c>
      <c r="X348" s="69" t="n">
        <f aca="false">W349</f>
        <v>508866.147220444</v>
      </c>
      <c r="Y348" s="69" t="n">
        <f aca="false">X349</f>
        <v>525191.986081236</v>
      </c>
      <c r="Z348" s="69" t="n">
        <f aca="false">Y349</f>
        <v>541527.699942028</v>
      </c>
      <c r="AA348" s="69" t="n">
        <f aca="false">Z349</f>
        <v>568958.060370844</v>
      </c>
      <c r="AB348" s="69" t="n">
        <f aca="false">AA349</f>
        <v>580655.780584891</v>
      </c>
      <c r="AC348" s="69" t="n">
        <f aca="false">AB349</f>
        <v>601273.489212929</v>
      </c>
      <c r="AD348" s="69" t="n">
        <f aca="false">AC349</f>
        <v>621901.072840967</v>
      </c>
      <c r="AE348" s="69" t="n">
        <f aca="false">AD349</f>
        <v>642538.531469005</v>
      </c>
      <c r="AF348" s="69" t="n">
        <f aca="false">AE349</f>
        <v>663185.865097043</v>
      </c>
      <c r="AG348" s="69" t="n">
        <f aca="false">AF349</f>
        <v>695951.240873039</v>
      </c>
      <c r="AH348" s="69" t="n">
        <f aca="false">AG349</f>
        <v>728907.493319762</v>
      </c>
      <c r="AI348" s="69" t="n">
        <f aca="false">AH349</f>
        <v>761873.620766485</v>
      </c>
      <c r="AJ348" s="69" t="n">
        <f aca="false">AI349</f>
        <v>782741.456065251</v>
      </c>
      <c r="AK348" s="69" t="n">
        <f aca="false">AJ349</f>
        <v>803438.164693289</v>
      </c>
      <c r="AL348" s="69" t="n">
        <f aca="false">AK349</f>
        <v>824144.748321327</v>
      </c>
    </row>
    <row r="349" customFormat="false" ht="15" hidden="false" customHeight="false" outlineLevel="0" collapsed="false">
      <c r="A349" s="115" t="s">
        <v>87</v>
      </c>
      <c r="C349" s="70" t="n">
        <f aca="false">C348+C347</f>
        <v>236385.266711111</v>
      </c>
      <c r="D349" s="70" t="n">
        <f aca="false">D348+D347</f>
        <v>227645.644594444</v>
      </c>
      <c r="E349" s="70" t="n">
        <f aca="false">E348+E347</f>
        <v>222444.377177778</v>
      </c>
      <c r="F349" s="70" t="n">
        <f aca="false">F348+F347</f>
        <v>220781.464461111</v>
      </c>
      <c r="G349" s="70" t="n">
        <f aca="false">G348+G347</f>
        <v>222656.906444444</v>
      </c>
      <c r="H349" s="70" t="n">
        <f aca="false">H348+H347</f>
        <v>238535.031027778</v>
      </c>
      <c r="I349" s="70" t="n">
        <f aca="false">I348+I347</f>
        <v>257886.053246111</v>
      </c>
      <c r="J349" s="70" t="n">
        <f aca="false">J348+J347</f>
        <v>277548.778154444</v>
      </c>
      <c r="K349" s="70" t="n">
        <f aca="false">K348+K347</f>
        <v>290501.164645778</v>
      </c>
      <c r="L349" s="70" t="n">
        <f aca="false">L348+L347</f>
        <v>302835.218053778</v>
      </c>
      <c r="M349" s="70" t="n">
        <f aca="false">M348+M347</f>
        <v>315179.146461778</v>
      </c>
      <c r="N349" s="70" t="n">
        <f aca="false">N348+N347</f>
        <v>337680.779341778</v>
      </c>
      <c r="O349" s="70" t="n">
        <f aca="false">O348+O347</f>
        <v>344903.307780036</v>
      </c>
      <c r="P349" s="70" t="n">
        <f aca="false">P348+P347</f>
        <v>361150.146640828</v>
      </c>
      <c r="Q349" s="70" t="n">
        <f aca="false">Q348+Q347</f>
        <v>377406.86050162</v>
      </c>
      <c r="R349" s="70" t="n">
        <f aca="false">R348+R347</f>
        <v>393673.449362412</v>
      </c>
      <c r="S349" s="70" t="n">
        <f aca="false">S348+S347</f>
        <v>409949.913223204</v>
      </c>
      <c r="T349" s="70" t="n">
        <f aca="false">T348+T347</f>
        <v>437321.02365202</v>
      </c>
      <c r="U349" s="70" t="n">
        <f aca="false">U348+U347</f>
        <v>464854.447030836</v>
      </c>
      <c r="V349" s="70" t="n">
        <f aca="false">V348+V347</f>
        <v>492397.745409652</v>
      </c>
      <c r="W349" s="70" t="n">
        <f aca="false">W348+W347</f>
        <v>508866.147220444</v>
      </c>
      <c r="X349" s="70" t="n">
        <f aca="false">X348+X347</f>
        <v>525191.986081236</v>
      </c>
      <c r="Y349" s="70" t="n">
        <f aca="false">Y348+Y347</f>
        <v>541527.699942028</v>
      </c>
      <c r="Z349" s="70" t="n">
        <f aca="false">Z348+Z347</f>
        <v>568958.060370844</v>
      </c>
      <c r="AA349" s="70" t="n">
        <f aca="false">AA348+AA347</f>
        <v>580655.780584891</v>
      </c>
      <c r="AB349" s="70" t="n">
        <f aca="false">AB348+AB347</f>
        <v>601273.489212929</v>
      </c>
      <c r="AC349" s="70" t="n">
        <f aca="false">AC348+AC347</f>
        <v>621901.072840967</v>
      </c>
      <c r="AD349" s="70" t="n">
        <f aca="false">AD348+AD347</f>
        <v>642538.531469005</v>
      </c>
      <c r="AE349" s="70" t="n">
        <f aca="false">AE348+AE347</f>
        <v>663185.865097043</v>
      </c>
      <c r="AF349" s="70" t="n">
        <f aca="false">AF348+AF347</f>
        <v>695951.240873039</v>
      </c>
      <c r="AG349" s="70" t="n">
        <f aca="false">AG348+AG347</f>
        <v>728907.493319762</v>
      </c>
      <c r="AH349" s="70" t="n">
        <f aca="false">AH348+AH347</f>
        <v>761873.620766485</v>
      </c>
      <c r="AI349" s="70" t="n">
        <f aca="false">AI348+AI347</f>
        <v>782741.456065251</v>
      </c>
      <c r="AJ349" s="70" t="n">
        <f aca="false">AJ348+AJ347</f>
        <v>803438.164693289</v>
      </c>
      <c r="AK349" s="70" t="n">
        <f aca="false">AK348+AK347</f>
        <v>824144.748321327</v>
      </c>
      <c r="AL349" s="70" t="n">
        <f aca="false">AL348+AL347</f>
        <v>856969.374097323</v>
      </c>
    </row>
    <row r="350" customFormat="false" ht="15" hidden="false" customHeight="false" outlineLevel="0" collapsed="false">
      <c r="A350" s="118" t="s">
        <v>421</v>
      </c>
      <c r="C350" s="120" t="n">
        <f aca="false">IF(C304&gt;0,1,0)</f>
        <v>0</v>
      </c>
      <c r="D350" s="120" t="n">
        <f aca="false">IF(D304&gt;0,1,0)</f>
        <v>0</v>
      </c>
      <c r="E350" s="120" t="n">
        <f aca="false">IF(E304&gt;0,1,0)</f>
        <v>0</v>
      </c>
      <c r="F350" s="120" t="n">
        <f aca="false">IF(F304&gt;0,1,0)</f>
        <v>1</v>
      </c>
      <c r="G350" s="120" t="n">
        <f aca="false">IF(G304&gt;0,1,0)</f>
        <v>1</v>
      </c>
      <c r="H350" s="120" t="n">
        <f aca="false">IF(H304&gt;0,1,0)</f>
        <v>1</v>
      </c>
      <c r="I350" s="120" t="n">
        <f aca="false">IF(I304&gt;0,1,0)</f>
        <v>1</v>
      </c>
      <c r="J350" s="120" t="n">
        <f aca="false">IF(J304&gt;0,1,0)</f>
        <v>1</v>
      </c>
      <c r="K350" s="120" t="n">
        <f aca="false">IF(K304&gt;0,1,0)</f>
        <v>1</v>
      </c>
      <c r="L350" s="120" t="n">
        <f aca="false">IF(L304&gt;0,1,0)</f>
        <v>1</v>
      </c>
      <c r="M350" s="120" t="n">
        <f aca="false">IF(M304&gt;0,1,0)</f>
        <v>1</v>
      </c>
      <c r="N350" s="120" t="n">
        <f aca="false">IF(N304&gt;0,1,0)</f>
        <v>1</v>
      </c>
      <c r="O350" s="120" t="n">
        <f aca="false">IF(O304&gt;0,1,0)</f>
        <v>1</v>
      </c>
      <c r="P350" s="120" t="n">
        <f aca="false">IF(P304&gt;0,1,0)</f>
        <v>1</v>
      </c>
      <c r="Q350" s="120" t="n">
        <f aca="false">IF(Q304&gt;0,1,0)</f>
        <v>1</v>
      </c>
      <c r="R350" s="120" t="n">
        <f aca="false">IF(R304&gt;0,1,0)</f>
        <v>1</v>
      </c>
      <c r="S350" s="120" t="n">
        <f aca="false">IF(S304&gt;0,1,0)</f>
        <v>1</v>
      </c>
      <c r="T350" s="120" t="n">
        <f aca="false">IF(T304&gt;0,1,0)</f>
        <v>1</v>
      </c>
      <c r="U350" s="120" t="n">
        <f aca="false">IF(U304&gt;0,1,0)</f>
        <v>1</v>
      </c>
      <c r="V350" s="120" t="n">
        <f aca="false">IF(V304&gt;0,1,0)</f>
        <v>1</v>
      </c>
      <c r="W350" s="120" t="n">
        <f aca="false">IF(W304&gt;0,1,0)</f>
        <v>1</v>
      </c>
      <c r="X350" s="120" t="n">
        <f aca="false">IF(X304&gt;0,1,0)</f>
        <v>1</v>
      </c>
      <c r="Y350" s="120" t="n">
        <f aca="false">IF(Y304&gt;0,1,0)</f>
        <v>1</v>
      </c>
      <c r="Z350" s="120" t="n">
        <f aca="false">IF(Z304&gt;0,1,0)</f>
        <v>1</v>
      </c>
      <c r="AA350" s="120" t="n">
        <f aca="false">IF(AA304&gt;0,1,0)</f>
        <v>1</v>
      </c>
      <c r="AB350" s="120" t="n">
        <f aca="false">IF(AB304&gt;0,1,0)</f>
        <v>1</v>
      </c>
      <c r="AC350" s="120" t="n">
        <f aca="false">IF(AC304&gt;0,1,0)</f>
        <v>1</v>
      </c>
      <c r="AD350" s="120" t="n">
        <f aca="false">IF(AD304&gt;0,1,0)</f>
        <v>1</v>
      </c>
      <c r="AE350" s="120" t="n">
        <f aca="false">IF(AE304&gt;0,1,0)</f>
        <v>1</v>
      </c>
      <c r="AF350" s="120" t="n">
        <f aca="false">IF(AF304&gt;0,1,0)</f>
        <v>1</v>
      </c>
      <c r="AG350" s="120" t="n">
        <f aca="false">IF(AG304&gt;0,1,0)</f>
        <v>1</v>
      </c>
      <c r="AH350" s="120" t="n">
        <f aca="false">IF(AH304&gt;0,1,0)</f>
        <v>1</v>
      </c>
      <c r="AI350" s="120" t="n">
        <f aca="false">IF(AI304&gt;0,1,0)</f>
        <v>1</v>
      </c>
      <c r="AJ350" s="120" t="n">
        <f aca="false">IF(AJ304&gt;0,1,0)</f>
        <v>1</v>
      </c>
      <c r="AK350" s="120" t="n">
        <f aca="false">IF(AK304&gt;0,1,0)</f>
        <v>1</v>
      </c>
      <c r="AL350" s="120" t="n">
        <f aca="false">IF(AL304&gt;0,1,0)</f>
        <v>1</v>
      </c>
    </row>
    <row r="352" customFormat="false" ht="15.75" hidden="false" customHeight="true" outlineLevel="0" collapsed="false">
      <c r="A352" s="7" t="s">
        <v>422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customFormat="false" ht="15" hidden="false" customHeight="false" outlineLevel="0" collapsed="false">
      <c r="A353" s="118" t="s">
        <v>423</v>
      </c>
      <c r="C353" s="120" t="n">
        <f aca="false">IF(C313&gt;0,1,0)</f>
        <v>0</v>
      </c>
      <c r="D353" s="120" t="n">
        <f aca="false">IF(D313&gt;0,1,0)</f>
        <v>0</v>
      </c>
      <c r="E353" s="120" t="n">
        <f aca="false">IF(E313&gt;0,1,0)</f>
        <v>0</v>
      </c>
      <c r="F353" s="120" t="n">
        <f aca="false">IF(F313&gt;0,1,0)</f>
        <v>0</v>
      </c>
      <c r="G353" s="120" t="n">
        <f aca="false">IF(G313&gt;0,1,0)</f>
        <v>1</v>
      </c>
      <c r="H353" s="120" t="n">
        <f aca="false">IF(H313&gt;0,1,0)</f>
        <v>1</v>
      </c>
      <c r="I353" s="120" t="n">
        <f aca="false">IF(I313&gt;0,1,0)</f>
        <v>1</v>
      </c>
      <c r="J353" s="120" t="n">
        <f aca="false">IF(J313&gt;0,1,0)</f>
        <v>1</v>
      </c>
      <c r="K353" s="120" t="n">
        <f aca="false">IF(K313&gt;0,1,0)</f>
        <v>1</v>
      </c>
      <c r="L353" s="120" t="n">
        <f aca="false">IF(L313&gt;0,1,0)</f>
        <v>1</v>
      </c>
      <c r="M353" s="120" t="n">
        <f aca="false">IF(M313&gt;0,1,0)</f>
        <v>1</v>
      </c>
      <c r="N353" s="120" t="n">
        <f aca="false">IF(N313&gt;0,1,0)</f>
        <v>1</v>
      </c>
      <c r="O353" s="120" t="n">
        <f aca="false">IF(O313&gt;0,1,0)</f>
        <v>1</v>
      </c>
      <c r="P353" s="120" t="n">
        <f aca="false">IF(P313&gt;0,1,0)</f>
        <v>1</v>
      </c>
      <c r="Q353" s="120" t="n">
        <f aca="false">IF(Q313&gt;0,1,0)</f>
        <v>1</v>
      </c>
      <c r="R353" s="120" t="n">
        <f aca="false">IF(R313&gt;0,1,0)</f>
        <v>1</v>
      </c>
      <c r="S353" s="120" t="n">
        <f aca="false">IF(S313&gt;0,1,0)</f>
        <v>1</v>
      </c>
      <c r="T353" s="120" t="n">
        <f aca="false">IF(T313&gt;0,1,0)</f>
        <v>1</v>
      </c>
      <c r="U353" s="120" t="n">
        <f aca="false">IF(U313&gt;0,1,0)</f>
        <v>1</v>
      </c>
      <c r="V353" s="120" t="n">
        <f aca="false">IF(V313&gt;0,1,0)</f>
        <v>1</v>
      </c>
      <c r="W353" s="120" t="n">
        <f aca="false">IF(W313&gt;0,1,0)</f>
        <v>1</v>
      </c>
      <c r="X353" s="120" t="n">
        <f aca="false">IF(X313&gt;0,1,0)</f>
        <v>1</v>
      </c>
      <c r="Y353" s="120" t="n">
        <f aca="false">IF(Y313&gt;0,1,0)</f>
        <v>1</v>
      </c>
      <c r="Z353" s="120" t="n">
        <f aca="false">IF(Z313&gt;0,1,0)</f>
        <v>1</v>
      </c>
      <c r="AA353" s="120" t="n">
        <f aca="false">IF(AA313&gt;0,1,0)</f>
        <v>1</v>
      </c>
      <c r="AB353" s="120" t="n">
        <f aca="false">IF(AB313&gt;0,1,0)</f>
        <v>1</v>
      </c>
      <c r="AC353" s="120" t="n">
        <f aca="false">IF(AC313&gt;0,1,0)</f>
        <v>1</v>
      </c>
      <c r="AD353" s="120" t="n">
        <f aca="false">IF(AD313&gt;0,1,0)</f>
        <v>1</v>
      </c>
      <c r="AE353" s="120" t="n">
        <f aca="false">IF(AE313&gt;0,1,0)</f>
        <v>1</v>
      </c>
      <c r="AF353" s="120" t="n">
        <f aca="false">IF(AF313&gt;0,1,0)</f>
        <v>1</v>
      </c>
      <c r="AG353" s="120" t="n">
        <f aca="false">IF(AG313&gt;0,1,0)</f>
        <v>1</v>
      </c>
      <c r="AH353" s="120" t="n">
        <f aca="false">IF(AH313&gt;0,1,0)</f>
        <v>1</v>
      </c>
      <c r="AI353" s="120" t="n">
        <f aca="false">IF(AI313&gt;0,1,0)</f>
        <v>1</v>
      </c>
      <c r="AJ353" s="120" t="n">
        <f aca="false">IF(AJ313&gt;0,1,0)</f>
        <v>1</v>
      </c>
      <c r="AK353" s="120" t="n">
        <f aca="false">IF(AK313&gt;0,1,0)</f>
        <v>1</v>
      </c>
      <c r="AL353" s="120" t="n">
        <f aca="false">IF(AL313&gt;0,1,0)</f>
        <v>1</v>
      </c>
    </row>
    <row r="354" customFormat="false" ht="15" hidden="false" customHeight="false" outlineLevel="0" collapsed="false">
      <c r="A354" s="6" t="s">
        <v>424</v>
      </c>
      <c r="C354" s="69" t="n">
        <f aca="false">C343+C344</f>
        <v>-193614.733288889</v>
      </c>
      <c r="D354" s="69" t="n">
        <f aca="false">D343+D344</f>
        <v>-7072.95545</v>
      </c>
      <c r="E354" s="69" t="n">
        <f aca="false">E343+E344</f>
        <v>-3534.60075</v>
      </c>
      <c r="F354" s="69" t="n">
        <f aca="false">F343+F344</f>
        <v>3.75394999999526</v>
      </c>
      <c r="G354" s="69" t="n">
        <f aca="false">G343+G344</f>
        <v>3542.10864999999</v>
      </c>
      <c r="H354" s="69" t="n">
        <f aca="false">H343+H344</f>
        <v>17544.79125</v>
      </c>
      <c r="I354" s="69" t="n">
        <f aca="false">I343+I344</f>
        <v>21017.688885</v>
      </c>
      <c r="J354" s="69" t="n">
        <f aca="false">J343+J344</f>
        <v>21329.391575</v>
      </c>
      <c r="K354" s="69" t="n">
        <f aca="false">K343+K344</f>
        <v>14619.053158</v>
      </c>
      <c r="L354" s="69" t="n">
        <f aca="false">L343+L344</f>
        <v>14000.7200746667</v>
      </c>
      <c r="M354" s="69" t="n">
        <f aca="false">M343+M344</f>
        <v>14010.5950746667</v>
      </c>
      <c r="N354" s="69" t="n">
        <f aca="false">N343+N344</f>
        <v>24168.2995466667</v>
      </c>
      <c r="O354" s="69" t="n">
        <f aca="false">O343+O344</f>
        <v>8889.19510492532</v>
      </c>
      <c r="P354" s="69" t="n">
        <f aca="false">P343+P344</f>
        <v>17913.5055274587</v>
      </c>
      <c r="Q354" s="69" t="n">
        <f aca="false">Q343+Q344</f>
        <v>17923.3805274587</v>
      </c>
      <c r="R354" s="69" t="n">
        <f aca="false">R343+R344</f>
        <v>17933.2555274587</v>
      </c>
      <c r="S354" s="69" t="n">
        <f aca="false">S343+S344</f>
        <v>17943.1305274587</v>
      </c>
      <c r="T354" s="69" t="n">
        <f aca="false">T343+T344</f>
        <v>29037.7770954827</v>
      </c>
      <c r="U354" s="69" t="n">
        <f aca="false">U343+U344</f>
        <v>29200.0900454827</v>
      </c>
      <c r="V354" s="69" t="n">
        <f aca="false">V343+V344</f>
        <v>29209.9650454827</v>
      </c>
      <c r="W354" s="69" t="n">
        <f aca="false">W343+W344</f>
        <v>18135.0684774587</v>
      </c>
      <c r="X354" s="69" t="n">
        <f aca="false">X343+X344</f>
        <v>17992.5055274587</v>
      </c>
      <c r="Y354" s="69" t="n">
        <f aca="false">Y343+Y344</f>
        <v>18002.3805274587</v>
      </c>
      <c r="Z354" s="69" t="n">
        <f aca="false">Z343+Z344</f>
        <v>29097.0270954827</v>
      </c>
      <c r="AA354" s="69" t="n">
        <f aca="false">AA343+AA344</f>
        <v>13364.3868807131</v>
      </c>
      <c r="AB354" s="69" t="n">
        <f aca="false">AB343+AB344</f>
        <v>22284.3752947046</v>
      </c>
      <c r="AC354" s="69" t="n">
        <f aca="false">AC343+AC344</f>
        <v>22294.2502947046</v>
      </c>
      <c r="AD354" s="69" t="n">
        <f aca="false">AD343+AD344</f>
        <v>22304.1252947046</v>
      </c>
      <c r="AE354" s="69" t="n">
        <f aca="false">AE343+AE344</f>
        <v>22314.0002947046</v>
      </c>
      <c r="AF354" s="69" t="n">
        <f aca="false">AF343+AF344</f>
        <v>34432.0424426626</v>
      </c>
      <c r="AG354" s="69" t="n">
        <f aca="false">AG343+AG344</f>
        <v>34622.9191133901</v>
      </c>
      <c r="AH354" s="69" t="n">
        <f aca="false">AH343+AH344</f>
        <v>34632.7941133901</v>
      </c>
      <c r="AI354" s="69" t="n">
        <f aca="false">AI343+AI344</f>
        <v>22534.5019654321</v>
      </c>
      <c r="AJ354" s="69" t="n">
        <f aca="false">AJ343+AJ344</f>
        <v>22363.3752947046</v>
      </c>
      <c r="AK354" s="69" t="n">
        <f aca="false">AK343+AK344</f>
        <v>22373.2502947046</v>
      </c>
      <c r="AL354" s="69" t="n">
        <f aca="false">AL343+AL344</f>
        <v>34491.2924426626</v>
      </c>
    </row>
    <row r="355" customFormat="false" ht="15" hidden="false" customHeight="false" outlineLevel="0" collapsed="false">
      <c r="A355" s="6" t="s">
        <v>425</v>
      </c>
      <c r="C355" s="69" t="n">
        <f aca="false">C354</f>
        <v>-193614.733288889</v>
      </c>
      <c r="D355" s="69" t="n">
        <f aca="false">C355+D354</f>
        <v>-200687.688738889</v>
      </c>
      <c r="E355" s="69" t="n">
        <f aca="false">D355+E354</f>
        <v>-204222.289488889</v>
      </c>
      <c r="F355" s="69" t="n">
        <f aca="false">E355+F354</f>
        <v>-204218.535538889</v>
      </c>
      <c r="G355" s="69" t="n">
        <f aca="false">F355+G354</f>
        <v>-200676.426888889</v>
      </c>
      <c r="H355" s="69" t="n">
        <f aca="false">G355+H354</f>
        <v>-183131.635638889</v>
      </c>
      <c r="I355" s="69" t="n">
        <f aca="false">H355+I354</f>
        <v>-162113.946753889</v>
      </c>
      <c r="J355" s="69" t="n">
        <f aca="false">I355+J354</f>
        <v>-140784.555178889</v>
      </c>
      <c r="K355" s="69" t="n">
        <f aca="false">J355+K354</f>
        <v>-126165.502020889</v>
      </c>
      <c r="L355" s="69" t="n">
        <f aca="false">K355+L354</f>
        <v>-112164.781946222</v>
      </c>
      <c r="M355" s="69" t="n">
        <f aca="false">L355+M354</f>
        <v>-98154.1868715556</v>
      </c>
      <c r="N355" s="69" t="n">
        <f aca="false">M355+N354</f>
        <v>-73985.8873248889</v>
      </c>
      <c r="O355" s="69" t="n">
        <f aca="false">N355+O354</f>
        <v>-65096.6922199636</v>
      </c>
      <c r="P355" s="69" t="n">
        <f aca="false">O355+P354</f>
        <v>-47183.1866925049</v>
      </c>
      <c r="Q355" s="69" t="n">
        <f aca="false">P355+Q354</f>
        <v>-29259.8061650463</v>
      </c>
      <c r="R355" s="69" t="n">
        <f aca="false">Q355+R354</f>
        <v>-11326.5506375876</v>
      </c>
      <c r="S355" s="69" t="n">
        <f aca="false">R355+S354</f>
        <v>6616.57988987106</v>
      </c>
      <c r="T355" s="69" t="n">
        <f aca="false">S355+T354</f>
        <v>35654.3569853537</v>
      </c>
      <c r="U355" s="69" t="n">
        <f aca="false">T355+U354</f>
        <v>64854.4470308364</v>
      </c>
      <c r="V355" s="69" t="n">
        <f aca="false">U355+V354</f>
        <v>94064.4120763191</v>
      </c>
      <c r="W355" s="69" t="n">
        <f aca="false">V355+W354</f>
        <v>112199.480553778</v>
      </c>
      <c r="X355" s="69" t="n">
        <f aca="false">W355+X354</f>
        <v>130191.986081236</v>
      </c>
      <c r="Y355" s="69" t="n">
        <f aca="false">X355+Y354</f>
        <v>148194.366608695</v>
      </c>
      <c r="Z355" s="69" t="n">
        <f aca="false">Y355+Z354</f>
        <v>177291.393704178</v>
      </c>
      <c r="AA355" s="69" t="n">
        <f aca="false">Z355+AA354</f>
        <v>190655.780584891</v>
      </c>
      <c r="AB355" s="69" t="n">
        <f aca="false">AA355+AB354</f>
        <v>212940.155879595</v>
      </c>
      <c r="AC355" s="69" t="n">
        <f aca="false">AB355+AC354</f>
        <v>235234.4061743</v>
      </c>
      <c r="AD355" s="69" t="n">
        <f aca="false">AC355+AD354</f>
        <v>257538.531469005</v>
      </c>
      <c r="AE355" s="69" t="n">
        <f aca="false">AD355+AE354</f>
        <v>279852.531763709</v>
      </c>
      <c r="AF355" s="69" t="n">
        <f aca="false">AE355+AF354</f>
        <v>314284.574206372</v>
      </c>
      <c r="AG355" s="69" t="n">
        <f aca="false">AF355+AG354</f>
        <v>348907.493319762</v>
      </c>
      <c r="AH355" s="69" t="n">
        <f aca="false">AG355+AH354</f>
        <v>383540.287433152</v>
      </c>
      <c r="AI355" s="69" t="n">
        <f aca="false">AH355+AI354</f>
        <v>406074.789398584</v>
      </c>
      <c r="AJ355" s="69" t="n">
        <f aca="false">AI355+AJ354</f>
        <v>428438.164693289</v>
      </c>
      <c r="AK355" s="69" t="n">
        <f aca="false">AJ355+AK354</f>
        <v>450811.414987994</v>
      </c>
      <c r="AL355" s="69" t="n">
        <f aca="false">AK355+AL354</f>
        <v>485302.707430656</v>
      </c>
    </row>
    <row r="356" customFormat="false" ht="15" hidden="false" customHeight="false" outlineLevel="0" collapsed="false">
      <c r="A356" s="118" t="s">
        <v>426</v>
      </c>
      <c r="C356" s="69" t="n">
        <f aca="false">C355</f>
        <v>-193614.733288889</v>
      </c>
      <c r="D356" s="69" t="n">
        <f aca="false">MIN(C356,D355)</f>
        <v>-200687.688738889</v>
      </c>
      <c r="E356" s="69" t="n">
        <f aca="false">MIN(D356,E355)</f>
        <v>-204222.289488889</v>
      </c>
      <c r="F356" s="69" t="n">
        <f aca="false">MIN(E356,F355)</f>
        <v>-204222.289488889</v>
      </c>
      <c r="G356" s="69" t="n">
        <f aca="false">MIN(F356,G355)</f>
        <v>-204222.289488889</v>
      </c>
      <c r="H356" s="69" t="n">
        <f aca="false">MIN(G356,H355)</f>
        <v>-204222.289488889</v>
      </c>
      <c r="I356" s="69" t="n">
        <f aca="false">MIN(H356,I355)</f>
        <v>-204222.289488889</v>
      </c>
      <c r="J356" s="69" t="n">
        <f aca="false">MIN(I356,J355)</f>
        <v>-204222.289488889</v>
      </c>
      <c r="K356" s="69" t="n">
        <f aca="false">MIN(J356,K355)</f>
        <v>-204222.289488889</v>
      </c>
      <c r="L356" s="69" t="n">
        <f aca="false">MIN(K356,L355)</f>
        <v>-204222.289488889</v>
      </c>
      <c r="M356" s="69" t="n">
        <f aca="false">MIN(L356,M355)</f>
        <v>-204222.289488889</v>
      </c>
      <c r="N356" s="69" t="n">
        <f aca="false">MIN(M356,N355)</f>
        <v>-204222.289488889</v>
      </c>
      <c r="O356" s="69" t="n">
        <f aca="false">MIN(N356,O355)</f>
        <v>-204222.289488889</v>
      </c>
      <c r="P356" s="69" t="n">
        <f aca="false">MIN(O356,P355)</f>
        <v>-204222.289488889</v>
      </c>
      <c r="Q356" s="69" t="n">
        <f aca="false">MIN(P356,Q355)</f>
        <v>-204222.289488889</v>
      </c>
      <c r="R356" s="69" t="n">
        <f aca="false">MIN(Q356,R355)</f>
        <v>-204222.289488889</v>
      </c>
      <c r="S356" s="69" t="n">
        <f aca="false">MIN(R356,S355)</f>
        <v>-204222.289488889</v>
      </c>
      <c r="T356" s="69" t="n">
        <f aca="false">MIN(S356,T355)</f>
        <v>-204222.289488889</v>
      </c>
      <c r="U356" s="69" t="n">
        <f aca="false">MIN(T356,U355)</f>
        <v>-204222.289488889</v>
      </c>
      <c r="V356" s="69" t="n">
        <f aca="false">MIN(U356,V355)</f>
        <v>-204222.289488889</v>
      </c>
      <c r="W356" s="69" t="n">
        <f aca="false">MIN(V356,W355)</f>
        <v>-204222.289488889</v>
      </c>
      <c r="X356" s="69" t="n">
        <f aca="false">MIN(W356,X355)</f>
        <v>-204222.289488889</v>
      </c>
      <c r="Y356" s="69" t="n">
        <f aca="false">MIN(X356,Y355)</f>
        <v>-204222.289488889</v>
      </c>
      <c r="Z356" s="69" t="n">
        <f aca="false">MIN(Y356,Z355)</f>
        <v>-204222.289488889</v>
      </c>
      <c r="AA356" s="69" t="n">
        <f aca="false">MIN(Z356,AA355)</f>
        <v>-204222.289488889</v>
      </c>
      <c r="AB356" s="69" t="n">
        <f aca="false">MIN(AA356,AB355)</f>
        <v>-204222.289488889</v>
      </c>
      <c r="AC356" s="69" t="n">
        <f aca="false">MIN(AB356,AC355)</f>
        <v>-204222.289488889</v>
      </c>
      <c r="AD356" s="69" t="n">
        <f aca="false">MIN(AC356,AD355)</f>
        <v>-204222.289488889</v>
      </c>
      <c r="AE356" s="69" t="n">
        <f aca="false">MIN(AD356,AE355)</f>
        <v>-204222.289488889</v>
      </c>
      <c r="AF356" s="69" t="n">
        <f aca="false">MIN(AE356,AF355)</f>
        <v>-204222.289488889</v>
      </c>
      <c r="AG356" s="69" t="n">
        <f aca="false">MIN(AF356,AG355)</f>
        <v>-204222.289488889</v>
      </c>
      <c r="AH356" s="69" t="n">
        <f aca="false">MIN(AG356,AH355)</f>
        <v>-204222.289488889</v>
      </c>
      <c r="AI356" s="69" t="n">
        <f aca="false">MIN(AH356,AI355)</f>
        <v>-204222.289488889</v>
      </c>
      <c r="AJ356" s="69" t="n">
        <f aca="false">MIN(AI356,AJ355)</f>
        <v>-204222.289488889</v>
      </c>
      <c r="AK356" s="69" t="n">
        <f aca="false">MIN(AJ356,AK355)</f>
        <v>-204222.289488889</v>
      </c>
      <c r="AL356" s="69" t="n">
        <f aca="false">MIN(AK356,AL355)</f>
        <v>-204222.289488889</v>
      </c>
    </row>
    <row r="357" customFormat="false" ht="15" hidden="false" customHeight="false" outlineLevel="0" collapsed="false">
      <c r="A357" s="118" t="s">
        <v>427</v>
      </c>
      <c r="C357" s="120" t="n">
        <f aca="false">IF(AND(C355&gt;=0,C356&lt;0),1,0)</f>
        <v>0</v>
      </c>
      <c r="D357" s="120" t="n">
        <f aca="false">IF(AND(D355&gt;=0,D356&lt;0),1,0)</f>
        <v>0</v>
      </c>
      <c r="E357" s="120" t="n">
        <f aca="false">IF(AND(E355&gt;=0,E356&lt;0),1,0)</f>
        <v>0</v>
      </c>
      <c r="F357" s="120" t="n">
        <f aca="false">IF(AND(F355&gt;=0,F356&lt;0),1,0)</f>
        <v>0</v>
      </c>
      <c r="G357" s="120" t="n">
        <f aca="false">IF(AND(G355&gt;=0,G356&lt;0),1,0)</f>
        <v>0</v>
      </c>
      <c r="H357" s="120" t="n">
        <f aca="false">IF(AND(H355&gt;=0,H356&lt;0),1,0)</f>
        <v>0</v>
      </c>
      <c r="I357" s="120" t="n">
        <f aca="false">IF(AND(I355&gt;=0,I356&lt;0),1,0)</f>
        <v>0</v>
      </c>
      <c r="J357" s="120" t="n">
        <f aca="false">IF(AND(J355&gt;=0,J356&lt;0),1,0)</f>
        <v>0</v>
      </c>
      <c r="K357" s="120" t="n">
        <f aca="false">IF(AND(K355&gt;=0,K356&lt;0),1,0)</f>
        <v>0</v>
      </c>
      <c r="L357" s="120" t="n">
        <f aca="false">IF(AND(L355&gt;=0,L356&lt;0),1,0)</f>
        <v>0</v>
      </c>
      <c r="M357" s="120" t="n">
        <f aca="false">IF(AND(M355&gt;=0,M356&lt;0),1,0)</f>
        <v>0</v>
      </c>
      <c r="N357" s="120" t="n">
        <f aca="false">IF(AND(N355&gt;=0,N356&lt;0),1,0)</f>
        <v>0</v>
      </c>
      <c r="O357" s="120" t="n">
        <f aca="false">IF(AND(O355&gt;=0,O356&lt;0),1,0)</f>
        <v>0</v>
      </c>
      <c r="P357" s="120" t="n">
        <f aca="false">IF(AND(P355&gt;=0,P356&lt;0),1,0)</f>
        <v>0</v>
      </c>
      <c r="Q357" s="120" t="n">
        <f aca="false">IF(AND(Q355&gt;=0,Q356&lt;0),1,0)</f>
        <v>0</v>
      </c>
      <c r="R357" s="120" t="n">
        <f aca="false">IF(AND(R355&gt;=0,R356&lt;0),1,0)</f>
        <v>0</v>
      </c>
      <c r="S357" s="120" t="n">
        <f aca="false">IF(AND(S355&gt;=0,S356&lt;0),1,0)</f>
        <v>1</v>
      </c>
      <c r="T357" s="120" t="n">
        <f aca="false">IF(AND(T355&gt;=0,T356&lt;0),1,0)</f>
        <v>1</v>
      </c>
      <c r="U357" s="120" t="n">
        <f aca="false">IF(AND(U355&gt;=0,U356&lt;0),1,0)</f>
        <v>1</v>
      </c>
      <c r="V357" s="120" t="n">
        <f aca="false">IF(AND(V355&gt;=0,V356&lt;0),1,0)</f>
        <v>1</v>
      </c>
      <c r="W357" s="120" t="n">
        <f aca="false">IF(AND(W355&gt;=0,W356&lt;0),1,0)</f>
        <v>1</v>
      </c>
      <c r="X357" s="120" t="n">
        <f aca="false">IF(AND(X355&gt;=0,X356&lt;0),1,0)</f>
        <v>1</v>
      </c>
      <c r="Y357" s="120" t="n">
        <f aca="false">IF(AND(Y355&gt;=0,Y356&lt;0),1,0)</f>
        <v>1</v>
      </c>
      <c r="Z357" s="120" t="n">
        <f aca="false">IF(AND(Z355&gt;=0,Z356&lt;0),1,0)</f>
        <v>1</v>
      </c>
      <c r="AA357" s="120" t="n">
        <f aca="false">IF(AND(AA355&gt;=0,AA356&lt;0),1,0)</f>
        <v>1</v>
      </c>
      <c r="AB357" s="120" t="n">
        <f aca="false">IF(AND(AB355&gt;=0,AB356&lt;0),1,0)</f>
        <v>1</v>
      </c>
      <c r="AC357" s="120" t="n">
        <f aca="false">IF(AND(AC355&gt;=0,AC356&lt;0),1,0)</f>
        <v>1</v>
      </c>
      <c r="AD357" s="120" t="n">
        <f aca="false">IF(AND(AD355&gt;=0,AD356&lt;0),1,0)</f>
        <v>1</v>
      </c>
      <c r="AE357" s="120" t="n">
        <f aca="false">IF(AND(AE355&gt;=0,AE356&lt;0),1,0)</f>
        <v>1</v>
      </c>
      <c r="AF357" s="120" t="n">
        <f aca="false">IF(AND(AF355&gt;=0,AF356&lt;0),1,0)</f>
        <v>1</v>
      </c>
      <c r="AG357" s="120" t="n">
        <f aca="false">IF(AND(AG355&gt;=0,AG356&lt;0),1,0)</f>
        <v>1</v>
      </c>
      <c r="AH357" s="120" t="n">
        <f aca="false">IF(AND(AH355&gt;=0,AH356&lt;0),1,0)</f>
        <v>1</v>
      </c>
      <c r="AI357" s="120" t="n">
        <f aca="false">IF(AND(AI355&gt;=0,AI356&lt;0),1,0)</f>
        <v>1</v>
      </c>
      <c r="AJ357" s="120" t="n">
        <f aca="false">IF(AND(AJ355&gt;=0,AJ356&lt;0),1,0)</f>
        <v>1</v>
      </c>
      <c r="AK357" s="120" t="n">
        <f aca="false">IF(AND(AK355&gt;=0,AK356&lt;0),1,0)</f>
        <v>1</v>
      </c>
      <c r="AL357" s="120" t="n">
        <f aca="false">IF(AND(AL355&gt;=0,AL356&lt;0),1,0)</f>
        <v>1</v>
      </c>
    </row>
    <row r="358" customFormat="false" ht="15" hidden="false" customHeight="false" outlineLevel="0" collapsed="false">
      <c r="A358" s="6" t="s">
        <v>428</v>
      </c>
      <c r="C358" s="69" t="n">
        <f aca="false">C343-C308*(1-Inputs!$D$83)+C344</f>
        <v>-193022.233288889</v>
      </c>
      <c r="D358" s="69" t="n">
        <f aca="false">D343-D308*(1-Inputs!$D$83)+D344</f>
        <v>-6485.39295</v>
      </c>
      <c r="E358" s="69" t="n">
        <f aca="false">E343-E308*(1-Inputs!$D$83)+E344</f>
        <v>-2956.91325</v>
      </c>
      <c r="F358" s="69" t="n">
        <f aca="false">F343-F308*(1-Inputs!$D$83)+F344</f>
        <v>571.566449999995</v>
      </c>
      <c r="G358" s="69" t="n">
        <f aca="false">G343-G308*(1-Inputs!$D$83)+G344</f>
        <v>4100.04614999999</v>
      </c>
      <c r="H358" s="69" t="n">
        <f aca="false">H343-H308*(1-Inputs!$D$83)+H344</f>
        <v>18092.85375</v>
      </c>
      <c r="I358" s="69" t="n">
        <f aca="false">I343-I308*(1-Inputs!$D$83)+I344</f>
        <v>21555.876385</v>
      </c>
      <c r="J358" s="69" t="n">
        <f aca="false">J343-J308*(1-Inputs!$D$83)+J344</f>
        <v>21857.704075</v>
      </c>
      <c r="K358" s="69" t="n">
        <f aca="false">K343-K308*(1-Inputs!$D$83)+K344</f>
        <v>15137.490658</v>
      </c>
      <c r="L358" s="69" t="n">
        <f aca="false">L343-L308*(1-Inputs!$D$83)+L344</f>
        <v>14509.2825746667</v>
      </c>
      <c r="M358" s="69" t="n">
        <f aca="false">M343-M308*(1-Inputs!$D$83)+M344</f>
        <v>14509.2825746667</v>
      </c>
      <c r="N358" s="69" t="n">
        <f aca="false">N343-N308*(1-Inputs!$D$83)+N344</f>
        <v>24657.1120466667</v>
      </c>
      <c r="O358" s="69" t="n">
        <f aca="false">O343-O308*(1-Inputs!$D$83)+O344</f>
        <v>9368.13260492532</v>
      </c>
      <c r="P358" s="69" t="n">
        <f aca="false">P343-P308*(1-Inputs!$D$83)+P344</f>
        <v>18382.5680274587</v>
      </c>
      <c r="Q358" s="69" t="n">
        <f aca="false">Q343-Q308*(1-Inputs!$D$83)+Q344</f>
        <v>18382.5680274587</v>
      </c>
      <c r="R358" s="69" t="n">
        <f aca="false">R343-R308*(1-Inputs!$D$83)+R344</f>
        <v>18382.5680274587</v>
      </c>
      <c r="S358" s="69" t="n">
        <f aca="false">S343-S308*(1-Inputs!$D$83)+S344</f>
        <v>18382.5680274587</v>
      </c>
      <c r="T358" s="69" t="n">
        <f aca="false">T343-T308*(1-Inputs!$D$83)+T344</f>
        <v>29467.3395954827</v>
      </c>
      <c r="U358" s="69" t="n">
        <f aca="false">U343-U308*(1-Inputs!$D$83)+U344</f>
        <v>29619.7775454827</v>
      </c>
      <c r="V358" s="69" t="n">
        <f aca="false">V343-V308*(1-Inputs!$D$83)+V344</f>
        <v>29619.7775454827</v>
      </c>
      <c r="W358" s="69" t="n">
        <f aca="false">W343-W308*(1-Inputs!$D$83)+W344</f>
        <v>18535.0059774587</v>
      </c>
      <c r="X358" s="69" t="n">
        <f aca="false">X343-X308*(1-Inputs!$D$83)+X344</f>
        <v>18382.5680274587</v>
      </c>
      <c r="Y358" s="69" t="n">
        <f aca="false">Y343-Y308*(1-Inputs!$D$83)+Y344</f>
        <v>18382.5680274587</v>
      </c>
      <c r="Z358" s="69" t="n">
        <f aca="false">Z343-Z308*(1-Inputs!$D$83)+Z344</f>
        <v>29467.3395954827</v>
      </c>
      <c r="AA358" s="69" t="n">
        <f aca="false">AA343-AA308*(1-Inputs!$D$83)+AA344</f>
        <v>13724.8243807131</v>
      </c>
      <c r="AB358" s="69" t="n">
        <f aca="false">AB343-AB308*(1-Inputs!$D$83)+AB344</f>
        <v>22634.9377947046</v>
      </c>
      <c r="AC358" s="69" t="n">
        <f aca="false">AC343-AC308*(1-Inputs!$D$83)+AC344</f>
        <v>22634.9377947046</v>
      </c>
      <c r="AD358" s="69" t="n">
        <f aca="false">AD343-AD308*(1-Inputs!$D$83)+AD344</f>
        <v>22634.9377947046</v>
      </c>
      <c r="AE358" s="69" t="n">
        <f aca="false">AE343-AE308*(1-Inputs!$D$83)+AE344</f>
        <v>22634.9377947046</v>
      </c>
      <c r="AF358" s="69" t="n">
        <f aca="false">AF343-AF308*(1-Inputs!$D$83)+AF344</f>
        <v>34743.1049426626</v>
      </c>
      <c r="AG358" s="69" t="n">
        <f aca="false">AG343-AG308*(1-Inputs!$D$83)+AG344</f>
        <v>34924.1066133901</v>
      </c>
      <c r="AH358" s="69" t="n">
        <f aca="false">AH343-AH308*(1-Inputs!$D$83)+AH344</f>
        <v>34924.1066133901</v>
      </c>
      <c r="AI358" s="69" t="n">
        <f aca="false">AI343-AI308*(1-Inputs!$D$83)+AI344</f>
        <v>22815.9394654321</v>
      </c>
      <c r="AJ358" s="69" t="n">
        <f aca="false">AJ343-AJ308*(1-Inputs!$D$83)+AJ344</f>
        <v>22634.9377947046</v>
      </c>
      <c r="AK358" s="69" t="n">
        <f aca="false">AK343-AK308*(1-Inputs!$D$83)+AK344</f>
        <v>22634.9377947046</v>
      </c>
      <c r="AL358" s="69" t="n">
        <f aca="false">AL343-AL308*(1-Inputs!$D$83)+AL344</f>
        <v>34743.1049426626</v>
      </c>
    </row>
    <row r="360" customFormat="false" ht="15.75" hidden="false" customHeight="true" outlineLevel="0" collapsed="false">
      <c r="A360" s="7" t="s">
        <v>429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customFormat="false" ht="15" hidden="false" customHeight="false" outlineLevel="0" collapsed="false">
      <c r="A361" s="6" t="s">
        <v>97</v>
      </c>
      <c r="C361" s="69" t="n">
        <f aca="false">C345</f>
        <v>330000</v>
      </c>
      <c r="D361" s="69" t="n">
        <f aca="false">C361+D345</f>
        <v>330000</v>
      </c>
      <c r="E361" s="69" t="n">
        <f aca="false">D361+E345</f>
        <v>330000</v>
      </c>
      <c r="F361" s="69" t="n">
        <f aca="false">E361+F345</f>
        <v>330000</v>
      </c>
      <c r="G361" s="69" t="n">
        <f aca="false">F361+G345</f>
        <v>330000</v>
      </c>
      <c r="H361" s="69" t="n">
        <f aca="false">G361+H345</f>
        <v>330000</v>
      </c>
      <c r="I361" s="69" t="n">
        <f aca="false">H361+I345</f>
        <v>330000</v>
      </c>
      <c r="J361" s="69" t="n">
        <f aca="false">I361+J345</f>
        <v>330000</v>
      </c>
      <c r="K361" s="69" t="n">
        <f aca="false">J361+K345</f>
        <v>330000</v>
      </c>
      <c r="L361" s="69" t="n">
        <f aca="false">K361+L345</f>
        <v>330000</v>
      </c>
      <c r="M361" s="69" t="n">
        <f aca="false">L361+M345</f>
        <v>330000</v>
      </c>
      <c r="N361" s="69" t="n">
        <f aca="false">M361+N345</f>
        <v>330000</v>
      </c>
      <c r="O361" s="69" t="n">
        <f aca="false">N361+O345</f>
        <v>330000</v>
      </c>
      <c r="P361" s="69" t="n">
        <f aca="false">O361+P345</f>
        <v>330000</v>
      </c>
      <c r="Q361" s="69" t="n">
        <f aca="false">P361+Q345</f>
        <v>330000</v>
      </c>
      <c r="R361" s="69" t="n">
        <f aca="false">Q361+R345</f>
        <v>330000</v>
      </c>
      <c r="S361" s="69" t="n">
        <f aca="false">R361+S345</f>
        <v>330000</v>
      </c>
      <c r="T361" s="69" t="n">
        <f aca="false">S361+T345</f>
        <v>330000</v>
      </c>
      <c r="U361" s="69" t="n">
        <f aca="false">T361+U345</f>
        <v>330000</v>
      </c>
      <c r="V361" s="69" t="n">
        <f aca="false">U361+V345</f>
        <v>330000</v>
      </c>
      <c r="W361" s="69" t="n">
        <f aca="false">V361+W345</f>
        <v>330000</v>
      </c>
      <c r="X361" s="69" t="n">
        <f aca="false">W361+X345</f>
        <v>330000</v>
      </c>
      <c r="Y361" s="69" t="n">
        <f aca="false">X361+Y345</f>
        <v>330000</v>
      </c>
      <c r="Z361" s="69" t="n">
        <f aca="false">Y361+Z345</f>
        <v>330000</v>
      </c>
      <c r="AA361" s="69" t="n">
        <f aca="false">Z361+AA345</f>
        <v>330000</v>
      </c>
      <c r="AB361" s="69" t="n">
        <f aca="false">AA361+AB345</f>
        <v>330000</v>
      </c>
      <c r="AC361" s="69" t="n">
        <f aca="false">AB361+AC345</f>
        <v>330000</v>
      </c>
      <c r="AD361" s="69" t="n">
        <f aca="false">AC361+AD345</f>
        <v>330000</v>
      </c>
      <c r="AE361" s="69" t="n">
        <f aca="false">AD361+AE345</f>
        <v>330000</v>
      </c>
      <c r="AF361" s="69" t="n">
        <f aca="false">AE361+AF345</f>
        <v>330000</v>
      </c>
      <c r="AG361" s="69" t="n">
        <f aca="false">AF361+AG345</f>
        <v>330000</v>
      </c>
      <c r="AH361" s="69" t="n">
        <f aca="false">AG361+AH345</f>
        <v>330000</v>
      </c>
      <c r="AI361" s="69" t="n">
        <f aca="false">AH361+AI345</f>
        <v>330000</v>
      </c>
      <c r="AJ361" s="69" t="n">
        <f aca="false">AI361+AJ345</f>
        <v>330000</v>
      </c>
      <c r="AK361" s="69" t="n">
        <f aca="false">AJ361+AK345</f>
        <v>330000</v>
      </c>
      <c r="AL361" s="69" t="n">
        <f aca="false">AK361+AL345</f>
        <v>330000</v>
      </c>
    </row>
    <row r="362" customFormat="false" ht="15" hidden="false" customHeight="false" outlineLevel="0" collapsed="false">
      <c r="A362" s="6" t="s">
        <v>98</v>
      </c>
      <c r="C362" s="69" t="n">
        <f aca="false">C313</f>
        <v>-13082.7457333333</v>
      </c>
      <c r="D362" s="69" t="n">
        <f aca="false">C362+D313</f>
        <v>-22633.3867666667</v>
      </c>
      <c r="E362" s="69" t="n">
        <f aca="false">D362+E313</f>
        <v>-28645.6731</v>
      </c>
      <c r="F362" s="69" t="n">
        <f aca="false">E362+F313</f>
        <v>-31119.6047333333</v>
      </c>
      <c r="G362" s="69" t="n">
        <f aca="false">F362+G313</f>
        <v>-30055.1816666667</v>
      </c>
      <c r="H362" s="69" t="n">
        <f aca="false">G362+H313</f>
        <v>-14884.7065</v>
      </c>
      <c r="I362" s="69" t="n">
        <f aca="false">H362+I313</f>
        <v>3663.24830166666</v>
      </c>
      <c r="J362" s="69" t="n">
        <f aca="false">I362+J313</f>
        <v>22522.9057933333</v>
      </c>
      <c r="K362" s="69" t="n">
        <f aca="false">J362+K313</f>
        <v>34545.000868</v>
      </c>
      <c r="L362" s="69" t="n">
        <f aca="false">K362+L313</f>
        <v>46576.9709426667</v>
      </c>
      <c r="M362" s="69" t="n">
        <f aca="false">L362+M313</f>
        <v>58618.8160173333</v>
      </c>
      <c r="N362" s="69" t="n">
        <f aca="false">M362+N313</f>
        <v>80945.589564</v>
      </c>
      <c r="O362" s="69" t="n">
        <f aca="false">N362+O313</f>
        <v>96776.303424792</v>
      </c>
      <c r="P362" s="69" t="n">
        <f aca="false">O362+P313</f>
        <v>112616.892285584</v>
      </c>
      <c r="Q362" s="69" t="n">
        <f aca="false">P362+Q313</f>
        <v>128467.356146376</v>
      </c>
      <c r="R362" s="69" t="n">
        <f aca="false">Q362+R313</f>
        <v>144327.695007168</v>
      </c>
      <c r="S362" s="69" t="n">
        <f aca="false">R362+S313</f>
        <v>160197.90886796</v>
      </c>
      <c r="T362" s="69" t="n">
        <f aca="false">S362+T313</f>
        <v>187315.207246776</v>
      </c>
      <c r="U362" s="69" t="n">
        <f aca="false">T362+U313</f>
        <v>214442.380625592</v>
      </c>
      <c r="V362" s="69" t="n">
        <f aca="false">U362+V313</f>
        <v>241579.429004408</v>
      </c>
      <c r="W362" s="69" t="n">
        <f aca="false">V362+W313</f>
        <v>257489.1428652</v>
      </c>
      <c r="X362" s="69" t="n">
        <f aca="false">W362+X313</f>
        <v>273408.731725992</v>
      </c>
      <c r="Y362" s="69" t="n">
        <f aca="false">X362+Y313</f>
        <v>289338.195586784</v>
      </c>
      <c r="Z362" s="69" t="n">
        <f aca="false">Y362+Z313</f>
        <v>316514.7439656</v>
      </c>
      <c r="AA362" s="69" t="n">
        <f aca="false">Z362+AA313</f>
        <v>336612.160926971</v>
      </c>
      <c r="AB362" s="69" t="n">
        <f aca="false">AA362+AB313</f>
        <v>356719.452888343</v>
      </c>
      <c r="AC362" s="69" t="n">
        <f aca="false">AB362+AC313</f>
        <v>376836.619849714</v>
      </c>
      <c r="AD362" s="69" t="n">
        <f aca="false">AC362+AD313</f>
        <v>396963.661811085</v>
      </c>
      <c r="AE362" s="69" t="n">
        <f aca="false">AD362+AE313</f>
        <v>417100.578772457</v>
      </c>
      <c r="AF362" s="69" t="n">
        <f aca="false">AE362+AF313</f>
        <v>449536.539552513</v>
      </c>
      <c r="AG362" s="69" t="n">
        <f aca="false">AF362+AG313</f>
        <v>481982.37533257</v>
      </c>
      <c r="AH362" s="69" t="n">
        <f aca="false">AG362+AH313</f>
        <v>514438.086112627</v>
      </c>
      <c r="AI362" s="69" t="n">
        <f aca="false">AH362+AI313</f>
        <v>534614.503073998</v>
      </c>
      <c r="AJ362" s="69" t="n">
        <f aca="false">AI362+AJ313</f>
        <v>554800.79503537</v>
      </c>
      <c r="AK362" s="69" t="n">
        <f aca="false">AJ362+AK313</f>
        <v>574996.961996741</v>
      </c>
      <c r="AL362" s="69" t="n">
        <f aca="false">AK362+AL313</f>
        <v>607492.172776798</v>
      </c>
    </row>
    <row r="363" customFormat="false" ht="15" hidden="false" customHeight="false" outlineLevel="0" collapsed="false">
      <c r="A363" s="4" t="s">
        <v>93</v>
      </c>
      <c r="C363" s="75" t="n">
        <f aca="false">C349+C335+C336+C326</f>
        <v>428974.248711111</v>
      </c>
      <c r="D363" s="75" t="n">
        <f aca="false">D349+D335+D336+D326</f>
        <v>418864.759761111</v>
      </c>
      <c r="E363" s="75" t="n">
        <f aca="false">E349+E335+E336+E326</f>
        <v>412293.625511111</v>
      </c>
      <c r="F363" s="75" t="n">
        <f aca="false">F349+F335+F336+F326</f>
        <v>409260.845961111</v>
      </c>
      <c r="G363" s="75" t="n">
        <f aca="false">G349+G335+G336+G326</f>
        <v>409766.421111111</v>
      </c>
      <c r="H363" s="75" t="n">
        <f aca="false">H349+H335+H336+H326</f>
        <v>425295.035861111</v>
      </c>
      <c r="I363" s="75" t="n">
        <f aca="false">I349+I335+I336+I326</f>
        <v>443354.680246111</v>
      </c>
      <c r="J363" s="75" t="n">
        <f aca="false">J349+J335+J336+J326</f>
        <v>461726.027321111</v>
      </c>
      <c r="K363" s="75" t="n">
        <f aca="false">K349+K335+K336+K326</f>
        <v>472131.211979111</v>
      </c>
      <c r="L363" s="75" t="n">
        <f aca="false">L349+L335+L336+L326</f>
        <v>482496.515387111</v>
      </c>
      <c r="M363" s="75" t="n">
        <f aca="false">M349+M335+M336+M326</f>
        <v>492871.693795111</v>
      </c>
      <c r="N363" s="75" t="n">
        <f aca="false">N349+N335+N336+N326</f>
        <v>514660.400675111</v>
      </c>
      <c r="O363" s="75" t="n">
        <f aca="false">O349+O335+O336+O326</f>
        <v>529511.68603257</v>
      </c>
      <c r="P363" s="75" t="n">
        <f aca="false">P349+P335+P336+P326</f>
        <v>543685.608226695</v>
      </c>
      <c r="Q363" s="75" t="n">
        <f aca="false">Q349+Q335+Q336+Q326</f>
        <v>557869.405420821</v>
      </c>
      <c r="R363" s="75" t="n">
        <f aca="false">R349+R335+R336+R326</f>
        <v>572063.077614946</v>
      </c>
      <c r="S363" s="75" t="n">
        <f aca="false">S349+S335+S336+S326</f>
        <v>586266.624809071</v>
      </c>
      <c r="T363" s="75" t="n">
        <f aca="false">T349+T335+T336+T326</f>
        <v>612931.91227122</v>
      </c>
      <c r="U363" s="75" t="n">
        <f aca="false">U349+U335+U336+U326</f>
        <v>638392.41898337</v>
      </c>
      <c r="V363" s="75" t="n">
        <f aca="false">V349+V335+V336+V326</f>
        <v>663862.800695519</v>
      </c>
      <c r="W363" s="75" t="n">
        <f aca="false">W349+W335+W336+W326</f>
        <v>676891.192139644</v>
      </c>
      <c r="X363" s="75" t="n">
        <f aca="false">X349+X335+X336+X326</f>
        <v>691144.11433377</v>
      </c>
      <c r="Y363" s="75" t="n">
        <f aca="false">Y349+Y335+Y336+Y326</f>
        <v>705406.911527895</v>
      </c>
      <c r="Z363" s="75" t="n">
        <f aca="false">Z349+Z335+Z336+Z326</f>
        <v>732131.448990045</v>
      </c>
      <c r="AA363" s="75" t="n">
        <f aca="false">AA349+AA335+AA336+AA326</f>
        <v>751334.869614662</v>
      </c>
      <c r="AB363" s="75" t="n">
        <f aca="false">AB349+AB335+AB336+AB326</f>
        <v>769775.494909367</v>
      </c>
      <c r="AC363" s="75" t="n">
        <f aca="false">AC349+AC335+AC336+AC326</f>
        <v>788225.995204071</v>
      </c>
      <c r="AD363" s="75" t="n">
        <f aca="false">AD349+AD335+AD336+AD326</f>
        <v>806686.370498776</v>
      </c>
      <c r="AE363" s="75" t="n">
        <f aca="false">AE349+AE335+AE336+AE326</f>
        <v>825156.62079348</v>
      </c>
      <c r="AF363" s="75" t="n">
        <f aca="false">AF349+AF335+AF336+AF326</f>
        <v>857233.188157808</v>
      </c>
      <c r="AG363" s="75" t="n">
        <f aca="false">AG349+AG335+AG336+AG326</f>
        <v>888012.357271198</v>
      </c>
      <c r="AH363" s="75" t="n">
        <f aca="false">AH349+AH335+AH336+AH326</f>
        <v>918801.401384588</v>
      </c>
      <c r="AI363" s="75" t="n">
        <f aca="false">AI349+AI335+AI336+AI326</f>
        <v>936003.878428355</v>
      </c>
      <c r="AJ363" s="75" t="n">
        <f aca="false">AJ349+AJ335+AJ336+AJ326</f>
        <v>954523.50372306</v>
      </c>
      <c r="AK363" s="75" t="n">
        <f aca="false">AK349+AK335+AK336+AK326</f>
        <v>973053.004017765</v>
      </c>
      <c r="AL363" s="75" t="n">
        <f aca="false">AL349+AL335+AL336+AL326</f>
        <v>1005188.82138209</v>
      </c>
    </row>
    <row r="364" customFormat="false" ht="15" hidden="false" customHeight="false" outlineLevel="0" collapsed="false">
      <c r="A364" s="6" t="s">
        <v>96</v>
      </c>
      <c r="C364" s="69" t="n">
        <f aca="false">C337+C332</f>
        <v>112056.994444444</v>
      </c>
      <c r="D364" s="69" t="n">
        <f aca="false">D337+D332</f>
        <v>111498.146527778</v>
      </c>
      <c r="E364" s="69" t="n">
        <f aca="false">E337+E332</f>
        <v>110939.298611111</v>
      </c>
      <c r="F364" s="69" t="n">
        <f aca="false">F337+F332</f>
        <v>110380.450694444</v>
      </c>
      <c r="G364" s="69" t="n">
        <f aca="false">G337+G332</f>
        <v>109821.602777778</v>
      </c>
      <c r="H364" s="69" t="n">
        <f aca="false">H337+H332</f>
        <v>110179.742361111</v>
      </c>
      <c r="I364" s="69" t="n">
        <f aca="false">I337+I332</f>
        <v>109691.431944444</v>
      </c>
      <c r="J364" s="69" t="n">
        <f aca="false">J337+J332</f>
        <v>109203.121527778</v>
      </c>
      <c r="K364" s="69" t="n">
        <f aca="false">K337+K332</f>
        <v>107586.211111111</v>
      </c>
      <c r="L364" s="69" t="n">
        <f aca="false">L337+L332</f>
        <v>105919.544444444</v>
      </c>
      <c r="M364" s="69" t="n">
        <f aca="false">M337+M332</f>
        <v>104252.877777778</v>
      </c>
      <c r="N364" s="69" t="n">
        <f aca="false">N337+N332</f>
        <v>103714.811111111</v>
      </c>
      <c r="O364" s="69" t="n">
        <f aca="false">O337+O332</f>
        <v>102735.382607778</v>
      </c>
      <c r="P364" s="69" t="n">
        <f aca="false">P337+P332</f>
        <v>101068.715941111</v>
      </c>
      <c r="Q364" s="69" t="n">
        <f aca="false">Q337+Q332</f>
        <v>99402.0492744444</v>
      </c>
      <c r="R364" s="69" t="n">
        <f aca="false">R337+R332</f>
        <v>97735.3826077777</v>
      </c>
      <c r="S364" s="69" t="n">
        <f aca="false">S337+S332</f>
        <v>96068.715941111</v>
      </c>
      <c r="T364" s="69" t="n">
        <f aca="false">T337+T332</f>
        <v>95616.7050244444</v>
      </c>
      <c r="U364" s="69" t="n">
        <f aca="false">U337+U332</f>
        <v>93950.0383577777</v>
      </c>
      <c r="V364" s="69" t="n">
        <f aca="false">V337+V332</f>
        <v>92283.371691111</v>
      </c>
      <c r="W364" s="69" t="n">
        <f aca="false">W337+W332</f>
        <v>89402.0492744444</v>
      </c>
      <c r="X364" s="69" t="n">
        <f aca="false">X337+X332</f>
        <v>87735.3826077777</v>
      </c>
      <c r="Y364" s="69" t="n">
        <f aca="false">Y337+Y332</f>
        <v>86068.715941111</v>
      </c>
      <c r="Z364" s="69" t="n">
        <f aca="false">Z337+Z332</f>
        <v>85616.7050244444</v>
      </c>
      <c r="AA364" s="69" t="n">
        <f aca="false">AA337+AA332</f>
        <v>84722.7086876905</v>
      </c>
      <c r="AB364" s="69" t="n">
        <f aca="false">AB337+AB332</f>
        <v>83056.0420210239</v>
      </c>
      <c r="AC364" s="69" t="n">
        <f aca="false">AC337+AC332</f>
        <v>81389.3753543572</v>
      </c>
      <c r="AD364" s="69" t="n">
        <f aca="false">AD337+AD332</f>
        <v>79722.7086876905</v>
      </c>
      <c r="AE364" s="69" t="n">
        <f aca="false">AE337+AE332</f>
        <v>78056.0420210239</v>
      </c>
      <c r="AF364" s="69" t="n">
        <f aca="false">AF337+AF332</f>
        <v>77696.6486052947</v>
      </c>
      <c r="AG364" s="69" t="n">
        <f aca="false">AG337+AG332</f>
        <v>76029.981938628</v>
      </c>
      <c r="AH364" s="69" t="n">
        <f aca="false">AH337+AH332</f>
        <v>74363.3152719614</v>
      </c>
      <c r="AI364" s="69" t="n">
        <f aca="false">AI337+AI332</f>
        <v>71389.3753543572</v>
      </c>
      <c r="AJ364" s="69" t="n">
        <f aca="false">AJ337+AJ332</f>
        <v>69722.7086876906</v>
      </c>
      <c r="AK364" s="69" t="n">
        <f aca="false">AK337+AK332</f>
        <v>68056.0420210239</v>
      </c>
      <c r="AL364" s="69" t="n">
        <f aca="false">AL337+AL332</f>
        <v>67696.6486052947</v>
      </c>
    </row>
    <row r="365" customFormat="false" ht="15" hidden="false" customHeight="false" outlineLevel="0" collapsed="false">
      <c r="A365" s="6" t="s">
        <v>99</v>
      </c>
      <c r="C365" s="69" t="n">
        <f aca="false">C361+C362</f>
        <v>316917.254266667</v>
      </c>
      <c r="D365" s="69" t="n">
        <f aca="false">D361+D362</f>
        <v>307366.613233333</v>
      </c>
      <c r="E365" s="69" t="n">
        <f aca="false">E361+E362</f>
        <v>301354.3269</v>
      </c>
      <c r="F365" s="69" t="n">
        <f aca="false">F361+F362</f>
        <v>298880.395266667</v>
      </c>
      <c r="G365" s="69" t="n">
        <f aca="false">G361+G362</f>
        <v>299944.818333333</v>
      </c>
      <c r="H365" s="69" t="n">
        <f aca="false">H361+H362</f>
        <v>315115.2935</v>
      </c>
      <c r="I365" s="69" t="n">
        <f aca="false">I361+I362</f>
        <v>333663.248301667</v>
      </c>
      <c r="J365" s="69" t="n">
        <f aca="false">J361+J362</f>
        <v>352522.905793333</v>
      </c>
      <c r="K365" s="69" t="n">
        <f aca="false">K361+K362</f>
        <v>364545.000868</v>
      </c>
      <c r="L365" s="69" t="n">
        <f aca="false">L361+L362</f>
        <v>376576.970942667</v>
      </c>
      <c r="M365" s="69" t="n">
        <f aca="false">M361+M362</f>
        <v>388618.816017333</v>
      </c>
      <c r="N365" s="69" t="n">
        <f aca="false">N361+N362</f>
        <v>410945.589564</v>
      </c>
      <c r="O365" s="69" t="n">
        <f aca="false">O361+O362</f>
        <v>426776.303424792</v>
      </c>
      <c r="P365" s="69" t="n">
        <f aca="false">P361+P362</f>
        <v>442616.892285584</v>
      </c>
      <c r="Q365" s="69" t="n">
        <f aca="false">Q361+Q362</f>
        <v>458467.356146376</v>
      </c>
      <c r="R365" s="69" t="n">
        <f aca="false">R361+R362</f>
        <v>474327.695007168</v>
      </c>
      <c r="S365" s="69" t="n">
        <f aca="false">S361+S362</f>
        <v>490197.90886796</v>
      </c>
      <c r="T365" s="69" t="n">
        <f aca="false">T361+T362</f>
        <v>517315.207246776</v>
      </c>
      <c r="U365" s="69" t="n">
        <f aca="false">U361+U362</f>
        <v>544442.380625592</v>
      </c>
      <c r="V365" s="69" t="n">
        <f aca="false">V361+V362</f>
        <v>571579.429004408</v>
      </c>
      <c r="W365" s="69" t="n">
        <f aca="false">W361+W362</f>
        <v>587489.1428652</v>
      </c>
      <c r="X365" s="69" t="n">
        <f aca="false">X361+X362</f>
        <v>603408.731725992</v>
      </c>
      <c r="Y365" s="69" t="n">
        <f aca="false">Y361+Y362</f>
        <v>619338.195586784</v>
      </c>
      <c r="Z365" s="69" t="n">
        <f aca="false">Z361+Z362</f>
        <v>646514.7439656</v>
      </c>
      <c r="AA365" s="69" t="n">
        <f aca="false">AA361+AA362</f>
        <v>666612.160926971</v>
      </c>
      <c r="AB365" s="69" t="n">
        <f aca="false">AB361+AB362</f>
        <v>686719.452888343</v>
      </c>
      <c r="AC365" s="69" t="n">
        <f aca="false">AC361+AC362</f>
        <v>706836.619849714</v>
      </c>
      <c r="AD365" s="69" t="n">
        <f aca="false">AD361+AD362</f>
        <v>726963.661811085</v>
      </c>
      <c r="AE365" s="69" t="n">
        <f aca="false">AE361+AE362</f>
        <v>747100.578772457</v>
      </c>
      <c r="AF365" s="69" t="n">
        <f aca="false">AF361+AF362</f>
        <v>779536.539552513</v>
      </c>
      <c r="AG365" s="69" t="n">
        <f aca="false">AG361+AG362</f>
        <v>811982.37533257</v>
      </c>
      <c r="AH365" s="69" t="n">
        <f aca="false">AH361+AH362</f>
        <v>844438.086112627</v>
      </c>
      <c r="AI365" s="69" t="n">
        <f aca="false">AI361+AI362</f>
        <v>864614.503073998</v>
      </c>
      <c r="AJ365" s="69" t="n">
        <f aca="false">AJ361+AJ362</f>
        <v>884800.79503537</v>
      </c>
      <c r="AK365" s="69" t="n">
        <f aca="false">AK361+AK362</f>
        <v>904996.961996741</v>
      </c>
      <c r="AL365" s="69" t="n">
        <f aca="false">AL361+AL362</f>
        <v>937492.172776798</v>
      </c>
    </row>
    <row r="366" customFormat="false" ht="15" hidden="false" customHeight="false" outlineLevel="0" collapsed="false">
      <c r="A366" s="4" t="s">
        <v>100</v>
      </c>
      <c r="C366" s="75" t="n">
        <f aca="false">C364+C365</f>
        <v>428974.248711111</v>
      </c>
      <c r="D366" s="75" t="n">
        <f aca="false">D364+D365</f>
        <v>418864.759761111</v>
      </c>
      <c r="E366" s="75" t="n">
        <f aca="false">E364+E365</f>
        <v>412293.625511111</v>
      </c>
      <c r="F366" s="75" t="n">
        <f aca="false">F364+F365</f>
        <v>409260.845961111</v>
      </c>
      <c r="G366" s="75" t="n">
        <f aca="false">G364+G365</f>
        <v>409766.421111111</v>
      </c>
      <c r="H366" s="75" t="n">
        <f aca="false">H364+H365</f>
        <v>425295.035861111</v>
      </c>
      <c r="I366" s="75" t="n">
        <f aca="false">I364+I365</f>
        <v>443354.680246111</v>
      </c>
      <c r="J366" s="75" t="n">
        <f aca="false">J364+J365</f>
        <v>461726.027321111</v>
      </c>
      <c r="K366" s="75" t="n">
        <f aca="false">K364+K365</f>
        <v>472131.211979111</v>
      </c>
      <c r="L366" s="75" t="n">
        <f aca="false">L364+L365</f>
        <v>482496.515387111</v>
      </c>
      <c r="M366" s="75" t="n">
        <f aca="false">M364+M365</f>
        <v>492871.693795111</v>
      </c>
      <c r="N366" s="75" t="n">
        <f aca="false">N364+N365</f>
        <v>514660.400675111</v>
      </c>
      <c r="O366" s="75" t="n">
        <f aca="false">O364+O365</f>
        <v>529511.68603257</v>
      </c>
      <c r="P366" s="75" t="n">
        <f aca="false">P364+P365</f>
        <v>543685.608226695</v>
      </c>
      <c r="Q366" s="75" t="n">
        <f aca="false">Q364+Q365</f>
        <v>557869.40542082</v>
      </c>
      <c r="R366" s="75" t="n">
        <f aca="false">R364+R365</f>
        <v>572063.077614946</v>
      </c>
      <c r="S366" s="75" t="n">
        <f aca="false">S364+S365</f>
        <v>586266.624809071</v>
      </c>
      <c r="T366" s="75" t="n">
        <f aca="false">T364+T365</f>
        <v>612931.91227122</v>
      </c>
      <c r="U366" s="75" t="n">
        <f aca="false">U364+U365</f>
        <v>638392.41898337</v>
      </c>
      <c r="V366" s="75" t="n">
        <f aca="false">V364+V365</f>
        <v>663862.800695519</v>
      </c>
      <c r="W366" s="75" t="n">
        <f aca="false">W364+W365</f>
        <v>676891.192139644</v>
      </c>
      <c r="X366" s="75" t="n">
        <f aca="false">X364+X365</f>
        <v>691144.11433377</v>
      </c>
      <c r="Y366" s="75" t="n">
        <f aca="false">Y364+Y365</f>
        <v>705406.911527895</v>
      </c>
      <c r="Z366" s="75" t="n">
        <f aca="false">Z364+Z365</f>
        <v>732131.448990044</v>
      </c>
      <c r="AA366" s="75" t="n">
        <f aca="false">AA364+AA365</f>
        <v>751334.869614662</v>
      </c>
      <c r="AB366" s="75" t="n">
        <f aca="false">AB364+AB365</f>
        <v>769775.494909366</v>
      </c>
      <c r="AC366" s="75" t="n">
        <f aca="false">AC364+AC365</f>
        <v>788225.995204071</v>
      </c>
      <c r="AD366" s="75" t="n">
        <f aca="false">AD364+AD365</f>
        <v>806686.370498776</v>
      </c>
      <c r="AE366" s="75" t="n">
        <f aca="false">AE364+AE365</f>
        <v>825156.62079348</v>
      </c>
      <c r="AF366" s="75" t="n">
        <f aca="false">AF364+AF365</f>
        <v>857233.188157808</v>
      </c>
      <c r="AG366" s="75" t="n">
        <f aca="false">AG364+AG365</f>
        <v>888012.357271198</v>
      </c>
      <c r="AH366" s="75" t="n">
        <f aca="false">AH364+AH365</f>
        <v>918801.401384588</v>
      </c>
      <c r="AI366" s="75" t="n">
        <f aca="false">AI364+AI365</f>
        <v>936003.878428355</v>
      </c>
      <c r="AJ366" s="75" t="n">
        <f aca="false">AJ364+AJ365</f>
        <v>954523.50372306</v>
      </c>
      <c r="AK366" s="75" t="n">
        <f aca="false">AK364+AK365</f>
        <v>973053.004017765</v>
      </c>
      <c r="AL366" s="75" t="n">
        <f aca="false">AL364+AL365</f>
        <v>1005188.82138209</v>
      </c>
    </row>
    <row r="367" customFormat="false" ht="15" hidden="false" customHeight="false" outlineLevel="0" collapsed="false">
      <c r="A367" s="6" t="s">
        <v>430</v>
      </c>
      <c r="C367" s="69" t="n">
        <f aca="false">C363-C366</f>
        <v>0</v>
      </c>
      <c r="D367" s="69" t="n">
        <f aca="false">D363-D366</f>
        <v>0</v>
      </c>
      <c r="E367" s="69" t="n">
        <f aca="false">E363-E366</f>
        <v>0</v>
      </c>
      <c r="F367" s="69" t="n">
        <f aca="false">F363-F366</f>
        <v>0</v>
      </c>
      <c r="G367" s="69" t="n">
        <f aca="false">G363-G366</f>
        <v>0</v>
      </c>
      <c r="H367" s="69" t="n">
        <f aca="false">H363-H366</f>
        <v>0</v>
      </c>
      <c r="I367" s="69" t="n">
        <f aca="false">I363-I366</f>
        <v>0</v>
      </c>
      <c r="J367" s="69" t="n">
        <f aca="false">J363-J366</f>
        <v>0</v>
      </c>
      <c r="K367" s="69" t="n">
        <f aca="false">K363-K366</f>
        <v>0</v>
      </c>
      <c r="L367" s="69" t="n">
        <f aca="false">L363-L366</f>
        <v>0</v>
      </c>
      <c r="M367" s="69" t="n">
        <f aca="false">M363-M366</f>
        <v>0</v>
      </c>
      <c r="N367" s="69" t="n">
        <f aca="false">N363-N366</f>
        <v>0</v>
      </c>
      <c r="O367" s="69" t="n">
        <f aca="false">O363-O366</f>
        <v>0</v>
      </c>
      <c r="P367" s="69" t="n">
        <f aca="false">P363-P366</f>
        <v>0</v>
      </c>
      <c r="Q367" s="69" t="n">
        <f aca="false">Q363-Q366</f>
        <v>0</v>
      </c>
      <c r="R367" s="69" t="n">
        <f aca="false">R363-R366</f>
        <v>0</v>
      </c>
      <c r="S367" s="69" t="n">
        <f aca="false">S363-S366</f>
        <v>0</v>
      </c>
      <c r="T367" s="69" t="n">
        <f aca="false">T363-T366</f>
        <v>0</v>
      </c>
      <c r="U367" s="69" t="n">
        <f aca="false">U363-U366</f>
        <v>0</v>
      </c>
      <c r="V367" s="69" t="n">
        <f aca="false">V363-V366</f>
        <v>0</v>
      </c>
      <c r="W367" s="69" t="n">
        <f aca="false">W363-W366</f>
        <v>0</v>
      </c>
      <c r="X367" s="69" t="n">
        <f aca="false">X363-X366</f>
        <v>0</v>
      </c>
      <c r="Y367" s="69" t="n">
        <f aca="false">Y363-Y366</f>
        <v>0</v>
      </c>
      <c r="Z367" s="69" t="n">
        <f aca="false">Z363-Z366</f>
        <v>0</v>
      </c>
      <c r="AA367" s="69" t="n">
        <f aca="false">AA363-AA366</f>
        <v>0</v>
      </c>
      <c r="AB367" s="69" t="n">
        <f aca="false">AB363-AB366</f>
        <v>0</v>
      </c>
      <c r="AC367" s="69" t="n">
        <f aca="false">AC363-AC366</f>
        <v>0</v>
      </c>
      <c r="AD367" s="69" t="n">
        <f aca="false">AD363-AD366</f>
        <v>0</v>
      </c>
      <c r="AE367" s="69" t="n">
        <f aca="false">AE363-AE366</f>
        <v>0</v>
      </c>
      <c r="AF367" s="69" t="n">
        <f aca="false">AF363-AF366</f>
        <v>0</v>
      </c>
      <c r="AG367" s="69" t="n">
        <f aca="false">AG363-AG366</f>
        <v>0</v>
      </c>
      <c r="AH367" s="69" t="n">
        <f aca="false">AH363-AH366</f>
        <v>0</v>
      </c>
      <c r="AI367" s="69" t="n">
        <f aca="false">AI363-AI366</f>
        <v>0</v>
      </c>
      <c r="AJ367" s="69" t="n">
        <f aca="false">AJ363-AJ366</f>
        <v>0</v>
      </c>
      <c r="AK367" s="69" t="n">
        <f aca="false">AK363-AK366</f>
        <v>0</v>
      </c>
      <c r="AL367" s="69" t="n">
        <f aca="false">AL363-AL366</f>
        <v>0</v>
      </c>
    </row>
    <row r="369" customFormat="false" ht="15.75" hidden="false" customHeight="true" outlineLevel="0" collapsed="false">
      <c r="A369" s="7" t="s">
        <v>432</v>
      </c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customFormat="false" ht="15" hidden="false" customHeight="false" outlineLevel="0" collapsed="false">
      <c r="A370" s="6" t="s">
        <v>433</v>
      </c>
      <c r="C370" s="119" t="n">
        <f aca="false">Inputs!$D$55*(1+Inputs!$D$57)^(C$259-1)*MAX(0,MIN(1,C$258*1-Inputs!$D$58+1))/1</f>
        <v>4</v>
      </c>
      <c r="D370" s="119" t="n">
        <f aca="false">Inputs!$D$55*(1+Inputs!$D$57)^(D$259-1)*MAX(0,MIN(1,D$258*1-Inputs!$D$58+1))/1</f>
        <v>4</v>
      </c>
      <c r="E370" s="119" t="n">
        <f aca="false">Inputs!$D$55*(1+Inputs!$D$57)^(E$259-1)*MAX(0,MIN(1,E$258*1-Inputs!$D$58+1))/1</f>
        <v>4</v>
      </c>
      <c r="F370" s="119" t="n">
        <f aca="false">Inputs!$D$55*(1+Inputs!$D$57)^(F$259-1)*MAX(0,MIN(1,F$258*1-Inputs!$D$58+1))/1</f>
        <v>4</v>
      </c>
      <c r="G370" s="119" t="n">
        <f aca="false">Inputs!$D$55*(1+Inputs!$D$57)^(G$259-1)*MAX(0,MIN(1,G$258*1-Inputs!$D$58+1))/1</f>
        <v>4</v>
      </c>
      <c r="H370" s="119" t="n">
        <f aca="false">Inputs!$D$55*(1+Inputs!$D$57)^(H$259-1)*MAX(0,MIN(1,H$258*1-Inputs!$D$58+1))/1</f>
        <v>4</v>
      </c>
      <c r="I370" s="119" t="n">
        <f aca="false">Inputs!$D$55*(1+Inputs!$D$57)^(I$259-1)*MAX(0,MIN(1,I$258*1-Inputs!$D$58+1))/1</f>
        <v>4</v>
      </c>
      <c r="J370" s="119" t="n">
        <f aca="false">Inputs!$D$55*(1+Inputs!$D$57)^(J$259-1)*MAX(0,MIN(1,J$258*1-Inputs!$D$58+1))/1</f>
        <v>4</v>
      </c>
      <c r="K370" s="119" t="n">
        <f aca="false">Inputs!$D$55*(1+Inputs!$D$57)^(K$259-1)*MAX(0,MIN(1,K$258*1-Inputs!$D$58+1))/1</f>
        <v>4</v>
      </c>
      <c r="L370" s="119" t="n">
        <f aca="false">Inputs!$D$55*(1+Inputs!$D$57)^(L$259-1)*MAX(0,MIN(1,L$258*1-Inputs!$D$58+1))/1</f>
        <v>4</v>
      </c>
      <c r="M370" s="119" t="n">
        <f aca="false">Inputs!$D$55*(1+Inputs!$D$57)^(M$259-1)*MAX(0,MIN(1,M$258*1-Inputs!$D$58+1))/1</f>
        <v>4</v>
      </c>
      <c r="N370" s="119" t="n">
        <f aca="false">Inputs!$D$55*(1+Inputs!$D$57)^(N$259-1)*MAX(0,MIN(1,N$258*1-Inputs!$D$58+1))/1</f>
        <v>4</v>
      </c>
      <c r="O370" s="119" t="n">
        <f aca="false">Inputs!$D$55*(1+Inputs!$D$57)^(O$259-1)*MAX(0,MIN(1,O$258*1-Inputs!$D$58+1))/1</f>
        <v>4</v>
      </c>
      <c r="P370" s="119" t="n">
        <f aca="false">Inputs!$D$55*(1+Inputs!$D$57)^(P$259-1)*MAX(0,MIN(1,P$258*1-Inputs!$D$58+1))/1</f>
        <v>4</v>
      </c>
      <c r="Q370" s="119" t="n">
        <f aca="false">Inputs!$D$55*(1+Inputs!$D$57)^(Q$259-1)*MAX(0,MIN(1,Q$258*1-Inputs!$D$58+1))/1</f>
        <v>4</v>
      </c>
      <c r="R370" s="119" t="n">
        <f aca="false">Inputs!$D$55*(1+Inputs!$D$57)^(R$259-1)*MAX(0,MIN(1,R$258*1-Inputs!$D$58+1))/1</f>
        <v>4</v>
      </c>
      <c r="S370" s="119" t="n">
        <f aca="false">Inputs!$D$55*(1+Inputs!$D$57)^(S$259-1)*MAX(0,MIN(1,S$258*1-Inputs!$D$58+1))/1</f>
        <v>4</v>
      </c>
      <c r="T370" s="119" t="n">
        <f aca="false">Inputs!$D$55*(1+Inputs!$D$57)^(T$259-1)*MAX(0,MIN(1,T$258*1-Inputs!$D$58+1))/1</f>
        <v>4</v>
      </c>
      <c r="U370" s="119" t="n">
        <f aca="false">Inputs!$D$55*(1+Inputs!$D$57)^(U$259-1)*MAX(0,MIN(1,U$258*1-Inputs!$D$58+1))/1</f>
        <v>4</v>
      </c>
      <c r="V370" s="119" t="n">
        <f aca="false">Inputs!$D$55*(1+Inputs!$D$57)^(V$259-1)*MAX(0,MIN(1,V$258*1-Inputs!$D$58+1))/1</f>
        <v>4</v>
      </c>
      <c r="W370" s="119" t="n">
        <f aca="false">Inputs!$D$55*(1+Inputs!$D$57)^(W$259-1)*MAX(0,MIN(1,W$258*1-Inputs!$D$58+1))/1</f>
        <v>4</v>
      </c>
      <c r="X370" s="119" t="n">
        <f aca="false">Inputs!$D$55*(1+Inputs!$D$57)^(X$259-1)*MAX(0,MIN(1,X$258*1-Inputs!$D$58+1))/1</f>
        <v>4</v>
      </c>
      <c r="Y370" s="119" t="n">
        <f aca="false">Inputs!$D$55*(1+Inputs!$D$57)^(Y$259-1)*MAX(0,MIN(1,Y$258*1-Inputs!$D$58+1))/1</f>
        <v>4</v>
      </c>
      <c r="Z370" s="119" t="n">
        <f aca="false">Inputs!$D$55*(1+Inputs!$D$57)^(Z$259-1)*MAX(0,MIN(1,Z$258*1-Inputs!$D$58+1))/1</f>
        <v>4</v>
      </c>
      <c r="AA370" s="119" t="n">
        <f aca="false">Inputs!$D$55*(1+Inputs!$D$57)^(AA$259-1)*MAX(0,MIN(1,AA$258*1-Inputs!$D$58+1))/1</f>
        <v>4</v>
      </c>
      <c r="AB370" s="119" t="n">
        <f aca="false">Inputs!$D$55*(1+Inputs!$D$57)^(AB$259-1)*MAX(0,MIN(1,AB$258*1-Inputs!$D$58+1))/1</f>
        <v>4</v>
      </c>
      <c r="AC370" s="119" t="n">
        <f aca="false">Inputs!$D$55*(1+Inputs!$D$57)^(AC$259-1)*MAX(0,MIN(1,AC$258*1-Inputs!$D$58+1))/1</f>
        <v>4</v>
      </c>
      <c r="AD370" s="119" t="n">
        <f aca="false">Inputs!$D$55*(1+Inputs!$D$57)^(AD$259-1)*MAX(0,MIN(1,AD$258*1-Inputs!$D$58+1))/1</f>
        <v>4</v>
      </c>
      <c r="AE370" s="119" t="n">
        <f aca="false">Inputs!$D$55*(1+Inputs!$D$57)^(AE$259-1)*MAX(0,MIN(1,AE$258*1-Inputs!$D$58+1))/1</f>
        <v>4</v>
      </c>
      <c r="AF370" s="119" t="n">
        <f aca="false">Inputs!$D$55*(1+Inputs!$D$57)^(AF$259-1)*MAX(0,MIN(1,AF$258*1-Inputs!$D$58+1))/1</f>
        <v>4</v>
      </c>
      <c r="AG370" s="119" t="n">
        <f aca="false">Inputs!$D$55*(1+Inputs!$D$57)^(AG$259-1)*MAX(0,MIN(1,AG$258*1-Inputs!$D$58+1))/1</f>
        <v>4</v>
      </c>
      <c r="AH370" s="119" t="n">
        <f aca="false">Inputs!$D$55*(1+Inputs!$D$57)^(AH$259-1)*MAX(0,MIN(1,AH$258*1-Inputs!$D$58+1))/1</f>
        <v>4</v>
      </c>
      <c r="AI370" s="119" t="n">
        <f aca="false">Inputs!$D$55*(1+Inputs!$D$57)^(AI$259-1)*MAX(0,MIN(1,AI$258*1-Inputs!$D$58+1))/1</f>
        <v>4</v>
      </c>
      <c r="AJ370" s="119" t="n">
        <f aca="false">Inputs!$D$55*(1+Inputs!$D$57)^(AJ$259-1)*MAX(0,MIN(1,AJ$258*1-Inputs!$D$58+1))/1</f>
        <v>4</v>
      </c>
      <c r="AK370" s="119" t="n">
        <f aca="false">Inputs!$D$55*(1+Inputs!$D$57)^(AK$259-1)*MAX(0,MIN(1,AK$258*1-Inputs!$D$58+1))/1</f>
        <v>4</v>
      </c>
      <c r="AL370" s="119" t="n">
        <f aca="false">Inputs!$D$55*(1+Inputs!$D$57)^(AL$259-1)*MAX(0,MIN(1,AL$258*1-Inputs!$D$58+1))/1</f>
        <v>4</v>
      </c>
    </row>
    <row r="371" customFormat="false" ht="15" hidden="false" customHeight="false" outlineLevel="0" collapsed="false">
      <c r="A371" s="6" t="s">
        <v>434</v>
      </c>
      <c r="C371" s="119" t="n">
        <f aca="false">Inputs!$D$59*(1+Inputs!$D$61)^(C$259-1)*MAX(0,MIN(1,C$258*1-Inputs!$D$62+1))/1</f>
        <v>3</v>
      </c>
      <c r="D371" s="119" t="n">
        <f aca="false">Inputs!$D$59*(1+Inputs!$D$61)^(D$259-1)*MAX(0,MIN(1,D$258*1-Inputs!$D$62+1))/1</f>
        <v>3</v>
      </c>
      <c r="E371" s="119" t="n">
        <f aca="false">Inputs!$D$59*(1+Inputs!$D$61)^(E$259-1)*MAX(0,MIN(1,E$258*1-Inputs!$D$62+1))/1</f>
        <v>3</v>
      </c>
      <c r="F371" s="119" t="n">
        <f aca="false">Inputs!$D$59*(1+Inputs!$D$61)^(F$259-1)*MAX(0,MIN(1,F$258*1-Inputs!$D$62+1))/1</f>
        <v>3</v>
      </c>
      <c r="G371" s="119" t="n">
        <f aca="false">Inputs!$D$59*(1+Inputs!$D$61)^(G$259-1)*MAX(0,MIN(1,G$258*1-Inputs!$D$62+1))/1</f>
        <v>3</v>
      </c>
      <c r="H371" s="119" t="n">
        <f aca="false">Inputs!$D$59*(1+Inputs!$D$61)^(H$259-1)*MAX(0,MIN(1,H$258*1-Inputs!$D$62+1))/1</f>
        <v>3</v>
      </c>
      <c r="I371" s="119" t="n">
        <f aca="false">Inputs!$D$59*(1+Inputs!$D$61)^(I$259-1)*MAX(0,MIN(1,I$258*1-Inputs!$D$62+1))/1</f>
        <v>3</v>
      </c>
      <c r="J371" s="119" t="n">
        <f aca="false">Inputs!$D$59*(1+Inputs!$D$61)^(J$259-1)*MAX(0,MIN(1,J$258*1-Inputs!$D$62+1))/1</f>
        <v>3</v>
      </c>
      <c r="K371" s="119" t="n">
        <f aca="false">Inputs!$D$59*(1+Inputs!$D$61)^(K$259-1)*MAX(0,MIN(1,K$258*1-Inputs!$D$62+1))/1</f>
        <v>3</v>
      </c>
      <c r="L371" s="119" t="n">
        <f aca="false">Inputs!$D$59*(1+Inputs!$D$61)^(L$259-1)*MAX(0,MIN(1,L$258*1-Inputs!$D$62+1))/1</f>
        <v>3</v>
      </c>
      <c r="M371" s="119" t="n">
        <f aca="false">Inputs!$D$59*(1+Inputs!$D$61)^(M$259-1)*MAX(0,MIN(1,M$258*1-Inputs!$D$62+1))/1</f>
        <v>3</v>
      </c>
      <c r="N371" s="119" t="n">
        <f aca="false">Inputs!$D$59*(1+Inputs!$D$61)^(N$259-1)*MAX(0,MIN(1,N$258*1-Inputs!$D$62+1))/1</f>
        <v>3</v>
      </c>
      <c r="O371" s="119" t="n">
        <f aca="false">Inputs!$D$59*(1+Inputs!$D$61)^(O$259-1)*MAX(0,MIN(1,O$258*1-Inputs!$D$62+1))/1</f>
        <v>3</v>
      </c>
      <c r="P371" s="119" t="n">
        <f aca="false">Inputs!$D$59*(1+Inputs!$D$61)^(P$259-1)*MAX(0,MIN(1,P$258*1-Inputs!$D$62+1))/1</f>
        <v>3</v>
      </c>
      <c r="Q371" s="119" t="n">
        <f aca="false">Inputs!$D$59*(1+Inputs!$D$61)^(Q$259-1)*MAX(0,MIN(1,Q$258*1-Inputs!$D$62+1))/1</f>
        <v>3</v>
      </c>
      <c r="R371" s="119" t="n">
        <f aca="false">Inputs!$D$59*(1+Inputs!$D$61)^(R$259-1)*MAX(0,MIN(1,R$258*1-Inputs!$D$62+1))/1</f>
        <v>3</v>
      </c>
      <c r="S371" s="119" t="n">
        <f aca="false">Inputs!$D$59*(1+Inputs!$D$61)^(S$259-1)*MAX(0,MIN(1,S$258*1-Inputs!$D$62+1))/1</f>
        <v>3</v>
      </c>
      <c r="T371" s="119" t="n">
        <f aca="false">Inputs!$D$59*(1+Inputs!$D$61)^(T$259-1)*MAX(0,MIN(1,T$258*1-Inputs!$D$62+1))/1</f>
        <v>3</v>
      </c>
      <c r="U371" s="119" t="n">
        <f aca="false">Inputs!$D$59*(1+Inputs!$D$61)^(U$259-1)*MAX(0,MIN(1,U$258*1-Inputs!$D$62+1))/1</f>
        <v>3</v>
      </c>
      <c r="V371" s="119" t="n">
        <f aca="false">Inputs!$D$59*(1+Inputs!$D$61)^(V$259-1)*MAX(0,MIN(1,V$258*1-Inputs!$D$62+1))/1</f>
        <v>3</v>
      </c>
      <c r="W371" s="119" t="n">
        <f aca="false">Inputs!$D$59*(1+Inputs!$D$61)^(W$259-1)*MAX(0,MIN(1,W$258*1-Inputs!$D$62+1))/1</f>
        <v>3</v>
      </c>
      <c r="X371" s="119" t="n">
        <f aca="false">Inputs!$D$59*(1+Inputs!$D$61)^(X$259-1)*MAX(0,MIN(1,X$258*1-Inputs!$D$62+1))/1</f>
        <v>3</v>
      </c>
      <c r="Y371" s="119" t="n">
        <f aca="false">Inputs!$D$59*(1+Inputs!$D$61)^(Y$259-1)*MAX(0,MIN(1,Y$258*1-Inputs!$D$62+1))/1</f>
        <v>3</v>
      </c>
      <c r="Z371" s="119" t="n">
        <f aca="false">Inputs!$D$59*(1+Inputs!$D$61)^(Z$259-1)*MAX(0,MIN(1,Z$258*1-Inputs!$D$62+1))/1</f>
        <v>3</v>
      </c>
      <c r="AA371" s="119" t="n">
        <f aca="false">Inputs!$D$59*(1+Inputs!$D$61)^(AA$259-1)*MAX(0,MIN(1,AA$258*1-Inputs!$D$62+1))/1</f>
        <v>3</v>
      </c>
      <c r="AB371" s="119" t="n">
        <f aca="false">Inputs!$D$59*(1+Inputs!$D$61)^(AB$259-1)*MAX(0,MIN(1,AB$258*1-Inputs!$D$62+1))/1</f>
        <v>3</v>
      </c>
      <c r="AC371" s="119" t="n">
        <f aca="false">Inputs!$D$59*(1+Inputs!$D$61)^(AC$259-1)*MAX(0,MIN(1,AC$258*1-Inputs!$D$62+1))/1</f>
        <v>3</v>
      </c>
      <c r="AD371" s="119" t="n">
        <f aca="false">Inputs!$D$59*(1+Inputs!$D$61)^(AD$259-1)*MAX(0,MIN(1,AD$258*1-Inputs!$D$62+1))/1</f>
        <v>3</v>
      </c>
      <c r="AE371" s="119" t="n">
        <f aca="false">Inputs!$D$59*(1+Inputs!$D$61)^(AE$259-1)*MAX(0,MIN(1,AE$258*1-Inputs!$D$62+1))/1</f>
        <v>3</v>
      </c>
      <c r="AF371" s="119" t="n">
        <f aca="false">Inputs!$D$59*(1+Inputs!$D$61)^(AF$259-1)*MAX(0,MIN(1,AF$258*1-Inputs!$D$62+1))/1</f>
        <v>3</v>
      </c>
      <c r="AG371" s="119" t="n">
        <f aca="false">Inputs!$D$59*(1+Inputs!$D$61)^(AG$259-1)*MAX(0,MIN(1,AG$258*1-Inputs!$D$62+1))/1</f>
        <v>3</v>
      </c>
      <c r="AH371" s="119" t="n">
        <f aca="false">Inputs!$D$59*(1+Inputs!$D$61)^(AH$259-1)*MAX(0,MIN(1,AH$258*1-Inputs!$D$62+1))/1</f>
        <v>3</v>
      </c>
      <c r="AI371" s="119" t="n">
        <f aca="false">Inputs!$D$59*(1+Inputs!$D$61)^(AI$259-1)*MAX(0,MIN(1,AI$258*1-Inputs!$D$62+1))/1</f>
        <v>3</v>
      </c>
      <c r="AJ371" s="119" t="n">
        <f aca="false">Inputs!$D$59*(1+Inputs!$D$61)^(AJ$259-1)*MAX(0,MIN(1,AJ$258*1-Inputs!$D$62+1))/1</f>
        <v>3</v>
      </c>
      <c r="AK371" s="119" t="n">
        <f aca="false">Inputs!$D$59*(1+Inputs!$D$61)^(AK$259-1)*MAX(0,MIN(1,AK$258*1-Inputs!$D$62+1))/1</f>
        <v>3</v>
      </c>
      <c r="AL371" s="119" t="n">
        <f aca="false">Inputs!$D$59*(1+Inputs!$D$61)^(AL$259-1)*MAX(0,MIN(1,AL$258*1-Inputs!$D$62+1))/1</f>
        <v>3</v>
      </c>
    </row>
    <row r="372" customFormat="false" ht="15" hidden="false" customHeight="false" outlineLevel="0" collapsed="false">
      <c r="A372" s="6" t="s">
        <v>435</v>
      </c>
      <c r="C372" s="119" t="n">
        <f aca="false">Inputs!$D$63*(1+Inputs!$D$65)^(C$259-1)*MAX(0,MIN(1,C$258*1-Inputs!$D$66+1))/1</f>
        <v>1</v>
      </c>
      <c r="D372" s="119" t="n">
        <f aca="false">Inputs!$D$63*(1+Inputs!$D$65)^(D$259-1)*MAX(0,MIN(1,D$258*1-Inputs!$D$66+1))/1</f>
        <v>1</v>
      </c>
      <c r="E372" s="119" t="n">
        <f aca="false">Inputs!$D$63*(1+Inputs!$D$65)^(E$259-1)*MAX(0,MIN(1,E$258*1-Inputs!$D$66+1))/1</f>
        <v>1</v>
      </c>
      <c r="F372" s="119" t="n">
        <f aca="false">Inputs!$D$63*(1+Inputs!$D$65)^(F$259-1)*MAX(0,MIN(1,F$258*1-Inputs!$D$66+1))/1</f>
        <v>1</v>
      </c>
      <c r="G372" s="119" t="n">
        <f aca="false">Inputs!$D$63*(1+Inputs!$D$65)^(G$259-1)*MAX(0,MIN(1,G$258*1-Inputs!$D$66+1))/1</f>
        <v>1</v>
      </c>
      <c r="H372" s="119" t="n">
        <f aca="false">Inputs!$D$63*(1+Inputs!$D$65)^(H$259-1)*MAX(0,MIN(1,H$258*1-Inputs!$D$66+1))/1</f>
        <v>1</v>
      </c>
      <c r="I372" s="119" t="n">
        <f aca="false">Inputs!$D$63*(1+Inputs!$D$65)^(I$259-1)*MAX(0,MIN(1,I$258*1-Inputs!$D$66+1))/1</f>
        <v>1</v>
      </c>
      <c r="J372" s="119" t="n">
        <f aca="false">Inputs!$D$63*(1+Inputs!$D$65)^(J$259-1)*MAX(0,MIN(1,J$258*1-Inputs!$D$66+1))/1</f>
        <v>1</v>
      </c>
      <c r="K372" s="119" t="n">
        <f aca="false">Inputs!$D$63*(1+Inputs!$D$65)^(K$259-1)*MAX(0,MIN(1,K$258*1-Inputs!$D$66+1))/1</f>
        <v>1</v>
      </c>
      <c r="L372" s="119" t="n">
        <f aca="false">Inputs!$D$63*(1+Inputs!$D$65)^(L$259-1)*MAX(0,MIN(1,L$258*1-Inputs!$D$66+1))/1</f>
        <v>1</v>
      </c>
      <c r="M372" s="119" t="n">
        <f aca="false">Inputs!$D$63*(1+Inputs!$D$65)^(M$259-1)*MAX(0,MIN(1,M$258*1-Inputs!$D$66+1))/1</f>
        <v>1</v>
      </c>
      <c r="N372" s="119" t="n">
        <f aca="false">Inputs!$D$63*(1+Inputs!$D$65)^(N$259-1)*MAX(0,MIN(1,N$258*1-Inputs!$D$66+1))/1</f>
        <v>1</v>
      </c>
      <c r="O372" s="119" t="n">
        <f aca="false">Inputs!$D$63*(1+Inputs!$D$65)^(O$259-1)*MAX(0,MIN(1,O$258*1-Inputs!$D$66+1))/1</f>
        <v>1</v>
      </c>
      <c r="P372" s="119" t="n">
        <f aca="false">Inputs!$D$63*(1+Inputs!$D$65)^(P$259-1)*MAX(0,MIN(1,P$258*1-Inputs!$D$66+1))/1</f>
        <v>1</v>
      </c>
      <c r="Q372" s="119" t="n">
        <f aca="false">Inputs!$D$63*(1+Inputs!$D$65)^(Q$259-1)*MAX(0,MIN(1,Q$258*1-Inputs!$D$66+1))/1</f>
        <v>1</v>
      </c>
      <c r="R372" s="119" t="n">
        <f aca="false">Inputs!$D$63*(1+Inputs!$D$65)^(R$259-1)*MAX(0,MIN(1,R$258*1-Inputs!$D$66+1))/1</f>
        <v>1</v>
      </c>
      <c r="S372" s="119" t="n">
        <f aca="false">Inputs!$D$63*(1+Inputs!$D$65)^(S$259-1)*MAX(0,MIN(1,S$258*1-Inputs!$D$66+1))/1</f>
        <v>1</v>
      </c>
      <c r="T372" s="119" t="n">
        <f aca="false">Inputs!$D$63*(1+Inputs!$D$65)^(T$259-1)*MAX(0,MIN(1,T$258*1-Inputs!$D$66+1))/1</f>
        <v>1</v>
      </c>
      <c r="U372" s="119" t="n">
        <f aca="false">Inputs!$D$63*(1+Inputs!$D$65)^(U$259-1)*MAX(0,MIN(1,U$258*1-Inputs!$D$66+1))/1</f>
        <v>1</v>
      </c>
      <c r="V372" s="119" t="n">
        <f aca="false">Inputs!$D$63*(1+Inputs!$D$65)^(V$259-1)*MAX(0,MIN(1,V$258*1-Inputs!$D$66+1))/1</f>
        <v>1</v>
      </c>
      <c r="W372" s="119" t="n">
        <f aca="false">Inputs!$D$63*(1+Inputs!$D$65)^(W$259-1)*MAX(0,MIN(1,W$258*1-Inputs!$D$66+1))/1</f>
        <v>1</v>
      </c>
      <c r="X372" s="119" t="n">
        <f aca="false">Inputs!$D$63*(1+Inputs!$D$65)^(X$259-1)*MAX(0,MIN(1,X$258*1-Inputs!$D$66+1))/1</f>
        <v>1</v>
      </c>
      <c r="Y372" s="119" t="n">
        <f aca="false">Inputs!$D$63*(1+Inputs!$D$65)^(Y$259-1)*MAX(0,MIN(1,Y$258*1-Inputs!$D$66+1))/1</f>
        <v>1</v>
      </c>
      <c r="Z372" s="119" t="n">
        <f aca="false">Inputs!$D$63*(1+Inputs!$D$65)^(Z$259-1)*MAX(0,MIN(1,Z$258*1-Inputs!$D$66+1))/1</f>
        <v>1</v>
      </c>
      <c r="AA372" s="119" t="n">
        <f aca="false">Inputs!$D$63*(1+Inputs!$D$65)^(AA$259-1)*MAX(0,MIN(1,AA$258*1-Inputs!$D$66+1))/1</f>
        <v>1</v>
      </c>
      <c r="AB372" s="119" t="n">
        <f aca="false">Inputs!$D$63*(1+Inputs!$D$65)^(AB$259-1)*MAX(0,MIN(1,AB$258*1-Inputs!$D$66+1))/1</f>
        <v>1</v>
      </c>
      <c r="AC372" s="119" t="n">
        <f aca="false">Inputs!$D$63*(1+Inputs!$D$65)^(AC$259-1)*MAX(0,MIN(1,AC$258*1-Inputs!$D$66+1))/1</f>
        <v>1</v>
      </c>
      <c r="AD372" s="119" t="n">
        <f aca="false">Inputs!$D$63*(1+Inputs!$D$65)^(AD$259-1)*MAX(0,MIN(1,AD$258*1-Inputs!$D$66+1))/1</f>
        <v>1</v>
      </c>
      <c r="AE372" s="119" t="n">
        <f aca="false">Inputs!$D$63*(1+Inputs!$D$65)^(AE$259-1)*MAX(0,MIN(1,AE$258*1-Inputs!$D$66+1))/1</f>
        <v>1</v>
      </c>
      <c r="AF372" s="119" t="n">
        <f aca="false">Inputs!$D$63*(1+Inputs!$D$65)^(AF$259-1)*MAX(0,MIN(1,AF$258*1-Inputs!$D$66+1))/1</f>
        <v>1</v>
      </c>
      <c r="AG372" s="119" t="n">
        <f aca="false">Inputs!$D$63*(1+Inputs!$D$65)^(AG$259-1)*MAX(0,MIN(1,AG$258*1-Inputs!$D$66+1))/1</f>
        <v>1</v>
      </c>
      <c r="AH372" s="119" t="n">
        <f aca="false">Inputs!$D$63*(1+Inputs!$D$65)^(AH$259-1)*MAX(0,MIN(1,AH$258*1-Inputs!$D$66+1))/1</f>
        <v>1</v>
      </c>
      <c r="AI372" s="119" t="n">
        <f aca="false">Inputs!$D$63*(1+Inputs!$D$65)^(AI$259-1)*MAX(0,MIN(1,AI$258*1-Inputs!$D$66+1))/1</f>
        <v>1</v>
      </c>
      <c r="AJ372" s="119" t="n">
        <f aca="false">Inputs!$D$63*(1+Inputs!$D$65)^(AJ$259-1)*MAX(0,MIN(1,AJ$258*1-Inputs!$D$66+1))/1</f>
        <v>1</v>
      </c>
      <c r="AK372" s="119" t="n">
        <f aca="false">Inputs!$D$63*(1+Inputs!$D$65)^(AK$259-1)*MAX(0,MIN(1,AK$258*1-Inputs!$D$66+1))/1</f>
        <v>1</v>
      </c>
      <c r="AL372" s="119" t="n">
        <f aca="false">Inputs!$D$63*(1+Inputs!$D$65)^(AL$259-1)*MAX(0,MIN(1,AL$258*1-Inputs!$D$66+1))/1</f>
        <v>1</v>
      </c>
    </row>
    <row r="373" customFormat="false" ht="15" hidden="false" customHeight="false" outlineLevel="0" collapsed="false">
      <c r="A373" s="115" t="s">
        <v>436</v>
      </c>
      <c r="C373" s="124" t="n">
        <f aca="false">C370+C371+C372</f>
        <v>8</v>
      </c>
      <c r="D373" s="124" t="n">
        <f aca="false">D370+D371+D372</f>
        <v>8</v>
      </c>
      <c r="E373" s="124" t="n">
        <f aca="false">E370+E371+E372</f>
        <v>8</v>
      </c>
      <c r="F373" s="124" t="n">
        <f aca="false">F370+F371+F372</f>
        <v>8</v>
      </c>
      <c r="G373" s="124" t="n">
        <f aca="false">G370+G371+G372</f>
        <v>8</v>
      </c>
      <c r="H373" s="124" t="n">
        <f aca="false">H370+H371+H372</f>
        <v>8</v>
      </c>
      <c r="I373" s="124" t="n">
        <f aca="false">I370+I371+I372</f>
        <v>8</v>
      </c>
      <c r="J373" s="124" t="n">
        <f aca="false">J370+J371+J372</f>
        <v>8</v>
      </c>
      <c r="K373" s="124" t="n">
        <f aca="false">K370+K371+K372</f>
        <v>8</v>
      </c>
      <c r="L373" s="124" t="n">
        <f aca="false">L370+L371+L372</f>
        <v>8</v>
      </c>
      <c r="M373" s="124" t="n">
        <f aca="false">M370+M371+M372</f>
        <v>8</v>
      </c>
      <c r="N373" s="124" t="n">
        <f aca="false">N370+N371+N372</f>
        <v>8</v>
      </c>
      <c r="O373" s="124" t="n">
        <f aca="false">O370+O371+O372</f>
        <v>8</v>
      </c>
      <c r="P373" s="124" t="n">
        <f aca="false">P370+P371+P372</f>
        <v>8</v>
      </c>
      <c r="Q373" s="124" t="n">
        <f aca="false">Q370+Q371+Q372</f>
        <v>8</v>
      </c>
      <c r="R373" s="124" t="n">
        <f aca="false">R370+R371+R372</f>
        <v>8</v>
      </c>
      <c r="S373" s="124" t="n">
        <f aca="false">S370+S371+S372</f>
        <v>8</v>
      </c>
      <c r="T373" s="124" t="n">
        <f aca="false">T370+T371+T372</f>
        <v>8</v>
      </c>
      <c r="U373" s="124" t="n">
        <f aca="false">U370+U371+U372</f>
        <v>8</v>
      </c>
      <c r="V373" s="124" t="n">
        <f aca="false">V370+V371+V372</f>
        <v>8</v>
      </c>
      <c r="W373" s="124" t="n">
        <f aca="false">W370+W371+W372</f>
        <v>8</v>
      </c>
      <c r="X373" s="124" t="n">
        <f aca="false">X370+X371+X372</f>
        <v>8</v>
      </c>
      <c r="Y373" s="124" t="n">
        <f aca="false">Y370+Y371+Y372</f>
        <v>8</v>
      </c>
      <c r="Z373" s="124" t="n">
        <f aca="false">Z370+Z371+Z372</f>
        <v>8</v>
      </c>
      <c r="AA373" s="124" t="n">
        <f aca="false">AA370+AA371+AA372</f>
        <v>8</v>
      </c>
      <c r="AB373" s="124" t="n">
        <f aca="false">AB370+AB371+AB372</f>
        <v>8</v>
      </c>
      <c r="AC373" s="124" t="n">
        <f aca="false">AC370+AC371+AC372</f>
        <v>8</v>
      </c>
      <c r="AD373" s="124" t="n">
        <f aca="false">AD370+AD371+AD372</f>
        <v>8</v>
      </c>
      <c r="AE373" s="124" t="n">
        <f aca="false">AE370+AE371+AE372</f>
        <v>8</v>
      </c>
      <c r="AF373" s="124" t="n">
        <f aca="false">AF370+AF371+AF372</f>
        <v>8</v>
      </c>
      <c r="AG373" s="124" t="n">
        <f aca="false">AG370+AG371+AG372</f>
        <v>8</v>
      </c>
      <c r="AH373" s="124" t="n">
        <f aca="false">AH370+AH371+AH372</f>
        <v>8</v>
      </c>
      <c r="AI373" s="124" t="n">
        <f aca="false">AI370+AI371+AI372</f>
        <v>8</v>
      </c>
      <c r="AJ373" s="124" t="n">
        <f aca="false">AJ370+AJ371+AJ372</f>
        <v>8</v>
      </c>
      <c r="AK373" s="124" t="n">
        <f aca="false">AK370+AK371+AK372</f>
        <v>8</v>
      </c>
      <c r="AL373" s="124" t="n">
        <f aca="false">AL370+AL371+AL372</f>
        <v>8</v>
      </c>
    </row>
    <row r="375" customFormat="false" ht="15.75" hidden="false" customHeight="true" outlineLevel="0" collapsed="false">
      <c r="A375" s="7" t="s">
        <v>437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customFormat="false" ht="15" hidden="false" customHeight="false" outlineLevel="0" collapsed="false">
      <c r="A376" s="6" t="s">
        <v>438</v>
      </c>
      <c r="C376" s="69" t="n">
        <f aca="false">-C370*Inputs!$D$56/12*1*(1+Inputs!$D$67)*(1+Inputs!$D$68)^(C$259-1)</f>
        <v>-3833.33333333333</v>
      </c>
      <c r="D376" s="69" t="n">
        <f aca="false">-D370*Inputs!$D$56/12*1*(1+Inputs!$D$67)*(1+Inputs!$D$68)^(D$259-1)</f>
        <v>-3833.33333333333</v>
      </c>
      <c r="E376" s="69" t="n">
        <f aca="false">-E370*Inputs!$D$56/12*1*(1+Inputs!$D$67)*(1+Inputs!$D$68)^(E$259-1)</f>
        <v>-3833.33333333333</v>
      </c>
      <c r="F376" s="69" t="n">
        <f aca="false">-F370*Inputs!$D$56/12*1*(1+Inputs!$D$67)*(1+Inputs!$D$68)^(F$259-1)</f>
        <v>-3833.33333333333</v>
      </c>
      <c r="G376" s="69" t="n">
        <f aca="false">-G370*Inputs!$D$56/12*1*(1+Inputs!$D$67)*(1+Inputs!$D$68)^(G$259-1)</f>
        <v>-3833.33333333333</v>
      </c>
      <c r="H376" s="69" t="n">
        <f aca="false">-H370*Inputs!$D$56/12*1*(1+Inputs!$D$67)*(1+Inputs!$D$68)^(H$259-1)</f>
        <v>-3833.33333333333</v>
      </c>
      <c r="I376" s="69" t="n">
        <f aca="false">-I370*Inputs!$D$56/12*1*(1+Inputs!$D$67)*(1+Inputs!$D$68)^(I$259-1)</f>
        <v>-3833.33333333333</v>
      </c>
      <c r="J376" s="69" t="n">
        <f aca="false">-J370*Inputs!$D$56/12*1*(1+Inputs!$D$67)*(1+Inputs!$D$68)^(J$259-1)</f>
        <v>-3833.33333333333</v>
      </c>
      <c r="K376" s="69" t="n">
        <f aca="false">-K370*Inputs!$D$56/12*1*(1+Inputs!$D$67)*(1+Inputs!$D$68)^(K$259-1)</f>
        <v>-3833.33333333333</v>
      </c>
      <c r="L376" s="69" t="n">
        <f aca="false">-L370*Inputs!$D$56/12*1*(1+Inputs!$D$67)*(1+Inputs!$D$68)^(L$259-1)</f>
        <v>-3833.33333333333</v>
      </c>
      <c r="M376" s="69" t="n">
        <f aca="false">-M370*Inputs!$D$56/12*1*(1+Inputs!$D$67)*(1+Inputs!$D$68)^(M$259-1)</f>
        <v>-3833.33333333333</v>
      </c>
      <c r="N376" s="69" t="n">
        <f aca="false">-N370*Inputs!$D$56/12*1*(1+Inputs!$D$67)*(1+Inputs!$D$68)^(N$259-1)</f>
        <v>-3833.33333333333</v>
      </c>
      <c r="O376" s="69" t="n">
        <f aca="false">-O370*Inputs!$D$56/12*1*(1+Inputs!$D$67)*(1+Inputs!$D$68)^(O$259-1)</f>
        <v>-3948.33333333333</v>
      </c>
      <c r="P376" s="69" t="n">
        <f aca="false">-P370*Inputs!$D$56/12*1*(1+Inputs!$D$67)*(1+Inputs!$D$68)^(P$259-1)</f>
        <v>-3948.33333333333</v>
      </c>
      <c r="Q376" s="69" t="n">
        <f aca="false">-Q370*Inputs!$D$56/12*1*(1+Inputs!$D$67)*(1+Inputs!$D$68)^(Q$259-1)</f>
        <v>-3948.33333333333</v>
      </c>
      <c r="R376" s="69" t="n">
        <f aca="false">-R370*Inputs!$D$56/12*1*(1+Inputs!$D$67)*(1+Inputs!$D$68)^(R$259-1)</f>
        <v>-3948.33333333333</v>
      </c>
      <c r="S376" s="69" t="n">
        <f aca="false">-S370*Inputs!$D$56/12*1*(1+Inputs!$D$67)*(1+Inputs!$D$68)^(S$259-1)</f>
        <v>-3948.33333333333</v>
      </c>
      <c r="T376" s="69" t="n">
        <f aca="false">-T370*Inputs!$D$56/12*1*(1+Inputs!$D$67)*(1+Inputs!$D$68)^(T$259-1)</f>
        <v>-3948.33333333333</v>
      </c>
      <c r="U376" s="69" t="n">
        <f aca="false">-U370*Inputs!$D$56/12*1*(1+Inputs!$D$67)*(1+Inputs!$D$68)^(U$259-1)</f>
        <v>-3948.33333333333</v>
      </c>
      <c r="V376" s="69" t="n">
        <f aca="false">-V370*Inputs!$D$56/12*1*(1+Inputs!$D$67)*(1+Inputs!$D$68)^(V$259-1)</f>
        <v>-3948.33333333333</v>
      </c>
      <c r="W376" s="69" t="n">
        <f aca="false">-W370*Inputs!$D$56/12*1*(1+Inputs!$D$67)*(1+Inputs!$D$68)^(W$259-1)</f>
        <v>-3948.33333333333</v>
      </c>
      <c r="X376" s="69" t="n">
        <f aca="false">-X370*Inputs!$D$56/12*1*(1+Inputs!$D$67)*(1+Inputs!$D$68)^(X$259-1)</f>
        <v>-3948.33333333333</v>
      </c>
      <c r="Y376" s="69" t="n">
        <f aca="false">-Y370*Inputs!$D$56/12*1*(1+Inputs!$D$67)*(1+Inputs!$D$68)^(Y$259-1)</f>
        <v>-3948.33333333333</v>
      </c>
      <c r="Z376" s="69" t="n">
        <f aca="false">-Z370*Inputs!$D$56/12*1*(1+Inputs!$D$67)*(1+Inputs!$D$68)^(Z$259-1)</f>
        <v>-3948.33333333333</v>
      </c>
      <c r="AA376" s="69" t="n">
        <f aca="false">-AA370*Inputs!$D$56/12*1*(1+Inputs!$D$67)*(1+Inputs!$D$68)^(AA$259-1)</f>
        <v>-4066.78333333333</v>
      </c>
      <c r="AB376" s="69" t="n">
        <f aca="false">-AB370*Inputs!$D$56/12*1*(1+Inputs!$D$67)*(1+Inputs!$D$68)^(AB$259-1)</f>
        <v>-4066.78333333333</v>
      </c>
      <c r="AC376" s="69" t="n">
        <f aca="false">-AC370*Inputs!$D$56/12*1*(1+Inputs!$D$67)*(1+Inputs!$D$68)^(AC$259-1)</f>
        <v>-4066.78333333333</v>
      </c>
      <c r="AD376" s="69" t="n">
        <f aca="false">-AD370*Inputs!$D$56/12*1*(1+Inputs!$D$67)*(1+Inputs!$D$68)^(AD$259-1)</f>
        <v>-4066.78333333333</v>
      </c>
      <c r="AE376" s="69" t="n">
        <f aca="false">-AE370*Inputs!$D$56/12*1*(1+Inputs!$D$67)*(1+Inputs!$D$68)^(AE$259-1)</f>
        <v>-4066.78333333333</v>
      </c>
      <c r="AF376" s="69" t="n">
        <f aca="false">-AF370*Inputs!$D$56/12*1*(1+Inputs!$D$67)*(1+Inputs!$D$68)^(AF$259-1)</f>
        <v>-4066.78333333333</v>
      </c>
      <c r="AG376" s="69" t="n">
        <f aca="false">-AG370*Inputs!$D$56/12*1*(1+Inputs!$D$67)*(1+Inputs!$D$68)^(AG$259-1)</f>
        <v>-4066.78333333333</v>
      </c>
      <c r="AH376" s="69" t="n">
        <f aca="false">-AH370*Inputs!$D$56/12*1*(1+Inputs!$D$67)*(1+Inputs!$D$68)^(AH$259-1)</f>
        <v>-4066.78333333333</v>
      </c>
      <c r="AI376" s="69" t="n">
        <f aca="false">-AI370*Inputs!$D$56/12*1*(1+Inputs!$D$67)*(1+Inputs!$D$68)^(AI$259-1)</f>
        <v>-4066.78333333333</v>
      </c>
      <c r="AJ376" s="69" t="n">
        <f aca="false">-AJ370*Inputs!$D$56/12*1*(1+Inputs!$D$67)*(1+Inputs!$D$68)^(AJ$259-1)</f>
        <v>-4066.78333333333</v>
      </c>
      <c r="AK376" s="69" t="n">
        <f aca="false">-AK370*Inputs!$D$56/12*1*(1+Inputs!$D$67)*(1+Inputs!$D$68)^(AK$259-1)</f>
        <v>-4066.78333333333</v>
      </c>
      <c r="AL376" s="69" t="n">
        <f aca="false">-AL370*Inputs!$D$56/12*1*(1+Inputs!$D$67)*(1+Inputs!$D$68)^(AL$259-1)</f>
        <v>-4066.78333333333</v>
      </c>
    </row>
    <row r="377" customFormat="false" ht="15" hidden="false" customHeight="false" outlineLevel="0" collapsed="false">
      <c r="A377" s="6" t="s">
        <v>439</v>
      </c>
      <c r="C377" s="69" t="n">
        <f aca="false">-C371*Inputs!$D$60/12*1*(1+Inputs!$D$67)*(1+Inputs!$D$68)^(C$259-1)</f>
        <v>-9487.5</v>
      </c>
      <c r="D377" s="69" t="n">
        <f aca="false">-D371*Inputs!$D$60/12*1*(1+Inputs!$D$67)*(1+Inputs!$D$68)^(D$259-1)</f>
        <v>-9487.5</v>
      </c>
      <c r="E377" s="69" t="n">
        <f aca="false">-E371*Inputs!$D$60/12*1*(1+Inputs!$D$67)*(1+Inputs!$D$68)^(E$259-1)</f>
        <v>-9487.5</v>
      </c>
      <c r="F377" s="69" t="n">
        <f aca="false">-F371*Inputs!$D$60/12*1*(1+Inputs!$D$67)*(1+Inputs!$D$68)^(F$259-1)</f>
        <v>-9487.5</v>
      </c>
      <c r="G377" s="69" t="n">
        <f aca="false">-G371*Inputs!$D$60/12*1*(1+Inputs!$D$67)*(1+Inputs!$D$68)^(G$259-1)</f>
        <v>-9487.5</v>
      </c>
      <c r="H377" s="69" t="n">
        <f aca="false">-H371*Inputs!$D$60/12*1*(1+Inputs!$D$67)*(1+Inputs!$D$68)^(H$259-1)</f>
        <v>-9487.5</v>
      </c>
      <c r="I377" s="69" t="n">
        <f aca="false">-I371*Inputs!$D$60/12*1*(1+Inputs!$D$67)*(1+Inputs!$D$68)^(I$259-1)</f>
        <v>-9487.5</v>
      </c>
      <c r="J377" s="69" t="n">
        <f aca="false">-J371*Inputs!$D$60/12*1*(1+Inputs!$D$67)*(1+Inputs!$D$68)^(J$259-1)</f>
        <v>-9487.5</v>
      </c>
      <c r="K377" s="69" t="n">
        <f aca="false">-K371*Inputs!$D$60/12*1*(1+Inputs!$D$67)*(1+Inputs!$D$68)^(K$259-1)</f>
        <v>-9487.5</v>
      </c>
      <c r="L377" s="69" t="n">
        <f aca="false">-L371*Inputs!$D$60/12*1*(1+Inputs!$D$67)*(1+Inputs!$D$68)^(L$259-1)</f>
        <v>-9487.5</v>
      </c>
      <c r="M377" s="69" t="n">
        <f aca="false">-M371*Inputs!$D$60/12*1*(1+Inputs!$D$67)*(1+Inputs!$D$68)^(M$259-1)</f>
        <v>-9487.5</v>
      </c>
      <c r="N377" s="69" t="n">
        <f aca="false">-N371*Inputs!$D$60/12*1*(1+Inputs!$D$67)*(1+Inputs!$D$68)^(N$259-1)</f>
        <v>-9487.5</v>
      </c>
      <c r="O377" s="69" t="n">
        <f aca="false">-O371*Inputs!$D$60/12*1*(1+Inputs!$D$67)*(1+Inputs!$D$68)^(O$259-1)</f>
        <v>-9772.125</v>
      </c>
      <c r="P377" s="69" t="n">
        <f aca="false">-P371*Inputs!$D$60/12*1*(1+Inputs!$D$67)*(1+Inputs!$D$68)^(P$259-1)</f>
        <v>-9772.125</v>
      </c>
      <c r="Q377" s="69" t="n">
        <f aca="false">-Q371*Inputs!$D$60/12*1*(1+Inputs!$D$67)*(1+Inputs!$D$68)^(Q$259-1)</f>
        <v>-9772.125</v>
      </c>
      <c r="R377" s="69" t="n">
        <f aca="false">-R371*Inputs!$D$60/12*1*(1+Inputs!$D$67)*(1+Inputs!$D$68)^(R$259-1)</f>
        <v>-9772.125</v>
      </c>
      <c r="S377" s="69" t="n">
        <f aca="false">-S371*Inputs!$D$60/12*1*(1+Inputs!$D$67)*(1+Inputs!$D$68)^(S$259-1)</f>
        <v>-9772.125</v>
      </c>
      <c r="T377" s="69" t="n">
        <f aca="false">-T371*Inputs!$D$60/12*1*(1+Inputs!$D$67)*(1+Inputs!$D$68)^(T$259-1)</f>
        <v>-9772.125</v>
      </c>
      <c r="U377" s="69" t="n">
        <f aca="false">-U371*Inputs!$D$60/12*1*(1+Inputs!$D$67)*(1+Inputs!$D$68)^(U$259-1)</f>
        <v>-9772.125</v>
      </c>
      <c r="V377" s="69" t="n">
        <f aca="false">-V371*Inputs!$D$60/12*1*(1+Inputs!$D$67)*(1+Inputs!$D$68)^(V$259-1)</f>
        <v>-9772.125</v>
      </c>
      <c r="W377" s="69" t="n">
        <f aca="false">-W371*Inputs!$D$60/12*1*(1+Inputs!$D$67)*(1+Inputs!$D$68)^(W$259-1)</f>
        <v>-9772.125</v>
      </c>
      <c r="X377" s="69" t="n">
        <f aca="false">-X371*Inputs!$D$60/12*1*(1+Inputs!$D$67)*(1+Inputs!$D$68)^(X$259-1)</f>
        <v>-9772.125</v>
      </c>
      <c r="Y377" s="69" t="n">
        <f aca="false">-Y371*Inputs!$D$60/12*1*(1+Inputs!$D$67)*(1+Inputs!$D$68)^(Y$259-1)</f>
        <v>-9772.125</v>
      </c>
      <c r="Z377" s="69" t="n">
        <f aca="false">-Z371*Inputs!$D$60/12*1*(1+Inputs!$D$67)*(1+Inputs!$D$68)^(Z$259-1)</f>
        <v>-9772.125</v>
      </c>
      <c r="AA377" s="69" t="n">
        <f aca="false">-AA371*Inputs!$D$60/12*1*(1+Inputs!$D$67)*(1+Inputs!$D$68)^(AA$259-1)</f>
        <v>-10065.28875</v>
      </c>
      <c r="AB377" s="69" t="n">
        <f aca="false">-AB371*Inputs!$D$60/12*1*(1+Inputs!$D$67)*(1+Inputs!$D$68)^(AB$259-1)</f>
        <v>-10065.28875</v>
      </c>
      <c r="AC377" s="69" t="n">
        <f aca="false">-AC371*Inputs!$D$60/12*1*(1+Inputs!$D$67)*(1+Inputs!$D$68)^(AC$259-1)</f>
        <v>-10065.28875</v>
      </c>
      <c r="AD377" s="69" t="n">
        <f aca="false">-AD371*Inputs!$D$60/12*1*(1+Inputs!$D$67)*(1+Inputs!$D$68)^(AD$259-1)</f>
        <v>-10065.28875</v>
      </c>
      <c r="AE377" s="69" t="n">
        <f aca="false">-AE371*Inputs!$D$60/12*1*(1+Inputs!$D$67)*(1+Inputs!$D$68)^(AE$259-1)</f>
        <v>-10065.28875</v>
      </c>
      <c r="AF377" s="69" t="n">
        <f aca="false">-AF371*Inputs!$D$60/12*1*(1+Inputs!$D$67)*(1+Inputs!$D$68)^(AF$259-1)</f>
        <v>-10065.28875</v>
      </c>
      <c r="AG377" s="69" t="n">
        <f aca="false">-AG371*Inputs!$D$60/12*1*(1+Inputs!$D$67)*(1+Inputs!$D$68)^(AG$259-1)</f>
        <v>-10065.28875</v>
      </c>
      <c r="AH377" s="69" t="n">
        <f aca="false">-AH371*Inputs!$D$60/12*1*(1+Inputs!$D$67)*(1+Inputs!$D$68)^(AH$259-1)</f>
        <v>-10065.28875</v>
      </c>
      <c r="AI377" s="69" t="n">
        <f aca="false">-AI371*Inputs!$D$60/12*1*(1+Inputs!$D$67)*(1+Inputs!$D$68)^(AI$259-1)</f>
        <v>-10065.28875</v>
      </c>
      <c r="AJ377" s="69" t="n">
        <f aca="false">-AJ371*Inputs!$D$60/12*1*(1+Inputs!$D$67)*(1+Inputs!$D$68)^(AJ$259-1)</f>
        <v>-10065.28875</v>
      </c>
      <c r="AK377" s="69" t="n">
        <f aca="false">-AK371*Inputs!$D$60/12*1*(1+Inputs!$D$67)*(1+Inputs!$D$68)^(AK$259-1)</f>
        <v>-10065.28875</v>
      </c>
      <c r="AL377" s="69" t="n">
        <f aca="false">-AL371*Inputs!$D$60/12*1*(1+Inputs!$D$67)*(1+Inputs!$D$68)^(AL$259-1)</f>
        <v>-10065.28875</v>
      </c>
    </row>
    <row r="378" customFormat="false" ht="15" hidden="false" customHeight="false" outlineLevel="0" collapsed="false">
      <c r="A378" s="6" t="s">
        <v>440</v>
      </c>
      <c r="C378" s="69" t="n">
        <f aca="false">-C372*Inputs!$D$64/12*1*(1+Inputs!$D$67)*(1+Inputs!$D$68)^(C$259-1)</f>
        <v>-5750</v>
      </c>
      <c r="D378" s="69" t="n">
        <f aca="false">-D372*Inputs!$D$64/12*1*(1+Inputs!$D$67)*(1+Inputs!$D$68)^(D$259-1)</f>
        <v>-5750</v>
      </c>
      <c r="E378" s="69" t="n">
        <f aca="false">-E372*Inputs!$D$64/12*1*(1+Inputs!$D$67)*(1+Inputs!$D$68)^(E$259-1)</f>
        <v>-5750</v>
      </c>
      <c r="F378" s="69" t="n">
        <f aca="false">-F372*Inputs!$D$64/12*1*(1+Inputs!$D$67)*(1+Inputs!$D$68)^(F$259-1)</f>
        <v>-5750</v>
      </c>
      <c r="G378" s="69" t="n">
        <f aca="false">-G372*Inputs!$D$64/12*1*(1+Inputs!$D$67)*(1+Inputs!$D$68)^(G$259-1)</f>
        <v>-5750</v>
      </c>
      <c r="H378" s="69" t="n">
        <f aca="false">-H372*Inputs!$D$64/12*1*(1+Inputs!$D$67)*(1+Inputs!$D$68)^(H$259-1)</f>
        <v>-5750</v>
      </c>
      <c r="I378" s="69" t="n">
        <f aca="false">-I372*Inputs!$D$64/12*1*(1+Inputs!$D$67)*(1+Inputs!$D$68)^(I$259-1)</f>
        <v>-5750</v>
      </c>
      <c r="J378" s="69" t="n">
        <f aca="false">-J372*Inputs!$D$64/12*1*(1+Inputs!$D$67)*(1+Inputs!$D$68)^(J$259-1)</f>
        <v>-5750</v>
      </c>
      <c r="K378" s="69" t="n">
        <f aca="false">-K372*Inputs!$D$64/12*1*(1+Inputs!$D$67)*(1+Inputs!$D$68)^(K$259-1)</f>
        <v>-5750</v>
      </c>
      <c r="L378" s="69" t="n">
        <f aca="false">-L372*Inputs!$D$64/12*1*(1+Inputs!$D$67)*(1+Inputs!$D$68)^(L$259-1)</f>
        <v>-5750</v>
      </c>
      <c r="M378" s="69" t="n">
        <f aca="false">-M372*Inputs!$D$64/12*1*(1+Inputs!$D$67)*(1+Inputs!$D$68)^(M$259-1)</f>
        <v>-5750</v>
      </c>
      <c r="N378" s="69" t="n">
        <f aca="false">-N372*Inputs!$D$64/12*1*(1+Inputs!$D$67)*(1+Inputs!$D$68)^(N$259-1)</f>
        <v>-5750</v>
      </c>
      <c r="O378" s="69" t="n">
        <f aca="false">-O372*Inputs!$D$64/12*1*(1+Inputs!$D$67)*(1+Inputs!$D$68)^(O$259-1)</f>
        <v>-5922.5</v>
      </c>
      <c r="P378" s="69" t="n">
        <f aca="false">-P372*Inputs!$D$64/12*1*(1+Inputs!$D$67)*(1+Inputs!$D$68)^(P$259-1)</f>
        <v>-5922.5</v>
      </c>
      <c r="Q378" s="69" t="n">
        <f aca="false">-Q372*Inputs!$D$64/12*1*(1+Inputs!$D$67)*(1+Inputs!$D$68)^(Q$259-1)</f>
        <v>-5922.5</v>
      </c>
      <c r="R378" s="69" t="n">
        <f aca="false">-R372*Inputs!$D$64/12*1*(1+Inputs!$D$67)*(1+Inputs!$D$68)^(R$259-1)</f>
        <v>-5922.5</v>
      </c>
      <c r="S378" s="69" t="n">
        <f aca="false">-S372*Inputs!$D$64/12*1*(1+Inputs!$D$67)*(1+Inputs!$D$68)^(S$259-1)</f>
        <v>-5922.5</v>
      </c>
      <c r="T378" s="69" t="n">
        <f aca="false">-T372*Inputs!$D$64/12*1*(1+Inputs!$D$67)*(1+Inputs!$D$68)^(T$259-1)</f>
        <v>-5922.5</v>
      </c>
      <c r="U378" s="69" t="n">
        <f aca="false">-U372*Inputs!$D$64/12*1*(1+Inputs!$D$67)*(1+Inputs!$D$68)^(U$259-1)</f>
        <v>-5922.5</v>
      </c>
      <c r="V378" s="69" t="n">
        <f aca="false">-V372*Inputs!$D$64/12*1*(1+Inputs!$D$67)*(1+Inputs!$D$68)^(V$259-1)</f>
        <v>-5922.5</v>
      </c>
      <c r="W378" s="69" t="n">
        <f aca="false">-W372*Inputs!$D$64/12*1*(1+Inputs!$D$67)*(1+Inputs!$D$68)^(W$259-1)</f>
        <v>-5922.5</v>
      </c>
      <c r="X378" s="69" t="n">
        <f aca="false">-X372*Inputs!$D$64/12*1*(1+Inputs!$D$67)*(1+Inputs!$D$68)^(X$259-1)</f>
        <v>-5922.5</v>
      </c>
      <c r="Y378" s="69" t="n">
        <f aca="false">-Y372*Inputs!$D$64/12*1*(1+Inputs!$D$67)*(1+Inputs!$D$68)^(Y$259-1)</f>
        <v>-5922.5</v>
      </c>
      <c r="Z378" s="69" t="n">
        <f aca="false">-Z372*Inputs!$D$64/12*1*(1+Inputs!$D$67)*(1+Inputs!$D$68)^(Z$259-1)</f>
        <v>-5922.5</v>
      </c>
      <c r="AA378" s="69" t="n">
        <f aca="false">-AA372*Inputs!$D$64/12*1*(1+Inputs!$D$67)*(1+Inputs!$D$68)^(AA$259-1)</f>
        <v>-6100.175</v>
      </c>
      <c r="AB378" s="69" t="n">
        <f aca="false">-AB372*Inputs!$D$64/12*1*(1+Inputs!$D$67)*(1+Inputs!$D$68)^(AB$259-1)</f>
        <v>-6100.175</v>
      </c>
      <c r="AC378" s="69" t="n">
        <f aca="false">-AC372*Inputs!$D$64/12*1*(1+Inputs!$D$67)*(1+Inputs!$D$68)^(AC$259-1)</f>
        <v>-6100.175</v>
      </c>
      <c r="AD378" s="69" t="n">
        <f aca="false">-AD372*Inputs!$D$64/12*1*(1+Inputs!$D$67)*(1+Inputs!$D$68)^(AD$259-1)</f>
        <v>-6100.175</v>
      </c>
      <c r="AE378" s="69" t="n">
        <f aca="false">-AE372*Inputs!$D$64/12*1*(1+Inputs!$D$67)*(1+Inputs!$D$68)^(AE$259-1)</f>
        <v>-6100.175</v>
      </c>
      <c r="AF378" s="69" t="n">
        <f aca="false">-AF372*Inputs!$D$64/12*1*(1+Inputs!$D$67)*(1+Inputs!$D$68)^(AF$259-1)</f>
        <v>-6100.175</v>
      </c>
      <c r="AG378" s="69" t="n">
        <f aca="false">-AG372*Inputs!$D$64/12*1*(1+Inputs!$D$67)*(1+Inputs!$D$68)^(AG$259-1)</f>
        <v>-6100.175</v>
      </c>
      <c r="AH378" s="69" t="n">
        <f aca="false">-AH372*Inputs!$D$64/12*1*(1+Inputs!$D$67)*(1+Inputs!$D$68)^(AH$259-1)</f>
        <v>-6100.175</v>
      </c>
      <c r="AI378" s="69" t="n">
        <f aca="false">-AI372*Inputs!$D$64/12*1*(1+Inputs!$D$67)*(1+Inputs!$D$68)^(AI$259-1)</f>
        <v>-6100.175</v>
      </c>
      <c r="AJ378" s="69" t="n">
        <f aca="false">-AJ372*Inputs!$D$64/12*1*(1+Inputs!$D$67)*(1+Inputs!$D$68)^(AJ$259-1)</f>
        <v>-6100.175</v>
      </c>
      <c r="AK378" s="69" t="n">
        <f aca="false">-AK372*Inputs!$D$64/12*1*(1+Inputs!$D$67)*(1+Inputs!$D$68)^(AK$259-1)</f>
        <v>-6100.175</v>
      </c>
      <c r="AL378" s="69" t="n">
        <f aca="false">-AL372*Inputs!$D$64/12*1*(1+Inputs!$D$67)*(1+Inputs!$D$68)^(AL$259-1)</f>
        <v>-6100.175</v>
      </c>
    </row>
    <row r="379" customFormat="false" ht="15" hidden="false" customHeight="false" outlineLevel="0" collapsed="false">
      <c r="A379" s="115" t="s">
        <v>441</v>
      </c>
      <c r="C379" s="70" t="n">
        <f aca="false">C376+C377+C378</f>
        <v>-19070.8333333333</v>
      </c>
      <c r="D379" s="70" t="n">
        <f aca="false">D376+D377+D378</f>
        <v>-19070.8333333333</v>
      </c>
      <c r="E379" s="70" t="n">
        <f aca="false">E376+E377+E378</f>
        <v>-19070.8333333333</v>
      </c>
      <c r="F379" s="70" t="n">
        <f aca="false">F376+F377+F378</f>
        <v>-19070.8333333333</v>
      </c>
      <c r="G379" s="70" t="n">
        <f aca="false">G376+G377+G378</f>
        <v>-19070.8333333333</v>
      </c>
      <c r="H379" s="70" t="n">
        <f aca="false">H376+H377+H378</f>
        <v>-19070.8333333333</v>
      </c>
      <c r="I379" s="70" t="n">
        <f aca="false">I376+I377+I378</f>
        <v>-19070.8333333333</v>
      </c>
      <c r="J379" s="70" t="n">
        <f aca="false">J376+J377+J378</f>
        <v>-19070.8333333333</v>
      </c>
      <c r="K379" s="70" t="n">
        <f aca="false">K376+K377+K378</f>
        <v>-19070.8333333333</v>
      </c>
      <c r="L379" s="70" t="n">
        <f aca="false">L376+L377+L378</f>
        <v>-19070.8333333333</v>
      </c>
      <c r="M379" s="70" t="n">
        <f aca="false">M376+M377+M378</f>
        <v>-19070.8333333333</v>
      </c>
      <c r="N379" s="70" t="n">
        <f aca="false">N376+N377+N378</f>
        <v>-19070.8333333333</v>
      </c>
      <c r="O379" s="70" t="n">
        <f aca="false">O376+O377+O378</f>
        <v>-19642.9583333333</v>
      </c>
      <c r="P379" s="70" t="n">
        <f aca="false">P376+P377+P378</f>
        <v>-19642.9583333333</v>
      </c>
      <c r="Q379" s="70" t="n">
        <f aca="false">Q376+Q377+Q378</f>
        <v>-19642.9583333333</v>
      </c>
      <c r="R379" s="70" t="n">
        <f aca="false">R376+R377+R378</f>
        <v>-19642.9583333333</v>
      </c>
      <c r="S379" s="70" t="n">
        <f aca="false">S376+S377+S378</f>
        <v>-19642.9583333333</v>
      </c>
      <c r="T379" s="70" t="n">
        <f aca="false">T376+T377+T378</f>
        <v>-19642.9583333333</v>
      </c>
      <c r="U379" s="70" t="n">
        <f aca="false">U376+U377+U378</f>
        <v>-19642.9583333333</v>
      </c>
      <c r="V379" s="70" t="n">
        <f aca="false">V376+V377+V378</f>
        <v>-19642.9583333333</v>
      </c>
      <c r="W379" s="70" t="n">
        <f aca="false">W376+W377+W378</f>
        <v>-19642.9583333333</v>
      </c>
      <c r="X379" s="70" t="n">
        <f aca="false">X376+X377+X378</f>
        <v>-19642.9583333333</v>
      </c>
      <c r="Y379" s="70" t="n">
        <f aca="false">Y376+Y377+Y378</f>
        <v>-19642.9583333333</v>
      </c>
      <c r="Z379" s="70" t="n">
        <f aca="false">Z376+Z377+Z378</f>
        <v>-19642.9583333333</v>
      </c>
      <c r="AA379" s="70" t="n">
        <f aca="false">AA376+AA377+AA378</f>
        <v>-20232.2470833333</v>
      </c>
      <c r="AB379" s="70" t="n">
        <f aca="false">AB376+AB377+AB378</f>
        <v>-20232.2470833333</v>
      </c>
      <c r="AC379" s="70" t="n">
        <f aca="false">AC376+AC377+AC378</f>
        <v>-20232.2470833333</v>
      </c>
      <c r="AD379" s="70" t="n">
        <f aca="false">AD376+AD377+AD378</f>
        <v>-20232.2470833333</v>
      </c>
      <c r="AE379" s="70" t="n">
        <f aca="false">AE376+AE377+AE378</f>
        <v>-20232.2470833333</v>
      </c>
      <c r="AF379" s="70" t="n">
        <f aca="false">AF376+AF377+AF378</f>
        <v>-20232.2470833333</v>
      </c>
      <c r="AG379" s="70" t="n">
        <f aca="false">AG376+AG377+AG378</f>
        <v>-20232.2470833333</v>
      </c>
      <c r="AH379" s="70" t="n">
        <f aca="false">AH376+AH377+AH378</f>
        <v>-20232.2470833333</v>
      </c>
      <c r="AI379" s="70" t="n">
        <f aca="false">AI376+AI377+AI378</f>
        <v>-20232.2470833333</v>
      </c>
      <c r="AJ379" s="70" t="n">
        <f aca="false">AJ376+AJ377+AJ378</f>
        <v>-20232.2470833333</v>
      </c>
      <c r="AK379" s="70" t="n">
        <f aca="false">AK376+AK377+AK378</f>
        <v>-20232.2470833333</v>
      </c>
      <c r="AL379" s="70" t="n">
        <f aca="false">AL376+AL377+AL378</f>
        <v>-20232.2470833333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447</v>
      </c>
    </row>
    <row r="3" customFormat="false" ht="15" hidden="false" customHeight="false" outlineLevel="0" collapsed="false">
      <c r="A3" s="33" t="s">
        <v>448</v>
      </c>
      <c r="B3" s="33" t="s">
        <v>449</v>
      </c>
      <c r="C3" s="33" t="s">
        <v>450</v>
      </c>
    </row>
    <row r="4" customFormat="false" ht="15" hidden="false" customHeight="false" outlineLevel="0" collapsed="false">
      <c r="A4" s="6" t="s">
        <v>451</v>
      </c>
      <c r="B4" s="4" t="str">
        <f aca="false">IF(ABS(SUM('P&amp;L'!$B$5:$D$5)-SUM(Monthly!$C$31:$AL$31))&lt;0.5,"PASS","FAIL")</f>
        <v>PASS</v>
      </c>
      <c r="C4" s="18" t="s">
        <v>452</v>
      </c>
    </row>
    <row r="5" customFormat="false" ht="15" hidden="false" customHeight="false" outlineLevel="0" collapsed="false">
      <c r="A5" s="6" t="s">
        <v>453</v>
      </c>
      <c r="B5" s="4" t="str">
        <f aca="false">IF(ABS(SUM('P&amp;L'!$B$23:$D$23)-SUM(Monthly!$C$59:$AL$59))&lt;0.5,"PASS","FAIL")</f>
        <v>PASS</v>
      </c>
      <c r="C5" s="18" t="s">
        <v>454</v>
      </c>
    </row>
    <row r="6" customFormat="false" ht="15" hidden="false" customHeight="false" outlineLevel="0" collapsed="false">
      <c r="A6" s="6" t="s">
        <v>455</v>
      </c>
      <c r="B6" s="4" t="str">
        <f aca="false">IF(ABS(SUM(Monthly!$C$50:$AL$50)-SUM(Monthly!$C$40:$AL$40)-SUM(Monthly!$C$49:$AL$49))&lt;0.5,"PASS","FAIL")</f>
        <v>PASS</v>
      </c>
      <c r="C6" s="18" t="s">
        <v>456</v>
      </c>
    </row>
    <row r="7" customFormat="false" ht="15" hidden="false" customHeight="false" outlineLevel="0" collapsed="false">
      <c r="A7" s="6" t="s">
        <v>457</v>
      </c>
      <c r="B7" s="4" t="str">
        <f aca="false">IF(ABS(INDEX(Monthly!$C$95:$AL$95,36)-SUM(Monthly!$C$93:$AL$93))&lt;0.5,"PASS","FAIL")</f>
        <v>PASS</v>
      </c>
      <c r="C7" s="18" t="s">
        <v>458</v>
      </c>
    </row>
    <row r="8" customFormat="false" ht="15" hidden="false" customHeight="false" outlineLevel="0" collapsed="false">
      <c r="A8" s="6" t="s">
        <v>459</v>
      </c>
      <c r="B8" s="4" t="str">
        <f aca="false">IF(AND(ISNUMBER(Dashboard!B4),Dashboard!B4&gt;=1,Dashboard!B4&lt;=3,INT(Dashboard!B4)=Dashboard!B4),"PASS","FAIL")</f>
        <v>PASS</v>
      </c>
      <c r="C8" s="18" t="s">
        <v>460</v>
      </c>
    </row>
    <row r="9" customFormat="false" ht="15" hidden="false" customHeight="false" outlineLevel="0" collapsed="false">
      <c r="A9" s="6" t="s">
        <v>461</v>
      </c>
      <c r="B9" s="4" t="str">
        <f aca="false">IF(AND(Inputs!$B$7&lt;=Inputs!$C$7,Inputs!$C$7&lt;=Inputs!$D$7,Inputs!$B$8&lt;=Inputs!$C$8,Inputs!$C$8&lt;=Inputs!$D$8,Inputs!$B$10&gt;=Inputs!$C$10,Inputs!$C$10&gt;=Inputs!$D$10,Inputs!$B$11&lt;=Inputs!$C$11,Inputs!$C$11&lt;=Inputs!$D$11,Inputs!$B$15&lt;=Inputs!$C$15,Inputs!$C$15&lt;=Inputs!$D$15,Inputs!$B$16&lt;=Inputs!$C$16,Inputs!$C$16&lt;=Inputs!$D$16,Inputs!$B$19&lt;=Inputs!$C$19,Inputs!$C$19&lt;=Inputs!$D$19,Inputs!$B$20&lt;=Inputs!$C$20,Inputs!$C$20&lt;=Inputs!$D$20,Inputs!$B$21&lt;=Inputs!$C$21,Inputs!$C$21&lt;=Inputs!$D$21,Inputs!$B$22&lt;=Inputs!$C$22,Inputs!$C$22&lt;=Inputs!$D$22,Inputs!$B$26&lt;=Inputs!$C$26,Inputs!$C$26&lt;=Inputs!$D$26,Inputs!$B$27&lt;=Inputs!$C$27,Inputs!$C$27&lt;=Inputs!$D$27,Inputs!$B$30&lt;=Inputs!$C$30,Inputs!$C$30&lt;=Inputs!$D$30,Inputs!$B$33&gt;=Inputs!$C$33,Inputs!$C$33&gt;=Inputs!$D$33,Inputs!$B$34&gt;=Inputs!$C$34,Inputs!$C$34&gt;=Inputs!$D$34,Inputs!$B$35&gt;=Inputs!$C$35,Inputs!$C$35&gt;=Inputs!$D$35,Inputs!$B$43&lt;=Inputs!$C$43,Inputs!$C$43&lt;=Inputs!$D$43,Inputs!$B$44&gt;=Inputs!$C$44,Inputs!$C$44&gt;=Inputs!$D$44,Inputs!$B$45&gt;=Inputs!$C$45,Inputs!$C$45&gt;=Inputs!$D$45,Inputs!$B$55&lt;=Inputs!$C$55,Inputs!$C$55&lt;=Inputs!$D$55,Inputs!$B$57&lt;=Inputs!$C$57,Inputs!$C$57&lt;=Inputs!$D$57,Inputs!$B$59&lt;=Inputs!$C$59,Inputs!$C$59&lt;=Inputs!$D$59,Inputs!$B$61&lt;=Inputs!$C$61,Inputs!$C$61&lt;=Inputs!$D$61,Inputs!$B$63&lt;=Inputs!$C$63,Inputs!$C$63&lt;=Inputs!$D$63,Inputs!$B$65&lt;=Inputs!$C$65,Inputs!$C$65&lt;=Inputs!$D$65,Inputs!$B$89&gt;=Inputs!$C$89,Inputs!$C$89&gt;=Inputs!$D$89,Inputs!$B$90&lt;=Inputs!$C$90,Inputs!$C$90&lt;=Inputs!$D$90,Inputs!$B$91&lt;=Inputs!$C$91,Inputs!$C$91&lt;=Inputs!$D$91),"PASS","FAIL")</f>
        <v>PASS</v>
      </c>
      <c r="C9" s="18" t="s">
        <v>462</v>
      </c>
    </row>
    <row r="10" customFormat="false" ht="15" hidden="false" customHeight="false" outlineLevel="0" collapsed="false">
      <c r="A10" s="6" t="s">
        <v>463</v>
      </c>
      <c r="B10" s="4" t="str">
        <f aca="false">IF(AND(MIN('P&amp;L'!$B$8:$D$8)&gt;=0,MAX('P&amp;L'!$B$8:$D$8)&lt;=1),"PASS","FAIL")</f>
        <v>PASS</v>
      </c>
      <c r="C10" s="18" t="s">
        <v>464</v>
      </c>
    </row>
    <row r="11" customFormat="false" ht="15" hidden="false" customHeight="false" outlineLevel="0" collapsed="false">
      <c r="A11" s="6" t="s">
        <v>465</v>
      </c>
      <c r="B11" s="4" t="str">
        <f aca="false">IF(MIN(Monthly!$C$78:$AL$78)&gt;=-0.5,"PASS","FAIL")</f>
        <v>PASS</v>
      </c>
      <c r="C11" s="18" t="s">
        <v>466</v>
      </c>
    </row>
    <row r="12" customFormat="false" ht="15" hidden="false" customHeight="false" outlineLevel="0" collapsed="false">
      <c r="A12" s="6" t="s">
        <v>467</v>
      </c>
      <c r="B12" s="4" t="str">
        <f aca="false">IF(ABS('Break-even'!B18-('Break-even'!B16-'Break-even'!B10))&lt;0.5,"PASS","FAIL")</f>
        <v>PASS</v>
      </c>
      <c r="C12" s="18" t="s">
        <v>468</v>
      </c>
    </row>
    <row r="13" customFormat="false" ht="15" hidden="false" customHeight="false" outlineLevel="0" collapsed="false">
      <c r="A13" s="6" t="s">
        <v>469</v>
      </c>
      <c r="B13" s="4" t="str">
        <f aca="false">IF(ABS(Valuation!B23-NPV(Valuation!B6,Valuation!$B$17:$D$17))&lt;0.5,"PASS","FAIL")</f>
        <v>PASS</v>
      </c>
      <c r="C13" s="18" t="s">
        <v>470</v>
      </c>
    </row>
    <row r="14" customFormat="false" ht="15" hidden="false" customHeight="false" outlineLevel="0" collapsed="false">
      <c r="A14" s="6" t="s">
        <v>471</v>
      </c>
      <c r="B14" s="4" t="str">
        <f aca="false">IF(Valuation!B6&gt;Valuation!B7,"PASS","FAIL")</f>
        <v>PASS</v>
      </c>
      <c r="C14" s="18" t="s">
        <v>472</v>
      </c>
    </row>
    <row r="15" customFormat="false" ht="15" hidden="false" customHeight="false" outlineLevel="0" collapsed="false">
      <c r="A15" s="6" t="s">
        <v>473</v>
      </c>
      <c r="B15" s="4" t="str">
        <f aca="false">IF(ABS(Valuation!D36-Valuation!B27)&lt;0.5,"PASS","FAIL")</f>
        <v>PASS</v>
      </c>
      <c r="C15" s="18" t="s">
        <v>474</v>
      </c>
    </row>
    <row r="16" customFormat="false" ht="15" hidden="false" customHeight="false" outlineLevel="0" collapsed="false">
      <c r="A16" s="6" t="s">
        <v>475</v>
      </c>
      <c r="B16" s="4" t="str">
        <f aca="false">IF(Valuation!$D$17&gt;0,"PASS","WARN")</f>
        <v>PASS</v>
      </c>
      <c r="C16" s="18" t="s">
        <v>476</v>
      </c>
    </row>
    <row r="17" customFormat="false" ht="15" hidden="false" customHeight="false" outlineLevel="0" collapsed="false">
      <c r="A17" s="6" t="s">
        <v>477</v>
      </c>
      <c r="B17" s="4" t="str">
        <f aca="false">IF(ABS('Sources &amp; Uses'!B21-'Sources &amp; Uses'!B28)&lt;0.5,"PASS","FAIL")</f>
        <v>PASS</v>
      </c>
      <c r="C17" s="18" t="s">
        <v>478</v>
      </c>
    </row>
    <row r="18" customFormat="false" ht="15" hidden="false" customHeight="false" outlineLevel="0" collapsed="false">
      <c r="A18" s="6" t="s">
        <v>479</v>
      </c>
      <c r="B18" s="4" t="str">
        <f aca="false">IF(SUMPRODUCT(--ISERROR(Monthly!$C$4:$AL$113))+SUMPRODUCT(--ISERROR(Headcount!$C$4:$AL$17))+SUMPRODUCT(--ISERROR('P&amp;L'!$B$3:$D$24))+SUMPRODUCT(--ISERROR('Cash Flow'!$B$3:$D$18))+SUMPRODUCT(--ISERROR('Balance Sheet'!$B$3:$D$17))+SUMPRODUCT(--ISERROR(KPIs!$B$27:$D$48))+SUMPRODUCT(--ISERROR('Break-even'!$B$26:$D$33))+SUMPRODUCT(--ISERROR(Valuation!$B$14:$D$19))+SUMPRODUCT(--ISERROR('Break-even'!$B$3:$D$35))+SUMPRODUCT(--ISERROR(Valuation!$A$3:$F$40))+SUMPRODUCT(--ISERROR('Sources &amp; Uses'!$B$3:$C$30))+SUMPRODUCT(--ISERROR(Dashboard!$A$6:$W$44))+SUMPRODUCT(--ISERROR(Summary!$A$5:$S$52))+SUMPRODUCT(--ISERROR(KPIs!$A$4:$E$48))+SUMPRODUCT(--ISERROR('Scenario calc'!$C$6:$AL$127))+SUMPRODUCT(--ISERROR('Scenario calc'!$C$132:$AL$253))+SUMPRODUCT(--ISERROR('Scenario calc'!$C$258:$AL$379))+SUMPRODUCT(--ISERROR(Scenarios!$B$5:$E$50))=0,"PASS","FAIL")</f>
        <v>PASS</v>
      </c>
      <c r="C18" s="18" t="s">
        <v>480</v>
      </c>
    </row>
    <row r="19" customFormat="false" ht="15" hidden="false" customHeight="false" outlineLevel="0" collapsed="false">
      <c r="A19" s="6" t="s">
        <v>481</v>
      </c>
      <c r="B19" s="4" t="str">
        <f aca="false">IF(IFERROR(AND(SUMPRODUCT(--(ABS(Summary!$B$7:$D$7-'P&amp;L'!$B$5:$D$5)&gt;0.5))=0,SUMPRODUCT(--(ABS(Summary!$B$19:$D$19-'P&amp;L'!$B$23:$D$23)&gt;0.5))=0,SUMPRODUCT(--(ABS(Summary!$B$31:$D$31-'Cash Flow'!$B$18:$D$18)&gt;0.5))=0,SUMPRODUCT(--(ABS(Summary!$B$41:$D$41-'Balance Sheet'!$B$5:$D$5)&gt;0.5))=0,ABS(SUM(Summary!$H$7:$S$7)-INDEX(Summary!$B$7:$D$7,Summary!$R$2))&lt;0.5,ABS(SUM(Summary!$H$19:$S$19)-INDEX(Summary!$B$19:$D$19,Summary!$R$2))&lt;0.5,ABS(Summary!$S$31-INDEX(Summary!$B$31:$D$31,Summary!$R$2))&lt;0.5),FALSE()),"PASS","FAIL")</f>
        <v>PASS</v>
      </c>
      <c r="C19" s="18" t="s">
        <v>482</v>
      </c>
    </row>
    <row r="20" customFormat="false" ht="15" hidden="false" customHeight="false" outlineLevel="0" collapsed="false">
      <c r="A20" s="6" t="s">
        <v>483</v>
      </c>
      <c r="B20" s="4" t="str">
        <f aca="false">IF(SUMPRODUCT(--(ABS(KPIs!$B$24:$D$24)&gt;0.000000001))&gt;0,"FAIL",IF(SUMPRODUCT(ISNUMBER(KPIs!$B$23:$D$23)*ISNUMBER(KPIs!$B$16:$D$16))=0,"n/a","PASS"))</f>
        <v>PASS</v>
      </c>
      <c r="C20" s="18" t="s">
        <v>484</v>
      </c>
    </row>
    <row r="21" customFormat="false" ht="15" hidden="false" customHeight="false" outlineLevel="0" collapsed="false">
      <c r="A21" s="6" t="s">
        <v>485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486</v>
      </c>
    </row>
    <row r="22" customFormat="false" ht="15" hidden="false" customHeight="false" outlineLevel="0" collapsed="false">
      <c r="A22" s="6" t="s">
        <v>487</v>
      </c>
      <c r="B22" s="4" t="str">
        <f aca="false">IF(SUMPRODUCT(--(ABS(Monthly!$C$113:$AL$113)&gt;0.5))=0,"PASS","FAIL")</f>
        <v>PASS</v>
      </c>
      <c r="C22" s="18" t="s">
        <v>488</v>
      </c>
    </row>
    <row r="23" customFormat="false" ht="15" hidden="false" customHeight="false" outlineLevel="0" collapsed="false">
      <c r="A23" s="6" t="s">
        <v>489</v>
      </c>
      <c r="B23" s="4" t="str">
        <f aca="false">IF(MIN(Monthly!$C$95:$AL$95)&gt;=0,"PASS","WARN")</f>
        <v>PASS</v>
      </c>
      <c r="C23" s="18" t="s">
        <v>490</v>
      </c>
    </row>
    <row r="25" customFormat="false" ht="15" hidden="false" customHeight="false" outlineLevel="0" collapsed="false">
      <c r="A25" s="72" t="s">
        <v>491</v>
      </c>
      <c r="B25" s="72" t="str">
        <f aca="false">IF(COUNTIF(B4:B23,"FAIL")&gt;0,"FAIL",IF(COUNTIF(B4:B23,"WARN")&gt;0,"PASS WITH WARNINGS","PASS"))</f>
        <v>PASS</v>
      </c>
      <c r="C25" s="125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2026-10-22T05:36:00Z</dcterms:created>
  <dc:creator/>
  <dc:description/>
  <dc:language>en-US</dc:language>
  <cp:lastModifiedBy/>
  <dcterms:modified xsi:type="dcterms:W3CDTF">2026-10-22T05:36:01Z</dcterms:modified>
  <cp:revision>0</cp:revision>
  <dc:subject/>
  <dc:title>Pet grooming &amp; boarding financial model (planning)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