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Break-even" sheetId="4" state="visible" r:id="rId6"/>
    <sheet name="Valuation" sheetId="5" state="visible" r:id="rId7"/>
    <sheet name="Sources &amp; Uses" sheetId="6" state="visible" r:id="rId8"/>
    <sheet name="KPIs" sheetId="7" state="visible" r:id="rId9"/>
    <sheet name="Inputs" sheetId="8" state="visible" r:id="rId10"/>
    <sheet name="P&amp;L" sheetId="9" state="visible" r:id="rId11"/>
    <sheet name="Cash Flow" sheetId="10" state="visible" r:id="rId12"/>
    <sheet name="Balance Sheet" sheetId="11" state="visible" r:id="rId13"/>
    <sheet name="Monthly" sheetId="12" state="visible" r:id="rId14"/>
    <sheet name="Headcount" sheetId="13" state="visible" r:id="rId15"/>
    <sheet name="Check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<sst xmlns="http://schemas.openxmlformats.org/spreadsheetml/2006/main" count="702" uniqueCount="435">
  <si>
    <t xml:space="preserve">Bakery financial model (growing)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</si>
  <si>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</si>
  <si>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</si>
  <si>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</si>
  <si>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</si>
  <si>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</si>
  <si>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</si>
  <si>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</si>
  <si>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</si>
  <si>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</si>
  <si>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</si>
  <si>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</si>
  <si>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</si>
  <si>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</si>
  <si>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</si>
  <si>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</si>
  <si>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</si>
  <si>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</si>
  <si>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</si>
  <si>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</si>
  <si>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</si>
  <si>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</si>
  <si>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</si>
  <si>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</si>
  <si>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</si>
  <si>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</si>
  <si>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</si>
  <si>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</si>
  <si>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</si>
  <si>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</si>
  <si>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</si>
  <si>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</si>
  <si>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</si>
  <si>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</si>
  <si>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</si>
  <si>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</si>
  <si>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</si>
  <si>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</si>
  <si>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</si>
  <si>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</si>
  <si>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</si>
  <si>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</si>
  <si>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</si>
  <si>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</si>
  <si>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</si>
  <si>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</si>
  <si>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</si>
  <si>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</si>
  <si>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</si>
  <si>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</si>
  <si>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</si>
  <si>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</si>
  <si>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</si>
  <si>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</si>
  <si>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</si>
  <si>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Bakery metrics</t>
  </si>
  <si>
    <t xml:space="preserve">Retail counter revenue</t>
  </si>
  <si>
    <t xml:space="preserve">Wholesale revenue</t>
  </si>
  <si>
    <t xml:space="preserve">Customers per day (average)</t>
  </si>
  <si>
    <t xml:space="preserve">Wholesale accounts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</si>
  <si>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</si>
  <si>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</si>
  <si>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</si>
  <si>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</si>
  <si>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</si>
  <si>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</si>
  <si>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</si>
  <si>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</si>
  <si>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</si>
  <si>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</si>
  <si>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</si>
  <si>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</si>
  <si>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</si>
  <si>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</si>
  <si>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</si>
  <si>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</si>
  <si>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</si>
  <si>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</si>
  <si>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</si>
  <si>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</si>
  <si>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</si>
  <si>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</si>
  <si>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</si>
  <si>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</si>
  <si>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</si>
  <si>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</si>
  <si>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</si>
  <si>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</si>
  <si>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</si>
  <si>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</si>
  <si>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</si>
  <si>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</si>
  <si>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</si>
  <si>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</si>
  <si>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</si>
  <si>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</si>
  <si>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</si>
  <si>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</si>
  <si>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</si>
  <si>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</si>
  <si>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</si>
  <si>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</si>
  <si>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</si>
  <si>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</si>
  <si>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</si>
  <si>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</si>
  <si>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</si>
  <si>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</si>
  <si>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</si>
  <si>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</si>
  <si>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</si>
  <si>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</si>
  <si>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</si>
  <si>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</si>
  <si>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</si>
  <si>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</si>
  <si>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</si>
  <si>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</si>
  <si>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</si>
  <si>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</si>
  <si>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</si>
  <si>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</si>
  <si>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</si>
  <si>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</si>
  <si>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</si>
  <si>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</si>
  <si>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</si>
  <si>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</si>
  <si>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</si>
  <si>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</si>
  <si>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</si>
  <si>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</si>
  <si>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</si>
  <si>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</si>
  <si>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</si>
  <si>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</si>
  <si>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</si>
  <si>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</si>
  <si>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</si>
  <si>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</si>
  <si>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</si>
  <si>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</si>
  <si>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</si>
  <si>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</si>
  <si>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</si>
  <si>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</si>
  <si>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</si>
  <si>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</si>
  <si>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</si>
  <si>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</si>
  <si>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</si>
  <si>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</si>
  <si>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</si>
  <si>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</si>
  <si>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</si>
  <si>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</si>
  <si>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</si>
  <si>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</si>
  <si>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</si>
  <si>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</si>
  <si>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</si>
  <si>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</si>
  <si>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</si>
  <si>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</si>
  <si>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</si>
  <si>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</si>
  <si>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</si>
  <si>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</si>
  <si>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</si>
  <si>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</si>
  <si>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</si>
  <si>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</si>
  <si>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</si>
  <si>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</si>
  <si>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</si>
  <si>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</si>
  <si>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</si>
  <si>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</si>
  <si>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</si>
  <si>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</si>
  <si>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</si>
  <si>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</si>
  <si>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Bakery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</si>
  <si>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</si>
  <si>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</si>
  <si>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</si>
  <si>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</si>
  <si>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</si>
  <si>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</si>
  <si>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</si>
  <si>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</si>
  <si>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</si>
  <si>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</si>
  <si>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</si>
  <si>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</si>
  <si>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</si>
  <si>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</si>
  <si>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</si>
  <si>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Bakery metrics ($'000; per-unit rows in $)</t>
  </si>
  <si>
    <t xml:space="preserve">Opening days in the year</t>
  </si>
  <si>
    <t xml:space="preserve">Retail transactions</t>
  </si>
  <si>
    <t xml:space="preserve">Average ticket ($)</t>
  </si>
  <si>
    <t xml:space="preserve">Wholesale share of revenue</t>
  </si>
  <si>
    <t xml:space="preserve">Retail revenue per opening day ($)</t>
  </si>
  <si>
    <t xml:space="preserve">Waste cost (unsold retail production)</t>
  </si>
  <si>
    <t xml:space="preserve">Waste cost, % of retail revenue</t>
  </si>
  <si>
    <t xml:space="preserve">Wholesale delivery cost</t>
  </si>
  <si>
    <t xml:space="preserve">Payroll</t>
  </si>
  <si>
    <t xml:space="preserve">Prime cost (cost of sales + payroll) % of revenue</t>
  </si>
  <si>
    <t xml:space="preserve">Inputs — Low / Base / High</t>
  </si>
  <si>
    <t xml:space="preserve">Illustrative assumptions — replace them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</si>
  <si>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</si>
  <si>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</si>
  <si>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</si>
  <si>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</si>
  <si>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</si>
  <si>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</si>
  <si>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</si>
  <si>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Retail counter</t>
  </si>
  <si>
    <t xml:space="preserve">Customers per day at full traffic</t>
  </si>
  <si>
    <t xml:space="preserve">#</t>
  </si>
  <si>
    <t xml:space="preserve">Low ≤ Base ≤ High</t>
  </si>
  <si>
    <t xml:space="preserve">Months to reach full traffic</t>
  </si>
  <si>
    <t xml:space="preserve">months</t>
  </si>
  <si>
    <t xml:space="preserve">Low ≥ Base ≥ High (lower is better)</t>
  </si>
  <si>
    <t xml:space="preserve">Opening traffic, % of full</t>
  </si>
  <si>
    <t xml:space="preserve">%</t>
  </si>
  <si>
    <t xml:space="preserve">Traffic growth per year (after year 1)</t>
  </si>
  <si>
    <t xml:space="preserve">Average ticket per customer (year 1)</t>
  </si>
  <si>
    <t xml:space="preserve">$</t>
  </si>
  <si>
    <t xml:space="preserve">Price increase per year</t>
  </si>
  <si>
    <t xml:space="preserve">Opening days per week</t>
  </si>
  <si>
    <t xml:space="preserve">days</t>
  </si>
  <si>
    <t xml:space="preserve">Holiday uplift, Nov-Dec (monthly models)</t>
  </si>
  <si>
    <t xml:space="preserve">Wholesale</t>
  </si>
  <si>
    <t xml:space="preserve">Wholesale accounts at full ramp (year 1)</t>
  </si>
  <si>
    <t xml:space="preserve">Wholesale accounts growth per year</t>
  </si>
  <si>
    <t xml:space="preserve">Order value per account per week (year 1)</t>
  </si>
  <si>
    <t xml:space="preserve">Deliveries per account per week</t>
  </si>
  <si>
    <t xml:space="preserve">Delivery cost per drop (driver, fuel, van)</t>
  </si>
  <si>
    <t xml:space="preserve">Ingredients, % of retail sales</t>
  </si>
  <si>
    <t xml:space="preserve">Ingredients, % of wholesale sales</t>
  </si>
  <si>
    <t xml:space="preserve">Retail production baked but not sold (waste)</t>
  </si>
  <si>
    <t xml:space="preserve">Packaging, % of sales</t>
  </si>
  <si>
    <t xml:space="preserve">Operating costs</t>
  </si>
  <si>
    <t xml:space="preserve">Rent per month</t>
  </si>
  <si>
    <t xml:space="preserve">Utilities per month (gas, power, water)</t>
  </si>
  <si>
    <t xml:space="preserve">Equipment repairs &amp; cleaning per month</t>
  </si>
  <si>
    <t xml:space="preserve">Card processing fees, % of retail sales</t>
  </si>
  <si>
    <t xml:space="preserve">Insurance, licences &amp; other G&amp;A per month</t>
  </si>
  <si>
    <t xml:space="preserve">Equipment</t>
  </si>
  <si>
    <t xml:space="preserve">Fit-out &amp; equipment: ovens, mixers, cases</t>
  </si>
  <si>
    <t xml:space="preserve">Equipment replacement per year (from year 2)</t>
  </si>
  <si>
    <t xml:space="preserve">Headcount</t>
  </si>
  <si>
    <t xml:space="preserve">Bakers &amp; production: headcount (FTE)</t>
  </si>
  <si>
    <t xml:space="preserve">FTE</t>
  </si>
  <si>
    <t xml:space="preserve">Bakers &amp; production: salary per FTE per year</t>
  </si>
  <si>
    <t xml:space="preserve">Bakers &amp; production: headcount growth per year</t>
  </si>
  <si>
    <t xml:space="preserve">Bakers &amp; production: first month on payroll</t>
  </si>
  <si>
    <t xml:space="preserve">month #</t>
  </si>
  <si>
    <t xml:space="preserve">Counter staff: headcount (FTE)</t>
  </si>
  <si>
    <t xml:space="preserve">Counter staff: salary per FTE per year</t>
  </si>
  <si>
    <t xml:space="preserve">Counter staff: headcount growth per year</t>
  </si>
  <si>
    <t xml:space="preserve">Counter staff: first month on payroll</t>
  </si>
  <si>
    <t xml:space="preserve">Manager: headcount (FTE)</t>
  </si>
  <si>
    <t xml:space="preserve">Manager: salary per FTE per year</t>
  </si>
  <si>
    <t xml:space="preserve">Manager: headcount growth per year</t>
  </si>
  <si>
    <t xml:space="preserve">Manager: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</si>
  <si>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</si>
  <si>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</si>
  <si>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</si>
  <si>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</si>
  <si>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</si>
  <si>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</si>
  <si>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</si>
  <si>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</si>
  <si>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</si>
  <si>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</si>
  <si>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</si>
  <si>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</si>
  <si>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</si>
  <si>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</si>
  <si>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</si>
  <si>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</si>
  <si>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</si>
  <si>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</si>
  <si>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</si>
  <si>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</si>
  <si>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</si>
  <si>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</si>
  <si>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</si>
  <si>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</si>
  <si>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Payroll (bakers, counter, manager)</t>
  </si>
  <si>
    <t xml:space="preserve">Rent</t>
  </si>
  <si>
    <t xml:space="preserve">Utilities (ovens)</t>
  </si>
  <si>
    <t xml:space="preserve">Wholesale delivery</t>
  </si>
  <si>
    <t xml:space="preserve">Equipment repairs &amp; cleaning</t>
  </si>
  <si>
    <t xml:space="preserve">Marketing</t>
  </si>
  <si>
    <t xml:space="preserve">Card processing fees</t>
  </si>
  <si>
    <t xml:space="preserve">Insurance, licences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</si>
  <si>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</si>
  <si>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</si>
  <si>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</si>
  <si>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</si>
  <si>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</si>
  <si>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</si>
  <si>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</si>
  <si>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</si>
  <si>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</si>
  <si>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</si>
  <si>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</si>
  <si>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</si>
  <si>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</si>
  <si>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</si>
  <si>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</si>
  <si>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</si>
  <si>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</si>
  <si>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</si>
  <si>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</si>
  <si>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</si>
  <si>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</si>
  <si>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</si>
  <si>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</si>
  <si>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</si>
  <si>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</si>
  <si>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</si>
  <si>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</si>
  <si>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</si>
  <si>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</si>
  <si>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</si>
  <si>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</si>
  <si>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</si>
  <si>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</si>
  <si>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</si>
  <si>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</si>
  <si>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</si>
  <si>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</si>
  <si>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</si>
  <si>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</si>
  <si>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</si>
  <si>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</si>
  <si>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</si>
  <si>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</si>
  <si>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</si>
  <si>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</si>
  <si>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</si>
  <si>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Traffic ramp factor</t>
  </si>
  <si>
    <t xml:space="preserve">Season factor (November-December peak)</t>
  </si>
  <si>
    <t xml:space="preserve">Customers per day</t>
  </si>
  <si>
    <t xml:space="preserve">Opening days in period</t>
  </si>
  <si>
    <t xml:space="preserve">Average ticket</t>
  </si>
  <si>
    <t xml:space="preserve">Retail revenue</t>
  </si>
  <si>
    <t xml:space="preserve">Wholesale accounts</t>
  </si>
  <si>
    <t xml:space="preserve">Order value per account per week</t>
  </si>
  <si>
    <t xml:space="preserve">Ingredients sold</t>
  </si>
  <si>
    <t xml:space="preserve">Waste (retail production not sold, at ingredient cost)</t>
  </si>
  <si>
    <t xml:space="preserve">Packaging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</si>
  <si>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</si>
  <si>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</si>
  <si>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</si>
  <si>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</si>
  <si>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</si>
  <si>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(fit-out, ovens, mixers, display cases)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</si>
  <si>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</si>
  <si>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</si>
  <si>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</si>
  <si>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</si>
  <si>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</si>
  <si>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</si>
  <si>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</si>
  <si>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</si>
  <si>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</si>
  <si>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</si>
  <si>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</si>
  <si>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</si>
  <si>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</si>
  <si>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</si>
  <si>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</si>
  <si>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</si>
  <si>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</si>
  <si>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</si>
  <si>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</si>
  <si>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</si>
  <si>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Bakers &amp; production — FTE</t>
  </si>
  <si>
    <t xml:space="preserve">Counter staff — FTE</t>
  </si>
  <si>
    <t xml:space="preserve">Manager — FTE</t>
  </si>
  <si>
    <t xml:space="preserve">Total FTE</t>
  </si>
  <si>
    <t xml:space="preserve">Payroll cost (salary + taxes &amp; benefits)</t>
  </si>
  <si>
    <t xml:space="preserve">Bakers &amp; production — payroll cost</t>
  </si>
  <si>
    <t xml:space="preserve">Counter staff — payroll cost</t>
  </si>
  <si>
    <t xml:space="preserve">Manager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</si>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</sst>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0"/>
    <numFmt numFmtId="183" formatCode="\$#,##0;&quot;($&quot;#,##0\);\-"/>
    <numFmt numFmtId="184" formatCode="0.0%;\(0.0%\);\-"/>
    <numFmt numFmtId="185" formatCode="0.0\x"/>
    <numFmt numFmtId="186" formatCode="0.000"/>
    <numFmt numFmtId="187" formatCode="0.0\x;\(0.0&quot;x)&quot;;\-"/>
    <numFmt numFmtId="188" formatCode="#,##0.0;\(#,##0.0\);\-"/>
    <numFmt numFmtId="189" formatCode="#,##0;\(#,##0\);\-"/>
    <numFmt numFmtId="190" formatCode="\$#,##0.00;&quot;($&quot;#,##0.00\);\-"/>
    <numFmt numFmtId="191" formatCode="\$#,##0.00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1578046.08</c:v>
                </c:pt>
                <c:pt idx="1">
                  <c:v>1736372.352</c:v>
                </c:pt>
                <c:pt idx="2">
                  <c:v>1890162.8563584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145732.035931429</c:v>
                </c:pt>
                <c:pt idx="1">
                  <c:v>193289.208996572</c:v>
                </c:pt>
                <c:pt idx="2">
                  <c:v>233403.120666446</c:v>
                </c:pt>
              </c:numCache>
            </c:numRef>
          </c:val>
        </c:ser>
        <c:gapWidth val="60"/>
        <c:overlap val="0"/>
        <c:axId val="21639315"/>
        <c:axId val="45316053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0.0923496707595691</c:v>
                </c:pt>
                <c:pt idx="1">
                  <c:v>0.111317833858582</c:v>
                </c:pt>
                <c:pt idx="2">
                  <c:v>0.123483074424667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221434"/>
        <c:axId val="85174983"/>
      </c:lineChart>
      <c:catAx>
        <c:axId val="2163931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316053"/>
        <c:crosses val="autoZero"/>
        <c:auto val="1"/>
        <c:lblAlgn val="ctr"/>
        <c:lblOffset val="100"/>
        <c:noMultiLvlLbl val="0"/>
      </c:catAx>
      <c:valAx>
        <c:axId val="4531605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639315"/>
        <c:crosses val="autoZero"/>
        <c:crossBetween val="between"/>
      </c:valAx>
      <c:catAx>
        <c:axId val="6522143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174983"/>
        <c:crosses val="autoZero"/>
        <c:auto val="1"/>
        <c:lblAlgn val="ctr"/>
        <c:lblOffset val="100"/>
        <c:noMultiLvlLbl val="0"/>
      </c:catAx>
      <c:valAx>
        <c:axId val="8517498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22143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101363.957036622</c:v>
                </c:pt>
                <c:pt idx="1">
                  <c:v>150896.600845958</c:v>
                </c:pt>
                <c:pt idx="2">
                  <c:v>184000.33398074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-90000</c:v>
                </c:pt>
                <c:pt idx="1">
                  <c:v>-14000</c:v>
                </c:pt>
                <c:pt idx="2">
                  <c:v>-14000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125333.333333333</c:v>
                </c:pt>
                <c:pt idx="1">
                  <c:v>-16000</c:v>
                </c:pt>
                <c:pt idx="2">
                  <c:v>-16000</c:v>
                </c:pt>
              </c:numCache>
            </c:numRef>
          </c:val>
        </c:ser>
        <c:gapWidth val="60"/>
        <c:overlap val="0"/>
        <c:axId val="64707417"/>
        <c:axId val="83262341"/>
      </c:barChart>
      <c:catAx>
        <c:axId val="6470741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262341"/>
        <c:crosses val="autoZero"/>
        <c:auto val="1"/>
        <c:lblAlgn val="ctr"/>
        <c:lblOffset val="100"/>
        <c:noMultiLvlLbl val="0"/>
      </c:catAx>
      <c:valAx>
        <c:axId val="8326234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7074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136697.290369956</c:v>
                </c:pt>
                <c:pt idx="1">
                  <c:v>257593.891215914</c:v>
                </c:pt>
                <c:pt idx="2">
                  <c:v>411594.225196654</c:v>
                </c:pt>
              </c:numCache>
            </c:numRef>
          </c:val>
        </c:ser>
        <c:gapWidth val="60"/>
        <c:overlap val="0"/>
        <c:axId val="97790610"/>
        <c:axId val="90887379"/>
      </c:barChart>
      <c:catAx>
        <c:axId val="9779061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887379"/>
        <c:crosses val="autoZero"/>
        <c:auto val="1"/>
        <c:lblAlgn val="ctr"/>
        <c:lblOffset val="100"/>
        <c:noMultiLvlLbl val="0"/>
      </c:catAx>
      <c:valAx>
        <c:axId val="908873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790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Retail and wholesale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Retail counter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\$#,##0,;"($"#,##0,\);\-</c:formatCode>
                <c:ptCount val="3"/>
                <c:pt idx="0">
                  <c:v>1134382.08</c:v>
                </c:pt>
                <c:pt idx="1">
                  <c:v>1218082.944</c:v>
                </c:pt>
                <c:pt idx="2">
                  <c:v>1292264.1952896</c:v>
                </c:pt>
              </c:numCache>
            </c:numRef>
          </c:val>
        </c:ser>
        <c:ser>
          <c:idx val="1"/>
          <c:order val="1"/>
          <c:tx>
            <c:strRef>
              <c:f>Dashboard!$A$29</c:f>
              <c:strCache>
                <c:ptCount val="1"/>
                <c:pt idx="0">
                  <c:v>Wholesale revenue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\$#,##0,;"($"#,##0,\);\-</c:formatCode>
                <c:ptCount val="3"/>
                <c:pt idx="0">
                  <c:v>443664</c:v>
                </c:pt>
                <c:pt idx="1">
                  <c:v>518289.408</c:v>
                </c:pt>
                <c:pt idx="2">
                  <c:v>597898.6610688</c:v>
                </c:pt>
              </c:numCache>
            </c:numRef>
          </c:val>
        </c:ser>
        <c:gapWidth val="60"/>
        <c:overlap val="100"/>
        <c:axId val="20128966"/>
        <c:axId val="61685927"/>
      </c:barChart>
      <c:catAx>
        <c:axId val="2012896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685927"/>
        <c:crosses val="autoZero"/>
        <c:auto val="1"/>
        <c:lblAlgn val="ctr"/>
        <c:lblOffset val="100"/>
        <c:noMultiLvlLbl val="0"/>
      </c:catAx>
      <c:valAx>
        <c:axId val="6168592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1289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116363.52</c:v>
                </c:pt>
                <c:pt idx="1">
                  <c:v>122828.16</c:v>
                </c:pt>
                <c:pt idx="2">
                  <c:v>129292.8</c:v>
                </c:pt>
                <c:pt idx="3">
                  <c:v>129292.8</c:v>
                </c:pt>
                <c:pt idx="4">
                  <c:v>129292.8</c:v>
                </c:pt>
                <c:pt idx="5">
                  <c:v>129292.8</c:v>
                </c:pt>
                <c:pt idx="6">
                  <c:v>129292.8</c:v>
                </c:pt>
                <c:pt idx="7">
                  <c:v>129292.8</c:v>
                </c:pt>
                <c:pt idx="8">
                  <c:v>129292.8</c:v>
                </c:pt>
                <c:pt idx="9">
                  <c:v>129292.8</c:v>
                </c:pt>
                <c:pt idx="10">
                  <c:v>152256</c:v>
                </c:pt>
                <c:pt idx="11">
                  <c:v>152256</c:v>
                </c:pt>
              </c:numCache>
            </c:numRef>
          </c:val>
        </c:ser>
        <c:gapWidth val="60"/>
        <c:overlap val="0"/>
        <c:axId val="39943034"/>
        <c:axId val="19578444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2652.0663161905</c:v>
                </c:pt>
                <c:pt idx="1">
                  <c:v>6647.55148190475</c:v>
                </c:pt>
                <c:pt idx="2">
                  <c:v>10643.0366476191</c:v>
                </c:pt>
                <c:pt idx="3">
                  <c:v>10643.0366476191</c:v>
                </c:pt>
                <c:pt idx="4">
                  <c:v>10643.0366476191</c:v>
                </c:pt>
                <c:pt idx="5">
                  <c:v>10643.0366476191</c:v>
                </c:pt>
                <c:pt idx="6">
                  <c:v>10643.0366476191</c:v>
                </c:pt>
                <c:pt idx="7">
                  <c:v>10643.0366476191</c:v>
                </c:pt>
                <c:pt idx="8">
                  <c:v>10643.0366476191</c:v>
                </c:pt>
                <c:pt idx="9">
                  <c:v>10643.0366476191</c:v>
                </c:pt>
                <c:pt idx="10">
                  <c:v>25644.0624761905</c:v>
                </c:pt>
                <c:pt idx="11">
                  <c:v>25644.0624761905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801.037151695254</c:v>
                </c:pt>
                <c:pt idx="1">
                  <c:v>3961.20098816507</c:v>
                </c:pt>
                <c:pt idx="2">
                  <c:v>7125.09538019048</c:v>
                </c:pt>
                <c:pt idx="3">
                  <c:v>7132.55649130159</c:v>
                </c:pt>
                <c:pt idx="4">
                  <c:v>7140.0176024127</c:v>
                </c:pt>
                <c:pt idx="5">
                  <c:v>7147.47871352382</c:v>
                </c:pt>
                <c:pt idx="6">
                  <c:v>7154.93982463493</c:v>
                </c:pt>
                <c:pt idx="7">
                  <c:v>7162.40093574604</c:v>
                </c:pt>
                <c:pt idx="8">
                  <c:v>7169.86204685715</c:v>
                </c:pt>
                <c:pt idx="9">
                  <c:v>7177.32315796826</c:v>
                </c:pt>
                <c:pt idx="10">
                  <c:v>19035.5946736508</c:v>
                </c:pt>
                <c:pt idx="11">
                  <c:v>19043.0557847619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943034"/>
        <c:axId val="19578444"/>
      </c:lineChart>
      <c:catAx>
        <c:axId val="3994303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578444"/>
        <c:crosses val="autoZero"/>
        <c:auto val="1"/>
        <c:lblAlgn val="ctr"/>
        <c:lblOffset val="100"/>
        <c:noMultiLvlLbl val="0"/>
      </c:catAx>
      <c:valAx>
        <c:axId val="195784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9430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-6781.60924830475</c:v>
                </c:pt>
                <c:pt idx="1">
                  <c:v>4551.84761673651</c:v>
                </c:pt>
                <c:pt idx="2">
                  <c:v>7715.74200876191</c:v>
                </c:pt>
                <c:pt idx="3">
                  <c:v>8203.98506273016</c:v>
                </c:pt>
                <c:pt idx="4">
                  <c:v>8211.44617384128</c:v>
                </c:pt>
                <c:pt idx="5">
                  <c:v>8218.90728495239</c:v>
                </c:pt>
                <c:pt idx="6">
                  <c:v>8226.3683960635</c:v>
                </c:pt>
                <c:pt idx="7">
                  <c:v>8233.82950717461</c:v>
                </c:pt>
                <c:pt idx="8">
                  <c:v>8241.29061828572</c:v>
                </c:pt>
                <c:pt idx="9">
                  <c:v>8248.75172939683</c:v>
                </c:pt>
                <c:pt idx="10">
                  <c:v>18178.9135307937</c:v>
                </c:pt>
                <c:pt idx="11">
                  <c:v>20114.4843561905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-90000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140000</c:v>
                </c:pt>
                <c:pt idx="1">
                  <c:v>-1333.33333333333</c:v>
                </c:pt>
                <c:pt idx="2">
                  <c:v>-1333.33333333333</c:v>
                </c:pt>
                <c:pt idx="3">
                  <c:v>-1333.33333333333</c:v>
                </c:pt>
                <c:pt idx="4">
                  <c:v>-1333.33333333333</c:v>
                </c:pt>
                <c:pt idx="5">
                  <c:v>-1333.33333333333</c:v>
                </c:pt>
                <c:pt idx="6">
                  <c:v>-1333.33333333333</c:v>
                </c:pt>
                <c:pt idx="7">
                  <c:v>-1333.33333333333</c:v>
                </c:pt>
                <c:pt idx="8">
                  <c:v>-1333.33333333333</c:v>
                </c:pt>
                <c:pt idx="9">
                  <c:v>-1333.33333333333</c:v>
                </c:pt>
                <c:pt idx="10">
                  <c:v>-1333.33333333333</c:v>
                </c:pt>
                <c:pt idx="11">
                  <c:v>-1333.33333333333</c:v>
                </c:pt>
              </c:numCache>
            </c:numRef>
          </c:val>
        </c:ser>
        <c:gapWidth val="60"/>
        <c:overlap val="0"/>
        <c:axId val="23549332"/>
        <c:axId val="49393411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43218.3907516952</c:v>
                </c:pt>
                <c:pt idx="1">
                  <c:v>46436.9050350984</c:v>
                </c:pt>
                <c:pt idx="2">
                  <c:v>52819.313710527</c:v>
                </c:pt>
                <c:pt idx="3">
                  <c:v>59689.9654399238</c:v>
                </c:pt>
                <c:pt idx="4">
                  <c:v>66568.0782804318</c:v>
                </c:pt>
                <c:pt idx="5">
                  <c:v>73453.6522320508</c:v>
                </c:pt>
                <c:pt idx="6">
                  <c:v>80346.687294781</c:v>
                </c:pt>
                <c:pt idx="7">
                  <c:v>87247.1834686223</c:v>
                </c:pt>
                <c:pt idx="8">
                  <c:v>94155.1407535746</c:v>
                </c:pt>
                <c:pt idx="9">
                  <c:v>101070.559149638</c:v>
                </c:pt>
                <c:pt idx="10">
                  <c:v>117916.139347098</c:v>
                </c:pt>
                <c:pt idx="11">
                  <c:v>136697.290369956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776023"/>
        <c:axId val="70565660"/>
      </c:lineChart>
      <c:catAx>
        <c:axId val="2354933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393411"/>
        <c:crosses val="autoZero"/>
        <c:auto val="1"/>
        <c:lblAlgn val="ctr"/>
        <c:lblOffset val="100"/>
        <c:noMultiLvlLbl val="0"/>
      </c:catAx>
      <c:valAx>
        <c:axId val="4939341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549332"/>
        <c:crosses val="autoZero"/>
        <c:crossBetween val="between"/>
      </c:valAx>
      <c:catAx>
        <c:axId val="29776023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565660"/>
        <c:crosses val="autoZero"/>
        <c:auto val="1"/>
        <c:lblAlgn val="ctr"/>
        <c:lblOffset val="100"/>
        <c:noMultiLvlLbl val="0"/>
      </c:catAx>
      <c:valAx>
        <c:axId val="70565660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77602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43218.3907516952</c:v>
                </c:pt>
                <c:pt idx="1">
                  <c:v>46436.9050350984</c:v>
                </c:pt>
                <c:pt idx="2">
                  <c:v>52819.313710527</c:v>
                </c:pt>
                <c:pt idx="3">
                  <c:v>59689.9654399238</c:v>
                </c:pt>
                <c:pt idx="4">
                  <c:v>66568.0782804318</c:v>
                </c:pt>
                <c:pt idx="5">
                  <c:v>73453.6522320508</c:v>
                </c:pt>
                <c:pt idx="6">
                  <c:v>80346.687294781</c:v>
                </c:pt>
                <c:pt idx="7">
                  <c:v>87247.1834686223</c:v>
                </c:pt>
                <c:pt idx="8">
                  <c:v>94155.1407535746</c:v>
                </c:pt>
                <c:pt idx="9">
                  <c:v>101070.559149638</c:v>
                </c:pt>
                <c:pt idx="10">
                  <c:v>117916.139347098</c:v>
                </c:pt>
                <c:pt idx="11">
                  <c:v>136697.290369956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27151.488</c:v>
                </c:pt>
                <c:pt idx="1">
                  <c:v>28659.904</c:v>
                </c:pt>
                <c:pt idx="2">
                  <c:v>30168.32</c:v>
                </c:pt>
                <c:pt idx="3">
                  <c:v>30168.32</c:v>
                </c:pt>
                <c:pt idx="4">
                  <c:v>30168.32</c:v>
                </c:pt>
                <c:pt idx="5">
                  <c:v>30168.32</c:v>
                </c:pt>
                <c:pt idx="6">
                  <c:v>30168.32</c:v>
                </c:pt>
                <c:pt idx="7">
                  <c:v>30168.32</c:v>
                </c:pt>
                <c:pt idx="8">
                  <c:v>30168.32</c:v>
                </c:pt>
                <c:pt idx="9">
                  <c:v>30168.32</c:v>
                </c:pt>
                <c:pt idx="10">
                  <c:v>35526.4</c:v>
                </c:pt>
                <c:pt idx="11">
                  <c:v>35526.4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88928.5714285714</c:v>
                </c:pt>
                <c:pt idx="1">
                  <c:v>87857.1428571429</c:v>
                </c:pt>
                <c:pt idx="2">
                  <c:v>86785.7142857143</c:v>
                </c:pt>
                <c:pt idx="3">
                  <c:v>85714.2857142857</c:v>
                </c:pt>
                <c:pt idx="4">
                  <c:v>84642.8571428571</c:v>
                </c:pt>
                <c:pt idx="5">
                  <c:v>83571.4285714286</c:v>
                </c:pt>
                <c:pt idx="6">
                  <c:v>82500</c:v>
                </c:pt>
                <c:pt idx="7">
                  <c:v>81428.5714285714</c:v>
                </c:pt>
                <c:pt idx="8">
                  <c:v>80357.1428571429</c:v>
                </c:pt>
                <c:pt idx="9">
                  <c:v>79285.7142857143</c:v>
                </c:pt>
                <c:pt idx="10">
                  <c:v>78214.2857142857</c:v>
                </c:pt>
                <c:pt idx="11">
                  <c:v>77142.8571428571</c:v>
                </c:pt>
              </c:numCache>
            </c:numRef>
          </c:val>
        </c:ser>
        <c:gapWidth val="60"/>
        <c:overlap val="100"/>
        <c:axId val="21936656"/>
        <c:axId val="64778703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60801.0371516953</c:v>
                </c:pt>
                <c:pt idx="1">
                  <c:v>64762.2381398603</c:v>
                </c:pt>
                <c:pt idx="2">
                  <c:v>71887.3335200508</c:v>
                </c:pt>
                <c:pt idx="3">
                  <c:v>79019.8900113524</c:v>
                </c:pt>
                <c:pt idx="4">
                  <c:v>86159.9076137651</c:v>
                </c:pt>
                <c:pt idx="5">
                  <c:v>93307.3863272889</c:v>
                </c:pt>
                <c:pt idx="6">
                  <c:v>100462.326151924</c:v>
                </c:pt>
                <c:pt idx="7">
                  <c:v>107624.72708767</c:v>
                </c:pt>
                <c:pt idx="8">
                  <c:v>114794.589134527</c:v>
                </c:pt>
                <c:pt idx="9">
                  <c:v>121971.912292495</c:v>
                </c:pt>
                <c:pt idx="10">
                  <c:v>141007.506966146</c:v>
                </c:pt>
                <c:pt idx="11">
                  <c:v>160050.562750908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936656"/>
        <c:axId val="64778703"/>
      </c:lineChart>
      <c:catAx>
        <c:axId val="2193665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778703"/>
        <c:crosses val="autoZero"/>
        <c:auto val="1"/>
        <c:lblAlgn val="ctr"/>
        <c:lblOffset val="100"/>
        <c:noMultiLvlLbl val="0"/>
      </c:catAx>
      <c:valAx>
        <c:axId val="6477870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9366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60000</c:v>
                </c:pt>
                <c:pt idx="1">
                  <c:v>80000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90000</c:v>
                </c:pt>
                <c:pt idx="2">
                  <c:v>14666.6666666667</c:v>
                </c:pt>
                <c:pt idx="3">
                  <c:v>136697.290369956</c:v>
                </c:pt>
              </c:numCache>
            </c:numRef>
          </c:val>
        </c:ser>
        <c:gapWidth val="60"/>
        <c:overlap val="0"/>
        <c:axId val="41054673"/>
        <c:axId val="28080260"/>
      </c:barChart>
      <c:catAx>
        <c:axId val="4105467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080260"/>
        <c:crosses val="autoZero"/>
        <c:auto val="1"/>
        <c:lblAlgn val="ctr"/>
        <c:lblOffset val="100"/>
        <c:noMultiLvlLbl val="0"/>
      </c:catAx>
      <c:valAx>
        <c:axId val="2808026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05467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0.68263384030676</c:v>
                </c:pt>
                <c:pt idx="1">
                  <c:v>0.681484687950486</c:v>
                </c:pt>
                <c:pt idx="2">
                  <c:v>0.680303108952588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0.0923496707595691</c:v>
                </c:pt>
                <c:pt idx="1">
                  <c:v>0.111317833858582</c:v>
                </c:pt>
                <c:pt idx="2">
                  <c:v>0.123483074424667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0.0634015470263758</c:v>
                </c:pt>
                <c:pt idx="1">
                  <c:v>0.0793813408885021</c:v>
                </c:pt>
                <c:pt idx="2">
                  <c:v>0.0894208428835164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497433"/>
        <c:axId val="39338835"/>
      </c:lineChart>
      <c:catAx>
        <c:axId val="3049743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338835"/>
        <c:crosses val="autoZero"/>
        <c:auto val="1"/>
        <c:lblAlgn val="ctr"/>
        <c:lblOffset val="100"/>
        <c:noMultiLvlLbl val="0"/>
      </c:catAx>
      <c:valAx>
        <c:axId val="3933883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497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0.393647116715423</c:v>
                </c:pt>
                <c:pt idx="1">
                  <c:v>0.364151711792197</c:v>
                </c:pt>
                <c:pt idx="2">
                  <c:v>0.316330859442882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0.625118469009197</c:v>
                </c:pt>
                <c:pt idx="1">
                  <c:v>0.462712266442819</c:v>
                </c:pt>
                <c:pt idx="2">
                  <c:v>0.361999900076399</c:v>
                </c:pt>
              </c:numCache>
            </c:numRef>
          </c:val>
        </c:ser>
        <c:gapWidth val="60"/>
        <c:overlap val="0"/>
        <c:axId val="17480798"/>
        <c:axId val="489789"/>
      </c:barChart>
      <c:catAx>
        <c:axId val="1748079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9789"/>
        <c:crosses val="autoZero"/>
        <c:auto val="1"/>
        <c:lblAlgn val="ctr"/>
        <c:lblOffset val="100"/>
        <c:noMultiLvlLbl val="0"/>
      </c:catAx>
      <c:valAx>
        <c:axId val="48978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4807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Retail transactions and average ticket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Retail transactions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KPIs!$B$30:$D$30</c:f>
              <c:numCache>
                <c:formatCode>#,##0;\(#,##0\);\-</c:formatCode>
                <c:ptCount val="3"/>
                <c:pt idx="0">
                  <c:v>98641.92</c:v>
                </c:pt>
                <c:pt idx="1">
                  <c:v>102835.2</c:v>
                </c:pt>
                <c:pt idx="2">
                  <c:v>105920.256</c:v>
                </c:pt>
              </c:numCache>
            </c:numRef>
          </c:val>
        </c:ser>
        <c:gapWidth val="60"/>
        <c:overlap val="0"/>
        <c:axId val="8560732"/>
        <c:axId val="36781019"/>
      </c:barChart>
      <c:lineChart>
        <c:grouping val="standard"/>
        <c:varyColors val="0"/>
        <c:ser>
          <c:idx val="1"/>
          <c:order val="1"/>
          <c:tx>
            <c:strRef>
              <c:f>KPIs!$A$32</c:f>
              <c:strCache>
                <c:ptCount val="1"/>
                <c:pt idx="0">
                  <c:v>Average ticket ($)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KPIs!$B$32:$D$32</c:f>
              <c:numCache>
                <c:formatCode>\$#,##0.00;"($"#,##0.00\);\-</c:formatCode>
                <c:ptCount val="3"/>
                <c:pt idx="0">
                  <c:v>11.5</c:v>
                </c:pt>
                <c:pt idx="1">
                  <c:v>11.845</c:v>
                </c:pt>
                <c:pt idx="2">
                  <c:v>12.20035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53466"/>
        <c:axId val="52699159"/>
      </c:lineChart>
      <c:catAx>
        <c:axId val="856073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781019"/>
        <c:crosses val="autoZero"/>
        <c:auto val="1"/>
        <c:lblAlgn val="ctr"/>
        <c:lblOffset val="100"/>
        <c:noMultiLvlLbl val="0"/>
      </c:catAx>
      <c:valAx>
        <c:axId val="367810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60732"/>
        <c:crosses val="autoZero"/>
        <c:crossBetween val="between"/>
      </c:valAx>
      <c:catAx>
        <c:axId val="7653466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699159"/>
        <c:crosses val="autoZero"/>
        <c:auto val="1"/>
        <c:lblAlgn val="ctr"/>
        <c:lblOffset val="100"/>
        <c:noMultiLvlLbl val="0"/>
      </c:catAx>
      <c:valAx>
        <c:axId val="52699159"/>
        <c:scaling>
          <c:orientation val="minMax"/>
        </c:scaling>
        <c:delete val="0"/>
        <c:axPos val="r"/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5346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Waste and delivery cost, with prime cost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KPIs!$A$39</c:f>
              <c:strCache>
                <c:ptCount val="1"/>
                <c:pt idx="0">
                  <c:v>Waste cost (unsold retail production)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KPIs!$B$39:$D$39</c:f>
              <c:numCache>
                <c:formatCode>\$#,##0,;"($"#,##0,\);\-</c:formatCode>
                <c:ptCount val="3"/>
                <c:pt idx="0">
                  <c:v>26925.9922285714</c:v>
                </c:pt>
                <c:pt idx="1">
                  <c:v>28912.7380114286</c:v>
                </c:pt>
                <c:pt idx="2">
                  <c:v>30673.5237563246</c:v>
                </c:pt>
              </c:numCache>
            </c:numRef>
          </c:val>
        </c:ser>
        <c:ser>
          <c:idx val="1"/>
          <c:order val="1"/>
          <c:tx>
            <c:strRef>
              <c:f>KPIs!$A$41</c:f>
              <c:strCache>
                <c:ptCount val="1"/>
                <c:pt idx="0">
                  <c:v>Wholesale delivery cost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KPIs!$B$41:$D$41</c:f>
              <c:numCache>
                <c:formatCode>\$#,##0,;"($"#,##0,\);\-</c:formatCode>
                <c:ptCount val="3"/>
                <c:pt idx="0">
                  <c:v>36972</c:v>
                </c:pt>
                <c:pt idx="1">
                  <c:v>41932.8</c:v>
                </c:pt>
                <c:pt idx="2">
                  <c:v>46964.736</c:v>
                </c:pt>
              </c:numCache>
            </c:numRef>
          </c:val>
        </c:ser>
        <c:gapWidth val="60"/>
        <c:overlap val="0"/>
        <c:axId val="20122864"/>
        <c:axId val="99271888"/>
      </c:barChart>
      <c:lineChart>
        <c:grouping val="standard"/>
        <c:varyColors val="0"/>
        <c:ser>
          <c:idx val="2"/>
          <c:order val="2"/>
          <c:tx>
            <c:strRef>
              <c:f>KPIs!$A$46</c:f>
              <c:strCache>
                <c:ptCount val="1"/>
                <c:pt idx="0">
                  <c:v>Prime cost (cost of sales + payroll) %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KPIs!$B$46:$D$46</c:f>
              <c:numCache>
                <c:formatCode>0.0%;\(0.0%\);\-</c:formatCode>
                <c:ptCount val="3"/>
                <c:pt idx="0">
                  <c:v>0.693527545297392</c:v>
                </c:pt>
                <c:pt idx="1">
                  <c:v>0.688053211717707</c:v>
                </c:pt>
                <c:pt idx="2">
                  <c:v>0.686823540484661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722719"/>
        <c:axId val="52042852"/>
      </c:lineChart>
      <c:catAx>
        <c:axId val="2012286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271888"/>
        <c:crosses val="autoZero"/>
        <c:auto val="1"/>
        <c:lblAlgn val="ctr"/>
        <c:lblOffset val="100"/>
        <c:noMultiLvlLbl val="0"/>
      </c:catAx>
      <c:valAx>
        <c:axId val="9927188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122864"/>
        <c:crosses val="autoZero"/>
        <c:crossBetween val="between"/>
      </c:valAx>
      <c:catAx>
        <c:axId val="8772271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042852"/>
        <c:crosses val="autoZero"/>
        <c:auto val="1"/>
        <c:lblAlgn val="ctr"/>
        <c:lblOffset val="100"/>
        <c:noMultiLvlLbl val="0"/>
      </c:catAx>
      <c:valAx>
        <c:axId val="520428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72271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9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0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1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2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Checks!B24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HYPERLINK("#'Break-even'!A1","Break-even")</f>
        <v>Break-even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HYPERLINK("#Valuation!A1","Valuation")</f>
        <v>Valuation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HYPERLINK("#'Sources &amp; Uses'!A1","Sources &amp; Uses")</f>
        <v>Sources &amp; Uses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HYPERLINK("#KPIs!A1","KPIs")</f>
        <v>KPIs</v>
      </c>
      <c r="D17" s="11" t="s">
        <v>15</v>
      </c>
    </row>
    <row r="18" customFormat="false" ht="15" hidden="false" customHeight="false" outlineLevel="0" collapsed="false">
      <c r="C18" s="8" t="s">
        <v>16</v>
      </c>
    </row>
    <row r="19" customFormat="false" ht="15" hidden="false" customHeight="false" outlineLevel="0" collapsed="false">
      <c r="B19" s="9" t="n">
        <v>7</v>
      </c>
      <c r="C19" s="10" t="str">
        <f aca="false">HYPERLINK("#Inputs!A1","Inputs")</f>
        <v>Inputs</v>
      </c>
      <c r="D19" s="11" t="s">
        <v>17</v>
      </c>
    </row>
    <row r="20" customFormat="false" ht="15" hidden="false" customHeight="false" outlineLevel="0" collapsed="false">
      <c r="C20" s="8" t="s">
        <v>18</v>
      </c>
    </row>
    <row r="21" customFormat="false" ht="15" hidden="false" customHeight="false" outlineLevel="0" collapsed="false">
      <c r="B21" s="9" t="n">
        <v>8</v>
      </c>
      <c r="C21" s="10" t="str">
        <f aca="false">HYPERLINK("#'P&amp;L'!A1","P&amp;L")</f>
        <v>P&amp;L</v>
      </c>
      <c r="D21" s="11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HYPERLINK("#'Cash Flow'!A1","Cash Flow")</f>
        <v>Cash Flow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HYPERLINK("#'Balance Sheet'!A1","Balance Sheet")</f>
        <v>Balance Sheet</v>
      </c>
      <c r="D23" s="11" t="s">
        <v>21</v>
      </c>
    </row>
    <row r="24" customFormat="false" ht="15" hidden="false" customHeight="false" outlineLevel="0" collapsed="false">
      <c r="C24" s="8" t="s">
        <v>22</v>
      </c>
    </row>
    <row r="25" customFormat="false" ht="15" hidden="false" customHeight="false" outlineLevel="0" collapsed="false">
      <c r="B25" s="9" t="n">
        <v>11</v>
      </c>
      <c r="C25" s="10" t="str">
        <f aca="false">HYPERLINK("#Monthly!A1","Monthly")</f>
        <v>Monthly</v>
      </c>
      <c r="D25" s="11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HYPERLINK("#Headcount!A1","Headcount")</f>
        <v>Headcount</v>
      </c>
      <c r="D26" s="11" t="s">
        <v>24</v>
      </c>
    </row>
    <row r="27" customFormat="false" ht="15" hidden="false" customHeight="false" outlineLevel="0" collapsed="false">
      <c r="C27" s="8" t="s">
        <v>25</v>
      </c>
    </row>
    <row r="28" customFormat="false" ht="15" hidden="false" customHeight="false" outlineLevel="0" collapsed="false">
      <c r="B28" s="9" t="n">
        <v>13</v>
      </c>
      <c r="C28" s="10" t="str">
        <f aca="false">HYPERLINK("#Checks!A1","Checks")</f>
        <v>Checks</v>
      </c>
      <c r="D28" s="11" t="s">
        <v>26</v>
      </c>
    </row>
    <row r="30" customFormat="false" ht="15" hidden="false" customHeight="false" outlineLevel="0" collapsed="false">
      <c r="B30" s="3" t="s">
        <v>27</v>
      </c>
    </row>
    <row r="31" customFormat="false" ht="15" hidden="false" customHeight="false" outlineLevel="0" collapsed="false">
      <c r="C31" s="12" t="n">
        <v>1000</v>
      </c>
      <c r="D31" s="6" t="s">
        <v>28</v>
      </c>
    </row>
    <row r="32" customFormat="false" ht="15" hidden="false" customHeight="false" outlineLevel="0" collapsed="false">
      <c r="C32" s="13" t="n">
        <v>1000</v>
      </c>
      <c r="D32" s="6" t="s">
        <v>29</v>
      </c>
    </row>
    <row r="33" customFormat="false" ht="15" hidden="false" customHeight="false" outlineLevel="0" collapsed="false">
      <c r="C33" s="14" t="n">
        <v>1000</v>
      </c>
      <c r="D33" s="6" t="s">
        <v>30</v>
      </c>
    </row>
    <row r="34" customFormat="false" ht="15" hidden="false" customHeight="false" outlineLevel="0" collapsed="false">
      <c r="C34" s="15" t="n">
        <v>1000</v>
      </c>
      <c r="D34" s="6" t="s">
        <v>31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32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33</v>
      </c>
      <c r="S4" s="22" t="s">
        <v>5</v>
      </c>
      <c r="T4" s="23" t="str">
        <f aca="false">Checks!B24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34</v>
      </c>
      <c r="B6" s="24"/>
      <c r="C6" s="24" t="s">
        <v>35</v>
      </c>
      <c r="D6" s="24"/>
      <c r="E6" s="24"/>
      <c r="F6" s="24"/>
      <c r="H6" s="24" t="s">
        <v>36</v>
      </c>
      <c r="I6" s="24"/>
      <c r="J6" s="24"/>
      <c r="K6" s="24"/>
      <c r="L6" s="24" t="s">
        <v>37</v>
      </c>
      <c r="M6" s="24"/>
      <c r="N6" s="24"/>
      <c r="O6" s="24"/>
      <c r="P6" s="24" t="s">
        <v>38</v>
      </c>
      <c r="Q6" s="24"/>
      <c r="R6" s="24"/>
      <c r="S6" s="24"/>
      <c r="T6" s="24" t="s">
        <v>39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1890162.8563584</v>
      </c>
      <c r="B7" s="25"/>
      <c r="C7" s="26" t="n">
        <f aca="false">D17</f>
        <v>0.123483074424667</v>
      </c>
      <c r="D7" s="26"/>
      <c r="E7" s="26"/>
      <c r="F7" s="26"/>
      <c r="H7" s="25" t="n">
        <f aca="false">D18</f>
        <v>169019.955802683</v>
      </c>
      <c r="I7" s="25"/>
      <c r="J7" s="25"/>
      <c r="K7" s="25"/>
      <c r="L7" s="25" t="n">
        <f aca="false">F39</f>
        <v>43218.3907516952</v>
      </c>
      <c r="M7" s="25"/>
      <c r="N7" s="25"/>
      <c r="O7" s="25"/>
      <c r="P7" s="25" t="n">
        <f aca="false">F37</f>
        <v>329781.609248305</v>
      </c>
      <c r="Q7" s="25"/>
      <c r="R7" s="25"/>
      <c r="S7" s="25"/>
      <c r="T7" s="25" t="n">
        <f aca="false">F44</f>
        <v>1043766.35909083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0.0944344924496881</v>
      </c>
      <c r="B8" s="27"/>
      <c r="C8" s="28" t="n">
        <f aca="false">D16</f>
        <v>233403.120666446</v>
      </c>
      <c r="D8" s="28"/>
      <c r="E8" s="28"/>
      <c r="F8" s="28"/>
      <c r="H8" s="29" t="n">
        <f aca="false">D19</f>
        <v>0.0894208428835164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n">
        <f aca="false">IF(F38&gt;=0,"Covered by funding raised",-F38)</f>
        <v>189781.609248305</v>
      </c>
      <c r="Q8" s="31"/>
      <c r="R8" s="31"/>
      <c r="S8" s="31"/>
      <c r="T8" s="32" t="s">
        <v>40</v>
      </c>
      <c r="U8" s="32"/>
      <c r="V8" s="32"/>
      <c r="W8" s="32"/>
    </row>
    <row r="10" customFormat="false" ht="15.75" hidden="false" customHeight="true" outlineLevel="0" collapsed="false">
      <c r="A10" s="7" t="s">
        <v>41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42</v>
      </c>
      <c r="B12" s="36" t="n">
        <f aca="false">SUMIF(Monthly!$C$5:$AL$5,B$11,Monthly!$C$22:$AL$22)</f>
        <v>1578046.08</v>
      </c>
      <c r="C12" s="36" t="n">
        <f aca="false">SUMIF(Monthly!$C$5:$AL$5,C$11,Monthly!$C$22:$AL$22)</f>
        <v>1736372.352</v>
      </c>
      <c r="D12" s="36" t="n">
        <f aca="false">SUMIF(Monthly!$C$5:$AL$5,D$11,Monthly!$C$22:$AL$22)</f>
        <v>1890162.8563584</v>
      </c>
    </row>
    <row r="13" customFormat="false" ht="15" hidden="false" customHeight="false" outlineLevel="0" collapsed="false">
      <c r="A13" s="37" t="s">
        <v>43</v>
      </c>
      <c r="B13" s="38" t="n">
        <f aca="false">SUMIF(Monthly!$C$5:$AL$5,B$11,Monthly!$C$29:$AL$29)</f>
        <v>1077227.65577143</v>
      </c>
      <c r="C13" s="38" t="n">
        <f aca="false">SUMIF(Monthly!$C$5:$AL$5,C$11,Monthly!$C$29:$AL$29)</f>
        <v>1183311.17046857</v>
      </c>
      <c r="D13" s="38" t="n">
        <f aca="false">SUMIF(Monthly!$C$5:$AL$5,D$11,Monthly!$C$29:$AL$29)</f>
        <v>1285883.66760732</v>
      </c>
      <c r="E13" s="37"/>
      <c r="F13" s="37"/>
    </row>
    <row r="14" customFormat="false" ht="15" hidden="false" customHeight="false" outlineLevel="0" collapsed="false">
      <c r="A14" s="39" t="s">
        <v>44</v>
      </c>
      <c r="B14" s="40" t="n">
        <f aca="false">IF(B12=0,0,B13/B12)</f>
        <v>0.68263384030676</v>
      </c>
      <c r="C14" s="40" t="n">
        <f aca="false">IF(C12=0,0,C13/C12)</f>
        <v>0.681484687950486</v>
      </c>
      <c r="D14" s="40" t="n">
        <f aca="false">IF(D12=0,0,D13/D12)</f>
        <v>0.680303108952588</v>
      </c>
    </row>
    <row r="15" customFormat="false" ht="15" hidden="false" customHeight="false" outlineLevel="0" collapsed="false">
      <c r="A15" s="6" t="s">
        <v>45</v>
      </c>
      <c r="B15" s="36" t="n">
        <f aca="false">SUMIF(Monthly!$C$5:$AL$5,B$11,Monthly!$C$40:$AL$40)</f>
        <v>-931495.61984</v>
      </c>
      <c r="C15" s="36" t="n">
        <f aca="false">SUMIF(Monthly!$C$5:$AL$5,C$11,Monthly!$C$40:$AL$40)</f>
        <v>-990021.961472</v>
      </c>
      <c r="D15" s="36" t="n">
        <f aca="false">SUMIF(Monthly!$C$5:$AL$5,D$11,Monthly!$C$40:$AL$40)</f>
        <v>-1052480.54694088</v>
      </c>
    </row>
    <row r="16" customFormat="false" ht="15" hidden="false" customHeight="false" outlineLevel="0" collapsed="false">
      <c r="A16" s="37" t="s">
        <v>46</v>
      </c>
      <c r="B16" s="38" t="n">
        <f aca="false">SUMIF(Monthly!$C$5:$AL$5,B$11,Monthly!$C$41:$AL$41)</f>
        <v>145732.035931429</v>
      </c>
      <c r="C16" s="38" t="n">
        <f aca="false">SUMIF(Monthly!$C$5:$AL$5,C$11,Monthly!$C$41:$AL$41)</f>
        <v>193289.208996572</v>
      </c>
      <c r="D16" s="38" t="n">
        <f aca="false">SUMIF(Monthly!$C$5:$AL$5,D$11,Monthly!$C$41:$AL$41)</f>
        <v>233403.120666446</v>
      </c>
      <c r="E16" s="37"/>
      <c r="F16" s="37"/>
    </row>
    <row r="17" customFormat="false" ht="15" hidden="false" customHeight="false" outlineLevel="0" collapsed="false">
      <c r="A17" s="39" t="s">
        <v>47</v>
      </c>
      <c r="B17" s="40" t="n">
        <f aca="false">IF(B12=0,0,B16/B12)</f>
        <v>0.0923496707595691</v>
      </c>
      <c r="C17" s="40" t="n">
        <f aca="false">IF(C12=0,0,C16/C12)</f>
        <v>0.111317833858582</v>
      </c>
      <c r="D17" s="40" t="n">
        <f aca="false">IF(D12=0,0,D16/D12)</f>
        <v>0.123483074424667</v>
      </c>
    </row>
    <row r="18" customFormat="false" ht="15" hidden="false" customHeight="false" outlineLevel="0" collapsed="false">
      <c r="A18" s="41" t="s">
        <v>48</v>
      </c>
      <c r="B18" s="42" t="n">
        <f aca="false">SUMIF(Monthly!$C$5:$AL$5,B$11,Monthly!$C$50:$AL$50)</f>
        <v>100050.562750908</v>
      </c>
      <c r="C18" s="42" t="n">
        <f aca="false">SUMIF(Monthly!$C$5:$AL$5,C$11,Monthly!$C$50:$AL$50)</f>
        <v>137835.565583482</v>
      </c>
      <c r="D18" s="42" t="n">
        <f aca="false">SUMIF(Monthly!$C$5:$AL$5,D$11,Monthly!$C$50:$AL$50)</f>
        <v>169019.955802683</v>
      </c>
      <c r="E18" s="41"/>
      <c r="F18" s="41"/>
    </row>
    <row r="19" customFormat="false" ht="15" hidden="false" customHeight="false" outlineLevel="0" collapsed="false">
      <c r="A19" s="39" t="s">
        <v>49</v>
      </c>
      <c r="B19" s="40" t="n">
        <f aca="false">IF(B12=0,0,B18/B12)</f>
        <v>0.0634015470263758</v>
      </c>
      <c r="C19" s="40" t="n">
        <f aca="false">IF(C12=0,0,C18/C12)</f>
        <v>0.0793813408885021</v>
      </c>
      <c r="D19" s="40" t="n">
        <f aca="false">IF(D12=0,0,D18/D12)</f>
        <v>0.0894208428835164</v>
      </c>
    </row>
    <row r="20" customFormat="false" ht="15" hidden="false" customHeight="false" outlineLevel="0" collapsed="false">
      <c r="A20" s="6" t="s">
        <v>50</v>
      </c>
      <c r="B20" s="36" t="n">
        <f aca="false">SUMIF(Monthly!$C$5:$AL$5,B$11,Monthly!$C$74:$AL$74)</f>
        <v>101363.957036622</v>
      </c>
      <c r="C20" s="36" t="n">
        <f aca="false">SUMIF(Monthly!$C$5:$AL$5,C$11,Monthly!$C$74:$AL$74)</f>
        <v>150896.600845958</v>
      </c>
      <c r="D20" s="36" t="n">
        <f aca="false">SUMIF(Monthly!$C$5:$AL$5,D$11,Monthly!$C$74:$AL$74)</f>
        <v>184000.33398074</v>
      </c>
    </row>
    <row r="21" customFormat="false" ht="15" hidden="false" customHeight="false" outlineLevel="0" collapsed="false">
      <c r="A21" s="6" t="s">
        <v>51</v>
      </c>
      <c r="B21" s="36" t="n">
        <f aca="false">SUMIF(Monthly!$C$5:$AL$5,B$11,Monthly!$C$75:$AL$75)</f>
        <v>-90000</v>
      </c>
      <c r="C21" s="36" t="n">
        <f aca="false">SUMIF(Monthly!$C$5:$AL$5,C$11,Monthly!$C$75:$AL$75)</f>
        <v>-14000</v>
      </c>
      <c r="D21" s="36" t="n">
        <f aca="false">SUMIF(Monthly!$C$5:$AL$5,D$11,Monthly!$C$75:$AL$75)</f>
        <v>-14000</v>
      </c>
    </row>
    <row r="22" customFormat="false" ht="15" hidden="false" customHeight="false" outlineLevel="0" collapsed="false">
      <c r="A22" s="6" t="s">
        <v>52</v>
      </c>
      <c r="B22" s="36" t="n">
        <f aca="false">SUMIF(Monthly!$C$5:$AL$5,B$11,Monthly!$C$77:$AL$77)</f>
        <v>125333.333333333</v>
      </c>
      <c r="C22" s="36" t="n">
        <f aca="false">SUMIF(Monthly!$C$5:$AL$5,C$11,Monthly!$C$77:$AL$77)</f>
        <v>-16000</v>
      </c>
      <c r="D22" s="36" t="n">
        <f aca="false">SUMIF(Monthly!$C$5:$AL$5,D$11,Monthly!$C$77:$AL$77)</f>
        <v>-16000</v>
      </c>
    </row>
    <row r="23" customFormat="false" ht="15" hidden="false" customHeight="false" outlineLevel="0" collapsed="false">
      <c r="A23" s="37" t="s">
        <v>53</v>
      </c>
      <c r="B23" s="38" t="n">
        <f aca="false">SUMIF(Monthly!$C$5:$AL$5,B$11,Monthly!$C$78:$AL$78)</f>
        <v>136697.290369956</v>
      </c>
      <c r="C23" s="38" t="n">
        <f aca="false">SUMIF(Monthly!$C$5:$AL$5,C$11,Monthly!$C$78:$AL$78)</f>
        <v>120896.600845958</v>
      </c>
      <c r="D23" s="38" t="n">
        <f aca="false">SUMIF(Monthly!$C$5:$AL$5,D$11,Monthly!$C$78:$AL$78)</f>
        <v>154000.33398074</v>
      </c>
      <c r="E23" s="37"/>
      <c r="F23" s="37"/>
    </row>
    <row r="24" customFormat="false" ht="15" hidden="false" customHeight="false" outlineLevel="0" collapsed="false">
      <c r="A24" s="41" t="s">
        <v>54</v>
      </c>
      <c r="B24" s="42" t="n">
        <f aca="false">INDEX(Monthly!$C$80:$AL$80,B$11*12)</f>
        <v>136697.290369956</v>
      </c>
      <c r="C24" s="42" t="n">
        <f aca="false">INDEX(Monthly!$C$80:$AL$80,C$11*12)</f>
        <v>257593.891215914</v>
      </c>
      <c r="D24" s="42" t="n">
        <f aca="false">INDEX(Monthly!$C$80:$AL$80,D$11*12)</f>
        <v>411594.225196654</v>
      </c>
      <c r="E24" s="41"/>
      <c r="F24" s="41"/>
    </row>
    <row r="26" customFormat="false" ht="15.75" hidden="false" customHeight="true" outlineLevel="0" collapsed="false">
      <c r="A26" s="7" t="s">
        <v>55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56</v>
      </c>
      <c r="B28" s="36" t="n">
        <f aca="false">KPIs!B35</f>
        <v>1134382.08</v>
      </c>
      <c r="C28" s="36" t="n">
        <f aca="false">KPIs!C35</f>
        <v>1218082.944</v>
      </c>
      <c r="D28" s="36" t="n">
        <f aca="false">KPIs!D35</f>
        <v>1292264.1952896</v>
      </c>
    </row>
    <row r="29" customFormat="false" ht="15" hidden="false" customHeight="false" outlineLevel="0" collapsed="false">
      <c r="A29" s="6" t="s">
        <v>57</v>
      </c>
      <c r="B29" s="36" t="n">
        <f aca="false">KPIs!B36</f>
        <v>443664</v>
      </c>
      <c r="C29" s="36" t="n">
        <f aca="false">KPIs!C36</f>
        <v>518289.408</v>
      </c>
      <c r="D29" s="36" t="n">
        <f aca="false">KPIs!D36</f>
        <v>597898.6610688</v>
      </c>
    </row>
    <row r="30" customFormat="false" ht="15" hidden="false" customHeight="false" outlineLevel="0" collapsed="false">
      <c r="A30" s="6" t="s">
        <v>58</v>
      </c>
      <c r="B30" s="43" t="n">
        <f aca="false">KPIs!B31</f>
        <v>316.16</v>
      </c>
      <c r="C30" s="43" t="n">
        <f aca="false">KPIs!C31</f>
        <v>329.6</v>
      </c>
      <c r="D30" s="43" t="n">
        <f aca="false">KPIs!D31</f>
        <v>339.488</v>
      </c>
    </row>
    <row r="31" customFormat="false" ht="15" hidden="false" customHeight="false" outlineLevel="0" collapsed="false">
      <c r="A31" s="6" t="s">
        <v>59</v>
      </c>
      <c r="B31" s="44" t="n">
        <f aca="false">KPIs!B33</f>
        <v>16</v>
      </c>
      <c r="C31" s="44" t="n">
        <f aca="false">KPIs!C33</f>
        <v>17.92</v>
      </c>
      <c r="D31" s="44" t="n">
        <f aca="false">KPIs!D33</f>
        <v>20.0704</v>
      </c>
    </row>
    <row r="32" customFormat="false" ht="15" hidden="false" customHeight="false" outlineLevel="0" collapsed="false">
      <c r="A32" s="6" t="s">
        <v>60</v>
      </c>
      <c r="B32" s="44" t="n">
        <f aca="false">INDEX(Headcount!$C$11:$AL$11,B$27*12)</f>
        <v>13.5</v>
      </c>
      <c r="C32" s="44" t="n">
        <f aca="false">INDEX(Headcount!$C$11:$AL$11,C$27*12)</f>
        <v>14.22</v>
      </c>
      <c r="D32" s="44" t="n">
        <f aca="false">INDEX(Headcount!$C$11:$AL$11,D$27*12)</f>
        <v>14.9832</v>
      </c>
    </row>
    <row r="34" customFormat="false" ht="15.75" hidden="false" customHeight="true" outlineLevel="0" collapsed="false">
      <c r="A34" s="7" t="s">
        <v>61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62</v>
      </c>
      <c r="B35" s="45"/>
      <c r="C35" s="45"/>
      <c r="D35" s="45"/>
      <c r="E35" s="45"/>
      <c r="F35" s="46" t="n">
        <f aca="false">Inputs!$E$58</f>
        <v>60000</v>
      </c>
    </row>
    <row r="36" customFormat="false" ht="15" hidden="false" customHeight="false" outlineLevel="0" collapsed="false">
      <c r="A36" s="6" t="s">
        <v>63</v>
      </c>
      <c r="B36" s="45"/>
      <c r="C36" s="45"/>
      <c r="D36" s="45"/>
      <c r="E36" s="45"/>
      <c r="F36" s="46" t="n">
        <f aca="false">Inputs!$E$59</f>
        <v>80000</v>
      </c>
    </row>
    <row r="37" customFormat="false" ht="15" hidden="false" customHeight="false" outlineLevel="0" collapsed="false">
      <c r="A37" s="6" t="s">
        <v>64</v>
      </c>
      <c r="B37" s="45"/>
      <c r="C37" s="45"/>
      <c r="D37" s="45"/>
      <c r="E37" s="45"/>
      <c r="F37" s="46" t="n">
        <f aca="false">'Break-even'!B12</f>
        <v>329781.609248305</v>
      </c>
    </row>
    <row r="38" customFormat="false" ht="15" hidden="false" customHeight="false" outlineLevel="0" collapsed="false">
      <c r="A38" s="37" t="s">
        <v>65</v>
      </c>
      <c r="B38" s="37"/>
      <c r="C38" s="37"/>
      <c r="D38" s="37"/>
      <c r="E38" s="37"/>
      <c r="F38" s="38" t="n">
        <f aca="false">'Break-even'!B17</f>
        <v>-189781.609248305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1)</v>
      </c>
      <c r="B39" s="45"/>
      <c r="C39" s="45"/>
      <c r="D39" s="45"/>
      <c r="E39" s="45"/>
      <c r="F39" s="46" t="n">
        <f aca="false">'Break-even'!B18</f>
        <v>43218.3907516952</v>
      </c>
    </row>
    <row r="40" customFormat="false" ht="15" hidden="false" customHeight="false" outlineLevel="0" collapsed="false">
      <c r="A40" s="6" t="s">
        <v>66</v>
      </c>
      <c r="B40" s="45"/>
      <c r="C40" s="45"/>
      <c r="D40" s="45"/>
      <c r="E40" s="45"/>
      <c r="F40" s="47" t="n">
        <f aca="false">'Break-even'!B21</f>
        <v>1</v>
      </c>
    </row>
    <row r="41" customFormat="false" ht="15" hidden="false" customHeight="false" outlineLevel="0" collapsed="false">
      <c r="A41" s="6" t="s">
        <v>67</v>
      </c>
      <c r="B41" s="45"/>
      <c r="C41" s="45"/>
      <c r="D41" s="45"/>
      <c r="E41" s="45"/>
      <c r="F41" s="47" t="n">
        <f aca="false">'Break-even'!B23</f>
        <v>12</v>
      </c>
    </row>
    <row r="42" customFormat="false" ht="15" hidden="false" customHeight="false" outlineLevel="0" collapsed="false">
      <c r="A42" s="6" t="s">
        <v>68</v>
      </c>
      <c r="B42" s="45"/>
      <c r="C42" s="45"/>
      <c r="D42" s="45"/>
      <c r="E42" s="45"/>
      <c r="F42" s="46" t="n">
        <f aca="false">Valuation!B27</f>
        <v>1035783.26510231</v>
      </c>
    </row>
    <row r="43" customFormat="false" ht="15" hidden="false" customHeight="false" outlineLevel="0" collapsed="false">
      <c r="A43" s="6" t="s">
        <v>69</v>
      </c>
      <c r="B43" s="45"/>
      <c r="C43" s="45"/>
      <c r="D43" s="45"/>
      <c r="E43" s="45"/>
      <c r="F43" s="46" t="n">
        <f aca="false">Valuation!C27</f>
        <v>1051749.45307936</v>
      </c>
    </row>
    <row r="44" customFormat="false" ht="15" hidden="false" customHeight="false" outlineLevel="0" collapsed="false">
      <c r="A44" s="41" t="s">
        <v>70</v>
      </c>
      <c r="B44" s="41"/>
      <c r="C44" s="41"/>
      <c r="D44" s="41"/>
      <c r="E44" s="41"/>
      <c r="F44" s="42" t="n">
        <f aca="false">Valuation!B30</f>
        <v>1043766.35909083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71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72</v>
      </c>
      <c r="R2" s="48" t="n">
        <v>1</v>
      </c>
      <c r="S2" s="48"/>
    </row>
    <row r="5" customFormat="false" ht="15.75" hidden="false" customHeight="true" outlineLevel="0" collapsed="false">
      <c r="A5" s="7" t="s">
        <v>73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49" t="n">
        <f aca="false">INDEX(Monthly!$C$4:$AL$4,($R$2-1)*12+1)</f>
        <v>1</v>
      </c>
      <c r="I6" s="49" t="n">
        <f aca="false">INDEX(Monthly!$C$4:$AL$4,($R$2-1)*12+2)</f>
        <v>2</v>
      </c>
      <c r="J6" s="49" t="n">
        <f aca="false">INDEX(Monthly!$C$4:$AL$4,($R$2-1)*12+3)</f>
        <v>3</v>
      </c>
      <c r="K6" s="49" t="n">
        <f aca="false">INDEX(Monthly!$C$4:$AL$4,($R$2-1)*12+4)</f>
        <v>4</v>
      </c>
      <c r="L6" s="49" t="n">
        <f aca="false">INDEX(Monthly!$C$4:$AL$4,($R$2-1)*12+5)</f>
        <v>5</v>
      </c>
      <c r="M6" s="49" t="n">
        <f aca="false">INDEX(Monthly!$C$4:$AL$4,($R$2-1)*12+6)</f>
        <v>6</v>
      </c>
      <c r="N6" s="49" t="n">
        <f aca="false">INDEX(Monthly!$C$4:$AL$4,($R$2-1)*12+7)</f>
        <v>7</v>
      </c>
      <c r="O6" s="49" t="n">
        <f aca="false">INDEX(Monthly!$C$4:$AL$4,($R$2-1)*12+8)</f>
        <v>8</v>
      </c>
      <c r="P6" s="49" t="n">
        <f aca="false">INDEX(Monthly!$C$4:$AL$4,($R$2-1)*12+9)</f>
        <v>9</v>
      </c>
      <c r="Q6" s="49" t="n">
        <f aca="false">INDEX(Monthly!$C$4:$AL$4,($R$2-1)*12+10)</f>
        <v>10</v>
      </c>
      <c r="R6" s="49" t="n">
        <f aca="false">INDEX(Monthly!$C$4:$AL$4,($R$2-1)*12+11)</f>
        <v>11</v>
      </c>
      <c r="S6" s="49" t="n">
        <f aca="false">INDEX(Monthly!$C$4:$AL$4,($R$2-1)*12+12)</f>
        <v>12</v>
      </c>
    </row>
    <row r="7" customFormat="false" ht="15" hidden="false" customHeight="false" outlineLevel="0" collapsed="false">
      <c r="A7" s="50" t="s">
        <v>42</v>
      </c>
      <c r="B7" s="36" t="n">
        <f aca="false">'P&amp;L'!B5</f>
        <v>1578046.08</v>
      </c>
      <c r="C7" s="36" t="n">
        <f aca="false">'P&amp;L'!C5</f>
        <v>1736372.352</v>
      </c>
      <c r="D7" s="36" t="n">
        <f aca="false">'P&amp;L'!D5</f>
        <v>1890162.8563584</v>
      </c>
      <c r="H7" s="36" t="n">
        <f aca="false">INDEX(Monthly!$C$22:$AL$22,($R$2-1)*12+1)</f>
        <v>116363.52</v>
      </c>
      <c r="I7" s="36" t="n">
        <f aca="false">INDEX(Monthly!$C$22:$AL$22,($R$2-1)*12+2)</f>
        <v>122828.16</v>
      </c>
      <c r="J7" s="36" t="n">
        <f aca="false">INDEX(Monthly!$C$22:$AL$22,($R$2-1)*12+3)</f>
        <v>129292.8</v>
      </c>
      <c r="K7" s="36" t="n">
        <f aca="false">INDEX(Monthly!$C$22:$AL$22,($R$2-1)*12+4)</f>
        <v>129292.8</v>
      </c>
      <c r="L7" s="36" t="n">
        <f aca="false">INDEX(Monthly!$C$22:$AL$22,($R$2-1)*12+5)</f>
        <v>129292.8</v>
      </c>
      <c r="M7" s="36" t="n">
        <f aca="false">INDEX(Monthly!$C$22:$AL$22,($R$2-1)*12+6)</f>
        <v>129292.8</v>
      </c>
      <c r="N7" s="36" t="n">
        <f aca="false">INDEX(Monthly!$C$22:$AL$22,($R$2-1)*12+7)</f>
        <v>129292.8</v>
      </c>
      <c r="O7" s="36" t="n">
        <f aca="false">INDEX(Monthly!$C$22:$AL$22,($R$2-1)*12+8)</f>
        <v>129292.8</v>
      </c>
      <c r="P7" s="36" t="n">
        <f aca="false">INDEX(Monthly!$C$22:$AL$22,($R$2-1)*12+9)</f>
        <v>129292.8</v>
      </c>
      <c r="Q7" s="36" t="n">
        <f aca="false">INDEX(Monthly!$C$22:$AL$22,($R$2-1)*12+10)</f>
        <v>129292.8</v>
      </c>
      <c r="R7" s="36" t="n">
        <f aca="false">INDEX(Monthly!$C$22:$AL$22,($R$2-1)*12+11)</f>
        <v>152256</v>
      </c>
      <c r="S7" s="36" t="n">
        <f aca="false">INDEX(Monthly!$C$22:$AL$22,($R$2-1)*12+12)</f>
        <v>152256</v>
      </c>
    </row>
    <row r="8" customFormat="false" ht="15" hidden="false" customHeight="false" outlineLevel="0" collapsed="false">
      <c r="A8" s="50" t="s">
        <v>74</v>
      </c>
      <c r="B8" s="36" t="n">
        <f aca="false">'P&amp;L'!B6</f>
        <v>-500818.424228572</v>
      </c>
      <c r="C8" s="36" t="n">
        <f aca="false">'P&amp;L'!C6</f>
        <v>-553061.181531429</v>
      </c>
      <c r="D8" s="36" t="n">
        <f aca="false">'P&amp;L'!D6</f>
        <v>-604279.188751077</v>
      </c>
      <c r="H8" s="36" t="n">
        <f aca="false">INDEX(Monthly!$C$28:$AL$28,($R$2-1)*12+1)</f>
        <v>-36994.8260571429</v>
      </c>
      <c r="I8" s="36" t="n">
        <f aca="false">INDEX(Monthly!$C$28:$AL$28,($R$2-1)*12+2)</f>
        <v>-39050.0941714286</v>
      </c>
      <c r="J8" s="36" t="n">
        <f aca="false">INDEX(Monthly!$C$28:$AL$28,($R$2-1)*12+3)</f>
        <v>-41105.3622857143</v>
      </c>
      <c r="K8" s="36" t="n">
        <f aca="false">INDEX(Monthly!$C$28:$AL$28,($R$2-1)*12+4)</f>
        <v>-41105.3622857143</v>
      </c>
      <c r="L8" s="36" t="n">
        <f aca="false">INDEX(Monthly!$C$28:$AL$28,($R$2-1)*12+5)</f>
        <v>-41105.3622857143</v>
      </c>
      <c r="M8" s="36" t="n">
        <f aca="false">INDEX(Monthly!$C$28:$AL$28,($R$2-1)*12+6)</f>
        <v>-41105.3622857143</v>
      </c>
      <c r="N8" s="36" t="n">
        <f aca="false">INDEX(Monthly!$C$28:$AL$28,($R$2-1)*12+7)</f>
        <v>-41105.3622857143</v>
      </c>
      <c r="O8" s="36" t="n">
        <f aca="false">INDEX(Monthly!$C$28:$AL$28,($R$2-1)*12+8)</f>
        <v>-41105.3622857143</v>
      </c>
      <c r="P8" s="36" t="n">
        <f aca="false">INDEX(Monthly!$C$28:$AL$28,($R$2-1)*12+9)</f>
        <v>-41105.3622857143</v>
      </c>
      <c r="Q8" s="36" t="n">
        <f aca="false">INDEX(Monthly!$C$28:$AL$28,($R$2-1)*12+10)</f>
        <v>-41105.3622857143</v>
      </c>
      <c r="R8" s="36" t="n">
        <f aca="false">INDEX(Monthly!$C$28:$AL$28,($R$2-1)*12+11)</f>
        <v>-47965.3028571429</v>
      </c>
      <c r="S8" s="36" t="n">
        <f aca="false">INDEX(Monthly!$C$28:$AL$28,($R$2-1)*12+12)</f>
        <v>-47965.3028571429</v>
      </c>
    </row>
    <row r="9" customFormat="false" ht="15" hidden="false" customHeight="false" outlineLevel="0" collapsed="false">
      <c r="A9" s="37" t="s">
        <v>43</v>
      </c>
      <c r="B9" s="38" t="n">
        <f aca="false">'P&amp;L'!B7</f>
        <v>1077227.65577143</v>
      </c>
      <c r="C9" s="38" t="n">
        <f aca="false">'P&amp;L'!C7</f>
        <v>1183311.17046857</v>
      </c>
      <c r="D9" s="38" t="n">
        <f aca="false">'P&amp;L'!D7</f>
        <v>1285883.66760732</v>
      </c>
      <c r="E9" s="37"/>
      <c r="F9" s="37"/>
      <c r="H9" s="38" t="n">
        <f aca="false">INDEX(Monthly!$C$29:$AL$29,($R$2-1)*12+1)</f>
        <v>79368.6939428572</v>
      </c>
      <c r="I9" s="38" t="n">
        <f aca="false">INDEX(Monthly!$C$29:$AL$29,($R$2-1)*12+2)</f>
        <v>83778.0658285714</v>
      </c>
      <c r="J9" s="38" t="n">
        <f aca="false">INDEX(Monthly!$C$29:$AL$29,($R$2-1)*12+3)</f>
        <v>88187.4377142857</v>
      </c>
      <c r="K9" s="38" t="n">
        <f aca="false">INDEX(Monthly!$C$29:$AL$29,($R$2-1)*12+4)</f>
        <v>88187.4377142857</v>
      </c>
      <c r="L9" s="38" t="n">
        <f aca="false">INDEX(Monthly!$C$29:$AL$29,($R$2-1)*12+5)</f>
        <v>88187.4377142857</v>
      </c>
      <c r="M9" s="38" t="n">
        <f aca="false">INDEX(Monthly!$C$29:$AL$29,($R$2-1)*12+6)</f>
        <v>88187.4377142857</v>
      </c>
      <c r="N9" s="38" t="n">
        <f aca="false">INDEX(Monthly!$C$29:$AL$29,($R$2-1)*12+7)</f>
        <v>88187.4377142857</v>
      </c>
      <c r="O9" s="38" t="n">
        <f aca="false">INDEX(Monthly!$C$29:$AL$29,($R$2-1)*12+8)</f>
        <v>88187.4377142857</v>
      </c>
      <c r="P9" s="38" t="n">
        <f aca="false">INDEX(Monthly!$C$29:$AL$29,($R$2-1)*12+9)</f>
        <v>88187.4377142857</v>
      </c>
      <c r="Q9" s="38" t="n">
        <f aca="false">INDEX(Monthly!$C$29:$AL$29,($R$2-1)*12+10)</f>
        <v>88187.4377142857</v>
      </c>
      <c r="R9" s="38" t="n">
        <f aca="false">INDEX(Monthly!$C$29:$AL$29,($R$2-1)*12+11)</f>
        <v>104290.697142857</v>
      </c>
      <c r="S9" s="38" t="n">
        <f aca="false">INDEX(Monthly!$C$29:$AL$29,($R$2-1)*12+12)</f>
        <v>104290.697142857</v>
      </c>
    </row>
    <row r="10" customFormat="false" ht="15" hidden="false" customHeight="false" outlineLevel="0" collapsed="false">
      <c r="A10" s="39" t="s">
        <v>44</v>
      </c>
      <c r="B10" s="40" t="n">
        <f aca="false">'P&amp;L'!B8</f>
        <v>0.68263384030676</v>
      </c>
      <c r="C10" s="40" t="n">
        <f aca="false">'P&amp;L'!C8</f>
        <v>0.681484687950486</v>
      </c>
      <c r="D10" s="40" t="n">
        <f aca="false">'P&amp;L'!D8</f>
        <v>0.680303108952588</v>
      </c>
      <c r="H10" s="40" t="n">
        <f aca="false">IF(H7=0,0,H9/H7)</f>
        <v>0.682075395646824</v>
      </c>
      <c r="I10" s="40" t="n">
        <f aca="false">IF(I7=0,0,I9/I7)</f>
        <v>0.682075395646824</v>
      </c>
      <c r="J10" s="40" t="n">
        <f aca="false">IF(J7=0,0,J9/J7)</f>
        <v>0.682075395646824</v>
      </c>
      <c r="K10" s="40" t="n">
        <f aca="false">IF(K7=0,0,K9/K7)</f>
        <v>0.682075395646824</v>
      </c>
      <c r="L10" s="40" t="n">
        <f aca="false">IF(L7=0,0,L9/L7)</f>
        <v>0.682075395646824</v>
      </c>
      <c r="M10" s="40" t="n">
        <f aca="false">IF(M7=0,0,M9/M7)</f>
        <v>0.682075395646824</v>
      </c>
      <c r="N10" s="40" t="n">
        <f aca="false">IF(N7=0,0,N9/N7)</f>
        <v>0.682075395646824</v>
      </c>
      <c r="O10" s="40" t="n">
        <f aca="false">IF(O7=0,0,O9/O7)</f>
        <v>0.682075395646824</v>
      </c>
      <c r="P10" s="40" t="n">
        <f aca="false">IF(P7=0,0,P9/P7)</f>
        <v>0.682075395646824</v>
      </c>
      <c r="Q10" s="40" t="n">
        <f aca="false">IF(Q7=0,0,Q9/Q7)</f>
        <v>0.682075395646824</v>
      </c>
      <c r="R10" s="40" t="n">
        <f aca="false">IF(R7=0,0,R9/R7)</f>
        <v>0.684969374887408</v>
      </c>
      <c r="S10" s="40" t="n">
        <f aca="false">IF(S7=0,0,S9/S7)</f>
        <v>0.684969374887408</v>
      </c>
    </row>
    <row r="11" customFormat="false" ht="15" hidden="false" customHeight="false" outlineLevel="0" collapsed="false">
      <c r="A11" s="50" t="s">
        <v>75</v>
      </c>
      <c r="B11" s="36" t="n">
        <f aca="false">'P&amp;L'!B17</f>
        <v>-931495.61984</v>
      </c>
      <c r="C11" s="36" t="n">
        <f aca="false">'P&amp;L'!C17</f>
        <v>-990021.961472</v>
      </c>
      <c r="D11" s="36" t="n">
        <f aca="false">'P&amp;L'!D17</f>
        <v>-1052480.54694088</v>
      </c>
      <c r="H11" s="36" t="n">
        <f aca="false">INDEX(Monthly!$C$40:$AL$40,($R$2-1)*12+1)</f>
        <v>-76716.6276266667</v>
      </c>
      <c r="I11" s="36" t="n">
        <f aca="false">INDEX(Monthly!$C$40:$AL$40,($R$2-1)*12+2)</f>
        <v>-77130.5143466667</v>
      </c>
      <c r="J11" s="36" t="n">
        <f aca="false">INDEX(Monthly!$C$40:$AL$40,($R$2-1)*12+3)</f>
        <v>-77544.4010666667</v>
      </c>
      <c r="K11" s="36" t="n">
        <f aca="false">INDEX(Monthly!$C$40:$AL$40,($R$2-1)*12+4)</f>
        <v>-77544.4010666667</v>
      </c>
      <c r="L11" s="36" t="n">
        <f aca="false">INDEX(Monthly!$C$40:$AL$40,($R$2-1)*12+5)</f>
        <v>-77544.4010666667</v>
      </c>
      <c r="M11" s="36" t="n">
        <f aca="false">INDEX(Monthly!$C$40:$AL$40,($R$2-1)*12+6)</f>
        <v>-77544.4010666667</v>
      </c>
      <c r="N11" s="36" t="n">
        <f aca="false">INDEX(Monthly!$C$40:$AL$40,($R$2-1)*12+7)</f>
        <v>-77544.4010666667</v>
      </c>
      <c r="O11" s="36" t="n">
        <f aca="false">INDEX(Monthly!$C$40:$AL$40,($R$2-1)*12+8)</f>
        <v>-77544.4010666667</v>
      </c>
      <c r="P11" s="36" t="n">
        <f aca="false">INDEX(Monthly!$C$40:$AL$40,($R$2-1)*12+9)</f>
        <v>-77544.4010666667</v>
      </c>
      <c r="Q11" s="36" t="n">
        <f aca="false">INDEX(Monthly!$C$40:$AL$40,($R$2-1)*12+10)</f>
        <v>-77544.4010666667</v>
      </c>
      <c r="R11" s="36" t="n">
        <f aca="false">INDEX(Monthly!$C$40:$AL$40,($R$2-1)*12+11)</f>
        <v>-78646.6346666667</v>
      </c>
      <c r="S11" s="36" t="n">
        <f aca="false">INDEX(Monthly!$C$40:$AL$40,($R$2-1)*12+12)</f>
        <v>-78646.6346666667</v>
      </c>
    </row>
    <row r="12" customFormat="false" ht="15" hidden="false" customHeight="false" outlineLevel="0" collapsed="false">
      <c r="A12" s="37" t="s">
        <v>46</v>
      </c>
      <c r="B12" s="38" t="n">
        <f aca="false">'P&amp;L'!B18</f>
        <v>145732.035931429</v>
      </c>
      <c r="C12" s="38" t="n">
        <f aca="false">'P&amp;L'!C18</f>
        <v>193289.208996572</v>
      </c>
      <c r="D12" s="38" t="n">
        <f aca="false">'P&amp;L'!D18</f>
        <v>233403.120666446</v>
      </c>
      <c r="E12" s="37"/>
      <c r="F12" s="37"/>
      <c r="H12" s="38" t="n">
        <f aca="false">INDEX(Monthly!$C$41:$AL$41,($R$2-1)*12+1)</f>
        <v>2652.0663161905</v>
      </c>
      <c r="I12" s="38" t="n">
        <f aca="false">INDEX(Monthly!$C$41:$AL$41,($R$2-1)*12+2)</f>
        <v>6647.55148190475</v>
      </c>
      <c r="J12" s="38" t="n">
        <f aca="false">INDEX(Monthly!$C$41:$AL$41,($R$2-1)*12+3)</f>
        <v>10643.0366476191</v>
      </c>
      <c r="K12" s="38" t="n">
        <f aca="false">INDEX(Monthly!$C$41:$AL$41,($R$2-1)*12+4)</f>
        <v>10643.0366476191</v>
      </c>
      <c r="L12" s="38" t="n">
        <f aca="false">INDEX(Monthly!$C$41:$AL$41,($R$2-1)*12+5)</f>
        <v>10643.0366476191</v>
      </c>
      <c r="M12" s="38" t="n">
        <f aca="false">INDEX(Monthly!$C$41:$AL$41,($R$2-1)*12+6)</f>
        <v>10643.0366476191</v>
      </c>
      <c r="N12" s="38" t="n">
        <f aca="false">INDEX(Monthly!$C$41:$AL$41,($R$2-1)*12+7)</f>
        <v>10643.0366476191</v>
      </c>
      <c r="O12" s="38" t="n">
        <f aca="false">INDEX(Monthly!$C$41:$AL$41,($R$2-1)*12+8)</f>
        <v>10643.0366476191</v>
      </c>
      <c r="P12" s="38" t="n">
        <f aca="false">INDEX(Monthly!$C$41:$AL$41,($R$2-1)*12+9)</f>
        <v>10643.0366476191</v>
      </c>
      <c r="Q12" s="38" t="n">
        <f aca="false">INDEX(Monthly!$C$41:$AL$41,($R$2-1)*12+10)</f>
        <v>10643.0366476191</v>
      </c>
      <c r="R12" s="38" t="n">
        <f aca="false">INDEX(Monthly!$C$41:$AL$41,($R$2-1)*12+11)</f>
        <v>25644.0624761905</v>
      </c>
      <c r="S12" s="38" t="n">
        <f aca="false">INDEX(Monthly!$C$41:$AL$41,($R$2-1)*12+12)</f>
        <v>25644.0624761905</v>
      </c>
    </row>
    <row r="13" customFormat="false" ht="15" hidden="false" customHeight="false" outlineLevel="0" collapsed="false">
      <c r="A13" s="39" t="s">
        <v>47</v>
      </c>
      <c r="B13" s="40" t="n">
        <f aca="false">'P&amp;L'!B19</f>
        <v>0.0923496707595691</v>
      </c>
      <c r="C13" s="40" t="n">
        <f aca="false">'P&amp;L'!C19</f>
        <v>0.111317833858582</v>
      </c>
      <c r="D13" s="40" t="n">
        <f aca="false">'P&amp;L'!D19</f>
        <v>0.123483074424667</v>
      </c>
      <c r="H13" s="40" t="n">
        <f aca="false">IF(H7=0,0,H12/H7)</f>
        <v>0.0227912176959798</v>
      </c>
      <c r="I13" s="40" t="n">
        <f aca="false">IF(I7=0,0,I12/I7)</f>
        <v>0.0541207446395416</v>
      </c>
      <c r="J13" s="40" t="n">
        <f aca="false">IF(J7=0,0,J12/J7)</f>
        <v>0.0823173188887475</v>
      </c>
      <c r="K13" s="40" t="n">
        <f aca="false">IF(K7=0,0,K12/K7)</f>
        <v>0.0823173188887475</v>
      </c>
      <c r="L13" s="40" t="n">
        <f aca="false">IF(L7=0,0,L12/L7)</f>
        <v>0.0823173188887475</v>
      </c>
      <c r="M13" s="40" t="n">
        <f aca="false">IF(M7=0,0,M12/M7)</f>
        <v>0.0823173188887475</v>
      </c>
      <c r="N13" s="40" t="n">
        <f aca="false">IF(N7=0,0,N12/N7)</f>
        <v>0.0823173188887475</v>
      </c>
      <c r="O13" s="40" t="n">
        <f aca="false">IF(O7=0,0,O12/O7)</f>
        <v>0.0823173188887475</v>
      </c>
      <c r="P13" s="40" t="n">
        <f aca="false">IF(P7=0,0,P12/P7)</f>
        <v>0.0823173188887475</v>
      </c>
      <c r="Q13" s="40" t="n">
        <f aca="false">IF(Q7=0,0,Q12/Q7)</f>
        <v>0.0823173188887475</v>
      </c>
      <c r="R13" s="40" t="n">
        <f aca="false">IF(R7=0,0,R12/R7)</f>
        <v>0.168427270361697</v>
      </c>
      <c r="S13" s="40" t="n">
        <f aca="false">IF(S7=0,0,S12/S7)</f>
        <v>0.168427270361697</v>
      </c>
    </row>
    <row r="14" customFormat="false" ht="15" hidden="false" customHeight="false" outlineLevel="0" collapsed="false">
      <c r="A14" s="50" t="s">
        <v>76</v>
      </c>
      <c r="B14" s="36" t="n">
        <f aca="false">'P&amp;L'!B20</f>
        <v>-12857.1428571429</v>
      </c>
      <c r="C14" s="36" t="n">
        <f aca="false">'P&amp;L'!C20</f>
        <v>-13940.4761904762</v>
      </c>
      <c r="D14" s="36" t="n">
        <f aca="false">'P&amp;L'!D20</f>
        <v>-15940.4761904762</v>
      </c>
      <c r="H14" s="36" t="n">
        <f aca="false">INDEX(Monthly!$C$55:$AL$55,($R$2-1)*12+1)</f>
        <v>-1071.42857142857</v>
      </c>
      <c r="I14" s="36" t="n">
        <f aca="false">INDEX(Monthly!$C$55:$AL$55,($R$2-1)*12+2)</f>
        <v>-1071.42857142857</v>
      </c>
      <c r="J14" s="36" t="n">
        <f aca="false">INDEX(Monthly!$C$55:$AL$55,($R$2-1)*12+3)</f>
        <v>-1071.42857142857</v>
      </c>
      <c r="K14" s="36" t="n">
        <f aca="false">INDEX(Monthly!$C$55:$AL$55,($R$2-1)*12+4)</f>
        <v>-1071.42857142857</v>
      </c>
      <c r="L14" s="36" t="n">
        <f aca="false">INDEX(Monthly!$C$55:$AL$55,($R$2-1)*12+5)</f>
        <v>-1071.42857142857</v>
      </c>
      <c r="M14" s="36" t="n">
        <f aca="false">INDEX(Monthly!$C$55:$AL$55,($R$2-1)*12+6)</f>
        <v>-1071.42857142857</v>
      </c>
      <c r="N14" s="36" t="n">
        <f aca="false">INDEX(Monthly!$C$55:$AL$55,($R$2-1)*12+7)</f>
        <v>-1071.42857142857</v>
      </c>
      <c r="O14" s="36" t="n">
        <f aca="false">INDEX(Monthly!$C$55:$AL$55,($R$2-1)*12+8)</f>
        <v>-1071.42857142857</v>
      </c>
      <c r="P14" s="36" t="n">
        <f aca="false">INDEX(Monthly!$C$55:$AL$55,($R$2-1)*12+9)</f>
        <v>-1071.42857142857</v>
      </c>
      <c r="Q14" s="36" t="n">
        <f aca="false">INDEX(Monthly!$C$55:$AL$55,($R$2-1)*12+10)</f>
        <v>-1071.42857142857</v>
      </c>
      <c r="R14" s="36" t="n">
        <f aca="false">INDEX(Monthly!$C$55:$AL$55,($R$2-1)*12+11)</f>
        <v>-1071.42857142857</v>
      </c>
      <c r="S14" s="36" t="n">
        <f aca="false">INDEX(Monthly!$C$55:$AL$55,($R$2-1)*12+12)</f>
        <v>-1071.42857142857</v>
      </c>
    </row>
    <row r="15" customFormat="false" ht="15" hidden="false" customHeight="false" outlineLevel="0" collapsed="false">
      <c r="A15" s="37" t="s">
        <v>77</v>
      </c>
      <c r="B15" s="38" t="n">
        <f aca="false">'P&amp;L'!B21</f>
        <v>132874.893074286</v>
      </c>
      <c r="C15" s="38" t="n">
        <f aca="false">'P&amp;L'!C21</f>
        <v>179348.732806096</v>
      </c>
      <c r="D15" s="38" t="n">
        <f aca="false">'P&amp;L'!D21</f>
        <v>217462.64447597</v>
      </c>
      <c r="E15" s="37"/>
      <c r="F15" s="37"/>
      <c r="H15" s="38" t="n">
        <f aca="false">INDEX(Monthly!$C$44:$AL$44,($R$2-1)*12+1)</f>
        <v>1580.63774476192</v>
      </c>
      <c r="I15" s="38" t="n">
        <f aca="false">INDEX(Monthly!$C$44:$AL$44,($R$2-1)*12+2)</f>
        <v>5576.12291047618</v>
      </c>
      <c r="J15" s="38" t="n">
        <f aca="false">INDEX(Monthly!$C$44:$AL$44,($R$2-1)*12+3)</f>
        <v>9571.60807619048</v>
      </c>
      <c r="K15" s="38" t="n">
        <f aca="false">INDEX(Monthly!$C$44:$AL$44,($R$2-1)*12+4)</f>
        <v>9571.60807619048</v>
      </c>
      <c r="L15" s="38" t="n">
        <f aca="false">INDEX(Monthly!$C$44:$AL$44,($R$2-1)*12+5)</f>
        <v>9571.60807619048</v>
      </c>
      <c r="M15" s="38" t="n">
        <f aca="false">INDEX(Monthly!$C$44:$AL$44,($R$2-1)*12+6)</f>
        <v>9571.60807619048</v>
      </c>
      <c r="N15" s="38" t="n">
        <f aca="false">INDEX(Monthly!$C$44:$AL$44,($R$2-1)*12+7)</f>
        <v>9571.60807619048</v>
      </c>
      <c r="O15" s="38" t="n">
        <f aca="false">INDEX(Monthly!$C$44:$AL$44,($R$2-1)*12+8)</f>
        <v>9571.60807619048</v>
      </c>
      <c r="P15" s="38" t="n">
        <f aca="false">INDEX(Monthly!$C$44:$AL$44,($R$2-1)*12+9)</f>
        <v>9571.60807619048</v>
      </c>
      <c r="Q15" s="38" t="n">
        <f aca="false">INDEX(Monthly!$C$44:$AL$44,($R$2-1)*12+10)</f>
        <v>9571.60807619048</v>
      </c>
      <c r="R15" s="38" t="n">
        <f aca="false">INDEX(Monthly!$C$44:$AL$44,($R$2-1)*12+11)</f>
        <v>24572.6339047619</v>
      </c>
      <c r="S15" s="38" t="n">
        <f aca="false">INDEX(Monthly!$C$44:$AL$44,($R$2-1)*12+12)</f>
        <v>24572.6339047619</v>
      </c>
    </row>
    <row r="16" customFormat="false" ht="15" hidden="false" customHeight="false" outlineLevel="0" collapsed="false">
      <c r="A16" s="50" t="s">
        <v>78</v>
      </c>
      <c r="B16" s="36" t="n">
        <f aca="false">'P&amp;L'!B22</f>
        <v>-6228.61111111111</v>
      </c>
      <c r="C16" s="36" t="n">
        <f aca="false">'P&amp;L'!C22</f>
        <v>-4873.33333333334</v>
      </c>
      <c r="D16" s="36" t="n">
        <f aca="false">'P&amp;L'!D22</f>
        <v>-3513.33333333333</v>
      </c>
      <c r="H16" s="36" t="n">
        <f aca="false">INDEX(Monthly!$C$45:$AL$45,($R$2-1)*12+1)</f>
        <v>-566.666666666667</v>
      </c>
      <c r="I16" s="36" t="n">
        <f aca="false">INDEX(Monthly!$C$45:$AL$45,($R$2-1)*12+2)</f>
        <v>-561.944444444445</v>
      </c>
      <c r="J16" s="36" t="n">
        <f aca="false">INDEX(Monthly!$C$45:$AL$45,($R$2-1)*12+3)</f>
        <v>-552.5</v>
      </c>
      <c r="K16" s="36" t="n">
        <f aca="false">INDEX(Monthly!$C$45:$AL$45,($R$2-1)*12+4)</f>
        <v>-543.055555555556</v>
      </c>
      <c r="L16" s="36" t="n">
        <f aca="false">INDEX(Monthly!$C$45:$AL$45,($R$2-1)*12+5)</f>
        <v>-533.611111111111</v>
      </c>
      <c r="M16" s="36" t="n">
        <f aca="false">INDEX(Monthly!$C$45:$AL$45,($R$2-1)*12+6)</f>
        <v>-524.166666666667</v>
      </c>
      <c r="N16" s="36" t="n">
        <f aca="false">INDEX(Monthly!$C$45:$AL$45,($R$2-1)*12+7)</f>
        <v>-514.722222222222</v>
      </c>
      <c r="O16" s="36" t="n">
        <f aca="false">INDEX(Monthly!$C$45:$AL$45,($R$2-1)*12+8)</f>
        <v>-505.277777777778</v>
      </c>
      <c r="P16" s="36" t="n">
        <f aca="false">INDEX(Monthly!$C$45:$AL$45,($R$2-1)*12+9)</f>
        <v>-495.833333333334</v>
      </c>
      <c r="Q16" s="36" t="n">
        <f aca="false">INDEX(Monthly!$C$45:$AL$45,($R$2-1)*12+10)</f>
        <v>-486.388888888889</v>
      </c>
      <c r="R16" s="36" t="n">
        <f aca="false">INDEX(Monthly!$C$45:$AL$45,($R$2-1)*12+11)</f>
        <v>-476.944444444445</v>
      </c>
      <c r="S16" s="36" t="n">
        <f aca="false">INDEX(Monthly!$C$45:$AL$45,($R$2-1)*12+12)</f>
        <v>-467.5</v>
      </c>
    </row>
    <row r="17" customFormat="false" ht="15" hidden="false" customHeight="false" outlineLevel="0" collapsed="false">
      <c r="A17" s="50" t="s">
        <v>79</v>
      </c>
      <c r="B17" s="36" t="n">
        <f aca="false">'P&amp;L'!B23</f>
        <v>126646.281963175</v>
      </c>
      <c r="C17" s="36" t="n">
        <f aca="false">'P&amp;L'!C23</f>
        <v>174475.399472762</v>
      </c>
      <c r="D17" s="36" t="n">
        <f aca="false">'P&amp;L'!D23</f>
        <v>213949.311142637</v>
      </c>
      <c r="H17" s="36" t="n">
        <f aca="false">INDEX(Monthly!$C$46:$AL$46,($R$2-1)*12+1)</f>
        <v>1013.97107809526</v>
      </c>
      <c r="I17" s="36" t="n">
        <f aca="false">INDEX(Monthly!$C$46:$AL$46,($R$2-1)*12+2)</f>
        <v>5014.17846603174</v>
      </c>
      <c r="J17" s="36" t="n">
        <f aca="false">INDEX(Monthly!$C$46:$AL$46,($R$2-1)*12+3)</f>
        <v>9019.10807619048</v>
      </c>
      <c r="K17" s="36" t="n">
        <f aca="false">INDEX(Monthly!$C$46:$AL$46,($R$2-1)*12+4)</f>
        <v>9028.55252063493</v>
      </c>
      <c r="L17" s="36" t="n">
        <f aca="false">INDEX(Monthly!$C$46:$AL$46,($R$2-1)*12+5)</f>
        <v>9037.99696507937</v>
      </c>
      <c r="M17" s="36" t="n">
        <f aca="false">INDEX(Monthly!$C$46:$AL$46,($R$2-1)*12+6)</f>
        <v>9047.44140952382</v>
      </c>
      <c r="N17" s="36" t="n">
        <f aca="false">INDEX(Monthly!$C$46:$AL$46,($R$2-1)*12+7)</f>
        <v>9056.88585396826</v>
      </c>
      <c r="O17" s="36" t="n">
        <f aca="false">INDEX(Monthly!$C$46:$AL$46,($R$2-1)*12+8)</f>
        <v>9066.33029841271</v>
      </c>
      <c r="P17" s="36" t="n">
        <f aca="false">INDEX(Monthly!$C$46:$AL$46,($R$2-1)*12+9)</f>
        <v>9075.77474285715</v>
      </c>
      <c r="Q17" s="36" t="n">
        <f aca="false">INDEX(Monthly!$C$46:$AL$46,($R$2-1)*12+10)</f>
        <v>9085.2191873016</v>
      </c>
      <c r="R17" s="36" t="n">
        <f aca="false">INDEX(Monthly!$C$46:$AL$46,($R$2-1)*12+11)</f>
        <v>24095.6894603175</v>
      </c>
      <c r="S17" s="36" t="n">
        <f aca="false">INDEX(Monthly!$C$46:$AL$46,($R$2-1)*12+12)</f>
        <v>24105.1339047619</v>
      </c>
    </row>
    <row r="18" customFormat="false" ht="15" hidden="false" customHeight="false" outlineLevel="0" collapsed="false">
      <c r="A18" s="50" t="s">
        <v>80</v>
      </c>
      <c r="B18" s="36" t="n">
        <f aca="false">'P&amp;L'!B24</f>
        <v>-26595.7192122667</v>
      </c>
      <c r="C18" s="36" t="n">
        <f aca="false">'P&amp;L'!C24</f>
        <v>-36639.8338892801</v>
      </c>
      <c r="D18" s="36" t="n">
        <f aca="false">'P&amp;L'!D24</f>
        <v>-44929.3553399537</v>
      </c>
      <c r="H18" s="36" t="n">
        <f aca="false">INDEX(Monthly!$C$49:$AL$49,($R$2-1)*12+1)</f>
        <v>-212.933926400004</v>
      </c>
      <c r="I18" s="36" t="n">
        <f aca="false">INDEX(Monthly!$C$49:$AL$49,($R$2-1)*12+2)</f>
        <v>-1052.97747786666</v>
      </c>
      <c r="J18" s="36" t="n">
        <f aca="false">INDEX(Monthly!$C$49:$AL$49,($R$2-1)*12+3)</f>
        <v>-1894.012696</v>
      </c>
      <c r="K18" s="36" t="n">
        <f aca="false">INDEX(Monthly!$C$49:$AL$49,($R$2-1)*12+4)</f>
        <v>-1895.99602933333</v>
      </c>
      <c r="L18" s="36" t="n">
        <f aca="false">INDEX(Monthly!$C$49:$AL$49,($R$2-1)*12+5)</f>
        <v>-1897.97936266667</v>
      </c>
      <c r="M18" s="36" t="n">
        <f aca="false">INDEX(Monthly!$C$49:$AL$49,($R$2-1)*12+6)</f>
        <v>-1899.962696</v>
      </c>
      <c r="N18" s="36" t="n">
        <f aca="false">INDEX(Monthly!$C$49:$AL$49,($R$2-1)*12+7)</f>
        <v>-1901.94602933334</v>
      </c>
      <c r="O18" s="36" t="n">
        <f aca="false">INDEX(Monthly!$C$49:$AL$49,($R$2-1)*12+8)</f>
        <v>-1903.92936266667</v>
      </c>
      <c r="P18" s="36" t="n">
        <f aca="false">INDEX(Monthly!$C$49:$AL$49,($R$2-1)*12+9)</f>
        <v>-1905.912696</v>
      </c>
      <c r="Q18" s="36" t="n">
        <f aca="false">INDEX(Monthly!$C$49:$AL$49,($R$2-1)*12+10)</f>
        <v>-1907.89602933334</v>
      </c>
      <c r="R18" s="36" t="n">
        <f aca="false">INDEX(Monthly!$C$49:$AL$49,($R$2-1)*12+11)</f>
        <v>-5060.09478666667</v>
      </c>
      <c r="S18" s="36" t="n">
        <f aca="false">INDEX(Monthly!$C$49:$AL$49,($R$2-1)*12+12)</f>
        <v>-5062.07812</v>
      </c>
    </row>
    <row r="19" customFormat="false" ht="15" hidden="false" customHeight="false" outlineLevel="0" collapsed="false">
      <c r="A19" s="41" t="s">
        <v>48</v>
      </c>
      <c r="B19" s="42" t="n">
        <f aca="false">'P&amp;L'!B25</f>
        <v>100050.562750908</v>
      </c>
      <c r="C19" s="42" t="n">
        <f aca="false">'P&amp;L'!C25</f>
        <v>137835.565583482</v>
      </c>
      <c r="D19" s="42" t="n">
        <f aca="false">'P&amp;L'!D25</f>
        <v>169019.955802683</v>
      </c>
      <c r="E19" s="41"/>
      <c r="F19" s="41"/>
      <c r="H19" s="42" t="n">
        <f aca="false">INDEX(Monthly!$C$50:$AL$50,($R$2-1)*12+1)</f>
        <v>801.037151695254</v>
      </c>
      <c r="I19" s="42" t="n">
        <f aca="false">INDEX(Monthly!$C$50:$AL$50,($R$2-1)*12+2)</f>
        <v>3961.20098816507</v>
      </c>
      <c r="J19" s="42" t="n">
        <f aca="false">INDEX(Monthly!$C$50:$AL$50,($R$2-1)*12+3)</f>
        <v>7125.09538019048</v>
      </c>
      <c r="K19" s="42" t="n">
        <f aca="false">INDEX(Monthly!$C$50:$AL$50,($R$2-1)*12+4)</f>
        <v>7132.55649130159</v>
      </c>
      <c r="L19" s="42" t="n">
        <f aca="false">INDEX(Monthly!$C$50:$AL$50,($R$2-1)*12+5)</f>
        <v>7140.0176024127</v>
      </c>
      <c r="M19" s="42" t="n">
        <f aca="false">INDEX(Monthly!$C$50:$AL$50,($R$2-1)*12+6)</f>
        <v>7147.47871352382</v>
      </c>
      <c r="N19" s="42" t="n">
        <f aca="false">INDEX(Monthly!$C$50:$AL$50,($R$2-1)*12+7)</f>
        <v>7154.93982463493</v>
      </c>
      <c r="O19" s="42" t="n">
        <f aca="false">INDEX(Monthly!$C$50:$AL$50,($R$2-1)*12+8)</f>
        <v>7162.40093574604</v>
      </c>
      <c r="P19" s="42" t="n">
        <f aca="false">INDEX(Monthly!$C$50:$AL$50,($R$2-1)*12+9)</f>
        <v>7169.86204685715</v>
      </c>
      <c r="Q19" s="42" t="n">
        <f aca="false">INDEX(Monthly!$C$50:$AL$50,($R$2-1)*12+10)</f>
        <v>7177.32315796826</v>
      </c>
      <c r="R19" s="42" t="n">
        <f aca="false">INDEX(Monthly!$C$50:$AL$50,($R$2-1)*12+11)</f>
        <v>19035.5946736508</v>
      </c>
      <c r="S19" s="42" t="n">
        <f aca="false">INDEX(Monthly!$C$50:$AL$50,($R$2-1)*12+12)</f>
        <v>19043.0557847619</v>
      </c>
    </row>
    <row r="20" customFormat="false" ht="15" hidden="false" customHeight="false" outlineLevel="0" collapsed="false">
      <c r="A20" s="39" t="s">
        <v>49</v>
      </c>
      <c r="B20" s="40" t="n">
        <f aca="false">'P&amp;L'!B26</f>
        <v>0.0634015470263758</v>
      </c>
      <c r="C20" s="40" t="n">
        <f aca="false">'P&amp;L'!C26</f>
        <v>0.0793813408885021</v>
      </c>
      <c r="D20" s="40" t="n">
        <f aca="false">'P&amp;L'!D26</f>
        <v>0.0894208428835164</v>
      </c>
      <c r="H20" s="40" t="n">
        <f aca="false">IF(H7=0,0,H19/H7)</f>
        <v>0.00688391990630099</v>
      </c>
      <c r="I20" s="40" t="n">
        <f aca="false">IF(I7=0,0,I19/I7)</f>
        <v>0.032249941610825</v>
      </c>
      <c r="J20" s="40" t="n">
        <f aca="false">IF(J7=0,0,J19/J7)</f>
        <v>0.0551082146893754</v>
      </c>
      <c r="K20" s="40" t="n">
        <f aca="false">IF(K7=0,0,K19/K7)</f>
        <v>0.0551659217783325</v>
      </c>
      <c r="L20" s="40" t="n">
        <f aca="false">IF(L7=0,0,L19/L7)</f>
        <v>0.0552236288672896</v>
      </c>
      <c r="M20" s="40" t="n">
        <f aca="false">IF(M7=0,0,M19/M7)</f>
        <v>0.0552813359562467</v>
      </c>
      <c r="N20" s="40" t="n">
        <f aca="false">IF(N7=0,0,N19/N7)</f>
        <v>0.0553390430452038</v>
      </c>
      <c r="O20" s="40" t="n">
        <f aca="false">IF(O7=0,0,O19/O7)</f>
        <v>0.0553967501341609</v>
      </c>
      <c r="P20" s="40" t="n">
        <f aca="false">IF(P7=0,0,P19/P7)</f>
        <v>0.055454457223118</v>
      </c>
      <c r="Q20" s="40" t="n">
        <f aca="false">IF(Q7=0,0,Q19/Q7)</f>
        <v>0.0555121643120751</v>
      </c>
      <c r="R20" s="40" t="n">
        <f aca="false">IF(R7=0,0,R19/R7)</f>
        <v>0.125023609405546</v>
      </c>
      <c r="S20" s="40" t="n">
        <f aca="false">IF(S7=0,0,S19/S7)</f>
        <v>0.125072613130267</v>
      </c>
    </row>
    <row r="22" customFormat="false" ht="15.75" hidden="false" customHeight="true" outlineLevel="0" collapsed="false">
      <c r="A22" s="7" t="s">
        <v>81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49" t="n">
        <f aca="false">INDEX(Monthly!$C$4:$AL$4,($R$2-1)*12+1)</f>
        <v>1</v>
      </c>
      <c r="I23" s="49" t="n">
        <f aca="false">INDEX(Monthly!$C$4:$AL$4,($R$2-1)*12+2)</f>
        <v>2</v>
      </c>
      <c r="J23" s="49" t="n">
        <f aca="false">INDEX(Monthly!$C$4:$AL$4,($R$2-1)*12+3)</f>
        <v>3</v>
      </c>
      <c r="K23" s="49" t="n">
        <f aca="false">INDEX(Monthly!$C$4:$AL$4,($R$2-1)*12+4)</f>
        <v>4</v>
      </c>
      <c r="L23" s="49" t="n">
        <f aca="false">INDEX(Monthly!$C$4:$AL$4,($R$2-1)*12+5)</f>
        <v>5</v>
      </c>
      <c r="M23" s="49" t="n">
        <f aca="false">INDEX(Monthly!$C$4:$AL$4,($R$2-1)*12+6)</f>
        <v>6</v>
      </c>
      <c r="N23" s="49" t="n">
        <f aca="false">INDEX(Monthly!$C$4:$AL$4,($R$2-1)*12+7)</f>
        <v>7</v>
      </c>
      <c r="O23" s="49" t="n">
        <f aca="false">INDEX(Monthly!$C$4:$AL$4,($R$2-1)*12+8)</f>
        <v>8</v>
      </c>
      <c r="P23" s="49" t="n">
        <f aca="false">INDEX(Monthly!$C$4:$AL$4,($R$2-1)*12+9)</f>
        <v>9</v>
      </c>
      <c r="Q23" s="49" t="n">
        <f aca="false">INDEX(Monthly!$C$4:$AL$4,($R$2-1)*12+10)</f>
        <v>10</v>
      </c>
      <c r="R23" s="49" t="n">
        <f aca="false">INDEX(Monthly!$C$4:$AL$4,($R$2-1)*12+11)</f>
        <v>11</v>
      </c>
      <c r="S23" s="49" t="n">
        <f aca="false">INDEX(Monthly!$C$4:$AL$4,($R$2-1)*12+12)</f>
        <v>12</v>
      </c>
    </row>
    <row r="24" customFormat="false" ht="15" hidden="false" customHeight="false" outlineLevel="0" collapsed="false">
      <c r="A24" s="37" t="s">
        <v>50</v>
      </c>
      <c r="B24" s="38" t="n">
        <f aca="false">'Cash Flow'!B10</f>
        <v>101363.957036622</v>
      </c>
      <c r="C24" s="38" t="n">
        <f aca="false">'Cash Flow'!C10</f>
        <v>150896.600845958</v>
      </c>
      <c r="D24" s="38" t="n">
        <f aca="false">'Cash Flow'!D10</f>
        <v>184000.33398074</v>
      </c>
      <c r="E24" s="37"/>
      <c r="F24" s="37"/>
      <c r="H24" s="38" t="n">
        <f aca="false">INDEX(Monthly!$C$74:$AL$74,($R$2-1)*12+1)</f>
        <v>-6781.60924830475</v>
      </c>
      <c r="I24" s="38" t="n">
        <f aca="false">INDEX(Monthly!$C$74:$AL$74,($R$2-1)*12+2)</f>
        <v>4551.84761673651</v>
      </c>
      <c r="J24" s="38" t="n">
        <f aca="false">INDEX(Monthly!$C$74:$AL$74,($R$2-1)*12+3)</f>
        <v>7715.74200876191</v>
      </c>
      <c r="K24" s="38" t="n">
        <f aca="false">INDEX(Monthly!$C$74:$AL$74,($R$2-1)*12+4)</f>
        <v>8203.98506273016</v>
      </c>
      <c r="L24" s="38" t="n">
        <f aca="false">INDEX(Monthly!$C$74:$AL$74,($R$2-1)*12+5)</f>
        <v>8211.44617384128</v>
      </c>
      <c r="M24" s="38" t="n">
        <f aca="false">INDEX(Monthly!$C$74:$AL$74,($R$2-1)*12+6)</f>
        <v>8218.90728495239</v>
      </c>
      <c r="N24" s="38" t="n">
        <f aca="false">INDEX(Monthly!$C$74:$AL$74,($R$2-1)*12+7)</f>
        <v>8226.3683960635</v>
      </c>
      <c r="O24" s="38" t="n">
        <f aca="false">INDEX(Monthly!$C$74:$AL$74,($R$2-1)*12+8)</f>
        <v>8233.82950717461</v>
      </c>
      <c r="P24" s="38" t="n">
        <f aca="false">INDEX(Monthly!$C$74:$AL$74,($R$2-1)*12+9)</f>
        <v>8241.29061828572</v>
      </c>
      <c r="Q24" s="38" t="n">
        <f aca="false">INDEX(Monthly!$C$74:$AL$74,($R$2-1)*12+10)</f>
        <v>8248.75172939683</v>
      </c>
      <c r="R24" s="38" t="n">
        <f aca="false">INDEX(Monthly!$C$74:$AL$74,($R$2-1)*12+11)</f>
        <v>18178.9135307937</v>
      </c>
      <c r="S24" s="38" t="n">
        <f aca="false">INDEX(Monthly!$C$74:$AL$74,($R$2-1)*12+12)</f>
        <v>20114.4843561905</v>
      </c>
    </row>
    <row r="25" customFormat="false" ht="15" hidden="false" customHeight="false" outlineLevel="0" collapsed="false">
      <c r="A25" s="50" t="s">
        <v>82</v>
      </c>
      <c r="B25" s="36" t="n">
        <f aca="false">'Cash Flow'!B11</f>
        <v>-90000</v>
      </c>
      <c r="C25" s="36" t="n">
        <f aca="false">'Cash Flow'!C11</f>
        <v>-14000</v>
      </c>
      <c r="D25" s="36" t="n">
        <f aca="false">'Cash Flow'!D11</f>
        <v>-14000</v>
      </c>
      <c r="H25" s="36" t="n">
        <f aca="false">INDEX(Monthly!$C$75:$AL$75,($R$2-1)*12+1)</f>
        <v>-90000</v>
      </c>
      <c r="I25" s="36" t="n">
        <f aca="false">INDEX(Monthly!$C$75:$AL$75,($R$2-1)*12+2)</f>
        <v>-0</v>
      </c>
      <c r="J25" s="36" t="n">
        <f aca="false">INDEX(Monthly!$C$75:$AL$75,($R$2-1)*12+3)</f>
        <v>-0</v>
      </c>
      <c r="K25" s="36" t="n">
        <f aca="false">INDEX(Monthly!$C$75:$AL$75,($R$2-1)*12+4)</f>
        <v>-0</v>
      </c>
      <c r="L25" s="36" t="n">
        <f aca="false">INDEX(Monthly!$C$75:$AL$75,($R$2-1)*12+5)</f>
        <v>-0</v>
      </c>
      <c r="M25" s="36" t="n">
        <f aca="false">INDEX(Monthly!$C$75:$AL$75,($R$2-1)*12+6)</f>
        <v>-0</v>
      </c>
      <c r="N25" s="36" t="n">
        <f aca="false">INDEX(Monthly!$C$75:$AL$75,($R$2-1)*12+7)</f>
        <v>-0</v>
      </c>
      <c r="O25" s="36" t="n">
        <f aca="false">INDEX(Monthly!$C$75:$AL$75,($R$2-1)*12+8)</f>
        <v>-0</v>
      </c>
      <c r="P25" s="36" t="n">
        <f aca="false">INDEX(Monthly!$C$75:$AL$75,($R$2-1)*12+9)</f>
        <v>-0</v>
      </c>
      <c r="Q25" s="36" t="n">
        <f aca="false">INDEX(Monthly!$C$75:$AL$75,($R$2-1)*12+10)</f>
        <v>-0</v>
      </c>
      <c r="R25" s="36" t="n">
        <f aca="false">INDEX(Monthly!$C$75:$AL$75,($R$2-1)*12+11)</f>
        <v>-0</v>
      </c>
      <c r="S25" s="36" t="n">
        <f aca="false">INDEX(Monthly!$C$75:$AL$75,($R$2-1)*12+12)</f>
        <v>-0</v>
      </c>
    </row>
    <row r="26" customFormat="false" ht="15" hidden="false" customHeight="false" outlineLevel="0" collapsed="false">
      <c r="A26" s="50" t="s">
        <v>62</v>
      </c>
      <c r="B26" s="36" t="n">
        <f aca="false">'Cash Flow'!B12</f>
        <v>60000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INDEX(Monthly!$C$76:$AL$76,($R$2-1)*12+1)</f>
        <v>60000</v>
      </c>
      <c r="I26" s="36" t="n">
        <f aca="false">INDEX(Monthly!$C$76:$AL$76,($R$2-1)*12+2)</f>
        <v>0</v>
      </c>
      <c r="J26" s="36" t="n">
        <f aca="false">INDEX(Monthly!$C$76:$AL$76,($R$2-1)*12+3)</f>
        <v>0</v>
      </c>
      <c r="K26" s="36" t="n">
        <f aca="false">INDEX(Monthly!$C$76:$AL$76,($R$2-1)*12+4)</f>
        <v>0</v>
      </c>
      <c r="L26" s="36" t="n">
        <f aca="false">INDEX(Monthly!$C$76:$AL$76,($R$2-1)*12+5)</f>
        <v>0</v>
      </c>
      <c r="M26" s="36" t="n">
        <f aca="false">INDEX(Monthly!$C$76:$AL$76,($R$2-1)*12+6)</f>
        <v>0</v>
      </c>
      <c r="N26" s="36" t="n">
        <f aca="false">INDEX(Monthly!$C$76:$AL$76,($R$2-1)*12+7)</f>
        <v>0</v>
      </c>
      <c r="O26" s="36" t="n">
        <f aca="false">INDEX(Monthly!$C$76:$AL$76,($R$2-1)*12+8)</f>
        <v>0</v>
      </c>
      <c r="P26" s="36" t="n">
        <f aca="false">INDEX(Monthly!$C$76:$AL$76,($R$2-1)*12+9)</f>
        <v>0</v>
      </c>
      <c r="Q26" s="36" t="n">
        <f aca="false">INDEX(Monthly!$C$76:$AL$76,($R$2-1)*12+10)</f>
        <v>0</v>
      </c>
      <c r="R26" s="36" t="n">
        <f aca="false">INDEX(Monthly!$C$76:$AL$76,($R$2-1)*12+11)</f>
        <v>0</v>
      </c>
      <c r="S26" s="36" t="n">
        <f aca="false">INDEX(Monthly!$C$76:$AL$76,($R$2-1)*12+12)</f>
        <v>0</v>
      </c>
    </row>
    <row r="27" customFormat="false" ht="15" hidden="false" customHeight="false" outlineLevel="0" collapsed="false">
      <c r="A27" s="50" t="s">
        <v>83</v>
      </c>
      <c r="B27" s="36" t="n">
        <f aca="false">'Cash Flow'!B13</f>
        <v>80000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INDEX(Monthly!$C$61:$AL$61,($R$2-1)*12+1)</f>
        <v>80000</v>
      </c>
      <c r="I27" s="36" t="n">
        <f aca="false">INDEX(Monthly!$C$61:$AL$61,($R$2-1)*12+2)</f>
        <v>0</v>
      </c>
      <c r="J27" s="36" t="n">
        <f aca="false">INDEX(Monthly!$C$61:$AL$61,($R$2-1)*12+3)</f>
        <v>0</v>
      </c>
      <c r="K27" s="36" t="n">
        <f aca="false">INDEX(Monthly!$C$61:$AL$61,($R$2-1)*12+4)</f>
        <v>0</v>
      </c>
      <c r="L27" s="36" t="n">
        <f aca="false">INDEX(Monthly!$C$61:$AL$61,($R$2-1)*12+5)</f>
        <v>0</v>
      </c>
      <c r="M27" s="36" t="n">
        <f aca="false">INDEX(Monthly!$C$61:$AL$61,($R$2-1)*12+6)</f>
        <v>0</v>
      </c>
      <c r="N27" s="36" t="n">
        <f aca="false">INDEX(Monthly!$C$61:$AL$61,($R$2-1)*12+7)</f>
        <v>0</v>
      </c>
      <c r="O27" s="36" t="n">
        <f aca="false">INDEX(Monthly!$C$61:$AL$61,($R$2-1)*12+8)</f>
        <v>0</v>
      </c>
      <c r="P27" s="36" t="n">
        <f aca="false">INDEX(Monthly!$C$61:$AL$61,($R$2-1)*12+9)</f>
        <v>0</v>
      </c>
      <c r="Q27" s="36" t="n">
        <f aca="false">INDEX(Monthly!$C$61:$AL$61,($R$2-1)*12+10)</f>
        <v>0</v>
      </c>
      <c r="R27" s="36" t="n">
        <f aca="false">INDEX(Monthly!$C$61:$AL$61,($R$2-1)*12+11)</f>
        <v>0</v>
      </c>
      <c r="S27" s="36" t="n">
        <f aca="false">INDEX(Monthly!$C$61:$AL$61,($R$2-1)*12+12)</f>
        <v>0</v>
      </c>
    </row>
    <row r="28" customFormat="false" ht="15" hidden="false" customHeight="false" outlineLevel="0" collapsed="false">
      <c r="A28" s="50" t="s">
        <v>84</v>
      </c>
      <c r="B28" s="36" t="n">
        <f aca="false">'Cash Flow'!B14</f>
        <v>-14666.6666666667</v>
      </c>
      <c r="C28" s="36" t="n">
        <f aca="false">'Cash Flow'!C14</f>
        <v>-16000</v>
      </c>
      <c r="D28" s="36" t="n">
        <f aca="false">'Cash Flow'!D14</f>
        <v>-16000</v>
      </c>
      <c r="H28" s="36" t="n">
        <f aca="false">INDEX(Monthly!$C$62:$AL$62,($R$2-1)*12+1)</f>
        <v>-0</v>
      </c>
      <c r="I28" s="36" t="n">
        <f aca="false">INDEX(Monthly!$C$62:$AL$62,($R$2-1)*12+2)</f>
        <v>-1333.33333333333</v>
      </c>
      <c r="J28" s="36" t="n">
        <f aca="false">INDEX(Monthly!$C$62:$AL$62,($R$2-1)*12+3)</f>
        <v>-1333.33333333333</v>
      </c>
      <c r="K28" s="36" t="n">
        <f aca="false">INDEX(Monthly!$C$62:$AL$62,($R$2-1)*12+4)</f>
        <v>-1333.33333333333</v>
      </c>
      <c r="L28" s="36" t="n">
        <f aca="false">INDEX(Monthly!$C$62:$AL$62,($R$2-1)*12+5)</f>
        <v>-1333.33333333333</v>
      </c>
      <c r="M28" s="36" t="n">
        <f aca="false">INDEX(Monthly!$C$62:$AL$62,($R$2-1)*12+6)</f>
        <v>-1333.33333333333</v>
      </c>
      <c r="N28" s="36" t="n">
        <f aca="false">INDEX(Monthly!$C$62:$AL$62,($R$2-1)*12+7)</f>
        <v>-1333.33333333333</v>
      </c>
      <c r="O28" s="36" t="n">
        <f aca="false">INDEX(Monthly!$C$62:$AL$62,($R$2-1)*12+8)</f>
        <v>-1333.33333333333</v>
      </c>
      <c r="P28" s="36" t="n">
        <f aca="false">INDEX(Monthly!$C$62:$AL$62,($R$2-1)*12+9)</f>
        <v>-1333.33333333333</v>
      </c>
      <c r="Q28" s="36" t="n">
        <f aca="false">INDEX(Monthly!$C$62:$AL$62,($R$2-1)*12+10)</f>
        <v>-1333.33333333333</v>
      </c>
      <c r="R28" s="36" t="n">
        <f aca="false">INDEX(Monthly!$C$62:$AL$62,($R$2-1)*12+11)</f>
        <v>-1333.33333333333</v>
      </c>
      <c r="S28" s="36" t="n">
        <f aca="false">INDEX(Monthly!$C$62:$AL$62,($R$2-1)*12+12)</f>
        <v>-1333.33333333333</v>
      </c>
    </row>
    <row r="29" customFormat="false" ht="15" hidden="false" customHeight="false" outlineLevel="0" collapsed="false">
      <c r="A29" s="37" t="s">
        <v>52</v>
      </c>
      <c r="B29" s="38" t="n">
        <f aca="false">'Cash Flow'!B15</f>
        <v>125333.333333333</v>
      </c>
      <c r="C29" s="38" t="n">
        <f aca="false">'Cash Flow'!C15</f>
        <v>-16000</v>
      </c>
      <c r="D29" s="38" t="n">
        <f aca="false">'Cash Flow'!D15</f>
        <v>-16000</v>
      </c>
      <c r="E29" s="37"/>
      <c r="F29" s="37"/>
      <c r="H29" s="38" t="n">
        <f aca="false">INDEX(Monthly!$C$77:$AL$77,($R$2-1)*12+1)</f>
        <v>140000</v>
      </c>
      <c r="I29" s="38" t="n">
        <f aca="false">INDEX(Monthly!$C$77:$AL$77,($R$2-1)*12+2)</f>
        <v>-1333.33333333333</v>
      </c>
      <c r="J29" s="38" t="n">
        <f aca="false">INDEX(Monthly!$C$77:$AL$77,($R$2-1)*12+3)</f>
        <v>-1333.33333333333</v>
      </c>
      <c r="K29" s="38" t="n">
        <f aca="false">INDEX(Monthly!$C$77:$AL$77,($R$2-1)*12+4)</f>
        <v>-1333.33333333333</v>
      </c>
      <c r="L29" s="38" t="n">
        <f aca="false">INDEX(Monthly!$C$77:$AL$77,($R$2-1)*12+5)</f>
        <v>-1333.33333333333</v>
      </c>
      <c r="M29" s="38" t="n">
        <f aca="false">INDEX(Monthly!$C$77:$AL$77,($R$2-1)*12+6)</f>
        <v>-1333.33333333333</v>
      </c>
      <c r="N29" s="38" t="n">
        <f aca="false">INDEX(Monthly!$C$77:$AL$77,($R$2-1)*12+7)</f>
        <v>-1333.33333333333</v>
      </c>
      <c r="O29" s="38" t="n">
        <f aca="false">INDEX(Monthly!$C$77:$AL$77,($R$2-1)*12+8)</f>
        <v>-1333.33333333333</v>
      </c>
      <c r="P29" s="38" t="n">
        <f aca="false">INDEX(Monthly!$C$77:$AL$77,($R$2-1)*12+9)</f>
        <v>-1333.33333333333</v>
      </c>
      <c r="Q29" s="38" t="n">
        <f aca="false">INDEX(Monthly!$C$77:$AL$77,($R$2-1)*12+10)</f>
        <v>-1333.33333333333</v>
      </c>
      <c r="R29" s="38" t="n">
        <f aca="false">INDEX(Monthly!$C$77:$AL$77,($R$2-1)*12+11)</f>
        <v>-1333.33333333333</v>
      </c>
      <c r="S29" s="38" t="n">
        <f aca="false">INDEX(Monthly!$C$77:$AL$77,($R$2-1)*12+12)</f>
        <v>-1333.33333333333</v>
      </c>
    </row>
    <row r="30" customFormat="false" ht="15" hidden="false" customHeight="false" outlineLevel="0" collapsed="false">
      <c r="A30" s="37" t="s">
        <v>53</v>
      </c>
      <c r="B30" s="38" t="n">
        <f aca="false">'Cash Flow'!B16</f>
        <v>136697.290369956</v>
      </c>
      <c r="C30" s="38" t="n">
        <f aca="false">'Cash Flow'!C16</f>
        <v>120896.600845958</v>
      </c>
      <c r="D30" s="38" t="n">
        <f aca="false">'Cash Flow'!D16</f>
        <v>154000.33398074</v>
      </c>
      <c r="E30" s="37"/>
      <c r="F30" s="37"/>
      <c r="H30" s="38" t="n">
        <f aca="false">INDEX(Monthly!$C$78:$AL$78,($R$2-1)*12+1)</f>
        <v>43218.3907516952</v>
      </c>
      <c r="I30" s="38" t="n">
        <f aca="false">INDEX(Monthly!$C$78:$AL$78,($R$2-1)*12+2)</f>
        <v>3218.51428340317</v>
      </c>
      <c r="J30" s="38" t="n">
        <f aca="false">INDEX(Monthly!$C$78:$AL$78,($R$2-1)*12+3)</f>
        <v>6382.40867542858</v>
      </c>
      <c r="K30" s="38" t="n">
        <f aca="false">INDEX(Monthly!$C$78:$AL$78,($R$2-1)*12+4)</f>
        <v>6870.65172939683</v>
      </c>
      <c r="L30" s="38" t="n">
        <f aca="false">INDEX(Monthly!$C$78:$AL$78,($R$2-1)*12+5)</f>
        <v>6878.11284050794</v>
      </c>
      <c r="M30" s="38" t="n">
        <f aca="false">INDEX(Monthly!$C$78:$AL$78,($R$2-1)*12+6)</f>
        <v>6885.57395161905</v>
      </c>
      <c r="N30" s="38" t="n">
        <f aca="false">INDEX(Monthly!$C$78:$AL$78,($R$2-1)*12+7)</f>
        <v>6893.03506273016</v>
      </c>
      <c r="O30" s="38" t="n">
        <f aca="false">INDEX(Monthly!$C$78:$AL$78,($R$2-1)*12+8)</f>
        <v>6900.49617384128</v>
      </c>
      <c r="P30" s="38" t="n">
        <f aca="false">INDEX(Monthly!$C$78:$AL$78,($R$2-1)*12+9)</f>
        <v>6907.95728495239</v>
      </c>
      <c r="Q30" s="38" t="n">
        <f aca="false">INDEX(Monthly!$C$78:$AL$78,($R$2-1)*12+10)</f>
        <v>6915.4183960635</v>
      </c>
      <c r="R30" s="38" t="n">
        <f aca="false">INDEX(Monthly!$C$78:$AL$78,($R$2-1)*12+11)</f>
        <v>16845.5801974603</v>
      </c>
      <c r="S30" s="38" t="n">
        <f aca="false">INDEX(Monthly!$C$78:$AL$78,($R$2-1)*12+12)</f>
        <v>18781.1510228572</v>
      </c>
    </row>
    <row r="31" customFormat="false" ht="15" hidden="false" customHeight="false" outlineLevel="0" collapsed="false">
      <c r="A31" s="41" t="s">
        <v>85</v>
      </c>
      <c r="B31" s="42" t="n">
        <f aca="false">'Cash Flow'!B18</f>
        <v>136697.290369956</v>
      </c>
      <c r="C31" s="42" t="n">
        <f aca="false">'Cash Flow'!C18</f>
        <v>257593.891215914</v>
      </c>
      <c r="D31" s="42" t="n">
        <f aca="false">'Cash Flow'!D18</f>
        <v>411594.225196654</v>
      </c>
      <c r="E31" s="41"/>
      <c r="F31" s="41"/>
      <c r="H31" s="42" t="n">
        <f aca="false">INDEX(Monthly!$C$80:$AL$80,($R$2-1)*12+1)</f>
        <v>43218.3907516952</v>
      </c>
      <c r="I31" s="42" t="n">
        <f aca="false">INDEX(Monthly!$C$80:$AL$80,($R$2-1)*12+2)</f>
        <v>46436.9050350984</v>
      </c>
      <c r="J31" s="42" t="n">
        <f aca="false">INDEX(Monthly!$C$80:$AL$80,($R$2-1)*12+3)</f>
        <v>52819.313710527</v>
      </c>
      <c r="K31" s="42" t="n">
        <f aca="false">INDEX(Monthly!$C$80:$AL$80,($R$2-1)*12+4)</f>
        <v>59689.9654399238</v>
      </c>
      <c r="L31" s="42" t="n">
        <f aca="false">INDEX(Monthly!$C$80:$AL$80,($R$2-1)*12+5)</f>
        <v>66568.0782804318</v>
      </c>
      <c r="M31" s="42" t="n">
        <f aca="false">INDEX(Monthly!$C$80:$AL$80,($R$2-1)*12+6)</f>
        <v>73453.6522320508</v>
      </c>
      <c r="N31" s="42" t="n">
        <f aca="false">INDEX(Monthly!$C$80:$AL$80,($R$2-1)*12+7)</f>
        <v>80346.687294781</v>
      </c>
      <c r="O31" s="42" t="n">
        <f aca="false">INDEX(Monthly!$C$80:$AL$80,($R$2-1)*12+8)</f>
        <v>87247.1834686223</v>
      </c>
      <c r="P31" s="42" t="n">
        <f aca="false">INDEX(Monthly!$C$80:$AL$80,($R$2-1)*12+9)</f>
        <v>94155.1407535746</v>
      </c>
      <c r="Q31" s="42" t="n">
        <f aca="false">INDEX(Monthly!$C$80:$AL$80,($R$2-1)*12+10)</f>
        <v>101070.559149638</v>
      </c>
      <c r="R31" s="42" t="n">
        <f aca="false">INDEX(Monthly!$C$80:$AL$80,($R$2-1)*12+11)</f>
        <v>117916.139347098</v>
      </c>
      <c r="S31" s="42" t="n">
        <f aca="false">INDEX(Monthly!$C$80:$AL$80,($R$2-1)*12+12)</f>
        <v>136697.290369956</v>
      </c>
    </row>
    <row r="39" customFormat="false" ht="15.75" hidden="false" customHeight="true" outlineLevel="0" collapsed="false">
      <c r="A39" s="7" t="s">
        <v>86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49" t="n">
        <f aca="false">INDEX(Monthly!$C$4:$AL$4,($R$2-1)*12+1)</f>
        <v>1</v>
      </c>
      <c r="I40" s="49" t="n">
        <f aca="false">INDEX(Monthly!$C$4:$AL$4,($R$2-1)*12+2)</f>
        <v>2</v>
      </c>
      <c r="J40" s="49" t="n">
        <f aca="false">INDEX(Monthly!$C$4:$AL$4,($R$2-1)*12+3)</f>
        <v>3</v>
      </c>
      <c r="K40" s="49" t="n">
        <f aca="false">INDEX(Monthly!$C$4:$AL$4,($R$2-1)*12+4)</f>
        <v>4</v>
      </c>
      <c r="L40" s="49" t="n">
        <f aca="false">INDEX(Monthly!$C$4:$AL$4,($R$2-1)*12+5)</f>
        <v>5</v>
      </c>
      <c r="M40" s="49" t="n">
        <f aca="false">INDEX(Monthly!$C$4:$AL$4,($R$2-1)*12+6)</f>
        <v>6</v>
      </c>
      <c r="N40" s="49" t="n">
        <f aca="false">INDEX(Monthly!$C$4:$AL$4,($R$2-1)*12+7)</f>
        <v>7</v>
      </c>
      <c r="O40" s="49" t="n">
        <f aca="false">INDEX(Monthly!$C$4:$AL$4,($R$2-1)*12+8)</f>
        <v>8</v>
      </c>
      <c r="P40" s="49" t="n">
        <f aca="false">INDEX(Monthly!$C$4:$AL$4,($R$2-1)*12+9)</f>
        <v>9</v>
      </c>
      <c r="Q40" s="49" t="n">
        <f aca="false">INDEX(Monthly!$C$4:$AL$4,($R$2-1)*12+10)</f>
        <v>10</v>
      </c>
      <c r="R40" s="49" t="n">
        <f aca="false">INDEX(Monthly!$C$4:$AL$4,($R$2-1)*12+11)</f>
        <v>11</v>
      </c>
      <c r="S40" s="49" t="n">
        <f aca="false">INDEX(Monthly!$C$4:$AL$4,($R$2-1)*12+12)</f>
        <v>12</v>
      </c>
    </row>
    <row r="41" customFormat="false" ht="15" hidden="false" customHeight="false" outlineLevel="0" collapsed="false">
      <c r="A41" s="50" t="s">
        <v>87</v>
      </c>
      <c r="B41" s="36" t="n">
        <f aca="false">'Balance Sheet'!B5</f>
        <v>136697.290369956</v>
      </c>
      <c r="C41" s="36" t="n">
        <f aca="false">'Balance Sheet'!C5</f>
        <v>257593.891215914</v>
      </c>
      <c r="D41" s="36" t="n">
        <f aca="false">'Balance Sheet'!D5</f>
        <v>411594.225196654</v>
      </c>
      <c r="H41" s="36" t="n">
        <f aca="false">INDEX(Monthly!$C$80:$AL$80,($R$2-1)*12+1)</f>
        <v>43218.3907516952</v>
      </c>
      <c r="I41" s="36" t="n">
        <f aca="false">INDEX(Monthly!$C$80:$AL$80,($R$2-1)*12+2)</f>
        <v>46436.9050350984</v>
      </c>
      <c r="J41" s="36" t="n">
        <f aca="false">INDEX(Monthly!$C$80:$AL$80,($R$2-1)*12+3)</f>
        <v>52819.313710527</v>
      </c>
      <c r="K41" s="36" t="n">
        <f aca="false">INDEX(Monthly!$C$80:$AL$80,($R$2-1)*12+4)</f>
        <v>59689.9654399238</v>
      </c>
      <c r="L41" s="36" t="n">
        <f aca="false">INDEX(Monthly!$C$80:$AL$80,($R$2-1)*12+5)</f>
        <v>66568.0782804318</v>
      </c>
      <c r="M41" s="36" t="n">
        <f aca="false">INDEX(Monthly!$C$80:$AL$80,($R$2-1)*12+6)</f>
        <v>73453.6522320508</v>
      </c>
      <c r="N41" s="36" t="n">
        <f aca="false">INDEX(Monthly!$C$80:$AL$80,($R$2-1)*12+7)</f>
        <v>80346.687294781</v>
      </c>
      <c r="O41" s="36" t="n">
        <f aca="false">INDEX(Monthly!$C$80:$AL$80,($R$2-1)*12+8)</f>
        <v>87247.1834686223</v>
      </c>
      <c r="P41" s="36" t="n">
        <f aca="false">INDEX(Monthly!$C$80:$AL$80,($R$2-1)*12+9)</f>
        <v>94155.1407535746</v>
      </c>
      <c r="Q41" s="36" t="n">
        <f aca="false">INDEX(Monthly!$C$80:$AL$80,($R$2-1)*12+10)</f>
        <v>101070.559149638</v>
      </c>
      <c r="R41" s="36" t="n">
        <f aca="false">INDEX(Monthly!$C$80:$AL$80,($R$2-1)*12+11)</f>
        <v>117916.139347098</v>
      </c>
      <c r="S41" s="36" t="n">
        <f aca="false">INDEX(Monthly!$C$80:$AL$80,($R$2-1)*12+12)</f>
        <v>136697.290369956</v>
      </c>
    </row>
    <row r="42" customFormat="false" ht="15" hidden="false" customHeight="false" outlineLevel="0" collapsed="false">
      <c r="A42" s="50" t="s">
        <v>88</v>
      </c>
      <c r="B42" s="36" t="n">
        <f aca="false">'Balance Sheet'!B6</f>
        <v>35526.4</v>
      </c>
      <c r="C42" s="36" t="n">
        <f aca="false">'Balance Sheet'!C6</f>
        <v>38499.78496</v>
      </c>
      <c r="D42" s="36" t="n">
        <f aca="false">'Balance Sheet'!D6</f>
        <v>41778.638521984</v>
      </c>
      <c r="H42" s="36" t="n">
        <f aca="false">INDEX(Monthly!$C$66:$AL$66,($R$2-1)*12+1)</f>
        <v>27151.488</v>
      </c>
      <c r="I42" s="36" t="n">
        <f aca="false">INDEX(Monthly!$C$66:$AL$66,($R$2-1)*12+2)</f>
        <v>28659.904</v>
      </c>
      <c r="J42" s="36" t="n">
        <f aca="false">INDEX(Monthly!$C$66:$AL$66,($R$2-1)*12+3)</f>
        <v>30168.32</v>
      </c>
      <c r="K42" s="36" t="n">
        <f aca="false">INDEX(Monthly!$C$66:$AL$66,($R$2-1)*12+4)</f>
        <v>30168.32</v>
      </c>
      <c r="L42" s="36" t="n">
        <f aca="false">INDEX(Monthly!$C$66:$AL$66,($R$2-1)*12+5)</f>
        <v>30168.32</v>
      </c>
      <c r="M42" s="36" t="n">
        <f aca="false">INDEX(Monthly!$C$66:$AL$66,($R$2-1)*12+6)</f>
        <v>30168.32</v>
      </c>
      <c r="N42" s="36" t="n">
        <f aca="false">INDEX(Monthly!$C$66:$AL$66,($R$2-1)*12+7)</f>
        <v>30168.32</v>
      </c>
      <c r="O42" s="36" t="n">
        <f aca="false">INDEX(Monthly!$C$66:$AL$66,($R$2-1)*12+8)</f>
        <v>30168.32</v>
      </c>
      <c r="P42" s="36" t="n">
        <f aca="false">INDEX(Monthly!$C$66:$AL$66,($R$2-1)*12+9)</f>
        <v>30168.32</v>
      </c>
      <c r="Q42" s="36" t="n">
        <f aca="false">INDEX(Monthly!$C$66:$AL$66,($R$2-1)*12+10)</f>
        <v>30168.32</v>
      </c>
      <c r="R42" s="36" t="n">
        <f aca="false">INDEX(Monthly!$C$66:$AL$66,($R$2-1)*12+11)</f>
        <v>35526.4</v>
      </c>
      <c r="S42" s="36" t="n">
        <f aca="false">INDEX(Monthly!$C$66:$AL$66,($R$2-1)*12+12)</f>
        <v>35526.4</v>
      </c>
    </row>
    <row r="43" customFormat="false" ht="15" hidden="false" customHeight="false" outlineLevel="0" collapsed="false">
      <c r="A43" s="50" t="s">
        <v>89</v>
      </c>
      <c r="B43" s="36" t="n">
        <f aca="false">'Balance Sheet'!B7</f>
        <v>4796.53028571429</v>
      </c>
      <c r="C43" s="36" t="n">
        <f aca="false">'Balance Sheet'!C7</f>
        <v>5215.31909211429</v>
      </c>
      <c r="D43" s="36" t="n">
        <f aca="false">'Balance Sheet'!D7</f>
        <v>5679.07020202725</v>
      </c>
      <c r="H43" s="36" t="n">
        <f aca="false">INDEX(Monthly!$C$67:$AL$67,($R$2-1)*12+1)</f>
        <v>3699.48260571429</v>
      </c>
      <c r="I43" s="36" t="n">
        <f aca="false">INDEX(Monthly!$C$67:$AL$67,($R$2-1)*12+2)</f>
        <v>3905.00941714286</v>
      </c>
      <c r="J43" s="36" t="n">
        <f aca="false">INDEX(Monthly!$C$67:$AL$67,($R$2-1)*12+3)</f>
        <v>4110.53622857143</v>
      </c>
      <c r="K43" s="36" t="n">
        <f aca="false">INDEX(Monthly!$C$67:$AL$67,($R$2-1)*12+4)</f>
        <v>4110.53622857143</v>
      </c>
      <c r="L43" s="36" t="n">
        <f aca="false">INDEX(Monthly!$C$67:$AL$67,($R$2-1)*12+5)</f>
        <v>4110.53622857143</v>
      </c>
      <c r="M43" s="36" t="n">
        <f aca="false">INDEX(Monthly!$C$67:$AL$67,($R$2-1)*12+6)</f>
        <v>4110.53622857143</v>
      </c>
      <c r="N43" s="36" t="n">
        <f aca="false">INDEX(Monthly!$C$67:$AL$67,($R$2-1)*12+7)</f>
        <v>4110.53622857143</v>
      </c>
      <c r="O43" s="36" t="n">
        <f aca="false">INDEX(Monthly!$C$67:$AL$67,($R$2-1)*12+8)</f>
        <v>4110.53622857143</v>
      </c>
      <c r="P43" s="36" t="n">
        <f aca="false">INDEX(Monthly!$C$67:$AL$67,($R$2-1)*12+9)</f>
        <v>4110.53622857143</v>
      </c>
      <c r="Q43" s="36" t="n">
        <f aca="false">INDEX(Monthly!$C$67:$AL$67,($R$2-1)*12+10)</f>
        <v>4110.53622857143</v>
      </c>
      <c r="R43" s="36" t="n">
        <f aca="false">INDEX(Monthly!$C$67:$AL$67,($R$2-1)*12+11)</f>
        <v>4796.53028571429</v>
      </c>
      <c r="S43" s="36" t="n">
        <f aca="false">INDEX(Monthly!$C$67:$AL$67,($R$2-1)*12+12)</f>
        <v>4796.53028571429</v>
      </c>
    </row>
    <row r="44" customFormat="false" ht="15" hidden="false" customHeight="false" outlineLevel="0" collapsed="false">
      <c r="A44" s="50" t="s">
        <v>90</v>
      </c>
      <c r="B44" s="36" t="n">
        <f aca="false">'Balance Sheet'!B8</f>
        <v>77142.8571428571</v>
      </c>
      <c r="C44" s="36" t="n">
        <f aca="false">'Balance Sheet'!C8</f>
        <v>77202.380952381</v>
      </c>
      <c r="D44" s="36" t="n">
        <f aca="false">'Balance Sheet'!D8</f>
        <v>75261.9047619049</v>
      </c>
      <c r="H44" s="36" t="n">
        <f aca="false">INDEX(Monthly!$C$57:$AL$57,($R$2-1)*12+1)</f>
        <v>88928.5714285714</v>
      </c>
      <c r="I44" s="36" t="n">
        <f aca="false">INDEX(Monthly!$C$57:$AL$57,($R$2-1)*12+2)</f>
        <v>87857.1428571429</v>
      </c>
      <c r="J44" s="36" t="n">
        <f aca="false">INDEX(Monthly!$C$57:$AL$57,($R$2-1)*12+3)</f>
        <v>86785.7142857143</v>
      </c>
      <c r="K44" s="36" t="n">
        <f aca="false">INDEX(Monthly!$C$57:$AL$57,($R$2-1)*12+4)</f>
        <v>85714.2857142857</v>
      </c>
      <c r="L44" s="36" t="n">
        <f aca="false">INDEX(Monthly!$C$57:$AL$57,($R$2-1)*12+5)</f>
        <v>84642.8571428571</v>
      </c>
      <c r="M44" s="36" t="n">
        <f aca="false">INDEX(Monthly!$C$57:$AL$57,($R$2-1)*12+6)</f>
        <v>83571.4285714286</v>
      </c>
      <c r="N44" s="36" t="n">
        <f aca="false">INDEX(Monthly!$C$57:$AL$57,($R$2-1)*12+7)</f>
        <v>82500</v>
      </c>
      <c r="O44" s="36" t="n">
        <f aca="false">INDEX(Monthly!$C$57:$AL$57,($R$2-1)*12+8)</f>
        <v>81428.5714285714</v>
      </c>
      <c r="P44" s="36" t="n">
        <f aca="false">INDEX(Monthly!$C$57:$AL$57,($R$2-1)*12+9)</f>
        <v>80357.1428571429</v>
      </c>
      <c r="Q44" s="36" t="n">
        <f aca="false">INDEX(Monthly!$C$57:$AL$57,($R$2-1)*12+10)</f>
        <v>79285.7142857143</v>
      </c>
      <c r="R44" s="36" t="n">
        <f aca="false">INDEX(Monthly!$C$57:$AL$57,($R$2-1)*12+11)</f>
        <v>78214.2857142857</v>
      </c>
      <c r="S44" s="36" t="n">
        <f aca="false">INDEX(Monthly!$C$57:$AL$57,($R$2-1)*12+12)</f>
        <v>77142.8571428571</v>
      </c>
    </row>
    <row r="45" customFormat="false" ht="15" hidden="false" customHeight="false" outlineLevel="0" collapsed="false">
      <c r="A45" s="37" t="s">
        <v>91</v>
      </c>
      <c r="B45" s="38" t="n">
        <f aca="false">'Balance Sheet'!B9</f>
        <v>254163.077798527</v>
      </c>
      <c r="C45" s="38" t="n">
        <f aca="false">'Balance Sheet'!C9</f>
        <v>378511.376220409</v>
      </c>
      <c r="D45" s="38" t="n">
        <f aca="false">'Balance Sheet'!D9</f>
        <v>534313.83868257</v>
      </c>
      <c r="E45" s="37"/>
      <c r="F45" s="37"/>
      <c r="H45" s="38" t="n">
        <f aca="false">INDEX(Monthly!$C$94:$AL$94,($R$2-1)*12+1)</f>
        <v>162997.932785981</v>
      </c>
      <c r="I45" s="38" t="n">
        <f aca="false">INDEX(Monthly!$C$94:$AL$94,($R$2-1)*12+2)</f>
        <v>166858.961309384</v>
      </c>
      <c r="J45" s="38" t="n">
        <f aca="false">INDEX(Monthly!$C$94:$AL$94,($R$2-1)*12+3)</f>
        <v>173883.884224813</v>
      </c>
      <c r="K45" s="38" t="n">
        <f aca="false">INDEX(Monthly!$C$94:$AL$94,($R$2-1)*12+4)</f>
        <v>179683.107382781</v>
      </c>
      <c r="L45" s="38" t="n">
        <f aca="false">INDEX(Monthly!$C$94:$AL$94,($R$2-1)*12+5)</f>
        <v>185489.79165186</v>
      </c>
      <c r="M45" s="38" t="n">
        <f aca="false">INDEX(Monthly!$C$94:$AL$94,($R$2-1)*12+6)</f>
        <v>191303.937032051</v>
      </c>
      <c r="N45" s="38" t="n">
        <f aca="false">INDEX(Monthly!$C$94:$AL$94,($R$2-1)*12+7)</f>
        <v>197125.543523352</v>
      </c>
      <c r="O45" s="38" t="n">
        <f aca="false">INDEX(Monthly!$C$94:$AL$94,($R$2-1)*12+8)</f>
        <v>202954.611125765</v>
      </c>
      <c r="P45" s="38" t="n">
        <f aca="false">INDEX(Monthly!$C$94:$AL$94,($R$2-1)*12+9)</f>
        <v>208791.139839289</v>
      </c>
      <c r="Q45" s="38" t="n">
        <f aca="false">INDEX(Monthly!$C$94:$AL$94,($R$2-1)*12+10)</f>
        <v>214635.129663924</v>
      </c>
      <c r="R45" s="38" t="n">
        <f aca="false">INDEX(Monthly!$C$94:$AL$94,($R$2-1)*12+11)</f>
        <v>236453.355347098</v>
      </c>
      <c r="S45" s="38" t="n">
        <f aca="false">INDEX(Monthly!$C$94:$AL$94,($R$2-1)*12+12)</f>
        <v>254163.077798527</v>
      </c>
    </row>
    <row r="46" customFormat="false" ht="15" hidden="false" customHeight="false" outlineLevel="0" collapsed="false">
      <c r="A46" s="50" t="s">
        <v>92</v>
      </c>
      <c r="B46" s="36" t="n">
        <f aca="false">'Balance Sheet'!B10</f>
        <v>28779.1817142857</v>
      </c>
      <c r="C46" s="36" t="n">
        <f aca="false">'Balance Sheet'!C10</f>
        <v>31291.9145526857</v>
      </c>
      <c r="D46" s="36" t="n">
        <f aca="false">'Balance Sheet'!D10</f>
        <v>34074.4212121635</v>
      </c>
      <c r="H46" s="36" t="n">
        <f aca="false">INDEX(Monthly!$C$68:$AL$68,($R$2-1)*12+1)</f>
        <v>22196.8956342857</v>
      </c>
      <c r="I46" s="36" t="n">
        <f aca="false">INDEX(Monthly!$C$68:$AL$68,($R$2-1)*12+2)</f>
        <v>23430.0565028571</v>
      </c>
      <c r="J46" s="36" t="n">
        <f aca="false">INDEX(Monthly!$C$68:$AL$68,($R$2-1)*12+3)</f>
        <v>24663.2173714286</v>
      </c>
      <c r="K46" s="36" t="n">
        <f aca="false">INDEX(Monthly!$C$68:$AL$68,($R$2-1)*12+4)</f>
        <v>24663.2173714286</v>
      </c>
      <c r="L46" s="36" t="n">
        <f aca="false">INDEX(Monthly!$C$68:$AL$68,($R$2-1)*12+5)</f>
        <v>24663.2173714286</v>
      </c>
      <c r="M46" s="36" t="n">
        <f aca="false">INDEX(Monthly!$C$68:$AL$68,($R$2-1)*12+6)</f>
        <v>24663.2173714286</v>
      </c>
      <c r="N46" s="36" t="n">
        <f aca="false">INDEX(Monthly!$C$68:$AL$68,($R$2-1)*12+7)</f>
        <v>24663.2173714286</v>
      </c>
      <c r="O46" s="36" t="n">
        <f aca="false">INDEX(Monthly!$C$68:$AL$68,($R$2-1)*12+8)</f>
        <v>24663.2173714286</v>
      </c>
      <c r="P46" s="36" t="n">
        <f aca="false">INDEX(Monthly!$C$68:$AL$68,($R$2-1)*12+9)</f>
        <v>24663.2173714286</v>
      </c>
      <c r="Q46" s="36" t="n">
        <f aca="false">INDEX(Monthly!$C$68:$AL$68,($R$2-1)*12+10)</f>
        <v>24663.2173714286</v>
      </c>
      <c r="R46" s="36" t="n">
        <f aca="false">INDEX(Monthly!$C$68:$AL$68,($R$2-1)*12+11)</f>
        <v>28779.1817142857</v>
      </c>
      <c r="S46" s="36" t="n">
        <f aca="false">INDEX(Monthly!$C$68:$AL$68,($R$2-1)*12+12)</f>
        <v>28779.1817142857</v>
      </c>
    </row>
    <row r="47" customFormat="false" ht="15" hidden="false" customHeight="false" outlineLevel="0" collapsed="false">
      <c r="A47" s="50" t="s">
        <v>93</v>
      </c>
      <c r="B47" s="36" t="n">
        <f aca="false">'Balance Sheet'!B11</f>
        <v>65333.3333333334</v>
      </c>
      <c r="C47" s="36" t="n">
        <f aca="false">'Balance Sheet'!C11</f>
        <v>49333.3333333334</v>
      </c>
      <c r="D47" s="36" t="n">
        <f aca="false">'Balance Sheet'!D11</f>
        <v>33333.3333333333</v>
      </c>
      <c r="H47" s="36" t="n">
        <f aca="false">INDEX(Monthly!$C$63:$AL$63,($R$2-1)*12+1)</f>
        <v>80000</v>
      </c>
      <c r="I47" s="36" t="n">
        <f aca="false">INDEX(Monthly!$C$63:$AL$63,($R$2-1)*12+2)</f>
        <v>78666.6666666667</v>
      </c>
      <c r="J47" s="36" t="n">
        <f aca="false">INDEX(Monthly!$C$63:$AL$63,($R$2-1)*12+3)</f>
        <v>77333.3333333333</v>
      </c>
      <c r="K47" s="36" t="n">
        <f aca="false">INDEX(Monthly!$C$63:$AL$63,($R$2-1)*12+4)</f>
        <v>76000</v>
      </c>
      <c r="L47" s="36" t="n">
        <f aca="false">INDEX(Monthly!$C$63:$AL$63,($R$2-1)*12+5)</f>
        <v>74666.6666666667</v>
      </c>
      <c r="M47" s="36" t="n">
        <f aca="false">INDEX(Monthly!$C$63:$AL$63,($R$2-1)*12+6)</f>
        <v>73333.3333333334</v>
      </c>
      <c r="N47" s="36" t="n">
        <f aca="false">INDEX(Monthly!$C$63:$AL$63,($R$2-1)*12+7)</f>
        <v>72000</v>
      </c>
      <c r="O47" s="36" t="n">
        <f aca="false">INDEX(Monthly!$C$63:$AL$63,($R$2-1)*12+8)</f>
        <v>70666.6666666667</v>
      </c>
      <c r="P47" s="36" t="n">
        <f aca="false">INDEX(Monthly!$C$63:$AL$63,($R$2-1)*12+9)</f>
        <v>69333.3333333334</v>
      </c>
      <c r="Q47" s="36" t="n">
        <f aca="false">INDEX(Monthly!$C$63:$AL$63,($R$2-1)*12+10)</f>
        <v>68000</v>
      </c>
      <c r="R47" s="36" t="n">
        <f aca="false">INDEX(Monthly!$C$63:$AL$63,($R$2-1)*12+11)</f>
        <v>66666.6666666667</v>
      </c>
      <c r="S47" s="36" t="n">
        <f aca="false">INDEX(Monthly!$C$63:$AL$63,($R$2-1)*12+12)</f>
        <v>65333.3333333334</v>
      </c>
    </row>
    <row r="48" customFormat="false" ht="15" hidden="false" customHeight="false" outlineLevel="0" collapsed="false">
      <c r="A48" s="37" t="s">
        <v>94</v>
      </c>
      <c r="B48" s="38" t="n">
        <f aca="false">'Balance Sheet'!B12</f>
        <v>94112.5150476191</v>
      </c>
      <c r="C48" s="38" t="n">
        <f aca="false">'Balance Sheet'!C12</f>
        <v>80625.2478860191</v>
      </c>
      <c r="D48" s="38" t="n">
        <f aca="false">'Balance Sheet'!D12</f>
        <v>67407.7545454968</v>
      </c>
      <c r="E48" s="37"/>
      <c r="F48" s="37"/>
      <c r="H48" s="38" t="n">
        <f aca="false">INDEX(Monthly!$C$95:$AL$95,($R$2-1)*12+1)</f>
        <v>102196.895634286</v>
      </c>
      <c r="I48" s="38" t="n">
        <f aca="false">INDEX(Monthly!$C$95:$AL$95,($R$2-1)*12+2)</f>
        <v>102096.723169524</v>
      </c>
      <c r="J48" s="38" t="n">
        <f aca="false">INDEX(Monthly!$C$95:$AL$95,($R$2-1)*12+3)</f>
        <v>101996.550704762</v>
      </c>
      <c r="K48" s="38" t="n">
        <f aca="false">INDEX(Monthly!$C$95:$AL$95,($R$2-1)*12+4)</f>
        <v>100663.217371429</v>
      </c>
      <c r="L48" s="38" t="n">
        <f aca="false">INDEX(Monthly!$C$95:$AL$95,($R$2-1)*12+5)</f>
        <v>99329.8840380953</v>
      </c>
      <c r="M48" s="38" t="n">
        <f aca="false">INDEX(Monthly!$C$95:$AL$95,($R$2-1)*12+6)</f>
        <v>97996.5507047619</v>
      </c>
      <c r="N48" s="38" t="n">
        <f aca="false">INDEX(Monthly!$C$95:$AL$95,($R$2-1)*12+7)</f>
        <v>96663.2173714286</v>
      </c>
      <c r="O48" s="38" t="n">
        <f aca="false">INDEX(Monthly!$C$95:$AL$95,($R$2-1)*12+8)</f>
        <v>95329.8840380953</v>
      </c>
      <c r="P48" s="38" t="n">
        <f aca="false">INDEX(Monthly!$C$95:$AL$95,($R$2-1)*12+9)</f>
        <v>93996.550704762</v>
      </c>
      <c r="Q48" s="38" t="n">
        <f aca="false">INDEX(Monthly!$C$95:$AL$95,($R$2-1)*12+10)</f>
        <v>92663.2173714286</v>
      </c>
      <c r="R48" s="38" t="n">
        <f aca="false">INDEX(Monthly!$C$95:$AL$95,($R$2-1)*12+11)</f>
        <v>95445.8483809524</v>
      </c>
      <c r="S48" s="38" t="n">
        <f aca="false">INDEX(Monthly!$C$95:$AL$95,($R$2-1)*12+12)</f>
        <v>94112.5150476191</v>
      </c>
    </row>
    <row r="49" customFormat="false" ht="15" hidden="false" customHeight="false" outlineLevel="0" collapsed="false">
      <c r="A49" s="50" t="s">
        <v>95</v>
      </c>
      <c r="B49" s="36" t="n">
        <f aca="false">'Balance Sheet'!B13</f>
        <v>60000</v>
      </c>
      <c r="C49" s="36" t="n">
        <f aca="false">'Balance Sheet'!C13</f>
        <v>60000</v>
      </c>
      <c r="D49" s="36" t="n">
        <f aca="false">'Balance Sheet'!D13</f>
        <v>60000</v>
      </c>
      <c r="H49" s="36" t="n">
        <f aca="false">INDEX(Monthly!$C$92:$AL$92,($R$2-1)*12+1)</f>
        <v>60000</v>
      </c>
      <c r="I49" s="36" t="n">
        <f aca="false">INDEX(Monthly!$C$92:$AL$92,($R$2-1)*12+2)</f>
        <v>60000</v>
      </c>
      <c r="J49" s="36" t="n">
        <f aca="false">INDEX(Monthly!$C$92:$AL$92,($R$2-1)*12+3)</f>
        <v>60000</v>
      </c>
      <c r="K49" s="36" t="n">
        <f aca="false">INDEX(Monthly!$C$92:$AL$92,($R$2-1)*12+4)</f>
        <v>60000</v>
      </c>
      <c r="L49" s="36" t="n">
        <f aca="false">INDEX(Monthly!$C$92:$AL$92,($R$2-1)*12+5)</f>
        <v>60000</v>
      </c>
      <c r="M49" s="36" t="n">
        <f aca="false">INDEX(Monthly!$C$92:$AL$92,($R$2-1)*12+6)</f>
        <v>60000</v>
      </c>
      <c r="N49" s="36" t="n">
        <f aca="false">INDEX(Monthly!$C$92:$AL$92,($R$2-1)*12+7)</f>
        <v>60000</v>
      </c>
      <c r="O49" s="36" t="n">
        <f aca="false">INDEX(Monthly!$C$92:$AL$92,($R$2-1)*12+8)</f>
        <v>60000</v>
      </c>
      <c r="P49" s="36" t="n">
        <f aca="false">INDEX(Monthly!$C$92:$AL$92,($R$2-1)*12+9)</f>
        <v>60000</v>
      </c>
      <c r="Q49" s="36" t="n">
        <f aca="false">INDEX(Monthly!$C$92:$AL$92,($R$2-1)*12+10)</f>
        <v>60000</v>
      </c>
      <c r="R49" s="36" t="n">
        <f aca="false">INDEX(Monthly!$C$92:$AL$92,($R$2-1)*12+11)</f>
        <v>60000</v>
      </c>
      <c r="S49" s="36" t="n">
        <f aca="false">INDEX(Monthly!$C$92:$AL$92,($R$2-1)*12+12)</f>
        <v>60000</v>
      </c>
    </row>
    <row r="50" customFormat="false" ht="15" hidden="false" customHeight="false" outlineLevel="0" collapsed="false">
      <c r="A50" s="50" t="s">
        <v>96</v>
      </c>
      <c r="B50" s="36" t="n">
        <f aca="false">'Balance Sheet'!B14</f>
        <v>100050.562750908</v>
      </c>
      <c r="C50" s="36" t="n">
        <f aca="false">'Balance Sheet'!C14</f>
        <v>237886.12833439</v>
      </c>
      <c r="D50" s="36" t="n">
        <f aca="false">'Balance Sheet'!D14</f>
        <v>406906.084137073</v>
      </c>
      <c r="H50" s="36" t="n">
        <f aca="false">INDEX(Monthly!$C$93:$AL$93,($R$2-1)*12+1)</f>
        <v>801.037151695254</v>
      </c>
      <c r="I50" s="36" t="n">
        <f aca="false">INDEX(Monthly!$C$93:$AL$93,($R$2-1)*12+2)</f>
        <v>4762.23813986033</v>
      </c>
      <c r="J50" s="36" t="n">
        <f aca="false">INDEX(Monthly!$C$93:$AL$93,($R$2-1)*12+3)</f>
        <v>11887.3335200508</v>
      </c>
      <c r="K50" s="36" t="n">
        <f aca="false">INDEX(Monthly!$C$93:$AL$93,($R$2-1)*12+4)</f>
        <v>19019.8900113524</v>
      </c>
      <c r="L50" s="36" t="n">
        <f aca="false">INDEX(Monthly!$C$93:$AL$93,($R$2-1)*12+5)</f>
        <v>26159.9076137651</v>
      </c>
      <c r="M50" s="36" t="n">
        <f aca="false">INDEX(Monthly!$C$93:$AL$93,($R$2-1)*12+6)</f>
        <v>33307.3863272889</v>
      </c>
      <c r="N50" s="36" t="n">
        <f aca="false">INDEX(Monthly!$C$93:$AL$93,($R$2-1)*12+7)</f>
        <v>40462.3261519238</v>
      </c>
      <c r="O50" s="36" t="n">
        <f aca="false">INDEX(Monthly!$C$93:$AL$93,($R$2-1)*12+8)</f>
        <v>47624.7270876699</v>
      </c>
      <c r="P50" s="36" t="n">
        <f aca="false">INDEX(Monthly!$C$93:$AL$93,($R$2-1)*12+9)</f>
        <v>54794.589134527</v>
      </c>
      <c r="Q50" s="36" t="n">
        <f aca="false">INDEX(Monthly!$C$93:$AL$93,($R$2-1)*12+10)</f>
        <v>61971.9122924953</v>
      </c>
      <c r="R50" s="36" t="n">
        <f aca="false">INDEX(Monthly!$C$93:$AL$93,($R$2-1)*12+11)</f>
        <v>81007.5069661461</v>
      </c>
      <c r="S50" s="36" t="n">
        <f aca="false">INDEX(Monthly!$C$93:$AL$93,($R$2-1)*12+12)</f>
        <v>100050.562750908</v>
      </c>
    </row>
    <row r="51" customFormat="false" ht="15" hidden="false" customHeight="false" outlineLevel="0" collapsed="false">
      <c r="A51" s="37" t="s">
        <v>97</v>
      </c>
      <c r="B51" s="38" t="n">
        <f aca="false">'Balance Sheet'!B15</f>
        <v>160050.562750908</v>
      </c>
      <c r="C51" s="38" t="n">
        <f aca="false">'Balance Sheet'!C15</f>
        <v>297886.12833439</v>
      </c>
      <c r="D51" s="38" t="n">
        <f aca="false">'Balance Sheet'!D15</f>
        <v>466906.084137073</v>
      </c>
      <c r="E51" s="37"/>
      <c r="F51" s="37"/>
      <c r="H51" s="38" t="n">
        <f aca="false">INDEX(Monthly!$C$96:$AL$96,($R$2-1)*12+1)</f>
        <v>60801.0371516953</v>
      </c>
      <c r="I51" s="38" t="n">
        <f aca="false">INDEX(Monthly!$C$96:$AL$96,($R$2-1)*12+2)</f>
        <v>64762.2381398603</v>
      </c>
      <c r="J51" s="38" t="n">
        <f aca="false">INDEX(Monthly!$C$96:$AL$96,($R$2-1)*12+3)</f>
        <v>71887.3335200508</v>
      </c>
      <c r="K51" s="38" t="n">
        <f aca="false">INDEX(Monthly!$C$96:$AL$96,($R$2-1)*12+4)</f>
        <v>79019.8900113524</v>
      </c>
      <c r="L51" s="38" t="n">
        <f aca="false">INDEX(Monthly!$C$96:$AL$96,($R$2-1)*12+5)</f>
        <v>86159.9076137651</v>
      </c>
      <c r="M51" s="38" t="n">
        <f aca="false">INDEX(Monthly!$C$96:$AL$96,($R$2-1)*12+6)</f>
        <v>93307.3863272889</v>
      </c>
      <c r="N51" s="38" t="n">
        <f aca="false">INDEX(Monthly!$C$96:$AL$96,($R$2-1)*12+7)</f>
        <v>100462.326151924</v>
      </c>
      <c r="O51" s="38" t="n">
        <f aca="false">INDEX(Monthly!$C$96:$AL$96,($R$2-1)*12+8)</f>
        <v>107624.72708767</v>
      </c>
      <c r="P51" s="38" t="n">
        <f aca="false">INDEX(Monthly!$C$96:$AL$96,($R$2-1)*12+9)</f>
        <v>114794.589134527</v>
      </c>
      <c r="Q51" s="38" t="n">
        <f aca="false">INDEX(Monthly!$C$96:$AL$96,($R$2-1)*12+10)</f>
        <v>121971.912292495</v>
      </c>
      <c r="R51" s="38" t="n">
        <f aca="false">INDEX(Monthly!$C$96:$AL$96,($R$2-1)*12+11)</f>
        <v>141007.506966146</v>
      </c>
      <c r="S51" s="38" t="n">
        <f aca="false">INDEX(Monthly!$C$96:$AL$96,($R$2-1)*12+12)</f>
        <v>160050.562750908</v>
      </c>
    </row>
    <row r="52" customFormat="false" ht="15" hidden="false" customHeight="false" outlineLevel="0" collapsed="false">
      <c r="A52" s="41" t="s">
        <v>98</v>
      </c>
      <c r="B52" s="42" t="n">
        <f aca="false">'Balance Sheet'!B16</f>
        <v>254163.077798527</v>
      </c>
      <c r="C52" s="42" t="n">
        <f aca="false">'Balance Sheet'!C16</f>
        <v>378511.376220409</v>
      </c>
      <c r="D52" s="42" t="n">
        <f aca="false">'Balance Sheet'!D16</f>
        <v>534313.83868257</v>
      </c>
      <c r="E52" s="41"/>
      <c r="F52" s="41"/>
      <c r="H52" s="42" t="n">
        <f aca="false">INDEX(Monthly!$C$97:$AL$97,($R$2-1)*12+1)</f>
        <v>162997.932785981</v>
      </c>
      <c r="I52" s="42" t="n">
        <f aca="false">INDEX(Monthly!$C$97:$AL$97,($R$2-1)*12+2)</f>
        <v>166858.961309384</v>
      </c>
      <c r="J52" s="42" t="n">
        <f aca="false">INDEX(Monthly!$C$97:$AL$97,($R$2-1)*12+3)</f>
        <v>173883.884224813</v>
      </c>
      <c r="K52" s="42" t="n">
        <f aca="false">INDEX(Monthly!$C$97:$AL$97,($R$2-1)*12+4)</f>
        <v>179683.107382781</v>
      </c>
      <c r="L52" s="42" t="n">
        <f aca="false">INDEX(Monthly!$C$97:$AL$97,($R$2-1)*12+5)</f>
        <v>185489.79165186</v>
      </c>
      <c r="M52" s="42" t="n">
        <f aca="false">INDEX(Monthly!$C$97:$AL$97,($R$2-1)*12+6)</f>
        <v>191303.937032051</v>
      </c>
      <c r="N52" s="42" t="n">
        <f aca="false">INDEX(Monthly!$C$97:$AL$97,($R$2-1)*12+7)</f>
        <v>197125.543523352</v>
      </c>
      <c r="O52" s="42" t="n">
        <f aca="false">INDEX(Monthly!$C$97:$AL$97,($R$2-1)*12+8)</f>
        <v>202954.611125765</v>
      </c>
      <c r="P52" s="42" t="n">
        <f aca="false">INDEX(Monthly!$C$97:$AL$97,($R$2-1)*12+9)</f>
        <v>208791.139839289</v>
      </c>
      <c r="Q52" s="42" t="n">
        <f aca="false">INDEX(Monthly!$C$97:$AL$97,($R$2-1)*12+10)</f>
        <v>214635.129663924</v>
      </c>
      <c r="R52" s="42" t="n">
        <f aca="false">INDEX(Monthly!$C$97:$AL$97,($R$2-1)*12+11)</f>
        <v>236453.355347099</v>
      </c>
      <c r="S52" s="42" t="n">
        <f aca="false">INDEX(Monthly!$C$97:$AL$97,($R$2-1)*12+12)</f>
        <v>254163.077798527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99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100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</row>
    <row r="6" customFormat="false" ht="15" hidden="false" customHeight="false" outlineLevel="0" collapsed="false">
      <c r="A6" s="6" t="s">
        <v>103</v>
      </c>
      <c r="B6" s="51" t="n">
        <f aca="false">MATCH(MIN(Monthly!$C$80:$AL$80),Monthly!$C$80:$AL$80,0)</f>
        <v>1</v>
      </c>
    </row>
    <row r="7" customFormat="false" ht="15" hidden="false" customHeight="false" outlineLevel="0" collapsed="false">
      <c r="A7" s="6" t="s">
        <v>104</v>
      </c>
      <c r="B7" s="52" t="n">
        <f aca="false">SUMPRODUCT(--(Monthly!$C$4:$AL$4&lt;=$B$6),Monthly!$C$53:$AL$53)</f>
        <v>90000</v>
      </c>
    </row>
    <row r="8" customFormat="false" ht="15" hidden="false" customHeight="false" outlineLevel="0" collapsed="false">
      <c r="A8" s="6" t="s">
        <v>105</v>
      </c>
      <c r="B8" s="52" t="n">
        <f aca="false">-SUMPRODUCT(--(Monthly!$C$4:$AL$4&lt;=$B$6),Monthly!$C$74:$AL$74)</f>
        <v>6781.60924830475</v>
      </c>
      <c r="D8" s="18" t="s">
        <v>106</v>
      </c>
    </row>
    <row r="9" customFormat="false" ht="15" hidden="false" customHeight="false" outlineLevel="0" collapsed="false">
      <c r="A9" s="6" t="s">
        <v>107</v>
      </c>
      <c r="B9" s="52" t="n">
        <f aca="false">-SUMPRODUCT(--(Monthly!$C$4:$AL$4&lt;=$B$6),Monthly!$C$62:$AL$62)</f>
        <v>-0</v>
      </c>
    </row>
    <row r="10" customFormat="false" ht="15" hidden="false" customHeight="false" outlineLevel="0" collapsed="false">
      <c r="A10" s="4" t="s">
        <v>108</v>
      </c>
      <c r="B10" s="53" t="n">
        <f aca="false">B7+B8+B9</f>
        <v>96781.6092483048</v>
      </c>
    </row>
    <row r="11" customFormat="false" ht="15" hidden="false" customHeight="false" outlineLevel="0" collapsed="false">
      <c r="A11" s="6" t="s">
        <v>109</v>
      </c>
      <c r="B11" s="54" t="n">
        <f aca="false">Inputs!$E$73</f>
        <v>233000</v>
      </c>
      <c r="D11" s="18" t="s">
        <v>110</v>
      </c>
    </row>
    <row r="12" customFormat="false" ht="15" hidden="false" customHeight="false" outlineLevel="0" collapsed="false">
      <c r="A12" s="4" t="s">
        <v>111</v>
      </c>
      <c r="B12" s="53" t="n">
        <f aca="false">B10+B11</f>
        <v>329781.609248305</v>
      </c>
    </row>
    <row r="14" customFormat="false" ht="15" hidden="false" customHeight="false" outlineLevel="0" collapsed="false">
      <c r="A14" s="6" t="s">
        <v>62</v>
      </c>
      <c r="B14" s="54" t="n">
        <f aca="false">Inputs!$E$58</f>
        <v>60000</v>
      </c>
    </row>
    <row r="15" customFormat="false" ht="15" hidden="false" customHeight="false" outlineLevel="0" collapsed="false">
      <c r="A15" s="6" t="s">
        <v>63</v>
      </c>
      <c r="B15" s="54" t="n">
        <f aca="false">Inputs!$E$59</f>
        <v>80000</v>
      </c>
    </row>
    <row r="16" customFormat="false" ht="15" hidden="false" customHeight="false" outlineLevel="0" collapsed="false">
      <c r="A16" s="4" t="s">
        <v>112</v>
      </c>
      <c r="B16" s="53" t="n">
        <f aca="false">B14+B15</f>
        <v>140000</v>
      </c>
    </row>
    <row r="17" customFormat="false" ht="15" hidden="false" customHeight="false" outlineLevel="0" collapsed="false">
      <c r="A17" s="55" t="s">
        <v>65</v>
      </c>
      <c r="B17" s="56" t="n">
        <f aca="false">B16-B12</f>
        <v>-189781.609248305</v>
      </c>
      <c r="D17" s="18" t="s">
        <v>113</v>
      </c>
    </row>
    <row r="18" customFormat="false" ht="15" hidden="false" customHeight="false" outlineLevel="0" collapsed="false">
      <c r="A18" s="6" t="s">
        <v>114</v>
      </c>
      <c r="B18" s="52" t="n">
        <f aca="false">MIN(Monthly!$C$80:$AL$80)</f>
        <v>43218.3907516952</v>
      </c>
      <c r="D18" s="18" t="s">
        <v>115</v>
      </c>
    </row>
    <row r="20" customFormat="false" ht="15.75" hidden="false" customHeight="true" outlineLevel="0" collapsed="false">
      <c r="A20" s="7" t="s">
        <v>116</v>
      </c>
      <c r="B20" s="7"/>
      <c r="C20" s="7"/>
      <c r="D20" s="7"/>
    </row>
    <row r="21" customFormat="false" ht="15" hidden="false" customHeight="false" outlineLevel="0" collapsed="false">
      <c r="A21" s="6" t="s">
        <v>117</v>
      </c>
      <c r="B21" s="51" t="n">
        <f aca="false">IFERROR(MATCH(1,Monthly!$C$81:$AL$81,0),"Not within horizon")</f>
        <v>1</v>
      </c>
    </row>
    <row r="22" customFormat="false" ht="15" hidden="false" customHeight="false" outlineLevel="0" collapsed="false">
      <c r="A22" s="6" t="s">
        <v>118</v>
      </c>
      <c r="B22" s="51" t="n">
        <f aca="false">IFERROR(MATCH(1,Monthly!$C$84:$AL$84,0),"Not within horizon")</f>
        <v>1</v>
      </c>
    </row>
    <row r="23" customFormat="false" ht="15" hidden="false" customHeight="false" outlineLevel="0" collapsed="false">
      <c r="A23" s="6" t="s">
        <v>119</v>
      </c>
      <c r="B23" s="51" t="n">
        <f aca="false">IF(MIN(Monthly!$C$86:$AL$86)&gt;=0,"No investment to pay back",IFERROR(MATCH(1,Monthly!$C$88:$AL$88,0),"Not within horizon"))</f>
        <v>12</v>
      </c>
      <c r="D23" s="18" t="s">
        <v>120</v>
      </c>
    </row>
    <row r="25" customFormat="false" ht="15.75" hidden="false" customHeight="true" outlineLevel="0" collapsed="false">
      <c r="A25" s="7" t="s">
        <v>121</v>
      </c>
      <c r="B25" s="7"/>
      <c r="C25" s="7"/>
      <c r="D25" s="7"/>
    </row>
    <row r="26" customFormat="false" ht="15" hidden="false" customHeight="false" outlineLevel="0" collapsed="false">
      <c r="A26" s="57" t="s">
        <v>122</v>
      </c>
      <c r="B26" s="57" t="n">
        <v>1</v>
      </c>
      <c r="C26" s="57" t="n">
        <v>2</v>
      </c>
      <c r="D26" s="57" t="n">
        <v>3</v>
      </c>
    </row>
    <row r="27" customFormat="false" ht="15" hidden="false" customHeight="false" outlineLevel="0" collapsed="false">
      <c r="A27" s="33"/>
      <c r="B27" s="35" t="s">
        <v>123</v>
      </c>
      <c r="C27" s="35" t="s">
        <v>124</v>
      </c>
      <c r="D27" s="35" t="s">
        <v>125</v>
      </c>
    </row>
    <row r="28" customFormat="false" ht="15" hidden="false" customHeight="false" outlineLevel="0" collapsed="false">
      <c r="A28" s="4" t="s">
        <v>42</v>
      </c>
      <c r="B28" s="58" t="n">
        <f aca="false">SUMIF(Monthly!$C$5:$AL$5,B$26,Monthly!$C$22:$AL$22)</f>
        <v>1578046.08</v>
      </c>
      <c r="C28" s="58" t="n">
        <f aca="false">SUMIF(Monthly!$C$5:$AL$5,C$26,Monthly!$C$22:$AL$22)</f>
        <v>1736372.352</v>
      </c>
      <c r="D28" s="58" t="n">
        <f aca="false">SUMIF(Monthly!$C$5:$AL$5,D$26,Monthly!$C$22:$AL$22)</f>
        <v>1890162.8563584</v>
      </c>
    </row>
    <row r="29" customFormat="false" ht="15" hidden="false" customHeight="false" outlineLevel="0" collapsed="false">
      <c r="A29" s="6" t="s">
        <v>43</v>
      </c>
      <c r="B29" s="52" t="n">
        <f aca="false">SUMIF(Monthly!$C$5:$AL$5,B$26,Monthly!$C$29:$AL$29)</f>
        <v>1077227.65577143</v>
      </c>
      <c r="C29" s="52" t="n">
        <f aca="false">SUMIF(Monthly!$C$5:$AL$5,C$26,Monthly!$C$29:$AL$29)</f>
        <v>1183311.17046857</v>
      </c>
      <c r="D29" s="52" t="n">
        <f aca="false">SUMIF(Monthly!$C$5:$AL$5,D$26,Monthly!$C$29:$AL$29)</f>
        <v>1285883.66760732</v>
      </c>
    </row>
    <row r="30" customFormat="false" ht="15" hidden="false" customHeight="false" outlineLevel="0" collapsed="false">
      <c r="A30" s="39" t="s">
        <v>126</v>
      </c>
      <c r="B30" s="59" t="n">
        <f aca="false">IF(B28=0,0,B29/B28)</f>
        <v>0.68263384030676</v>
      </c>
      <c r="C30" s="59" t="n">
        <f aca="false">IF(C28=0,0,C29/C28)</f>
        <v>0.681484687950486</v>
      </c>
      <c r="D30" s="59" t="n">
        <f aca="false">IF(D28=0,0,D29/D28)</f>
        <v>0.680303108952588</v>
      </c>
    </row>
    <row r="31" customFormat="false" ht="15" hidden="false" customHeight="false" outlineLevel="0" collapsed="false">
      <c r="A31" s="6" t="s">
        <v>127</v>
      </c>
      <c r="B31" s="52" t="n">
        <f aca="false">-SUMIF(Monthly!$C$5:$AL$5,B$26,Monthly!$C$40:$AL$40)</f>
        <v>931495.61984</v>
      </c>
      <c r="C31" s="52" t="n">
        <f aca="false">-SUMIF(Monthly!$C$5:$AL$5,C$26,Monthly!$C$40:$AL$40)</f>
        <v>990021.961472</v>
      </c>
      <c r="D31" s="52" t="n">
        <f aca="false">-SUMIF(Monthly!$C$5:$AL$5,D$26,Monthly!$C$40:$AL$40)</f>
        <v>1052480.54694088</v>
      </c>
    </row>
    <row r="32" customFormat="false" ht="15" hidden="false" customHeight="false" outlineLevel="0" collapsed="false">
      <c r="A32" s="4" t="s">
        <v>128</v>
      </c>
      <c r="B32" s="58" t="n">
        <f aca="false">IF(B30&gt;0,B31/B30,"n/a")</f>
        <v>1364561.15246412</v>
      </c>
      <c r="C32" s="58" t="n">
        <f aca="false">IF(C30&gt;0,C31/C30,"n/a")</f>
        <v>1452742.78201234</v>
      </c>
      <c r="D32" s="58" t="n">
        <f aca="false">IF(D30&gt;0,D31/D30,"n/a")</f>
        <v>1547075.90350616</v>
      </c>
    </row>
    <row r="33" customFormat="false" ht="15" hidden="false" customHeight="false" outlineLevel="0" collapsed="false">
      <c r="A33" s="39" t="s">
        <v>129</v>
      </c>
      <c r="B33" s="59" t="n">
        <f aca="false">IF(AND(ISNUMBER(B32),B28&gt;0),(B28-B32)/B28,"n/a")</f>
        <v>0.135284343240396</v>
      </c>
      <c r="C33" s="59" t="n">
        <f aca="false">IF(AND(ISNUMBER(C32),C28&gt;0),(C28-C32)/C28,"n/a")</f>
        <v>0.163346052856099</v>
      </c>
      <c r="D33" s="59" t="n">
        <f aca="false">IF(AND(ISNUMBER(D32),D28&gt;0),(D28-D32)/D28,"n/a")</f>
        <v>0.181511847880256</v>
      </c>
    </row>
    <row r="35" customFormat="false" ht="15" hidden="false" customHeight="false" outlineLevel="0" collapsed="false">
      <c r="A35" s="39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134</v>
      </c>
      <c r="B6" s="60" t="n">
        <f aca="false">Inputs!$E$76</f>
        <v>0.16</v>
      </c>
    </row>
    <row r="7" customFormat="false" ht="15" hidden="false" customHeight="false" outlineLevel="0" collapsed="false">
      <c r="A7" s="39" t="s">
        <v>135</v>
      </c>
      <c r="B7" s="60" t="n">
        <f aca="false">Inputs!$E$77</f>
        <v>0.02</v>
      </c>
    </row>
    <row r="8" customFormat="false" ht="15" hidden="false" customHeight="false" outlineLevel="0" collapsed="false">
      <c r="A8" s="6" t="s">
        <v>136</v>
      </c>
      <c r="B8" s="61" t="n">
        <f aca="false">Inputs!$E$78</f>
        <v>5.5</v>
      </c>
    </row>
    <row r="9" customFormat="false" ht="15" hidden="false" customHeight="false" outlineLevel="0" collapsed="false">
      <c r="A9" s="39" t="s">
        <v>137</v>
      </c>
      <c r="B9" s="60" t="n">
        <f aca="false">Inputs!$E$70</f>
        <v>0.21</v>
      </c>
    </row>
    <row r="10" customFormat="false" ht="15" hidden="false" customHeight="false" outlineLevel="0" collapsed="false">
      <c r="A10" s="39" t="s">
        <v>138</v>
      </c>
      <c r="B10" s="60" t="n">
        <f aca="false">Inputs!$E$79</f>
        <v>0.01</v>
      </c>
    </row>
    <row r="11" customFormat="false" ht="15" hidden="false" customHeight="false" outlineLevel="0" collapsed="false">
      <c r="A11" s="39" t="s">
        <v>139</v>
      </c>
      <c r="B11" s="60" t="n">
        <f aca="false">Inputs!$E$80</f>
        <v>0.005</v>
      </c>
    </row>
    <row r="13" customFormat="false" ht="15.75" hidden="false" customHeight="true" outlineLevel="0" collapsed="false">
      <c r="A13" s="7" t="s">
        <v>140</v>
      </c>
      <c r="B13" s="7"/>
      <c r="C13" s="7"/>
      <c r="D13" s="7"/>
    </row>
    <row r="14" customFormat="false" ht="15" hidden="false" customHeight="false" outlineLevel="0" collapsed="false">
      <c r="A14" s="57" t="s">
        <v>122</v>
      </c>
      <c r="B14" s="57" t="n">
        <v>1</v>
      </c>
      <c r="C14" s="57" t="n">
        <v>2</v>
      </c>
      <c r="D14" s="57" t="n">
        <v>3</v>
      </c>
    </row>
    <row r="15" customFormat="false" ht="15" hidden="false" customHeight="false" outlineLevel="0" collapsed="false">
      <c r="A15" s="33"/>
      <c r="B15" s="35" t="s">
        <v>123</v>
      </c>
      <c r="C15" s="35" t="s">
        <v>124</v>
      </c>
      <c r="D15" s="35" t="s">
        <v>125</v>
      </c>
    </row>
    <row r="16" customFormat="false" ht="15" hidden="false" customHeight="false" outlineLevel="0" collapsed="false">
      <c r="A16" s="6" t="s">
        <v>46</v>
      </c>
      <c r="B16" s="52" t="n">
        <f aca="false">SUMIF(Monthly!$C$5:$AL$5,B$14,Monthly!$C$41:$AL$41)</f>
        <v>145732.035931429</v>
      </c>
      <c r="C16" s="52" t="n">
        <f aca="false">SUMIF(Monthly!$C$5:$AL$5,C$14,Monthly!$C$41:$AL$41)</f>
        <v>193289.208996572</v>
      </c>
      <c r="D16" s="52" t="n">
        <f aca="false">SUMIF(Monthly!$C$5:$AL$5,D$14,Monthly!$C$41:$AL$41)</f>
        <v>233403.120666446</v>
      </c>
    </row>
    <row r="17" customFormat="false" ht="15" hidden="false" customHeight="false" outlineLevel="0" collapsed="false">
      <c r="A17" s="4" t="s">
        <v>141</v>
      </c>
      <c r="B17" s="58" t="n">
        <f aca="false">SUMIF(Monthly!$C$5:$AL$5,B$14,Monthly!$C$89:$AL$89)</f>
        <v>16284.5598144001</v>
      </c>
      <c r="C17" s="58" t="n">
        <f aca="false">SUMIF(Monthly!$C$5:$AL$5,C$14,Monthly!$C$89:$AL$89)</f>
        <v>140746.534179292</v>
      </c>
      <c r="D17" s="58" t="n">
        <f aca="false">SUMIF(Monthly!$C$5:$AL$5,D$14,Monthly!$C$89:$AL$89)</f>
        <v>172775.867314073</v>
      </c>
    </row>
    <row r="18" customFormat="false" ht="15" hidden="false" customHeight="false" outlineLevel="0" collapsed="false">
      <c r="A18" s="6" t="s">
        <v>142</v>
      </c>
      <c r="B18" s="62" t="n">
        <f aca="false">1/(1+Inputs!$E$76)^B$14</f>
        <v>0.862068965517241</v>
      </c>
      <c r="C18" s="62" t="n">
        <f aca="false">1/(1+Inputs!$E$76)^C$14</f>
        <v>0.743162901307967</v>
      </c>
      <c r="D18" s="62" t="n">
        <f aca="false">1/(1+Inputs!$E$76)^D$14</f>
        <v>0.640657673541351</v>
      </c>
    </row>
    <row r="19" customFormat="false" ht="15" hidden="false" customHeight="false" outlineLevel="0" collapsed="false">
      <c r="A19" s="6" t="s">
        <v>143</v>
      </c>
      <c r="B19" s="52" t="n">
        <f aca="false">B17*B18</f>
        <v>14038.4136331035</v>
      </c>
      <c r="C19" s="52" t="n">
        <f aca="false">C17*C18</f>
        <v>104597.602689723</v>
      </c>
      <c r="D19" s="52" t="n">
        <f aca="false">D17*D18</f>
        <v>110690.185197523</v>
      </c>
    </row>
    <row r="21" customFormat="false" ht="15.75" hidden="false" customHeight="true" outlineLevel="0" collapsed="false">
      <c r="A21" s="7" t="s">
        <v>144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145</v>
      </c>
      <c r="C22" s="35" t="s">
        <v>146</v>
      </c>
    </row>
    <row r="23" customFormat="false" ht="15" hidden="false" customHeight="false" outlineLevel="0" collapsed="false">
      <c r="A23" s="6" t="s">
        <v>147</v>
      </c>
      <c r="B23" s="52" t="n">
        <f aca="false">SUM($B$19:$D$19)</f>
        <v>229326.20152035</v>
      </c>
      <c r="C23" s="52" t="n">
        <f aca="false">B23</f>
        <v>229326.20152035</v>
      </c>
    </row>
    <row r="24" customFormat="false" ht="15" hidden="false" customHeight="false" outlineLevel="0" collapsed="false">
      <c r="A24" s="6" t="s">
        <v>148</v>
      </c>
      <c r="B24" s="52" t="n">
        <f aca="false">$D$17</f>
        <v>172775.867314073</v>
      </c>
      <c r="C24" s="52" t="n">
        <f aca="false">$D$16</f>
        <v>233403.120666446</v>
      </c>
    </row>
    <row r="25" customFormat="false" ht="15" hidden="false" customHeight="false" outlineLevel="0" collapsed="false">
      <c r="A25" s="6" t="s">
        <v>149</v>
      </c>
      <c r="B25" s="52" t="n">
        <f aca="false">IF($B$6&gt;$B$7,B24*(1+$B$7)/($B$6-$B$7),0)</f>
        <v>1258795.60471682</v>
      </c>
      <c r="C25" s="52" t="n">
        <f aca="false">C24*$B$8</f>
        <v>1283717.16366545</v>
      </c>
    </row>
    <row r="26" customFormat="false" ht="15" hidden="false" customHeight="false" outlineLevel="0" collapsed="false">
      <c r="A26" s="6" t="s">
        <v>150</v>
      </c>
      <c r="B26" s="52" t="n">
        <f aca="false">B25/(1+$B$6)^$D$14</f>
        <v>806457.063581956</v>
      </c>
      <c r="C26" s="52" t="n">
        <f aca="false">C25/(1+$B$6)^$D$14</f>
        <v>822423.251559012</v>
      </c>
    </row>
    <row r="27" customFormat="false" ht="15" hidden="false" customHeight="false" outlineLevel="0" collapsed="false">
      <c r="A27" s="4" t="s">
        <v>144</v>
      </c>
      <c r="B27" s="53" t="n">
        <f aca="false">B23+B26</f>
        <v>1035783.26510231</v>
      </c>
      <c r="C27" s="53" t="n">
        <f aca="false">C23+C26</f>
        <v>1051749.45307936</v>
      </c>
    </row>
    <row r="28" customFormat="false" ht="15" hidden="false" customHeight="false" outlineLevel="0" collapsed="false">
      <c r="A28" s="39" t="s">
        <v>151</v>
      </c>
      <c r="B28" s="59" t="n">
        <f aca="false">IF(B27&lt;&gt;0,B26/B27,0)</f>
        <v>0.778596344190115</v>
      </c>
      <c r="C28" s="59" t="n">
        <f aca="false">IF(C27&lt;&gt;0,C26/C27,0)</f>
        <v>0.781957384575844</v>
      </c>
    </row>
    <row r="29" customFormat="false" ht="15" hidden="false" customHeight="false" outlineLevel="0" collapsed="false">
      <c r="A29" s="6" t="s">
        <v>152</v>
      </c>
      <c r="B29" s="63" t="n">
        <f aca="false">IF(C24&gt;0,B25/C24,"n/a")</f>
        <v>5.39322525389774</v>
      </c>
      <c r="C29" s="59" t="n">
        <f aca="false">IF(C25+B24&lt;&gt;0,(C25*$B$6-B24)/(C25+B24),"n/a")</f>
        <v>0.0223954925829356</v>
      </c>
    </row>
    <row r="30" customFormat="false" ht="15" hidden="false" customHeight="false" outlineLevel="0" collapsed="false">
      <c r="A30" s="55" t="s">
        <v>153</v>
      </c>
      <c r="B30" s="56" t="n">
        <f aca="false">AVERAGE(B27,C27)</f>
        <v>1043766.35909083</v>
      </c>
    </row>
    <row r="32" customFormat="false" ht="15.75" hidden="false" customHeight="true" outlineLevel="0" collapsed="false">
      <c r="A32" s="7" t="s">
        <v>154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155</v>
      </c>
      <c r="B33" s="64" t="n">
        <f aca="false">$B$7+(-2)*$B$11</f>
        <v>0.01</v>
      </c>
      <c r="C33" s="64" t="n">
        <f aca="false">$B$7+(-1)*$B$11</f>
        <v>0.015</v>
      </c>
      <c r="D33" s="64" t="n">
        <f aca="false">$B$7+(0)*$B$11</f>
        <v>0.02</v>
      </c>
      <c r="E33" s="64" t="n">
        <f aca="false">$B$7+(1)*$B$11</f>
        <v>0.025</v>
      </c>
      <c r="F33" s="64" t="n">
        <f aca="false">$B$7+(2)*$B$11</f>
        <v>0.03</v>
      </c>
    </row>
    <row r="34" customFormat="false" ht="15" hidden="false" customHeight="false" outlineLevel="0" collapsed="false">
      <c r="A34" s="59" t="n">
        <f aca="false">$B$6+(-2)*$B$10</f>
        <v>0.14</v>
      </c>
      <c r="B34" s="52" t="n">
        <f aca="false">IF($A34&gt;B$33,SUMPRODUCT($B$17:$D$17/(1+$A34)^$B$14:$D$14)+$D$17*(1+B$33)/($A34-B$33)/(1+$A34)^$D$14,"n/a")</f>
        <v>1145241.66324476</v>
      </c>
      <c r="C34" s="52" t="n">
        <f aca="false">IF($A34&gt;C$33,SUMPRODUCT($B$17:$D$17/(1+$A34)^$B$14:$D$14)+$D$17*(1+C$33)/($A34-C$33)/(1+$A34)^$D$14,"n/a")</f>
        <v>1186147.94619906</v>
      </c>
      <c r="D34" s="52" t="n">
        <f aca="false">IF($A34&gt;D$33,SUMPRODUCT($B$17:$D$17/(1+$A34)^$B$14:$D$14)+$D$17*(1+D$33)/($A34-D$33)/(1+$A34)^$D$14,"n/a")</f>
        <v>1230463.08606621</v>
      </c>
      <c r="E34" s="52" t="n">
        <f aca="false">IF($A34&gt;E$33,SUMPRODUCT($B$17:$D$17/(1+$A34)^$B$14:$D$14)+$D$17*(1+E$33)/($A34-E$33)/(1+$A34)^$D$14,"n/a")</f>
        <v>1278631.7163566</v>
      </c>
      <c r="F34" s="52" t="n">
        <f aca="false">IF($A34&gt;F$33,SUMPRODUCT($B$17:$D$17/(1+$A34)^$B$14:$D$14)+$D$17*(1+F$33)/($A34-F$33)/(1+$A34)^$D$14,"n/a")</f>
        <v>1331179.31303703</v>
      </c>
    </row>
    <row r="35" customFormat="false" ht="15" hidden="false" customHeight="false" outlineLevel="0" collapsed="false">
      <c r="A35" s="59" t="n">
        <f aca="false">$B$6+(-1)*$B$10</f>
        <v>0.15</v>
      </c>
      <c r="B35" s="52" t="n">
        <f aca="false">IF($A35&gt;B$33,SUMPRODUCT($B$17:$D$17/(1+$A35)^$B$14:$D$14)+$D$17*(1+B$33)/($A35-B$33)/(1+$A35)^$D$14,"n/a")</f>
        <v>1053752.07253196</v>
      </c>
      <c r="C35" s="52" t="n">
        <f aca="false">IF($A35&gt;C$33,SUMPRODUCT($B$17:$D$17/(1+$A35)^$B$14:$D$14)+$D$17*(1+C$33)/($A35-C$33)/(1+$A35)^$D$14,"n/a")</f>
        <v>1088313.81272541</v>
      </c>
      <c r="D35" s="52" t="n">
        <f aca="false">IF($A35&gt;D$33,SUMPRODUCT($B$17:$D$17/(1+$A35)^$B$14:$D$14)+$D$17*(1+D$33)/($A35-D$33)/(1+$A35)^$D$14,"n/a")</f>
        <v>1125534.14831836</v>
      </c>
      <c r="E35" s="52" t="n">
        <f aca="false">IF($A35&gt;E$33,SUMPRODUCT($B$17:$D$17/(1+$A35)^$B$14:$D$14)+$D$17*(1+E$33)/($A35-E$33)/(1+$A35)^$D$14,"n/a")</f>
        <v>1165732.11075874</v>
      </c>
      <c r="F35" s="52" t="n">
        <f aca="false">IF($A35&gt;F$33,SUMPRODUCT($B$17:$D$17/(1+$A35)^$B$14:$D$14)+$D$17*(1+F$33)/($A35-F$33)/(1+$A35)^$D$14,"n/a")</f>
        <v>1209279.90340249</v>
      </c>
    </row>
    <row r="36" customFormat="false" ht="15" hidden="false" customHeight="false" outlineLevel="0" collapsed="false">
      <c r="A36" s="59" t="n">
        <f aca="false">$B$6+(0)*$B$10</f>
        <v>0.16</v>
      </c>
      <c r="B36" s="52" t="n">
        <f aca="false">IF($A36&gt;B$33,SUMPRODUCT($B$17:$D$17/(1+$A36)^$B$14:$D$14)+$D$17*(1+B$33)/($A36-B$33)/(1+$A36)^$D$14,"n/a")</f>
        <v>974640.115183674</v>
      </c>
      <c r="C36" s="52" t="n">
        <f aca="false">IF($A36&gt;C$33,SUMPRODUCT($B$17:$D$17/(1+$A36)^$B$14:$D$14)+$D$17*(1+C$33)/($A36-C$33)/(1+$A36)^$D$14,"n/a")</f>
        <v>1004157.49790301</v>
      </c>
      <c r="D36" s="52" t="n">
        <f aca="false">IF($A36&gt;D$33,SUMPRODUCT($B$17:$D$17/(1+$A36)^$B$14:$D$14)+$D$17*(1+D$33)/($A36-D$33)/(1+$A36)^$D$14,"n/a")</f>
        <v>1035783.26510231</v>
      </c>
      <c r="E36" s="52" t="n">
        <f aca="false">IF($A36&gt;E$33,SUMPRODUCT($B$17:$D$17/(1+$A36)^$B$14:$D$14)+$D$17*(1+E$33)/($A36-E$33)/(1+$A36)^$D$14,"n/a")</f>
        <v>1069751.68172377</v>
      </c>
      <c r="F36" s="52" t="n">
        <f aca="false">IF($A36&gt;F$33,SUMPRODUCT($B$17:$D$17/(1+$A36)^$B$14:$D$14)+$D$17*(1+F$33)/($A36-F$33)/(1+$A36)^$D$14,"n/a")</f>
        <v>1106333.05346996</v>
      </c>
    </row>
    <row r="37" customFormat="false" ht="15" hidden="false" customHeight="false" outlineLevel="0" collapsed="false">
      <c r="A37" s="59" t="n">
        <f aca="false">$B$6+(1)*$B$10</f>
        <v>0.17</v>
      </c>
      <c r="B37" s="52" t="n">
        <f aca="false">IF($A37&gt;B$33,SUMPRODUCT($B$17:$D$17/(1+$A37)^$B$14:$D$14)+$D$17*(1+B$33)/($A37-B$33)/(1+$A37)^$D$14,"n/a")</f>
        <v>905580.12994017</v>
      </c>
      <c r="C37" s="52" t="n">
        <f aca="false">IF($A37&gt;C$33,SUMPRODUCT($B$17:$D$17/(1+$A37)^$B$14:$D$14)+$D$17*(1+C$33)/($A37-C$33)/(1+$A37)^$D$14,"n/a")</f>
        <v>931026.725174699</v>
      </c>
      <c r="D37" s="52" t="n">
        <f aca="false">IF($A37&gt;D$33,SUMPRODUCT($B$17:$D$17/(1+$A37)^$B$14:$D$14)+$D$17*(1+D$33)/($A37-D$33)/(1+$A37)^$D$14,"n/a")</f>
        <v>958169.76009153</v>
      </c>
      <c r="E37" s="52" t="n">
        <f aca="false">IF($A37&gt;E$33,SUMPRODUCT($B$17:$D$17/(1+$A37)^$B$14:$D$14)+$D$17*(1+E$33)/($A37-E$33)/(1+$A37)^$D$14,"n/a")</f>
        <v>987184.728450902</v>
      </c>
      <c r="F37" s="52" t="n">
        <f aca="false">IF($A37&gt;F$33,SUMPRODUCT($B$17:$D$17/(1+$A37)^$B$14:$D$14)+$D$17*(1+F$33)/($A37-F$33)/(1+$A37)^$D$14,"n/a")</f>
        <v>1018272.19455023</v>
      </c>
    </row>
    <row r="38" customFormat="false" ht="15" hidden="false" customHeight="false" outlineLevel="0" collapsed="false">
      <c r="A38" s="59" t="n">
        <f aca="false">$B$6+(2)*$B$10</f>
        <v>0.18</v>
      </c>
      <c r="B38" s="52" t="n">
        <f aca="false">IF($A38&gt;B$33,SUMPRODUCT($B$17:$D$17/(1+$A38)^$B$14:$D$14)+$D$17*(1+B$33)/($A38-B$33)/(1+$A38)^$D$14,"n/a")</f>
        <v>844793.842300732</v>
      </c>
      <c r="C38" s="52" t="n">
        <f aca="false">IF($A38&gt;C$33,SUMPRODUCT($B$17:$D$17/(1+$A38)^$B$14:$D$14)+$D$17*(1+C$33)/($A38-C$33)/(1+$A38)^$D$14,"n/a")</f>
        <v>866912.36952774</v>
      </c>
      <c r="D38" s="52" t="n">
        <f aca="false">IF($A38&gt;D$33,SUMPRODUCT($B$17:$D$17/(1+$A38)^$B$14:$D$14)+$D$17*(1+D$33)/($A38-D$33)/(1+$A38)^$D$14,"n/a")</f>
        <v>890413.304706437</v>
      </c>
      <c r="E38" s="52" t="n">
        <f aca="false">IF($A38&gt;E$33,SUMPRODUCT($B$17:$D$17/(1+$A38)^$B$14:$D$14)+$D$17*(1+E$33)/($A38-E$33)/(1+$A38)^$D$14,"n/a")</f>
        <v>915430.429251501</v>
      </c>
      <c r="F38" s="52" t="n">
        <f aca="false">IF($A38&gt;F$33,SUMPRODUCT($B$17:$D$17/(1+$A38)^$B$14:$D$14)+$D$17*(1+F$33)/($A38-F$33)/(1+$A38)^$D$14,"n/a")</f>
        <v>942115.362099569</v>
      </c>
    </row>
    <row r="40" customFormat="false" ht="15" hidden="false" customHeight="false" outlineLevel="0" collapsed="false">
      <c r="A40" s="39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157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158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159</v>
      </c>
      <c r="B5" s="7"/>
      <c r="C5" s="7"/>
    </row>
    <row r="6" customFormat="false" ht="15" hidden="false" customHeight="false" outlineLevel="0" collapsed="false">
      <c r="B6" s="35" t="s">
        <v>160</v>
      </c>
      <c r="C6" s="35" t="s">
        <v>161</v>
      </c>
    </row>
    <row r="7" customFormat="false" ht="15" hidden="false" customHeight="false" outlineLevel="0" collapsed="false">
      <c r="A7" s="6" t="s">
        <v>162</v>
      </c>
      <c r="B7" s="65" t="n">
        <f aca="false">Inputs!$E$58</f>
        <v>60000</v>
      </c>
      <c r="C7" s="59" t="n">
        <f aca="false">IF($B$9=0,0,B7/$B$9)</f>
        <v>0.428571428571429</v>
      </c>
    </row>
    <row r="8" customFormat="false" ht="15" hidden="false" customHeight="false" outlineLevel="0" collapsed="false">
      <c r="A8" s="6" t="s">
        <v>163</v>
      </c>
      <c r="B8" s="65" t="n">
        <f aca="false">Inputs!$E$59</f>
        <v>80000</v>
      </c>
      <c r="C8" s="59" t="n">
        <f aca="false">IF($B$9=0,0,B8/$B$9)</f>
        <v>0.571428571428571</v>
      </c>
    </row>
    <row r="9" customFormat="false" ht="15" hidden="false" customHeight="false" outlineLevel="0" collapsed="false">
      <c r="A9" s="4" t="s">
        <v>164</v>
      </c>
      <c r="B9" s="66" t="n">
        <f aca="false">B7+B8</f>
        <v>140000</v>
      </c>
      <c r="C9" s="67" t="n">
        <f aca="false">IF(B9=0,0,1)</f>
        <v>1</v>
      </c>
    </row>
    <row r="10" customFormat="false" ht="15" hidden="false" customHeight="false" outlineLevel="0" collapsed="false">
      <c r="A10" s="6" t="s">
        <v>165</v>
      </c>
      <c r="B10" s="63" t="n">
        <f aca="false">IF(B7&lt;=0,IF(B8&gt;0,"n/a",0),B8/B7)</f>
        <v>1.33333333333333</v>
      </c>
      <c r="D10" s="18" t="s">
        <v>166</v>
      </c>
    </row>
    <row r="11" customFormat="false" ht="15" hidden="false" customHeight="false" outlineLevel="0" collapsed="false">
      <c r="A11" s="6" t="s">
        <v>167</v>
      </c>
      <c r="B11" s="65" t="n">
        <f aca="false">'Break-even'!B12</f>
        <v>329781.609248305</v>
      </c>
    </row>
    <row r="12" customFormat="false" ht="15" hidden="false" customHeight="false" outlineLevel="0" collapsed="false">
      <c r="A12" s="55" t="s">
        <v>65</v>
      </c>
      <c r="B12" s="68" t="n">
        <f aca="false">'Break-even'!B17</f>
        <v>-189781.609248305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168</v>
      </c>
      <c r="B15" s="69" t="n">
        <v>12</v>
      </c>
      <c r="D15" s="18" t="s">
        <v>169</v>
      </c>
    </row>
    <row r="16" customFormat="false" ht="15" hidden="false" customHeight="false" outlineLevel="0" collapsed="false">
      <c r="A16" s="6" t="s">
        <v>170</v>
      </c>
      <c r="B16" s="51" t="n">
        <f aca="false">MIN(36,MAX(1,ROUND(B15,0)))</f>
        <v>12</v>
      </c>
    </row>
    <row r="17" customFormat="false" ht="15" hidden="false" customHeight="false" outlineLevel="0" collapsed="false">
      <c r="A17" s="33" t="s">
        <v>171</v>
      </c>
      <c r="B17" s="35" t="s">
        <v>160</v>
      </c>
      <c r="C17" s="35" t="s">
        <v>161</v>
      </c>
    </row>
    <row r="18" customFormat="false" ht="15" hidden="false" customHeight="false" outlineLevel="0" collapsed="false">
      <c r="A18" s="6" t="s">
        <v>62</v>
      </c>
      <c r="B18" s="70" t="n">
        <f aca="false">SUMPRODUCT(--(Monthly!$C$4:$AL$4&lt;=$B$16),Monthly!$C$76:$AL$76)</f>
        <v>60000</v>
      </c>
      <c r="C18" s="59" t="n">
        <f aca="false">IF($B$21=0,0,B18/$B$21)</f>
        <v>0.248587240351285</v>
      </c>
    </row>
    <row r="19" customFormat="false" ht="15" hidden="false" customHeight="false" outlineLevel="0" collapsed="false">
      <c r="A19" s="6" t="s">
        <v>172</v>
      </c>
      <c r="B19" s="70" t="n">
        <f aca="false">SUMPRODUCT(--(Monthly!$C$4:$AL$4&lt;=$B$16),Monthly!$C$61:$AL$61)</f>
        <v>80000</v>
      </c>
      <c r="C19" s="59" t="n">
        <f aca="false">IF($B$21=0,0,B19/$B$21)</f>
        <v>0.331449653801713</v>
      </c>
    </row>
    <row r="20" customFormat="false" ht="15" hidden="false" customHeight="false" outlineLevel="0" collapsed="false">
      <c r="A20" s="6" t="s">
        <v>173</v>
      </c>
      <c r="B20" s="70" t="n">
        <f aca="false">MAX(0,SUMPRODUCT(--(Monthly!$C$4:$AL$4&lt;=$B$16),Monthly!$C$74:$AL$74))</f>
        <v>101363.957036622</v>
      </c>
      <c r="C20" s="59" t="n">
        <f aca="false">IF($B$21=0,0,B20/$B$21)</f>
        <v>0.419963105847002</v>
      </c>
    </row>
    <row r="21" customFormat="false" ht="15" hidden="false" customHeight="false" outlineLevel="0" collapsed="false">
      <c r="A21" s="4" t="s">
        <v>174</v>
      </c>
      <c r="B21" s="66" t="n">
        <f aca="false">SUM(B18:B20)</f>
        <v>241363.957036622</v>
      </c>
      <c r="C21" s="67" t="n">
        <f aca="false">IF(B21=0,0,1)</f>
        <v>1</v>
      </c>
    </row>
    <row r="23" customFormat="false" ht="15" hidden="false" customHeight="false" outlineLevel="0" collapsed="false">
      <c r="A23" s="33" t="s">
        <v>175</v>
      </c>
      <c r="B23" s="35" t="s">
        <v>160</v>
      </c>
      <c r="C23" s="35" t="s">
        <v>161</v>
      </c>
    </row>
    <row r="24" customFormat="false" ht="15" hidden="false" customHeight="false" outlineLevel="0" collapsed="false">
      <c r="A24" s="6" t="s">
        <v>176</v>
      </c>
      <c r="B24" s="70" t="n">
        <f aca="false">MAX(0,-SUMPRODUCT(--(Monthly!$C$4:$AL$4&lt;=$B$16),Monthly!$C$74:$AL$74))</f>
        <v>0</v>
      </c>
      <c r="C24" s="59" t="n">
        <f aca="false">IF($B$28=0,0,B24/$B$28)</f>
        <v>0</v>
      </c>
    </row>
    <row r="25" customFormat="false" ht="15" hidden="false" customHeight="false" outlineLevel="0" collapsed="false">
      <c r="A25" s="6" t="s">
        <v>82</v>
      </c>
      <c r="B25" s="70" t="n">
        <f aca="false">-SUMPRODUCT(--(Monthly!$C$4:$AL$4&lt;=$B$16),Monthly!$C$75:$AL$75)</f>
        <v>90000</v>
      </c>
      <c r="C25" s="59" t="n">
        <f aca="false">IF($B$28=0,0,B25/$B$28)</f>
        <v>0.372880860526927</v>
      </c>
    </row>
    <row r="26" customFormat="false" ht="15" hidden="false" customHeight="false" outlineLevel="0" collapsed="false">
      <c r="A26" s="6" t="s">
        <v>177</v>
      </c>
      <c r="B26" s="70" t="n">
        <f aca="false">-SUMPRODUCT(--(Monthly!$C$4:$AL$4&lt;=$B$16),Monthly!$C$62:$AL$62)</f>
        <v>14666.6666666667</v>
      </c>
      <c r="C26" s="59" t="n">
        <f aca="false">IF($B$28=0,0,B26/$B$28)</f>
        <v>0.0607657698636474</v>
      </c>
    </row>
    <row r="27" customFormat="false" ht="15" hidden="false" customHeight="false" outlineLevel="0" collapsed="false">
      <c r="A27" s="6" t="s">
        <v>178</v>
      </c>
      <c r="B27" s="70" t="n">
        <f aca="false">INDEX(Monthly!$C$80:$AL$80,$B$16)</f>
        <v>136697.290369956</v>
      </c>
      <c r="C27" s="59" t="n">
        <f aca="false">IF($B$28=0,0,B27/$B$28)</f>
        <v>0.566353369609425</v>
      </c>
    </row>
    <row r="28" customFormat="false" ht="15" hidden="false" customHeight="false" outlineLevel="0" collapsed="false">
      <c r="A28" s="4" t="s">
        <v>179</v>
      </c>
      <c r="B28" s="66" t="n">
        <f aca="false">SUM(B24:B27)</f>
        <v>241363.957036622</v>
      </c>
      <c r="C28" s="67" t="n">
        <f aca="false">IF(B28=0,0,1)</f>
        <v>1</v>
      </c>
    </row>
    <row r="29" customFormat="false" ht="15" hidden="false" customHeight="false" outlineLevel="0" collapsed="false">
      <c r="A29" s="6" t="s">
        <v>180</v>
      </c>
      <c r="B29" s="70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181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182</v>
      </c>
    </row>
    <row r="4" customFormat="false" ht="15.75" hidden="false" customHeight="true" outlineLevel="0" collapsed="false">
      <c r="A4" s="7" t="s">
        <v>183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184</v>
      </c>
    </row>
    <row r="6" customFormat="false" ht="15" hidden="false" customHeight="false" outlineLevel="0" collapsed="false">
      <c r="A6" s="39" t="s">
        <v>185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0.100330575898012</v>
      </c>
      <c r="D6" s="40" t="n">
        <f aca="false">IF(N('P&amp;L'!C5)&lt;=0,"n/a",'P&amp;L'!D5/'P&amp;L'!C5-1)</f>
        <v>0.0885700029612078</v>
      </c>
      <c r="E6" s="71"/>
    </row>
    <row r="7" customFormat="false" ht="15" hidden="false" customHeight="false" outlineLevel="0" collapsed="false">
      <c r="A7" s="39" t="s">
        <v>44</v>
      </c>
      <c r="B7" s="40" t="n">
        <f aca="false">IF('P&amp;L'!B5&lt;=0,"n/a",'P&amp;L'!B7/'P&amp;L'!B5)</f>
        <v>0.68263384030676</v>
      </c>
      <c r="C7" s="40" t="n">
        <f aca="false">IF('P&amp;L'!C5&lt;=0,"n/a",'P&amp;L'!C7/'P&amp;L'!C5)</f>
        <v>0.681484687950486</v>
      </c>
      <c r="D7" s="40" t="n">
        <f aca="false">IF('P&amp;L'!D5&lt;=0,"n/a",'P&amp;L'!D7/'P&amp;L'!D5)</f>
        <v>0.680303108952588</v>
      </c>
      <c r="E7" s="71"/>
    </row>
    <row r="8" customFormat="false" ht="15" hidden="false" customHeight="false" outlineLevel="0" collapsed="false">
      <c r="A8" s="39" t="s">
        <v>47</v>
      </c>
      <c r="B8" s="40" t="n">
        <f aca="false">IF('P&amp;L'!B5&lt;=0,"n/a",'P&amp;L'!B18/'P&amp;L'!B5)</f>
        <v>0.0923496707595691</v>
      </c>
      <c r="C8" s="40" t="n">
        <f aca="false">IF('P&amp;L'!C5&lt;=0,"n/a",'P&amp;L'!C18/'P&amp;L'!C5)</f>
        <v>0.111317833858582</v>
      </c>
      <c r="D8" s="40" t="n">
        <f aca="false">IF('P&amp;L'!D5&lt;=0,"n/a",'P&amp;L'!D18/'P&amp;L'!D5)</f>
        <v>0.123483074424667</v>
      </c>
      <c r="E8" s="71"/>
    </row>
    <row r="9" customFormat="false" ht="15" hidden="false" customHeight="false" outlineLevel="0" collapsed="false">
      <c r="A9" s="39" t="s">
        <v>49</v>
      </c>
      <c r="B9" s="40" t="n">
        <f aca="false">IF('P&amp;L'!B5&lt;=0,"n/a",'P&amp;L'!B25/'P&amp;L'!B5)</f>
        <v>0.0634015470263758</v>
      </c>
      <c r="C9" s="40" t="n">
        <f aca="false">IF('P&amp;L'!C5&lt;=0,"n/a",'P&amp;L'!C25/'P&amp;L'!C5)</f>
        <v>0.0793813408885021</v>
      </c>
      <c r="D9" s="40" t="n">
        <f aca="false">IF('P&amp;L'!D5&lt;=0,"n/a",'P&amp;L'!D25/'P&amp;L'!D5)</f>
        <v>0.0894208428835164</v>
      </c>
      <c r="E9" s="71"/>
    </row>
    <row r="10" customFormat="false" ht="15" hidden="false" customHeight="false" outlineLevel="0" collapsed="false">
      <c r="A10" s="39" t="s">
        <v>186</v>
      </c>
      <c r="B10" s="40" t="n">
        <f aca="false">IF('P&amp;L'!B5&lt;=0,"n/a",-SUMIF(Headcount!$C$5:$AL$5,B$5,Headcount!$C$17:$AL$17)/'P&amp;L'!B5)</f>
        <v>0.376161385604152</v>
      </c>
      <c r="C10" s="40" t="n">
        <f aca="false">IF('P&amp;L'!C5&lt;=0,"n/a",-SUMIF(Headcount!$C$5:$AL$5,C$5,Headcount!$C$17:$AL$17)/'P&amp;L'!C5)</f>
        <v>0.369537899668193</v>
      </c>
      <c r="D10" s="40" t="n">
        <f aca="false">IF('P&amp;L'!D5&lt;=0,"n/a",-SUMIF(Headcount!$C$5:$AL$5,D$5,Headcount!$C$17:$AL$17)/'P&amp;L'!D5)</f>
        <v>0.367126649437249</v>
      </c>
      <c r="E10" s="71"/>
    </row>
    <row r="11" customFormat="false" ht="15" hidden="false" customHeight="false" outlineLevel="0" collapsed="false">
      <c r="A11" s="39" t="s">
        <v>187</v>
      </c>
      <c r="B11" s="40" t="n">
        <f aca="false">IF('P&amp;L'!B5&lt;=0,"n/a",-'P&amp;L'!B14/'P&amp;L'!B5)</f>
        <v>0.02</v>
      </c>
      <c r="C11" s="40" t="n">
        <f aca="false">IF('P&amp;L'!C5&lt;=0,"n/a",-'P&amp;L'!C14/'P&amp;L'!C5)</f>
        <v>0.02</v>
      </c>
      <c r="D11" s="40" t="n">
        <f aca="false">IF('P&amp;L'!D5&lt;=0,"n/a",-'P&amp;L'!D14/'P&amp;L'!D5)</f>
        <v>0.02</v>
      </c>
      <c r="E11" s="71"/>
    </row>
    <row r="12" customFormat="false" ht="15" hidden="false" customHeight="false" outlineLevel="0" collapsed="false">
      <c r="A12" s="39" t="s">
        <v>188</v>
      </c>
      <c r="B12" s="40" t="n">
        <f aca="false">IF('P&amp;L'!B5&lt;=0,"n/a",-'P&amp;L'!B17/'P&amp;L'!B5)</f>
        <v>0.590284169547191</v>
      </c>
      <c r="C12" s="40" t="n">
        <f aca="false">IF('P&amp;L'!C5&lt;=0,"n/a",-'P&amp;L'!C17/'P&amp;L'!C5)</f>
        <v>0.570166854091904</v>
      </c>
      <c r="D12" s="40" t="n">
        <f aca="false">IF('P&amp;L'!D5&lt;=0,"n/a",-'P&amp;L'!D17/'P&amp;L'!D5)</f>
        <v>0.556820034527921</v>
      </c>
      <c r="E12" s="71"/>
    </row>
    <row r="13" customFormat="false" ht="15" hidden="false" customHeight="false" outlineLevel="0" collapsed="false">
      <c r="A13" s="6" t="s">
        <v>189</v>
      </c>
      <c r="B13" s="72" t="n">
        <f aca="false">IF(('Balance Sheet'!B12-'Balance Sheet'!B11)&lt;=0,"n/a",('Balance Sheet'!B5+'Balance Sheet'!B6+'Balance Sheet'!B7)/('Balance Sheet'!B12-'Balance Sheet'!B11))</f>
        <v>6.15098172050523</v>
      </c>
      <c r="C13" s="72" t="n">
        <f aca="false">IF(('Balance Sheet'!C12-'Balance Sheet'!C11)&lt;=0,"n/a",('Balance Sheet'!C5+'Balance Sheet'!C6+'Balance Sheet'!C7)/('Balance Sheet'!C12-'Balance Sheet'!C11))</f>
        <v>9.62897283771879</v>
      </c>
      <c r="D13" s="72" t="n">
        <f aca="false">IF(('Balance Sheet'!D12-'Balance Sheet'!D11)&lt;=0,"n/a",('Balance Sheet'!D5+'Balance Sheet'!D6+'Balance Sheet'!D7)/('Balance Sheet'!D12-'Balance Sheet'!D11))</f>
        <v>13.4720390718419</v>
      </c>
      <c r="E13" s="73"/>
    </row>
    <row r="14" customFormat="false" ht="15" hidden="false" customHeight="false" outlineLevel="0" collapsed="false">
      <c r="A14" s="6" t="s">
        <v>190</v>
      </c>
      <c r="B14" s="72" t="n">
        <f aca="false">IF('Balance Sheet'!B15&lt;=0,"n/a",'Balance Sheet'!B11/'Balance Sheet'!B15)</f>
        <v>0.408204333745541</v>
      </c>
      <c r="C14" s="72" t="n">
        <f aca="false">IF('Balance Sheet'!C15&lt;=0,"n/a",'Balance Sheet'!C11/'Balance Sheet'!C15)</f>
        <v>0.165611381802762</v>
      </c>
      <c r="D14" s="72" t="n">
        <f aca="false">IF('Balance Sheet'!D15&lt;=0,"n/a",'Balance Sheet'!D11/'Balance Sheet'!D15)</f>
        <v>0.0713919446882757</v>
      </c>
      <c r="E14" s="73"/>
    </row>
    <row r="15" customFormat="false" ht="15" hidden="false" customHeight="false" outlineLevel="0" collapsed="false">
      <c r="A15" s="39" t="s">
        <v>191</v>
      </c>
      <c r="B15" s="40" t="n">
        <f aca="false">IF('Balance Sheet'!B9&lt;=0,"n/a",'P&amp;L'!B25/'Balance Sheet'!B9)</f>
        <v>0.393647116715423</v>
      </c>
      <c r="C15" s="40" t="n">
        <f aca="false">IF('Balance Sheet'!C9&lt;=0,"n/a",'P&amp;L'!C25/'Balance Sheet'!C9)</f>
        <v>0.364151711792197</v>
      </c>
      <c r="D15" s="40" t="n">
        <f aca="false">IF('Balance Sheet'!D9&lt;=0,"n/a",'P&amp;L'!D25/'Balance Sheet'!D9)</f>
        <v>0.316330859442882</v>
      </c>
      <c r="E15" s="71"/>
    </row>
    <row r="16" customFormat="false" ht="15" hidden="false" customHeight="false" outlineLevel="0" collapsed="false">
      <c r="A16" s="39" t="s">
        <v>192</v>
      </c>
      <c r="B16" s="40" t="n">
        <f aca="false">IF('Balance Sheet'!B15&lt;=0,"n/a",'P&amp;L'!B25/'Balance Sheet'!B15)</f>
        <v>0.625118469009197</v>
      </c>
      <c r="C16" s="40" t="n">
        <f aca="false">IF('Balance Sheet'!C15&lt;=0,"n/a",'P&amp;L'!C25/'Balance Sheet'!C15)</f>
        <v>0.462712266442819</v>
      </c>
      <c r="D16" s="40" t="n">
        <f aca="false">IF('Balance Sheet'!D15&lt;=0,"n/a",'P&amp;L'!D25/'Balance Sheet'!D15)</f>
        <v>0.361999900076399</v>
      </c>
      <c r="E16" s="71"/>
    </row>
    <row r="18" customFormat="false" ht="15.75" hidden="false" customHeight="true" outlineLevel="0" collapsed="false">
      <c r="A18" s="7" t="s">
        <v>193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0" t="s">
        <v>49</v>
      </c>
      <c r="B20" s="40" t="n">
        <f aca="false">IF('P&amp;L'!B5&lt;=0,"n/a",'P&amp;L'!B25/'P&amp;L'!B5)</f>
        <v>0.0634015470263758</v>
      </c>
      <c r="C20" s="40" t="n">
        <f aca="false">IF('P&amp;L'!C5&lt;=0,"n/a",'P&amp;L'!C25/'P&amp;L'!C5)</f>
        <v>0.0793813408885021</v>
      </c>
      <c r="D20" s="40" t="n">
        <f aca="false">IF('P&amp;L'!D5&lt;=0,"n/a",'P&amp;L'!D25/'P&amp;L'!D5)</f>
        <v>0.0894208428835164</v>
      </c>
    </row>
    <row r="21" customFormat="false" ht="15" hidden="false" customHeight="false" outlineLevel="0" collapsed="false">
      <c r="A21" s="50" t="s">
        <v>194</v>
      </c>
      <c r="B21" s="72" t="n">
        <f aca="false">IF('Balance Sheet'!B9&lt;=0,"n/a",'P&amp;L'!B5/'Balance Sheet'!B9)</f>
        <v>6.20879355753987</v>
      </c>
      <c r="C21" s="72" t="n">
        <f aca="false">IF('Balance Sheet'!C9&lt;=0,"n/a",'P&amp;L'!C5/'Balance Sheet'!C9)</f>
        <v>4.58737163817476</v>
      </c>
      <c r="D21" s="72" t="n">
        <f aca="false">IF('Balance Sheet'!D9&lt;=0,"n/a",'P&amp;L'!D5/'Balance Sheet'!D9)</f>
        <v>3.53755175239121</v>
      </c>
    </row>
    <row r="22" customFormat="false" ht="15" hidden="false" customHeight="false" outlineLevel="0" collapsed="false">
      <c r="A22" s="50" t="s">
        <v>195</v>
      </c>
      <c r="B22" s="72" t="n">
        <f aca="false">IF('Balance Sheet'!B15&lt;=0,"n/a",'Balance Sheet'!B9/'Balance Sheet'!B15)</f>
        <v>1.58801739544077</v>
      </c>
      <c r="C22" s="72" t="n">
        <f aca="false">IF('Balance Sheet'!C15&lt;=0,"n/a",'Balance Sheet'!C9/'Balance Sheet'!C15)</f>
        <v>1.27065794683636</v>
      </c>
      <c r="D22" s="72" t="n">
        <f aca="false">IF('Balance Sheet'!D15&lt;=0,"n/a",'Balance Sheet'!D9/'Balance Sheet'!D15)</f>
        <v>1.14437112052219</v>
      </c>
    </row>
    <row r="23" customFormat="false" ht="15" hidden="false" customHeight="false" outlineLevel="0" collapsed="false">
      <c r="A23" s="41" t="s">
        <v>196</v>
      </c>
      <c r="B23" s="74" t="n">
        <f aca="false">IF(AND(ISNUMBER(B20),ISNUMBER(B21),ISNUMBER(B22)),B20*B21*B22,"n/a")</f>
        <v>0.625118469009197</v>
      </c>
      <c r="C23" s="74" t="n">
        <f aca="false">IF(AND(ISNUMBER(C20),ISNUMBER(C21),ISNUMBER(C22)),C20*C21*C22,"n/a")</f>
        <v>0.462712266442819</v>
      </c>
      <c r="D23" s="74" t="n">
        <f aca="false">IF(AND(ISNUMBER(D20),ISNUMBER(D21),ISNUMBER(D22)),D20*D21*D22,"n/a")</f>
        <v>0.361999900076399</v>
      </c>
    </row>
    <row r="24" customFormat="false" ht="15" hidden="false" customHeight="false" outlineLevel="0" collapsed="false">
      <c r="A24" s="21" t="s">
        <v>197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198</v>
      </c>
      <c r="B26" s="7"/>
      <c r="C26" s="7"/>
      <c r="D26" s="7"/>
      <c r="E26" s="7"/>
    </row>
    <row r="27" customFormat="false" ht="15" hidden="false" customHeight="false" outlineLevel="0" collapsed="false">
      <c r="A27" s="57" t="s">
        <v>122</v>
      </c>
      <c r="B27" s="57" t="n">
        <v>1</v>
      </c>
      <c r="C27" s="57" t="n">
        <v>2</v>
      </c>
      <c r="D27" s="57" t="n">
        <v>3</v>
      </c>
    </row>
    <row r="28" customFormat="false" ht="15" hidden="false" customHeight="false" outlineLevel="0" collapsed="false">
      <c r="A28" s="33"/>
      <c r="B28" s="35" t="s">
        <v>123</v>
      </c>
      <c r="C28" s="35" t="s">
        <v>124</v>
      </c>
      <c r="D28" s="35" t="s">
        <v>125</v>
      </c>
      <c r="E28" s="35" t="s">
        <v>184</v>
      </c>
    </row>
    <row r="29" customFormat="false" ht="15" hidden="false" customHeight="false" outlineLevel="0" collapsed="false">
      <c r="A29" s="6" t="s">
        <v>199</v>
      </c>
      <c r="B29" s="75" t="n">
        <f aca="false">SUMIF(Monthly!$C$5:$AL$5,B$27,Monthly!$C$11:$AL$11)</f>
        <v>312</v>
      </c>
      <c r="C29" s="75" t="n">
        <f aca="false">SUMIF(Monthly!$C$5:$AL$5,C$27,Monthly!$C$11:$AL$11)</f>
        <v>312</v>
      </c>
      <c r="D29" s="75" t="n">
        <f aca="false">SUMIF(Monthly!$C$5:$AL$5,D$27,Monthly!$C$11:$AL$11)</f>
        <v>312</v>
      </c>
      <c r="E29" s="76"/>
    </row>
    <row r="30" customFormat="false" ht="15" hidden="false" customHeight="false" outlineLevel="0" collapsed="false">
      <c r="A30" s="4" t="s">
        <v>200</v>
      </c>
      <c r="B30" s="77" t="n">
        <f aca="false">SUMIF(Monthly!$C$5:$AL$5,B$27,Monthly!$C$12:$AL$12)</f>
        <v>98641.92</v>
      </c>
      <c r="C30" s="77" t="n">
        <f aca="false">SUMIF(Monthly!$C$5:$AL$5,C$27,Monthly!$C$12:$AL$12)</f>
        <v>102835.2</v>
      </c>
      <c r="D30" s="77" t="n">
        <f aca="false">SUMIF(Monthly!$C$5:$AL$5,D$27,Monthly!$C$12:$AL$12)</f>
        <v>105920.256</v>
      </c>
      <c r="E30" s="78"/>
    </row>
    <row r="31" customFormat="false" ht="15" hidden="false" customHeight="false" outlineLevel="0" collapsed="false">
      <c r="A31" s="6" t="s">
        <v>58</v>
      </c>
      <c r="B31" s="79" t="n">
        <f aca="false">IF(B29=0,0,B30/B29)</f>
        <v>316.16</v>
      </c>
      <c r="C31" s="79" t="n">
        <f aca="false">IF(C29=0,0,C30/C29)</f>
        <v>329.6</v>
      </c>
      <c r="D31" s="79" t="n">
        <f aca="false">IF(D29=0,0,D30/D29)</f>
        <v>339.488</v>
      </c>
      <c r="E31" s="78"/>
    </row>
    <row r="32" customFormat="false" ht="15" hidden="false" customHeight="false" outlineLevel="0" collapsed="false">
      <c r="A32" s="6" t="s">
        <v>201</v>
      </c>
      <c r="B32" s="80" t="n">
        <f aca="false">IF(B30=0,0,B35/B30)</f>
        <v>11.5</v>
      </c>
      <c r="C32" s="80" t="n">
        <f aca="false">IF(C30=0,0,C35/C30)</f>
        <v>11.845</v>
      </c>
      <c r="D32" s="80" t="n">
        <f aca="false">IF(D30=0,0,D35/D30)</f>
        <v>12.20035</v>
      </c>
      <c r="E32" s="81"/>
    </row>
    <row r="33" customFormat="false" ht="15" hidden="false" customHeight="false" outlineLevel="0" collapsed="false">
      <c r="A33" s="6" t="s">
        <v>59</v>
      </c>
      <c r="B33" s="75" t="n">
        <f aca="false">INDEX(Monthly!$C$17:$AL$17,B$27*12)</f>
        <v>16</v>
      </c>
      <c r="C33" s="75" t="n">
        <f aca="false">INDEX(Monthly!$C$17:$AL$17,C$27*12)</f>
        <v>17.92</v>
      </c>
      <c r="D33" s="75" t="n">
        <f aca="false">INDEX(Monthly!$C$17:$AL$17,D$27*12)</f>
        <v>20.0704</v>
      </c>
      <c r="E33" s="76"/>
    </row>
    <row r="34" customFormat="false" ht="15" hidden="false" customHeight="false" outlineLevel="0" collapsed="false">
      <c r="A34" s="4" t="s">
        <v>42</v>
      </c>
      <c r="B34" s="82" t="n">
        <f aca="false">SUMIF(Monthly!$C$5:$AL$5,B$27,Monthly!$C$22:$AL$22)</f>
        <v>1578046.08</v>
      </c>
      <c r="C34" s="82" t="n">
        <f aca="false">SUMIF(Monthly!$C$5:$AL$5,C$27,Monthly!$C$22:$AL$22)</f>
        <v>1736372.352</v>
      </c>
      <c r="D34" s="82" t="n">
        <f aca="false">SUMIF(Monthly!$C$5:$AL$5,D$27,Monthly!$C$22:$AL$22)</f>
        <v>1890162.8563584</v>
      </c>
      <c r="E34" s="83"/>
    </row>
    <row r="35" customFormat="false" ht="15" hidden="false" customHeight="false" outlineLevel="0" collapsed="false">
      <c r="A35" s="6" t="s">
        <v>56</v>
      </c>
      <c r="B35" s="36" t="n">
        <f aca="false">SUMIF(Monthly!$C$5:$AL$5,B$27,Monthly!$C$14:$AL$14)</f>
        <v>1134382.08</v>
      </c>
      <c r="C35" s="36" t="n">
        <f aca="false">SUMIF(Monthly!$C$5:$AL$5,C$27,Monthly!$C$14:$AL$14)</f>
        <v>1218082.944</v>
      </c>
      <c r="D35" s="36" t="n">
        <f aca="false">SUMIF(Monthly!$C$5:$AL$5,D$27,Monthly!$C$14:$AL$14)</f>
        <v>1292264.1952896</v>
      </c>
      <c r="E35" s="83"/>
    </row>
    <row r="36" customFormat="false" ht="15" hidden="false" customHeight="false" outlineLevel="0" collapsed="false">
      <c r="A36" s="6" t="s">
        <v>57</v>
      </c>
      <c r="B36" s="36" t="n">
        <f aca="false">SUMIF(Monthly!$C$5:$AL$5,B$27,Monthly!$C$19:$AL$19)</f>
        <v>443664</v>
      </c>
      <c r="C36" s="36" t="n">
        <f aca="false">SUMIF(Monthly!$C$5:$AL$5,C$27,Monthly!$C$19:$AL$19)</f>
        <v>518289.408</v>
      </c>
      <c r="D36" s="36" t="n">
        <f aca="false">SUMIF(Monthly!$C$5:$AL$5,D$27,Monthly!$C$19:$AL$19)</f>
        <v>597898.6610688</v>
      </c>
      <c r="E36" s="83"/>
    </row>
    <row r="37" customFormat="false" ht="15" hidden="false" customHeight="false" outlineLevel="0" collapsed="false">
      <c r="A37" s="39" t="s">
        <v>202</v>
      </c>
      <c r="B37" s="84" t="n">
        <f aca="false">IF(B34=0,0,B36/B34)</f>
        <v>0.28114768359616</v>
      </c>
      <c r="C37" s="84" t="n">
        <f aca="false">IF(C34=0,0,C36/C34)</f>
        <v>0.298489783831803</v>
      </c>
      <c r="D37" s="84" t="n">
        <f aca="false">IF(D34=0,0,D36/D34)</f>
        <v>0.316321241345688</v>
      </c>
      <c r="E37" s="85"/>
    </row>
    <row r="38" customFormat="false" ht="15" hidden="false" customHeight="false" outlineLevel="0" collapsed="false">
      <c r="A38" s="6" t="s">
        <v>203</v>
      </c>
      <c r="B38" s="86" t="n">
        <f aca="false">IF(B29=0,0,B35/B29)</f>
        <v>3635.84</v>
      </c>
      <c r="C38" s="86" t="n">
        <f aca="false">IF(C29=0,0,C35/C29)</f>
        <v>3904.112</v>
      </c>
      <c r="D38" s="86" t="n">
        <f aca="false">IF(D29=0,0,D35/D29)</f>
        <v>4141.8724208</v>
      </c>
      <c r="E38" s="87"/>
    </row>
    <row r="39" customFormat="false" ht="15" hidden="false" customHeight="false" outlineLevel="0" collapsed="false">
      <c r="A39" s="6" t="s">
        <v>204</v>
      </c>
      <c r="B39" s="36" t="n">
        <f aca="false">-SUMIF(Monthly!$C$5:$AL$5,B$27,Monthly!$C$26:$AL$26)</f>
        <v>26925.9922285714</v>
      </c>
      <c r="C39" s="36" t="n">
        <f aca="false">-SUMIF(Monthly!$C$5:$AL$5,C$27,Monthly!$C$26:$AL$26)</f>
        <v>28912.7380114286</v>
      </c>
      <c r="D39" s="36" t="n">
        <f aca="false">-SUMIF(Monthly!$C$5:$AL$5,D$27,Monthly!$C$26:$AL$26)</f>
        <v>30673.5237563246</v>
      </c>
      <c r="E39" s="83"/>
    </row>
    <row r="40" customFormat="false" ht="15" hidden="false" customHeight="false" outlineLevel="0" collapsed="false">
      <c r="A40" s="39" t="s">
        <v>205</v>
      </c>
      <c r="B40" s="84" t="n">
        <f aca="false">IF(B35=0,0,B39/B35)</f>
        <v>0.0237362637362637</v>
      </c>
      <c r="C40" s="84" t="n">
        <f aca="false">IF(C35=0,0,C39/C35)</f>
        <v>0.0237362637362637</v>
      </c>
      <c r="D40" s="84" t="n">
        <f aca="false">IF(D35=0,0,D39/D35)</f>
        <v>0.0237362637362637</v>
      </c>
      <c r="E40" s="85"/>
    </row>
    <row r="41" customFormat="false" ht="15" hidden="false" customHeight="false" outlineLevel="0" collapsed="false">
      <c r="A41" s="6" t="s">
        <v>206</v>
      </c>
      <c r="B41" s="36" t="n">
        <f aca="false">-SUMIF(Monthly!$C$5:$AL$5,B$27,Monthly!$C$35:$AL$35)</f>
        <v>36972</v>
      </c>
      <c r="C41" s="36" t="n">
        <f aca="false">-SUMIF(Monthly!$C$5:$AL$5,C$27,Monthly!$C$35:$AL$35)</f>
        <v>41932.8</v>
      </c>
      <c r="D41" s="36" t="n">
        <f aca="false">-SUMIF(Monthly!$C$5:$AL$5,D$27,Monthly!$C$35:$AL$35)</f>
        <v>46964.736</v>
      </c>
      <c r="E41" s="83"/>
    </row>
    <row r="42" customFormat="false" ht="15" hidden="false" customHeight="false" outlineLevel="0" collapsed="false">
      <c r="A42" s="6" t="s">
        <v>43</v>
      </c>
      <c r="B42" s="36" t="n">
        <f aca="false">SUMIF(Monthly!$C$5:$AL$5,B$27,Monthly!$C$29:$AL$29)</f>
        <v>1077227.65577143</v>
      </c>
      <c r="C42" s="36" t="n">
        <f aca="false">SUMIF(Monthly!$C$5:$AL$5,C$27,Monthly!$C$29:$AL$29)</f>
        <v>1183311.17046857</v>
      </c>
      <c r="D42" s="36" t="n">
        <f aca="false">SUMIF(Monthly!$C$5:$AL$5,D$27,Monthly!$C$29:$AL$29)</f>
        <v>1285883.66760732</v>
      </c>
      <c r="E42" s="83"/>
    </row>
    <row r="43" customFormat="false" ht="15" hidden="false" customHeight="false" outlineLevel="0" collapsed="false">
      <c r="A43" s="39" t="s">
        <v>44</v>
      </c>
      <c r="B43" s="84" t="n">
        <f aca="false">IF(B34=0,0,B42/B34)</f>
        <v>0.68263384030676</v>
      </c>
      <c r="C43" s="84" t="n">
        <f aca="false">IF(C34=0,0,C42/C34)</f>
        <v>0.681484687950486</v>
      </c>
      <c r="D43" s="84" t="n">
        <f aca="false">IF(D34=0,0,D42/D34)</f>
        <v>0.680303108952588</v>
      </c>
      <c r="E43" s="85"/>
    </row>
    <row r="44" customFormat="false" ht="15" hidden="false" customHeight="false" outlineLevel="0" collapsed="false">
      <c r="A44" s="6" t="s">
        <v>74</v>
      </c>
      <c r="B44" s="36" t="n">
        <f aca="false">-SUMIF(Monthly!$C$5:$AL$5,B$27,Monthly!$C$28:$AL$28)</f>
        <v>500818.424228572</v>
      </c>
      <c r="C44" s="36" t="n">
        <f aca="false">-SUMIF(Monthly!$C$5:$AL$5,C$27,Monthly!$C$28:$AL$28)</f>
        <v>553061.181531429</v>
      </c>
      <c r="D44" s="36" t="n">
        <f aca="false">-SUMIF(Monthly!$C$5:$AL$5,D$27,Monthly!$C$28:$AL$28)</f>
        <v>604279.188751077</v>
      </c>
      <c r="E44" s="83"/>
    </row>
    <row r="45" customFormat="false" ht="15" hidden="false" customHeight="false" outlineLevel="0" collapsed="false">
      <c r="A45" s="6" t="s">
        <v>207</v>
      </c>
      <c r="B45" s="36" t="n">
        <f aca="false">-SUMIF(Monthly!$C$5:$AL$5,B$27,Monthly!$C$32:$AL$32)</f>
        <v>593600</v>
      </c>
      <c r="C45" s="36" t="n">
        <f aca="false">-SUMIF(Monthly!$C$5:$AL$5,C$27,Monthly!$C$32:$AL$32)</f>
        <v>641655.392</v>
      </c>
      <c r="D45" s="36" t="n">
        <f aca="false">-SUMIF(Monthly!$C$5:$AL$5,D$27,Monthly!$C$32:$AL$32)</f>
        <v>693929.1563456</v>
      </c>
      <c r="E45" s="83"/>
    </row>
    <row r="46" customFormat="false" ht="15" hidden="false" customHeight="false" outlineLevel="0" collapsed="false">
      <c r="A46" s="39" t="s">
        <v>208</v>
      </c>
      <c r="B46" s="84" t="n">
        <f aca="false">IF(B34=0,0,(B44+B45)/B34)</f>
        <v>0.693527545297392</v>
      </c>
      <c r="C46" s="84" t="n">
        <f aca="false">IF(C34=0,0,(C44+C45)/C34)</f>
        <v>0.688053211717707</v>
      </c>
      <c r="D46" s="84" t="n">
        <f aca="false">IF(D34=0,0,(D44+D45)/D34)</f>
        <v>0.686823540484661</v>
      </c>
      <c r="E46" s="85"/>
    </row>
    <row r="47" customFormat="false" ht="15" hidden="false" customHeight="false" outlineLevel="0" collapsed="false">
      <c r="A47" s="6" t="s">
        <v>46</v>
      </c>
      <c r="B47" s="36" t="n">
        <f aca="false">SUMIF(Monthly!$C$5:$AL$5,B$27,Monthly!$C$41:$AL$41)</f>
        <v>145732.035931429</v>
      </c>
      <c r="C47" s="36" t="n">
        <f aca="false">SUMIF(Monthly!$C$5:$AL$5,C$27,Monthly!$C$41:$AL$41)</f>
        <v>193289.208996572</v>
      </c>
      <c r="D47" s="36" t="n">
        <f aca="false">SUMIF(Monthly!$C$5:$AL$5,D$27,Monthly!$C$41:$AL$41)</f>
        <v>233403.120666446</v>
      </c>
      <c r="E47" s="83"/>
    </row>
    <row r="48" customFormat="false" ht="15" hidden="false" customHeight="false" outlineLevel="0" collapsed="false">
      <c r="A48" s="39" t="s">
        <v>47</v>
      </c>
      <c r="B48" s="84" t="n">
        <f aca="false">IF(B34=0,0,B47/B34)</f>
        <v>0.0923496707595691</v>
      </c>
      <c r="C48" s="84" t="n">
        <f aca="false">IF(C34=0,0,C47/C34)</f>
        <v>0.111317833858582</v>
      </c>
      <c r="D48" s="84" t="n">
        <f aca="false">IF(D34=0,0,D47/D34)</f>
        <v>0.123483074424667</v>
      </c>
      <c r="E48" s="85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209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210</v>
      </c>
    </row>
    <row r="5" customFormat="false" ht="15" hidden="false" customHeight="false" outlineLevel="0" collapsed="false">
      <c r="A5" s="33" t="s">
        <v>211</v>
      </c>
      <c r="B5" s="35" t="s">
        <v>212</v>
      </c>
      <c r="C5" s="35" t="s">
        <v>213</v>
      </c>
      <c r="D5" s="35" t="s">
        <v>214</v>
      </c>
      <c r="E5" s="35" t="s">
        <v>215</v>
      </c>
      <c r="F5" s="33" t="s">
        <v>216</v>
      </c>
      <c r="G5" s="33" t="s">
        <v>217</v>
      </c>
    </row>
    <row r="6" customFormat="false" ht="15.75" hidden="false" customHeight="true" outlineLevel="0" collapsed="false">
      <c r="A6" s="7" t="s">
        <v>218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219</v>
      </c>
      <c r="B7" s="88" t="n">
        <v>300</v>
      </c>
      <c r="C7" s="88" t="n">
        <v>320</v>
      </c>
      <c r="D7" s="88" t="n">
        <v>340</v>
      </c>
      <c r="E7" s="89" t="n">
        <f aca="false">CHOOSE(Dashboard!$B$4,B7,C7,D7)</f>
        <v>320</v>
      </c>
      <c r="F7" s="39" t="s">
        <v>220</v>
      </c>
      <c r="G7" s="90" t="s">
        <v>221</v>
      </c>
    </row>
    <row r="8" customFormat="false" ht="15" hidden="false" customHeight="false" outlineLevel="0" collapsed="false">
      <c r="A8" s="6" t="s">
        <v>222</v>
      </c>
      <c r="B8" s="88" t="n">
        <v>3</v>
      </c>
      <c r="C8" s="88" t="n">
        <v>2</v>
      </c>
      <c r="D8" s="88" t="n">
        <v>1</v>
      </c>
      <c r="E8" s="89" t="n">
        <f aca="false">CHOOSE(Dashboard!$B$4,B8,C8,D8)</f>
        <v>2</v>
      </c>
      <c r="F8" s="39" t="s">
        <v>223</v>
      </c>
      <c r="G8" s="90" t="s">
        <v>224</v>
      </c>
    </row>
    <row r="9" customFormat="false" ht="15" hidden="false" customHeight="false" outlineLevel="0" collapsed="false">
      <c r="A9" s="6" t="s">
        <v>225</v>
      </c>
      <c r="B9" s="91" t="n">
        <v>0.85</v>
      </c>
      <c r="C9" s="91" t="n">
        <v>0.9</v>
      </c>
      <c r="D9" s="91" t="n">
        <v>0.95</v>
      </c>
      <c r="E9" s="92" t="n">
        <f aca="false">CHOOSE(Dashboard!$B$4,B9,C9,D9)</f>
        <v>0.9</v>
      </c>
      <c r="F9" s="39" t="s">
        <v>226</v>
      </c>
      <c r="G9" s="90" t="s">
        <v>221</v>
      </c>
    </row>
    <row r="10" customFormat="false" ht="15" hidden="false" customHeight="false" outlineLevel="0" collapsed="false">
      <c r="A10" s="6" t="s">
        <v>227</v>
      </c>
      <c r="B10" s="91" t="n">
        <v>0.01</v>
      </c>
      <c r="C10" s="91" t="n">
        <v>0.03</v>
      </c>
      <c r="D10" s="91" t="n">
        <v>0.05</v>
      </c>
      <c r="E10" s="92" t="n">
        <f aca="false">CHOOSE(Dashboard!$B$4,B10,C10,D10)</f>
        <v>0.03</v>
      </c>
      <c r="F10" s="39" t="s">
        <v>226</v>
      </c>
      <c r="G10" s="90" t="s">
        <v>221</v>
      </c>
    </row>
    <row r="11" customFormat="false" ht="15" hidden="false" customHeight="false" outlineLevel="0" collapsed="false">
      <c r="A11" s="6" t="s">
        <v>228</v>
      </c>
      <c r="B11" s="93" t="n">
        <v>11</v>
      </c>
      <c r="C11" s="93" t="n">
        <v>11.5</v>
      </c>
      <c r="D11" s="93" t="n">
        <v>12</v>
      </c>
      <c r="E11" s="94" t="n">
        <f aca="false">CHOOSE(Dashboard!$B$4,B11,C11,D11)</f>
        <v>11.5</v>
      </c>
      <c r="F11" s="39" t="s">
        <v>229</v>
      </c>
      <c r="G11" s="90" t="s">
        <v>221</v>
      </c>
    </row>
    <row r="12" customFormat="false" ht="15" hidden="false" customHeight="false" outlineLevel="0" collapsed="false">
      <c r="A12" s="6" t="s">
        <v>230</v>
      </c>
      <c r="B12" s="91" t="n">
        <v>0.02</v>
      </c>
      <c r="C12" s="91" t="n">
        <v>0.03</v>
      </c>
      <c r="D12" s="91" t="n">
        <v>0.04</v>
      </c>
      <c r="E12" s="92" t="n">
        <f aca="false">CHOOSE(Dashboard!$B$4,B12,C12,D12)</f>
        <v>0.03</v>
      </c>
      <c r="F12" s="39" t="s">
        <v>226</v>
      </c>
      <c r="G12" s="90" t="s">
        <v>221</v>
      </c>
    </row>
    <row r="13" customFormat="false" ht="15" hidden="false" customHeight="false" outlineLevel="0" collapsed="false">
      <c r="A13" s="6" t="s">
        <v>231</v>
      </c>
      <c r="B13" s="95" t="n">
        <v>6</v>
      </c>
      <c r="C13" s="95" t="n">
        <v>6</v>
      </c>
      <c r="D13" s="95" t="n">
        <v>6</v>
      </c>
      <c r="E13" s="96" t="n">
        <f aca="false">CHOOSE(Dashboard!$B$4,B13,C13,D13)</f>
        <v>6</v>
      </c>
      <c r="F13" s="39" t="s">
        <v>232</v>
      </c>
      <c r="G13" s="90"/>
    </row>
    <row r="14" customFormat="false" ht="15" hidden="false" customHeight="false" outlineLevel="0" collapsed="false">
      <c r="A14" s="6" t="s">
        <v>233</v>
      </c>
      <c r="B14" s="91" t="n">
        <v>0.2</v>
      </c>
      <c r="C14" s="91" t="n">
        <v>0.2</v>
      </c>
      <c r="D14" s="91" t="n">
        <v>0.2</v>
      </c>
      <c r="E14" s="92" t="n">
        <f aca="false">CHOOSE(Dashboard!$B$4,B14,C14,D14)</f>
        <v>0.2</v>
      </c>
      <c r="F14" s="39" t="s">
        <v>226</v>
      </c>
      <c r="G14" s="90"/>
    </row>
    <row r="16" customFormat="false" ht="15.75" hidden="false" customHeight="true" outlineLevel="0" collapsed="false">
      <c r="A16" s="7" t="s">
        <v>234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235</v>
      </c>
      <c r="B17" s="95" t="n">
        <v>13</v>
      </c>
      <c r="C17" s="95" t="n">
        <v>16</v>
      </c>
      <c r="D17" s="95" t="n">
        <v>19</v>
      </c>
      <c r="E17" s="96" t="n">
        <f aca="false">CHOOSE(Dashboard!$B$4,B17,C17,D17)</f>
        <v>16</v>
      </c>
      <c r="F17" s="39" t="s">
        <v>220</v>
      </c>
      <c r="G17" s="90" t="s">
        <v>221</v>
      </c>
    </row>
    <row r="18" customFormat="false" ht="15" hidden="false" customHeight="false" outlineLevel="0" collapsed="false">
      <c r="A18" s="6" t="s">
        <v>236</v>
      </c>
      <c r="B18" s="91" t="n">
        <v>0.08</v>
      </c>
      <c r="C18" s="91" t="n">
        <v>0.12</v>
      </c>
      <c r="D18" s="91" t="n">
        <v>0.16</v>
      </c>
      <c r="E18" s="92" t="n">
        <f aca="false">CHOOSE(Dashboard!$B$4,B18,C18,D18)</f>
        <v>0.12</v>
      </c>
      <c r="F18" s="39" t="s">
        <v>226</v>
      </c>
      <c r="G18" s="90" t="s">
        <v>221</v>
      </c>
    </row>
    <row r="19" customFormat="false" ht="15" hidden="false" customHeight="false" outlineLevel="0" collapsed="false">
      <c r="A19" s="6" t="s">
        <v>237</v>
      </c>
      <c r="B19" s="97" t="n">
        <v>500</v>
      </c>
      <c r="C19" s="97" t="n">
        <v>540</v>
      </c>
      <c r="D19" s="97" t="n">
        <v>580</v>
      </c>
      <c r="E19" s="98" t="n">
        <f aca="false">CHOOSE(Dashboard!$B$4,B19,C19,D19)</f>
        <v>540</v>
      </c>
      <c r="F19" s="39" t="s">
        <v>229</v>
      </c>
      <c r="G19" s="90" t="s">
        <v>221</v>
      </c>
    </row>
    <row r="20" customFormat="false" ht="15" hidden="false" customHeight="false" outlineLevel="0" collapsed="false">
      <c r="A20" s="6" t="s">
        <v>238</v>
      </c>
      <c r="B20" s="95" t="n">
        <v>5</v>
      </c>
      <c r="C20" s="95" t="n">
        <v>5</v>
      </c>
      <c r="D20" s="95" t="n">
        <v>5</v>
      </c>
      <c r="E20" s="96" t="n">
        <f aca="false">CHOOSE(Dashboard!$B$4,B20,C20,D20)</f>
        <v>5</v>
      </c>
      <c r="F20" s="39" t="s">
        <v>220</v>
      </c>
      <c r="G20" s="90"/>
    </row>
    <row r="21" customFormat="false" ht="15" hidden="false" customHeight="false" outlineLevel="0" collapsed="false">
      <c r="A21" s="6" t="s">
        <v>239</v>
      </c>
      <c r="B21" s="93" t="n">
        <v>9.5</v>
      </c>
      <c r="C21" s="93" t="n">
        <v>9</v>
      </c>
      <c r="D21" s="93" t="n">
        <v>8.5</v>
      </c>
      <c r="E21" s="94" t="n">
        <f aca="false">CHOOSE(Dashboard!$B$4,B21,C21,D21)</f>
        <v>9</v>
      </c>
      <c r="F21" s="39" t="s">
        <v>229</v>
      </c>
      <c r="G21" s="90" t="s">
        <v>224</v>
      </c>
    </row>
    <row r="23" customFormat="false" ht="15.75" hidden="false" customHeight="true" outlineLevel="0" collapsed="false">
      <c r="A23" s="7" t="s">
        <v>74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6" t="s">
        <v>240</v>
      </c>
      <c r="B24" s="91" t="n">
        <v>0.255</v>
      </c>
      <c r="C24" s="91" t="n">
        <v>0.24</v>
      </c>
      <c r="D24" s="91" t="n">
        <v>0.225</v>
      </c>
      <c r="E24" s="92" t="n">
        <f aca="false">CHOOSE(Dashboard!$B$4,B24,C24,D24)</f>
        <v>0.24</v>
      </c>
      <c r="F24" s="39" t="s">
        <v>226</v>
      </c>
      <c r="G24" s="90" t="s">
        <v>224</v>
      </c>
    </row>
    <row r="25" customFormat="false" ht="15" hidden="false" customHeight="false" outlineLevel="0" collapsed="false">
      <c r="A25" s="6" t="s">
        <v>241</v>
      </c>
      <c r="B25" s="91" t="n">
        <v>0.345</v>
      </c>
      <c r="C25" s="91" t="n">
        <v>0.33</v>
      </c>
      <c r="D25" s="91" t="n">
        <v>0.315</v>
      </c>
      <c r="E25" s="92" t="n">
        <f aca="false">CHOOSE(Dashboard!$B$4,B25,C25,D25)</f>
        <v>0.33</v>
      </c>
      <c r="F25" s="39" t="s">
        <v>226</v>
      </c>
      <c r="G25" s="90" t="s">
        <v>224</v>
      </c>
    </row>
    <row r="26" customFormat="false" ht="15" hidden="false" customHeight="false" outlineLevel="0" collapsed="false">
      <c r="A26" s="6" t="s">
        <v>242</v>
      </c>
      <c r="B26" s="91" t="n">
        <v>0.11</v>
      </c>
      <c r="C26" s="91" t="n">
        <v>0.09</v>
      </c>
      <c r="D26" s="91" t="n">
        <v>0.07</v>
      </c>
      <c r="E26" s="92" t="n">
        <f aca="false">CHOOSE(Dashboard!$B$4,B26,C26,D26)</f>
        <v>0.09</v>
      </c>
      <c r="F26" s="39" t="s">
        <v>226</v>
      </c>
      <c r="G26" s="90" t="s">
        <v>224</v>
      </c>
    </row>
    <row r="27" customFormat="false" ht="15" hidden="false" customHeight="false" outlineLevel="0" collapsed="false">
      <c r="A27" s="6" t="s">
        <v>243</v>
      </c>
      <c r="B27" s="91" t="n">
        <v>0.037</v>
      </c>
      <c r="C27" s="91" t="n">
        <v>0.035</v>
      </c>
      <c r="D27" s="91" t="n">
        <v>0.033</v>
      </c>
      <c r="E27" s="92" t="n">
        <f aca="false">CHOOSE(Dashboard!$B$4,B27,C27,D27)</f>
        <v>0.035</v>
      </c>
      <c r="F27" s="39" t="s">
        <v>226</v>
      </c>
      <c r="G27" s="90" t="s">
        <v>224</v>
      </c>
    </row>
    <row r="29" customFormat="false" ht="15.75" hidden="false" customHeight="true" outlineLevel="0" collapsed="false">
      <c r="A29" s="7" t="s">
        <v>244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245</v>
      </c>
      <c r="B30" s="97" t="n">
        <v>12000</v>
      </c>
      <c r="C30" s="97" t="n">
        <v>12000</v>
      </c>
      <c r="D30" s="97" t="n">
        <v>12000</v>
      </c>
      <c r="E30" s="98" t="n">
        <f aca="false">CHOOSE(Dashboard!$B$4,B30,C30,D30)</f>
        <v>12000</v>
      </c>
      <c r="F30" s="39" t="s">
        <v>229</v>
      </c>
      <c r="G30" s="90"/>
    </row>
    <row r="31" customFormat="false" ht="15" hidden="false" customHeight="false" outlineLevel="0" collapsed="false">
      <c r="A31" s="6" t="s">
        <v>246</v>
      </c>
      <c r="B31" s="97" t="n">
        <v>4000</v>
      </c>
      <c r="C31" s="97" t="n">
        <v>4000</v>
      </c>
      <c r="D31" s="97" t="n">
        <v>4000</v>
      </c>
      <c r="E31" s="98" t="n">
        <f aca="false">CHOOSE(Dashboard!$B$4,B31,C31,D31)</f>
        <v>4000</v>
      </c>
      <c r="F31" s="39" t="s">
        <v>229</v>
      </c>
      <c r="G31" s="90"/>
    </row>
    <row r="32" customFormat="false" ht="15" hidden="false" customHeight="false" outlineLevel="0" collapsed="false">
      <c r="A32" s="6" t="s">
        <v>247</v>
      </c>
      <c r="B32" s="97" t="n">
        <v>1000</v>
      </c>
      <c r="C32" s="97" t="n">
        <v>1000</v>
      </c>
      <c r="D32" s="97" t="n">
        <v>1000</v>
      </c>
      <c r="E32" s="98" t="n">
        <f aca="false">CHOOSE(Dashboard!$B$4,B32,C32,D32)</f>
        <v>1000</v>
      </c>
      <c r="F32" s="39" t="s">
        <v>229</v>
      </c>
      <c r="G32" s="90"/>
    </row>
    <row r="33" customFormat="false" ht="15" hidden="false" customHeight="false" outlineLevel="0" collapsed="false">
      <c r="A33" s="6" t="s">
        <v>187</v>
      </c>
      <c r="B33" s="91" t="n">
        <v>0.022</v>
      </c>
      <c r="C33" s="91" t="n">
        <v>0.02</v>
      </c>
      <c r="D33" s="91" t="n">
        <v>0.018</v>
      </c>
      <c r="E33" s="92" t="n">
        <f aca="false">CHOOSE(Dashboard!$B$4,B33,C33,D33)</f>
        <v>0.02</v>
      </c>
      <c r="F33" s="39" t="s">
        <v>226</v>
      </c>
      <c r="G33" s="90" t="s">
        <v>224</v>
      </c>
    </row>
    <row r="34" customFormat="false" ht="15" hidden="false" customHeight="false" outlineLevel="0" collapsed="false">
      <c r="A34" s="6" t="s">
        <v>248</v>
      </c>
      <c r="B34" s="91" t="n">
        <v>0.029</v>
      </c>
      <c r="C34" s="91" t="n">
        <v>0.028</v>
      </c>
      <c r="D34" s="91" t="n">
        <v>0.027</v>
      </c>
      <c r="E34" s="92" t="n">
        <f aca="false">CHOOSE(Dashboard!$B$4,B34,C34,D34)</f>
        <v>0.028</v>
      </c>
      <c r="F34" s="39" t="s">
        <v>226</v>
      </c>
      <c r="G34" s="90" t="s">
        <v>224</v>
      </c>
    </row>
    <row r="35" customFormat="false" ht="15" hidden="false" customHeight="false" outlineLevel="0" collapsed="false">
      <c r="A35" s="6" t="s">
        <v>249</v>
      </c>
      <c r="B35" s="97" t="n">
        <v>2800</v>
      </c>
      <c r="C35" s="97" t="n">
        <v>2800</v>
      </c>
      <c r="D35" s="97" t="n">
        <v>2800</v>
      </c>
      <c r="E35" s="98" t="n">
        <f aca="false">CHOOSE(Dashboard!$B$4,B35,C35,D35)</f>
        <v>2800</v>
      </c>
      <c r="F35" s="39" t="s">
        <v>229</v>
      </c>
      <c r="G35" s="90"/>
    </row>
    <row r="37" customFormat="false" ht="15.75" hidden="false" customHeight="true" outlineLevel="0" collapsed="false">
      <c r="A37" s="7" t="s">
        <v>250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6" t="s">
        <v>251</v>
      </c>
      <c r="B38" s="97" t="n">
        <v>90000</v>
      </c>
      <c r="C38" s="97" t="n">
        <v>90000</v>
      </c>
      <c r="D38" s="97" t="n">
        <v>90000</v>
      </c>
      <c r="E38" s="98" t="n">
        <f aca="false">CHOOSE(Dashboard!$B$4,B38,C38,D38)</f>
        <v>90000</v>
      </c>
      <c r="F38" s="39" t="s">
        <v>229</v>
      </c>
      <c r="G38" s="90"/>
    </row>
    <row r="39" customFormat="false" ht="15" hidden="false" customHeight="false" outlineLevel="0" collapsed="false">
      <c r="A39" s="6" t="s">
        <v>252</v>
      </c>
      <c r="B39" s="97" t="n">
        <v>14000</v>
      </c>
      <c r="C39" s="97" t="n">
        <v>14000</v>
      </c>
      <c r="D39" s="97" t="n">
        <v>14000</v>
      </c>
      <c r="E39" s="98" t="n">
        <f aca="false">CHOOSE(Dashboard!$B$4,B39,C39,D39)</f>
        <v>14000</v>
      </c>
      <c r="F39" s="39" t="s">
        <v>229</v>
      </c>
      <c r="G39" s="90"/>
    </row>
    <row r="41" customFormat="false" ht="15.75" hidden="false" customHeight="true" outlineLevel="0" collapsed="false">
      <c r="A41" s="7" t="s">
        <v>253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254</v>
      </c>
      <c r="B42" s="95" t="n">
        <v>5</v>
      </c>
      <c r="C42" s="95" t="n">
        <v>5</v>
      </c>
      <c r="D42" s="95" t="n">
        <v>5</v>
      </c>
      <c r="E42" s="96" t="n">
        <f aca="false">CHOOSE(Dashboard!$B$4,B42,C42,D42)</f>
        <v>5</v>
      </c>
      <c r="F42" s="39" t="s">
        <v>255</v>
      </c>
      <c r="G42" s="90" t="s">
        <v>221</v>
      </c>
    </row>
    <row r="43" customFormat="false" ht="15" hidden="false" customHeight="false" outlineLevel="0" collapsed="false">
      <c r="A43" s="6" t="s">
        <v>256</v>
      </c>
      <c r="B43" s="97" t="n">
        <v>44000</v>
      </c>
      <c r="C43" s="97" t="n">
        <v>44000</v>
      </c>
      <c r="D43" s="97" t="n">
        <v>44000</v>
      </c>
      <c r="E43" s="98" t="n">
        <f aca="false">CHOOSE(Dashboard!$B$4,B43,C43,D43)</f>
        <v>44000</v>
      </c>
      <c r="F43" s="39" t="s">
        <v>229</v>
      </c>
      <c r="G43" s="90"/>
    </row>
    <row r="44" customFormat="false" ht="15" hidden="false" customHeight="false" outlineLevel="0" collapsed="false">
      <c r="A44" s="6" t="s">
        <v>257</v>
      </c>
      <c r="B44" s="91" t="n">
        <v>0.06</v>
      </c>
      <c r="C44" s="91" t="n">
        <v>0.06</v>
      </c>
      <c r="D44" s="91" t="n">
        <v>0.06</v>
      </c>
      <c r="E44" s="92" t="n">
        <f aca="false">CHOOSE(Dashboard!$B$4,B44,C44,D44)</f>
        <v>0.06</v>
      </c>
      <c r="F44" s="39" t="s">
        <v>226</v>
      </c>
      <c r="G44" s="90" t="s">
        <v>221</v>
      </c>
    </row>
    <row r="45" customFormat="false" ht="15" hidden="false" customHeight="false" outlineLevel="0" collapsed="false">
      <c r="A45" s="6" t="s">
        <v>258</v>
      </c>
      <c r="B45" s="88" t="n">
        <v>1</v>
      </c>
      <c r="C45" s="88" t="n">
        <v>1</v>
      </c>
      <c r="D45" s="88" t="n">
        <v>1</v>
      </c>
      <c r="E45" s="89" t="n">
        <f aca="false">CHOOSE(Dashboard!$B$4,B45,C45,D45)</f>
        <v>1</v>
      </c>
      <c r="F45" s="39" t="s">
        <v>259</v>
      </c>
      <c r="G45" s="90"/>
    </row>
    <row r="46" customFormat="false" ht="15" hidden="false" customHeight="false" outlineLevel="0" collapsed="false">
      <c r="A46" s="6" t="s">
        <v>260</v>
      </c>
      <c r="B46" s="95" t="n">
        <v>7</v>
      </c>
      <c r="C46" s="95" t="n">
        <v>7</v>
      </c>
      <c r="D46" s="95" t="n">
        <v>7</v>
      </c>
      <c r="E46" s="96" t="n">
        <f aca="false">CHOOSE(Dashboard!$B$4,B46,C46,D46)</f>
        <v>7</v>
      </c>
      <c r="F46" s="39" t="s">
        <v>255</v>
      </c>
      <c r="G46" s="90" t="s">
        <v>221</v>
      </c>
    </row>
    <row r="47" customFormat="false" ht="15" hidden="false" customHeight="false" outlineLevel="0" collapsed="false">
      <c r="A47" s="6" t="s">
        <v>261</v>
      </c>
      <c r="B47" s="97" t="n">
        <v>31000</v>
      </c>
      <c r="C47" s="97" t="n">
        <v>31000</v>
      </c>
      <c r="D47" s="97" t="n">
        <v>31000</v>
      </c>
      <c r="E47" s="98" t="n">
        <f aca="false">CHOOSE(Dashboard!$B$4,B47,C47,D47)</f>
        <v>31000</v>
      </c>
      <c r="F47" s="39" t="s">
        <v>229</v>
      </c>
      <c r="G47" s="90"/>
    </row>
    <row r="48" customFormat="false" ht="15" hidden="false" customHeight="false" outlineLevel="0" collapsed="false">
      <c r="A48" s="6" t="s">
        <v>262</v>
      </c>
      <c r="B48" s="91" t="n">
        <v>0.06</v>
      </c>
      <c r="C48" s="91" t="n">
        <v>0.06</v>
      </c>
      <c r="D48" s="91" t="n">
        <v>0.06</v>
      </c>
      <c r="E48" s="92" t="n">
        <f aca="false">CHOOSE(Dashboard!$B$4,B48,C48,D48)</f>
        <v>0.06</v>
      </c>
      <c r="F48" s="39" t="s">
        <v>226</v>
      </c>
      <c r="G48" s="90" t="s">
        <v>221</v>
      </c>
    </row>
    <row r="49" customFormat="false" ht="15" hidden="false" customHeight="false" outlineLevel="0" collapsed="false">
      <c r="A49" s="6" t="s">
        <v>263</v>
      </c>
      <c r="B49" s="88" t="n">
        <v>1</v>
      </c>
      <c r="C49" s="88" t="n">
        <v>1</v>
      </c>
      <c r="D49" s="88" t="n">
        <v>1</v>
      </c>
      <c r="E49" s="89" t="n">
        <f aca="false">CHOOSE(Dashboard!$B$4,B49,C49,D49)</f>
        <v>1</v>
      </c>
      <c r="F49" s="39" t="s">
        <v>259</v>
      </c>
      <c r="G49" s="90"/>
    </row>
    <row r="50" customFormat="false" ht="15" hidden="false" customHeight="false" outlineLevel="0" collapsed="false">
      <c r="A50" s="6" t="s">
        <v>264</v>
      </c>
      <c r="B50" s="95" t="n">
        <v>1.5</v>
      </c>
      <c r="C50" s="95" t="n">
        <v>1.5</v>
      </c>
      <c r="D50" s="95" t="n">
        <v>1.5</v>
      </c>
      <c r="E50" s="96" t="n">
        <f aca="false">CHOOSE(Dashboard!$B$4,B50,C50,D50)</f>
        <v>1.5</v>
      </c>
      <c r="F50" s="39" t="s">
        <v>255</v>
      </c>
      <c r="G50" s="90" t="s">
        <v>221</v>
      </c>
    </row>
    <row r="51" customFormat="false" ht="15" hidden="false" customHeight="false" outlineLevel="0" collapsed="false">
      <c r="A51" s="6" t="s">
        <v>265</v>
      </c>
      <c r="B51" s="97" t="n">
        <v>62000</v>
      </c>
      <c r="C51" s="97" t="n">
        <v>62000</v>
      </c>
      <c r="D51" s="97" t="n">
        <v>62000</v>
      </c>
      <c r="E51" s="98" t="n">
        <f aca="false">CHOOSE(Dashboard!$B$4,B51,C51,D51)</f>
        <v>62000</v>
      </c>
      <c r="F51" s="39" t="s">
        <v>229</v>
      </c>
      <c r="G51" s="90"/>
    </row>
    <row r="52" customFormat="false" ht="15" hidden="false" customHeight="false" outlineLevel="0" collapsed="false">
      <c r="A52" s="6" t="s">
        <v>266</v>
      </c>
      <c r="B52" s="91" t="n">
        <v>0</v>
      </c>
      <c r="C52" s="91" t="n">
        <v>0</v>
      </c>
      <c r="D52" s="91" t="n">
        <v>0</v>
      </c>
      <c r="E52" s="92" t="n">
        <f aca="false">CHOOSE(Dashboard!$B$4,B52,C52,D52)</f>
        <v>0</v>
      </c>
      <c r="F52" s="39" t="s">
        <v>226</v>
      </c>
      <c r="G52" s="90" t="s">
        <v>221</v>
      </c>
    </row>
    <row r="53" customFormat="false" ht="15" hidden="false" customHeight="false" outlineLevel="0" collapsed="false">
      <c r="A53" s="6" t="s">
        <v>267</v>
      </c>
      <c r="B53" s="88" t="n">
        <v>1</v>
      </c>
      <c r="C53" s="88" t="n">
        <v>1</v>
      </c>
      <c r="D53" s="88" t="n">
        <v>1</v>
      </c>
      <c r="E53" s="89" t="n">
        <f aca="false">CHOOSE(Dashboard!$B$4,B53,C53,D53)</f>
        <v>1</v>
      </c>
      <c r="F53" s="39" t="s">
        <v>259</v>
      </c>
      <c r="G53" s="90"/>
    </row>
    <row r="54" customFormat="false" ht="15" hidden="false" customHeight="false" outlineLevel="0" collapsed="false">
      <c r="A54" s="6" t="s">
        <v>268</v>
      </c>
      <c r="B54" s="91" t="n">
        <v>0.12</v>
      </c>
      <c r="C54" s="91" t="n">
        <v>0.12</v>
      </c>
      <c r="D54" s="91" t="n">
        <v>0.12</v>
      </c>
      <c r="E54" s="92" t="n">
        <f aca="false">CHOOSE(Dashboard!$B$4,B54,C54,D54)</f>
        <v>0.12</v>
      </c>
      <c r="F54" s="39" t="s">
        <v>226</v>
      </c>
      <c r="G54" s="90"/>
    </row>
    <row r="55" customFormat="false" ht="15" hidden="false" customHeight="false" outlineLevel="0" collapsed="false">
      <c r="A55" s="6" t="s">
        <v>269</v>
      </c>
      <c r="B55" s="91" t="n">
        <v>0.03</v>
      </c>
      <c r="C55" s="91" t="n">
        <v>0.03</v>
      </c>
      <c r="D55" s="91" t="n">
        <v>0.03</v>
      </c>
      <c r="E55" s="92" t="n">
        <f aca="false">CHOOSE(Dashboard!$B$4,B55,C55,D55)</f>
        <v>0.03</v>
      </c>
      <c r="F55" s="39" t="s">
        <v>226</v>
      </c>
      <c r="G55" s="90"/>
    </row>
    <row r="57" customFormat="false" ht="15.75" hidden="false" customHeight="true" outlineLevel="0" collapsed="false">
      <c r="A57" s="7" t="s">
        <v>270</v>
      </c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6" t="s">
        <v>271</v>
      </c>
      <c r="B58" s="97" t="n">
        <v>60000</v>
      </c>
      <c r="C58" s="97" t="n">
        <v>60000</v>
      </c>
      <c r="D58" s="97" t="n">
        <v>60000</v>
      </c>
      <c r="E58" s="98" t="n">
        <f aca="false">CHOOSE(Dashboard!$B$4,B58,C58,D58)</f>
        <v>60000</v>
      </c>
      <c r="F58" s="39" t="s">
        <v>229</v>
      </c>
      <c r="G58" s="90"/>
    </row>
    <row r="59" customFormat="false" ht="15" hidden="false" customHeight="false" outlineLevel="0" collapsed="false">
      <c r="A59" s="6" t="s">
        <v>272</v>
      </c>
      <c r="B59" s="97" t="n">
        <v>80000</v>
      </c>
      <c r="C59" s="97" t="n">
        <v>80000</v>
      </c>
      <c r="D59" s="97" t="n">
        <v>80000</v>
      </c>
      <c r="E59" s="98" t="n">
        <f aca="false">CHOOSE(Dashboard!$B$4,B59,C59,D59)</f>
        <v>80000</v>
      </c>
      <c r="F59" s="39" t="s">
        <v>229</v>
      </c>
      <c r="G59" s="90"/>
    </row>
    <row r="60" customFormat="false" ht="15" hidden="false" customHeight="false" outlineLevel="0" collapsed="false">
      <c r="A60" s="6" t="s">
        <v>273</v>
      </c>
      <c r="B60" s="91" t="n">
        <v>0.085</v>
      </c>
      <c r="C60" s="91" t="n">
        <v>0.085</v>
      </c>
      <c r="D60" s="91" t="n">
        <v>0.085</v>
      </c>
      <c r="E60" s="92" t="n">
        <f aca="false">CHOOSE(Dashboard!$B$4,B60,C60,D60)</f>
        <v>0.085</v>
      </c>
      <c r="F60" s="39" t="s">
        <v>226</v>
      </c>
      <c r="G60" s="90"/>
    </row>
    <row r="61" customFormat="false" ht="15" hidden="false" customHeight="false" outlineLevel="0" collapsed="false">
      <c r="A61" s="6" t="s">
        <v>274</v>
      </c>
      <c r="B61" s="88" t="n">
        <v>5</v>
      </c>
      <c r="C61" s="88" t="n">
        <v>5</v>
      </c>
      <c r="D61" s="88" t="n">
        <v>5</v>
      </c>
      <c r="E61" s="89" t="n">
        <f aca="false">CHOOSE(Dashboard!$B$4,B61,C61,D61)</f>
        <v>5</v>
      </c>
      <c r="F61" s="39" t="s">
        <v>275</v>
      </c>
      <c r="G61" s="90"/>
    </row>
    <row r="63" customFormat="false" ht="15.75" hidden="false" customHeight="true" outlineLevel="0" collapsed="false">
      <c r="A63" s="7" t="s">
        <v>276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6" t="s">
        <v>277</v>
      </c>
      <c r="B64" s="88" t="n">
        <v>7</v>
      </c>
      <c r="C64" s="88" t="n">
        <v>7</v>
      </c>
      <c r="D64" s="88" t="n">
        <v>7</v>
      </c>
      <c r="E64" s="89" t="n">
        <f aca="false">CHOOSE(Dashboard!$B$4,B64,C64,D64)</f>
        <v>7</v>
      </c>
      <c r="F64" s="39" t="s">
        <v>232</v>
      </c>
      <c r="G64" s="90"/>
    </row>
    <row r="65" customFormat="false" ht="15" hidden="false" customHeight="false" outlineLevel="0" collapsed="false">
      <c r="A65" s="6" t="s">
        <v>278</v>
      </c>
      <c r="B65" s="88" t="n">
        <v>3</v>
      </c>
      <c r="C65" s="88" t="n">
        <v>3</v>
      </c>
      <c r="D65" s="88" t="n">
        <v>3</v>
      </c>
      <c r="E65" s="89" t="n">
        <f aca="false">CHOOSE(Dashboard!$B$4,B65,C65,D65)</f>
        <v>3</v>
      </c>
      <c r="F65" s="39" t="s">
        <v>232</v>
      </c>
      <c r="G65" s="90"/>
    </row>
    <row r="66" customFormat="false" ht="15" hidden="false" customHeight="false" outlineLevel="0" collapsed="false">
      <c r="A66" s="6" t="s">
        <v>279</v>
      </c>
      <c r="B66" s="88" t="n">
        <v>18</v>
      </c>
      <c r="C66" s="88" t="n">
        <v>18</v>
      </c>
      <c r="D66" s="88" t="n">
        <v>18</v>
      </c>
      <c r="E66" s="89" t="n">
        <f aca="false">CHOOSE(Dashboard!$B$4,B66,C66,D66)</f>
        <v>18</v>
      </c>
      <c r="F66" s="39" t="s">
        <v>232</v>
      </c>
      <c r="G66" s="90"/>
    </row>
    <row r="68" customFormat="false" ht="15.75" hidden="false" customHeight="true" outlineLevel="0" collapsed="false">
      <c r="A68" s="7" t="s">
        <v>280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281</v>
      </c>
      <c r="B69" s="88" t="n">
        <v>7</v>
      </c>
      <c r="C69" s="88" t="n">
        <v>7</v>
      </c>
      <c r="D69" s="88" t="n">
        <v>7</v>
      </c>
      <c r="E69" s="89" t="n">
        <f aca="false">CHOOSE(Dashboard!$B$4,B69,C69,D69)</f>
        <v>7</v>
      </c>
      <c r="F69" s="39" t="s">
        <v>275</v>
      </c>
      <c r="G69" s="90"/>
    </row>
    <row r="70" customFormat="false" ht="15" hidden="false" customHeight="false" outlineLevel="0" collapsed="false">
      <c r="A70" s="6" t="s">
        <v>282</v>
      </c>
      <c r="B70" s="91" t="n">
        <v>0.21</v>
      </c>
      <c r="C70" s="91" t="n">
        <v>0.21</v>
      </c>
      <c r="D70" s="91" t="n">
        <v>0.21</v>
      </c>
      <c r="E70" s="92" t="n">
        <f aca="false">CHOOSE(Dashboard!$B$4,B70,C70,D70)</f>
        <v>0.21</v>
      </c>
      <c r="F70" s="39" t="s">
        <v>226</v>
      </c>
      <c r="G70" s="90"/>
    </row>
    <row r="72" customFormat="false" ht="15.75" hidden="false" customHeight="true" outlineLevel="0" collapsed="false">
      <c r="A72" s="7" t="s">
        <v>283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109</v>
      </c>
      <c r="B73" s="97" t="n">
        <v>233000</v>
      </c>
      <c r="C73" s="97" t="n">
        <v>233000</v>
      </c>
      <c r="D73" s="97" t="n">
        <v>233000</v>
      </c>
      <c r="E73" s="98" t="n">
        <f aca="false">CHOOSE(Dashboard!$B$4,B73,C73,D73)</f>
        <v>233000</v>
      </c>
      <c r="F73" s="39" t="s">
        <v>229</v>
      </c>
      <c r="G73" s="90" t="s">
        <v>284</v>
      </c>
    </row>
    <row r="75" customFormat="false" ht="15.75" hidden="false" customHeight="true" outlineLevel="0" collapsed="false">
      <c r="A75" s="7" t="s">
        <v>285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6" t="s">
        <v>134</v>
      </c>
      <c r="B76" s="91" t="n">
        <v>0.2</v>
      </c>
      <c r="C76" s="91" t="n">
        <v>0.16</v>
      </c>
      <c r="D76" s="91" t="n">
        <v>0.13</v>
      </c>
      <c r="E76" s="92" t="n">
        <f aca="false">CHOOSE(Dashboard!$B$4,B76,C76,D76)</f>
        <v>0.16</v>
      </c>
      <c r="F76" s="39" t="s">
        <v>226</v>
      </c>
      <c r="G76" s="90" t="s">
        <v>224</v>
      </c>
    </row>
    <row r="77" customFormat="false" ht="15" hidden="false" customHeight="false" outlineLevel="0" collapsed="false">
      <c r="A77" s="6" t="s">
        <v>286</v>
      </c>
      <c r="B77" s="91" t="n">
        <v>0.01</v>
      </c>
      <c r="C77" s="91" t="n">
        <v>0.02</v>
      </c>
      <c r="D77" s="91" t="n">
        <v>0.03</v>
      </c>
      <c r="E77" s="92" t="n">
        <f aca="false">CHOOSE(Dashboard!$B$4,B77,C77,D77)</f>
        <v>0.02</v>
      </c>
      <c r="F77" s="39" t="s">
        <v>226</v>
      </c>
      <c r="G77" s="90" t="s">
        <v>221</v>
      </c>
    </row>
    <row r="78" customFormat="false" ht="15" hidden="false" customHeight="false" outlineLevel="0" collapsed="false">
      <c r="A78" s="6" t="s">
        <v>136</v>
      </c>
      <c r="B78" s="99" t="n">
        <v>4</v>
      </c>
      <c r="C78" s="99" t="n">
        <v>5.5</v>
      </c>
      <c r="D78" s="99" t="n">
        <v>7</v>
      </c>
      <c r="E78" s="100" t="n">
        <f aca="false">CHOOSE(Dashboard!$B$4,B78,C78,D78)</f>
        <v>5.5</v>
      </c>
      <c r="F78" s="39" t="s">
        <v>287</v>
      </c>
      <c r="G78" s="90" t="s">
        <v>221</v>
      </c>
    </row>
    <row r="79" customFormat="false" ht="15" hidden="false" customHeight="false" outlineLevel="0" collapsed="false">
      <c r="A79" s="6" t="s">
        <v>288</v>
      </c>
      <c r="B79" s="91" t="n">
        <v>0.01</v>
      </c>
      <c r="C79" s="91" t="n">
        <v>0.01</v>
      </c>
      <c r="D79" s="91" t="n">
        <v>0.01</v>
      </c>
      <c r="E79" s="92" t="n">
        <f aca="false">CHOOSE(Dashboard!$B$4,B79,C79,D79)</f>
        <v>0.01</v>
      </c>
      <c r="F79" s="39" t="s">
        <v>226</v>
      </c>
      <c r="G79" s="90"/>
    </row>
    <row r="80" customFormat="false" ht="15" hidden="false" customHeight="false" outlineLevel="0" collapsed="false">
      <c r="A80" s="6" t="s">
        <v>289</v>
      </c>
      <c r="B80" s="91" t="n">
        <v>0.005</v>
      </c>
      <c r="C80" s="91" t="n">
        <v>0.005</v>
      </c>
      <c r="D80" s="91" t="n">
        <v>0.005</v>
      </c>
      <c r="E80" s="92" t="n">
        <f aca="false">CHOOSE(Dashboard!$B$4,B80,C80,D80)</f>
        <v>0.005</v>
      </c>
      <c r="F80" s="39" t="s">
        <v>226</v>
      </c>
      <c r="G80" s="90"/>
    </row>
    <row r="82" customFormat="false" ht="15" hidden="false" customHeight="false" outlineLevel="0" collapsed="false">
      <c r="A82" s="21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19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291</v>
      </c>
    </row>
    <row r="3" customFormat="false" ht="15" hidden="false" customHeight="false" outlineLevel="0" collapsed="false">
      <c r="A3" s="57" t="s">
        <v>122</v>
      </c>
      <c r="B3" s="57" t="n">
        <v>1</v>
      </c>
      <c r="C3" s="57" t="n">
        <v>2</v>
      </c>
      <c r="D3" s="57" t="n">
        <v>3</v>
      </c>
    </row>
    <row r="4" customFormat="false" ht="15" hidden="false" customHeight="false" outlineLevel="0" collapsed="false">
      <c r="A4" s="33"/>
      <c r="B4" s="35" t="s">
        <v>123</v>
      </c>
      <c r="C4" s="35" t="s">
        <v>124</v>
      </c>
      <c r="D4" s="35" t="s">
        <v>125</v>
      </c>
    </row>
    <row r="5" customFormat="false" ht="15" hidden="false" customHeight="false" outlineLevel="0" collapsed="false">
      <c r="A5" s="4" t="s">
        <v>42</v>
      </c>
      <c r="B5" s="58" t="n">
        <f aca="false">SUMIF(Monthly!$C$5:$AL$5,B$3,Monthly!$C$22:$AL$22)</f>
        <v>1578046.08</v>
      </c>
      <c r="C5" s="58" t="n">
        <f aca="false">SUMIF(Monthly!$C$5:$AL$5,C$3,Monthly!$C$22:$AL$22)</f>
        <v>1736372.352</v>
      </c>
      <c r="D5" s="58" t="n">
        <f aca="false">SUMIF(Monthly!$C$5:$AL$5,D$3,Monthly!$C$22:$AL$22)</f>
        <v>1890162.8563584</v>
      </c>
    </row>
    <row r="6" customFormat="false" ht="15" hidden="false" customHeight="false" outlineLevel="0" collapsed="false">
      <c r="A6" s="6" t="s">
        <v>74</v>
      </c>
      <c r="B6" s="52" t="n">
        <f aca="false">SUMIF(Monthly!$C$5:$AL$5,B$3,Monthly!$C$28:$AL$28)</f>
        <v>-500818.424228572</v>
      </c>
      <c r="C6" s="52" t="n">
        <f aca="false">SUMIF(Monthly!$C$5:$AL$5,C$3,Monthly!$C$28:$AL$28)</f>
        <v>-553061.181531429</v>
      </c>
      <c r="D6" s="52" t="n">
        <f aca="false">SUMIF(Monthly!$C$5:$AL$5,D$3,Monthly!$C$28:$AL$28)</f>
        <v>-604279.188751077</v>
      </c>
    </row>
    <row r="7" customFormat="false" ht="15" hidden="false" customHeight="false" outlineLevel="0" collapsed="false">
      <c r="A7" s="101" t="s">
        <v>43</v>
      </c>
      <c r="B7" s="53" t="n">
        <f aca="false">SUMIF(Monthly!$C$5:$AL$5,B$3,Monthly!$C$29:$AL$29)</f>
        <v>1077227.65577143</v>
      </c>
      <c r="C7" s="53" t="n">
        <f aca="false">SUMIF(Monthly!$C$5:$AL$5,C$3,Monthly!$C$29:$AL$29)</f>
        <v>1183311.17046857</v>
      </c>
      <c r="D7" s="53" t="n">
        <f aca="false">SUMIF(Monthly!$C$5:$AL$5,D$3,Monthly!$C$29:$AL$29)</f>
        <v>1285883.66760732</v>
      </c>
    </row>
    <row r="8" customFormat="false" ht="15" hidden="false" customHeight="false" outlineLevel="0" collapsed="false">
      <c r="A8" s="39" t="s">
        <v>44</v>
      </c>
      <c r="B8" s="59" t="n">
        <f aca="false">IF(B5=0,0,B7/B5)</f>
        <v>0.68263384030676</v>
      </c>
      <c r="C8" s="59" t="n">
        <f aca="false">IF(C5=0,0,C7/C5)</f>
        <v>0.681484687950486</v>
      </c>
      <c r="D8" s="59" t="n">
        <f aca="false">IF(D5=0,0,D7/D5)</f>
        <v>0.680303108952588</v>
      </c>
    </row>
    <row r="9" customFormat="false" ht="15" hidden="false" customHeight="false" outlineLevel="0" collapsed="false">
      <c r="A9" s="6" t="s">
        <v>292</v>
      </c>
      <c r="B9" s="52" t="n">
        <f aca="false">SUMIF(Monthly!$C$5:$AL$5,B$3,Monthly!$C$32:$AL$32)</f>
        <v>-593600</v>
      </c>
      <c r="C9" s="52" t="n">
        <f aca="false">SUMIF(Monthly!$C$5:$AL$5,C$3,Monthly!$C$32:$AL$32)</f>
        <v>-641655.392</v>
      </c>
      <c r="D9" s="52" t="n">
        <f aca="false">SUMIF(Monthly!$C$5:$AL$5,D$3,Monthly!$C$32:$AL$32)</f>
        <v>-693929.1563456</v>
      </c>
    </row>
    <row r="10" customFormat="false" ht="15" hidden="false" customHeight="false" outlineLevel="0" collapsed="false">
      <c r="A10" s="6" t="s">
        <v>293</v>
      </c>
      <c r="B10" s="52" t="n">
        <f aca="false">SUMIF(Monthly!$C$5:$AL$5,B$3,Monthly!$C$33:$AL$33)</f>
        <v>-144000</v>
      </c>
      <c r="C10" s="52" t="n">
        <f aca="false">SUMIF(Monthly!$C$5:$AL$5,C$3,Monthly!$C$33:$AL$33)</f>
        <v>-144000</v>
      </c>
      <c r="D10" s="52" t="n">
        <f aca="false">SUMIF(Monthly!$C$5:$AL$5,D$3,Monthly!$C$33:$AL$33)</f>
        <v>-144000</v>
      </c>
    </row>
    <row r="11" customFormat="false" ht="15" hidden="false" customHeight="false" outlineLevel="0" collapsed="false">
      <c r="A11" s="6" t="s">
        <v>294</v>
      </c>
      <c r="B11" s="52" t="n">
        <f aca="false">SUMIF(Monthly!$C$5:$AL$5,B$3,Monthly!$C$34:$AL$34)</f>
        <v>-48000</v>
      </c>
      <c r="C11" s="52" t="n">
        <f aca="false">SUMIF(Monthly!$C$5:$AL$5,C$3,Monthly!$C$34:$AL$34)</f>
        <v>-48000</v>
      </c>
      <c r="D11" s="52" t="n">
        <f aca="false">SUMIF(Monthly!$C$5:$AL$5,D$3,Monthly!$C$34:$AL$34)</f>
        <v>-48000</v>
      </c>
    </row>
    <row r="12" customFormat="false" ht="15" hidden="false" customHeight="false" outlineLevel="0" collapsed="false">
      <c r="A12" s="6" t="s">
        <v>295</v>
      </c>
      <c r="B12" s="52" t="n">
        <f aca="false">SUMIF(Monthly!$C$5:$AL$5,B$3,Monthly!$C$35:$AL$35)</f>
        <v>-36972</v>
      </c>
      <c r="C12" s="52" t="n">
        <f aca="false">SUMIF(Monthly!$C$5:$AL$5,C$3,Monthly!$C$35:$AL$35)</f>
        <v>-41932.8</v>
      </c>
      <c r="D12" s="52" t="n">
        <f aca="false">SUMIF(Monthly!$C$5:$AL$5,D$3,Monthly!$C$35:$AL$35)</f>
        <v>-46964.736</v>
      </c>
    </row>
    <row r="13" customFormat="false" ht="15" hidden="false" customHeight="false" outlineLevel="0" collapsed="false">
      <c r="A13" s="6" t="s">
        <v>296</v>
      </c>
      <c r="B13" s="52" t="n">
        <f aca="false">SUMIF(Monthly!$C$5:$AL$5,B$3,Monthly!$C$36:$AL$36)</f>
        <v>-12000</v>
      </c>
      <c r="C13" s="52" t="n">
        <f aca="false">SUMIF(Monthly!$C$5:$AL$5,C$3,Monthly!$C$36:$AL$36)</f>
        <v>-12000</v>
      </c>
      <c r="D13" s="52" t="n">
        <f aca="false">SUMIF(Monthly!$C$5:$AL$5,D$3,Monthly!$C$36:$AL$36)</f>
        <v>-12000</v>
      </c>
    </row>
    <row r="14" customFormat="false" ht="15" hidden="false" customHeight="false" outlineLevel="0" collapsed="false">
      <c r="A14" s="6" t="s">
        <v>297</v>
      </c>
      <c r="B14" s="52" t="n">
        <f aca="false">SUMIF(Monthly!$C$5:$AL$5,B$3,Monthly!$C$37:$AL$37)</f>
        <v>-31560.9216</v>
      </c>
      <c r="C14" s="52" t="n">
        <f aca="false">SUMIF(Monthly!$C$5:$AL$5,C$3,Monthly!$C$37:$AL$37)</f>
        <v>-34727.44704</v>
      </c>
      <c r="D14" s="52" t="n">
        <f aca="false">SUMIF(Monthly!$C$5:$AL$5,D$3,Monthly!$C$37:$AL$37)</f>
        <v>-37803.257127168</v>
      </c>
    </row>
    <row r="15" customFormat="false" ht="15" hidden="false" customHeight="false" outlineLevel="0" collapsed="false">
      <c r="A15" s="6" t="s">
        <v>298</v>
      </c>
      <c r="B15" s="52" t="n">
        <f aca="false">SUMIF(Monthly!$C$5:$AL$5,B$3,Monthly!$C$38:$AL$38)</f>
        <v>-31762.69824</v>
      </c>
      <c r="C15" s="52" t="n">
        <f aca="false">SUMIF(Monthly!$C$5:$AL$5,C$3,Monthly!$C$38:$AL$38)</f>
        <v>-34106.322432</v>
      </c>
      <c r="D15" s="52" t="n">
        <f aca="false">SUMIF(Monthly!$C$5:$AL$5,D$3,Monthly!$C$38:$AL$38)</f>
        <v>-36183.3974681088</v>
      </c>
    </row>
    <row r="16" customFormat="false" ht="15" hidden="false" customHeight="false" outlineLevel="0" collapsed="false">
      <c r="A16" s="6" t="s">
        <v>299</v>
      </c>
      <c r="B16" s="52" t="n">
        <f aca="false">SUMIF(Monthly!$C$5:$AL$5,B$3,Monthly!$C$39:$AL$39)</f>
        <v>-33600</v>
      </c>
      <c r="C16" s="52" t="n">
        <f aca="false">SUMIF(Monthly!$C$5:$AL$5,C$3,Monthly!$C$39:$AL$39)</f>
        <v>-33600</v>
      </c>
      <c r="D16" s="52" t="n">
        <f aca="false">SUMIF(Monthly!$C$5:$AL$5,D$3,Monthly!$C$39:$AL$39)</f>
        <v>-33600</v>
      </c>
    </row>
    <row r="17" customFormat="false" ht="15" hidden="false" customHeight="false" outlineLevel="0" collapsed="false">
      <c r="A17" s="101" t="s">
        <v>75</v>
      </c>
      <c r="B17" s="53" t="n">
        <f aca="false">SUMIF(Monthly!$C$5:$AL$5,B$3,Monthly!$C$40:$AL$40)</f>
        <v>-931495.61984</v>
      </c>
      <c r="C17" s="53" t="n">
        <f aca="false">SUMIF(Monthly!$C$5:$AL$5,C$3,Monthly!$C$40:$AL$40)</f>
        <v>-990021.961472</v>
      </c>
      <c r="D17" s="53" t="n">
        <f aca="false">SUMIF(Monthly!$C$5:$AL$5,D$3,Monthly!$C$40:$AL$40)</f>
        <v>-1052480.54694088</v>
      </c>
    </row>
    <row r="18" customFormat="false" ht="15" hidden="false" customHeight="false" outlineLevel="0" collapsed="false">
      <c r="A18" s="101" t="s">
        <v>46</v>
      </c>
      <c r="B18" s="53" t="n">
        <f aca="false">SUMIF(Monthly!$C$5:$AL$5,B$3,Monthly!$C$41:$AL$41)</f>
        <v>145732.035931429</v>
      </c>
      <c r="C18" s="53" t="n">
        <f aca="false">SUMIF(Monthly!$C$5:$AL$5,C$3,Monthly!$C$41:$AL$41)</f>
        <v>193289.208996572</v>
      </c>
      <c r="D18" s="53" t="n">
        <f aca="false">SUMIF(Monthly!$C$5:$AL$5,D$3,Monthly!$C$41:$AL$41)</f>
        <v>233403.120666446</v>
      </c>
    </row>
    <row r="19" customFormat="false" ht="15" hidden="false" customHeight="false" outlineLevel="0" collapsed="false">
      <c r="A19" s="39" t="s">
        <v>47</v>
      </c>
      <c r="B19" s="59" t="n">
        <f aca="false">IF(B5=0,0,B18/B5)</f>
        <v>0.0923496707595691</v>
      </c>
      <c r="C19" s="59" t="n">
        <f aca="false">IF(C5=0,0,C18/C5)</f>
        <v>0.111317833858582</v>
      </c>
      <c r="D19" s="59" t="n">
        <f aca="false">IF(D5=0,0,D18/D5)</f>
        <v>0.123483074424667</v>
      </c>
    </row>
    <row r="20" customFormat="false" ht="15" hidden="false" customHeight="false" outlineLevel="0" collapsed="false">
      <c r="A20" s="6" t="s">
        <v>76</v>
      </c>
      <c r="B20" s="52" t="n">
        <f aca="false">SUMIF(Monthly!$C$5:$AL$5,B$3,Monthly!$C$55:$AL$55)</f>
        <v>-12857.1428571429</v>
      </c>
      <c r="C20" s="52" t="n">
        <f aca="false">SUMIF(Monthly!$C$5:$AL$5,C$3,Monthly!$C$55:$AL$55)</f>
        <v>-13940.4761904762</v>
      </c>
      <c r="D20" s="52" t="n">
        <f aca="false">SUMIF(Monthly!$C$5:$AL$5,D$3,Monthly!$C$55:$AL$55)</f>
        <v>-15940.4761904762</v>
      </c>
    </row>
    <row r="21" customFormat="false" ht="15" hidden="false" customHeight="false" outlineLevel="0" collapsed="false">
      <c r="A21" s="4" t="s">
        <v>77</v>
      </c>
      <c r="B21" s="58" t="n">
        <f aca="false">SUMIF(Monthly!$C$5:$AL$5,B$3,Monthly!$C$44:$AL$44)</f>
        <v>132874.893074286</v>
      </c>
      <c r="C21" s="58" t="n">
        <f aca="false">SUMIF(Monthly!$C$5:$AL$5,C$3,Monthly!$C$44:$AL$44)</f>
        <v>179348.732806096</v>
      </c>
      <c r="D21" s="58" t="n">
        <f aca="false">SUMIF(Monthly!$C$5:$AL$5,D$3,Monthly!$C$44:$AL$44)</f>
        <v>217462.64447597</v>
      </c>
    </row>
    <row r="22" customFormat="false" ht="15" hidden="false" customHeight="false" outlineLevel="0" collapsed="false">
      <c r="A22" s="6" t="s">
        <v>78</v>
      </c>
      <c r="B22" s="52" t="n">
        <f aca="false">SUMIF(Monthly!$C$5:$AL$5,B$3,Monthly!$C$45:$AL$45)</f>
        <v>-6228.61111111111</v>
      </c>
      <c r="C22" s="52" t="n">
        <f aca="false">SUMIF(Monthly!$C$5:$AL$5,C$3,Monthly!$C$45:$AL$45)</f>
        <v>-4873.33333333334</v>
      </c>
      <c r="D22" s="52" t="n">
        <f aca="false">SUMIF(Monthly!$C$5:$AL$5,D$3,Monthly!$C$45:$AL$45)</f>
        <v>-3513.33333333333</v>
      </c>
    </row>
    <row r="23" customFormat="false" ht="15" hidden="false" customHeight="false" outlineLevel="0" collapsed="false">
      <c r="A23" s="102" t="s">
        <v>79</v>
      </c>
      <c r="B23" s="103" t="n">
        <f aca="false">SUMIF(Monthly!$C$5:$AL$5,B$3,Monthly!$C$46:$AL$46)</f>
        <v>126646.281963175</v>
      </c>
      <c r="C23" s="103" t="n">
        <f aca="false">SUMIF(Monthly!$C$5:$AL$5,C$3,Monthly!$C$46:$AL$46)</f>
        <v>174475.399472762</v>
      </c>
      <c r="D23" s="103" t="n">
        <f aca="false">SUMIF(Monthly!$C$5:$AL$5,D$3,Monthly!$C$46:$AL$46)</f>
        <v>213949.311142637</v>
      </c>
    </row>
    <row r="24" customFormat="false" ht="15" hidden="false" customHeight="false" outlineLevel="0" collapsed="false">
      <c r="A24" s="6" t="s">
        <v>80</v>
      </c>
      <c r="B24" s="52" t="n">
        <f aca="false">SUMIF(Monthly!$C$5:$AL$5,B$3,Monthly!$C$49:$AL$49)</f>
        <v>-26595.7192122667</v>
      </c>
      <c r="C24" s="52" t="n">
        <f aca="false">SUMIF(Monthly!$C$5:$AL$5,C$3,Monthly!$C$49:$AL$49)</f>
        <v>-36639.8338892801</v>
      </c>
      <c r="D24" s="52" t="n">
        <f aca="false">SUMIF(Monthly!$C$5:$AL$5,D$3,Monthly!$C$49:$AL$49)</f>
        <v>-44929.3553399537</v>
      </c>
    </row>
    <row r="25" customFormat="false" ht="15" hidden="false" customHeight="false" outlineLevel="0" collapsed="false">
      <c r="A25" s="55" t="s">
        <v>48</v>
      </c>
      <c r="B25" s="56" t="n">
        <f aca="false">SUMIF(Monthly!$C$5:$AL$5,B$3,Monthly!$C$50:$AL$50)</f>
        <v>100050.562750908</v>
      </c>
      <c r="C25" s="56" t="n">
        <f aca="false">SUMIF(Monthly!$C$5:$AL$5,C$3,Monthly!$C$50:$AL$50)</f>
        <v>137835.565583482</v>
      </c>
      <c r="D25" s="56" t="n">
        <f aca="false">SUMIF(Monthly!$C$5:$AL$5,D$3,Monthly!$C$50:$AL$50)</f>
        <v>169019.955802683</v>
      </c>
    </row>
    <row r="26" customFormat="false" ht="15" hidden="false" customHeight="false" outlineLevel="0" collapsed="false">
      <c r="A26" s="39" t="s">
        <v>49</v>
      </c>
      <c r="B26" s="59" t="n">
        <f aca="false">IF(B5=0,0,B25/B5)</f>
        <v>0.0634015470263758</v>
      </c>
      <c r="C26" s="59" t="n">
        <f aca="false">IF(C5=0,0,C25/C5)</f>
        <v>0.0793813408885021</v>
      </c>
      <c r="D26" s="59" t="n">
        <f aca="false">IF(D5=0,0,D25/D5)</f>
        <v>0.0894208428835164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291</v>
      </c>
    </row>
    <row r="3" customFormat="false" ht="15" hidden="false" customHeight="false" outlineLevel="0" collapsed="false">
      <c r="A3" s="57" t="s">
        <v>122</v>
      </c>
      <c r="B3" s="57" t="n">
        <v>1</v>
      </c>
      <c r="C3" s="57" t="n">
        <v>2</v>
      </c>
      <c r="D3" s="57" t="n">
        <v>3</v>
      </c>
    </row>
    <row r="4" customFormat="false" ht="15" hidden="false" customHeight="false" outlineLevel="0" collapsed="false">
      <c r="A4" s="33"/>
      <c r="B4" s="35" t="s">
        <v>123</v>
      </c>
      <c r="C4" s="35" t="s">
        <v>124</v>
      </c>
      <c r="D4" s="35" t="s">
        <v>125</v>
      </c>
    </row>
    <row r="5" customFormat="false" ht="15" hidden="false" customHeight="false" outlineLevel="0" collapsed="false">
      <c r="A5" s="6" t="s">
        <v>48</v>
      </c>
      <c r="B5" s="52" t="n">
        <f aca="false">SUMIF(Monthly!$C$5:$AL$5,B$3,Monthly!$C$50:$AL$50)</f>
        <v>100050.562750908</v>
      </c>
      <c r="C5" s="52" t="n">
        <f aca="false">SUMIF(Monthly!$C$5:$AL$5,C$3,Monthly!$C$50:$AL$50)</f>
        <v>137835.565583482</v>
      </c>
      <c r="D5" s="52" t="n">
        <f aca="false">SUMIF(Monthly!$C$5:$AL$5,D$3,Monthly!$C$50:$AL$50)</f>
        <v>169019.955802683</v>
      </c>
    </row>
    <row r="6" customFormat="false" ht="15" hidden="false" customHeight="false" outlineLevel="0" collapsed="false">
      <c r="A6" s="6" t="s">
        <v>300</v>
      </c>
      <c r="B6" s="52" t="n">
        <f aca="false">-SUMIF(Monthly!$C$5:$AL$5,B$3,Monthly!$C$55:$AL$55)</f>
        <v>12857.1428571429</v>
      </c>
      <c r="C6" s="52" t="n">
        <f aca="false">-SUMIF(Monthly!$C$5:$AL$5,C$3,Monthly!$C$55:$AL$55)</f>
        <v>13940.4761904762</v>
      </c>
      <c r="D6" s="52" t="n">
        <f aca="false">-SUMIF(Monthly!$C$5:$AL$5,D$3,Monthly!$C$55:$AL$55)</f>
        <v>15940.4761904762</v>
      </c>
    </row>
    <row r="7" customFormat="false" ht="15" hidden="false" customHeight="false" outlineLevel="0" collapsed="false">
      <c r="A7" s="6" t="s">
        <v>301</v>
      </c>
      <c r="B7" s="52" t="n">
        <f aca="false">SUMIF(Monthly!$C$5:$AL$5,B$3,Monthly!$C$69:$AL$69)</f>
        <v>-35526.4</v>
      </c>
      <c r="C7" s="52" t="n">
        <f aca="false">SUMIF(Monthly!$C$5:$AL$5,C$3,Monthly!$C$69:$AL$69)</f>
        <v>-2973.38496</v>
      </c>
      <c r="D7" s="52" t="n">
        <f aca="false">SUMIF(Monthly!$C$5:$AL$5,D$3,Monthly!$C$69:$AL$69)</f>
        <v>-3278.853561984</v>
      </c>
    </row>
    <row r="8" customFormat="false" ht="15" hidden="false" customHeight="false" outlineLevel="0" collapsed="false">
      <c r="A8" s="6" t="s">
        <v>302</v>
      </c>
      <c r="B8" s="52" t="n">
        <f aca="false">SUMIF(Monthly!$C$5:$AL$5,B$3,Monthly!$C$70:$AL$70)</f>
        <v>-4796.53028571429</v>
      </c>
      <c r="C8" s="52" t="n">
        <f aca="false">SUMIF(Monthly!$C$5:$AL$5,C$3,Monthly!$C$70:$AL$70)</f>
        <v>-418.788806400001</v>
      </c>
      <c r="D8" s="52" t="n">
        <f aca="false">SUMIF(Monthly!$C$5:$AL$5,D$3,Monthly!$C$70:$AL$70)</f>
        <v>-463.751109912961</v>
      </c>
    </row>
    <row r="9" customFormat="false" ht="15" hidden="false" customHeight="false" outlineLevel="0" collapsed="false">
      <c r="A9" s="6" t="s">
        <v>303</v>
      </c>
      <c r="B9" s="52" t="n">
        <f aca="false">SUMIF(Monthly!$C$5:$AL$5,B$3,Monthly!$C$71:$AL$71)</f>
        <v>28779.1817142857</v>
      </c>
      <c r="C9" s="52" t="n">
        <f aca="false">SUMIF(Monthly!$C$5:$AL$5,C$3,Monthly!$C$71:$AL$71)</f>
        <v>2512.73283840001</v>
      </c>
      <c r="D9" s="52" t="n">
        <f aca="false">SUMIF(Monthly!$C$5:$AL$5,D$3,Monthly!$C$71:$AL$71)</f>
        <v>2782.50665947776</v>
      </c>
    </row>
    <row r="10" customFormat="false" ht="15" hidden="false" customHeight="false" outlineLevel="0" collapsed="false">
      <c r="A10" s="101" t="s">
        <v>50</v>
      </c>
      <c r="B10" s="53" t="n">
        <f aca="false">SUMIF(Monthly!$C$5:$AL$5,B$3,Monthly!$C$74:$AL$74)</f>
        <v>101363.957036622</v>
      </c>
      <c r="C10" s="53" t="n">
        <f aca="false">SUMIF(Monthly!$C$5:$AL$5,C$3,Monthly!$C$74:$AL$74)</f>
        <v>150896.600845958</v>
      </c>
      <c r="D10" s="53" t="n">
        <f aca="false">SUMIF(Monthly!$C$5:$AL$5,D$3,Monthly!$C$74:$AL$74)</f>
        <v>184000.33398074</v>
      </c>
    </row>
    <row r="11" customFormat="false" ht="15" hidden="false" customHeight="false" outlineLevel="0" collapsed="false">
      <c r="A11" s="6" t="s">
        <v>82</v>
      </c>
      <c r="B11" s="52" t="n">
        <f aca="false">SUMIF(Monthly!$C$5:$AL$5,B$3,Monthly!$C$75:$AL$75)</f>
        <v>-90000</v>
      </c>
      <c r="C11" s="52" t="n">
        <f aca="false">SUMIF(Monthly!$C$5:$AL$5,C$3,Monthly!$C$75:$AL$75)</f>
        <v>-14000</v>
      </c>
      <c r="D11" s="52" t="n">
        <f aca="false">SUMIF(Monthly!$C$5:$AL$5,D$3,Monthly!$C$75:$AL$75)</f>
        <v>-14000</v>
      </c>
    </row>
    <row r="12" customFormat="false" ht="15" hidden="false" customHeight="false" outlineLevel="0" collapsed="false">
      <c r="A12" s="6" t="s">
        <v>62</v>
      </c>
      <c r="B12" s="52" t="n">
        <f aca="false">SUMIF(Monthly!$C$5:$AL$5,B$3,Monthly!$C$76:$AL$76)</f>
        <v>60000</v>
      </c>
      <c r="C12" s="52" t="n">
        <f aca="false">SUMIF(Monthly!$C$5:$AL$5,C$3,Monthly!$C$76:$AL$76)</f>
        <v>0</v>
      </c>
      <c r="D12" s="52" t="n">
        <f aca="false">SUMIF(Monthly!$C$5:$AL$5,D$3,Monthly!$C$76:$AL$76)</f>
        <v>0</v>
      </c>
    </row>
    <row r="13" customFormat="false" ht="15" hidden="false" customHeight="false" outlineLevel="0" collapsed="false">
      <c r="A13" s="6" t="s">
        <v>83</v>
      </c>
      <c r="B13" s="52" t="n">
        <f aca="false">SUMIF(Monthly!$C$5:$AL$5,B$3,Monthly!$C$61:$AL$61)</f>
        <v>80000</v>
      </c>
      <c r="C13" s="52" t="n">
        <f aca="false">SUMIF(Monthly!$C$5:$AL$5,C$3,Monthly!$C$61:$AL$61)</f>
        <v>0</v>
      </c>
      <c r="D13" s="52" t="n">
        <f aca="false">SUMIF(Monthly!$C$5:$AL$5,D$3,Monthly!$C$61:$AL$61)</f>
        <v>0</v>
      </c>
    </row>
    <row r="14" customFormat="false" ht="15" hidden="false" customHeight="false" outlineLevel="0" collapsed="false">
      <c r="A14" s="6" t="s">
        <v>84</v>
      </c>
      <c r="B14" s="52" t="n">
        <f aca="false">SUMIF(Monthly!$C$5:$AL$5,B$3,Monthly!$C$62:$AL$62)</f>
        <v>-14666.6666666667</v>
      </c>
      <c r="C14" s="52" t="n">
        <f aca="false">SUMIF(Monthly!$C$5:$AL$5,C$3,Monthly!$C$62:$AL$62)</f>
        <v>-16000</v>
      </c>
      <c r="D14" s="52" t="n">
        <f aca="false">SUMIF(Monthly!$C$5:$AL$5,D$3,Monthly!$C$62:$AL$62)</f>
        <v>-16000</v>
      </c>
    </row>
    <row r="15" customFormat="false" ht="15" hidden="false" customHeight="false" outlineLevel="0" collapsed="false">
      <c r="A15" s="101" t="s">
        <v>52</v>
      </c>
      <c r="B15" s="53" t="n">
        <f aca="false">SUMIF(Monthly!$C$5:$AL$5,B$3,Monthly!$C$77:$AL$77)</f>
        <v>125333.333333333</v>
      </c>
      <c r="C15" s="53" t="n">
        <f aca="false">SUMIF(Monthly!$C$5:$AL$5,C$3,Monthly!$C$77:$AL$77)</f>
        <v>-16000</v>
      </c>
      <c r="D15" s="53" t="n">
        <f aca="false">SUMIF(Monthly!$C$5:$AL$5,D$3,Monthly!$C$77:$AL$77)</f>
        <v>-16000</v>
      </c>
    </row>
    <row r="16" customFormat="false" ht="15" hidden="false" customHeight="false" outlineLevel="0" collapsed="false">
      <c r="A16" s="4" t="s">
        <v>53</v>
      </c>
      <c r="B16" s="58" t="n">
        <f aca="false">SUMIF(Monthly!$C$5:$AL$5,B$3,Monthly!$C$78:$AL$78)</f>
        <v>136697.290369956</v>
      </c>
      <c r="C16" s="58" t="n">
        <f aca="false">SUMIF(Monthly!$C$5:$AL$5,C$3,Monthly!$C$78:$AL$78)</f>
        <v>120896.600845958</v>
      </c>
      <c r="D16" s="58" t="n">
        <f aca="false">SUMIF(Monthly!$C$5:$AL$5,D$3,Monthly!$C$78:$AL$78)</f>
        <v>154000.33398074</v>
      </c>
    </row>
    <row r="17" customFormat="false" ht="15" hidden="false" customHeight="false" outlineLevel="0" collapsed="false">
      <c r="A17" s="6" t="s">
        <v>304</v>
      </c>
      <c r="B17" s="52" t="n">
        <f aca="false">INDEX(Monthly!$C$79:$AL$79,(B$3-1)*12+1)</f>
        <v>0</v>
      </c>
      <c r="C17" s="52" t="n">
        <f aca="false">INDEX(Monthly!$C$79:$AL$79,(C$3-1)*12+1)</f>
        <v>136697.290369956</v>
      </c>
      <c r="D17" s="52" t="n">
        <f aca="false">INDEX(Monthly!$C$79:$AL$79,(D$3-1)*12+1)</f>
        <v>257593.891215914</v>
      </c>
    </row>
    <row r="18" customFormat="false" ht="15" hidden="false" customHeight="false" outlineLevel="0" collapsed="false">
      <c r="A18" s="55" t="s">
        <v>85</v>
      </c>
      <c r="B18" s="56" t="n">
        <f aca="false">INDEX(Monthly!$C$80:$AL$80,B$3*12)</f>
        <v>136697.290369956</v>
      </c>
      <c r="C18" s="56" t="n">
        <f aca="false">INDEX(Monthly!$C$80:$AL$80,C$3*12)</f>
        <v>257593.891215914</v>
      </c>
      <c r="D18" s="56" t="n">
        <f aca="false">INDEX(Monthly!$C$80:$AL$80,D$3*12)</f>
        <v>411594.225196654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291</v>
      </c>
    </row>
    <row r="3" customFormat="false" ht="15" hidden="false" customHeight="false" outlineLevel="0" collapsed="false">
      <c r="A3" s="57" t="s">
        <v>122</v>
      </c>
      <c r="B3" s="57" t="n">
        <v>1</v>
      </c>
      <c r="C3" s="57" t="n">
        <v>2</v>
      </c>
      <c r="D3" s="57" t="n">
        <v>3</v>
      </c>
    </row>
    <row r="4" customFormat="false" ht="15" hidden="false" customHeight="false" outlineLevel="0" collapsed="false">
      <c r="A4" s="33"/>
      <c r="B4" s="35" t="s">
        <v>123</v>
      </c>
      <c r="C4" s="35" t="s">
        <v>124</v>
      </c>
      <c r="D4" s="35" t="s">
        <v>125</v>
      </c>
    </row>
    <row r="5" customFormat="false" ht="15" hidden="false" customHeight="false" outlineLevel="0" collapsed="false">
      <c r="A5" s="6" t="s">
        <v>87</v>
      </c>
      <c r="B5" s="52" t="n">
        <f aca="false">INDEX(Monthly!$C$80:$AL$80,B$3*12)</f>
        <v>136697.290369956</v>
      </c>
      <c r="C5" s="52" t="n">
        <f aca="false">INDEX(Monthly!$C$80:$AL$80,C$3*12)</f>
        <v>257593.891215914</v>
      </c>
      <c r="D5" s="52" t="n">
        <f aca="false">INDEX(Monthly!$C$80:$AL$80,D$3*12)</f>
        <v>411594.225196654</v>
      </c>
    </row>
    <row r="6" customFormat="false" ht="15" hidden="false" customHeight="false" outlineLevel="0" collapsed="false">
      <c r="A6" s="6" t="s">
        <v>88</v>
      </c>
      <c r="B6" s="52" t="n">
        <f aca="false">INDEX(Monthly!$C$66:$AL$66,B$3*12)</f>
        <v>35526.4</v>
      </c>
      <c r="C6" s="52" t="n">
        <f aca="false">INDEX(Monthly!$C$66:$AL$66,C$3*12)</f>
        <v>38499.78496</v>
      </c>
      <c r="D6" s="52" t="n">
        <f aca="false">INDEX(Monthly!$C$66:$AL$66,D$3*12)</f>
        <v>41778.638521984</v>
      </c>
    </row>
    <row r="7" customFormat="false" ht="15" hidden="false" customHeight="false" outlineLevel="0" collapsed="false">
      <c r="A7" s="6" t="s">
        <v>89</v>
      </c>
      <c r="B7" s="52" t="n">
        <f aca="false">INDEX(Monthly!$C$67:$AL$67,B$3*12)</f>
        <v>4796.53028571429</v>
      </c>
      <c r="C7" s="52" t="n">
        <f aca="false">INDEX(Monthly!$C$67:$AL$67,C$3*12)</f>
        <v>5215.31909211429</v>
      </c>
      <c r="D7" s="52" t="n">
        <f aca="false">INDEX(Monthly!$C$67:$AL$67,D$3*12)</f>
        <v>5679.07020202725</v>
      </c>
    </row>
    <row r="8" customFormat="false" ht="15" hidden="false" customHeight="false" outlineLevel="0" collapsed="false">
      <c r="A8" s="6" t="s">
        <v>90</v>
      </c>
      <c r="B8" s="52" t="n">
        <f aca="false">INDEX(Monthly!$C$57:$AL$57,B$3*12)</f>
        <v>77142.8571428571</v>
      </c>
      <c r="C8" s="52" t="n">
        <f aca="false">INDEX(Monthly!$C$57:$AL$57,C$3*12)</f>
        <v>77202.380952381</v>
      </c>
      <c r="D8" s="52" t="n">
        <f aca="false">INDEX(Monthly!$C$57:$AL$57,D$3*12)</f>
        <v>75261.9047619049</v>
      </c>
    </row>
    <row r="9" customFormat="false" ht="15" hidden="false" customHeight="false" outlineLevel="0" collapsed="false">
      <c r="A9" s="101" t="s">
        <v>91</v>
      </c>
      <c r="B9" s="53" t="n">
        <f aca="false">INDEX(Monthly!$C$94:$AL$94,B$3*12)</f>
        <v>254163.077798527</v>
      </c>
      <c r="C9" s="53" t="n">
        <f aca="false">INDEX(Monthly!$C$94:$AL$94,C$3*12)</f>
        <v>378511.376220409</v>
      </c>
      <c r="D9" s="53" t="n">
        <f aca="false">INDEX(Monthly!$C$94:$AL$94,D$3*12)</f>
        <v>534313.83868257</v>
      </c>
    </row>
    <row r="10" customFormat="false" ht="15" hidden="false" customHeight="false" outlineLevel="0" collapsed="false">
      <c r="A10" s="6" t="s">
        <v>92</v>
      </c>
      <c r="B10" s="52" t="n">
        <f aca="false">INDEX(Monthly!$C$68:$AL$68,B$3*12)</f>
        <v>28779.1817142857</v>
      </c>
      <c r="C10" s="52" t="n">
        <f aca="false">INDEX(Monthly!$C$68:$AL$68,C$3*12)</f>
        <v>31291.9145526857</v>
      </c>
      <c r="D10" s="52" t="n">
        <f aca="false">INDEX(Monthly!$C$68:$AL$68,D$3*12)</f>
        <v>34074.4212121635</v>
      </c>
    </row>
    <row r="11" customFormat="false" ht="15" hidden="false" customHeight="false" outlineLevel="0" collapsed="false">
      <c r="A11" s="6" t="s">
        <v>93</v>
      </c>
      <c r="B11" s="52" t="n">
        <f aca="false">INDEX(Monthly!$C$63:$AL$63,B$3*12)</f>
        <v>65333.3333333334</v>
      </c>
      <c r="C11" s="52" t="n">
        <f aca="false">INDEX(Monthly!$C$63:$AL$63,C$3*12)</f>
        <v>49333.3333333334</v>
      </c>
      <c r="D11" s="52" t="n">
        <f aca="false">INDEX(Monthly!$C$63:$AL$63,D$3*12)</f>
        <v>33333.3333333333</v>
      </c>
    </row>
    <row r="12" customFormat="false" ht="15" hidden="false" customHeight="false" outlineLevel="0" collapsed="false">
      <c r="A12" s="102" t="s">
        <v>94</v>
      </c>
      <c r="B12" s="103" t="n">
        <f aca="false">INDEX(Monthly!$C$95:$AL$95,B$3*12)</f>
        <v>94112.5150476191</v>
      </c>
      <c r="C12" s="103" t="n">
        <f aca="false">INDEX(Monthly!$C$95:$AL$95,C$3*12)</f>
        <v>80625.2478860191</v>
      </c>
      <c r="D12" s="103" t="n">
        <f aca="false">INDEX(Monthly!$C$95:$AL$95,D$3*12)</f>
        <v>67407.7545454968</v>
      </c>
    </row>
    <row r="13" customFormat="false" ht="15" hidden="false" customHeight="false" outlineLevel="0" collapsed="false">
      <c r="A13" s="6" t="s">
        <v>95</v>
      </c>
      <c r="B13" s="52" t="n">
        <f aca="false">INDEX(Monthly!$C$92:$AL$92,B$3*12)</f>
        <v>60000</v>
      </c>
      <c r="C13" s="52" t="n">
        <f aca="false">INDEX(Monthly!$C$92:$AL$92,C$3*12)</f>
        <v>60000</v>
      </c>
      <c r="D13" s="52" t="n">
        <f aca="false">INDEX(Monthly!$C$92:$AL$92,D$3*12)</f>
        <v>60000</v>
      </c>
    </row>
    <row r="14" customFormat="false" ht="15" hidden="false" customHeight="false" outlineLevel="0" collapsed="false">
      <c r="A14" s="6" t="s">
        <v>96</v>
      </c>
      <c r="B14" s="52" t="n">
        <f aca="false">INDEX(Monthly!$C$93:$AL$93,B$3*12)</f>
        <v>100050.562750908</v>
      </c>
      <c r="C14" s="52" t="n">
        <f aca="false">INDEX(Monthly!$C$93:$AL$93,C$3*12)</f>
        <v>237886.12833439</v>
      </c>
      <c r="D14" s="52" t="n">
        <f aca="false">INDEX(Monthly!$C$93:$AL$93,D$3*12)</f>
        <v>406906.084137073</v>
      </c>
    </row>
    <row r="15" customFormat="false" ht="15" hidden="false" customHeight="false" outlineLevel="0" collapsed="false">
      <c r="A15" s="102" t="s">
        <v>97</v>
      </c>
      <c r="B15" s="103" t="n">
        <f aca="false">INDEX(Monthly!$C$96:$AL$96,B$3*12)</f>
        <v>160050.562750908</v>
      </c>
      <c r="C15" s="103" t="n">
        <f aca="false">INDEX(Monthly!$C$96:$AL$96,C$3*12)</f>
        <v>297886.12833439</v>
      </c>
      <c r="D15" s="103" t="n">
        <f aca="false">INDEX(Monthly!$C$96:$AL$96,D$3*12)</f>
        <v>466906.084137073</v>
      </c>
    </row>
    <row r="16" customFormat="false" ht="15" hidden="false" customHeight="false" outlineLevel="0" collapsed="false">
      <c r="A16" s="55" t="s">
        <v>98</v>
      </c>
      <c r="B16" s="56" t="n">
        <f aca="false">INDEX(Monthly!$C$97:$AL$97,B$3*12)</f>
        <v>254163.077798527</v>
      </c>
      <c r="C16" s="56" t="n">
        <f aca="false">INDEX(Monthly!$C$97:$AL$97,C$3*12)</f>
        <v>378511.376220409</v>
      </c>
      <c r="D16" s="56" t="n">
        <f aca="false">INDEX(Monthly!$C$97:$AL$97,D$3*12)</f>
        <v>534313.83868257</v>
      </c>
    </row>
    <row r="17" customFormat="false" ht="15" hidden="false" customHeight="false" outlineLevel="0" collapsed="false">
      <c r="A17" s="6" t="s">
        <v>305</v>
      </c>
      <c r="B17" s="52" t="n">
        <f aca="false">INDEX(Monthly!$C$98:$AL$98,B$3*12)</f>
        <v>0</v>
      </c>
      <c r="C17" s="52" t="n">
        <f aca="false">INDEX(Monthly!$C$98:$AL$98,C$3*12)</f>
        <v>0</v>
      </c>
      <c r="D17" s="52" t="n">
        <f aca="false">INDEX(Monthly!$C$98:$AL$98,D$3*12)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306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307</v>
      </c>
    </row>
    <row r="3" customFormat="false" ht="15" hidden="false" customHeight="false" outlineLevel="0" collapsed="false">
      <c r="A3" s="33" t="s">
        <v>308</v>
      </c>
      <c r="C3" s="35" t="s">
        <v>309</v>
      </c>
      <c r="D3" s="35" t="s">
        <v>310</v>
      </c>
      <c r="E3" s="35" t="s">
        <v>311</v>
      </c>
      <c r="F3" s="35" t="s">
        <v>312</v>
      </c>
      <c r="G3" s="35" t="s">
        <v>313</v>
      </c>
      <c r="H3" s="35" t="s">
        <v>314</v>
      </c>
      <c r="I3" s="35" t="s">
        <v>315</v>
      </c>
      <c r="J3" s="35" t="s">
        <v>316</v>
      </c>
      <c r="K3" s="35" t="s">
        <v>317</v>
      </c>
      <c r="L3" s="35" t="s">
        <v>318</v>
      </c>
      <c r="M3" s="35" t="s">
        <v>319</v>
      </c>
      <c r="N3" s="35" t="s">
        <v>320</v>
      </c>
      <c r="O3" s="35" t="s">
        <v>321</v>
      </c>
      <c r="P3" s="35" t="s">
        <v>322</v>
      </c>
      <c r="Q3" s="35" t="s">
        <v>323</v>
      </c>
      <c r="R3" s="35" t="s">
        <v>324</v>
      </c>
      <c r="S3" s="35" t="s">
        <v>325</v>
      </c>
      <c r="T3" s="35" t="s">
        <v>326</v>
      </c>
      <c r="U3" s="35" t="s">
        <v>327</v>
      </c>
      <c r="V3" s="35" t="s">
        <v>328</v>
      </c>
      <c r="W3" s="35" t="s">
        <v>329</v>
      </c>
      <c r="X3" s="35" t="s">
        <v>330</v>
      </c>
      <c r="Y3" s="35" t="s">
        <v>331</v>
      </c>
      <c r="Z3" s="35" t="s">
        <v>332</v>
      </c>
      <c r="AA3" s="35" t="s">
        <v>333</v>
      </c>
      <c r="AB3" s="35" t="s">
        <v>334</v>
      </c>
      <c r="AC3" s="35" t="s">
        <v>335</v>
      </c>
      <c r="AD3" s="35" t="s">
        <v>336</v>
      </c>
      <c r="AE3" s="35" t="s">
        <v>337</v>
      </c>
      <c r="AF3" s="35" t="s">
        <v>338</v>
      </c>
      <c r="AG3" s="35" t="s">
        <v>339</v>
      </c>
      <c r="AH3" s="35" t="s">
        <v>340</v>
      </c>
      <c r="AI3" s="35" t="s">
        <v>341</v>
      </c>
      <c r="AJ3" s="35" t="s">
        <v>342</v>
      </c>
      <c r="AK3" s="35" t="s">
        <v>343</v>
      </c>
      <c r="AL3" s="35" t="s">
        <v>344</v>
      </c>
    </row>
    <row r="4" customFormat="false" ht="15" hidden="false" customHeight="false" outlineLevel="0" collapsed="false">
      <c r="A4" s="57" t="s">
        <v>345</v>
      </c>
      <c r="C4" s="57" t="n">
        <v>1</v>
      </c>
      <c r="D4" s="57" t="n">
        <v>2</v>
      </c>
      <c r="E4" s="57" t="n">
        <v>3</v>
      </c>
      <c r="F4" s="57" t="n">
        <v>4</v>
      </c>
      <c r="G4" s="57" t="n">
        <v>5</v>
      </c>
      <c r="H4" s="57" t="n">
        <v>6</v>
      </c>
      <c r="I4" s="57" t="n">
        <v>7</v>
      </c>
      <c r="J4" s="57" t="n">
        <v>8</v>
      </c>
      <c r="K4" s="57" t="n">
        <v>9</v>
      </c>
      <c r="L4" s="57" t="n">
        <v>10</v>
      </c>
      <c r="M4" s="57" t="n">
        <v>11</v>
      </c>
      <c r="N4" s="57" t="n">
        <v>12</v>
      </c>
      <c r="O4" s="57" t="n">
        <v>13</v>
      </c>
      <c r="P4" s="57" t="n">
        <v>14</v>
      </c>
      <c r="Q4" s="57" t="n">
        <v>15</v>
      </c>
      <c r="R4" s="57" t="n">
        <v>16</v>
      </c>
      <c r="S4" s="57" t="n">
        <v>17</v>
      </c>
      <c r="T4" s="57" t="n">
        <v>18</v>
      </c>
      <c r="U4" s="57" t="n">
        <v>19</v>
      </c>
      <c r="V4" s="57" t="n">
        <v>20</v>
      </c>
      <c r="W4" s="57" t="n">
        <v>21</v>
      </c>
      <c r="X4" s="57" t="n">
        <v>22</v>
      </c>
      <c r="Y4" s="57" t="n">
        <v>23</v>
      </c>
      <c r="Z4" s="57" t="n">
        <v>24</v>
      </c>
      <c r="AA4" s="57" t="n">
        <v>25</v>
      </c>
      <c r="AB4" s="57" t="n">
        <v>26</v>
      </c>
      <c r="AC4" s="57" t="n">
        <v>27</v>
      </c>
      <c r="AD4" s="57" t="n">
        <v>28</v>
      </c>
      <c r="AE4" s="57" t="n">
        <v>29</v>
      </c>
      <c r="AF4" s="57" t="n">
        <v>30</v>
      </c>
      <c r="AG4" s="57" t="n">
        <v>31</v>
      </c>
      <c r="AH4" s="57" t="n">
        <v>32</v>
      </c>
      <c r="AI4" s="57" t="n">
        <v>33</v>
      </c>
      <c r="AJ4" s="57" t="n">
        <v>34</v>
      </c>
      <c r="AK4" s="57" t="n">
        <v>35</v>
      </c>
      <c r="AL4" s="57" t="n">
        <v>36</v>
      </c>
    </row>
    <row r="5" customFormat="false" ht="15" hidden="false" customHeight="false" outlineLevel="0" collapsed="false">
      <c r="A5" s="57" t="s">
        <v>122</v>
      </c>
      <c r="C5" s="57" t="n">
        <f aca="false">ROUNDUP(C4*1/12,0)</f>
        <v>1</v>
      </c>
      <c r="D5" s="57" t="n">
        <f aca="false">ROUNDUP(D4*1/12,0)</f>
        <v>1</v>
      </c>
      <c r="E5" s="57" t="n">
        <f aca="false">ROUNDUP(E4*1/12,0)</f>
        <v>1</v>
      </c>
      <c r="F5" s="57" t="n">
        <f aca="false">ROUNDUP(F4*1/12,0)</f>
        <v>1</v>
      </c>
      <c r="G5" s="57" t="n">
        <f aca="false">ROUNDUP(G4*1/12,0)</f>
        <v>1</v>
      </c>
      <c r="H5" s="57" t="n">
        <f aca="false">ROUNDUP(H4*1/12,0)</f>
        <v>1</v>
      </c>
      <c r="I5" s="57" t="n">
        <f aca="false">ROUNDUP(I4*1/12,0)</f>
        <v>1</v>
      </c>
      <c r="J5" s="57" t="n">
        <f aca="false">ROUNDUP(J4*1/12,0)</f>
        <v>1</v>
      </c>
      <c r="K5" s="57" t="n">
        <f aca="false">ROUNDUP(K4*1/12,0)</f>
        <v>1</v>
      </c>
      <c r="L5" s="57" t="n">
        <f aca="false">ROUNDUP(L4*1/12,0)</f>
        <v>1</v>
      </c>
      <c r="M5" s="57" t="n">
        <f aca="false">ROUNDUP(M4*1/12,0)</f>
        <v>1</v>
      </c>
      <c r="N5" s="57" t="n">
        <f aca="false">ROUNDUP(N4*1/12,0)</f>
        <v>1</v>
      </c>
      <c r="O5" s="57" t="n">
        <f aca="false">ROUNDUP(O4*1/12,0)</f>
        <v>2</v>
      </c>
      <c r="P5" s="57" t="n">
        <f aca="false">ROUNDUP(P4*1/12,0)</f>
        <v>2</v>
      </c>
      <c r="Q5" s="57" t="n">
        <f aca="false">ROUNDUP(Q4*1/12,0)</f>
        <v>2</v>
      </c>
      <c r="R5" s="57" t="n">
        <f aca="false">ROUNDUP(R4*1/12,0)</f>
        <v>2</v>
      </c>
      <c r="S5" s="57" t="n">
        <f aca="false">ROUNDUP(S4*1/12,0)</f>
        <v>2</v>
      </c>
      <c r="T5" s="57" t="n">
        <f aca="false">ROUNDUP(T4*1/12,0)</f>
        <v>2</v>
      </c>
      <c r="U5" s="57" t="n">
        <f aca="false">ROUNDUP(U4*1/12,0)</f>
        <v>2</v>
      </c>
      <c r="V5" s="57" t="n">
        <f aca="false">ROUNDUP(V4*1/12,0)</f>
        <v>2</v>
      </c>
      <c r="W5" s="57" t="n">
        <f aca="false">ROUNDUP(W4*1/12,0)</f>
        <v>2</v>
      </c>
      <c r="X5" s="57" t="n">
        <f aca="false">ROUNDUP(X4*1/12,0)</f>
        <v>2</v>
      </c>
      <c r="Y5" s="57" t="n">
        <f aca="false">ROUNDUP(Y4*1/12,0)</f>
        <v>2</v>
      </c>
      <c r="Z5" s="57" t="n">
        <f aca="false">ROUNDUP(Z4*1/12,0)</f>
        <v>2</v>
      </c>
      <c r="AA5" s="57" t="n">
        <f aca="false">ROUNDUP(AA4*1/12,0)</f>
        <v>3</v>
      </c>
      <c r="AB5" s="57" t="n">
        <f aca="false">ROUNDUP(AB4*1/12,0)</f>
        <v>3</v>
      </c>
      <c r="AC5" s="57" t="n">
        <f aca="false">ROUNDUP(AC4*1/12,0)</f>
        <v>3</v>
      </c>
      <c r="AD5" s="57" t="n">
        <f aca="false">ROUNDUP(AD4*1/12,0)</f>
        <v>3</v>
      </c>
      <c r="AE5" s="57" t="n">
        <f aca="false">ROUNDUP(AE4*1/12,0)</f>
        <v>3</v>
      </c>
      <c r="AF5" s="57" t="n">
        <f aca="false">ROUNDUP(AF4*1/12,0)</f>
        <v>3</v>
      </c>
      <c r="AG5" s="57" t="n">
        <f aca="false">ROUNDUP(AG4*1/12,0)</f>
        <v>3</v>
      </c>
      <c r="AH5" s="57" t="n">
        <f aca="false">ROUNDUP(AH4*1/12,0)</f>
        <v>3</v>
      </c>
      <c r="AI5" s="57" t="n">
        <f aca="false">ROUNDUP(AI4*1/12,0)</f>
        <v>3</v>
      </c>
      <c r="AJ5" s="57" t="n">
        <f aca="false">ROUNDUP(AJ4*1/12,0)</f>
        <v>3</v>
      </c>
      <c r="AK5" s="57" t="n">
        <f aca="false">ROUNDUP(AK4*1/12,0)</f>
        <v>3</v>
      </c>
      <c r="AL5" s="57" t="n">
        <f aca="false">ROUNDUP(AL4*1/12,0)</f>
        <v>3</v>
      </c>
    </row>
    <row r="7" customFormat="false" ht="15.75" hidden="false" customHeight="true" outlineLevel="0" collapsed="false">
      <c r="A7" s="7" t="s">
        <v>218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39" t="s">
        <v>346</v>
      </c>
      <c r="C8" s="59" t="n">
        <f aca="false">MIN(1,Inputs!$E$9+(1-Inputs!$E$9)*(C$4-1)/MAX(1,Inputs!$E$8))</f>
        <v>0.9</v>
      </c>
      <c r="D8" s="59" t="n">
        <f aca="false">MIN(1,Inputs!$E$9+(1-Inputs!$E$9)*(D$4-1)/MAX(1,Inputs!$E$8))</f>
        <v>0.95</v>
      </c>
      <c r="E8" s="59" t="n">
        <f aca="false">MIN(1,Inputs!$E$9+(1-Inputs!$E$9)*(E$4-1)/MAX(1,Inputs!$E$8))</f>
        <v>1</v>
      </c>
      <c r="F8" s="59" t="n">
        <f aca="false">MIN(1,Inputs!$E$9+(1-Inputs!$E$9)*(F$4-1)/MAX(1,Inputs!$E$8))</f>
        <v>1</v>
      </c>
      <c r="G8" s="59" t="n">
        <f aca="false">MIN(1,Inputs!$E$9+(1-Inputs!$E$9)*(G$4-1)/MAX(1,Inputs!$E$8))</f>
        <v>1</v>
      </c>
      <c r="H8" s="59" t="n">
        <f aca="false">MIN(1,Inputs!$E$9+(1-Inputs!$E$9)*(H$4-1)/MAX(1,Inputs!$E$8))</f>
        <v>1</v>
      </c>
      <c r="I8" s="59" t="n">
        <f aca="false">MIN(1,Inputs!$E$9+(1-Inputs!$E$9)*(I$4-1)/MAX(1,Inputs!$E$8))</f>
        <v>1</v>
      </c>
      <c r="J8" s="59" t="n">
        <f aca="false">MIN(1,Inputs!$E$9+(1-Inputs!$E$9)*(J$4-1)/MAX(1,Inputs!$E$8))</f>
        <v>1</v>
      </c>
      <c r="K8" s="59" t="n">
        <f aca="false">MIN(1,Inputs!$E$9+(1-Inputs!$E$9)*(K$4-1)/MAX(1,Inputs!$E$8))</f>
        <v>1</v>
      </c>
      <c r="L8" s="59" t="n">
        <f aca="false">MIN(1,Inputs!$E$9+(1-Inputs!$E$9)*(L$4-1)/MAX(1,Inputs!$E$8))</f>
        <v>1</v>
      </c>
      <c r="M8" s="59" t="n">
        <f aca="false">MIN(1,Inputs!$E$9+(1-Inputs!$E$9)*(M$4-1)/MAX(1,Inputs!$E$8))</f>
        <v>1</v>
      </c>
      <c r="N8" s="59" t="n">
        <f aca="false">MIN(1,Inputs!$E$9+(1-Inputs!$E$9)*(N$4-1)/MAX(1,Inputs!$E$8))</f>
        <v>1</v>
      </c>
      <c r="O8" s="59" t="n">
        <f aca="false">MIN(1,Inputs!$E$9+(1-Inputs!$E$9)*(O$4-1)/MAX(1,Inputs!$E$8))</f>
        <v>1</v>
      </c>
      <c r="P8" s="59" t="n">
        <f aca="false">MIN(1,Inputs!$E$9+(1-Inputs!$E$9)*(P$4-1)/MAX(1,Inputs!$E$8))</f>
        <v>1</v>
      </c>
      <c r="Q8" s="59" t="n">
        <f aca="false">MIN(1,Inputs!$E$9+(1-Inputs!$E$9)*(Q$4-1)/MAX(1,Inputs!$E$8))</f>
        <v>1</v>
      </c>
      <c r="R8" s="59" t="n">
        <f aca="false">MIN(1,Inputs!$E$9+(1-Inputs!$E$9)*(R$4-1)/MAX(1,Inputs!$E$8))</f>
        <v>1</v>
      </c>
      <c r="S8" s="59" t="n">
        <f aca="false">MIN(1,Inputs!$E$9+(1-Inputs!$E$9)*(S$4-1)/MAX(1,Inputs!$E$8))</f>
        <v>1</v>
      </c>
      <c r="T8" s="59" t="n">
        <f aca="false">MIN(1,Inputs!$E$9+(1-Inputs!$E$9)*(T$4-1)/MAX(1,Inputs!$E$8))</f>
        <v>1</v>
      </c>
      <c r="U8" s="59" t="n">
        <f aca="false">MIN(1,Inputs!$E$9+(1-Inputs!$E$9)*(U$4-1)/MAX(1,Inputs!$E$8))</f>
        <v>1</v>
      </c>
      <c r="V8" s="59" t="n">
        <f aca="false">MIN(1,Inputs!$E$9+(1-Inputs!$E$9)*(V$4-1)/MAX(1,Inputs!$E$8))</f>
        <v>1</v>
      </c>
      <c r="W8" s="59" t="n">
        <f aca="false">MIN(1,Inputs!$E$9+(1-Inputs!$E$9)*(W$4-1)/MAX(1,Inputs!$E$8))</f>
        <v>1</v>
      </c>
      <c r="X8" s="59" t="n">
        <f aca="false">MIN(1,Inputs!$E$9+(1-Inputs!$E$9)*(X$4-1)/MAX(1,Inputs!$E$8))</f>
        <v>1</v>
      </c>
      <c r="Y8" s="59" t="n">
        <f aca="false">MIN(1,Inputs!$E$9+(1-Inputs!$E$9)*(Y$4-1)/MAX(1,Inputs!$E$8))</f>
        <v>1</v>
      </c>
      <c r="Z8" s="59" t="n">
        <f aca="false">MIN(1,Inputs!$E$9+(1-Inputs!$E$9)*(Z$4-1)/MAX(1,Inputs!$E$8))</f>
        <v>1</v>
      </c>
      <c r="AA8" s="59" t="n">
        <f aca="false">MIN(1,Inputs!$E$9+(1-Inputs!$E$9)*(AA$4-1)/MAX(1,Inputs!$E$8))</f>
        <v>1</v>
      </c>
      <c r="AB8" s="59" t="n">
        <f aca="false">MIN(1,Inputs!$E$9+(1-Inputs!$E$9)*(AB$4-1)/MAX(1,Inputs!$E$8))</f>
        <v>1</v>
      </c>
      <c r="AC8" s="59" t="n">
        <f aca="false">MIN(1,Inputs!$E$9+(1-Inputs!$E$9)*(AC$4-1)/MAX(1,Inputs!$E$8))</f>
        <v>1</v>
      </c>
      <c r="AD8" s="59" t="n">
        <f aca="false">MIN(1,Inputs!$E$9+(1-Inputs!$E$9)*(AD$4-1)/MAX(1,Inputs!$E$8))</f>
        <v>1</v>
      </c>
      <c r="AE8" s="59" t="n">
        <f aca="false">MIN(1,Inputs!$E$9+(1-Inputs!$E$9)*(AE$4-1)/MAX(1,Inputs!$E$8))</f>
        <v>1</v>
      </c>
      <c r="AF8" s="59" t="n">
        <f aca="false">MIN(1,Inputs!$E$9+(1-Inputs!$E$9)*(AF$4-1)/MAX(1,Inputs!$E$8))</f>
        <v>1</v>
      </c>
      <c r="AG8" s="59" t="n">
        <f aca="false">MIN(1,Inputs!$E$9+(1-Inputs!$E$9)*(AG$4-1)/MAX(1,Inputs!$E$8))</f>
        <v>1</v>
      </c>
      <c r="AH8" s="59" t="n">
        <f aca="false">MIN(1,Inputs!$E$9+(1-Inputs!$E$9)*(AH$4-1)/MAX(1,Inputs!$E$8))</f>
        <v>1</v>
      </c>
      <c r="AI8" s="59" t="n">
        <f aca="false">MIN(1,Inputs!$E$9+(1-Inputs!$E$9)*(AI$4-1)/MAX(1,Inputs!$E$8))</f>
        <v>1</v>
      </c>
      <c r="AJ8" s="59" t="n">
        <f aca="false">MIN(1,Inputs!$E$9+(1-Inputs!$E$9)*(AJ$4-1)/MAX(1,Inputs!$E$8))</f>
        <v>1</v>
      </c>
      <c r="AK8" s="59" t="n">
        <f aca="false">MIN(1,Inputs!$E$9+(1-Inputs!$E$9)*(AK$4-1)/MAX(1,Inputs!$E$8))</f>
        <v>1</v>
      </c>
      <c r="AL8" s="59" t="n">
        <f aca="false">MIN(1,Inputs!$E$9+(1-Inputs!$E$9)*(AL$4-1)/MAX(1,Inputs!$E$8))</f>
        <v>1</v>
      </c>
    </row>
    <row r="9" customFormat="false" ht="15" hidden="false" customHeight="false" outlineLevel="0" collapsed="false">
      <c r="A9" s="6" t="s">
        <v>347</v>
      </c>
      <c r="C9" s="104" t="n">
        <f aca="false">IF(MOD(C$4-1,12)&gt;=10,1+Inputs!$E$14,1-Inputs!$E$14/5)</f>
        <v>0.96</v>
      </c>
      <c r="D9" s="104" t="n">
        <f aca="false">IF(MOD(D$4-1,12)&gt;=10,1+Inputs!$E$14,1-Inputs!$E$14/5)</f>
        <v>0.96</v>
      </c>
      <c r="E9" s="104" t="n">
        <f aca="false">IF(MOD(E$4-1,12)&gt;=10,1+Inputs!$E$14,1-Inputs!$E$14/5)</f>
        <v>0.96</v>
      </c>
      <c r="F9" s="104" t="n">
        <f aca="false">IF(MOD(F$4-1,12)&gt;=10,1+Inputs!$E$14,1-Inputs!$E$14/5)</f>
        <v>0.96</v>
      </c>
      <c r="G9" s="104" t="n">
        <f aca="false">IF(MOD(G$4-1,12)&gt;=10,1+Inputs!$E$14,1-Inputs!$E$14/5)</f>
        <v>0.96</v>
      </c>
      <c r="H9" s="104" t="n">
        <f aca="false">IF(MOD(H$4-1,12)&gt;=10,1+Inputs!$E$14,1-Inputs!$E$14/5)</f>
        <v>0.96</v>
      </c>
      <c r="I9" s="104" t="n">
        <f aca="false">IF(MOD(I$4-1,12)&gt;=10,1+Inputs!$E$14,1-Inputs!$E$14/5)</f>
        <v>0.96</v>
      </c>
      <c r="J9" s="104" t="n">
        <f aca="false">IF(MOD(J$4-1,12)&gt;=10,1+Inputs!$E$14,1-Inputs!$E$14/5)</f>
        <v>0.96</v>
      </c>
      <c r="K9" s="104" t="n">
        <f aca="false">IF(MOD(K$4-1,12)&gt;=10,1+Inputs!$E$14,1-Inputs!$E$14/5)</f>
        <v>0.96</v>
      </c>
      <c r="L9" s="104" t="n">
        <f aca="false">IF(MOD(L$4-1,12)&gt;=10,1+Inputs!$E$14,1-Inputs!$E$14/5)</f>
        <v>0.96</v>
      </c>
      <c r="M9" s="104" t="n">
        <f aca="false">IF(MOD(M$4-1,12)&gt;=10,1+Inputs!$E$14,1-Inputs!$E$14/5)</f>
        <v>1.2</v>
      </c>
      <c r="N9" s="104" t="n">
        <f aca="false">IF(MOD(N$4-1,12)&gt;=10,1+Inputs!$E$14,1-Inputs!$E$14/5)</f>
        <v>1.2</v>
      </c>
      <c r="O9" s="104" t="n">
        <f aca="false">IF(MOD(O$4-1,12)&gt;=10,1+Inputs!$E$14,1-Inputs!$E$14/5)</f>
        <v>0.96</v>
      </c>
      <c r="P9" s="104" t="n">
        <f aca="false">IF(MOD(P$4-1,12)&gt;=10,1+Inputs!$E$14,1-Inputs!$E$14/5)</f>
        <v>0.96</v>
      </c>
      <c r="Q9" s="104" t="n">
        <f aca="false">IF(MOD(Q$4-1,12)&gt;=10,1+Inputs!$E$14,1-Inputs!$E$14/5)</f>
        <v>0.96</v>
      </c>
      <c r="R9" s="104" t="n">
        <f aca="false">IF(MOD(R$4-1,12)&gt;=10,1+Inputs!$E$14,1-Inputs!$E$14/5)</f>
        <v>0.96</v>
      </c>
      <c r="S9" s="104" t="n">
        <f aca="false">IF(MOD(S$4-1,12)&gt;=10,1+Inputs!$E$14,1-Inputs!$E$14/5)</f>
        <v>0.96</v>
      </c>
      <c r="T9" s="104" t="n">
        <f aca="false">IF(MOD(T$4-1,12)&gt;=10,1+Inputs!$E$14,1-Inputs!$E$14/5)</f>
        <v>0.96</v>
      </c>
      <c r="U9" s="104" t="n">
        <f aca="false">IF(MOD(U$4-1,12)&gt;=10,1+Inputs!$E$14,1-Inputs!$E$14/5)</f>
        <v>0.96</v>
      </c>
      <c r="V9" s="104" t="n">
        <f aca="false">IF(MOD(V$4-1,12)&gt;=10,1+Inputs!$E$14,1-Inputs!$E$14/5)</f>
        <v>0.96</v>
      </c>
      <c r="W9" s="104" t="n">
        <f aca="false">IF(MOD(W$4-1,12)&gt;=10,1+Inputs!$E$14,1-Inputs!$E$14/5)</f>
        <v>0.96</v>
      </c>
      <c r="X9" s="104" t="n">
        <f aca="false">IF(MOD(X$4-1,12)&gt;=10,1+Inputs!$E$14,1-Inputs!$E$14/5)</f>
        <v>0.96</v>
      </c>
      <c r="Y9" s="104" t="n">
        <f aca="false">IF(MOD(Y$4-1,12)&gt;=10,1+Inputs!$E$14,1-Inputs!$E$14/5)</f>
        <v>1.2</v>
      </c>
      <c r="Z9" s="104" t="n">
        <f aca="false">IF(MOD(Z$4-1,12)&gt;=10,1+Inputs!$E$14,1-Inputs!$E$14/5)</f>
        <v>1.2</v>
      </c>
      <c r="AA9" s="104" t="n">
        <f aca="false">IF(MOD(AA$4-1,12)&gt;=10,1+Inputs!$E$14,1-Inputs!$E$14/5)</f>
        <v>0.96</v>
      </c>
      <c r="AB9" s="104" t="n">
        <f aca="false">IF(MOD(AB$4-1,12)&gt;=10,1+Inputs!$E$14,1-Inputs!$E$14/5)</f>
        <v>0.96</v>
      </c>
      <c r="AC9" s="104" t="n">
        <f aca="false">IF(MOD(AC$4-1,12)&gt;=10,1+Inputs!$E$14,1-Inputs!$E$14/5)</f>
        <v>0.96</v>
      </c>
      <c r="AD9" s="104" t="n">
        <f aca="false">IF(MOD(AD$4-1,12)&gt;=10,1+Inputs!$E$14,1-Inputs!$E$14/5)</f>
        <v>0.96</v>
      </c>
      <c r="AE9" s="104" t="n">
        <f aca="false">IF(MOD(AE$4-1,12)&gt;=10,1+Inputs!$E$14,1-Inputs!$E$14/5)</f>
        <v>0.96</v>
      </c>
      <c r="AF9" s="104" t="n">
        <f aca="false">IF(MOD(AF$4-1,12)&gt;=10,1+Inputs!$E$14,1-Inputs!$E$14/5)</f>
        <v>0.96</v>
      </c>
      <c r="AG9" s="104" t="n">
        <f aca="false">IF(MOD(AG$4-1,12)&gt;=10,1+Inputs!$E$14,1-Inputs!$E$14/5)</f>
        <v>0.96</v>
      </c>
      <c r="AH9" s="104" t="n">
        <f aca="false">IF(MOD(AH$4-1,12)&gt;=10,1+Inputs!$E$14,1-Inputs!$E$14/5)</f>
        <v>0.96</v>
      </c>
      <c r="AI9" s="104" t="n">
        <f aca="false">IF(MOD(AI$4-1,12)&gt;=10,1+Inputs!$E$14,1-Inputs!$E$14/5)</f>
        <v>0.96</v>
      </c>
      <c r="AJ9" s="104" t="n">
        <f aca="false">IF(MOD(AJ$4-1,12)&gt;=10,1+Inputs!$E$14,1-Inputs!$E$14/5)</f>
        <v>0.96</v>
      </c>
      <c r="AK9" s="104" t="n">
        <f aca="false">IF(MOD(AK$4-1,12)&gt;=10,1+Inputs!$E$14,1-Inputs!$E$14/5)</f>
        <v>1.2</v>
      </c>
      <c r="AL9" s="104" t="n">
        <f aca="false">IF(MOD(AL$4-1,12)&gt;=10,1+Inputs!$E$14,1-Inputs!$E$14/5)</f>
        <v>1.2</v>
      </c>
    </row>
    <row r="10" customFormat="false" ht="15" hidden="false" customHeight="false" outlineLevel="0" collapsed="false">
      <c r="A10" s="6" t="s">
        <v>348</v>
      </c>
      <c r="C10" s="104" t="n">
        <f aca="false">Inputs!$E$7*C8*(1+Inputs!$E$10)^(C$5-1)*C9</f>
        <v>276.48</v>
      </c>
      <c r="D10" s="104" t="n">
        <f aca="false">Inputs!$E$7*D8*(1+Inputs!$E$10)^(D$5-1)*D9</f>
        <v>291.84</v>
      </c>
      <c r="E10" s="104" t="n">
        <f aca="false">Inputs!$E$7*E8*(1+Inputs!$E$10)^(E$5-1)*E9</f>
        <v>307.2</v>
      </c>
      <c r="F10" s="104" t="n">
        <f aca="false">Inputs!$E$7*F8*(1+Inputs!$E$10)^(F$5-1)*F9</f>
        <v>307.2</v>
      </c>
      <c r="G10" s="104" t="n">
        <f aca="false">Inputs!$E$7*G8*(1+Inputs!$E$10)^(G$5-1)*G9</f>
        <v>307.2</v>
      </c>
      <c r="H10" s="104" t="n">
        <f aca="false">Inputs!$E$7*H8*(1+Inputs!$E$10)^(H$5-1)*H9</f>
        <v>307.2</v>
      </c>
      <c r="I10" s="104" t="n">
        <f aca="false">Inputs!$E$7*I8*(1+Inputs!$E$10)^(I$5-1)*I9</f>
        <v>307.2</v>
      </c>
      <c r="J10" s="104" t="n">
        <f aca="false">Inputs!$E$7*J8*(1+Inputs!$E$10)^(J$5-1)*J9</f>
        <v>307.2</v>
      </c>
      <c r="K10" s="104" t="n">
        <f aca="false">Inputs!$E$7*K8*(1+Inputs!$E$10)^(K$5-1)*K9</f>
        <v>307.2</v>
      </c>
      <c r="L10" s="104" t="n">
        <f aca="false">Inputs!$E$7*L8*(1+Inputs!$E$10)^(L$5-1)*L9</f>
        <v>307.2</v>
      </c>
      <c r="M10" s="104" t="n">
        <f aca="false">Inputs!$E$7*M8*(1+Inputs!$E$10)^(M$5-1)*M9</f>
        <v>384</v>
      </c>
      <c r="N10" s="104" t="n">
        <f aca="false">Inputs!$E$7*N8*(1+Inputs!$E$10)^(N$5-1)*N9</f>
        <v>384</v>
      </c>
      <c r="O10" s="104" t="n">
        <f aca="false">Inputs!$E$7*O8*(1+Inputs!$E$10)^(O$5-1)*O9</f>
        <v>316.416</v>
      </c>
      <c r="P10" s="104" t="n">
        <f aca="false">Inputs!$E$7*P8*(1+Inputs!$E$10)^(P$5-1)*P9</f>
        <v>316.416</v>
      </c>
      <c r="Q10" s="104" t="n">
        <f aca="false">Inputs!$E$7*Q8*(1+Inputs!$E$10)^(Q$5-1)*Q9</f>
        <v>316.416</v>
      </c>
      <c r="R10" s="104" t="n">
        <f aca="false">Inputs!$E$7*R8*(1+Inputs!$E$10)^(R$5-1)*R9</f>
        <v>316.416</v>
      </c>
      <c r="S10" s="104" t="n">
        <f aca="false">Inputs!$E$7*S8*(1+Inputs!$E$10)^(S$5-1)*S9</f>
        <v>316.416</v>
      </c>
      <c r="T10" s="104" t="n">
        <f aca="false">Inputs!$E$7*T8*(1+Inputs!$E$10)^(T$5-1)*T9</f>
        <v>316.416</v>
      </c>
      <c r="U10" s="104" t="n">
        <f aca="false">Inputs!$E$7*U8*(1+Inputs!$E$10)^(U$5-1)*U9</f>
        <v>316.416</v>
      </c>
      <c r="V10" s="104" t="n">
        <f aca="false">Inputs!$E$7*V8*(1+Inputs!$E$10)^(V$5-1)*V9</f>
        <v>316.416</v>
      </c>
      <c r="W10" s="104" t="n">
        <f aca="false">Inputs!$E$7*W8*(1+Inputs!$E$10)^(W$5-1)*W9</f>
        <v>316.416</v>
      </c>
      <c r="X10" s="104" t="n">
        <f aca="false">Inputs!$E$7*X8*(1+Inputs!$E$10)^(X$5-1)*X9</f>
        <v>316.416</v>
      </c>
      <c r="Y10" s="104" t="n">
        <f aca="false">Inputs!$E$7*Y8*(1+Inputs!$E$10)^(Y$5-1)*Y9</f>
        <v>395.52</v>
      </c>
      <c r="Z10" s="104" t="n">
        <f aca="false">Inputs!$E$7*Z8*(1+Inputs!$E$10)^(Z$5-1)*Z9</f>
        <v>395.52</v>
      </c>
      <c r="AA10" s="104" t="n">
        <f aca="false">Inputs!$E$7*AA8*(1+Inputs!$E$10)^(AA$5-1)*AA9</f>
        <v>325.90848</v>
      </c>
      <c r="AB10" s="104" t="n">
        <f aca="false">Inputs!$E$7*AB8*(1+Inputs!$E$10)^(AB$5-1)*AB9</f>
        <v>325.90848</v>
      </c>
      <c r="AC10" s="104" t="n">
        <f aca="false">Inputs!$E$7*AC8*(1+Inputs!$E$10)^(AC$5-1)*AC9</f>
        <v>325.90848</v>
      </c>
      <c r="AD10" s="104" t="n">
        <f aca="false">Inputs!$E$7*AD8*(1+Inputs!$E$10)^(AD$5-1)*AD9</f>
        <v>325.90848</v>
      </c>
      <c r="AE10" s="104" t="n">
        <f aca="false">Inputs!$E$7*AE8*(1+Inputs!$E$10)^(AE$5-1)*AE9</f>
        <v>325.90848</v>
      </c>
      <c r="AF10" s="104" t="n">
        <f aca="false">Inputs!$E$7*AF8*(1+Inputs!$E$10)^(AF$5-1)*AF9</f>
        <v>325.90848</v>
      </c>
      <c r="AG10" s="104" t="n">
        <f aca="false">Inputs!$E$7*AG8*(1+Inputs!$E$10)^(AG$5-1)*AG9</f>
        <v>325.90848</v>
      </c>
      <c r="AH10" s="104" t="n">
        <f aca="false">Inputs!$E$7*AH8*(1+Inputs!$E$10)^(AH$5-1)*AH9</f>
        <v>325.90848</v>
      </c>
      <c r="AI10" s="104" t="n">
        <f aca="false">Inputs!$E$7*AI8*(1+Inputs!$E$10)^(AI$5-1)*AI9</f>
        <v>325.90848</v>
      </c>
      <c r="AJ10" s="104" t="n">
        <f aca="false">Inputs!$E$7*AJ8*(1+Inputs!$E$10)^(AJ$5-1)*AJ9</f>
        <v>325.90848</v>
      </c>
      <c r="AK10" s="104" t="n">
        <f aca="false">Inputs!$E$7*AK8*(1+Inputs!$E$10)^(AK$5-1)*AK9</f>
        <v>407.3856</v>
      </c>
      <c r="AL10" s="104" t="n">
        <f aca="false">Inputs!$E$7*AL8*(1+Inputs!$E$10)^(AL$5-1)*AL9</f>
        <v>407.3856</v>
      </c>
    </row>
    <row r="11" customFormat="false" ht="15" hidden="false" customHeight="false" outlineLevel="0" collapsed="false">
      <c r="A11" s="6" t="s">
        <v>349</v>
      </c>
      <c r="C11" s="104" t="n">
        <f aca="false">Inputs!$E$13*52/12*1</f>
        <v>26</v>
      </c>
      <c r="D11" s="104" t="n">
        <f aca="false">Inputs!$E$13*52/12*1</f>
        <v>26</v>
      </c>
      <c r="E11" s="104" t="n">
        <f aca="false">Inputs!$E$13*52/12*1</f>
        <v>26</v>
      </c>
      <c r="F11" s="104" t="n">
        <f aca="false">Inputs!$E$13*52/12*1</f>
        <v>26</v>
      </c>
      <c r="G11" s="104" t="n">
        <f aca="false">Inputs!$E$13*52/12*1</f>
        <v>26</v>
      </c>
      <c r="H11" s="104" t="n">
        <f aca="false">Inputs!$E$13*52/12*1</f>
        <v>26</v>
      </c>
      <c r="I11" s="104" t="n">
        <f aca="false">Inputs!$E$13*52/12*1</f>
        <v>26</v>
      </c>
      <c r="J11" s="104" t="n">
        <f aca="false">Inputs!$E$13*52/12*1</f>
        <v>26</v>
      </c>
      <c r="K11" s="104" t="n">
        <f aca="false">Inputs!$E$13*52/12*1</f>
        <v>26</v>
      </c>
      <c r="L11" s="104" t="n">
        <f aca="false">Inputs!$E$13*52/12*1</f>
        <v>26</v>
      </c>
      <c r="M11" s="104" t="n">
        <f aca="false">Inputs!$E$13*52/12*1</f>
        <v>26</v>
      </c>
      <c r="N11" s="104" t="n">
        <f aca="false">Inputs!$E$13*52/12*1</f>
        <v>26</v>
      </c>
      <c r="O11" s="104" t="n">
        <f aca="false">Inputs!$E$13*52/12*1</f>
        <v>26</v>
      </c>
      <c r="P11" s="104" t="n">
        <f aca="false">Inputs!$E$13*52/12*1</f>
        <v>26</v>
      </c>
      <c r="Q11" s="104" t="n">
        <f aca="false">Inputs!$E$13*52/12*1</f>
        <v>26</v>
      </c>
      <c r="R11" s="104" t="n">
        <f aca="false">Inputs!$E$13*52/12*1</f>
        <v>26</v>
      </c>
      <c r="S11" s="104" t="n">
        <f aca="false">Inputs!$E$13*52/12*1</f>
        <v>26</v>
      </c>
      <c r="T11" s="104" t="n">
        <f aca="false">Inputs!$E$13*52/12*1</f>
        <v>26</v>
      </c>
      <c r="U11" s="104" t="n">
        <f aca="false">Inputs!$E$13*52/12*1</f>
        <v>26</v>
      </c>
      <c r="V11" s="104" t="n">
        <f aca="false">Inputs!$E$13*52/12*1</f>
        <v>26</v>
      </c>
      <c r="W11" s="104" t="n">
        <f aca="false">Inputs!$E$13*52/12*1</f>
        <v>26</v>
      </c>
      <c r="X11" s="104" t="n">
        <f aca="false">Inputs!$E$13*52/12*1</f>
        <v>26</v>
      </c>
      <c r="Y11" s="104" t="n">
        <f aca="false">Inputs!$E$13*52/12*1</f>
        <v>26</v>
      </c>
      <c r="Z11" s="104" t="n">
        <f aca="false">Inputs!$E$13*52/12*1</f>
        <v>26</v>
      </c>
      <c r="AA11" s="104" t="n">
        <f aca="false">Inputs!$E$13*52/12*1</f>
        <v>26</v>
      </c>
      <c r="AB11" s="104" t="n">
        <f aca="false">Inputs!$E$13*52/12*1</f>
        <v>26</v>
      </c>
      <c r="AC11" s="104" t="n">
        <f aca="false">Inputs!$E$13*52/12*1</f>
        <v>26</v>
      </c>
      <c r="AD11" s="104" t="n">
        <f aca="false">Inputs!$E$13*52/12*1</f>
        <v>26</v>
      </c>
      <c r="AE11" s="104" t="n">
        <f aca="false">Inputs!$E$13*52/12*1</f>
        <v>26</v>
      </c>
      <c r="AF11" s="104" t="n">
        <f aca="false">Inputs!$E$13*52/12*1</f>
        <v>26</v>
      </c>
      <c r="AG11" s="104" t="n">
        <f aca="false">Inputs!$E$13*52/12*1</f>
        <v>26</v>
      </c>
      <c r="AH11" s="104" t="n">
        <f aca="false">Inputs!$E$13*52/12*1</f>
        <v>26</v>
      </c>
      <c r="AI11" s="104" t="n">
        <f aca="false">Inputs!$E$13*52/12*1</f>
        <v>26</v>
      </c>
      <c r="AJ11" s="104" t="n">
        <f aca="false">Inputs!$E$13*52/12*1</f>
        <v>26</v>
      </c>
      <c r="AK11" s="104" t="n">
        <f aca="false">Inputs!$E$13*52/12*1</f>
        <v>26</v>
      </c>
      <c r="AL11" s="104" t="n">
        <f aca="false">Inputs!$E$13*52/12*1</f>
        <v>26</v>
      </c>
    </row>
    <row r="12" customFormat="false" ht="15" hidden="false" customHeight="false" outlineLevel="0" collapsed="false">
      <c r="A12" s="6" t="s">
        <v>200</v>
      </c>
      <c r="C12" s="105" t="n">
        <f aca="false">C10*C11</f>
        <v>7188.48</v>
      </c>
      <c r="D12" s="105" t="n">
        <f aca="false">D10*D11</f>
        <v>7587.84</v>
      </c>
      <c r="E12" s="105" t="n">
        <f aca="false">E10*E11</f>
        <v>7987.2</v>
      </c>
      <c r="F12" s="105" t="n">
        <f aca="false">F10*F11</f>
        <v>7987.2</v>
      </c>
      <c r="G12" s="105" t="n">
        <f aca="false">G10*G11</f>
        <v>7987.2</v>
      </c>
      <c r="H12" s="105" t="n">
        <f aca="false">H10*H11</f>
        <v>7987.2</v>
      </c>
      <c r="I12" s="105" t="n">
        <f aca="false">I10*I11</f>
        <v>7987.2</v>
      </c>
      <c r="J12" s="105" t="n">
        <f aca="false">J10*J11</f>
        <v>7987.2</v>
      </c>
      <c r="K12" s="105" t="n">
        <f aca="false">K10*K11</f>
        <v>7987.2</v>
      </c>
      <c r="L12" s="105" t="n">
        <f aca="false">L10*L11</f>
        <v>7987.2</v>
      </c>
      <c r="M12" s="105" t="n">
        <f aca="false">M10*M11</f>
        <v>9984</v>
      </c>
      <c r="N12" s="105" t="n">
        <f aca="false">N10*N11</f>
        <v>9984</v>
      </c>
      <c r="O12" s="105" t="n">
        <f aca="false">O10*O11</f>
        <v>8226.816</v>
      </c>
      <c r="P12" s="105" t="n">
        <f aca="false">P10*P11</f>
        <v>8226.816</v>
      </c>
      <c r="Q12" s="105" t="n">
        <f aca="false">Q10*Q11</f>
        <v>8226.816</v>
      </c>
      <c r="R12" s="105" t="n">
        <f aca="false">R10*R11</f>
        <v>8226.816</v>
      </c>
      <c r="S12" s="105" t="n">
        <f aca="false">S10*S11</f>
        <v>8226.816</v>
      </c>
      <c r="T12" s="105" t="n">
        <f aca="false">T10*T11</f>
        <v>8226.816</v>
      </c>
      <c r="U12" s="105" t="n">
        <f aca="false">U10*U11</f>
        <v>8226.816</v>
      </c>
      <c r="V12" s="105" t="n">
        <f aca="false">V10*V11</f>
        <v>8226.816</v>
      </c>
      <c r="W12" s="105" t="n">
        <f aca="false">W10*W11</f>
        <v>8226.816</v>
      </c>
      <c r="X12" s="105" t="n">
        <f aca="false">X10*X11</f>
        <v>8226.816</v>
      </c>
      <c r="Y12" s="105" t="n">
        <f aca="false">Y10*Y11</f>
        <v>10283.52</v>
      </c>
      <c r="Z12" s="105" t="n">
        <f aca="false">Z10*Z11</f>
        <v>10283.52</v>
      </c>
      <c r="AA12" s="105" t="n">
        <f aca="false">AA10*AA11</f>
        <v>8473.62048</v>
      </c>
      <c r="AB12" s="105" t="n">
        <f aca="false">AB10*AB11</f>
        <v>8473.62048</v>
      </c>
      <c r="AC12" s="105" t="n">
        <f aca="false">AC10*AC11</f>
        <v>8473.62048</v>
      </c>
      <c r="AD12" s="105" t="n">
        <f aca="false">AD10*AD11</f>
        <v>8473.62048</v>
      </c>
      <c r="AE12" s="105" t="n">
        <f aca="false">AE10*AE11</f>
        <v>8473.62048</v>
      </c>
      <c r="AF12" s="105" t="n">
        <f aca="false">AF10*AF11</f>
        <v>8473.62048</v>
      </c>
      <c r="AG12" s="105" t="n">
        <f aca="false">AG10*AG11</f>
        <v>8473.62048</v>
      </c>
      <c r="AH12" s="105" t="n">
        <f aca="false">AH10*AH11</f>
        <v>8473.62048</v>
      </c>
      <c r="AI12" s="105" t="n">
        <f aca="false">AI10*AI11</f>
        <v>8473.62048</v>
      </c>
      <c r="AJ12" s="105" t="n">
        <f aca="false">AJ10*AJ11</f>
        <v>8473.62048</v>
      </c>
      <c r="AK12" s="105" t="n">
        <f aca="false">AK10*AK11</f>
        <v>10592.0256</v>
      </c>
      <c r="AL12" s="105" t="n">
        <f aca="false">AL10*AL11</f>
        <v>10592.0256</v>
      </c>
    </row>
    <row r="13" customFormat="false" ht="15" hidden="false" customHeight="false" outlineLevel="0" collapsed="false">
      <c r="A13" s="6" t="s">
        <v>350</v>
      </c>
      <c r="C13" s="106" t="n">
        <f aca="false">Inputs!$E$11*(1+Inputs!$E$12)^(C$5-1)</f>
        <v>11.5</v>
      </c>
      <c r="D13" s="106" t="n">
        <f aca="false">Inputs!$E$11*(1+Inputs!$E$12)^(D$5-1)</f>
        <v>11.5</v>
      </c>
      <c r="E13" s="106" t="n">
        <f aca="false">Inputs!$E$11*(1+Inputs!$E$12)^(E$5-1)</f>
        <v>11.5</v>
      </c>
      <c r="F13" s="106" t="n">
        <f aca="false">Inputs!$E$11*(1+Inputs!$E$12)^(F$5-1)</f>
        <v>11.5</v>
      </c>
      <c r="G13" s="106" t="n">
        <f aca="false">Inputs!$E$11*(1+Inputs!$E$12)^(G$5-1)</f>
        <v>11.5</v>
      </c>
      <c r="H13" s="106" t="n">
        <f aca="false">Inputs!$E$11*(1+Inputs!$E$12)^(H$5-1)</f>
        <v>11.5</v>
      </c>
      <c r="I13" s="106" t="n">
        <f aca="false">Inputs!$E$11*(1+Inputs!$E$12)^(I$5-1)</f>
        <v>11.5</v>
      </c>
      <c r="J13" s="106" t="n">
        <f aca="false">Inputs!$E$11*(1+Inputs!$E$12)^(J$5-1)</f>
        <v>11.5</v>
      </c>
      <c r="K13" s="106" t="n">
        <f aca="false">Inputs!$E$11*(1+Inputs!$E$12)^(K$5-1)</f>
        <v>11.5</v>
      </c>
      <c r="L13" s="106" t="n">
        <f aca="false">Inputs!$E$11*(1+Inputs!$E$12)^(L$5-1)</f>
        <v>11.5</v>
      </c>
      <c r="M13" s="106" t="n">
        <f aca="false">Inputs!$E$11*(1+Inputs!$E$12)^(M$5-1)</f>
        <v>11.5</v>
      </c>
      <c r="N13" s="106" t="n">
        <f aca="false">Inputs!$E$11*(1+Inputs!$E$12)^(N$5-1)</f>
        <v>11.5</v>
      </c>
      <c r="O13" s="106" t="n">
        <f aca="false">Inputs!$E$11*(1+Inputs!$E$12)^(O$5-1)</f>
        <v>11.845</v>
      </c>
      <c r="P13" s="106" t="n">
        <f aca="false">Inputs!$E$11*(1+Inputs!$E$12)^(P$5-1)</f>
        <v>11.845</v>
      </c>
      <c r="Q13" s="106" t="n">
        <f aca="false">Inputs!$E$11*(1+Inputs!$E$12)^(Q$5-1)</f>
        <v>11.845</v>
      </c>
      <c r="R13" s="106" t="n">
        <f aca="false">Inputs!$E$11*(1+Inputs!$E$12)^(R$5-1)</f>
        <v>11.845</v>
      </c>
      <c r="S13" s="106" t="n">
        <f aca="false">Inputs!$E$11*(1+Inputs!$E$12)^(S$5-1)</f>
        <v>11.845</v>
      </c>
      <c r="T13" s="106" t="n">
        <f aca="false">Inputs!$E$11*(1+Inputs!$E$12)^(T$5-1)</f>
        <v>11.845</v>
      </c>
      <c r="U13" s="106" t="n">
        <f aca="false">Inputs!$E$11*(1+Inputs!$E$12)^(U$5-1)</f>
        <v>11.845</v>
      </c>
      <c r="V13" s="106" t="n">
        <f aca="false">Inputs!$E$11*(1+Inputs!$E$12)^(V$5-1)</f>
        <v>11.845</v>
      </c>
      <c r="W13" s="106" t="n">
        <f aca="false">Inputs!$E$11*(1+Inputs!$E$12)^(W$5-1)</f>
        <v>11.845</v>
      </c>
      <c r="X13" s="106" t="n">
        <f aca="false">Inputs!$E$11*(1+Inputs!$E$12)^(X$5-1)</f>
        <v>11.845</v>
      </c>
      <c r="Y13" s="106" t="n">
        <f aca="false">Inputs!$E$11*(1+Inputs!$E$12)^(Y$5-1)</f>
        <v>11.845</v>
      </c>
      <c r="Z13" s="106" t="n">
        <f aca="false">Inputs!$E$11*(1+Inputs!$E$12)^(Z$5-1)</f>
        <v>11.845</v>
      </c>
      <c r="AA13" s="106" t="n">
        <f aca="false">Inputs!$E$11*(1+Inputs!$E$12)^(AA$5-1)</f>
        <v>12.20035</v>
      </c>
      <c r="AB13" s="106" t="n">
        <f aca="false">Inputs!$E$11*(1+Inputs!$E$12)^(AB$5-1)</f>
        <v>12.20035</v>
      </c>
      <c r="AC13" s="106" t="n">
        <f aca="false">Inputs!$E$11*(1+Inputs!$E$12)^(AC$5-1)</f>
        <v>12.20035</v>
      </c>
      <c r="AD13" s="106" t="n">
        <f aca="false">Inputs!$E$11*(1+Inputs!$E$12)^(AD$5-1)</f>
        <v>12.20035</v>
      </c>
      <c r="AE13" s="106" t="n">
        <f aca="false">Inputs!$E$11*(1+Inputs!$E$12)^(AE$5-1)</f>
        <v>12.20035</v>
      </c>
      <c r="AF13" s="106" t="n">
        <f aca="false">Inputs!$E$11*(1+Inputs!$E$12)^(AF$5-1)</f>
        <v>12.20035</v>
      </c>
      <c r="AG13" s="106" t="n">
        <f aca="false">Inputs!$E$11*(1+Inputs!$E$12)^(AG$5-1)</f>
        <v>12.20035</v>
      </c>
      <c r="AH13" s="106" t="n">
        <f aca="false">Inputs!$E$11*(1+Inputs!$E$12)^(AH$5-1)</f>
        <v>12.20035</v>
      </c>
      <c r="AI13" s="106" t="n">
        <f aca="false">Inputs!$E$11*(1+Inputs!$E$12)^(AI$5-1)</f>
        <v>12.20035</v>
      </c>
      <c r="AJ13" s="106" t="n">
        <f aca="false">Inputs!$E$11*(1+Inputs!$E$12)^(AJ$5-1)</f>
        <v>12.20035</v>
      </c>
      <c r="AK13" s="106" t="n">
        <f aca="false">Inputs!$E$11*(1+Inputs!$E$12)^(AK$5-1)</f>
        <v>12.20035</v>
      </c>
      <c r="AL13" s="106" t="n">
        <f aca="false">Inputs!$E$11*(1+Inputs!$E$12)^(AL$5-1)</f>
        <v>12.20035</v>
      </c>
    </row>
    <row r="14" customFormat="false" ht="15" hidden="false" customHeight="false" outlineLevel="0" collapsed="false">
      <c r="A14" s="6" t="s">
        <v>351</v>
      </c>
      <c r="C14" s="52" t="n">
        <f aca="false">C12*C13</f>
        <v>82667.52</v>
      </c>
      <c r="D14" s="52" t="n">
        <f aca="false">D12*D13</f>
        <v>87260.16</v>
      </c>
      <c r="E14" s="52" t="n">
        <f aca="false">E12*E13</f>
        <v>91852.8</v>
      </c>
      <c r="F14" s="52" t="n">
        <f aca="false">F12*F13</f>
        <v>91852.8</v>
      </c>
      <c r="G14" s="52" t="n">
        <f aca="false">G12*G13</f>
        <v>91852.8</v>
      </c>
      <c r="H14" s="52" t="n">
        <f aca="false">H12*H13</f>
        <v>91852.8</v>
      </c>
      <c r="I14" s="52" t="n">
        <f aca="false">I12*I13</f>
        <v>91852.8</v>
      </c>
      <c r="J14" s="52" t="n">
        <f aca="false">J12*J13</f>
        <v>91852.8</v>
      </c>
      <c r="K14" s="52" t="n">
        <f aca="false">K12*K13</f>
        <v>91852.8</v>
      </c>
      <c r="L14" s="52" t="n">
        <f aca="false">L12*L13</f>
        <v>91852.8</v>
      </c>
      <c r="M14" s="52" t="n">
        <f aca="false">M12*M13</f>
        <v>114816</v>
      </c>
      <c r="N14" s="52" t="n">
        <f aca="false">N12*N13</f>
        <v>114816</v>
      </c>
      <c r="O14" s="52" t="n">
        <f aca="false">O12*O13</f>
        <v>97446.63552</v>
      </c>
      <c r="P14" s="52" t="n">
        <f aca="false">P12*P13</f>
        <v>97446.63552</v>
      </c>
      <c r="Q14" s="52" t="n">
        <f aca="false">Q12*Q13</f>
        <v>97446.63552</v>
      </c>
      <c r="R14" s="52" t="n">
        <f aca="false">R12*R13</f>
        <v>97446.63552</v>
      </c>
      <c r="S14" s="52" t="n">
        <f aca="false">S12*S13</f>
        <v>97446.63552</v>
      </c>
      <c r="T14" s="52" t="n">
        <f aca="false">T12*T13</f>
        <v>97446.63552</v>
      </c>
      <c r="U14" s="52" t="n">
        <f aca="false">U12*U13</f>
        <v>97446.63552</v>
      </c>
      <c r="V14" s="52" t="n">
        <f aca="false">V12*V13</f>
        <v>97446.63552</v>
      </c>
      <c r="W14" s="52" t="n">
        <f aca="false">W12*W13</f>
        <v>97446.63552</v>
      </c>
      <c r="X14" s="52" t="n">
        <f aca="false">X12*X13</f>
        <v>97446.63552</v>
      </c>
      <c r="Y14" s="52" t="n">
        <f aca="false">Y12*Y13</f>
        <v>121808.2944</v>
      </c>
      <c r="Z14" s="52" t="n">
        <f aca="false">Z12*Z13</f>
        <v>121808.2944</v>
      </c>
      <c r="AA14" s="52" t="n">
        <f aca="false">AA12*AA13</f>
        <v>103381.135623168</v>
      </c>
      <c r="AB14" s="52" t="n">
        <f aca="false">AB12*AB13</f>
        <v>103381.135623168</v>
      </c>
      <c r="AC14" s="52" t="n">
        <f aca="false">AC12*AC13</f>
        <v>103381.135623168</v>
      </c>
      <c r="AD14" s="52" t="n">
        <f aca="false">AD12*AD13</f>
        <v>103381.135623168</v>
      </c>
      <c r="AE14" s="52" t="n">
        <f aca="false">AE12*AE13</f>
        <v>103381.135623168</v>
      </c>
      <c r="AF14" s="52" t="n">
        <f aca="false">AF12*AF13</f>
        <v>103381.135623168</v>
      </c>
      <c r="AG14" s="52" t="n">
        <f aca="false">AG12*AG13</f>
        <v>103381.135623168</v>
      </c>
      <c r="AH14" s="52" t="n">
        <f aca="false">AH12*AH13</f>
        <v>103381.135623168</v>
      </c>
      <c r="AI14" s="52" t="n">
        <f aca="false">AI12*AI13</f>
        <v>103381.135623168</v>
      </c>
      <c r="AJ14" s="52" t="n">
        <f aca="false">AJ12*AJ13</f>
        <v>103381.135623168</v>
      </c>
      <c r="AK14" s="52" t="n">
        <f aca="false">AK12*AK13</f>
        <v>129226.41952896</v>
      </c>
      <c r="AL14" s="52" t="n">
        <f aca="false">AL12*AL13</f>
        <v>129226.41952896</v>
      </c>
    </row>
    <row r="16" customFormat="false" ht="15.75" hidden="false" customHeight="true" outlineLevel="0" collapsed="false">
      <c r="A16" s="7" t="s">
        <v>234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352</v>
      </c>
      <c r="C17" s="104" t="n">
        <f aca="false">Inputs!$E$17*C8*(1+Inputs!$E$18)^(C$5-1)</f>
        <v>14.4</v>
      </c>
      <c r="D17" s="104" t="n">
        <f aca="false">Inputs!$E$17*D8*(1+Inputs!$E$18)^(D$5-1)</f>
        <v>15.2</v>
      </c>
      <c r="E17" s="104" t="n">
        <f aca="false">Inputs!$E$17*E8*(1+Inputs!$E$18)^(E$5-1)</f>
        <v>16</v>
      </c>
      <c r="F17" s="104" t="n">
        <f aca="false">Inputs!$E$17*F8*(1+Inputs!$E$18)^(F$5-1)</f>
        <v>16</v>
      </c>
      <c r="G17" s="104" t="n">
        <f aca="false">Inputs!$E$17*G8*(1+Inputs!$E$18)^(G$5-1)</f>
        <v>16</v>
      </c>
      <c r="H17" s="104" t="n">
        <f aca="false">Inputs!$E$17*H8*(1+Inputs!$E$18)^(H$5-1)</f>
        <v>16</v>
      </c>
      <c r="I17" s="104" t="n">
        <f aca="false">Inputs!$E$17*I8*(1+Inputs!$E$18)^(I$5-1)</f>
        <v>16</v>
      </c>
      <c r="J17" s="104" t="n">
        <f aca="false">Inputs!$E$17*J8*(1+Inputs!$E$18)^(J$5-1)</f>
        <v>16</v>
      </c>
      <c r="K17" s="104" t="n">
        <f aca="false">Inputs!$E$17*K8*(1+Inputs!$E$18)^(K$5-1)</f>
        <v>16</v>
      </c>
      <c r="L17" s="104" t="n">
        <f aca="false">Inputs!$E$17*L8*(1+Inputs!$E$18)^(L$5-1)</f>
        <v>16</v>
      </c>
      <c r="M17" s="104" t="n">
        <f aca="false">Inputs!$E$17*M8*(1+Inputs!$E$18)^(M$5-1)</f>
        <v>16</v>
      </c>
      <c r="N17" s="104" t="n">
        <f aca="false">Inputs!$E$17*N8*(1+Inputs!$E$18)^(N$5-1)</f>
        <v>16</v>
      </c>
      <c r="O17" s="104" t="n">
        <f aca="false">Inputs!$E$17*O8*(1+Inputs!$E$18)^(O$5-1)</f>
        <v>17.92</v>
      </c>
      <c r="P17" s="104" t="n">
        <f aca="false">Inputs!$E$17*P8*(1+Inputs!$E$18)^(P$5-1)</f>
        <v>17.92</v>
      </c>
      <c r="Q17" s="104" t="n">
        <f aca="false">Inputs!$E$17*Q8*(1+Inputs!$E$18)^(Q$5-1)</f>
        <v>17.92</v>
      </c>
      <c r="R17" s="104" t="n">
        <f aca="false">Inputs!$E$17*R8*(1+Inputs!$E$18)^(R$5-1)</f>
        <v>17.92</v>
      </c>
      <c r="S17" s="104" t="n">
        <f aca="false">Inputs!$E$17*S8*(1+Inputs!$E$18)^(S$5-1)</f>
        <v>17.92</v>
      </c>
      <c r="T17" s="104" t="n">
        <f aca="false">Inputs!$E$17*T8*(1+Inputs!$E$18)^(T$5-1)</f>
        <v>17.92</v>
      </c>
      <c r="U17" s="104" t="n">
        <f aca="false">Inputs!$E$17*U8*(1+Inputs!$E$18)^(U$5-1)</f>
        <v>17.92</v>
      </c>
      <c r="V17" s="104" t="n">
        <f aca="false">Inputs!$E$17*V8*(1+Inputs!$E$18)^(V$5-1)</f>
        <v>17.92</v>
      </c>
      <c r="W17" s="104" t="n">
        <f aca="false">Inputs!$E$17*W8*(1+Inputs!$E$18)^(W$5-1)</f>
        <v>17.92</v>
      </c>
      <c r="X17" s="104" t="n">
        <f aca="false">Inputs!$E$17*X8*(1+Inputs!$E$18)^(X$5-1)</f>
        <v>17.92</v>
      </c>
      <c r="Y17" s="104" t="n">
        <f aca="false">Inputs!$E$17*Y8*(1+Inputs!$E$18)^(Y$5-1)</f>
        <v>17.92</v>
      </c>
      <c r="Z17" s="104" t="n">
        <f aca="false">Inputs!$E$17*Z8*(1+Inputs!$E$18)^(Z$5-1)</f>
        <v>17.92</v>
      </c>
      <c r="AA17" s="104" t="n">
        <f aca="false">Inputs!$E$17*AA8*(1+Inputs!$E$18)^(AA$5-1)</f>
        <v>20.0704</v>
      </c>
      <c r="AB17" s="104" t="n">
        <f aca="false">Inputs!$E$17*AB8*(1+Inputs!$E$18)^(AB$5-1)</f>
        <v>20.0704</v>
      </c>
      <c r="AC17" s="104" t="n">
        <f aca="false">Inputs!$E$17*AC8*(1+Inputs!$E$18)^(AC$5-1)</f>
        <v>20.0704</v>
      </c>
      <c r="AD17" s="104" t="n">
        <f aca="false">Inputs!$E$17*AD8*(1+Inputs!$E$18)^(AD$5-1)</f>
        <v>20.0704</v>
      </c>
      <c r="AE17" s="104" t="n">
        <f aca="false">Inputs!$E$17*AE8*(1+Inputs!$E$18)^(AE$5-1)</f>
        <v>20.0704</v>
      </c>
      <c r="AF17" s="104" t="n">
        <f aca="false">Inputs!$E$17*AF8*(1+Inputs!$E$18)^(AF$5-1)</f>
        <v>20.0704</v>
      </c>
      <c r="AG17" s="104" t="n">
        <f aca="false">Inputs!$E$17*AG8*(1+Inputs!$E$18)^(AG$5-1)</f>
        <v>20.0704</v>
      </c>
      <c r="AH17" s="104" t="n">
        <f aca="false">Inputs!$E$17*AH8*(1+Inputs!$E$18)^(AH$5-1)</f>
        <v>20.0704</v>
      </c>
      <c r="AI17" s="104" t="n">
        <f aca="false">Inputs!$E$17*AI8*(1+Inputs!$E$18)^(AI$5-1)</f>
        <v>20.0704</v>
      </c>
      <c r="AJ17" s="104" t="n">
        <f aca="false">Inputs!$E$17*AJ8*(1+Inputs!$E$18)^(AJ$5-1)</f>
        <v>20.0704</v>
      </c>
      <c r="AK17" s="104" t="n">
        <f aca="false">Inputs!$E$17*AK8*(1+Inputs!$E$18)^(AK$5-1)</f>
        <v>20.0704</v>
      </c>
      <c r="AL17" s="104" t="n">
        <f aca="false">Inputs!$E$17*AL8*(1+Inputs!$E$18)^(AL$5-1)</f>
        <v>20.0704</v>
      </c>
    </row>
    <row r="18" customFormat="false" ht="15" hidden="false" customHeight="false" outlineLevel="0" collapsed="false">
      <c r="A18" s="6" t="s">
        <v>353</v>
      </c>
      <c r="C18" s="52" t="n">
        <f aca="false">Inputs!$E$19*(1+Inputs!$E$12)^(C$5-1)</f>
        <v>540</v>
      </c>
      <c r="D18" s="52" t="n">
        <f aca="false">Inputs!$E$19*(1+Inputs!$E$12)^(D$5-1)</f>
        <v>540</v>
      </c>
      <c r="E18" s="52" t="n">
        <f aca="false">Inputs!$E$19*(1+Inputs!$E$12)^(E$5-1)</f>
        <v>540</v>
      </c>
      <c r="F18" s="52" t="n">
        <f aca="false">Inputs!$E$19*(1+Inputs!$E$12)^(F$5-1)</f>
        <v>540</v>
      </c>
      <c r="G18" s="52" t="n">
        <f aca="false">Inputs!$E$19*(1+Inputs!$E$12)^(G$5-1)</f>
        <v>540</v>
      </c>
      <c r="H18" s="52" t="n">
        <f aca="false">Inputs!$E$19*(1+Inputs!$E$12)^(H$5-1)</f>
        <v>540</v>
      </c>
      <c r="I18" s="52" t="n">
        <f aca="false">Inputs!$E$19*(1+Inputs!$E$12)^(I$5-1)</f>
        <v>540</v>
      </c>
      <c r="J18" s="52" t="n">
        <f aca="false">Inputs!$E$19*(1+Inputs!$E$12)^(J$5-1)</f>
        <v>540</v>
      </c>
      <c r="K18" s="52" t="n">
        <f aca="false">Inputs!$E$19*(1+Inputs!$E$12)^(K$5-1)</f>
        <v>540</v>
      </c>
      <c r="L18" s="52" t="n">
        <f aca="false">Inputs!$E$19*(1+Inputs!$E$12)^(L$5-1)</f>
        <v>540</v>
      </c>
      <c r="M18" s="52" t="n">
        <f aca="false">Inputs!$E$19*(1+Inputs!$E$12)^(M$5-1)</f>
        <v>540</v>
      </c>
      <c r="N18" s="52" t="n">
        <f aca="false">Inputs!$E$19*(1+Inputs!$E$12)^(N$5-1)</f>
        <v>540</v>
      </c>
      <c r="O18" s="52" t="n">
        <f aca="false">Inputs!$E$19*(1+Inputs!$E$12)^(O$5-1)</f>
        <v>556.2</v>
      </c>
      <c r="P18" s="52" t="n">
        <f aca="false">Inputs!$E$19*(1+Inputs!$E$12)^(P$5-1)</f>
        <v>556.2</v>
      </c>
      <c r="Q18" s="52" t="n">
        <f aca="false">Inputs!$E$19*(1+Inputs!$E$12)^(Q$5-1)</f>
        <v>556.2</v>
      </c>
      <c r="R18" s="52" t="n">
        <f aca="false">Inputs!$E$19*(1+Inputs!$E$12)^(R$5-1)</f>
        <v>556.2</v>
      </c>
      <c r="S18" s="52" t="n">
        <f aca="false">Inputs!$E$19*(1+Inputs!$E$12)^(S$5-1)</f>
        <v>556.2</v>
      </c>
      <c r="T18" s="52" t="n">
        <f aca="false">Inputs!$E$19*(1+Inputs!$E$12)^(T$5-1)</f>
        <v>556.2</v>
      </c>
      <c r="U18" s="52" t="n">
        <f aca="false">Inputs!$E$19*(1+Inputs!$E$12)^(U$5-1)</f>
        <v>556.2</v>
      </c>
      <c r="V18" s="52" t="n">
        <f aca="false">Inputs!$E$19*(1+Inputs!$E$12)^(V$5-1)</f>
        <v>556.2</v>
      </c>
      <c r="W18" s="52" t="n">
        <f aca="false">Inputs!$E$19*(1+Inputs!$E$12)^(W$5-1)</f>
        <v>556.2</v>
      </c>
      <c r="X18" s="52" t="n">
        <f aca="false">Inputs!$E$19*(1+Inputs!$E$12)^(X$5-1)</f>
        <v>556.2</v>
      </c>
      <c r="Y18" s="52" t="n">
        <f aca="false">Inputs!$E$19*(1+Inputs!$E$12)^(Y$5-1)</f>
        <v>556.2</v>
      </c>
      <c r="Z18" s="52" t="n">
        <f aca="false">Inputs!$E$19*(1+Inputs!$E$12)^(Z$5-1)</f>
        <v>556.2</v>
      </c>
      <c r="AA18" s="52" t="n">
        <f aca="false">Inputs!$E$19*(1+Inputs!$E$12)^(AA$5-1)</f>
        <v>572.886</v>
      </c>
      <c r="AB18" s="52" t="n">
        <f aca="false">Inputs!$E$19*(1+Inputs!$E$12)^(AB$5-1)</f>
        <v>572.886</v>
      </c>
      <c r="AC18" s="52" t="n">
        <f aca="false">Inputs!$E$19*(1+Inputs!$E$12)^(AC$5-1)</f>
        <v>572.886</v>
      </c>
      <c r="AD18" s="52" t="n">
        <f aca="false">Inputs!$E$19*(1+Inputs!$E$12)^(AD$5-1)</f>
        <v>572.886</v>
      </c>
      <c r="AE18" s="52" t="n">
        <f aca="false">Inputs!$E$19*(1+Inputs!$E$12)^(AE$5-1)</f>
        <v>572.886</v>
      </c>
      <c r="AF18" s="52" t="n">
        <f aca="false">Inputs!$E$19*(1+Inputs!$E$12)^(AF$5-1)</f>
        <v>572.886</v>
      </c>
      <c r="AG18" s="52" t="n">
        <f aca="false">Inputs!$E$19*(1+Inputs!$E$12)^(AG$5-1)</f>
        <v>572.886</v>
      </c>
      <c r="AH18" s="52" t="n">
        <f aca="false">Inputs!$E$19*(1+Inputs!$E$12)^(AH$5-1)</f>
        <v>572.886</v>
      </c>
      <c r="AI18" s="52" t="n">
        <f aca="false">Inputs!$E$19*(1+Inputs!$E$12)^(AI$5-1)</f>
        <v>572.886</v>
      </c>
      <c r="AJ18" s="52" t="n">
        <f aca="false">Inputs!$E$19*(1+Inputs!$E$12)^(AJ$5-1)</f>
        <v>572.886</v>
      </c>
      <c r="AK18" s="52" t="n">
        <f aca="false">Inputs!$E$19*(1+Inputs!$E$12)^(AK$5-1)</f>
        <v>572.886</v>
      </c>
      <c r="AL18" s="52" t="n">
        <f aca="false">Inputs!$E$19*(1+Inputs!$E$12)^(AL$5-1)</f>
        <v>572.886</v>
      </c>
    </row>
    <row r="19" customFormat="false" ht="15" hidden="false" customHeight="false" outlineLevel="0" collapsed="false">
      <c r="A19" s="6" t="s">
        <v>57</v>
      </c>
      <c r="C19" s="52" t="n">
        <f aca="false">C17*C18*52/12*1</f>
        <v>33696</v>
      </c>
      <c r="D19" s="52" t="n">
        <f aca="false">D17*D18*52/12*1</f>
        <v>35568</v>
      </c>
      <c r="E19" s="52" t="n">
        <f aca="false">E17*E18*52/12*1</f>
        <v>37440</v>
      </c>
      <c r="F19" s="52" t="n">
        <f aca="false">F17*F18*52/12*1</f>
        <v>37440</v>
      </c>
      <c r="G19" s="52" t="n">
        <f aca="false">G17*G18*52/12*1</f>
        <v>37440</v>
      </c>
      <c r="H19" s="52" t="n">
        <f aca="false">H17*H18*52/12*1</f>
        <v>37440</v>
      </c>
      <c r="I19" s="52" t="n">
        <f aca="false">I17*I18*52/12*1</f>
        <v>37440</v>
      </c>
      <c r="J19" s="52" t="n">
        <f aca="false">J17*J18*52/12*1</f>
        <v>37440</v>
      </c>
      <c r="K19" s="52" t="n">
        <f aca="false">K17*K18*52/12*1</f>
        <v>37440</v>
      </c>
      <c r="L19" s="52" t="n">
        <f aca="false">L17*L18*52/12*1</f>
        <v>37440</v>
      </c>
      <c r="M19" s="52" t="n">
        <f aca="false">M17*M18*52/12*1</f>
        <v>37440</v>
      </c>
      <c r="N19" s="52" t="n">
        <f aca="false">N17*N18*52/12*1</f>
        <v>37440</v>
      </c>
      <c r="O19" s="52" t="n">
        <f aca="false">O17*O18*52/12*1</f>
        <v>43190.784</v>
      </c>
      <c r="P19" s="52" t="n">
        <f aca="false">P17*P18*52/12*1</f>
        <v>43190.784</v>
      </c>
      <c r="Q19" s="52" t="n">
        <f aca="false">Q17*Q18*52/12*1</f>
        <v>43190.784</v>
      </c>
      <c r="R19" s="52" t="n">
        <f aca="false">R17*R18*52/12*1</f>
        <v>43190.784</v>
      </c>
      <c r="S19" s="52" t="n">
        <f aca="false">S17*S18*52/12*1</f>
        <v>43190.784</v>
      </c>
      <c r="T19" s="52" t="n">
        <f aca="false">T17*T18*52/12*1</f>
        <v>43190.784</v>
      </c>
      <c r="U19" s="52" t="n">
        <f aca="false">U17*U18*52/12*1</f>
        <v>43190.784</v>
      </c>
      <c r="V19" s="52" t="n">
        <f aca="false">V17*V18*52/12*1</f>
        <v>43190.784</v>
      </c>
      <c r="W19" s="52" t="n">
        <f aca="false">W17*W18*52/12*1</f>
        <v>43190.784</v>
      </c>
      <c r="X19" s="52" t="n">
        <f aca="false">X17*X18*52/12*1</f>
        <v>43190.784</v>
      </c>
      <c r="Y19" s="52" t="n">
        <f aca="false">Y17*Y18*52/12*1</f>
        <v>43190.784</v>
      </c>
      <c r="Z19" s="52" t="n">
        <f aca="false">Z17*Z18*52/12*1</f>
        <v>43190.784</v>
      </c>
      <c r="AA19" s="52" t="n">
        <f aca="false">AA17*AA18*52/12*1</f>
        <v>49824.8884224</v>
      </c>
      <c r="AB19" s="52" t="n">
        <f aca="false">AB17*AB18*52/12*1</f>
        <v>49824.8884224</v>
      </c>
      <c r="AC19" s="52" t="n">
        <f aca="false">AC17*AC18*52/12*1</f>
        <v>49824.8884224</v>
      </c>
      <c r="AD19" s="52" t="n">
        <f aca="false">AD17*AD18*52/12*1</f>
        <v>49824.8884224</v>
      </c>
      <c r="AE19" s="52" t="n">
        <f aca="false">AE17*AE18*52/12*1</f>
        <v>49824.8884224</v>
      </c>
      <c r="AF19" s="52" t="n">
        <f aca="false">AF17*AF18*52/12*1</f>
        <v>49824.8884224</v>
      </c>
      <c r="AG19" s="52" t="n">
        <f aca="false">AG17*AG18*52/12*1</f>
        <v>49824.8884224</v>
      </c>
      <c r="AH19" s="52" t="n">
        <f aca="false">AH17*AH18*52/12*1</f>
        <v>49824.8884224</v>
      </c>
      <c r="AI19" s="52" t="n">
        <f aca="false">AI17*AI18*52/12*1</f>
        <v>49824.8884224</v>
      </c>
      <c r="AJ19" s="52" t="n">
        <f aca="false">AJ17*AJ18*52/12*1</f>
        <v>49824.8884224</v>
      </c>
      <c r="AK19" s="52" t="n">
        <f aca="false">AK17*AK18*52/12*1</f>
        <v>49824.8884224</v>
      </c>
      <c r="AL19" s="52" t="n">
        <f aca="false">AL17*AL18*52/12*1</f>
        <v>49824.8884224</v>
      </c>
    </row>
    <row r="21" customFormat="false" ht="15.75" hidden="false" customHeight="true" outlineLevel="0" collapsed="false">
      <c r="A21" s="7" t="s">
        <v>42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101" t="s">
        <v>42</v>
      </c>
      <c r="C22" s="53" t="n">
        <f aca="false">C14+C19</f>
        <v>116363.52</v>
      </c>
      <c r="D22" s="53" t="n">
        <f aca="false">D14+D19</f>
        <v>122828.16</v>
      </c>
      <c r="E22" s="53" t="n">
        <f aca="false">E14+E19</f>
        <v>129292.8</v>
      </c>
      <c r="F22" s="53" t="n">
        <f aca="false">F14+F19</f>
        <v>129292.8</v>
      </c>
      <c r="G22" s="53" t="n">
        <f aca="false">G14+G19</f>
        <v>129292.8</v>
      </c>
      <c r="H22" s="53" t="n">
        <f aca="false">H14+H19</f>
        <v>129292.8</v>
      </c>
      <c r="I22" s="53" t="n">
        <f aca="false">I14+I19</f>
        <v>129292.8</v>
      </c>
      <c r="J22" s="53" t="n">
        <f aca="false">J14+J19</f>
        <v>129292.8</v>
      </c>
      <c r="K22" s="53" t="n">
        <f aca="false">K14+K19</f>
        <v>129292.8</v>
      </c>
      <c r="L22" s="53" t="n">
        <f aca="false">L14+L19</f>
        <v>129292.8</v>
      </c>
      <c r="M22" s="53" t="n">
        <f aca="false">M14+M19</f>
        <v>152256</v>
      </c>
      <c r="N22" s="53" t="n">
        <f aca="false">N14+N19</f>
        <v>152256</v>
      </c>
      <c r="O22" s="53" t="n">
        <f aca="false">O14+O19</f>
        <v>140637.41952</v>
      </c>
      <c r="P22" s="53" t="n">
        <f aca="false">P14+P19</f>
        <v>140637.41952</v>
      </c>
      <c r="Q22" s="53" t="n">
        <f aca="false">Q14+Q19</f>
        <v>140637.41952</v>
      </c>
      <c r="R22" s="53" t="n">
        <f aca="false">R14+R19</f>
        <v>140637.41952</v>
      </c>
      <c r="S22" s="53" t="n">
        <f aca="false">S14+S19</f>
        <v>140637.41952</v>
      </c>
      <c r="T22" s="53" t="n">
        <f aca="false">T14+T19</f>
        <v>140637.41952</v>
      </c>
      <c r="U22" s="53" t="n">
        <f aca="false">U14+U19</f>
        <v>140637.41952</v>
      </c>
      <c r="V22" s="53" t="n">
        <f aca="false">V14+V19</f>
        <v>140637.41952</v>
      </c>
      <c r="W22" s="53" t="n">
        <f aca="false">W14+W19</f>
        <v>140637.41952</v>
      </c>
      <c r="X22" s="53" t="n">
        <f aca="false">X14+X19</f>
        <v>140637.41952</v>
      </c>
      <c r="Y22" s="53" t="n">
        <f aca="false">Y14+Y19</f>
        <v>164999.0784</v>
      </c>
      <c r="Z22" s="53" t="n">
        <f aca="false">Z14+Z19</f>
        <v>164999.0784</v>
      </c>
      <c r="AA22" s="53" t="n">
        <f aca="false">AA14+AA19</f>
        <v>153206.024045568</v>
      </c>
      <c r="AB22" s="53" t="n">
        <f aca="false">AB14+AB19</f>
        <v>153206.024045568</v>
      </c>
      <c r="AC22" s="53" t="n">
        <f aca="false">AC14+AC19</f>
        <v>153206.024045568</v>
      </c>
      <c r="AD22" s="53" t="n">
        <f aca="false">AD14+AD19</f>
        <v>153206.024045568</v>
      </c>
      <c r="AE22" s="53" t="n">
        <f aca="false">AE14+AE19</f>
        <v>153206.024045568</v>
      </c>
      <c r="AF22" s="53" t="n">
        <f aca="false">AF14+AF19</f>
        <v>153206.024045568</v>
      </c>
      <c r="AG22" s="53" t="n">
        <f aca="false">AG14+AG19</f>
        <v>153206.024045568</v>
      </c>
      <c r="AH22" s="53" t="n">
        <f aca="false">AH14+AH19</f>
        <v>153206.024045568</v>
      </c>
      <c r="AI22" s="53" t="n">
        <f aca="false">AI14+AI19</f>
        <v>153206.024045568</v>
      </c>
      <c r="AJ22" s="53" t="n">
        <f aca="false">AJ14+AJ19</f>
        <v>153206.024045568</v>
      </c>
      <c r="AK22" s="53" t="n">
        <f aca="false">AK14+AK19</f>
        <v>179051.30795136</v>
      </c>
      <c r="AL22" s="53" t="n">
        <f aca="false">AL14+AL19</f>
        <v>179051.30795136</v>
      </c>
    </row>
    <row r="24" customFormat="false" ht="15.75" hidden="false" customHeight="true" outlineLevel="0" collapsed="false">
      <c r="A24" s="7" t="s">
        <v>74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354</v>
      </c>
      <c r="C25" s="52" t="n">
        <f aca="false">-(C14*Inputs!$E$24+C19*Inputs!$E$25)</f>
        <v>-30959.8848</v>
      </c>
      <c r="D25" s="52" t="n">
        <f aca="false">-(D14*Inputs!$E$24+D19*Inputs!$E$25)</f>
        <v>-32679.8784</v>
      </c>
      <c r="E25" s="52" t="n">
        <f aca="false">-(E14*Inputs!$E$24+E19*Inputs!$E$25)</f>
        <v>-34399.872</v>
      </c>
      <c r="F25" s="52" t="n">
        <f aca="false">-(F14*Inputs!$E$24+F19*Inputs!$E$25)</f>
        <v>-34399.872</v>
      </c>
      <c r="G25" s="52" t="n">
        <f aca="false">-(G14*Inputs!$E$24+G19*Inputs!$E$25)</f>
        <v>-34399.872</v>
      </c>
      <c r="H25" s="52" t="n">
        <f aca="false">-(H14*Inputs!$E$24+H19*Inputs!$E$25)</f>
        <v>-34399.872</v>
      </c>
      <c r="I25" s="52" t="n">
        <f aca="false">-(I14*Inputs!$E$24+I19*Inputs!$E$25)</f>
        <v>-34399.872</v>
      </c>
      <c r="J25" s="52" t="n">
        <f aca="false">-(J14*Inputs!$E$24+J19*Inputs!$E$25)</f>
        <v>-34399.872</v>
      </c>
      <c r="K25" s="52" t="n">
        <f aca="false">-(K14*Inputs!$E$24+K19*Inputs!$E$25)</f>
        <v>-34399.872</v>
      </c>
      <c r="L25" s="52" t="n">
        <f aca="false">-(L14*Inputs!$E$24+L19*Inputs!$E$25)</f>
        <v>-34399.872</v>
      </c>
      <c r="M25" s="52" t="n">
        <f aca="false">-(M14*Inputs!$E$24+M19*Inputs!$E$25)</f>
        <v>-39911.04</v>
      </c>
      <c r="N25" s="52" t="n">
        <f aca="false">-(N14*Inputs!$E$24+N19*Inputs!$E$25)</f>
        <v>-39911.04</v>
      </c>
      <c r="O25" s="52" t="n">
        <f aca="false">-(O14*Inputs!$E$24+O19*Inputs!$E$25)</f>
        <v>-37640.1512448</v>
      </c>
      <c r="P25" s="52" t="n">
        <f aca="false">-(P14*Inputs!$E$24+P19*Inputs!$E$25)</f>
        <v>-37640.1512448</v>
      </c>
      <c r="Q25" s="52" t="n">
        <f aca="false">-(Q14*Inputs!$E$24+Q19*Inputs!$E$25)</f>
        <v>-37640.1512448</v>
      </c>
      <c r="R25" s="52" t="n">
        <f aca="false">-(R14*Inputs!$E$24+R19*Inputs!$E$25)</f>
        <v>-37640.1512448</v>
      </c>
      <c r="S25" s="52" t="n">
        <f aca="false">-(S14*Inputs!$E$24+S19*Inputs!$E$25)</f>
        <v>-37640.1512448</v>
      </c>
      <c r="T25" s="52" t="n">
        <f aca="false">-(T14*Inputs!$E$24+T19*Inputs!$E$25)</f>
        <v>-37640.1512448</v>
      </c>
      <c r="U25" s="52" t="n">
        <f aca="false">-(U14*Inputs!$E$24+U19*Inputs!$E$25)</f>
        <v>-37640.1512448</v>
      </c>
      <c r="V25" s="52" t="n">
        <f aca="false">-(V14*Inputs!$E$24+V19*Inputs!$E$25)</f>
        <v>-37640.1512448</v>
      </c>
      <c r="W25" s="52" t="n">
        <f aca="false">-(W14*Inputs!$E$24+W19*Inputs!$E$25)</f>
        <v>-37640.1512448</v>
      </c>
      <c r="X25" s="52" t="n">
        <f aca="false">-(X14*Inputs!$E$24+X19*Inputs!$E$25)</f>
        <v>-37640.1512448</v>
      </c>
      <c r="Y25" s="52" t="n">
        <f aca="false">-(Y14*Inputs!$E$24+Y19*Inputs!$E$25)</f>
        <v>-43486.949376</v>
      </c>
      <c r="Z25" s="52" t="n">
        <f aca="false">-(Z14*Inputs!$E$24+Z19*Inputs!$E$25)</f>
        <v>-43486.949376</v>
      </c>
      <c r="AA25" s="52" t="n">
        <f aca="false">-(AA14*Inputs!$E$24+AA19*Inputs!$E$25)</f>
        <v>-41253.6857289523</v>
      </c>
      <c r="AB25" s="52" t="n">
        <f aca="false">-(AB14*Inputs!$E$24+AB19*Inputs!$E$25)</f>
        <v>-41253.6857289523</v>
      </c>
      <c r="AC25" s="52" t="n">
        <f aca="false">-(AC14*Inputs!$E$24+AC19*Inputs!$E$25)</f>
        <v>-41253.6857289523</v>
      </c>
      <c r="AD25" s="52" t="n">
        <f aca="false">-(AD14*Inputs!$E$24+AD19*Inputs!$E$25)</f>
        <v>-41253.6857289523</v>
      </c>
      <c r="AE25" s="52" t="n">
        <f aca="false">-(AE14*Inputs!$E$24+AE19*Inputs!$E$25)</f>
        <v>-41253.6857289523</v>
      </c>
      <c r="AF25" s="52" t="n">
        <f aca="false">-(AF14*Inputs!$E$24+AF19*Inputs!$E$25)</f>
        <v>-41253.6857289523</v>
      </c>
      <c r="AG25" s="52" t="n">
        <f aca="false">-(AG14*Inputs!$E$24+AG19*Inputs!$E$25)</f>
        <v>-41253.6857289523</v>
      </c>
      <c r="AH25" s="52" t="n">
        <f aca="false">-(AH14*Inputs!$E$24+AH19*Inputs!$E$25)</f>
        <v>-41253.6857289523</v>
      </c>
      <c r="AI25" s="52" t="n">
        <f aca="false">-(AI14*Inputs!$E$24+AI19*Inputs!$E$25)</f>
        <v>-41253.6857289523</v>
      </c>
      <c r="AJ25" s="52" t="n">
        <f aca="false">-(AJ14*Inputs!$E$24+AJ19*Inputs!$E$25)</f>
        <v>-41253.6857289523</v>
      </c>
      <c r="AK25" s="52" t="n">
        <f aca="false">-(AK14*Inputs!$E$24+AK19*Inputs!$E$25)</f>
        <v>-47456.5538663424</v>
      </c>
      <c r="AL25" s="52" t="n">
        <f aca="false">-(AL14*Inputs!$E$24+AL19*Inputs!$E$25)</f>
        <v>-47456.5538663424</v>
      </c>
    </row>
    <row r="26" customFormat="false" ht="15" hidden="false" customHeight="false" outlineLevel="0" collapsed="false">
      <c r="A26" s="6" t="s">
        <v>355</v>
      </c>
      <c r="C26" s="52" t="n">
        <f aca="false">-C14*Inputs!$E$24*Inputs!$E$26/MAX(0.01,1-Inputs!$E$26)</f>
        <v>-1962.21805714286</v>
      </c>
      <c r="D26" s="52" t="n">
        <f aca="false">-D14*Inputs!$E$24*Inputs!$E$26/MAX(0.01,1-Inputs!$E$26)</f>
        <v>-2071.23017142857</v>
      </c>
      <c r="E26" s="52" t="n">
        <f aca="false">-E14*Inputs!$E$24*Inputs!$E$26/MAX(0.01,1-Inputs!$E$26)</f>
        <v>-2180.24228571429</v>
      </c>
      <c r="F26" s="52" t="n">
        <f aca="false">-F14*Inputs!$E$24*Inputs!$E$26/MAX(0.01,1-Inputs!$E$26)</f>
        <v>-2180.24228571429</v>
      </c>
      <c r="G26" s="52" t="n">
        <f aca="false">-G14*Inputs!$E$24*Inputs!$E$26/MAX(0.01,1-Inputs!$E$26)</f>
        <v>-2180.24228571429</v>
      </c>
      <c r="H26" s="52" t="n">
        <f aca="false">-H14*Inputs!$E$24*Inputs!$E$26/MAX(0.01,1-Inputs!$E$26)</f>
        <v>-2180.24228571429</v>
      </c>
      <c r="I26" s="52" t="n">
        <f aca="false">-I14*Inputs!$E$24*Inputs!$E$26/MAX(0.01,1-Inputs!$E$26)</f>
        <v>-2180.24228571429</v>
      </c>
      <c r="J26" s="52" t="n">
        <f aca="false">-J14*Inputs!$E$24*Inputs!$E$26/MAX(0.01,1-Inputs!$E$26)</f>
        <v>-2180.24228571429</v>
      </c>
      <c r="K26" s="52" t="n">
        <f aca="false">-K14*Inputs!$E$24*Inputs!$E$26/MAX(0.01,1-Inputs!$E$26)</f>
        <v>-2180.24228571429</v>
      </c>
      <c r="L26" s="52" t="n">
        <f aca="false">-L14*Inputs!$E$24*Inputs!$E$26/MAX(0.01,1-Inputs!$E$26)</f>
        <v>-2180.24228571429</v>
      </c>
      <c r="M26" s="52" t="n">
        <f aca="false">-M14*Inputs!$E$24*Inputs!$E$26/MAX(0.01,1-Inputs!$E$26)</f>
        <v>-2725.30285714286</v>
      </c>
      <c r="N26" s="52" t="n">
        <f aca="false">-N14*Inputs!$E$24*Inputs!$E$26/MAX(0.01,1-Inputs!$E$26)</f>
        <v>-2725.30285714286</v>
      </c>
      <c r="O26" s="52" t="n">
        <f aca="false">-O14*Inputs!$E$24*Inputs!$E$26/MAX(0.01,1-Inputs!$E$26)</f>
        <v>-2313.01904091429</v>
      </c>
      <c r="P26" s="52" t="n">
        <f aca="false">-P14*Inputs!$E$24*Inputs!$E$26/MAX(0.01,1-Inputs!$E$26)</f>
        <v>-2313.01904091429</v>
      </c>
      <c r="Q26" s="52" t="n">
        <f aca="false">-Q14*Inputs!$E$24*Inputs!$E$26/MAX(0.01,1-Inputs!$E$26)</f>
        <v>-2313.01904091429</v>
      </c>
      <c r="R26" s="52" t="n">
        <f aca="false">-R14*Inputs!$E$24*Inputs!$E$26/MAX(0.01,1-Inputs!$E$26)</f>
        <v>-2313.01904091429</v>
      </c>
      <c r="S26" s="52" t="n">
        <f aca="false">-S14*Inputs!$E$24*Inputs!$E$26/MAX(0.01,1-Inputs!$E$26)</f>
        <v>-2313.01904091429</v>
      </c>
      <c r="T26" s="52" t="n">
        <f aca="false">-T14*Inputs!$E$24*Inputs!$E$26/MAX(0.01,1-Inputs!$E$26)</f>
        <v>-2313.01904091429</v>
      </c>
      <c r="U26" s="52" t="n">
        <f aca="false">-U14*Inputs!$E$24*Inputs!$E$26/MAX(0.01,1-Inputs!$E$26)</f>
        <v>-2313.01904091429</v>
      </c>
      <c r="V26" s="52" t="n">
        <f aca="false">-V14*Inputs!$E$24*Inputs!$E$26/MAX(0.01,1-Inputs!$E$26)</f>
        <v>-2313.01904091429</v>
      </c>
      <c r="W26" s="52" t="n">
        <f aca="false">-W14*Inputs!$E$24*Inputs!$E$26/MAX(0.01,1-Inputs!$E$26)</f>
        <v>-2313.01904091429</v>
      </c>
      <c r="X26" s="52" t="n">
        <f aca="false">-X14*Inputs!$E$24*Inputs!$E$26/MAX(0.01,1-Inputs!$E$26)</f>
        <v>-2313.01904091429</v>
      </c>
      <c r="Y26" s="52" t="n">
        <f aca="false">-Y14*Inputs!$E$24*Inputs!$E$26/MAX(0.01,1-Inputs!$E$26)</f>
        <v>-2891.27380114286</v>
      </c>
      <c r="Z26" s="52" t="n">
        <f aca="false">-Z14*Inputs!$E$24*Inputs!$E$26/MAX(0.01,1-Inputs!$E$26)</f>
        <v>-2891.27380114286</v>
      </c>
      <c r="AA26" s="52" t="n">
        <f aca="false">-AA14*Inputs!$E$24*Inputs!$E$26/MAX(0.01,1-Inputs!$E$26)</f>
        <v>-2453.88190050597</v>
      </c>
      <c r="AB26" s="52" t="n">
        <f aca="false">-AB14*Inputs!$E$24*Inputs!$E$26/MAX(0.01,1-Inputs!$E$26)</f>
        <v>-2453.88190050597</v>
      </c>
      <c r="AC26" s="52" t="n">
        <f aca="false">-AC14*Inputs!$E$24*Inputs!$E$26/MAX(0.01,1-Inputs!$E$26)</f>
        <v>-2453.88190050597</v>
      </c>
      <c r="AD26" s="52" t="n">
        <f aca="false">-AD14*Inputs!$E$24*Inputs!$E$26/MAX(0.01,1-Inputs!$E$26)</f>
        <v>-2453.88190050597</v>
      </c>
      <c r="AE26" s="52" t="n">
        <f aca="false">-AE14*Inputs!$E$24*Inputs!$E$26/MAX(0.01,1-Inputs!$E$26)</f>
        <v>-2453.88190050597</v>
      </c>
      <c r="AF26" s="52" t="n">
        <f aca="false">-AF14*Inputs!$E$24*Inputs!$E$26/MAX(0.01,1-Inputs!$E$26)</f>
        <v>-2453.88190050597</v>
      </c>
      <c r="AG26" s="52" t="n">
        <f aca="false">-AG14*Inputs!$E$24*Inputs!$E$26/MAX(0.01,1-Inputs!$E$26)</f>
        <v>-2453.88190050597</v>
      </c>
      <c r="AH26" s="52" t="n">
        <f aca="false">-AH14*Inputs!$E$24*Inputs!$E$26/MAX(0.01,1-Inputs!$E$26)</f>
        <v>-2453.88190050597</v>
      </c>
      <c r="AI26" s="52" t="n">
        <f aca="false">-AI14*Inputs!$E$24*Inputs!$E$26/MAX(0.01,1-Inputs!$E$26)</f>
        <v>-2453.88190050597</v>
      </c>
      <c r="AJ26" s="52" t="n">
        <f aca="false">-AJ14*Inputs!$E$24*Inputs!$E$26/MAX(0.01,1-Inputs!$E$26)</f>
        <v>-2453.88190050597</v>
      </c>
      <c r="AK26" s="52" t="n">
        <f aca="false">-AK14*Inputs!$E$24*Inputs!$E$26/MAX(0.01,1-Inputs!$E$26)</f>
        <v>-3067.35237563246</v>
      </c>
      <c r="AL26" s="52" t="n">
        <f aca="false">-AL14*Inputs!$E$24*Inputs!$E$26/MAX(0.01,1-Inputs!$E$26)</f>
        <v>-3067.35237563246</v>
      </c>
    </row>
    <row r="27" customFormat="false" ht="15" hidden="false" customHeight="false" outlineLevel="0" collapsed="false">
      <c r="A27" s="6" t="s">
        <v>356</v>
      </c>
      <c r="C27" s="52" t="n">
        <f aca="false">-C22*Inputs!$E$27</f>
        <v>-4072.7232</v>
      </c>
      <c r="D27" s="52" t="n">
        <f aca="false">-D22*Inputs!$E$27</f>
        <v>-4298.9856</v>
      </c>
      <c r="E27" s="52" t="n">
        <f aca="false">-E22*Inputs!$E$27</f>
        <v>-4525.248</v>
      </c>
      <c r="F27" s="52" t="n">
        <f aca="false">-F22*Inputs!$E$27</f>
        <v>-4525.248</v>
      </c>
      <c r="G27" s="52" t="n">
        <f aca="false">-G22*Inputs!$E$27</f>
        <v>-4525.248</v>
      </c>
      <c r="H27" s="52" t="n">
        <f aca="false">-H22*Inputs!$E$27</f>
        <v>-4525.248</v>
      </c>
      <c r="I27" s="52" t="n">
        <f aca="false">-I22*Inputs!$E$27</f>
        <v>-4525.248</v>
      </c>
      <c r="J27" s="52" t="n">
        <f aca="false">-J22*Inputs!$E$27</f>
        <v>-4525.248</v>
      </c>
      <c r="K27" s="52" t="n">
        <f aca="false">-K22*Inputs!$E$27</f>
        <v>-4525.248</v>
      </c>
      <c r="L27" s="52" t="n">
        <f aca="false">-L22*Inputs!$E$27</f>
        <v>-4525.248</v>
      </c>
      <c r="M27" s="52" t="n">
        <f aca="false">-M22*Inputs!$E$27</f>
        <v>-5328.96</v>
      </c>
      <c r="N27" s="52" t="n">
        <f aca="false">-N22*Inputs!$E$27</f>
        <v>-5328.96</v>
      </c>
      <c r="O27" s="52" t="n">
        <f aca="false">-O22*Inputs!$E$27</f>
        <v>-4922.3096832</v>
      </c>
      <c r="P27" s="52" t="n">
        <f aca="false">-P22*Inputs!$E$27</f>
        <v>-4922.3096832</v>
      </c>
      <c r="Q27" s="52" t="n">
        <f aca="false">-Q22*Inputs!$E$27</f>
        <v>-4922.3096832</v>
      </c>
      <c r="R27" s="52" t="n">
        <f aca="false">-R22*Inputs!$E$27</f>
        <v>-4922.3096832</v>
      </c>
      <c r="S27" s="52" t="n">
        <f aca="false">-S22*Inputs!$E$27</f>
        <v>-4922.3096832</v>
      </c>
      <c r="T27" s="52" t="n">
        <f aca="false">-T22*Inputs!$E$27</f>
        <v>-4922.3096832</v>
      </c>
      <c r="U27" s="52" t="n">
        <f aca="false">-U22*Inputs!$E$27</f>
        <v>-4922.3096832</v>
      </c>
      <c r="V27" s="52" t="n">
        <f aca="false">-V22*Inputs!$E$27</f>
        <v>-4922.3096832</v>
      </c>
      <c r="W27" s="52" t="n">
        <f aca="false">-W22*Inputs!$E$27</f>
        <v>-4922.3096832</v>
      </c>
      <c r="X27" s="52" t="n">
        <f aca="false">-X22*Inputs!$E$27</f>
        <v>-4922.3096832</v>
      </c>
      <c r="Y27" s="52" t="n">
        <f aca="false">-Y22*Inputs!$E$27</f>
        <v>-5774.967744</v>
      </c>
      <c r="Z27" s="52" t="n">
        <f aca="false">-Z22*Inputs!$E$27</f>
        <v>-5774.967744</v>
      </c>
      <c r="AA27" s="52" t="n">
        <f aca="false">-AA22*Inputs!$E$27</f>
        <v>-5362.21084159488</v>
      </c>
      <c r="AB27" s="52" t="n">
        <f aca="false">-AB22*Inputs!$E$27</f>
        <v>-5362.21084159488</v>
      </c>
      <c r="AC27" s="52" t="n">
        <f aca="false">-AC22*Inputs!$E$27</f>
        <v>-5362.21084159488</v>
      </c>
      <c r="AD27" s="52" t="n">
        <f aca="false">-AD22*Inputs!$E$27</f>
        <v>-5362.21084159488</v>
      </c>
      <c r="AE27" s="52" t="n">
        <f aca="false">-AE22*Inputs!$E$27</f>
        <v>-5362.21084159488</v>
      </c>
      <c r="AF27" s="52" t="n">
        <f aca="false">-AF22*Inputs!$E$27</f>
        <v>-5362.21084159488</v>
      </c>
      <c r="AG27" s="52" t="n">
        <f aca="false">-AG22*Inputs!$E$27</f>
        <v>-5362.21084159488</v>
      </c>
      <c r="AH27" s="52" t="n">
        <f aca="false">-AH22*Inputs!$E$27</f>
        <v>-5362.21084159488</v>
      </c>
      <c r="AI27" s="52" t="n">
        <f aca="false">-AI22*Inputs!$E$27</f>
        <v>-5362.21084159488</v>
      </c>
      <c r="AJ27" s="52" t="n">
        <f aca="false">-AJ22*Inputs!$E$27</f>
        <v>-5362.21084159488</v>
      </c>
      <c r="AK27" s="52" t="n">
        <f aca="false">-AK22*Inputs!$E$27</f>
        <v>-6266.7957782976</v>
      </c>
      <c r="AL27" s="52" t="n">
        <f aca="false">-AL22*Inputs!$E$27</f>
        <v>-6266.7957782976</v>
      </c>
    </row>
    <row r="28" customFormat="false" ht="15" hidden="false" customHeight="false" outlineLevel="0" collapsed="false">
      <c r="A28" s="4" t="s">
        <v>74</v>
      </c>
      <c r="C28" s="58" t="n">
        <f aca="false">C25+C26+C27</f>
        <v>-36994.8260571429</v>
      </c>
      <c r="D28" s="58" t="n">
        <f aca="false">D25+D26+D27</f>
        <v>-39050.0941714286</v>
      </c>
      <c r="E28" s="58" t="n">
        <f aca="false">E25+E26+E27</f>
        <v>-41105.3622857143</v>
      </c>
      <c r="F28" s="58" t="n">
        <f aca="false">F25+F26+F27</f>
        <v>-41105.3622857143</v>
      </c>
      <c r="G28" s="58" t="n">
        <f aca="false">G25+G26+G27</f>
        <v>-41105.3622857143</v>
      </c>
      <c r="H28" s="58" t="n">
        <f aca="false">H25+H26+H27</f>
        <v>-41105.3622857143</v>
      </c>
      <c r="I28" s="58" t="n">
        <f aca="false">I25+I26+I27</f>
        <v>-41105.3622857143</v>
      </c>
      <c r="J28" s="58" t="n">
        <f aca="false">J25+J26+J27</f>
        <v>-41105.3622857143</v>
      </c>
      <c r="K28" s="58" t="n">
        <f aca="false">K25+K26+K27</f>
        <v>-41105.3622857143</v>
      </c>
      <c r="L28" s="58" t="n">
        <f aca="false">L25+L26+L27</f>
        <v>-41105.3622857143</v>
      </c>
      <c r="M28" s="58" t="n">
        <f aca="false">M25+M26+M27</f>
        <v>-47965.3028571429</v>
      </c>
      <c r="N28" s="58" t="n">
        <f aca="false">N25+N26+N27</f>
        <v>-47965.3028571429</v>
      </c>
      <c r="O28" s="58" t="n">
        <f aca="false">O25+O26+O27</f>
        <v>-44875.4799689143</v>
      </c>
      <c r="P28" s="58" t="n">
        <f aca="false">P25+P26+P27</f>
        <v>-44875.4799689143</v>
      </c>
      <c r="Q28" s="58" t="n">
        <f aca="false">Q25+Q26+Q27</f>
        <v>-44875.4799689143</v>
      </c>
      <c r="R28" s="58" t="n">
        <f aca="false">R25+R26+R27</f>
        <v>-44875.4799689143</v>
      </c>
      <c r="S28" s="58" t="n">
        <f aca="false">S25+S26+S27</f>
        <v>-44875.4799689143</v>
      </c>
      <c r="T28" s="58" t="n">
        <f aca="false">T25+T26+T27</f>
        <v>-44875.4799689143</v>
      </c>
      <c r="U28" s="58" t="n">
        <f aca="false">U25+U26+U27</f>
        <v>-44875.4799689143</v>
      </c>
      <c r="V28" s="58" t="n">
        <f aca="false">V25+V26+V27</f>
        <v>-44875.4799689143</v>
      </c>
      <c r="W28" s="58" t="n">
        <f aca="false">W25+W26+W27</f>
        <v>-44875.4799689143</v>
      </c>
      <c r="X28" s="58" t="n">
        <f aca="false">X25+X26+X27</f>
        <v>-44875.4799689143</v>
      </c>
      <c r="Y28" s="58" t="n">
        <f aca="false">Y25+Y26+Y27</f>
        <v>-52153.1909211429</v>
      </c>
      <c r="Z28" s="58" t="n">
        <f aca="false">Z25+Z26+Z27</f>
        <v>-52153.1909211429</v>
      </c>
      <c r="AA28" s="58" t="n">
        <f aca="false">AA25+AA26+AA27</f>
        <v>-49069.7784710532</v>
      </c>
      <c r="AB28" s="58" t="n">
        <f aca="false">AB25+AB26+AB27</f>
        <v>-49069.7784710532</v>
      </c>
      <c r="AC28" s="58" t="n">
        <f aca="false">AC25+AC26+AC27</f>
        <v>-49069.7784710532</v>
      </c>
      <c r="AD28" s="58" t="n">
        <f aca="false">AD25+AD26+AD27</f>
        <v>-49069.7784710532</v>
      </c>
      <c r="AE28" s="58" t="n">
        <f aca="false">AE25+AE26+AE27</f>
        <v>-49069.7784710532</v>
      </c>
      <c r="AF28" s="58" t="n">
        <f aca="false">AF25+AF26+AF27</f>
        <v>-49069.7784710532</v>
      </c>
      <c r="AG28" s="58" t="n">
        <f aca="false">AG25+AG26+AG27</f>
        <v>-49069.7784710532</v>
      </c>
      <c r="AH28" s="58" t="n">
        <f aca="false">AH25+AH26+AH27</f>
        <v>-49069.7784710532</v>
      </c>
      <c r="AI28" s="58" t="n">
        <f aca="false">AI25+AI26+AI27</f>
        <v>-49069.7784710532</v>
      </c>
      <c r="AJ28" s="58" t="n">
        <f aca="false">AJ25+AJ26+AJ27</f>
        <v>-49069.7784710532</v>
      </c>
      <c r="AK28" s="58" t="n">
        <f aca="false">AK25+AK26+AK27</f>
        <v>-56790.7020202725</v>
      </c>
      <c r="AL28" s="58" t="n">
        <f aca="false">AL25+AL26+AL27</f>
        <v>-56790.7020202725</v>
      </c>
    </row>
    <row r="29" customFormat="false" ht="15" hidden="false" customHeight="false" outlineLevel="0" collapsed="false">
      <c r="A29" s="101" t="s">
        <v>43</v>
      </c>
      <c r="C29" s="53" t="n">
        <f aca="false">C22+C28</f>
        <v>79368.6939428572</v>
      </c>
      <c r="D29" s="53" t="n">
        <f aca="false">D22+D28</f>
        <v>83778.0658285714</v>
      </c>
      <c r="E29" s="53" t="n">
        <f aca="false">E22+E28</f>
        <v>88187.4377142857</v>
      </c>
      <c r="F29" s="53" t="n">
        <f aca="false">F22+F28</f>
        <v>88187.4377142857</v>
      </c>
      <c r="G29" s="53" t="n">
        <f aca="false">G22+G28</f>
        <v>88187.4377142857</v>
      </c>
      <c r="H29" s="53" t="n">
        <f aca="false">H22+H28</f>
        <v>88187.4377142857</v>
      </c>
      <c r="I29" s="53" t="n">
        <f aca="false">I22+I28</f>
        <v>88187.4377142857</v>
      </c>
      <c r="J29" s="53" t="n">
        <f aca="false">J22+J28</f>
        <v>88187.4377142857</v>
      </c>
      <c r="K29" s="53" t="n">
        <f aca="false">K22+K28</f>
        <v>88187.4377142857</v>
      </c>
      <c r="L29" s="53" t="n">
        <f aca="false">L22+L28</f>
        <v>88187.4377142857</v>
      </c>
      <c r="M29" s="53" t="n">
        <f aca="false">M22+M28</f>
        <v>104290.697142857</v>
      </c>
      <c r="N29" s="53" t="n">
        <f aca="false">N22+N28</f>
        <v>104290.697142857</v>
      </c>
      <c r="O29" s="53" t="n">
        <f aca="false">O22+O28</f>
        <v>95761.9395510857</v>
      </c>
      <c r="P29" s="53" t="n">
        <f aca="false">P22+P28</f>
        <v>95761.9395510857</v>
      </c>
      <c r="Q29" s="53" t="n">
        <f aca="false">Q22+Q28</f>
        <v>95761.9395510857</v>
      </c>
      <c r="R29" s="53" t="n">
        <f aca="false">R22+R28</f>
        <v>95761.9395510857</v>
      </c>
      <c r="S29" s="53" t="n">
        <f aca="false">S22+S28</f>
        <v>95761.9395510857</v>
      </c>
      <c r="T29" s="53" t="n">
        <f aca="false">T22+T28</f>
        <v>95761.9395510857</v>
      </c>
      <c r="U29" s="53" t="n">
        <f aca="false">U22+U28</f>
        <v>95761.9395510857</v>
      </c>
      <c r="V29" s="53" t="n">
        <f aca="false">V22+V28</f>
        <v>95761.9395510857</v>
      </c>
      <c r="W29" s="53" t="n">
        <f aca="false">W22+W28</f>
        <v>95761.9395510857</v>
      </c>
      <c r="X29" s="53" t="n">
        <f aca="false">X22+X28</f>
        <v>95761.9395510857</v>
      </c>
      <c r="Y29" s="53" t="n">
        <f aca="false">Y22+Y28</f>
        <v>112845.887478857</v>
      </c>
      <c r="Z29" s="53" t="n">
        <f aca="false">Z22+Z28</f>
        <v>112845.887478857</v>
      </c>
      <c r="AA29" s="53" t="n">
        <f aca="false">AA22+AA28</f>
        <v>104136.245574515</v>
      </c>
      <c r="AB29" s="53" t="n">
        <f aca="false">AB22+AB28</f>
        <v>104136.245574515</v>
      </c>
      <c r="AC29" s="53" t="n">
        <f aca="false">AC22+AC28</f>
        <v>104136.245574515</v>
      </c>
      <c r="AD29" s="53" t="n">
        <f aca="false">AD22+AD28</f>
        <v>104136.245574515</v>
      </c>
      <c r="AE29" s="53" t="n">
        <f aca="false">AE22+AE28</f>
        <v>104136.245574515</v>
      </c>
      <c r="AF29" s="53" t="n">
        <f aca="false">AF22+AF28</f>
        <v>104136.245574515</v>
      </c>
      <c r="AG29" s="53" t="n">
        <f aca="false">AG22+AG28</f>
        <v>104136.245574515</v>
      </c>
      <c r="AH29" s="53" t="n">
        <f aca="false">AH22+AH28</f>
        <v>104136.245574515</v>
      </c>
      <c r="AI29" s="53" t="n">
        <f aca="false">AI22+AI28</f>
        <v>104136.245574515</v>
      </c>
      <c r="AJ29" s="53" t="n">
        <f aca="false">AJ22+AJ28</f>
        <v>104136.245574515</v>
      </c>
      <c r="AK29" s="53" t="n">
        <f aca="false">AK22+AK28</f>
        <v>122260.605931088</v>
      </c>
      <c r="AL29" s="53" t="n">
        <f aca="false">AL22+AL28</f>
        <v>122260.605931088</v>
      </c>
    </row>
    <row r="31" customFormat="false" ht="15.75" hidden="false" customHeight="true" outlineLevel="0" collapsed="false">
      <c r="A31" s="7" t="s">
        <v>45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292</v>
      </c>
      <c r="C32" s="54" t="n">
        <f aca="false">Headcount!C17</f>
        <v>-49466.6666666667</v>
      </c>
      <c r="D32" s="54" t="n">
        <f aca="false">Headcount!D17</f>
        <v>-49466.6666666667</v>
      </c>
      <c r="E32" s="54" t="n">
        <f aca="false">Headcount!E17</f>
        <v>-49466.6666666667</v>
      </c>
      <c r="F32" s="54" t="n">
        <f aca="false">Headcount!F17</f>
        <v>-49466.6666666667</v>
      </c>
      <c r="G32" s="54" t="n">
        <f aca="false">Headcount!G17</f>
        <v>-49466.6666666667</v>
      </c>
      <c r="H32" s="54" t="n">
        <f aca="false">Headcount!H17</f>
        <v>-49466.6666666667</v>
      </c>
      <c r="I32" s="54" t="n">
        <f aca="false">Headcount!I17</f>
        <v>-49466.6666666667</v>
      </c>
      <c r="J32" s="54" t="n">
        <f aca="false">Headcount!J17</f>
        <v>-49466.6666666667</v>
      </c>
      <c r="K32" s="54" t="n">
        <f aca="false">Headcount!K17</f>
        <v>-49466.6666666667</v>
      </c>
      <c r="L32" s="54" t="n">
        <f aca="false">Headcount!L17</f>
        <v>-49466.6666666667</v>
      </c>
      <c r="M32" s="54" t="n">
        <f aca="false">Headcount!M17</f>
        <v>-49466.6666666667</v>
      </c>
      <c r="N32" s="54" t="n">
        <f aca="false">Headcount!N17</f>
        <v>-49466.6666666667</v>
      </c>
      <c r="O32" s="54" t="n">
        <f aca="false">Headcount!O17</f>
        <v>-53471.2826666667</v>
      </c>
      <c r="P32" s="54" t="n">
        <f aca="false">Headcount!P17</f>
        <v>-53471.2826666667</v>
      </c>
      <c r="Q32" s="54" t="n">
        <f aca="false">Headcount!Q17</f>
        <v>-53471.2826666667</v>
      </c>
      <c r="R32" s="54" t="n">
        <f aca="false">Headcount!R17</f>
        <v>-53471.2826666667</v>
      </c>
      <c r="S32" s="54" t="n">
        <f aca="false">Headcount!S17</f>
        <v>-53471.2826666667</v>
      </c>
      <c r="T32" s="54" t="n">
        <f aca="false">Headcount!T17</f>
        <v>-53471.2826666667</v>
      </c>
      <c r="U32" s="54" t="n">
        <f aca="false">Headcount!U17</f>
        <v>-53471.2826666667</v>
      </c>
      <c r="V32" s="54" t="n">
        <f aca="false">Headcount!V17</f>
        <v>-53471.2826666667</v>
      </c>
      <c r="W32" s="54" t="n">
        <f aca="false">Headcount!W17</f>
        <v>-53471.2826666667</v>
      </c>
      <c r="X32" s="54" t="n">
        <f aca="false">Headcount!X17</f>
        <v>-53471.2826666667</v>
      </c>
      <c r="Y32" s="54" t="n">
        <f aca="false">Headcount!Y17</f>
        <v>-53471.2826666667</v>
      </c>
      <c r="Z32" s="54" t="n">
        <f aca="false">Headcount!Z17</f>
        <v>-53471.2826666667</v>
      </c>
      <c r="AA32" s="54" t="n">
        <f aca="false">Headcount!AA17</f>
        <v>-57827.4296954667</v>
      </c>
      <c r="AB32" s="54" t="n">
        <f aca="false">Headcount!AB17</f>
        <v>-57827.4296954667</v>
      </c>
      <c r="AC32" s="54" t="n">
        <f aca="false">Headcount!AC17</f>
        <v>-57827.4296954667</v>
      </c>
      <c r="AD32" s="54" t="n">
        <f aca="false">Headcount!AD17</f>
        <v>-57827.4296954667</v>
      </c>
      <c r="AE32" s="54" t="n">
        <f aca="false">Headcount!AE17</f>
        <v>-57827.4296954667</v>
      </c>
      <c r="AF32" s="54" t="n">
        <f aca="false">Headcount!AF17</f>
        <v>-57827.4296954667</v>
      </c>
      <c r="AG32" s="54" t="n">
        <f aca="false">Headcount!AG17</f>
        <v>-57827.4296954667</v>
      </c>
      <c r="AH32" s="54" t="n">
        <f aca="false">Headcount!AH17</f>
        <v>-57827.4296954667</v>
      </c>
      <c r="AI32" s="54" t="n">
        <f aca="false">Headcount!AI17</f>
        <v>-57827.4296954667</v>
      </c>
      <c r="AJ32" s="54" t="n">
        <f aca="false">Headcount!AJ17</f>
        <v>-57827.4296954667</v>
      </c>
      <c r="AK32" s="54" t="n">
        <f aca="false">Headcount!AK17</f>
        <v>-57827.4296954667</v>
      </c>
      <c r="AL32" s="54" t="n">
        <f aca="false">Headcount!AL17</f>
        <v>-57827.4296954667</v>
      </c>
    </row>
    <row r="33" customFormat="false" ht="15" hidden="false" customHeight="false" outlineLevel="0" collapsed="false">
      <c r="A33" s="6" t="s">
        <v>293</v>
      </c>
      <c r="C33" s="52" t="n">
        <f aca="false">-Inputs!$E$30*1</f>
        <v>-12000</v>
      </c>
      <c r="D33" s="52" t="n">
        <f aca="false">-Inputs!$E$30*1</f>
        <v>-12000</v>
      </c>
      <c r="E33" s="52" t="n">
        <f aca="false">-Inputs!$E$30*1</f>
        <v>-12000</v>
      </c>
      <c r="F33" s="52" t="n">
        <f aca="false">-Inputs!$E$30*1</f>
        <v>-12000</v>
      </c>
      <c r="G33" s="52" t="n">
        <f aca="false">-Inputs!$E$30*1</f>
        <v>-12000</v>
      </c>
      <c r="H33" s="52" t="n">
        <f aca="false">-Inputs!$E$30*1</f>
        <v>-12000</v>
      </c>
      <c r="I33" s="52" t="n">
        <f aca="false">-Inputs!$E$30*1</f>
        <v>-12000</v>
      </c>
      <c r="J33" s="52" t="n">
        <f aca="false">-Inputs!$E$30*1</f>
        <v>-12000</v>
      </c>
      <c r="K33" s="52" t="n">
        <f aca="false">-Inputs!$E$30*1</f>
        <v>-12000</v>
      </c>
      <c r="L33" s="52" t="n">
        <f aca="false">-Inputs!$E$30*1</f>
        <v>-12000</v>
      </c>
      <c r="M33" s="52" t="n">
        <f aca="false">-Inputs!$E$30*1</f>
        <v>-12000</v>
      </c>
      <c r="N33" s="52" t="n">
        <f aca="false">-Inputs!$E$30*1</f>
        <v>-12000</v>
      </c>
      <c r="O33" s="52" t="n">
        <f aca="false">-Inputs!$E$30*1</f>
        <v>-12000</v>
      </c>
      <c r="P33" s="52" t="n">
        <f aca="false">-Inputs!$E$30*1</f>
        <v>-12000</v>
      </c>
      <c r="Q33" s="52" t="n">
        <f aca="false">-Inputs!$E$30*1</f>
        <v>-12000</v>
      </c>
      <c r="R33" s="52" t="n">
        <f aca="false">-Inputs!$E$30*1</f>
        <v>-12000</v>
      </c>
      <c r="S33" s="52" t="n">
        <f aca="false">-Inputs!$E$30*1</f>
        <v>-12000</v>
      </c>
      <c r="T33" s="52" t="n">
        <f aca="false">-Inputs!$E$30*1</f>
        <v>-12000</v>
      </c>
      <c r="U33" s="52" t="n">
        <f aca="false">-Inputs!$E$30*1</f>
        <v>-12000</v>
      </c>
      <c r="V33" s="52" t="n">
        <f aca="false">-Inputs!$E$30*1</f>
        <v>-12000</v>
      </c>
      <c r="W33" s="52" t="n">
        <f aca="false">-Inputs!$E$30*1</f>
        <v>-12000</v>
      </c>
      <c r="X33" s="52" t="n">
        <f aca="false">-Inputs!$E$30*1</f>
        <v>-12000</v>
      </c>
      <c r="Y33" s="52" t="n">
        <f aca="false">-Inputs!$E$30*1</f>
        <v>-12000</v>
      </c>
      <c r="Z33" s="52" t="n">
        <f aca="false">-Inputs!$E$30*1</f>
        <v>-12000</v>
      </c>
      <c r="AA33" s="52" t="n">
        <f aca="false">-Inputs!$E$30*1</f>
        <v>-12000</v>
      </c>
      <c r="AB33" s="52" t="n">
        <f aca="false">-Inputs!$E$30*1</f>
        <v>-12000</v>
      </c>
      <c r="AC33" s="52" t="n">
        <f aca="false">-Inputs!$E$30*1</f>
        <v>-12000</v>
      </c>
      <c r="AD33" s="52" t="n">
        <f aca="false">-Inputs!$E$30*1</f>
        <v>-12000</v>
      </c>
      <c r="AE33" s="52" t="n">
        <f aca="false">-Inputs!$E$30*1</f>
        <v>-12000</v>
      </c>
      <c r="AF33" s="52" t="n">
        <f aca="false">-Inputs!$E$30*1</f>
        <v>-12000</v>
      </c>
      <c r="AG33" s="52" t="n">
        <f aca="false">-Inputs!$E$30*1</f>
        <v>-12000</v>
      </c>
      <c r="AH33" s="52" t="n">
        <f aca="false">-Inputs!$E$30*1</f>
        <v>-12000</v>
      </c>
      <c r="AI33" s="52" t="n">
        <f aca="false">-Inputs!$E$30*1</f>
        <v>-12000</v>
      </c>
      <c r="AJ33" s="52" t="n">
        <f aca="false">-Inputs!$E$30*1</f>
        <v>-12000</v>
      </c>
      <c r="AK33" s="52" t="n">
        <f aca="false">-Inputs!$E$30*1</f>
        <v>-12000</v>
      </c>
      <c r="AL33" s="52" t="n">
        <f aca="false">-Inputs!$E$30*1</f>
        <v>-12000</v>
      </c>
    </row>
    <row r="34" customFormat="false" ht="15" hidden="false" customHeight="false" outlineLevel="0" collapsed="false">
      <c r="A34" s="6" t="s">
        <v>294</v>
      </c>
      <c r="C34" s="52" t="n">
        <f aca="false">-Inputs!$E$31*1</f>
        <v>-4000</v>
      </c>
      <c r="D34" s="52" t="n">
        <f aca="false">-Inputs!$E$31*1</f>
        <v>-4000</v>
      </c>
      <c r="E34" s="52" t="n">
        <f aca="false">-Inputs!$E$31*1</f>
        <v>-4000</v>
      </c>
      <c r="F34" s="52" t="n">
        <f aca="false">-Inputs!$E$31*1</f>
        <v>-4000</v>
      </c>
      <c r="G34" s="52" t="n">
        <f aca="false">-Inputs!$E$31*1</f>
        <v>-4000</v>
      </c>
      <c r="H34" s="52" t="n">
        <f aca="false">-Inputs!$E$31*1</f>
        <v>-4000</v>
      </c>
      <c r="I34" s="52" t="n">
        <f aca="false">-Inputs!$E$31*1</f>
        <v>-4000</v>
      </c>
      <c r="J34" s="52" t="n">
        <f aca="false">-Inputs!$E$31*1</f>
        <v>-4000</v>
      </c>
      <c r="K34" s="52" t="n">
        <f aca="false">-Inputs!$E$31*1</f>
        <v>-4000</v>
      </c>
      <c r="L34" s="52" t="n">
        <f aca="false">-Inputs!$E$31*1</f>
        <v>-4000</v>
      </c>
      <c r="M34" s="52" t="n">
        <f aca="false">-Inputs!$E$31*1</f>
        <v>-4000</v>
      </c>
      <c r="N34" s="52" t="n">
        <f aca="false">-Inputs!$E$31*1</f>
        <v>-4000</v>
      </c>
      <c r="O34" s="52" t="n">
        <f aca="false">-Inputs!$E$31*1</f>
        <v>-4000</v>
      </c>
      <c r="P34" s="52" t="n">
        <f aca="false">-Inputs!$E$31*1</f>
        <v>-4000</v>
      </c>
      <c r="Q34" s="52" t="n">
        <f aca="false">-Inputs!$E$31*1</f>
        <v>-4000</v>
      </c>
      <c r="R34" s="52" t="n">
        <f aca="false">-Inputs!$E$31*1</f>
        <v>-4000</v>
      </c>
      <c r="S34" s="52" t="n">
        <f aca="false">-Inputs!$E$31*1</f>
        <v>-4000</v>
      </c>
      <c r="T34" s="52" t="n">
        <f aca="false">-Inputs!$E$31*1</f>
        <v>-4000</v>
      </c>
      <c r="U34" s="52" t="n">
        <f aca="false">-Inputs!$E$31*1</f>
        <v>-4000</v>
      </c>
      <c r="V34" s="52" t="n">
        <f aca="false">-Inputs!$E$31*1</f>
        <v>-4000</v>
      </c>
      <c r="W34" s="52" t="n">
        <f aca="false">-Inputs!$E$31*1</f>
        <v>-4000</v>
      </c>
      <c r="X34" s="52" t="n">
        <f aca="false">-Inputs!$E$31*1</f>
        <v>-4000</v>
      </c>
      <c r="Y34" s="52" t="n">
        <f aca="false">-Inputs!$E$31*1</f>
        <v>-4000</v>
      </c>
      <c r="Z34" s="52" t="n">
        <f aca="false">-Inputs!$E$31*1</f>
        <v>-4000</v>
      </c>
      <c r="AA34" s="52" t="n">
        <f aca="false">-Inputs!$E$31*1</f>
        <v>-4000</v>
      </c>
      <c r="AB34" s="52" t="n">
        <f aca="false">-Inputs!$E$31*1</f>
        <v>-4000</v>
      </c>
      <c r="AC34" s="52" t="n">
        <f aca="false">-Inputs!$E$31*1</f>
        <v>-4000</v>
      </c>
      <c r="AD34" s="52" t="n">
        <f aca="false">-Inputs!$E$31*1</f>
        <v>-4000</v>
      </c>
      <c r="AE34" s="52" t="n">
        <f aca="false">-Inputs!$E$31*1</f>
        <v>-4000</v>
      </c>
      <c r="AF34" s="52" t="n">
        <f aca="false">-Inputs!$E$31*1</f>
        <v>-4000</v>
      </c>
      <c r="AG34" s="52" t="n">
        <f aca="false">-Inputs!$E$31*1</f>
        <v>-4000</v>
      </c>
      <c r="AH34" s="52" t="n">
        <f aca="false">-Inputs!$E$31*1</f>
        <v>-4000</v>
      </c>
      <c r="AI34" s="52" t="n">
        <f aca="false">-Inputs!$E$31*1</f>
        <v>-4000</v>
      </c>
      <c r="AJ34" s="52" t="n">
        <f aca="false">-Inputs!$E$31*1</f>
        <v>-4000</v>
      </c>
      <c r="AK34" s="52" t="n">
        <f aca="false">-Inputs!$E$31*1</f>
        <v>-4000</v>
      </c>
      <c r="AL34" s="52" t="n">
        <f aca="false">-Inputs!$E$31*1</f>
        <v>-4000</v>
      </c>
    </row>
    <row r="35" customFormat="false" ht="15" hidden="false" customHeight="false" outlineLevel="0" collapsed="false">
      <c r="A35" s="6" t="s">
        <v>295</v>
      </c>
      <c r="C35" s="52" t="n">
        <f aca="false">-C17*Inputs!$E$20*52/12*1*Inputs!$E$21</f>
        <v>-2808</v>
      </c>
      <c r="D35" s="52" t="n">
        <f aca="false">-D17*Inputs!$E$20*52/12*1*Inputs!$E$21</f>
        <v>-2964</v>
      </c>
      <c r="E35" s="52" t="n">
        <f aca="false">-E17*Inputs!$E$20*52/12*1*Inputs!$E$21</f>
        <v>-3120</v>
      </c>
      <c r="F35" s="52" t="n">
        <f aca="false">-F17*Inputs!$E$20*52/12*1*Inputs!$E$21</f>
        <v>-3120</v>
      </c>
      <c r="G35" s="52" t="n">
        <f aca="false">-G17*Inputs!$E$20*52/12*1*Inputs!$E$21</f>
        <v>-3120</v>
      </c>
      <c r="H35" s="52" t="n">
        <f aca="false">-H17*Inputs!$E$20*52/12*1*Inputs!$E$21</f>
        <v>-3120</v>
      </c>
      <c r="I35" s="52" t="n">
        <f aca="false">-I17*Inputs!$E$20*52/12*1*Inputs!$E$21</f>
        <v>-3120</v>
      </c>
      <c r="J35" s="52" t="n">
        <f aca="false">-J17*Inputs!$E$20*52/12*1*Inputs!$E$21</f>
        <v>-3120</v>
      </c>
      <c r="K35" s="52" t="n">
        <f aca="false">-K17*Inputs!$E$20*52/12*1*Inputs!$E$21</f>
        <v>-3120</v>
      </c>
      <c r="L35" s="52" t="n">
        <f aca="false">-L17*Inputs!$E$20*52/12*1*Inputs!$E$21</f>
        <v>-3120</v>
      </c>
      <c r="M35" s="52" t="n">
        <f aca="false">-M17*Inputs!$E$20*52/12*1*Inputs!$E$21</f>
        <v>-3120</v>
      </c>
      <c r="N35" s="52" t="n">
        <f aca="false">-N17*Inputs!$E$20*52/12*1*Inputs!$E$21</f>
        <v>-3120</v>
      </c>
      <c r="O35" s="52" t="n">
        <f aca="false">-O17*Inputs!$E$20*52/12*1*Inputs!$E$21</f>
        <v>-3494.4</v>
      </c>
      <c r="P35" s="52" t="n">
        <f aca="false">-P17*Inputs!$E$20*52/12*1*Inputs!$E$21</f>
        <v>-3494.4</v>
      </c>
      <c r="Q35" s="52" t="n">
        <f aca="false">-Q17*Inputs!$E$20*52/12*1*Inputs!$E$21</f>
        <v>-3494.4</v>
      </c>
      <c r="R35" s="52" t="n">
        <f aca="false">-R17*Inputs!$E$20*52/12*1*Inputs!$E$21</f>
        <v>-3494.4</v>
      </c>
      <c r="S35" s="52" t="n">
        <f aca="false">-S17*Inputs!$E$20*52/12*1*Inputs!$E$21</f>
        <v>-3494.4</v>
      </c>
      <c r="T35" s="52" t="n">
        <f aca="false">-T17*Inputs!$E$20*52/12*1*Inputs!$E$21</f>
        <v>-3494.4</v>
      </c>
      <c r="U35" s="52" t="n">
        <f aca="false">-U17*Inputs!$E$20*52/12*1*Inputs!$E$21</f>
        <v>-3494.4</v>
      </c>
      <c r="V35" s="52" t="n">
        <f aca="false">-V17*Inputs!$E$20*52/12*1*Inputs!$E$21</f>
        <v>-3494.4</v>
      </c>
      <c r="W35" s="52" t="n">
        <f aca="false">-W17*Inputs!$E$20*52/12*1*Inputs!$E$21</f>
        <v>-3494.4</v>
      </c>
      <c r="X35" s="52" t="n">
        <f aca="false">-X17*Inputs!$E$20*52/12*1*Inputs!$E$21</f>
        <v>-3494.4</v>
      </c>
      <c r="Y35" s="52" t="n">
        <f aca="false">-Y17*Inputs!$E$20*52/12*1*Inputs!$E$21</f>
        <v>-3494.4</v>
      </c>
      <c r="Z35" s="52" t="n">
        <f aca="false">-Z17*Inputs!$E$20*52/12*1*Inputs!$E$21</f>
        <v>-3494.4</v>
      </c>
      <c r="AA35" s="52" t="n">
        <f aca="false">-AA17*Inputs!$E$20*52/12*1*Inputs!$E$21</f>
        <v>-3913.728</v>
      </c>
      <c r="AB35" s="52" t="n">
        <f aca="false">-AB17*Inputs!$E$20*52/12*1*Inputs!$E$21</f>
        <v>-3913.728</v>
      </c>
      <c r="AC35" s="52" t="n">
        <f aca="false">-AC17*Inputs!$E$20*52/12*1*Inputs!$E$21</f>
        <v>-3913.728</v>
      </c>
      <c r="AD35" s="52" t="n">
        <f aca="false">-AD17*Inputs!$E$20*52/12*1*Inputs!$E$21</f>
        <v>-3913.728</v>
      </c>
      <c r="AE35" s="52" t="n">
        <f aca="false">-AE17*Inputs!$E$20*52/12*1*Inputs!$E$21</f>
        <v>-3913.728</v>
      </c>
      <c r="AF35" s="52" t="n">
        <f aca="false">-AF17*Inputs!$E$20*52/12*1*Inputs!$E$21</f>
        <v>-3913.728</v>
      </c>
      <c r="AG35" s="52" t="n">
        <f aca="false">-AG17*Inputs!$E$20*52/12*1*Inputs!$E$21</f>
        <v>-3913.728</v>
      </c>
      <c r="AH35" s="52" t="n">
        <f aca="false">-AH17*Inputs!$E$20*52/12*1*Inputs!$E$21</f>
        <v>-3913.728</v>
      </c>
      <c r="AI35" s="52" t="n">
        <f aca="false">-AI17*Inputs!$E$20*52/12*1*Inputs!$E$21</f>
        <v>-3913.728</v>
      </c>
      <c r="AJ35" s="52" t="n">
        <f aca="false">-AJ17*Inputs!$E$20*52/12*1*Inputs!$E$21</f>
        <v>-3913.728</v>
      </c>
      <c r="AK35" s="52" t="n">
        <f aca="false">-AK17*Inputs!$E$20*52/12*1*Inputs!$E$21</f>
        <v>-3913.728</v>
      </c>
      <c r="AL35" s="52" t="n">
        <f aca="false">-AL17*Inputs!$E$20*52/12*1*Inputs!$E$21</f>
        <v>-3913.728</v>
      </c>
    </row>
    <row r="36" customFormat="false" ht="15" hidden="false" customHeight="false" outlineLevel="0" collapsed="false">
      <c r="A36" s="6" t="s">
        <v>296</v>
      </c>
      <c r="C36" s="52" t="n">
        <f aca="false">-Inputs!$E$32*1</f>
        <v>-1000</v>
      </c>
      <c r="D36" s="52" t="n">
        <f aca="false">-Inputs!$E$32*1</f>
        <v>-1000</v>
      </c>
      <c r="E36" s="52" t="n">
        <f aca="false">-Inputs!$E$32*1</f>
        <v>-1000</v>
      </c>
      <c r="F36" s="52" t="n">
        <f aca="false">-Inputs!$E$32*1</f>
        <v>-1000</v>
      </c>
      <c r="G36" s="52" t="n">
        <f aca="false">-Inputs!$E$32*1</f>
        <v>-1000</v>
      </c>
      <c r="H36" s="52" t="n">
        <f aca="false">-Inputs!$E$32*1</f>
        <v>-1000</v>
      </c>
      <c r="I36" s="52" t="n">
        <f aca="false">-Inputs!$E$32*1</f>
        <v>-1000</v>
      </c>
      <c r="J36" s="52" t="n">
        <f aca="false">-Inputs!$E$32*1</f>
        <v>-1000</v>
      </c>
      <c r="K36" s="52" t="n">
        <f aca="false">-Inputs!$E$32*1</f>
        <v>-1000</v>
      </c>
      <c r="L36" s="52" t="n">
        <f aca="false">-Inputs!$E$32*1</f>
        <v>-1000</v>
      </c>
      <c r="M36" s="52" t="n">
        <f aca="false">-Inputs!$E$32*1</f>
        <v>-1000</v>
      </c>
      <c r="N36" s="52" t="n">
        <f aca="false">-Inputs!$E$32*1</f>
        <v>-1000</v>
      </c>
      <c r="O36" s="52" t="n">
        <f aca="false">-Inputs!$E$32*1</f>
        <v>-1000</v>
      </c>
      <c r="P36" s="52" t="n">
        <f aca="false">-Inputs!$E$32*1</f>
        <v>-1000</v>
      </c>
      <c r="Q36" s="52" t="n">
        <f aca="false">-Inputs!$E$32*1</f>
        <v>-1000</v>
      </c>
      <c r="R36" s="52" t="n">
        <f aca="false">-Inputs!$E$32*1</f>
        <v>-1000</v>
      </c>
      <c r="S36" s="52" t="n">
        <f aca="false">-Inputs!$E$32*1</f>
        <v>-1000</v>
      </c>
      <c r="T36" s="52" t="n">
        <f aca="false">-Inputs!$E$32*1</f>
        <v>-1000</v>
      </c>
      <c r="U36" s="52" t="n">
        <f aca="false">-Inputs!$E$32*1</f>
        <v>-1000</v>
      </c>
      <c r="V36" s="52" t="n">
        <f aca="false">-Inputs!$E$32*1</f>
        <v>-1000</v>
      </c>
      <c r="W36" s="52" t="n">
        <f aca="false">-Inputs!$E$32*1</f>
        <v>-1000</v>
      </c>
      <c r="X36" s="52" t="n">
        <f aca="false">-Inputs!$E$32*1</f>
        <v>-1000</v>
      </c>
      <c r="Y36" s="52" t="n">
        <f aca="false">-Inputs!$E$32*1</f>
        <v>-1000</v>
      </c>
      <c r="Z36" s="52" t="n">
        <f aca="false">-Inputs!$E$32*1</f>
        <v>-1000</v>
      </c>
      <c r="AA36" s="52" t="n">
        <f aca="false">-Inputs!$E$32*1</f>
        <v>-1000</v>
      </c>
      <c r="AB36" s="52" t="n">
        <f aca="false">-Inputs!$E$32*1</f>
        <v>-1000</v>
      </c>
      <c r="AC36" s="52" t="n">
        <f aca="false">-Inputs!$E$32*1</f>
        <v>-1000</v>
      </c>
      <c r="AD36" s="52" t="n">
        <f aca="false">-Inputs!$E$32*1</f>
        <v>-1000</v>
      </c>
      <c r="AE36" s="52" t="n">
        <f aca="false">-Inputs!$E$32*1</f>
        <v>-1000</v>
      </c>
      <c r="AF36" s="52" t="n">
        <f aca="false">-Inputs!$E$32*1</f>
        <v>-1000</v>
      </c>
      <c r="AG36" s="52" t="n">
        <f aca="false">-Inputs!$E$32*1</f>
        <v>-1000</v>
      </c>
      <c r="AH36" s="52" t="n">
        <f aca="false">-Inputs!$E$32*1</f>
        <v>-1000</v>
      </c>
      <c r="AI36" s="52" t="n">
        <f aca="false">-Inputs!$E$32*1</f>
        <v>-1000</v>
      </c>
      <c r="AJ36" s="52" t="n">
        <f aca="false">-Inputs!$E$32*1</f>
        <v>-1000</v>
      </c>
      <c r="AK36" s="52" t="n">
        <f aca="false">-Inputs!$E$32*1</f>
        <v>-1000</v>
      </c>
      <c r="AL36" s="52" t="n">
        <f aca="false">-Inputs!$E$32*1</f>
        <v>-1000</v>
      </c>
    </row>
    <row r="37" customFormat="false" ht="15" hidden="false" customHeight="false" outlineLevel="0" collapsed="false">
      <c r="A37" s="6" t="s">
        <v>297</v>
      </c>
      <c r="C37" s="52" t="n">
        <f aca="false">-C22*Inputs!$E$33</f>
        <v>-2327.2704</v>
      </c>
      <c r="D37" s="52" t="n">
        <f aca="false">-D22*Inputs!$E$33</f>
        <v>-2456.5632</v>
      </c>
      <c r="E37" s="52" t="n">
        <f aca="false">-E22*Inputs!$E$33</f>
        <v>-2585.856</v>
      </c>
      <c r="F37" s="52" t="n">
        <f aca="false">-F22*Inputs!$E$33</f>
        <v>-2585.856</v>
      </c>
      <c r="G37" s="52" t="n">
        <f aca="false">-G22*Inputs!$E$33</f>
        <v>-2585.856</v>
      </c>
      <c r="H37" s="52" t="n">
        <f aca="false">-H22*Inputs!$E$33</f>
        <v>-2585.856</v>
      </c>
      <c r="I37" s="52" t="n">
        <f aca="false">-I22*Inputs!$E$33</f>
        <v>-2585.856</v>
      </c>
      <c r="J37" s="52" t="n">
        <f aca="false">-J22*Inputs!$E$33</f>
        <v>-2585.856</v>
      </c>
      <c r="K37" s="52" t="n">
        <f aca="false">-K22*Inputs!$E$33</f>
        <v>-2585.856</v>
      </c>
      <c r="L37" s="52" t="n">
        <f aca="false">-L22*Inputs!$E$33</f>
        <v>-2585.856</v>
      </c>
      <c r="M37" s="52" t="n">
        <f aca="false">-M22*Inputs!$E$33</f>
        <v>-3045.12</v>
      </c>
      <c r="N37" s="52" t="n">
        <f aca="false">-N22*Inputs!$E$33</f>
        <v>-3045.12</v>
      </c>
      <c r="O37" s="52" t="n">
        <f aca="false">-O22*Inputs!$E$33</f>
        <v>-2812.7483904</v>
      </c>
      <c r="P37" s="52" t="n">
        <f aca="false">-P22*Inputs!$E$33</f>
        <v>-2812.7483904</v>
      </c>
      <c r="Q37" s="52" t="n">
        <f aca="false">-Q22*Inputs!$E$33</f>
        <v>-2812.7483904</v>
      </c>
      <c r="R37" s="52" t="n">
        <f aca="false">-R22*Inputs!$E$33</f>
        <v>-2812.7483904</v>
      </c>
      <c r="S37" s="52" t="n">
        <f aca="false">-S22*Inputs!$E$33</f>
        <v>-2812.7483904</v>
      </c>
      <c r="T37" s="52" t="n">
        <f aca="false">-T22*Inputs!$E$33</f>
        <v>-2812.7483904</v>
      </c>
      <c r="U37" s="52" t="n">
        <f aca="false">-U22*Inputs!$E$33</f>
        <v>-2812.7483904</v>
      </c>
      <c r="V37" s="52" t="n">
        <f aca="false">-V22*Inputs!$E$33</f>
        <v>-2812.7483904</v>
      </c>
      <c r="W37" s="52" t="n">
        <f aca="false">-W22*Inputs!$E$33</f>
        <v>-2812.7483904</v>
      </c>
      <c r="X37" s="52" t="n">
        <f aca="false">-X22*Inputs!$E$33</f>
        <v>-2812.7483904</v>
      </c>
      <c r="Y37" s="52" t="n">
        <f aca="false">-Y22*Inputs!$E$33</f>
        <v>-3299.981568</v>
      </c>
      <c r="Z37" s="52" t="n">
        <f aca="false">-Z22*Inputs!$E$33</f>
        <v>-3299.981568</v>
      </c>
      <c r="AA37" s="52" t="n">
        <f aca="false">-AA22*Inputs!$E$33</f>
        <v>-3064.12048091136</v>
      </c>
      <c r="AB37" s="52" t="n">
        <f aca="false">-AB22*Inputs!$E$33</f>
        <v>-3064.12048091136</v>
      </c>
      <c r="AC37" s="52" t="n">
        <f aca="false">-AC22*Inputs!$E$33</f>
        <v>-3064.12048091136</v>
      </c>
      <c r="AD37" s="52" t="n">
        <f aca="false">-AD22*Inputs!$E$33</f>
        <v>-3064.12048091136</v>
      </c>
      <c r="AE37" s="52" t="n">
        <f aca="false">-AE22*Inputs!$E$33</f>
        <v>-3064.12048091136</v>
      </c>
      <c r="AF37" s="52" t="n">
        <f aca="false">-AF22*Inputs!$E$33</f>
        <v>-3064.12048091136</v>
      </c>
      <c r="AG37" s="52" t="n">
        <f aca="false">-AG22*Inputs!$E$33</f>
        <v>-3064.12048091136</v>
      </c>
      <c r="AH37" s="52" t="n">
        <f aca="false">-AH22*Inputs!$E$33</f>
        <v>-3064.12048091136</v>
      </c>
      <c r="AI37" s="52" t="n">
        <f aca="false">-AI22*Inputs!$E$33</f>
        <v>-3064.12048091136</v>
      </c>
      <c r="AJ37" s="52" t="n">
        <f aca="false">-AJ22*Inputs!$E$33</f>
        <v>-3064.12048091136</v>
      </c>
      <c r="AK37" s="52" t="n">
        <f aca="false">-AK22*Inputs!$E$33</f>
        <v>-3581.0261590272</v>
      </c>
      <c r="AL37" s="52" t="n">
        <f aca="false">-AL22*Inputs!$E$33</f>
        <v>-3581.0261590272</v>
      </c>
    </row>
    <row r="38" customFormat="false" ht="15" hidden="false" customHeight="false" outlineLevel="0" collapsed="false">
      <c r="A38" s="6" t="s">
        <v>298</v>
      </c>
      <c r="C38" s="52" t="n">
        <f aca="false">-C14*Inputs!$E$34</f>
        <v>-2314.69056</v>
      </c>
      <c r="D38" s="52" t="n">
        <f aca="false">-D14*Inputs!$E$34</f>
        <v>-2443.28448</v>
      </c>
      <c r="E38" s="52" t="n">
        <f aca="false">-E14*Inputs!$E$34</f>
        <v>-2571.8784</v>
      </c>
      <c r="F38" s="52" t="n">
        <f aca="false">-F14*Inputs!$E$34</f>
        <v>-2571.8784</v>
      </c>
      <c r="G38" s="52" t="n">
        <f aca="false">-G14*Inputs!$E$34</f>
        <v>-2571.8784</v>
      </c>
      <c r="H38" s="52" t="n">
        <f aca="false">-H14*Inputs!$E$34</f>
        <v>-2571.8784</v>
      </c>
      <c r="I38" s="52" t="n">
        <f aca="false">-I14*Inputs!$E$34</f>
        <v>-2571.8784</v>
      </c>
      <c r="J38" s="52" t="n">
        <f aca="false">-J14*Inputs!$E$34</f>
        <v>-2571.8784</v>
      </c>
      <c r="K38" s="52" t="n">
        <f aca="false">-K14*Inputs!$E$34</f>
        <v>-2571.8784</v>
      </c>
      <c r="L38" s="52" t="n">
        <f aca="false">-L14*Inputs!$E$34</f>
        <v>-2571.8784</v>
      </c>
      <c r="M38" s="52" t="n">
        <f aca="false">-M14*Inputs!$E$34</f>
        <v>-3214.848</v>
      </c>
      <c r="N38" s="52" t="n">
        <f aca="false">-N14*Inputs!$E$34</f>
        <v>-3214.848</v>
      </c>
      <c r="O38" s="52" t="n">
        <f aca="false">-O14*Inputs!$E$34</f>
        <v>-2728.50579456</v>
      </c>
      <c r="P38" s="52" t="n">
        <f aca="false">-P14*Inputs!$E$34</f>
        <v>-2728.50579456</v>
      </c>
      <c r="Q38" s="52" t="n">
        <f aca="false">-Q14*Inputs!$E$34</f>
        <v>-2728.50579456</v>
      </c>
      <c r="R38" s="52" t="n">
        <f aca="false">-R14*Inputs!$E$34</f>
        <v>-2728.50579456</v>
      </c>
      <c r="S38" s="52" t="n">
        <f aca="false">-S14*Inputs!$E$34</f>
        <v>-2728.50579456</v>
      </c>
      <c r="T38" s="52" t="n">
        <f aca="false">-T14*Inputs!$E$34</f>
        <v>-2728.50579456</v>
      </c>
      <c r="U38" s="52" t="n">
        <f aca="false">-U14*Inputs!$E$34</f>
        <v>-2728.50579456</v>
      </c>
      <c r="V38" s="52" t="n">
        <f aca="false">-V14*Inputs!$E$34</f>
        <v>-2728.50579456</v>
      </c>
      <c r="W38" s="52" t="n">
        <f aca="false">-W14*Inputs!$E$34</f>
        <v>-2728.50579456</v>
      </c>
      <c r="X38" s="52" t="n">
        <f aca="false">-X14*Inputs!$E$34</f>
        <v>-2728.50579456</v>
      </c>
      <c r="Y38" s="52" t="n">
        <f aca="false">-Y14*Inputs!$E$34</f>
        <v>-3410.6322432</v>
      </c>
      <c r="Z38" s="52" t="n">
        <f aca="false">-Z14*Inputs!$E$34</f>
        <v>-3410.6322432</v>
      </c>
      <c r="AA38" s="52" t="n">
        <f aca="false">-AA14*Inputs!$E$34</f>
        <v>-2894.6717974487</v>
      </c>
      <c r="AB38" s="52" t="n">
        <f aca="false">-AB14*Inputs!$E$34</f>
        <v>-2894.6717974487</v>
      </c>
      <c r="AC38" s="52" t="n">
        <f aca="false">-AC14*Inputs!$E$34</f>
        <v>-2894.6717974487</v>
      </c>
      <c r="AD38" s="52" t="n">
        <f aca="false">-AD14*Inputs!$E$34</f>
        <v>-2894.6717974487</v>
      </c>
      <c r="AE38" s="52" t="n">
        <f aca="false">-AE14*Inputs!$E$34</f>
        <v>-2894.6717974487</v>
      </c>
      <c r="AF38" s="52" t="n">
        <f aca="false">-AF14*Inputs!$E$34</f>
        <v>-2894.6717974487</v>
      </c>
      <c r="AG38" s="52" t="n">
        <f aca="false">-AG14*Inputs!$E$34</f>
        <v>-2894.6717974487</v>
      </c>
      <c r="AH38" s="52" t="n">
        <f aca="false">-AH14*Inputs!$E$34</f>
        <v>-2894.6717974487</v>
      </c>
      <c r="AI38" s="52" t="n">
        <f aca="false">-AI14*Inputs!$E$34</f>
        <v>-2894.6717974487</v>
      </c>
      <c r="AJ38" s="52" t="n">
        <f aca="false">-AJ14*Inputs!$E$34</f>
        <v>-2894.6717974487</v>
      </c>
      <c r="AK38" s="52" t="n">
        <f aca="false">-AK14*Inputs!$E$34</f>
        <v>-3618.33974681088</v>
      </c>
      <c r="AL38" s="52" t="n">
        <f aca="false">-AL14*Inputs!$E$34</f>
        <v>-3618.33974681088</v>
      </c>
    </row>
    <row r="39" customFormat="false" ht="15" hidden="false" customHeight="false" outlineLevel="0" collapsed="false">
      <c r="A39" s="6" t="s">
        <v>299</v>
      </c>
      <c r="C39" s="52" t="n">
        <f aca="false">-Inputs!$E$35*1</f>
        <v>-2800</v>
      </c>
      <c r="D39" s="52" t="n">
        <f aca="false">-Inputs!$E$35*1</f>
        <v>-2800</v>
      </c>
      <c r="E39" s="52" t="n">
        <f aca="false">-Inputs!$E$35*1</f>
        <v>-2800</v>
      </c>
      <c r="F39" s="52" t="n">
        <f aca="false">-Inputs!$E$35*1</f>
        <v>-2800</v>
      </c>
      <c r="G39" s="52" t="n">
        <f aca="false">-Inputs!$E$35*1</f>
        <v>-2800</v>
      </c>
      <c r="H39" s="52" t="n">
        <f aca="false">-Inputs!$E$35*1</f>
        <v>-2800</v>
      </c>
      <c r="I39" s="52" t="n">
        <f aca="false">-Inputs!$E$35*1</f>
        <v>-2800</v>
      </c>
      <c r="J39" s="52" t="n">
        <f aca="false">-Inputs!$E$35*1</f>
        <v>-2800</v>
      </c>
      <c r="K39" s="52" t="n">
        <f aca="false">-Inputs!$E$35*1</f>
        <v>-2800</v>
      </c>
      <c r="L39" s="52" t="n">
        <f aca="false">-Inputs!$E$35*1</f>
        <v>-2800</v>
      </c>
      <c r="M39" s="52" t="n">
        <f aca="false">-Inputs!$E$35*1</f>
        <v>-2800</v>
      </c>
      <c r="N39" s="52" t="n">
        <f aca="false">-Inputs!$E$35*1</f>
        <v>-2800</v>
      </c>
      <c r="O39" s="52" t="n">
        <f aca="false">-Inputs!$E$35*1</f>
        <v>-2800</v>
      </c>
      <c r="P39" s="52" t="n">
        <f aca="false">-Inputs!$E$35*1</f>
        <v>-2800</v>
      </c>
      <c r="Q39" s="52" t="n">
        <f aca="false">-Inputs!$E$35*1</f>
        <v>-2800</v>
      </c>
      <c r="R39" s="52" t="n">
        <f aca="false">-Inputs!$E$35*1</f>
        <v>-2800</v>
      </c>
      <c r="S39" s="52" t="n">
        <f aca="false">-Inputs!$E$35*1</f>
        <v>-2800</v>
      </c>
      <c r="T39" s="52" t="n">
        <f aca="false">-Inputs!$E$35*1</f>
        <v>-2800</v>
      </c>
      <c r="U39" s="52" t="n">
        <f aca="false">-Inputs!$E$35*1</f>
        <v>-2800</v>
      </c>
      <c r="V39" s="52" t="n">
        <f aca="false">-Inputs!$E$35*1</f>
        <v>-2800</v>
      </c>
      <c r="W39" s="52" t="n">
        <f aca="false">-Inputs!$E$35*1</f>
        <v>-2800</v>
      </c>
      <c r="X39" s="52" t="n">
        <f aca="false">-Inputs!$E$35*1</f>
        <v>-2800</v>
      </c>
      <c r="Y39" s="52" t="n">
        <f aca="false">-Inputs!$E$35*1</f>
        <v>-2800</v>
      </c>
      <c r="Z39" s="52" t="n">
        <f aca="false">-Inputs!$E$35*1</f>
        <v>-2800</v>
      </c>
      <c r="AA39" s="52" t="n">
        <f aca="false">-Inputs!$E$35*1</f>
        <v>-2800</v>
      </c>
      <c r="AB39" s="52" t="n">
        <f aca="false">-Inputs!$E$35*1</f>
        <v>-2800</v>
      </c>
      <c r="AC39" s="52" t="n">
        <f aca="false">-Inputs!$E$35*1</f>
        <v>-2800</v>
      </c>
      <c r="AD39" s="52" t="n">
        <f aca="false">-Inputs!$E$35*1</f>
        <v>-2800</v>
      </c>
      <c r="AE39" s="52" t="n">
        <f aca="false">-Inputs!$E$35*1</f>
        <v>-2800</v>
      </c>
      <c r="AF39" s="52" t="n">
        <f aca="false">-Inputs!$E$35*1</f>
        <v>-2800</v>
      </c>
      <c r="AG39" s="52" t="n">
        <f aca="false">-Inputs!$E$35*1</f>
        <v>-2800</v>
      </c>
      <c r="AH39" s="52" t="n">
        <f aca="false">-Inputs!$E$35*1</f>
        <v>-2800</v>
      </c>
      <c r="AI39" s="52" t="n">
        <f aca="false">-Inputs!$E$35*1</f>
        <v>-2800</v>
      </c>
      <c r="AJ39" s="52" t="n">
        <f aca="false">-Inputs!$E$35*1</f>
        <v>-2800</v>
      </c>
      <c r="AK39" s="52" t="n">
        <f aca="false">-Inputs!$E$35*1</f>
        <v>-2800</v>
      </c>
      <c r="AL39" s="52" t="n">
        <f aca="false">-Inputs!$E$35*1</f>
        <v>-2800</v>
      </c>
    </row>
    <row r="40" customFormat="false" ht="15" hidden="false" customHeight="false" outlineLevel="0" collapsed="false">
      <c r="A40" s="101" t="s">
        <v>75</v>
      </c>
      <c r="C40" s="53" t="n">
        <f aca="false">C32+C33+C34+C35+C36+C37+C38+C39</f>
        <v>-76716.6276266667</v>
      </c>
      <c r="D40" s="53" t="n">
        <f aca="false">D32+D33+D34+D35+D36+D37+D38+D39</f>
        <v>-77130.5143466667</v>
      </c>
      <c r="E40" s="53" t="n">
        <f aca="false">E32+E33+E34+E35+E36+E37+E38+E39</f>
        <v>-77544.4010666667</v>
      </c>
      <c r="F40" s="53" t="n">
        <f aca="false">F32+F33+F34+F35+F36+F37+F38+F39</f>
        <v>-77544.4010666667</v>
      </c>
      <c r="G40" s="53" t="n">
        <f aca="false">G32+G33+G34+G35+G36+G37+G38+G39</f>
        <v>-77544.4010666667</v>
      </c>
      <c r="H40" s="53" t="n">
        <f aca="false">H32+H33+H34+H35+H36+H37+H38+H39</f>
        <v>-77544.4010666667</v>
      </c>
      <c r="I40" s="53" t="n">
        <f aca="false">I32+I33+I34+I35+I36+I37+I38+I39</f>
        <v>-77544.4010666667</v>
      </c>
      <c r="J40" s="53" t="n">
        <f aca="false">J32+J33+J34+J35+J36+J37+J38+J39</f>
        <v>-77544.4010666667</v>
      </c>
      <c r="K40" s="53" t="n">
        <f aca="false">K32+K33+K34+K35+K36+K37+K38+K39</f>
        <v>-77544.4010666667</v>
      </c>
      <c r="L40" s="53" t="n">
        <f aca="false">L32+L33+L34+L35+L36+L37+L38+L39</f>
        <v>-77544.4010666667</v>
      </c>
      <c r="M40" s="53" t="n">
        <f aca="false">M32+M33+M34+M35+M36+M37+M38+M39</f>
        <v>-78646.6346666667</v>
      </c>
      <c r="N40" s="53" t="n">
        <f aca="false">N32+N33+N34+N35+N36+N37+N38+N39</f>
        <v>-78646.6346666667</v>
      </c>
      <c r="O40" s="53" t="n">
        <f aca="false">O32+O33+O34+O35+O36+O37+O38+O39</f>
        <v>-82306.9368516267</v>
      </c>
      <c r="P40" s="53" t="n">
        <f aca="false">P32+P33+P34+P35+P36+P37+P38+P39</f>
        <v>-82306.9368516267</v>
      </c>
      <c r="Q40" s="53" t="n">
        <f aca="false">Q32+Q33+Q34+Q35+Q36+Q37+Q38+Q39</f>
        <v>-82306.9368516267</v>
      </c>
      <c r="R40" s="53" t="n">
        <f aca="false">R32+R33+R34+R35+R36+R37+R38+R39</f>
        <v>-82306.9368516267</v>
      </c>
      <c r="S40" s="53" t="n">
        <f aca="false">S32+S33+S34+S35+S36+S37+S38+S39</f>
        <v>-82306.9368516267</v>
      </c>
      <c r="T40" s="53" t="n">
        <f aca="false">T32+T33+T34+T35+T36+T37+T38+T39</f>
        <v>-82306.9368516267</v>
      </c>
      <c r="U40" s="53" t="n">
        <f aca="false">U32+U33+U34+U35+U36+U37+U38+U39</f>
        <v>-82306.9368516267</v>
      </c>
      <c r="V40" s="53" t="n">
        <f aca="false">V32+V33+V34+V35+V36+V37+V38+V39</f>
        <v>-82306.9368516267</v>
      </c>
      <c r="W40" s="53" t="n">
        <f aca="false">W32+W33+W34+W35+W36+W37+W38+W39</f>
        <v>-82306.9368516267</v>
      </c>
      <c r="X40" s="53" t="n">
        <f aca="false">X32+X33+X34+X35+X36+X37+X38+X39</f>
        <v>-82306.9368516267</v>
      </c>
      <c r="Y40" s="53" t="n">
        <f aca="false">Y32+Y33+Y34+Y35+Y36+Y37+Y38+Y39</f>
        <v>-83476.2964778667</v>
      </c>
      <c r="Z40" s="53" t="n">
        <f aca="false">Z32+Z33+Z34+Z35+Z36+Z37+Z38+Z39</f>
        <v>-83476.2964778667</v>
      </c>
      <c r="AA40" s="53" t="n">
        <f aca="false">AA32+AA33+AA34+AA35+AA36+AA37+AA38+AA39</f>
        <v>-87499.9499738268</v>
      </c>
      <c r="AB40" s="53" t="n">
        <f aca="false">AB32+AB33+AB34+AB35+AB36+AB37+AB38+AB39</f>
        <v>-87499.9499738268</v>
      </c>
      <c r="AC40" s="53" t="n">
        <f aca="false">AC32+AC33+AC34+AC35+AC36+AC37+AC38+AC39</f>
        <v>-87499.9499738268</v>
      </c>
      <c r="AD40" s="53" t="n">
        <f aca="false">AD32+AD33+AD34+AD35+AD36+AD37+AD38+AD39</f>
        <v>-87499.9499738268</v>
      </c>
      <c r="AE40" s="53" t="n">
        <f aca="false">AE32+AE33+AE34+AE35+AE36+AE37+AE38+AE39</f>
        <v>-87499.9499738268</v>
      </c>
      <c r="AF40" s="53" t="n">
        <f aca="false">AF32+AF33+AF34+AF35+AF36+AF37+AF38+AF39</f>
        <v>-87499.9499738268</v>
      </c>
      <c r="AG40" s="53" t="n">
        <f aca="false">AG32+AG33+AG34+AG35+AG36+AG37+AG38+AG39</f>
        <v>-87499.9499738268</v>
      </c>
      <c r="AH40" s="53" t="n">
        <f aca="false">AH32+AH33+AH34+AH35+AH36+AH37+AH38+AH39</f>
        <v>-87499.9499738268</v>
      </c>
      <c r="AI40" s="53" t="n">
        <f aca="false">AI32+AI33+AI34+AI35+AI36+AI37+AI38+AI39</f>
        <v>-87499.9499738268</v>
      </c>
      <c r="AJ40" s="53" t="n">
        <f aca="false">AJ32+AJ33+AJ34+AJ35+AJ36+AJ37+AJ38+AJ39</f>
        <v>-87499.9499738268</v>
      </c>
      <c r="AK40" s="53" t="n">
        <f aca="false">AK32+AK33+AK34+AK35+AK36+AK37+AK38+AK39</f>
        <v>-88740.5236013048</v>
      </c>
      <c r="AL40" s="53" t="n">
        <f aca="false">AL32+AL33+AL34+AL35+AL36+AL37+AL38+AL39</f>
        <v>-88740.5236013048</v>
      </c>
    </row>
    <row r="41" customFormat="false" ht="15" hidden="false" customHeight="false" outlineLevel="0" collapsed="false">
      <c r="A41" s="101" t="s">
        <v>46</v>
      </c>
      <c r="C41" s="53" t="n">
        <f aca="false">C29+C40</f>
        <v>2652.0663161905</v>
      </c>
      <c r="D41" s="53" t="n">
        <f aca="false">D29+D40</f>
        <v>6647.55148190475</v>
      </c>
      <c r="E41" s="53" t="n">
        <f aca="false">E29+E40</f>
        <v>10643.0366476191</v>
      </c>
      <c r="F41" s="53" t="n">
        <f aca="false">F29+F40</f>
        <v>10643.0366476191</v>
      </c>
      <c r="G41" s="53" t="n">
        <f aca="false">G29+G40</f>
        <v>10643.0366476191</v>
      </c>
      <c r="H41" s="53" t="n">
        <f aca="false">H29+H40</f>
        <v>10643.0366476191</v>
      </c>
      <c r="I41" s="53" t="n">
        <f aca="false">I29+I40</f>
        <v>10643.0366476191</v>
      </c>
      <c r="J41" s="53" t="n">
        <f aca="false">J29+J40</f>
        <v>10643.0366476191</v>
      </c>
      <c r="K41" s="53" t="n">
        <f aca="false">K29+K40</f>
        <v>10643.0366476191</v>
      </c>
      <c r="L41" s="53" t="n">
        <f aca="false">L29+L40</f>
        <v>10643.0366476191</v>
      </c>
      <c r="M41" s="53" t="n">
        <f aca="false">M29+M40</f>
        <v>25644.0624761905</v>
      </c>
      <c r="N41" s="53" t="n">
        <f aca="false">N29+N40</f>
        <v>25644.0624761905</v>
      </c>
      <c r="O41" s="53" t="n">
        <f aca="false">O29+O40</f>
        <v>13455.0026994591</v>
      </c>
      <c r="P41" s="53" t="n">
        <f aca="false">P29+P40</f>
        <v>13455.0026994591</v>
      </c>
      <c r="Q41" s="53" t="n">
        <f aca="false">Q29+Q40</f>
        <v>13455.0026994591</v>
      </c>
      <c r="R41" s="53" t="n">
        <f aca="false">R29+R40</f>
        <v>13455.0026994591</v>
      </c>
      <c r="S41" s="53" t="n">
        <f aca="false">S29+S40</f>
        <v>13455.0026994591</v>
      </c>
      <c r="T41" s="53" t="n">
        <f aca="false">T29+T40</f>
        <v>13455.0026994591</v>
      </c>
      <c r="U41" s="53" t="n">
        <f aca="false">U29+U40</f>
        <v>13455.0026994591</v>
      </c>
      <c r="V41" s="53" t="n">
        <f aca="false">V29+V40</f>
        <v>13455.0026994591</v>
      </c>
      <c r="W41" s="53" t="n">
        <f aca="false">W29+W40</f>
        <v>13455.0026994591</v>
      </c>
      <c r="X41" s="53" t="n">
        <f aca="false">X29+X40</f>
        <v>13455.0026994591</v>
      </c>
      <c r="Y41" s="53" t="n">
        <f aca="false">Y29+Y40</f>
        <v>29369.5910009905</v>
      </c>
      <c r="Z41" s="53" t="n">
        <f aca="false">Z29+Z40</f>
        <v>29369.5910009905</v>
      </c>
      <c r="AA41" s="53" t="n">
        <f aca="false">AA29+AA40</f>
        <v>16636.2956006881</v>
      </c>
      <c r="AB41" s="53" t="n">
        <f aca="false">AB29+AB40</f>
        <v>16636.2956006881</v>
      </c>
      <c r="AC41" s="53" t="n">
        <f aca="false">AC29+AC40</f>
        <v>16636.2956006881</v>
      </c>
      <c r="AD41" s="53" t="n">
        <f aca="false">AD29+AD40</f>
        <v>16636.2956006881</v>
      </c>
      <c r="AE41" s="53" t="n">
        <f aca="false">AE29+AE40</f>
        <v>16636.2956006881</v>
      </c>
      <c r="AF41" s="53" t="n">
        <f aca="false">AF29+AF40</f>
        <v>16636.2956006881</v>
      </c>
      <c r="AG41" s="53" t="n">
        <f aca="false">AG29+AG40</f>
        <v>16636.2956006881</v>
      </c>
      <c r="AH41" s="53" t="n">
        <f aca="false">AH29+AH40</f>
        <v>16636.2956006881</v>
      </c>
      <c r="AI41" s="53" t="n">
        <f aca="false">AI29+AI40</f>
        <v>16636.2956006881</v>
      </c>
      <c r="AJ41" s="53" t="n">
        <f aca="false">AJ29+AJ40</f>
        <v>16636.2956006881</v>
      </c>
      <c r="AK41" s="53" t="n">
        <f aca="false">AK29+AK40</f>
        <v>33520.0823297828</v>
      </c>
      <c r="AL41" s="53" t="n">
        <f aca="false">AL29+AL40</f>
        <v>33520.0823297828</v>
      </c>
    </row>
    <row r="43" customFormat="false" ht="15.75" hidden="false" customHeight="true" outlineLevel="0" collapsed="false">
      <c r="A43" s="7" t="s">
        <v>357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77</v>
      </c>
      <c r="C44" s="58" t="n">
        <f aca="false">C41+C55</f>
        <v>1580.63774476192</v>
      </c>
      <c r="D44" s="58" t="n">
        <f aca="false">D41+D55</f>
        <v>5576.12291047618</v>
      </c>
      <c r="E44" s="58" t="n">
        <f aca="false">E41+E55</f>
        <v>9571.60807619048</v>
      </c>
      <c r="F44" s="58" t="n">
        <f aca="false">F41+F55</f>
        <v>9571.60807619048</v>
      </c>
      <c r="G44" s="58" t="n">
        <f aca="false">G41+G55</f>
        <v>9571.60807619048</v>
      </c>
      <c r="H44" s="58" t="n">
        <f aca="false">H41+H55</f>
        <v>9571.60807619048</v>
      </c>
      <c r="I44" s="58" t="n">
        <f aca="false">I41+I55</f>
        <v>9571.60807619048</v>
      </c>
      <c r="J44" s="58" t="n">
        <f aca="false">J41+J55</f>
        <v>9571.60807619048</v>
      </c>
      <c r="K44" s="58" t="n">
        <f aca="false">K41+K55</f>
        <v>9571.60807619048</v>
      </c>
      <c r="L44" s="58" t="n">
        <f aca="false">L41+L55</f>
        <v>9571.60807619048</v>
      </c>
      <c r="M44" s="58" t="n">
        <f aca="false">M41+M55</f>
        <v>24572.6339047619</v>
      </c>
      <c r="N44" s="58" t="n">
        <f aca="false">N41+N55</f>
        <v>24572.6339047619</v>
      </c>
      <c r="O44" s="58" t="n">
        <f aca="false">O41+O55</f>
        <v>12369.6852391416</v>
      </c>
      <c r="P44" s="58" t="n">
        <f aca="false">P41+P55</f>
        <v>12355.7963502527</v>
      </c>
      <c r="Q44" s="58" t="n">
        <f aca="false">Q41+Q55</f>
        <v>12341.9074613638</v>
      </c>
      <c r="R44" s="58" t="n">
        <f aca="false">R41+R55</f>
        <v>12328.0185724749</v>
      </c>
      <c r="S44" s="58" t="n">
        <f aca="false">S41+S55</f>
        <v>12314.1296835861</v>
      </c>
      <c r="T44" s="58" t="n">
        <f aca="false">T41+T55</f>
        <v>12300.2407946972</v>
      </c>
      <c r="U44" s="58" t="n">
        <f aca="false">U41+U55</f>
        <v>12286.3519058083</v>
      </c>
      <c r="V44" s="58" t="n">
        <f aca="false">V41+V55</f>
        <v>12272.4630169194</v>
      </c>
      <c r="W44" s="58" t="n">
        <f aca="false">W41+W55</f>
        <v>12258.5741280305</v>
      </c>
      <c r="X44" s="58" t="n">
        <f aca="false">X41+X55</f>
        <v>12244.6852391416</v>
      </c>
      <c r="Y44" s="58" t="n">
        <f aca="false">Y41+Y55</f>
        <v>28145.3846517841</v>
      </c>
      <c r="Z44" s="58" t="n">
        <f aca="false">Z41+Z55</f>
        <v>28131.4957628953</v>
      </c>
      <c r="AA44" s="58" t="n">
        <f aca="false">AA41+AA55</f>
        <v>15384.3114737039</v>
      </c>
      <c r="AB44" s="58" t="n">
        <f aca="false">AB41+AB55</f>
        <v>15370.4225848151</v>
      </c>
      <c r="AC44" s="58" t="n">
        <f aca="false">AC41+AC55</f>
        <v>15356.5336959262</v>
      </c>
      <c r="AD44" s="58" t="n">
        <f aca="false">AD41+AD55</f>
        <v>15342.6448070373</v>
      </c>
      <c r="AE44" s="58" t="n">
        <f aca="false">AE41+AE55</f>
        <v>15328.7559181484</v>
      </c>
      <c r="AF44" s="58" t="n">
        <f aca="false">AF41+AF55</f>
        <v>15314.8670292595</v>
      </c>
      <c r="AG44" s="58" t="n">
        <f aca="false">AG41+AG55</f>
        <v>15300.9781403706</v>
      </c>
      <c r="AH44" s="58" t="n">
        <f aca="false">AH41+AH55</f>
        <v>15287.0892514817</v>
      </c>
      <c r="AI44" s="58" t="n">
        <f aca="false">AI41+AI55</f>
        <v>15273.2003625928</v>
      </c>
      <c r="AJ44" s="58" t="n">
        <f aca="false">AJ41+AJ55</f>
        <v>15259.3114737039</v>
      </c>
      <c r="AK44" s="58" t="n">
        <f aca="false">AK41+AK55</f>
        <v>32129.2093139098</v>
      </c>
      <c r="AL44" s="58" t="n">
        <f aca="false">AL41+AL55</f>
        <v>32115.3204250209</v>
      </c>
    </row>
    <row r="45" customFormat="false" ht="15" hidden="false" customHeight="false" outlineLevel="0" collapsed="false">
      <c r="A45" s="6" t="s">
        <v>358</v>
      </c>
      <c r="C45" s="52" t="n">
        <f aca="false">-(C60+C61+C63)/2*Inputs!$E$60/12</f>
        <v>-566.666666666667</v>
      </c>
      <c r="D45" s="52" t="n">
        <f aca="false">-(D60+D61+D63)/2*Inputs!$E$60/12</f>
        <v>-561.944444444445</v>
      </c>
      <c r="E45" s="52" t="n">
        <f aca="false">-(E60+E61+E63)/2*Inputs!$E$60/12</f>
        <v>-552.5</v>
      </c>
      <c r="F45" s="52" t="n">
        <f aca="false">-(F60+F61+F63)/2*Inputs!$E$60/12</f>
        <v>-543.055555555556</v>
      </c>
      <c r="G45" s="52" t="n">
        <f aca="false">-(G60+G61+G63)/2*Inputs!$E$60/12</f>
        <v>-533.611111111111</v>
      </c>
      <c r="H45" s="52" t="n">
        <f aca="false">-(H60+H61+H63)/2*Inputs!$E$60/12</f>
        <v>-524.166666666667</v>
      </c>
      <c r="I45" s="52" t="n">
        <f aca="false">-(I60+I61+I63)/2*Inputs!$E$60/12</f>
        <v>-514.722222222222</v>
      </c>
      <c r="J45" s="52" t="n">
        <f aca="false">-(J60+J61+J63)/2*Inputs!$E$60/12</f>
        <v>-505.277777777778</v>
      </c>
      <c r="K45" s="52" t="n">
        <f aca="false">-(K60+K61+K63)/2*Inputs!$E$60/12</f>
        <v>-495.833333333334</v>
      </c>
      <c r="L45" s="52" t="n">
        <f aca="false">-(L60+L61+L63)/2*Inputs!$E$60/12</f>
        <v>-486.388888888889</v>
      </c>
      <c r="M45" s="52" t="n">
        <f aca="false">-(M60+M61+M63)/2*Inputs!$E$60/12</f>
        <v>-476.944444444445</v>
      </c>
      <c r="N45" s="52" t="n">
        <f aca="false">-(N60+N61+N63)/2*Inputs!$E$60/12</f>
        <v>-467.5</v>
      </c>
      <c r="O45" s="52" t="n">
        <f aca="false">-(O60+O61+O63)/2*Inputs!$E$60/12</f>
        <v>-458.055555555556</v>
      </c>
      <c r="P45" s="52" t="n">
        <f aca="false">-(P60+P61+P63)/2*Inputs!$E$60/12</f>
        <v>-448.611111111111</v>
      </c>
      <c r="Q45" s="52" t="n">
        <f aca="false">-(Q60+Q61+Q63)/2*Inputs!$E$60/12</f>
        <v>-439.166666666667</v>
      </c>
      <c r="R45" s="52" t="n">
        <f aca="false">-(R60+R61+R63)/2*Inputs!$E$60/12</f>
        <v>-429.722222222222</v>
      </c>
      <c r="S45" s="52" t="n">
        <f aca="false">-(S60+S61+S63)/2*Inputs!$E$60/12</f>
        <v>-420.277777777778</v>
      </c>
      <c r="T45" s="52" t="n">
        <f aca="false">-(T60+T61+T63)/2*Inputs!$E$60/12</f>
        <v>-410.833333333334</v>
      </c>
      <c r="U45" s="52" t="n">
        <f aca="false">-(U60+U61+U63)/2*Inputs!$E$60/12</f>
        <v>-401.388888888889</v>
      </c>
      <c r="V45" s="52" t="n">
        <f aca="false">-(V60+V61+V63)/2*Inputs!$E$60/12</f>
        <v>-391.944444444445</v>
      </c>
      <c r="W45" s="52" t="n">
        <f aca="false">-(W60+W61+W63)/2*Inputs!$E$60/12</f>
        <v>-382.5</v>
      </c>
      <c r="X45" s="52" t="n">
        <f aca="false">-(X60+X61+X63)/2*Inputs!$E$60/12</f>
        <v>-373.055555555556</v>
      </c>
      <c r="Y45" s="52" t="n">
        <f aca="false">-(Y60+Y61+Y63)/2*Inputs!$E$60/12</f>
        <v>-363.611111111111</v>
      </c>
      <c r="Z45" s="52" t="n">
        <f aca="false">-(Z60+Z61+Z63)/2*Inputs!$E$60/12</f>
        <v>-354.166666666667</v>
      </c>
      <c r="AA45" s="52" t="n">
        <f aca="false">-(AA60+AA61+AA63)/2*Inputs!$E$60/12</f>
        <v>-344.722222222222</v>
      </c>
      <c r="AB45" s="52" t="n">
        <f aca="false">-(AB60+AB61+AB63)/2*Inputs!$E$60/12</f>
        <v>-335.277777777778</v>
      </c>
      <c r="AC45" s="52" t="n">
        <f aca="false">-(AC60+AC61+AC63)/2*Inputs!$E$60/12</f>
        <v>-325.833333333333</v>
      </c>
      <c r="AD45" s="52" t="n">
        <f aca="false">-(AD60+AD61+AD63)/2*Inputs!$E$60/12</f>
        <v>-316.388888888889</v>
      </c>
      <c r="AE45" s="52" t="n">
        <f aca="false">-(AE60+AE61+AE63)/2*Inputs!$E$60/12</f>
        <v>-306.944444444445</v>
      </c>
      <c r="AF45" s="52" t="n">
        <f aca="false">-(AF60+AF61+AF63)/2*Inputs!$E$60/12</f>
        <v>-297.5</v>
      </c>
      <c r="AG45" s="52" t="n">
        <f aca="false">-(AG60+AG61+AG63)/2*Inputs!$E$60/12</f>
        <v>-288.055555555556</v>
      </c>
      <c r="AH45" s="52" t="n">
        <f aca="false">-(AH60+AH61+AH63)/2*Inputs!$E$60/12</f>
        <v>-278.611111111111</v>
      </c>
      <c r="AI45" s="52" t="n">
        <f aca="false">-(AI60+AI61+AI63)/2*Inputs!$E$60/12</f>
        <v>-269.166666666667</v>
      </c>
      <c r="AJ45" s="52" t="n">
        <f aca="false">-(AJ60+AJ61+AJ63)/2*Inputs!$E$60/12</f>
        <v>-259.722222222222</v>
      </c>
      <c r="AK45" s="52" t="n">
        <f aca="false">-(AK60+AK61+AK63)/2*Inputs!$E$60/12</f>
        <v>-250.277777777778</v>
      </c>
      <c r="AL45" s="52" t="n">
        <f aca="false">-(AL60+AL61+AL63)/2*Inputs!$E$60/12</f>
        <v>-240.833333333333</v>
      </c>
    </row>
    <row r="46" customFormat="false" ht="15" hidden="false" customHeight="false" outlineLevel="0" collapsed="false">
      <c r="A46" s="101" t="s">
        <v>79</v>
      </c>
      <c r="C46" s="53" t="n">
        <f aca="false">C44+C45</f>
        <v>1013.97107809526</v>
      </c>
      <c r="D46" s="53" t="n">
        <f aca="false">D44+D45</f>
        <v>5014.17846603174</v>
      </c>
      <c r="E46" s="53" t="n">
        <f aca="false">E44+E45</f>
        <v>9019.10807619048</v>
      </c>
      <c r="F46" s="53" t="n">
        <f aca="false">F44+F45</f>
        <v>9028.55252063493</v>
      </c>
      <c r="G46" s="53" t="n">
        <f aca="false">G44+G45</f>
        <v>9037.99696507937</v>
      </c>
      <c r="H46" s="53" t="n">
        <f aca="false">H44+H45</f>
        <v>9047.44140952382</v>
      </c>
      <c r="I46" s="53" t="n">
        <f aca="false">I44+I45</f>
        <v>9056.88585396826</v>
      </c>
      <c r="J46" s="53" t="n">
        <f aca="false">J44+J45</f>
        <v>9066.33029841271</v>
      </c>
      <c r="K46" s="53" t="n">
        <f aca="false">K44+K45</f>
        <v>9075.77474285715</v>
      </c>
      <c r="L46" s="53" t="n">
        <f aca="false">L44+L45</f>
        <v>9085.2191873016</v>
      </c>
      <c r="M46" s="53" t="n">
        <f aca="false">M44+M45</f>
        <v>24095.6894603175</v>
      </c>
      <c r="N46" s="53" t="n">
        <f aca="false">N44+N45</f>
        <v>24105.1339047619</v>
      </c>
      <c r="O46" s="53" t="n">
        <f aca="false">O44+O45</f>
        <v>11911.6296835861</v>
      </c>
      <c r="P46" s="53" t="n">
        <f aca="false">P44+P45</f>
        <v>11907.1852391416</v>
      </c>
      <c r="Q46" s="53" t="n">
        <f aca="false">Q44+Q45</f>
        <v>11902.7407946972</v>
      </c>
      <c r="R46" s="53" t="n">
        <f aca="false">R44+R45</f>
        <v>11898.2963502527</v>
      </c>
      <c r="S46" s="53" t="n">
        <f aca="false">S44+S45</f>
        <v>11893.8519058083</v>
      </c>
      <c r="T46" s="53" t="n">
        <f aca="false">T44+T45</f>
        <v>11889.4074613638</v>
      </c>
      <c r="U46" s="53" t="n">
        <f aca="false">U44+U45</f>
        <v>11884.9630169194</v>
      </c>
      <c r="V46" s="53" t="n">
        <f aca="false">V44+V45</f>
        <v>11880.5185724749</v>
      </c>
      <c r="W46" s="53" t="n">
        <f aca="false">W44+W45</f>
        <v>11876.0741280305</v>
      </c>
      <c r="X46" s="53" t="n">
        <f aca="false">X44+X45</f>
        <v>11871.6296835861</v>
      </c>
      <c r="Y46" s="53" t="n">
        <f aca="false">Y44+Y45</f>
        <v>27781.773540673</v>
      </c>
      <c r="Z46" s="53" t="n">
        <f aca="false">Z44+Z45</f>
        <v>27777.3290962286</v>
      </c>
      <c r="AA46" s="53" t="n">
        <f aca="false">AA44+AA45</f>
        <v>15039.5892514817</v>
      </c>
      <c r="AB46" s="53" t="n">
        <f aca="false">AB44+AB45</f>
        <v>15035.1448070373</v>
      </c>
      <c r="AC46" s="53" t="n">
        <f aca="false">AC44+AC45</f>
        <v>15030.7003625928</v>
      </c>
      <c r="AD46" s="53" t="n">
        <f aca="false">AD44+AD45</f>
        <v>15026.2559181484</v>
      </c>
      <c r="AE46" s="53" t="n">
        <f aca="false">AE44+AE45</f>
        <v>15021.8114737039</v>
      </c>
      <c r="AF46" s="53" t="n">
        <f aca="false">AF44+AF45</f>
        <v>15017.3670292595</v>
      </c>
      <c r="AG46" s="53" t="n">
        <f aca="false">AG44+AG45</f>
        <v>15012.9225848151</v>
      </c>
      <c r="AH46" s="53" t="n">
        <f aca="false">AH44+AH45</f>
        <v>15008.4781403706</v>
      </c>
      <c r="AI46" s="53" t="n">
        <f aca="false">AI44+AI45</f>
        <v>15004.0336959262</v>
      </c>
      <c r="AJ46" s="53" t="n">
        <f aca="false">AJ44+AJ45</f>
        <v>14999.5892514817</v>
      </c>
      <c r="AK46" s="53" t="n">
        <f aca="false">AK44+AK45</f>
        <v>31878.931536132</v>
      </c>
      <c r="AL46" s="53" t="n">
        <f aca="false">AL44+AL45</f>
        <v>31874.4870916876</v>
      </c>
    </row>
    <row r="47" customFormat="false" ht="15" hidden="false" customHeight="false" outlineLevel="0" collapsed="false">
      <c r="A47" s="107" t="s">
        <v>359</v>
      </c>
      <c r="C47" s="52" t="n">
        <f aca="false">C46</f>
        <v>1013.97107809526</v>
      </c>
      <c r="D47" s="52" t="n">
        <f aca="false">C47+D46</f>
        <v>6028.14954412699</v>
      </c>
      <c r="E47" s="52" t="n">
        <f aca="false">D47+E46</f>
        <v>15047.2576203175</v>
      </c>
      <c r="F47" s="52" t="n">
        <f aca="false">E47+F46</f>
        <v>24075.8101409524</v>
      </c>
      <c r="G47" s="52" t="n">
        <f aca="false">F47+G46</f>
        <v>33113.8071060318</v>
      </c>
      <c r="H47" s="52" t="n">
        <f aca="false">G47+H46</f>
        <v>42161.2485155556</v>
      </c>
      <c r="I47" s="52" t="n">
        <f aca="false">H47+I46</f>
        <v>51218.1343695239</v>
      </c>
      <c r="J47" s="52" t="n">
        <f aca="false">I47+J46</f>
        <v>60284.4646679366</v>
      </c>
      <c r="K47" s="52" t="n">
        <f aca="false">J47+K46</f>
        <v>69360.2394107937</v>
      </c>
      <c r="L47" s="52" t="n">
        <f aca="false">K47+L46</f>
        <v>78445.4585980953</v>
      </c>
      <c r="M47" s="52" t="n">
        <f aca="false">L47+M46</f>
        <v>102541.148058413</v>
      </c>
      <c r="N47" s="52" t="n">
        <f aca="false">M47+N46</f>
        <v>126646.281963175</v>
      </c>
      <c r="O47" s="52" t="n">
        <f aca="false">N47+O46</f>
        <v>138557.911646761</v>
      </c>
      <c r="P47" s="52" t="n">
        <f aca="false">O47+P46</f>
        <v>150465.096885902</v>
      </c>
      <c r="Q47" s="52" t="n">
        <f aca="false">P47+Q46</f>
        <v>162367.8376806</v>
      </c>
      <c r="R47" s="52" t="n">
        <f aca="false">Q47+R46</f>
        <v>174266.134030852</v>
      </c>
      <c r="S47" s="52" t="n">
        <f aca="false">R47+S46</f>
        <v>186159.985936661</v>
      </c>
      <c r="T47" s="52" t="n">
        <f aca="false">S47+T46</f>
        <v>198049.393398024</v>
      </c>
      <c r="U47" s="52" t="n">
        <f aca="false">T47+U46</f>
        <v>209934.356414944</v>
      </c>
      <c r="V47" s="52" t="n">
        <f aca="false">U47+V46</f>
        <v>221814.874987419</v>
      </c>
      <c r="W47" s="52" t="n">
        <f aca="false">V47+W46</f>
        <v>233690.949115449</v>
      </c>
      <c r="X47" s="52" t="n">
        <f aca="false">W47+X46</f>
        <v>245562.578799035</v>
      </c>
      <c r="Y47" s="52" t="n">
        <f aca="false">X47+Y46</f>
        <v>273344.352339708</v>
      </c>
      <c r="Z47" s="52" t="n">
        <f aca="false">Y47+Z46</f>
        <v>301121.681435937</v>
      </c>
      <c r="AA47" s="52" t="n">
        <f aca="false">Z47+AA46</f>
        <v>316161.270687419</v>
      </c>
      <c r="AB47" s="52" t="n">
        <f aca="false">AA47+AB46</f>
        <v>331196.415494456</v>
      </c>
      <c r="AC47" s="52" t="n">
        <f aca="false">AB47+AC46</f>
        <v>346227.115857049</v>
      </c>
      <c r="AD47" s="52" t="n">
        <f aca="false">AC47+AD46</f>
        <v>361253.371775197</v>
      </c>
      <c r="AE47" s="52" t="n">
        <f aca="false">AD47+AE46</f>
        <v>376275.183248901</v>
      </c>
      <c r="AF47" s="52" t="n">
        <f aca="false">AE47+AF46</f>
        <v>391292.550278161</v>
      </c>
      <c r="AG47" s="52" t="n">
        <f aca="false">AF47+AG46</f>
        <v>406305.472862976</v>
      </c>
      <c r="AH47" s="52" t="n">
        <f aca="false">AG47+AH46</f>
        <v>421313.951003346</v>
      </c>
      <c r="AI47" s="52" t="n">
        <f aca="false">AH47+AI46</f>
        <v>436317.984699272</v>
      </c>
      <c r="AJ47" s="52" t="n">
        <f aca="false">AI47+AJ46</f>
        <v>451317.573950754</v>
      </c>
      <c r="AK47" s="52" t="n">
        <f aca="false">AJ47+AK46</f>
        <v>483196.505486886</v>
      </c>
      <c r="AL47" s="52" t="n">
        <f aca="false">AK47+AL46</f>
        <v>515070.992578574</v>
      </c>
    </row>
    <row r="48" customFormat="false" ht="15" hidden="false" customHeight="false" outlineLevel="0" collapsed="false">
      <c r="A48" s="107" t="s">
        <v>360</v>
      </c>
      <c r="C48" s="52" t="n">
        <f aca="false">MAX(0,C47)</f>
        <v>1013.97107809526</v>
      </c>
      <c r="D48" s="52" t="n">
        <f aca="false">MAX(C48,D47)</f>
        <v>6028.14954412699</v>
      </c>
      <c r="E48" s="52" t="n">
        <f aca="false">MAX(D48,E47)</f>
        <v>15047.2576203175</v>
      </c>
      <c r="F48" s="52" t="n">
        <f aca="false">MAX(E48,F47)</f>
        <v>24075.8101409524</v>
      </c>
      <c r="G48" s="52" t="n">
        <f aca="false">MAX(F48,G47)</f>
        <v>33113.8071060318</v>
      </c>
      <c r="H48" s="52" t="n">
        <f aca="false">MAX(G48,H47)</f>
        <v>42161.2485155556</v>
      </c>
      <c r="I48" s="52" t="n">
        <f aca="false">MAX(H48,I47)</f>
        <v>51218.1343695239</v>
      </c>
      <c r="J48" s="52" t="n">
        <f aca="false">MAX(I48,J47)</f>
        <v>60284.4646679366</v>
      </c>
      <c r="K48" s="52" t="n">
        <f aca="false">MAX(J48,K47)</f>
        <v>69360.2394107937</v>
      </c>
      <c r="L48" s="52" t="n">
        <f aca="false">MAX(K48,L47)</f>
        <v>78445.4585980953</v>
      </c>
      <c r="M48" s="52" t="n">
        <f aca="false">MAX(L48,M47)</f>
        <v>102541.148058413</v>
      </c>
      <c r="N48" s="52" t="n">
        <f aca="false">MAX(M48,N47)</f>
        <v>126646.281963175</v>
      </c>
      <c r="O48" s="52" t="n">
        <f aca="false">MAX(N48,O47)</f>
        <v>138557.911646761</v>
      </c>
      <c r="P48" s="52" t="n">
        <f aca="false">MAX(O48,P47)</f>
        <v>150465.096885902</v>
      </c>
      <c r="Q48" s="52" t="n">
        <f aca="false">MAX(P48,Q47)</f>
        <v>162367.8376806</v>
      </c>
      <c r="R48" s="52" t="n">
        <f aca="false">MAX(Q48,R47)</f>
        <v>174266.134030852</v>
      </c>
      <c r="S48" s="52" t="n">
        <f aca="false">MAX(R48,S47)</f>
        <v>186159.985936661</v>
      </c>
      <c r="T48" s="52" t="n">
        <f aca="false">MAX(S48,T47)</f>
        <v>198049.393398024</v>
      </c>
      <c r="U48" s="52" t="n">
        <f aca="false">MAX(T48,U47)</f>
        <v>209934.356414944</v>
      </c>
      <c r="V48" s="52" t="n">
        <f aca="false">MAX(U48,V47)</f>
        <v>221814.874987419</v>
      </c>
      <c r="W48" s="52" t="n">
        <f aca="false">MAX(V48,W47)</f>
        <v>233690.949115449</v>
      </c>
      <c r="X48" s="52" t="n">
        <f aca="false">MAX(W48,X47)</f>
        <v>245562.578799035</v>
      </c>
      <c r="Y48" s="52" t="n">
        <f aca="false">MAX(X48,Y47)</f>
        <v>273344.352339708</v>
      </c>
      <c r="Z48" s="52" t="n">
        <f aca="false">MAX(Y48,Z47)</f>
        <v>301121.681435937</v>
      </c>
      <c r="AA48" s="52" t="n">
        <f aca="false">MAX(Z48,AA47)</f>
        <v>316161.270687419</v>
      </c>
      <c r="AB48" s="52" t="n">
        <f aca="false">MAX(AA48,AB47)</f>
        <v>331196.415494456</v>
      </c>
      <c r="AC48" s="52" t="n">
        <f aca="false">MAX(AB48,AC47)</f>
        <v>346227.115857049</v>
      </c>
      <c r="AD48" s="52" t="n">
        <f aca="false">MAX(AC48,AD47)</f>
        <v>361253.371775197</v>
      </c>
      <c r="AE48" s="52" t="n">
        <f aca="false">MAX(AD48,AE47)</f>
        <v>376275.183248901</v>
      </c>
      <c r="AF48" s="52" t="n">
        <f aca="false">MAX(AE48,AF47)</f>
        <v>391292.550278161</v>
      </c>
      <c r="AG48" s="52" t="n">
        <f aca="false">MAX(AF48,AG47)</f>
        <v>406305.472862976</v>
      </c>
      <c r="AH48" s="52" t="n">
        <f aca="false">MAX(AG48,AH47)</f>
        <v>421313.951003346</v>
      </c>
      <c r="AI48" s="52" t="n">
        <f aca="false">MAX(AH48,AI47)</f>
        <v>436317.984699272</v>
      </c>
      <c r="AJ48" s="52" t="n">
        <f aca="false">MAX(AI48,AJ47)</f>
        <v>451317.573950754</v>
      </c>
      <c r="AK48" s="52" t="n">
        <f aca="false">MAX(AJ48,AK47)</f>
        <v>483196.505486886</v>
      </c>
      <c r="AL48" s="52" t="n">
        <f aca="false">MAX(AK48,AL47)</f>
        <v>515070.992578574</v>
      </c>
    </row>
    <row r="49" customFormat="false" ht="15" hidden="false" customHeight="false" outlineLevel="0" collapsed="false">
      <c r="A49" s="6" t="s">
        <v>80</v>
      </c>
      <c r="C49" s="52" t="n">
        <f aca="false">-C48*Inputs!$E$70</f>
        <v>-212.933926400004</v>
      </c>
      <c r="D49" s="52" t="n">
        <f aca="false">-(D48-C48)*Inputs!$E$70</f>
        <v>-1052.97747786666</v>
      </c>
      <c r="E49" s="52" t="n">
        <f aca="false">-(E48-D48)*Inputs!$E$70</f>
        <v>-1894.012696</v>
      </c>
      <c r="F49" s="52" t="n">
        <f aca="false">-(F48-E48)*Inputs!$E$70</f>
        <v>-1895.99602933333</v>
      </c>
      <c r="G49" s="52" t="n">
        <f aca="false">-(G48-F48)*Inputs!$E$70</f>
        <v>-1897.97936266667</v>
      </c>
      <c r="H49" s="52" t="n">
        <f aca="false">-(H48-G48)*Inputs!$E$70</f>
        <v>-1899.962696</v>
      </c>
      <c r="I49" s="52" t="n">
        <f aca="false">-(I48-H48)*Inputs!$E$70</f>
        <v>-1901.94602933334</v>
      </c>
      <c r="J49" s="52" t="n">
        <f aca="false">-(J48-I48)*Inputs!$E$70</f>
        <v>-1903.92936266667</v>
      </c>
      <c r="K49" s="52" t="n">
        <f aca="false">-(K48-J48)*Inputs!$E$70</f>
        <v>-1905.912696</v>
      </c>
      <c r="L49" s="52" t="n">
        <f aca="false">-(L48-K48)*Inputs!$E$70</f>
        <v>-1907.89602933334</v>
      </c>
      <c r="M49" s="52" t="n">
        <f aca="false">-(M48-L48)*Inputs!$E$70</f>
        <v>-5060.09478666667</v>
      </c>
      <c r="N49" s="52" t="n">
        <f aca="false">-(N48-M48)*Inputs!$E$70</f>
        <v>-5062.07812</v>
      </c>
      <c r="O49" s="52" t="n">
        <f aca="false">-(O48-N48)*Inputs!$E$70</f>
        <v>-2501.44223355308</v>
      </c>
      <c r="P49" s="52" t="n">
        <f aca="false">-(P48-O48)*Inputs!$E$70</f>
        <v>-2500.50890021974</v>
      </c>
      <c r="Q49" s="52" t="n">
        <f aca="false">-(Q48-P48)*Inputs!$E$70</f>
        <v>-2499.5755668864</v>
      </c>
      <c r="R49" s="52" t="n">
        <f aca="false">-(R48-Q48)*Inputs!$E$70</f>
        <v>-2498.64223355307</v>
      </c>
      <c r="S49" s="52" t="n">
        <f aca="false">-(S48-R48)*Inputs!$E$70</f>
        <v>-2497.70890021974</v>
      </c>
      <c r="T49" s="52" t="n">
        <f aca="false">-(T48-S48)*Inputs!$E$70</f>
        <v>-2496.7755668864</v>
      </c>
      <c r="U49" s="52" t="n">
        <f aca="false">-(U48-T48)*Inputs!$E$70</f>
        <v>-2495.84223355307</v>
      </c>
      <c r="V49" s="52" t="n">
        <f aca="false">-(V48-U48)*Inputs!$E$70</f>
        <v>-2494.90890021974</v>
      </c>
      <c r="W49" s="52" t="n">
        <f aca="false">-(W48-V48)*Inputs!$E$70</f>
        <v>-2493.97556688641</v>
      </c>
      <c r="X49" s="52" t="n">
        <f aca="false">-(X48-W48)*Inputs!$E$70</f>
        <v>-2493.04223355307</v>
      </c>
      <c r="Y49" s="52" t="n">
        <f aca="false">-(Y48-X48)*Inputs!$E$70</f>
        <v>-5834.17244354133</v>
      </c>
      <c r="Z49" s="52" t="n">
        <f aca="false">-(Z48-Y48)*Inputs!$E$70</f>
        <v>-5833.239110208</v>
      </c>
      <c r="AA49" s="52" t="n">
        <f aca="false">-(AA48-Z48)*Inputs!$E$70</f>
        <v>-3158.31374281116</v>
      </c>
      <c r="AB49" s="52" t="n">
        <f aca="false">-(AB48-AA48)*Inputs!$E$70</f>
        <v>-3157.38040947782</v>
      </c>
      <c r="AC49" s="52" t="n">
        <f aca="false">-(AC48-AB48)*Inputs!$E$70</f>
        <v>-3156.44707614449</v>
      </c>
      <c r="AD49" s="52" t="n">
        <f aca="false">-(AD48-AC48)*Inputs!$E$70</f>
        <v>-3155.51374281116</v>
      </c>
      <c r="AE49" s="52" t="n">
        <f aca="false">-(AE48-AD48)*Inputs!$E$70</f>
        <v>-3154.58040947783</v>
      </c>
      <c r="AF49" s="52" t="n">
        <f aca="false">-(AF48-AE48)*Inputs!$E$70</f>
        <v>-3153.6470761445</v>
      </c>
      <c r="AG49" s="52" t="n">
        <f aca="false">-(AG48-AF48)*Inputs!$E$70</f>
        <v>-3152.71374281116</v>
      </c>
      <c r="AH49" s="52" t="n">
        <f aca="false">-(AH48-AG48)*Inputs!$E$70</f>
        <v>-3151.78040947783</v>
      </c>
      <c r="AI49" s="52" t="n">
        <f aca="false">-(AI48-AH48)*Inputs!$E$70</f>
        <v>-3150.8470761445</v>
      </c>
      <c r="AJ49" s="52" t="n">
        <f aca="false">-(AJ48-AI48)*Inputs!$E$70</f>
        <v>-3149.91374281116</v>
      </c>
      <c r="AK49" s="52" t="n">
        <f aca="false">-(AK48-AJ48)*Inputs!$E$70</f>
        <v>-6694.57562258772</v>
      </c>
      <c r="AL49" s="52" t="n">
        <f aca="false">-(AL48-AK48)*Inputs!$E$70</f>
        <v>-6693.64228925439</v>
      </c>
    </row>
    <row r="50" customFormat="false" ht="15" hidden="false" customHeight="false" outlineLevel="0" collapsed="false">
      <c r="A50" s="101" t="s">
        <v>48</v>
      </c>
      <c r="C50" s="53" t="n">
        <f aca="false">C46+C49</f>
        <v>801.037151695254</v>
      </c>
      <c r="D50" s="53" t="n">
        <f aca="false">D46+D49</f>
        <v>3961.20098816507</v>
      </c>
      <c r="E50" s="53" t="n">
        <f aca="false">E46+E49</f>
        <v>7125.09538019048</v>
      </c>
      <c r="F50" s="53" t="n">
        <f aca="false">F46+F49</f>
        <v>7132.55649130159</v>
      </c>
      <c r="G50" s="53" t="n">
        <f aca="false">G46+G49</f>
        <v>7140.0176024127</v>
      </c>
      <c r="H50" s="53" t="n">
        <f aca="false">H46+H49</f>
        <v>7147.47871352382</v>
      </c>
      <c r="I50" s="53" t="n">
        <f aca="false">I46+I49</f>
        <v>7154.93982463493</v>
      </c>
      <c r="J50" s="53" t="n">
        <f aca="false">J46+J49</f>
        <v>7162.40093574604</v>
      </c>
      <c r="K50" s="53" t="n">
        <f aca="false">K46+K49</f>
        <v>7169.86204685715</v>
      </c>
      <c r="L50" s="53" t="n">
        <f aca="false">L46+L49</f>
        <v>7177.32315796826</v>
      </c>
      <c r="M50" s="53" t="n">
        <f aca="false">M46+M49</f>
        <v>19035.5946736508</v>
      </c>
      <c r="N50" s="53" t="n">
        <f aca="false">N46+N49</f>
        <v>19043.0557847619</v>
      </c>
      <c r="O50" s="53" t="n">
        <f aca="false">O46+O49</f>
        <v>9410.18745003298</v>
      </c>
      <c r="P50" s="53" t="n">
        <f aca="false">P46+P49</f>
        <v>9406.67633892188</v>
      </c>
      <c r="Q50" s="53" t="n">
        <f aca="false">Q46+Q49</f>
        <v>9403.16522781077</v>
      </c>
      <c r="R50" s="53" t="n">
        <f aca="false">R46+R49</f>
        <v>9399.65411669965</v>
      </c>
      <c r="S50" s="53" t="n">
        <f aca="false">S46+S49</f>
        <v>9396.14300558854</v>
      </c>
      <c r="T50" s="53" t="n">
        <f aca="false">T46+T49</f>
        <v>9392.63189447743</v>
      </c>
      <c r="U50" s="53" t="n">
        <f aca="false">U46+U49</f>
        <v>9389.12078336632</v>
      </c>
      <c r="V50" s="53" t="n">
        <f aca="false">V46+V49</f>
        <v>9385.60967225521</v>
      </c>
      <c r="W50" s="53" t="n">
        <f aca="false">W46+W49</f>
        <v>9382.09856114409</v>
      </c>
      <c r="X50" s="53" t="n">
        <f aca="false">X46+X49</f>
        <v>9378.58745003298</v>
      </c>
      <c r="Y50" s="53" t="n">
        <f aca="false">Y46+Y49</f>
        <v>21947.6010971317</v>
      </c>
      <c r="Z50" s="53" t="n">
        <f aca="false">Z46+Z49</f>
        <v>21944.0899860206</v>
      </c>
      <c r="AA50" s="53" t="n">
        <f aca="false">AA46+AA49</f>
        <v>11881.2755086706</v>
      </c>
      <c r="AB50" s="53" t="n">
        <f aca="false">AB46+AB49</f>
        <v>11877.7643975595</v>
      </c>
      <c r="AC50" s="53" t="n">
        <f aca="false">AC46+AC49</f>
        <v>11874.2532864483</v>
      </c>
      <c r="AD50" s="53" t="n">
        <f aca="false">AD46+AD49</f>
        <v>11870.7421753372</v>
      </c>
      <c r="AE50" s="53" t="n">
        <f aca="false">AE46+AE49</f>
        <v>11867.2310642261</v>
      </c>
      <c r="AF50" s="53" t="n">
        <f aca="false">AF46+AF49</f>
        <v>11863.719953115</v>
      </c>
      <c r="AG50" s="53" t="n">
        <f aca="false">AG46+AG49</f>
        <v>11860.2088420039</v>
      </c>
      <c r="AH50" s="53" t="n">
        <f aca="false">AH46+AH49</f>
        <v>11856.6977308928</v>
      </c>
      <c r="AI50" s="53" t="n">
        <f aca="false">AI46+AI49</f>
        <v>11853.1866197817</v>
      </c>
      <c r="AJ50" s="53" t="n">
        <f aca="false">AJ46+AJ49</f>
        <v>11849.6755086706</v>
      </c>
      <c r="AK50" s="53" t="n">
        <f aca="false">AK46+AK49</f>
        <v>25184.3559135443</v>
      </c>
      <c r="AL50" s="53" t="n">
        <f aca="false">AL46+AL49</f>
        <v>25180.8448024332</v>
      </c>
    </row>
    <row r="52" customFormat="false" ht="15.75" hidden="false" customHeight="true" outlineLevel="0" collapsed="false">
      <c r="A52" s="7" t="s">
        <v>361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362</v>
      </c>
      <c r="C53" s="52" t="n">
        <f aca="false">IF(C$4=1,Inputs!$E$38,0)+IF(C$5&gt;1,Inputs!$E$39*1/12,0)</f>
        <v>90000</v>
      </c>
      <c r="D53" s="52" t="n">
        <f aca="false">IF(D$4=1,Inputs!$E$38,0)+IF(D$5&gt;1,Inputs!$E$39*1/12,0)</f>
        <v>0</v>
      </c>
      <c r="E53" s="52" t="n">
        <f aca="false">IF(E$4=1,Inputs!$E$38,0)+IF(E$5&gt;1,Inputs!$E$39*1/12,0)</f>
        <v>0</v>
      </c>
      <c r="F53" s="52" t="n">
        <f aca="false">IF(F$4=1,Inputs!$E$38,0)+IF(F$5&gt;1,Inputs!$E$39*1/12,0)</f>
        <v>0</v>
      </c>
      <c r="G53" s="52" t="n">
        <f aca="false">IF(G$4=1,Inputs!$E$38,0)+IF(G$5&gt;1,Inputs!$E$39*1/12,0)</f>
        <v>0</v>
      </c>
      <c r="H53" s="52" t="n">
        <f aca="false">IF(H$4=1,Inputs!$E$38,0)+IF(H$5&gt;1,Inputs!$E$39*1/12,0)</f>
        <v>0</v>
      </c>
      <c r="I53" s="52" t="n">
        <f aca="false">IF(I$4=1,Inputs!$E$38,0)+IF(I$5&gt;1,Inputs!$E$39*1/12,0)</f>
        <v>0</v>
      </c>
      <c r="J53" s="52" t="n">
        <f aca="false">IF(J$4=1,Inputs!$E$38,0)+IF(J$5&gt;1,Inputs!$E$39*1/12,0)</f>
        <v>0</v>
      </c>
      <c r="K53" s="52" t="n">
        <f aca="false">IF(K$4=1,Inputs!$E$38,0)+IF(K$5&gt;1,Inputs!$E$39*1/12,0)</f>
        <v>0</v>
      </c>
      <c r="L53" s="52" t="n">
        <f aca="false">IF(L$4=1,Inputs!$E$38,0)+IF(L$5&gt;1,Inputs!$E$39*1/12,0)</f>
        <v>0</v>
      </c>
      <c r="M53" s="52" t="n">
        <f aca="false">IF(M$4=1,Inputs!$E$38,0)+IF(M$5&gt;1,Inputs!$E$39*1/12,0)</f>
        <v>0</v>
      </c>
      <c r="N53" s="52" t="n">
        <f aca="false">IF(N$4=1,Inputs!$E$38,0)+IF(N$5&gt;1,Inputs!$E$39*1/12,0)</f>
        <v>0</v>
      </c>
      <c r="O53" s="52" t="n">
        <f aca="false">IF(O$4=1,Inputs!$E$38,0)+IF(O$5&gt;1,Inputs!$E$39*1/12,0)</f>
        <v>1166.66666666667</v>
      </c>
      <c r="P53" s="52" t="n">
        <f aca="false">IF(P$4=1,Inputs!$E$38,0)+IF(P$5&gt;1,Inputs!$E$39*1/12,0)</f>
        <v>1166.66666666667</v>
      </c>
      <c r="Q53" s="52" t="n">
        <f aca="false">IF(Q$4=1,Inputs!$E$38,0)+IF(Q$5&gt;1,Inputs!$E$39*1/12,0)</f>
        <v>1166.66666666667</v>
      </c>
      <c r="R53" s="52" t="n">
        <f aca="false">IF(R$4=1,Inputs!$E$38,0)+IF(R$5&gt;1,Inputs!$E$39*1/12,0)</f>
        <v>1166.66666666667</v>
      </c>
      <c r="S53" s="52" t="n">
        <f aca="false">IF(S$4=1,Inputs!$E$38,0)+IF(S$5&gt;1,Inputs!$E$39*1/12,0)</f>
        <v>1166.66666666667</v>
      </c>
      <c r="T53" s="52" t="n">
        <f aca="false">IF(T$4=1,Inputs!$E$38,0)+IF(T$5&gt;1,Inputs!$E$39*1/12,0)</f>
        <v>1166.66666666667</v>
      </c>
      <c r="U53" s="52" t="n">
        <f aca="false">IF(U$4=1,Inputs!$E$38,0)+IF(U$5&gt;1,Inputs!$E$39*1/12,0)</f>
        <v>1166.66666666667</v>
      </c>
      <c r="V53" s="52" t="n">
        <f aca="false">IF(V$4=1,Inputs!$E$38,0)+IF(V$5&gt;1,Inputs!$E$39*1/12,0)</f>
        <v>1166.66666666667</v>
      </c>
      <c r="W53" s="52" t="n">
        <f aca="false">IF(W$4=1,Inputs!$E$38,0)+IF(W$5&gt;1,Inputs!$E$39*1/12,0)</f>
        <v>1166.66666666667</v>
      </c>
      <c r="X53" s="52" t="n">
        <f aca="false">IF(X$4=1,Inputs!$E$38,0)+IF(X$5&gt;1,Inputs!$E$39*1/12,0)</f>
        <v>1166.66666666667</v>
      </c>
      <c r="Y53" s="52" t="n">
        <f aca="false">IF(Y$4=1,Inputs!$E$38,0)+IF(Y$5&gt;1,Inputs!$E$39*1/12,0)</f>
        <v>1166.66666666667</v>
      </c>
      <c r="Z53" s="52" t="n">
        <f aca="false">IF(Z$4=1,Inputs!$E$38,0)+IF(Z$5&gt;1,Inputs!$E$39*1/12,0)</f>
        <v>1166.66666666667</v>
      </c>
      <c r="AA53" s="52" t="n">
        <f aca="false">IF(AA$4=1,Inputs!$E$38,0)+IF(AA$5&gt;1,Inputs!$E$39*1/12,0)</f>
        <v>1166.66666666667</v>
      </c>
      <c r="AB53" s="52" t="n">
        <f aca="false">IF(AB$4=1,Inputs!$E$38,0)+IF(AB$5&gt;1,Inputs!$E$39*1/12,0)</f>
        <v>1166.66666666667</v>
      </c>
      <c r="AC53" s="52" t="n">
        <f aca="false">IF(AC$4=1,Inputs!$E$38,0)+IF(AC$5&gt;1,Inputs!$E$39*1/12,0)</f>
        <v>1166.66666666667</v>
      </c>
      <c r="AD53" s="52" t="n">
        <f aca="false">IF(AD$4=1,Inputs!$E$38,0)+IF(AD$5&gt;1,Inputs!$E$39*1/12,0)</f>
        <v>1166.66666666667</v>
      </c>
      <c r="AE53" s="52" t="n">
        <f aca="false">IF(AE$4=1,Inputs!$E$38,0)+IF(AE$5&gt;1,Inputs!$E$39*1/12,0)</f>
        <v>1166.66666666667</v>
      </c>
      <c r="AF53" s="52" t="n">
        <f aca="false">IF(AF$4=1,Inputs!$E$38,0)+IF(AF$5&gt;1,Inputs!$E$39*1/12,0)</f>
        <v>1166.66666666667</v>
      </c>
      <c r="AG53" s="52" t="n">
        <f aca="false">IF(AG$4=1,Inputs!$E$38,0)+IF(AG$5&gt;1,Inputs!$E$39*1/12,0)</f>
        <v>1166.66666666667</v>
      </c>
      <c r="AH53" s="52" t="n">
        <f aca="false">IF(AH$4=1,Inputs!$E$38,0)+IF(AH$5&gt;1,Inputs!$E$39*1/12,0)</f>
        <v>1166.66666666667</v>
      </c>
      <c r="AI53" s="52" t="n">
        <f aca="false">IF(AI$4=1,Inputs!$E$38,0)+IF(AI$5&gt;1,Inputs!$E$39*1/12,0)</f>
        <v>1166.66666666667</v>
      </c>
      <c r="AJ53" s="52" t="n">
        <f aca="false">IF(AJ$4=1,Inputs!$E$38,0)+IF(AJ$5&gt;1,Inputs!$E$39*1/12,0)</f>
        <v>1166.66666666667</v>
      </c>
      <c r="AK53" s="52" t="n">
        <f aca="false">IF(AK$4=1,Inputs!$E$38,0)+IF(AK$5&gt;1,Inputs!$E$39*1/12,0)</f>
        <v>1166.66666666667</v>
      </c>
      <c r="AL53" s="52" t="n">
        <f aca="false">IF(AL$4=1,Inputs!$E$38,0)+IF(AL$5&gt;1,Inputs!$E$39*1/12,0)</f>
        <v>1166.66666666667</v>
      </c>
    </row>
    <row r="54" customFormat="false" ht="15" hidden="false" customHeight="false" outlineLevel="0" collapsed="false">
      <c r="A54" s="6" t="s">
        <v>363</v>
      </c>
      <c r="C54" s="52" t="n">
        <f aca="false">C53</f>
        <v>90000</v>
      </c>
      <c r="D54" s="52" t="n">
        <f aca="false">C54+D53</f>
        <v>90000</v>
      </c>
      <c r="E54" s="52" t="n">
        <f aca="false">D54+E53</f>
        <v>90000</v>
      </c>
      <c r="F54" s="52" t="n">
        <f aca="false">E54+F53</f>
        <v>90000</v>
      </c>
      <c r="G54" s="52" t="n">
        <f aca="false">F54+G53</f>
        <v>90000</v>
      </c>
      <c r="H54" s="52" t="n">
        <f aca="false">G54+H53</f>
        <v>90000</v>
      </c>
      <c r="I54" s="52" t="n">
        <f aca="false">H54+I53</f>
        <v>90000</v>
      </c>
      <c r="J54" s="52" t="n">
        <f aca="false">I54+J53</f>
        <v>90000</v>
      </c>
      <c r="K54" s="52" t="n">
        <f aca="false">J54+K53</f>
        <v>90000</v>
      </c>
      <c r="L54" s="52" t="n">
        <f aca="false">K54+L53</f>
        <v>90000</v>
      </c>
      <c r="M54" s="52" t="n">
        <f aca="false">L54+M53</f>
        <v>90000</v>
      </c>
      <c r="N54" s="52" t="n">
        <f aca="false">M54+N53</f>
        <v>90000</v>
      </c>
      <c r="O54" s="52" t="n">
        <f aca="false">N54+O53</f>
        <v>91166.6666666667</v>
      </c>
      <c r="P54" s="52" t="n">
        <f aca="false">O54+P53</f>
        <v>92333.3333333333</v>
      </c>
      <c r="Q54" s="52" t="n">
        <f aca="false">P54+Q53</f>
        <v>93500</v>
      </c>
      <c r="R54" s="52" t="n">
        <f aca="false">Q54+R53</f>
        <v>94666.6666666667</v>
      </c>
      <c r="S54" s="52" t="n">
        <f aca="false">R54+S53</f>
        <v>95833.3333333334</v>
      </c>
      <c r="T54" s="52" t="n">
        <f aca="false">S54+T53</f>
        <v>97000</v>
      </c>
      <c r="U54" s="52" t="n">
        <f aca="false">T54+U53</f>
        <v>98166.6666666667</v>
      </c>
      <c r="V54" s="52" t="n">
        <f aca="false">U54+V53</f>
        <v>99333.3333333334</v>
      </c>
      <c r="W54" s="52" t="n">
        <f aca="false">V54+W53</f>
        <v>100500</v>
      </c>
      <c r="X54" s="52" t="n">
        <f aca="false">W54+X53</f>
        <v>101666.666666667</v>
      </c>
      <c r="Y54" s="52" t="n">
        <f aca="false">X54+Y53</f>
        <v>102833.333333333</v>
      </c>
      <c r="Z54" s="52" t="n">
        <f aca="false">Y54+Z53</f>
        <v>104000</v>
      </c>
      <c r="AA54" s="52" t="n">
        <f aca="false">Z54+AA53</f>
        <v>105166.666666667</v>
      </c>
      <c r="AB54" s="52" t="n">
        <f aca="false">AA54+AB53</f>
        <v>106333.333333333</v>
      </c>
      <c r="AC54" s="52" t="n">
        <f aca="false">AB54+AC53</f>
        <v>107500</v>
      </c>
      <c r="AD54" s="52" t="n">
        <f aca="false">AC54+AD53</f>
        <v>108666.666666667</v>
      </c>
      <c r="AE54" s="52" t="n">
        <f aca="false">AD54+AE53</f>
        <v>109833.333333333</v>
      </c>
      <c r="AF54" s="52" t="n">
        <f aca="false">AE54+AF53</f>
        <v>111000</v>
      </c>
      <c r="AG54" s="52" t="n">
        <f aca="false">AF54+AG53</f>
        <v>112166.666666667</v>
      </c>
      <c r="AH54" s="52" t="n">
        <f aca="false">AG54+AH53</f>
        <v>113333.333333333</v>
      </c>
      <c r="AI54" s="52" t="n">
        <f aca="false">AH54+AI53</f>
        <v>114500</v>
      </c>
      <c r="AJ54" s="52" t="n">
        <f aca="false">AI54+AJ53</f>
        <v>115666.666666667</v>
      </c>
      <c r="AK54" s="52" t="n">
        <f aca="false">AJ54+AK53</f>
        <v>116833.333333333</v>
      </c>
      <c r="AL54" s="52" t="n">
        <f aca="false">AK54+AL53</f>
        <v>118000</v>
      </c>
    </row>
    <row r="55" customFormat="false" ht="15" hidden="false" customHeight="false" outlineLevel="0" collapsed="false">
      <c r="A55" s="6" t="s">
        <v>76</v>
      </c>
      <c r="C55" s="52" t="n">
        <f aca="false">-MIN(C54/MAX(1,Inputs!$E$69*12),C53)</f>
        <v>-1071.42857142857</v>
      </c>
      <c r="D55" s="52" t="n">
        <f aca="false">-MIN(D54/MAX(1,Inputs!$E$69*12),C57+D53)</f>
        <v>-1071.42857142857</v>
      </c>
      <c r="E55" s="52" t="n">
        <f aca="false">-MIN(E54/MAX(1,Inputs!$E$69*12),D57+E53)</f>
        <v>-1071.42857142857</v>
      </c>
      <c r="F55" s="52" t="n">
        <f aca="false">-MIN(F54/MAX(1,Inputs!$E$69*12),E57+F53)</f>
        <v>-1071.42857142857</v>
      </c>
      <c r="G55" s="52" t="n">
        <f aca="false">-MIN(G54/MAX(1,Inputs!$E$69*12),F57+G53)</f>
        <v>-1071.42857142857</v>
      </c>
      <c r="H55" s="52" t="n">
        <f aca="false">-MIN(H54/MAX(1,Inputs!$E$69*12),G57+H53)</f>
        <v>-1071.42857142857</v>
      </c>
      <c r="I55" s="52" t="n">
        <f aca="false">-MIN(I54/MAX(1,Inputs!$E$69*12),H57+I53)</f>
        <v>-1071.42857142857</v>
      </c>
      <c r="J55" s="52" t="n">
        <f aca="false">-MIN(J54/MAX(1,Inputs!$E$69*12),I57+J53)</f>
        <v>-1071.42857142857</v>
      </c>
      <c r="K55" s="52" t="n">
        <f aca="false">-MIN(K54/MAX(1,Inputs!$E$69*12),J57+K53)</f>
        <v>-1071.42857142857</v>
      </c>
      <c r="L55" s="52" t="n">
        <f aca="false">-MIN(L54/MAX(1,Inputs!$E$69*12),K57+L53)</f>
        <v>-1071.42857142857</v>
      </c>
      <c r="M55" s="52" t="n">
        <f aca="false">-MIN(M54/MAX(1,Inputs!$E$69*12),L57+M53)</f>
        <v>-1071.42857142857</v>
      </c>
      <c r="N55" s="52" t="n">
        <f aca="false">-MIN(N54/MAX(1,Inputs!$E$69*12),M57+N53)</f>
        <v>-1071.42857142857</v>
      </c>
      <c r="O55" s="52" t="n">
        <f aca="false">-MIN(O54/MAX(1,Inputs!$E$69*12),N57+O53)</f>
        <v>-1085.31746031746</v>
      </c>
      <c r="P55" s="52" t="n">
        <f aca="false">-MIN(P54/MAX(1,Inputs!$E$69*12),O57+P53)</f>
        <v>-1099.20634920635</v>
      </c>
      <c r="Q55" s="52" t="n">
        <f aca="false">-MIN(Q54/MAX(1,Inputs!$E$69*12),P57+Q53)</f>
        <v>-1113.09523809524</v>
      </c>
      <c r="R55" s="52" t="n">
        <f aca="false">-MIN(R54/MAX(1,Inputs!$E$69*12),Q57+R53)</f>
        <v>-1126.98412698413</v>
      </c>
      <c r="S55" s="52" t="n">
        <f aca="false">-MIN(S54/MAX(1,Inputs!$E$69*12),R57+S53)</f>
        <v>-1140.87301587302</v>
      </c>
      <c r="T55" s="52" t="n">
        <f aca="false">-MIN(T54/MAX(1,Inputs!$E$69*12),S57+T53)</f>
        <v>-1154.76190476191</v>
      </c>
      <c r="U55" s="52" t="n">
        <f aca="false">-MIN(U54/MAX(1,Inputs!$E$69*12),T57+U53)</f>
        <v>-1168.65079365079</v>
      </c>
      <c r="V55" s="52" t="n">
        <f aca="false">-MIN(V54/MAX(1,Inputs!$E$69*12),U57+V53)</f>
        <v>-1182.53968253968</v>
      </c>
      <c r="W55" s="52" t="n">
        <f aca="false">-MIN(W54/MAX(1,Inputs!$E$69*12),V57+W53)</f>
        <v>-1196.42857142857</v>
      </c>
      <c r="X55" s="52" t="n">
        <f aca="false">-MIN(X54/MAX(1,Inputs!$E$69*12),W57+X53)</f>
        <v>-1210.31746031746</v>
      </c>
      <c r="Y55" s="52" t="n">
        <f aca="false">-MIN(Y54/MAX(1,Inputs!$E$69*12),X57+Y53)</f>
        <v>-1224.20634920635</v>
      </c>
      <c r="Z55" s="52" t="n">
        <f aca="false">-MIN(Z54/MAX(1,Inputs!$E$69*12),Y57+Z53)</f>
        <v>-1238.09523809524</v>
      </c>
      <c r="AA55" s="52" t="n">
        <f aca="false">-MIN(AA54/MAX(1,Inputs!$E$69*12),Z57+AA53)</f>
        <v>-1251.98412698413</v>
      </c>
      <c r="AB55" s="52" t="n">
        <f aca="false">-MIN(AB54/MAX(1,Inputs!$E$69*12),AA57+AB53)</f>
        <v>-1265.87301587302</v>
      </c>
      <c r="AC55" s="52" t="n">
        <f aca="false">-MIN(AC54/MAX(1,Inputs!$E$69*12),AB57+AC53)</f>
        <v>-1279.76190476191</v>
      </c>
      <c r="AD55" s="52" t="n">
        <f aca="false">-MIN(AD54/MAX(1,Inputs!$E$69*12),AC57+AD53)</f>
        <v>-1293.65079365079</v>
      </c>
      <c r="AE55" s="52" t="n">
        <f aca="false">-MIN(AE54/MAX(1,Inputs!$E$69*12),AD57+AE53)</f>
        <v>-1307.53968253968</v>
      </c>
      <c r="AF55" s="52" t="n">
        <f aca="false">-MIN(AF54/MAX(1,Inputs!$E$69*12),AE57+AF53)</f>
        <v>-1321.42857142857</v>
      </c>
      <c r="AG55" s="52" t="n">
        <f aca="false">-MIN(AG54/MAX(1,Inputs!$E$69*12),AF57+AG53)</f>
        <v>-1335.31746031746</v>
      </c>
      <c r="AH55" s="52" t="n">
        <f aca="false">-MIN(AH54/MAX(1,Inputs!$E$69*12),AG57+AH53)</f>
        <v>-1349.20634920635</v>
      </c>
      <c r="AI55" s="52" t="n">
        <f aca="false">-MIN(AI54/MAX(1,Inputs!$E$69*12),AH57+AI53)</f>
        <v>-1363.09523809524</v>
      </c>
      <c r="AJ55" s="52" t="n">
        <f aca="false">-MIN(AJ54/MAX(1,Inputs!$E$69*12),AI57+AJ53)</f>
        <v>-1376.98412698413</v>
      </c>
      <c r="AK55" s="52" t="n">
        <f aca="false">-MIN(AK54/MAX(1,Inputs!$E$69*12),AJ57+AK53)</f>
        <v>-1390.87301587302</v>
      </c>
      <c r="AL55" s="52" t="n">
        <f aca="false">-MIN(AL54/MAX(1,Inputs!$E$69*12),AK57+AL53)</f>
        <v>-1404.76190476191</v>
      </c>
    </row>
    <row r="56" customFormat="false" ht="15" hidden="false" customHeight="false" outlineLevel="0" collapsed="false">
      <c r="A56" s="6" t="s">
        <v>364</v>
      </c>
      <c r="C56" s="52" t="n">
        <f aca="false">C55</f>
        <v>-1071.42857142857</v>
      </c>
      <c r="D56" s="52" t="n">
        <f aca="false">C56+D55</f>
        <v>-2142.85714285714</v>
      </c>
      <c r="E56" s="52" t="n">
        <f aca="false">D56+E55</f>
        <v>-3214.28571428571</v>
      </c>
      <c r="F56" s="52" t="n">
        <f aca="false">E56+F55</f>
        <v>-4285.71428571429</v>
      </c>
      <c r="G56" s="52" t="n">
        <f aca="false">F56+G55</f>
        <v>-5357.14285714286</v>
      </c>
      <c r="H56" s="52" t="n">
        <f aca="false">G56+H55</f>
        <v>-6428.57142857143</v>
      </c>
      <c r="I56" s="52" t="n">
        <f aca="false">H56+I55</f>
        <v>-7500</v>
      </c>
      <c r="J56" s="52" t="n">
        <f aca="false">I56+J55</f>
        <v>-8571.42857142857</v>
      </c>
      <c r="K56" s="52" t="n">
        <f aca="false">J56+K55</f>
        <v>-9642.85714285714</v>
      </c>
      <c r="L56" s="52" t="n">
        <f aca="false">K56+L55</f>
        <v>-10714.2857142857</v>
      </c>
      <c r="M56" s="52" t="n">
        <f aca="false">L56+M55</f>
        <v>-11785.7142857143</v>
      </c>
      <c r="N56" s="52" t="n">
        <f aca="false">M56+N55</f>
        <v>-12857.1428571429</v>
      </c>
      <c r="O56" s="52" t="n">
        <f aca="false">N56+O55</f>
        <v>-13942.4603174603</v>
      </c>
      <c r="P56" s="52" t="n">
        <f aca="false">O56+P55</f>
        <v>-15041.6666666667</v>
      </c>
      <c r="Q56" s="52" t="n">
        <f aca="false">P56+Q55</f>
        <v>-16154.7619047619</v>
      </c>
      <c r="R56" s="52" t="n">
        <f aca="false">Q56+R55</f>
        <v>-17281.746031746</v>
      </c>
      <c r="S56" s="52" t="n">
        <f aca="false">R56+S55</f>
        <v>-18422.619047619</v>
      </c>
      <c r="T56" s="52" t="n">
        <f aca="false">S56+T55</f>
        <v>-19577.380952381</v>
      </c>
      <c r="U56" s="52" t="n">
        <f aca="false">T56+U55</f>
        <v>-20746.0317460317</v>
      </c>
      <c r="V56" s="52" t="n">
        <f aca="false">U56+V55</f>
        <v>-21928.5714285714</v>
      </c>
      <c r="W56" s="52" t="n">
        <f aca="false">V56+W55</f>
        <v>-23125</v>
      </c>
      <c r="X56" s="52" t="n">
        <f aca="false">W56+X55</f>
        <v>-24335.3174603175</v>
      </c>
      <c r="Y56" s="52" t="n">
        <f aca="false">X56+Y55</f>
        <v>-25559.5238095238</v>
      </c>
      <c r="Z56" s="52" t="n">
        <f aca="false">Y56+Z55</f>
        <v>-26797.6190476191</v>
      </c>
      <c r="AA56" s="52" t="n">
        <f aca="false">Z56+AA55</f>
        <v>-28049.6031746032</v>
      </c>
      <c r="AB56" s="52" t="n">
        <f aca="false">AA56+AB55</f>
        <v>-29315.4761904762</v>
      </c>
      <c r="AC56" s="52" t="n">
        <f aca="false">AB56+AC55</f>
        <v>-30595.2380952381</v>
      </c>
      <c r="AD56" s="52" t="n">
        <f aca="false">AC56+AD55</f>
        <v>-31888.8888888889</v>
      </c>
      <c r="AE56" s="52" t="n">
        <f aca="false">AD56+AE55</f>
        <v>-33196.4285714286</v>
      </c>
      <c r="AF56" s="52" t="n">
        <f aca="false">AE56+AF55</f>
        <v>-34517.8571428572</v>
      </c>
      <c r="AG56" s="52" t="n">
        <f aca="false">AF56+AG55</f>
        <v>-35853.1746031746</v>
      </c>
      <c r="AH56" s="52" t="n">
        <f aca="false">AG56+AH55</f>
        <v>-37202.380952381</v>
      </c>
      <c r="AI56" s="52" t="n">
        <f aca="false">AH56+AI55</f>
        <v>-38565.4761904762</v>
      </c>
      <c r="AJ56" s="52" t="n">
        <f aca="false">AI56+AJ55</f>
        <v>-39942.4603174603</v>
      </c>
      <c r="AK56" s="52" t="n">
        <f aca="false">AJ56+AK55</f>
        <v>-41333.3333333334</v>
      </c>
      <c r="AL56" s="52" t="n">
        <f aca="false">AK56+AL55</f>
        <v>-42738.0952380953</v>
      </c>
    </row>
    <row r="57" customFormat="false" ht="15" hidden="false" customHeight="false" outlineLevel="0" collapsed="false">
      <c r="A57" s="4" t="s">
        <v>90</v>
      </c>
      <c r="C57" s="58" t="n">
        <f aca="false">C54+C56</f>
        <v>88928.5714285714</v>
      </c>
      <c r="D57" s="58" t="n">
        <f aca="false">D54+D56</f>
        <v>87857.1428571429</v>
      </c>
      <c r="E57" s="58" t="n">
        <f aca="false">E54+E56</f>
        <v>86785.7142857143</v>
      </c>
      <c r="F57" s="58" t="n">
        <f aca="false">F54+F56</f>
        <v>85714.2857142857</v>
      </c>
      <c r="G57" s="58" t="n">
        <f aca="false">G54+G56</f>
        <v>84642.8571428571</v>
      </c>
      <c r="H57" s="58" t="n">
        <f aca="false">H54+H56</f>
        <v>83571.4285714286</v>
      </c>
      <c r="I57" s="58" t="n">
        <f aca="false">I54+I56</f>
        <v>82500</v>
      </c>
      <c r="J57" s="58" t="n">
        <f aca="false">J54+J56</f>
        <v>81428.5714285714</v>
      </c>
      <c r="K57" s="58" t="n">
        <f aca="false">K54+K56</f>
        <v>80357.1428571429</v>
      </c>
      <c r="L57" s="58" t="n">
        <f aca="false">L54+L56</f>
        <v>79285.7142857143</v>
      </c>
      <c r="M57" s="58" t="n">
        <f aca="false">M54+M56</f>
        <v>78214.2857142857</v>
      </c>
      <c r="N57" s="58" t="n">
        <f aca="false">N54+N56</f>
        <v>77142.8571428571</v>
      </c>
      <c r="O57" s="58" t="n">
        <f aca="false">O54+O56</f>
        <v>77224.2063492064</v>
      </c>
      <c r="P57" s="58" t="n">
        <f aca="false">P54+P56</f>
        <v>77291.6666666667</v>
      </c>
      <c r="Q57" s="58" t="n">
        <f aca="false">Q54+Q56</f>
        <v>77345.2380952381</v>
      </c>
      <c r="R57" s="58" t="n">
        <f aca="false">R54+R56</f>
        <v>77384.9206349207</v>
      </c>
      <c r="S57" s="58" t="n">
        <f aca="false">S54+S56</f>
        <v>77410.7142857143</v>
      </c>
      <c r="T57" s="58" t="n">
        <f aca="false">T54+T56</f>
        <v>77422.6190476191</v>
      </c>
      <c r="U57" s="58" t="n">
        <f aca="false">U54+U56</f>
        <v>77420.634920635</v>
      </c>
      <c r="V57" s="58" t="n">
        <f aca="false">V54+V56</f>
        <v>77404.761904762</v>
      </c>
      <c r="W57" s="58" t="n">
        <f aca="false">W54+W56</f>
        <v>77375</v>
      </c>
      <c r="X57" s="58" t="n">
        <f aca="false">X54+X56</f>
        <v>77331.3492063493</v>
      </c>
      <c r="Y57" s="58" t="n">
        <f aca="false">Y54+Y56</f>
        <v>77273.8095238096</v>
      </c>
      <c r="Z57" s="58" t="n">
        <f aca="false">Z54+Z56</f>
        <v>77202.380952381</v>
      </c>
      <c r="AA57" s="58" t="n">
        <f aca="false">AA54+AA56</f>
        <v>77117.0634920636</v>
      </c>
      <c r="AB57" s="58" t="n">
        <f aca="false">AB54+AB56</f>
        <v>77017.8571428572</v>
      </c>
      <c r="AC57" s="58" t="n">
        <f aca="false">AC54+AC56</f>
        <v>76904.761904762</v>
      </c>
      <c r="AD57" s="58" t="n">
        <f aca="false">AD54+AD56</f>
        <v>76777.7777777779</v>
      </c>
      <c r="AE57" s="58" t="n">
        <f aca="false">AE54+AE56</f>
        <v>76636.9047619048</v>
      </c>
      <c r="AF57" s="58" t="n">
        <f aca="false">AF54+AF56</f>
        <v>76482.1428571429</v>
      </c>
      <c r="AG57" s="58" t="n">
        <f aca="false">AG54+AG56</f>
        <v>76313.4920634921</v>
      </c>
      <c r="AH57" s="58" t="n">
        <f aca="false">AH54+AH56</f>
        <v>76130.9523809525</v>
      </c>
      <c r="AI57" s="58" t="n">
        <f aca="false">AI54+AI56</f>
        <v>75934.5238095239</v>
      </c>
      <c r="AJ57" s="58" t="n">
        <f aca="false">AJ54+AJ56</f>
        <v>75724.2063492065</v>
      </c>
      <c r="AK57" s="58" t="n">
        <f aca="false">AK54+AK56</f>
        <v>75500.0000000001</v>
      </c>
      <c r="AL57" s="58" t="n">
        <f aca="false">AL54+AL56</f>
        <v>75261.9047619049</v>
      </c>
    </row>
    <row r="59" customFormat="false" ht="15.75" hidden="false" customHeight="true" outlineLevel="0" collapsed="false">
      <c r="A59" s="7" t="s">
        <v>365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366</v>
      </c>
      <c r="C60" s="52" t="n">
        <f aca="false">0</f>
        <v>0</v>
      </c>
      <c r="D60" s="52" t="n">
        <f aca="false">C63</f>
        <v>80000</v>
      </c>
      <c r="E60" s="52" t="n">
        <f aca="false">D63</f>
        <v>78666.6666666667</v>
      </c>
      <c r="F60" s="52" t="n">
        <f aca="false">E63</f>
        <v>77333.3333333333</v>
      </c>
      <c r="G60" s="52" t="n">
        <f aca="false">F63</f>
        <v>76000</v>
      </c>
      <c r="H60" s="52" t="n">
        <f aca="false">G63</f>
        <v>74666.6666666667</v>
      </c>
      <c r="I60" s="52" t="n">
        <f aca="false">H63</f>
        <v>73333.3333333334</v>
      </c>
      <c r="J60" s="52" t="n">
        <f aca="false">I63</f>
        <v>72000</v>
      </c>
      <c r="K60" s="52" t="n">
        <f aca="false">J63</f>
        <v>70666.6666666667</v>
      </c>
      <c r="L60" s="52" t="n">
        <f aca="false">K63</f>
        <v>69333.3333333334</v>
      </c>
      <c r="M60" s="52" t="n">
        <f aca="false">L63</f>
        <v>68000</v>
      </c>
      <c r="N60" s="52" t="n">
        <f aca="false">M63</f>
        <v>66666.6666666667</v>
      </c>
      <c r="O60" s="52" t="n">
        <f aca="false">N63</f>
        <v>65333.3333333334</v>
      </c>
      <c r="P60" s="52" t="n">
        <f aca="false">O63</f>
        <v>64000</v>
      </c>
      <c r="Q60" s="52" t="n">
        <f aca="false">P63</f>
        <v>62666.6666666667</v>
      </c>
      <c r="R60" s="52" t="n">
        <f aca="false">Q63</f>
        <v>61333.3333333334</v>
      </c>
      <c r="S60" s="52" t="n">
        <f aca="false">R63</f>
        <v>60000</v>
      </c>
      <c r="T60" s="52" t="n">
        <f aca="false">S63</f>
        <v>58666.6666666667</v>
      </c>
      <c r="U60" s="52" t="n">
        <f aca="false">T63</f>
        <v>57333.3333333334</v>
      </c>
      <c r="V60" s="52" t="n">
        <f aca="false">U63</f>
        <v>56000</v>
      </c>
      <c r="W60" s="52" t="n">
        <f aca="false">V63</f>
        <v>54666.6666666667</v>
      </c>
      <c r="X60" s="52" t="n">
        <f aca="false">W63</f>
        <v>53333.3333333334</v>
      </c>
      <c r="Y60" s="52" t="n">
        <f aca="false">X63</f>
        <v>52000</v>
      </c>
      <c r="Z60" s="52" t="n">
        <f aca="false">Y63</f>
        <v>50666.6666666667</v>
      </c>
      <c r="AA60" s="52" t="n">
        <f aca="false">Z63</f>
        <v>49333.3333333334</v>
      </c>
      <c r="AB60" s="52" t="n">
        <f aca="false">AA63</f>
        <v>48000</v>
      </c>
      <c r="AC60" s="52" t="n">
        <f aca="false">AB63</f>
        <v>46666.6666666667</v>
      </c>
      <c r="AD60" s="52" t="n">
        <f aca="false">AC63</f>
        <v>45333.3333333333</v>
      </c>
      <c r="AE60" s="52" t="n">
        <f aca="false">AD63</f>
        <v>44000</v>
      </c>
      <c r="AF60" s="52" t="n">
        <f aca="false">AE63</f>
        <v>42666.6666666667</v>
      </c>
      <c r="AG60" s="52" t="n">
        <f aca="false">AF63</f>
        <v>41333.3333333333</v>
      </c>
      <c r="AH60" s="52" t="n">
        <f aca="false">AG63</f>
        <v>40000</v>
      </c>
      <c r="AI60" s="52" t="n">
        <f aca="false">AH63</f>
        <v>38666.6666666667</v>
      </c>
      <c r="AJ60" s="52" t="n">
        <f aca="false">AI63</f>
        <v>37333.3333333333</v>
      </c>
      <c r="AK60" s="52" t="n">
        <f aca="false">AJ63</f>
        <v>36000</v>
      </c>
      <c r="AL60" s="52" t="n">
        <f aca="false">AK63</f>
        <v>34666.6666666667</v>
      </c>
    </row>
    <row r="61" customFormat="false" ht="15" hidden="false" customHeight="false" outlineLevel="0" collapsed="false">
      <c r="A61" s="6" t="s">
        <v>83</v>
      </c>
      <c r="C61" s="52" t="n">
        <f aca="false">IF(C$4=1,Inputs!$E$59,0)</f>
        <v>80000</v>
      </c>
      <c r="D61" s="52" t="n">
        <f aca="false">IF(D$4=1,Inputs!$E$59,0)</f>
        <v>0</v>
      </c>
      <c r="E61" s="52" t="n">
        <f aca="false">IF(E$4=1,Inputs!$E$59,0)</f>
        <v>0</v>
      </c>
      <c r="F61" s="52" t="n">
        <f aca="false">IF(F$4=1,Inputs!$E$59,0)</f>
        <v>0</v>
      </c>
      <c r="G61" s="52" t="n">
        <f aca="false">IF(G$4=1,Inputs!$E$59,0)</f>
        <v>0</v>
      </c>
      <c r="H61" s="52" t="n">
        <f aca="false">IF(H$4=1,Inputs!$E$59,0)</f>
        <v>0</v>
      </c>
      <c r="I61" s="52" t="n">
        <f aca="false">IF(I$4=1,Inputs!$E$59,0)</f>
        <v>0</v>
      </c>
      <c r="J61" s="52" t="n">
        <f aca="false">IF(J$4=1,Inputs!$E$59,0)</f>
        <v>0</v>
      </c>
      <c r="K61" s="52" t="n">
        <f aca="false">IF(K$4=1,Inputs!$E$59,0)</f>
        <v>0</v>
      </c>
      <c r="L61" s="52" t="n">
        <f aca="false">IF(L$4=1,Inputs!$E$59,0)</f>
        <v>0</v>
      </c>
      <c r="M61" s="52" t="n">
        <f aca="false">IF(M$4=1,Inputs!$E$59,0)</f>
        <v>0</v>
      </c>
      <c r="N61" s="52" t="n">
        <f aca="false">IF(N$4=1,Inputs!$E$59,0)</f>
        <v>0</v>
      </c>
      <c r="O61" s="52" t="n">
        <f aca="false">IF(O$4=1,Inputs!$E$59,0)</f>
        <v>0</v>
      </c>
      <c r="P61" s="52" t="n">
        <f aca="false">IF(P$4=1,Inputs!$E$59,0)</f>
        <v>0</v>
      </c>
      <c r="Q61" s="52" t="n">
        <f aca="false">IF(Q$4=1,Inputs!$E$59,0)</f>
        <v>0</v>
      </c>
      <c r="R61" s="52" t="n">
        <f aca="false">IF(R$4=1,Inputs!$E$59,0)</f>
        <v>0</v>
      </c>
      <c r="S61" s="52" t="n">
        <f aca="false">IF(S$4=1,Inputs!$E$59,0)</f>
        <v>0</v>
      </c>
      <c r="T61" s="52" t="n">
        <f aca="false">IF(T$4=1,Inputs!$E$59,0)</f>
        <v>0</v>
      </c>
      <c r="U61" s="52" t="n">
        <f aca="false">IF(U$4=1,Inputs!$E$59,0)</f>
        <v>0</v>
      </c>
      <c r="V61" s="52" t="n">
        <f aca="false">IF(V$4=1,Inputs!$E$59,0)</f>
        <v>0</v>
      </c>
      <c r="W61" s="52" t="n">
        <f aca="false">IF(W$4=1,Inputs!$E$59,0)</f>
        <v>0</v>
      </c>
      <c r="X61" s="52" t="n">
        <f aca="false">IF(X$4=1,Inputs!$E$59,0)</f>
        <v>0</v>
      </c>
      <c r="Y61" s="52" t="n">
        <f aca="false">IF(Y$4=1,Inputs!$E$59,0)</f>
        <v>0</v>
      </c>
      <c r="Z61" s="52" t="n">
        <f aca="false">IF(Z$4=1,Inputs!$E$59,0)</f>
        <v>0</v>
      </c>
      <c r="AA61" s="52" t="n">
        <f aca="false">IF(AA$4=1,Inputs!$E$59,0)</f>
        <v>0</v>
      </c>
      <c r="AB61" s="52" t="n">
        <f aca="false">IF(AB$4=1,Inputs!$E$59,0)</f>
        <v>0</v>
      </c>
      <c r="AC61" s="52" t="n">
        <f aca="false">IF(AC$4=1,Inputs!$E$59,0)</f>
        <v>0</v>
      </c>
      <c r="AD61" s="52" t="n">
        <f aca="false">IF(AD$4=1,Inputs!$E$59,0)</f>
        <v>0</v>
      </c>
      <c r="AE61" s="52" t="n">
        <f aca="false">IF(AE$4=1,Inputs!$E$59,0)</f>
        <v>0</v>
      </c>
      <c r="AF61" s="52" t="n">
        <f aca="false">IF(AF$4=1,Inputs!$E$59,0)</f>
        <v>0</v>
      </c>
      <c r="AG61" s="52" t="n">
        <f aca="false">IF(AG$4=1,Inputs!$E$59,0)</f>
        <v>0</v>
      </c>
      <c r="AH61" s="52" t="n">
        <f aca="false">IF(AH$4=1,Inputs!$E$59,0)</f>
        <v>0</v>
      </c>
      <c r="AI61" s="52" t="n">
        <f aca="false">IF(AI$4=1,Inputs!$E$59,0)</f>
        <v>0</v>
      </c>
      <c r="AJ61" s="52" t="n">
        <f aca="false">IF(AJ$4=1,Inputs!$E$59,0)</f>
        <v>0</v>
      </c>
      <c r="AK61" s="52" t="n">
        <f aca="false">IF(AK$4=1,Inputs!$E$59,0)</f>
        <v>0</v>
      </c>
      <c r="AL61" s="52" t="n">
        <f aca="false">IF(AL$4=1,Inputs!$E$59,0)</f>
        <v>0</v>
      </c>
    </row>
    <row r="62" customFormat="false" ht="15" hidden="false" customHeight="false" outlineLevel="0" collapsed="false">
      <c r="A62" s="6" t="s">
        <v>84</v>
      </c>
      <c r="C62" s="52" t="n">
        <f aca="false">-MIN(C60,Inputs!$E$59/MAX(1,Inputs!$E$61*12))</f>
        <v>-0</v>
      </c>
      <c r="D62" s="52" t="n">
        <f aca="false">-MIN(D60,Inputs!$E$59/MAX(1,Inputs!$E$61*12))</f>
        <v>-1333.33333333333</v>
      </c>
      <c r="E62" s="52" t="n">
        <f aca="false">-MIN(E60,Inputs!$E$59/MAX(1,Inputs!$E$61*12))</f>
        <v>-1333.33333333333</v>
      </c>
      <c r="F62" s="52" t="n">
        <f aca="false">-MIN(F60,Inputs!$E$59/MAX(1,Inputs!$E$61*12))</f>
        <v>-1333.33333333333</v>
      </c>
      <c r="G62" s="52" t="n">
        <f aca="false">-MIN(G60,Inputs!$E$59/MAX(1,Inputs!$E$61*12))</f>
        <v>-1333.33333333333</v>
      </c>
      <c r="H62" s="52" t="n">
        <f aca="false">-MIN(H60,Inputs!$E$59/MAX(1,Inputs!$E$61*12))</f>
        <v>-1333.33333333333</v>
      </c>
      <c r="I62" s="52" t="n">
        <f aca="false">-MIN(I60,Inputs!$E$59/MAX(1,Inputs!$E$61*12))</f>
        <v>-1333.33333333333</v>
      </c>
      <c r="J62" s="52" t="n">
        <f aca="false">-MIN(J60,Inputs!$E$59/MAX(1,Inputs!$E$61*12))</f>
        <v>-1333.33333333333</v>
      </c>
      <c r="K62" s="52" t="n">
        <f aca="false">-MIN(K60,Inputs!$E$59/MAX(1,Inputs!$E$61*12))</f>
        <v>-1333.33333333333</v>
      </c>
      <c r="L62" s="52" t="n">
        <f aca="false">-MIN(L60,Inputs!$E$59/MAX(1,Inputs!$E$61*12))</f>
        <v>-1333.33333333333</v>
      </c>
      <c r="M62" s="52" t="n">
        <f aca="false">-MIN(M60,Inputs!$E$59/MAX(1,Inputs!$E$61*12))</f>
        <v>-1333.33333333333</v>
      </c>
      <c r="N62" s="52" t="n">
        <f aca="false">-MIN(N60,Inputs!$E$59/MAX(1,Inputs!$E$61*12))</f>
        <v>-1333.33333333333</v>
      </c>
      <c r="O62" s="52" t="n">
        <f aca="false">-MIN(O60,Inputs!$E$59/MAX(1,Inputs!$E$61*12))</f>
        <v>-1333.33333333333</v>
      </c>
      <c r="P62" s="52" t="n">
        <f aca="false">-MIN(P60,Inputs!$E$59/MAX(1,Inputs!$E$61*12))</f>
        <v>-1333.33333333333</v>
      </c>
      <c r="Q62" s="52" t="n">
        <f aca="false">-MIN(Q60,Inputs!$E$59/MAX(1,Inputs!$E$61*12))</f>
        <v>-1333.33333333333</v>
      </c>
      <c r="R62" s="52" t="n">
        <f aca="false">-MIN(R60,Inputs!$E$59/MAX(1,Inputs!$E$61*12))</f>
        <v>-1333.33333333333</v>
      </c>
      <c r="S62" s="52" t="n">
        <f aca="false">-MIN(S60,Inputs!$E$59/MAX(1,Inputs!$E$61*12))</f>
        <v>-1333.33333333333</v>
      </c>
      <c r="T62" s="52" t="n">
        <f aca="false">-MIN(T60,Inputs!$E$59/MAX(1,Inputs!$E$61*12))</f>
        <v>-1333.33333333333</v>
      </c>
      <c r="U62" s="52" t="n">
        <f aca="false">-MIN(U60,Inputs!$E$59/MAX(1,Inputs!$E$61*12))</f>
        <v>-1333.33333333333</v>
      </c>
      <c r="V62" s="52" t="n">
        <f aca="false">-MIN(V60,Inputs!$E$59/MAX(1,Inputs!$E$61*12))</f>
        <v>-1333.33333333333</v>
      </c>
      <c r="W62" s="52" t="n">
        <f aca="false">-MIN(W60,Inputs!$E$59/MAX(1,Inputs!$E$61*12))</f>
        <v>-1333.33333333333</v>
      </c>
      <c r="X62" s="52" t="n">
        <f aca="false">-MIN(X60,Inputs!$E$59/MAX(1,Inputs!$E$61*12))</f>
        <v>-1333.33333333333</v>
      </c>
      <c r="Y62" s="52" t="n">
        <f aca="false">-MIN(Y60,Inputs!$E$59/MAX(1,Inputs!$E$61*12))</f>
        <v>-1333.33333333333</v>
      </c>
      <c r="Z62" s="52" t="n">
        <f aca="false">-MIN(Z60,Inputs!$E$59/MAX(1,Inputs!$E$61*12))</f>
        <v>-1333.33333333333</v>
      </c>
      <c r="AA62" s="52" t="n">
        <f aca="false">-MIN(AA60,Inputs!$E$59/MAX(1,Inputs!$E$61*12))</f>
        <v>-1333.33333333333</v>
      </c>
      <c r="AB62" s="52" t="n">
        <f aca="false">-MIN(AB60,Inputs!$E$59/MAX(1,Inputs!$E$61*12))</f>
        <v>-1333.33333333333</v>
      </c>
      <c r="AC62" s="52" t="n">
        <f aca="false">-MIN(AC60,Inputs!$E$59/MAX(1,Inputs!$E$61*12))</f>
        <v>-1333.33333333333</v>
      </c>
      <c r="AD62" s="52" t="n">
        <f aca="false">-MIN(AD60,Inputs!$E$59/MAX(1,Inputs!$E$61*12))</f>
        <v>-1333.33333333333</v>
      </c>
      <c r="AE62" s="52" t="n">
        <f aca="false">-MIN(AE60,Inputs!$E$59/MAX(1,Inputs!$E$61*12))</f>
        <v>-1333.33333333333</v>
      </c>
      <c r="AF62" s="52" t="n">
        <f aca="false">-MIN(AF60,Inputs!$E$59/MAX(1,Inputs!$E$61*12))</f>
        <v>-1333.33333333333</v>
      </c>
      <c r="AG62" s="52" t="n">
        <f aca="false">-MIN(AG60,Inputs!$E$59/MAX(1,Inputs!$E$61*12))</f>
        <v>-1333.33333333333</v>
      </c>
      <c r="AH62" s="52" t="n">
        <f aca="false">-MIN(AH60,Inputs!$E$59/MAX(1,Inputs!$E$61*12))</f>
        <v>-1333.33333333333</v>
      </c>
      <c r="AI62" s="52" t="n">
        <f aca="false">-MIN(AI60,Inputs!$E$59/MAX(1,Inputs!$E$61*12))</f>
        <v>-1333.33333333333</v>
      </c>
      <c r="AJ62" s="52" t="n">
        <f aca="false">-MIN(AJ60,Inputs!$E$59/MAX(1,Inputs!$E$61*12))</f>
        <v>-1333.33333333333</v>
      </c>
      <c r="AK62" s="52" t="n">
        <f aca="false">-MIN(AK60,Inputs!$E$59/MAX(1,Inputs!$E$61*12))</f>
        <v>-1333.33333333333</v>
      </c>
      <c r="AL62" s="52" t="n">
        <f aca="false">-MIN(AL60,Inputs!$E$59/MAX(1,Inputs!$E$61*12))</f>
        <v>-1333.33333333333</v>
      </c>
    </row>
    <row r="63" customFormat="false" ht="15" hidden="false" customHeight="false" outlineLevel="0" collapsed="false">
      <c r="A63" s="4" t="s">
        <v>367</v>
      </c>
      <c r="C63" s="58" t="n">
        <f aca="false">C60+C61+C62</f>
        <v>80000</v>
      </c>
      <c r="D63" s="58" t="n">
        <f aca="false">D60+D61+D62</f>
        <v>78666.6666666667</v>
      </c>
      <c r="E63" s="58" t="n">
        <f aca="false">E60+E61+E62</f>
        <v>77333.3333333333</v>
      </c>
      <c r="F63" s="58" t="n">
        <f aca="false">F60+F61+F62</f>
        <v>76000</v>
      </c>
      <c r="G63" s="58" t="n">
        <f aca="false">G60+G61+G62</f>
        <v>74666.6666666667</v>
      </c>
      <c r="H63" s="58" t="n">
        <f aca="false">H60+H61+H62</f>
        <v>73333.3333333334</v>
      </c>
      <c r="I63" s="58" t="n">
        <f aca="false">I60+I61+I62</f>
        <v>72000</v>
      </c>
      <c r="J63" s="58" t="n">
        <f aca="false">J60+J61+J62</f>
        <v>70666.6666666667</v>
      </c>
      <c r="K63" s="58" t="n">
        <f aca="false">K60+K61+K62</f>
        <v>69333.3333333334</v>
      </c>
      <c r="L63" s="58" t="n">
        <f aca="false">L60+L61+L62</f>
        <v>68000</v>
      </c>
      <c r="M63" s="58" t="n">
        <f aca="false">M60+M61+M62</f>
        <v>66666.6666666667</v>
      </c>
      <c r="N63" s="58" t="n">
        <f aca="false">N60+N61+N62</f>
        <v>65333.3333333334</v>
      </c>
      <c r="O63" s="58" t="n">
        <f aca="false">O60+O61+O62</f>
        <v>64000</v>
      </c>
      <c r="P63" s="58" t="n">
        <f aca="false">P60+P61+P62</f>
        <v>62666.6666666667</v>
      </c>
      <c r="Q63" s="58" t="n">
        <f aca="false">Q60+Q61+Q62</f>
        <v>61333.3333333334</v>
      </c>
      <c r="R63" s="58" t="n">
        <f aca="false">R60+R61+R62</f>
        <v>60000</v>
      </c>
      <c r="S63" s="58" t="n">
        <f aca="false">S60+S61+S62</f>
        <v>58666.6666666667</v>
      </c>
      <c r="T63" s="58" t="n">
        <f aca="false">T60+T61+T62</f>
        <v>57333.3333333334</v>
      </c>
      <c r="U63" s="58" t="n">
        <f aca="false">U60+U61+U62</f>
        <v>56000</v>
      </c>
      <c r="V63" s="58" t="n">
        <f aca="false">V60+V61+V62</f>
        <v>54666.6666666667</v>
      </c>
      <c r="W63" s="58" t="n">
        <f aca="false">W60+W61+W62</f>
        <v>53333.3333333334</v>
      </c>
      <c r="X63" s="58" t="n">
        <f aca="false">X60+X61+X62</f>
        <v>52000</v>
      </c>
      <c r="Y63" s="58" t="n">
        <f aca="false">Y60+Y61+Y62</f>
        <v>50666.6666666667</v>
      </c>
      <c r="Z63" s="58" t="n">
        <f aca="false">Z60+Z61+Z62</f>
        <v>49333.3333333334</v>
      </c>
      <c r="AA63" s="58" t="n">
        <f aca="false">AA60+AA61+AA62</f>
        <v>48000</v>
      </c>
      <c r="AB63" s="58" t="n">
        <f aca="false">AB60+AB61+AB62</f>
        <v>46666.6666666667</v>
      </c>
      <c r="AC63" s="58" t="n">
        <f aca="false">AC60+AC61+AC62</f>
        <v>45333.3333333333</v>
      </c>
      <c r="AD63" s="58" t="n">
        <f aca="false">AD60+AD61+AD62</f>
        <v>44000</v>
      </c>
      <c r="AE63" s="58" t="n">
        <f aca="false">AE60+AE61+AE62</f>
        <v>42666.6666666667</v>
      </c>
      <c r="AF63" s="58" t="n">
        <f aca="false">AF60+AF61+AF62</f>
        <v>41333.3333333333</v>
      </c>
      <c r="AG63" s="58" t="n">
        <f aca="false">AG60+AG61+AG62</f>
        <v>40000</v>
      </c>
      <c r="AH63" s="58" t="n">
        <f aca="false">AH60+AH61+AH62</f>
        <v>38666.6666666667</v>
      </c>
      <c r="AI63" s="58" t="n">
        <f aca="false">AI60+AI61+AI62</f>
        <v>37333.3333333333</v>
      </c>
      <c r="AJ63" s="58" t="n">
        <f aca="false">AJ60+AJ61+AJ62</f>
        <v>36000</v>
      </c>
      <c r="AK63" s="58" t="n">
        <f aca="false">AK60+AK61+AK62</f>
        <v>34666.6666666667</v>
      </c>
      <c r="AL63" s="58" t="n">
        <f aca="false">AL60+AL61+AL62</f>
        <v>33333.3333333333</v>
      </c>
    </row>
    <row r="65" customFormat="false" ht="15.75" hidden="false" customHeight="true" outlineLevel="0" collapsed="false">
      <c r="A65" s="7" t="s">
        <v>276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88</v>
      </c>
      <c r="C66" s="52" t="n">
        <f aca="false">C22*Inputs!$E$64/30</f>
        <v>27151.488</v>
      </c>
      <c r="D66" s="52" t="n">
        <f aca="false">D22*Inputs!$E$64/30</f>
        <v>28659.904</v>
      </c>
      <c r="E66" s="52" t="n">
        <f aca="false">E22*Inputs!$E$64/30</f>
        <v>30168.32</v>
      </c>
      <c r="F66" s="52" t="n">
        <f aca="false">F22*Inputs!$E$64/30</f>
        <v>30168.32</v>
      </c>
      <c r="G66" s="52" t="n">
        <f aca="false">G22*Inputs!$E$64/30</f>
        <v>30168.32</v>
      </c>
      <c r="H66" s="52" t="n">
        <f aca="false">H22*Inputs!$E$64/30</f>
        <v>30168.32</v>
      </c>
      <c r="I66" s="52" t="n">
        <f aca="false">I22*Inputs!$E$64/30</f>
        <v>30168.32</v>
      </c>
      <c r="J66" s="52" t="n">
        <f aca="false">J22*Inputs!$E$64/30</f>
        <v>30168.32</v>
      </c>
      <c r="K66" s="52" t="n">
        <f aca="false">K22*Inputs!$E$64/30</f>
        <v>30168.32</v>
      </c>
      <c r="L66" s="52" t="n">
        <f aca="false">L22*Inputs!$E$64/30</f>
        <v>30168.32</v>
      </c>
      <c r="M66" s="52" t="n">
        <f aca="false">M22*Inputs!$E$64/30</f>
        <v>35526.4</v>
      </c>
      <c r="N66" s="52" t="n">
        <f aca="false">N22*Inputs!$E$64/30</f>
        <v>35526.4</v>
      </c>
      <c r="O66" s="52" t="n">
        <f aca="false">O22*Inputs!$E$64/30</f>
        <v>32815.397888</v>
      </c>
      <c r="P66" s="52" t="n">
        <f aca="false">P22*Inputs!$E$64/30</f>
        <v>32815.397888</v>
      </c>
      <c r="Q66" s="52" t="n">
        <f aca="false">Q22*Inputs!$E$64/30</f>
        <v>32815.397888</v>
      </c>
      <c r="R66" s="52" t="n">
        <f aca="false">R22*Inputs!$E$64/30</f>
        <v>32815.397888</v>
      </c>
      <c r="S66" s="52" t="n">
        <f aca="false">S22*Inputs!$E$64/30</f>
        <v>32815.397888</v>
      </c>
      <c r="T66" s="52" t="n">
        <f aca="false">T22*Inputs!$E$64/30</f>
        <v>32815.397888</v>
      </c>
      <c r="U66" s="52" t="n">
        <f aca="false">U22*Inputs!$E$64/30</f>
        <v>32815.397888</v>
      </c>
      <c r="V66" s="52" t="n">
        <f aca="false">V22*Inputs!$E$64/30</f>
        <v>32815.397888</v>
      </c>
      <c r="W66" s="52" t="n">
        <f aca="false">W22*Inputs!$E$64/30</f>
        <v>32815.397888</v>
      </c>
      <c r="X66" s="52" t="n">
        <f aca="false">X22*Inputs!$E$64/30</f>
        <v>32815.397888</v>
      </c>
      <c r="Y66" s="52" t="n">
        <f aca="false">Y22*Inputs!$E$64/30</f>
        <v>38499.78496</v>
      </c>
      <c r="Z66" s="52" t="n">
        <f aca="false">Z22*Inputs!$E$64/30</f>
        <v>38499.78496</v>
      </c>
      <c r="AA66" s="52" t="n">
        <f aca="false">AA22*Inputs!$E$64/30</f>
        <v>35748.0722772992</v>
      </c>
      <c r="AB66" s="52" t="n">
        <f aca="false">AB22*Inputs!$E$64/30</f>
        <v>35748.0722772992</v>
      </c>
      <c r="AC66" s="52" t="n">
        <f aca="false">AC22*Inputs!$E$64/30</f>
        <v>35748.0722772992</v>
      </c>
      <c r="AD66" s="52" t="n">
        <f aca="false">AD22*Inputs!$E$64/30</f>
        <v>35748.0722772992</v>
      </c>
      <c r="AE66" s="52" t="n">
        <f aca="false">AE22*Inputs!$E$64/30</f>
        <v>35748.0722772992</v>
      </c>
      <c r="AF66" s="52" t="n">
        <f aca="false">AF22*Inputs!$E$64/30</f>
        <v>35748.0722772992</v>
      </c>
      <c r="AG66" s="52" t="n">
        <f aca="false">AG22*Inputs!$E$64/30</f>
        <v>35748.0722772992</v>
      </c>
      <c r="AH66" s="52" t="n">
        <f aca="false">AH22*Inputs!$E$64/30</f>
        <v>35748.0722772992</v>
      </c>
      <c r="AI66" s="52" t="n">
        <f aca="false">AI22*Inputs!$E$64/30</f>
        <v>35748.0722772992</v>
      </c>
      <c r="AJ66" s="52" t="n">
        <f aca="false">AJ22*Inputs!$E$64/30</f>
        <v>35748.0722772992</v>
      </c>
      <c r="AK66" s="52" t="n">
        <f aca="false">AK22*Inputs!$E$64/30</f>
        <v>41778.638521984</v>
      </c>
      <c r="AL66" s="52" t="n">
        <f aca="false">AL22*Inputs!$E$64/30</f>
        <v>41778.638521984</v>
      </c>
    </row>
    <row r="67" customFormat="false" ht="15" hidden="false" customHeight="false" outlineLevel="0" collapsed="false">
      <c r="A67" s="6" t="s">
        <v>89</v>
      </c>
      <c r="C67" s="52" t="n">
        <f aca="false">-C28*Inputs!$E$65/30</f>
        <v>3699.48260571429</v>
      </c>
      <c r="D67" s="52" t="n">
        <f aca="false">-D28*Inputs!$E$65/30</f>
        <v>3905.00941714286</v>
      </c>
      <c r="E67" s="52" t="n">
        <f aca="false">-E28*Inputs!$E$65/30</f>
        <v>4110.53622857143</v>
      </c>
      <c r="F67" s="52" t="n">
        <f aca="false">-F28*Inputs!$E$65/30</f>
        <v>4110.53622857143</v>
      </c>
      <c r="G67" s="52" t="n">
        <f aca="false">-G28*Inputs!$E$65/30</f>
        <v>4110.53622857143</v>
      </c>
      <c r="H67" s="52" t="n">
        <f aca="false">-H28*Inputs!$E$65/30</f>
        <v>4110.53622857143</v>
      </c>
      <c r="I67" s="52" t="n">
        <f aca="false">-I28*Inputs!$E$65/30</f>
        <v>4110.53622857143</v>
      </c>
      <c r="J67" s="52" t="n">
        <f aca="false">-J28*Inputs!$E$65/30</f>
        <v>4110.53622857143</v>
      </c>
      <c r="K67" s="52" t="n">
        <f aca="false">-K28*Inputs!$E$65/30</f>
        <v>4110.53622857143</v>
      </c>
      <c r="L67" s="52" t="n">
        <f aca="false">-L28*Inputs!$E$65/30</f>
        <v>4110.53622857143</v>
      </c>
      <c r="M67" s="52" t="n">
        <f aca="false">-M28*Inputs!$E$65/30</f>
        <v>4796.53028571429</v>
      </c>
      <c r="N67" s="52" t="n">
        <f aca="false">-N28*Inputs!$E$65/30</f>
        <v>4796.53028571429</v>
      </c>
      <c r="O67" s="52" t="n">
        <f aca="false">-O28*Inputs!$E$65/30</f>
        <v>4487.54799689143</v>
      </c>
      <c r="P67" s="52" t="n">
        <f aca="false">-P28*Inputs!$E$65/30</f>
        <v>4487.54799689143</v>
      </c>
      <c r="Q67" s="52" t="n">
        <f aca="false">-Q28*Inputs!$E$65/30</f>
        <v>4487.54799689143</v>
      </c>
      <c r="R67" s="52" t="n">
        <f aca="false">-R28*Inputs!$E$65/30</f>
        <v>4487.54799689143</v>
      </c>
      <c r="S67" s="52" t="n">
        <f aca="false">-S28*Inputs!$E$65/30</f>
        <v>4487.54799689143</v>
      </c>
      <c r="T67" s="52" t="n">
        <f aca="false">-T28*Inputs!$E$65/30</f>
        <v>4487.54799689143</v>
      </c>
      <c r="U67" s="52" t="n">
        <f aca="false">-U28*Inputs!$E$65/30</f>
        <v>4487.54799689143</v>
      </c>
      <c r="V67" s="52" t="n">
        <f aca="false">-V28*Inputs!$E$65/30</f>
        <v>4487.54799689143</v>
      </c>
      <c r="W67" s="52" t="n">
        <f aca="false">-W28*Inputs!$E$65/30</f>
        <v>4487.54799689143</v>
      </c>
      <c r="X67" s="52" t="n">
        <f aca="false">-X28*Inputs!$E$65/30</f>
        <v>4487.54799689143</v>
      </c>
      <c r="Y67" s="52" t="n">
        <f aca="false">-Y28*Inputs!$E$65/30</f>
        <v>5215.31909211429</v>
      </c>
      <c r="Z67" s="52" t="n">
        <f aca="false">-Z28*Inputs!$E$65/30</f>
        <v>5215.31909211429</v>
      </c>
      <c r="AA67" s="52" t="n">
        <f aca="false">-AA28*Inputs!$E$65/30</f>
        <v>4906.97784710532</v>
      </c>
      <c r="AB67" s="52" t="n">
        <f aca="false">-AB28*Inputs!$E$65/30</f>
        <v>4906.97784710532</v>
      </c>
      <c r="AC67" s="52" t="n">
        <f aca="false">-AC28*Inputs!$E$65/30</f>
        <v>4906.97784710532</v>
      </c>
      <c r="AD67" s="52" t="n">
        <f aca="false">-AD28*Inputs!$E$65/30</f>
        <v>4906.97784710532</v>
      </c>
      <c r="AE67" s="52" t="n">
        <f aca="false">-AE28*Inputs!$E$65/30</f>
        <v>4906.97784710532</v>
      </c>
      <c r="AF67" s="52" t="n">
        <f aca="false">-AF28*Inputs!$E$65/30</f>
        <v>4906.97784710532</v>
      </c>
      <c r="AG67" s="52" t="n">
        <f aca="false">-AG28*Inputs!$E$65/30</f>
        <v>4906.97784710532</v>
      </c>
      <c r="AH67" s="52" t="n">
        <f aca="false">-AH28*Inputs!$E$65/30</f>
        <v>4906.97784710532</v>
      </c>
      <c r="AI67" s="52" t="n">
        <f aca="false">-AI28*Inputs!$E$65/30</f>
        <v>4906.97784710532</v>
      </c>
      <c r="AJ67" s="52" t="n">
        <f aca="false">-AJ28*Inputs!$E$65/30</f>
        <v>4906.97784710532</v>
      </c>
      <c r="AK67" s="52" t="n">
        <f aca="false">-AK28*Inputs!$E$65/30</f>
        <v>5679.07020202725</v>
      </c>
      <c r="AL67" s="52" t="n">
        <f aca="false">-AL28*Inputs!$E$65/30</f>
        <v>5679.07020202725</v>
      </c>
    </row>
    <row r="68" customFormat="false" ht="15" hidden="false" customHeight="false" outlineLevel="0" collapsed="false">
      <c r="A68" s="6" t="s">
        <v>92</v>
      </c>
      <c r="C68" s="52" t="n">
        <f aca="false">-C28*Inputs!$E$66/30</f>
        <v>22196.8956342857</v>
      </c>
      <c r="D68" s="52" t="n">
        <f aca="false">-D28*Inputs!$E$66/30</f>
        <v>23430.0565028571</v>
      </c>
      <c r="E68" s="52" t="n">
        <f aca="false">-E28*Inputs!$E$66/30</f>
        <v>24663.2173714286</v>
      </c>
      <c r="F68" s="52" t="n">
        <f aca="false">-F28*Inputs!$E$66/30</f>
        <v>24663.2173714286</v>
      </c>
      <c r="G68" s="52" t="n">
        <f aca="false">-G28*Inputs!$E$66/30</f>
        <v>24663.2173714286</v>
      </c>
      <c r="H68" s="52" t="n">
        <f aca="false">-H28*Inputs!$E$66/30</f>
        <v>24663.2173714286</v>
      </c>
      <c r="I68" s="52" t="n">
        <f aca="false">-I28*Inputs!$E$66/30</f>
        <v>24663.2173714286</v>
      </c>
      <c r="J68" s="52" t="n">
        <f aca="false">-J28*Inputs!$E$66/30</f>
        <v>24663.2173714286</v>
      </c>
      <c r="K68" s="52" t="n">
        <f aca="false">-K28*Inputs!$E$66/30</f>
        <v>24663.2173714286</v>
      </c>
      <c r="L68" s="52" t="n">
        <f aca="false">-L28*Inputs!$E$66/30</f>
        <v>24663.2173714286</v>
      </c>
      <c r="M68" s="52" t="n">
        <f aca="false">-M28*Inputs!$E$66/30</f>
        <v>28779.1817142857</v>
      </c>
      <c r="N68" s="52" t="n">
        <f aca="false">-N28*Inputs!$E$66/30</f>
        <v>28779.1817142857</v>
      </c>
      <c r="O68" s="52" t="n">
        <f aca="false">-O28*Inputs!$E$66/30</f>
        <v>26925.2879813486</v>
      </c>
      <c r="P68" s="52" t="n">
        <f aca="false">-P28*Inputs!$E$66/30</f>
        <v>26925.2879813486</v>
      </c>
      <c r="Q68" s="52" t="n">
        <f aca="false">-Q28*Inputs!$E$66/30</f>
        <v>26925.2879813486</v>
      </c>
      <c r="R68" s="52" t="n">
        <f aca="false">-R28*Inputs!$E$66/30</f>
        <v>26925.2879813486</v>
      </c>
      <c r="S68" s="52" t="n">
        <f aca="false">-S28*Inputs!$E$66/30</f>
        <v>26925.2879813486</v>
      </c>
      <c r="T68" s="52" t="n">
        <f aca="false">-T28*Inputs!$E$66/30</f>
        <v>26925.2879813486</v>
      </c>
      <c r="U68" s="52" t="n">
        <f aca="false">-U28*Inputs!$E$66/30</f>
        <v>26925.2879813486</v>
      </c>
      <c r="V68" s="52" t="n">
        <f aca="false">-V28*Inputs!$E$66/30</f>
        <v>26925.2879813486</v>
      </c>
      <c r="W68" s="52" t="n">
        <f aca="false">-W28*Inputs!$E$66/30</f>
        <v>26925.2879813486</v>
      </c>
      <c r="X68" s="52" t="n">
        <f aca="false">-X28*Inputs!$E$66/30</f>
        <v>26925.2879813486</v>
      </c>
      <c r="Y68" s="52" t="n">
        <f aca="false">-Y28*Inputs!$E$66/30</f>
        <v>31291.9145526857</v>
      </c>
      <c r="Z68" s="52" t="n">
        <f aca="false">-Z28*Inputs!$E$66/30</f>
        <v>31291.9145526857</v>
      </c>
      <c r="AA68" s="52" t="n">
        <f aca="false">-AA28*Inputs!$E$66/30</f>
        <v>29441.8670826319</v>
      </c>
      <c r="AB68" s="52" t="n">
        <f aca="false">-AB28*Inputs!$E$66/30</f>
        <v>29441.8670826319</v>
      </c>
      <c r="AC68" s="52" t="n">
        <f aca="false">-AC28*Inputs!$E$66/30</f>
        <v>29441.8670826319</v>
      </c>
      <c r="AD68" s="52" t="n">
        <f aca="false">-AD28*Inputs!$E$66/30</f>
        <v>29441.8670826319</v>
      </c>
      <c r="AE68" s="52" t="n">
        <f aca="false">-AE28*Inputs!$E$66/30</f>
        <v>29441.8670826319</v>
      </c>
      <c r="AF68" s="52" t="n">
        <f aca="false">-AF28*Inputs!$E$66/30</f>
        <v>29441.8670826319</v>
      </c>
      <c r="AG68" s="52" t="n">
        <f aca="false">-AG28*Inputs!$E$66/30</f>
        <v>29441.8670826319</v>
      </c>
      <c r="AH68" s="52" t="n">
        <f aca="false">-AH28*Inputs!$E$66/30</f>
        <v>29441.8670826319</v>
      </c>
      <c r="AI68" s="52" t="n">
        <f aca="false">-AI28*Inputs!$E$66/30</f>
        <v>29441.8670826319</v>
      </c>
      <c r="AJ68" s="52" t="n">
        <f aca="false">-AJ28*Inputs!$E$66/30</f>
        <v>29441.8670826319</v>
      </c>
      <c r="AK68" s="52" t="n">
        <f aca="false">-AK28*Inputs!$E$66/30</f>
        <v>34074.4212121635</v>
      </c>
      <c r="AL68" s="52" t="n">
        <f aca="false">-AL28*Inputs!$E$66/30</f>
        <v>34074.4212121635</v>
      </c>
    </row>
    <row r="69" customFormat="false" ht="15" hidden="false" customHeight="false" outlineLevel="0" collapsed="false">
      <c r="A69" s="6" t="s">
        <v>301</v>
      </c>
      <c r="C69" s="52" t="n">
        <f aca="false">-C66</f>
        <v>-27151.488</v>
      </c>
      <c r="D69" s="52" t="n">
        <f aca="false">C66-D66</f>
        <v>-1508.41599999999</v>
      </c>
      <c r="E69" s="52" t="n">
        <f aca="false">D66-E66</f>
        <v>-1508.416</v>
      </c>
      <c r="F69" s="52" t="n">
        <f aca="false">E66-F66</f>
        <v>0</v>
      </c>
      <c r="G69" s="52" t="n">
        <f aca="false">F66-G66</f>
        <v>0</v>
      </c>
      <c r="H69" s="52" t="n">
        <f aca="false">G66-H66</f>
        <v>0</v>
      </c>
      <c r="I69" s="52" t="n">
        <f aca="false">H66-I66</f>
        <v>0</v>
      </c>
      <c r="J69" s="52" t="n">
        <f aca="false">I66-J66</f>
        <v>0</v>
      </c>
      <c r="K69" s="52" t="n">
        <f aca="false">J66-K66</f>
        <v>0</v>
      </c>
      <c r="L69" s="52" t="n">
        <f aca="false">K66-L66</f>
        <v>0</v>
      </c>
      <c r="M69" s="52" t="n">
        <f aca="false">L66-M66</f>
        <v>-5358.08</v>
      </c>
      <c r="N69" s="52" t="n">
        <f aca="false">M66-N66</f>
        <v>0</v>
      </c>
      <c r="O69" s="52" t="n">
        <f aca="false">N66-O66</f>
        <v>2711.00211199999</v>
      </c>
      <c r="P69" s="52" t="n">
        <f aca="false">O66-P66</f>
        <v>0</v>
      </c>
      <c r="Q69" s="52" t="n">
        <f aca="false">P66-Q66</f>
        <v>0</v>
      </c>
      <c r="R69" s="52" t="n">
        <f aca="false">Q66-R66</f>
        <v>0</v>
      </c>
      <c r="S69" s="52" t="n">
        <f aca="false">R66-S66</f>
        <v>0</v>
      </c>
      <c r="T69" s="52" t="n">
        <f aca="false">S66-T66</f>
        <v>0</v>
      </c>
      <c r="U69" s="52" t="n">
        <f aca="false">T66-U66</f>
        <v>0</v>
      </c>
      <c r="V69" s="52" t="n">
        <f aca="false">U66-V66</f>
        <v>0</v>
      </c>
      <c r="W69" s="52" t="n">
        <f aca="false">V66-W66</f>
        <v>0</v>
      </c>
      <c r="X69" s="52" t="n">
        <f aca="false">W66-X66</f>
        <v>0</v>
      </c>
      <c r="Y69" s="52" t="n">
        <f aca="false">X66-Y66</f>
        <v>-5684.387072</v>
      </c>
      <c r="Z69" s="52" t="n">
        <f aca="false">Y66-Z66</f>
        <v>0</v>
      </c>
      <c r="AA69" s="52" t="n">
        <f aca="false">Z66-AA66</f>
        <v>2751.7126827008</v>
      </c>
      <c r="AB69" s="52" t="n">
        <f aca="false">AA66-AB66</f>
        <v>0</v>
      </c>
      <c r="AC69" s="52" t="n">
        <f aca="false">AB66-AC66</f>
        <v>0</v>
      </c>
      <c r="AD69" s="52" t="n">
        <f aca="false">AC66-AD66</f>
        <v>0</v>
      </c>
      <c r="AE69" s="52" t="n">
        <f aca="false">AD66-AE66</f>
        <v>0</v>
      </c>
      <c r="AF69" s="52" t="n">
        <f aca="false">AE66-AF66</f>
        <v>0</v>
      </c>
      <c r="AG69" s="52" t="n">
        <f aca="false">AF66-AG66</f>
        <v>0</v>
      </c>
      <c r="AH69" s="52" t="n">
        <f aca="false">AG66-AH66</f>
        <v>0</v>
      </c>
      <c r="AI69" s="52" t="n">
        <f aca="false">AH66-AI66</f>
        <v>0</v>
      </c>
      <c r="AJ69" s="52" t="n">
        <f aca="false">AI66-AJ66</f>
        <v>0</v>
      </c>
      <c r="AK69" s="52" t="n">
        <f aca="false">AJ66-AK66</f>
        <v>-6030.5662446848</v>
      </c>
      <c r="AL69" s="52" t="n">
        <f aca="false">AK66-AL66</f>
        <v>0</v>
      </c>
    </row>
    <row r="70" customFormat="false" ht="15" hidden="false" customHeight="false" outlineLevel="0" collapsed="false">
      <c r="A70" s="6" t="s">
        <v>302</v>
      </c>
      <c r="C70" s="52" t="n">
        <f aca="false">-C67</f>
        <v>-3699.48260571429</v>
      </c>
      <c r="D70" s="52" t="n">
        <f aca="false">C67-D67</f>
        <v>-205.526811428571</v>
      </c>
      <c r="E70" s="52" t="n">
        <f aca="false">D67-E67</f>
        <v>-205.526811428572</v>
      </c>
      <c r="F70" s="52" t="n">
        <f aca="false">E67-F67</f>
        <v>0</v>
      </c>
      <c r="G70" s="52" t="n">
        <f aca="false">F67-G67</f>
        <v>0</v>
      </c>
      <c r="H70" s="52" t="n">
        <f aca="false">G67-H67</f>
        <v>0</v>
      </c>
      <c r="I70" s="52" t="n">
        <f aca="false">H67-I67</f>
        <v>0</v>
      </c>
      <c r="J70" s="52" t="n">
        <f aca="false">I67-J67</f>
        <v>0</v>
      </c>
      <c r="K70" s="52" t="n">
        <f aca="false">J67-K67</f>
        <v>0</v>
      </c>
      <c r="L70" s="52" t="n">
        <f aca="false">K67-L67</f>
        <v>0</v>
      </c>
      <c r="M70" s="52" t="n">
        <f aca="false">L67-M67</f>
        <v>-685.994057142856</v>
      </c>
      <c r="N70" s="52" t="n">
        <f aca="false">M67-N67</f>
        <v>0</v>
      </c>
      <c r="O70" s="52" t="n">
        <f aca="false">N67-O67</f>
        <v>308.982288822856</v>
      </c>
      <c r="P70" s="52" t="n">
        <f aca="false">O67-P67</f>
        <v>0</v>
      </c>
      <c r="Q70" s="52" t="n">
        <f aca="false">P67-Q67</f>
        <v>0</v>
      </c>
      <c r="R70" s="52" t="n">
        <f aca="false">Q67-R67</f>
        <v>0</v>
      </c>
      <c r="S70" s="52" t="n">
        <f aca="false">R67-S67</f>
        <v>0</v>
      </c>
      <c r="T70" s="52" t="n">
        <f aca="false">S67-T67</f>
        <v>0</v>
      </c>
      <c r="U70" s="52" t="n">
        <f aca="false">T67-U67</f>
        <v>0</v>
      </c>
      <c r="V70" s="52" t="n">
        <f aca="false">U67-V67</f>
        <v>0</v>
      </c>
      <c r="W70" s="52" t="n">
        <f aca="false">V67-W67</f>
        <v>0</v>
      </c>
      <c r="X70" s="52" t="n">
        <f aca="false">W67-X67</f>
        <v>0</v>
      </c>
      <c r="Y70" s="52" t="n">
        <f aca="false">X67-Y67</f>
        <v>-727.771095222857</v>
      </c>
      <c r="Z70" s="52" t="n">
        <f aca="false">Y67-Z67</f>
        <v>0</v>
      </c>
      <c r="AA70" s="52" t="n">
        <f aca="false">Z67-AA67</f>
        <v>308.34124500897</v>
      </c>
      <c r="AB70" s="52" t="n">
        <f aca="false">AA67-AB67</f>
        <v>0</v>
      </c>
      <c r="AC70" s="52" t="n">
        <f aca="false">AB67-AC67</f>
        <v>0</v>
      </c>
      <c r="AD70" s="52" t="n">
        <f aca="false">AC67-AD67</f>
        <v>0</v>
      </c>
      <c r="AE70" s="52" t="n">
        <f aca="false">AD67-AE67</f>
        <v>0</v>
      </c>
      <c r="AF70" s="52" t="n">
        <f aca="false">AE67-AF67</f>
        <v>0</v>
      </c>
      <c r="AG70" s="52" t="n">
        <f aca="false">AF67-AG67</f>
        <v>0</v>
      </c>
      <c r="AH70" s="52" t="n">
        <f aca="false">AG67-AH67</f>
        <v>0</v>
      </c>
      <c r="AI70" s="52" t="n">
        <f aca="false">AH67-AI67</f>
        <v>0</v>
      </c>
      <c r="AJ70" s="52" t="n">
        <f aca="false">AI67-AJ67</f>
        <v>0</v>
      </c>
      <c r="AK70" s="52" t="n">
        <f aca="false">AJ67-AK67</f>
        <v>-772.092354921931</v>
      </c>
      <c r="AL70" s="52" t="n">
        <f aca="false">AK67-AL67</f>
        <v>0</v>
      </c>
    </row>
    <row r="71" customFormat="false" ht="15" hidden="false" customHeight="false" outlineLevel="0" collapsed="false">
      <c r="A71" s="6" t="s">
        <v>303</v>
      </c>
      <c r="C71" s="52" t="n">
        <f aca="false">C68</f>
        <v>22196.8956342857</v>
      </c>
      <c r="D71" s="52" t="n">
        <f aca="false">D68-C68</f>
        <v>1233.16086857143</v>
      </c>
      <c r="E71" s="52" t="n">
        <f aca="false">E68-D68</f>
        <v>1233.16086857143</v>
      </c>
      <c r="F71" s="52" t="n">
        <f aca="false">F68-E68</f>
        <v>0</v>
      </c>
      <c r="G71" s="52" t="n">
        <f aca="false">G68-F68</f>
        <v>0</v>
      </c>
      <c r="H71" s="52" t="n">
        <f aca="false">H68-G68</f>
        <v>0</v>
      </c>
      <c r="I71" s="52" t="n">
        <f aca="false">I68-H68</f>
        <v>0</v>
      </c>
      <c r="J71" s="52" t="n">
        <f aca="false">J68-I68</f>
        <v>0</v>
      </c>
      <c r="K71" s="52" t="n">
        <f aca="false">K68-J68</f>
        <v>0</v>
      </c>
      <c r="L71" s="52" t="n">
        <f aca="false">L68-K68</f>
        <v>0</v>
      </c>
      <c r="M71" s="52" t="n">
        <f aca="false">M68-L68</f>
        <v>4115.96434285714</v>
      </c>
      <c r="N71" s="52" t="n">
        <f aca="false">N68-M68</f>
        <v>0</v>
      </c>
      <c r="O71" s="52" t="n">
        <f aca="false">O68-N68</f>
        <v>-1853.89373293714</v>
      </c>
      <c r="P71" s="52" t="n">
        <f aca="false">P68-O68</f>
        <v>0</v>
      </c>
      <c r="Q71" s="52" t="n">
        <f aca="false">Q68-P68</f>
        <v>0</v>
      </c>
      <c r="R71" s="52" t="n">
        <f aca="false">R68-Q68</f>
        <v>0</v>
      </c>
      <c r="S71" s="52" t="n">
        <f aca="false">S68-R68</f>
        <v>0</v>
      </c>
      <c r="T71" s="52" t="n">
        <f aca="false">T68-S68</f>
        <v>0</v>
      </c>
      <c r="U71" s="52" t="n">
        <f aca="false">U68-T68</f>
        <v>0</v>
      </c>
      <c r="V71" s="52" t="n">
        <f aca="false">V68-U68</f>
        <v>0</v>
      </c>
      <c r="W71" s="52" t="n">
        <f aca="false">W68-V68</f>
        <v>0</v>
      </c>
      <c r="X71" s="52" t="n">
        <f aca="false">X68-W68</f>
        <v>0</v>
      </c>
      <c r="Y71" s="52" t="n">
        <f aca="false">Y68-X68</f>
        <v>4366.62657133715</v>
      </c>
      <c r="Z71" s="52" t="n">
        <f aca="false">Z68-Y68</f>
        <v>0</v>
      </c>
      <c r="AA71" s="52" t="n">
        <f aca="false">AA68-Z68</f>
        <v>-1850.04747005382</v>
      </c>
      <c r="AB71" s="52" t="n">
        <f aca="false">AB68-AA68</f>
        <v>0</v>
      </c>
      <c r="AC71" s="52" t="n">
        <f aca="false">AC68-AB68</f>
        <v>0</v>
      </c>
      <c r="AD71" s="52" t="n">
        <f aca="false">AD68-AC68</f>
        <v>0</v>
      </c>
      <c r="AE71" s="52" t="n">
        <f aca="false">AE68-AD68</f>
        <v>0</v>
      </c>
      <c r="AF71" s="52" t="n">
        <f aca="false">AF68-AE68</f>
        <v>0</v>
      </c>
      <c r="AG71" s="52" t="n">
        <f aca="false">AG68-AF68</f>
        <v>0</v>
      </c>
      <c r="AH71" s="52" t="n">
        <f aca="false">AH68-AG68</f>
        <v>0</v>
      </c>
      <c r="AI71" s="52" t="n">
        <f aca="false">AI68-AH68</f>
        <v>0</v>
      </c>
      <c r="AJ71" s="52" t="n">
        <f aca="false">AJ68-AI68</f>
        <v>0</v>
      </c>
      <c r="AK71" s="52" t="n">
        <f aca="false">AK68-AJ68</f>
        <v>4632.55412953159</v>
      </c>
      <c r="AL71" s="52" t="n">
        <f aca="false">AL68-AK68</f>
        <v>0</v>
      </c>
    </row>
    <row r="73" customFormat="false" ht="15.75" hidden="false" customHeight="true" outlineLevel="0" collapsed="false">
      <c r="A73" s="7" t="s">
        <v>368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50</v>
      </c>
      <c r="C74" s="58" t="n">
        <f aca="false">C50-C55+C69+C70+C71</f>
        <v>-6781.60924830475</v>
      </c>
      <c r="D74" s="58" t="n">
        <f aca="false">D50-D55+D69+D70+D71</f>
        <v>4551.84761673651</v>
      </c>
      <c r="E74" s="58" t="n">
        <f aca="false">E50-E55+E69+E70+E71</f>
        <v>7715.74200876191</v>
      </c>
      <c r="F74" s="58" t="n">
        <f aca="false">F50-F55+F69+F70+F71</f>
        <v>8203.98506273016</v>
      </c>
      <c r="G74" s="58" t="n">
        <f aca="false">G50-G55+G69+G70+G71</f>
        <v>8211.44617384128</v>
      </c>
      <c r="H74" s="58" t="n">
        <f aca="false">H50-H55+H69+H70+H71</f>
        <v>8218.90728495239</v>
      </c>
      <c r="I74" s="58" t="n">
        <f aca="false">I50-I55+I69+I70+I71</f>
        <v>8226.3683960635</v>
      </c>
      <c r="J74" s="58" t="n">
        <f aca="false">J50-J55+J69+J70+J71</f>
        <v>8233.82950717461</v>
      </c>
      <c r="K74" s="58" t="n">
        <f aca="false">K50-K55+K69+K70+K71</f>
        <v>8241.29061828572</v>
      </c>
      <c r="L74" s="58" t="n">
        <f aca="false">L50-L55+L69+L70+L71</f>
        <v>8248.75172939683</v>
      </c>
      <c r="M74" s="58" t="n">
        <f aca="false">M50-M55+M69+M70+M71</f>
        <v>18178.9135307937</v>
      </c>
      <c r="N74" s="58" t="n">
        <f aca="false">N50-N55+N69+N70+N71</f>
        <v>20114.4843561905</v>
      </c>
      <c r="O74" s="58" t="n">
        <f aca="false">O50-O55+O69+O70+O71</f>
        <v>11661.5955782362</v>
      </c>
      <c r="P74" s="58" t="n">
        <f aca="false">P50-P55+P69+P70+P71</f>
        <v>10505.8826881282</v>
      </c>
      <c r="Q74" s="58" t="n">
        <f aca="false">Q50-Q55+Q69+Q70+Q71</f>
        <v>10516.260465906</v>
      </c>
      <c r="R74" s="58" t="n">
        <f aca="false">R50-R55+R69+R70+R71</f>
        <v>10526.6382436838</v>
      </c>
      <c r="S74" s="58" t="n">
        <f aca="false">S50-S55+S69+S70+S71</f>
        <v>10537.0160214616</v>
      </c>
      <c r="T74" s="58" t="n">
        <f aca="false">T50-T55+T69+T70+T71</f>
        <v>10547.3937992393</v>
      </c>
      <c r="U74" s="58" t="n">
        <f aca="false">U50-U55+U69+U70+U71</f>
        <v>10557.7715770171</v>
      </c>
      <c r="V74" s="58" t="n">
        <f aca="false">V50-V55+V69+V70+V71</f>
        <v>10568.1493547949</v>
      </c>
      <c r="W74" s="58" t="n">
        <f aca="false">W50-W55+W69+W70+W71</f>
        <v>10578.5271325727</v>
      </c>
      <c r="X74" s="58" t="n">
        <f aca="false">X50-X55+X69+X70+X71</f>
        <v>10588.9049103504</v>
      </c>
      <c r="Y74" s="58" t="n">
        <f aca="false">Y50-Y55+Y69+Y70+Y71</f>
        <v>21126.2758504523</v>
      </c>
      <c r="Z74" s="58" t="n">
        <f aca="false">Z50-Z55+Z69+Z70+Z71</f>
        <v>23182.1852241158</v>
      </c>
      <c r="AA74" s="58" t="n">
        <f aca="false">AA50-AA55+AA69+AA70+AA71</f>
        <v>14343.2660933106</v>
      </c>
      <c r="AB74" s="58" t="n">
        <f aca="false">AB50-AB55+AB69+AB70+AB71</f>
        <v>13143.6374134325</v>
      </c>
      <c r="AC74" s="58" t="n">
        <f aca="false">AC50-AC55+AC69+AC70+AC71</f>
        <v>13154.0151912102</v>
      </c>
      <c r="AD74" s="58" t="n">
        <f aca="false">AD50-AD55+AD69+AD70+AD71</f>
        <v>13164.392968988</v>
      </c>
      <c r="AE74" s="58" t="n">
        <f aca="false">AE50-AE55+AE69+AE70+AE71</f>
        <v>13174.7707467658</v>
      </c>
      <c r="AF74" s="58" t="n">
        <f aca="false">AF50-AF55+AF69+AF70+AF71</f>
        <v>13185.1485245436</v>
      </c>
      <c r="AG74" s="58" t="n">
        <f aca="false">AG50-AG55+AG69+AG70+AG71</f>
        <v>13195.5263023214</v>
      </c>
      <c r="AH74" s="58" t="n">
        <f aca="false">AH50-AH55+AH69+AH70+AH71</f>
        <v>13205.9040800991</v>
      </c>
      <c r="AI74" s="58" t="n">
        <f aca="false">AI50-AI55+AI69+AI70+AI71</f>
        <v>13216.2818578769</v>
      </c>
      <c r="AJ74" s="58" t="n">
        <f aca="false">AJ50-AJ55+AJ69+AJ70+AJ71</f>
        <v>13226.6596356547</v>
      </c>
      <c r="AK74" s="58" t="n">
        <f aca="false">AK50-AK55+AK69+AK70+AK71</f>
        <v>24405.1244593421</v>
      </c>
      <c r="AL74" s="58" t="n">
        <f aca="false">AL50-AL55+AL69+AL70+AL71</f>
        <v>26585.6067071951</v>
      </c>
    </row>
    <row r="75" customFormat="false" ht="15" hidden="false" customHeight="false" outlineLevel="0" collapsed="false">
      <c r="A75" s="6" t="s">
        <v>369</v>
      </c>
      <c r="C75" s="52" t="n">
        <f aca="false">-C53</f>
        <v>-90000</v>
      </c>
      <c r="D75" s="52" t="n">
        <f aca="false">-D53</f>
        <v>-0</v>
      </c>
      <c r="E75" s="52" t="n">
        <f aca="false">-E53</f>
        <v>-0</v>
      </c>
      <c r="F75" s="52" t="n">
        <f aca="false">-F53</f>
        <v>-0</v>
      </c>
      <c r="G75" s="52" t="n">
        <f aca="false">-G53</f>
        <v>-0</v>
      </c>
      <c r="H75" s="52" t="n">
        <f aca="false">-H53</f>
        <v>-0</v>
      </c>
      <c r="I75" s="52" t="n">
        <f aca="false">-I53</f>
        <v>-0</v>
      </c>
      <c r="J75" s="52" t="n">
        <f aca="false">-J53</f>
        <v>-0</v>
      </c>
      <c r="K75" s="52" t="n">
        <f aca="false">-K53</f>
        <v>-0</v>
      </c>
      <c r="L75" s="52" t="n">
        <f aca="false">-L53</f>
        <v>-0</v>
      </c>
      <c r="M75" s="52" t="n">
        <f aca="false">-M53</f>
        <v>-0</v>
      </c>
      <c r="N75" s="52" t="n">
        <f aca="false">-N53</f>
        <v>-0</v>
      </c>
      <c r="O75" s="52" t="n">
        <f aca="false">-O53</f>
        <v>-1166.66666666667</v>
      </c>
      <c r="P75" s="52" t="n">
        <f aca="false">-P53</f>
        <v>-1166.66666666667</v>
      </c>
      <c r="Q75" s="52" t="n">
        <f aca="false">-Q53</f>
        <v>-1166.66666666667</v>
      </c>
      <c r="R75" s="52" t="n">
        <f aca="false">-R53</f>
        <v>-1166.66666666667</v>
      </c>
      <c r="S75" s="52" t="n">
        <f aca="false">-S53</f>
        <v>-1166.66666666667</v>
      </c>
      <c r="T75" s="52" t="n">
        <f aca="false">-T53</f>
        <v>-1166.66666666667</v>
      </c>
      <c r="U75" s="52" t="n">
        <f aca="false">-U53</f>
        <v>-1166.66666666667</v>
      </c>
      <c r="V75" s="52" t="n">
        <f aca="false">-V53</f>
        <v>-1166.66666666667</v>
      </c>
      <c r="W75" s="52" t="n">
        <f aca="false">-W53</f>
        <v>-1166.66666666667</v>
      </c>
      <c r="X75" s="52" t="n">
        <f aca="false">-X53</f>
        <v>-1166.66666666667</v>
      </c>
      <c r="Y75" s="52" t="n">
        <f aca="false">-Y53</f>
        <v>-1166.66666666667</v>
      </c>
      <c r="Z75" s="52" t="n">
        <f aca="false">-Z53</f>
        <v>-1166.66666666667</v>
      </c>
      <c r="AA75" s="52" t="n">
        <f aca="false">-AA53</f>
        <v>-1166.66666666667</v>
      </c>
      <c r="AB75" s="52" t="n">
        <f aca="false">-AB53</f>
        <v>-1166.66666666667</v>
      </c>
      <c r="AC75" s="52" t="n">
        <f aca="false">-AC53</f>
        <v>-1166.66666666667</v>
      </c>
      <c r="AD75" s="52" t="n">
        <f aca="false">-AD53</f>
        <v>-1166.66666666667</v>
      </c>
      <c r="AE75" s="52" t="n">
        <f aca="false">-AE53</f>
        <v>-1166.66666666667</v>
      </c>
      <c r="AF75" s="52" t="n">
        <f aca="false">-AF53</f>
        <v>-1166.66666666667</v>
      </c>
      <c r="AG75" s="52" t="n">
        <f aca="false">-AG53</f>
        <v>-1166.66666666667</v>
      </c>
      <c r="AH75" s="52" t="n">
        <f aca="false">-AH53</f>
        <v>-1166.66666666667</v>
      </c>
      <c r="AI75" s="52" t="n">
        <f aca="false">-AI53</f>
        <v>-1166.66666666667</v>
      </c>
      <c r="AJ75" s="52" t="n">
        <f aca="false">-AJ53</f>
        <v>-1166.66666666667</v>
      </c>
      <c r="AK75" s="52" t="n">
        <f aca="false">-AK53</f>
        <v>-1166.66666666667</v>
      </c>
      <c r="AL75" s="52" t="n">
        <f aca="false">-AL53</f>
        <v>-1166.66666666667</v>
      </c>
    </row>
    <row r="76" customFormat="false" ht="15" hidden="false" customHeight="false" outlineLevel="0" collapsed="false">
      <c r="A76" s="6" t="s">
        <v>62</v>
      </c>
      <c r="C76" s="52" t="n">
        <f aca="false">IF(C$4=1,Inputs!$E$58,0)</f>
        <v>60000</v>
      </c>
      <c r="D76" s="52" t="n">
        <f aca="false">IF(D$4=1,Inputs!$E$58,0)</f>
        <v>0</v>
      </c>
      <c r="E76" s="52" t="n">
        <f aca="false">IF(E$4=1,Inputs!$E$58,0)</f>
        <v>0</v>
      </c>
      <c r="F76" s="52" t="n">
        <f aca="false">IF(F$4=1,Inputs!$E$58,0)</f>
        <v>0</v>
      </c>
      <c r="G76" s="52" t="n">
        <f aca="false">IF(G$4=1,Inputs!$E$58,0)</f>
        <v>0</v>
      </c>
      <c r="H76" s="52" t="n">
        <f aca="false">IF(H$4=1,Inputs!$E$58,0)</f>
        <v>0</v>
      </c>
      <c r="I76" s="52" t="n">
        <f aca="false">IF(I$4=1,Inputs!$E$58,0)</f>
        <v>0</v>
      </c>
      <c r="J76" s="52" t="n">
        <f aca="false">IF(J$4=1,Inputs!$E$58,0)</f>
        <v>0</v>
      </c>
      <c r="K76" s="52" t="n">
        <f aca="false">IF(K$4=1,Inputs!$E$58,0)</f>
        <v>0</v>
      </c>
      <c r="L76" s="52" t="n">
        <f aca="false">IF(L$4=1,Inputs!$E$58,0)</f>
        <v>0</v>
      </c>
      <c r="M76" s="52" t="n">
        <f aca="false">IF(M$4=1,Inputs!$E$58,0)</f>
        <v>0</v>
      </c>
      <c r="N76" s="52" t="n">
        <f aca="false">IF(N$4=1,Inputs!$E$58,0)</f>
        <v>0</v>
      </c>
      <c r="O76" s="52" t="n">
        <f aca="false">IF(O$4=1,Inputs!$E$58,0)</f>
        <v>0</v>
      </c>
      <c r="P76" s="52" t="n">
        <f aca="false">IF(P$4=1,Inputs!$E$58,0)</f>
        <v>0</v>
      </c>
      <c r="Q76" s="52" t="n">
        <f aca="false">IF(Q$4=1,Inputs!$E$58,0)</f>
        <v>0</v>
      </c>
      <c r="R76" s="52" t="n">
        <f aca="false">IF(R$4=1,Inputs!$E$58,0)</f>
        <v>0</v>
      </c>
      <c r="S76" s="52" t="n">
        <f aca="false">IF(S$4=1,Inputs!$E$58,0)</f>
        <v>0</v>
      </c>
      <c r="T76" s="52" t="n">
        <f aca="false">IF(T$4=1,Inputs!$E$58,0)</f>
        <v>0</v>
      </c>
      <c r="U76" s="52" t="n">
        <f aca="false">IF(U$4=1,Inputs!$E$58,0)</f>
        <v>0</v>
      </c>
      <c r="V76" s="52" t="n">
        <f aca="false">IF(V$4=1,Inputs!$E$58,0)</f>
        <v>0</v>
      </c>
      <c r="W76" s="52" t="n">
        <f aca="false">IF(W$4=1,Inputs!$E$58,0)</f>
        <v>0</v>
      </c>
      <c r="X76" s="52" t="n">
        <f aca="false">IF(X$4=1,Inputs!$E$58,0)</f>
        <v>0</v>
      </c>
      <c r="Y76" s="52" t="n">
        <f aca="false">IF(Y$4=1,Inputs!$E$58,0)</f>
        <v>0</v>
      </c>
      <c r="Z76" s="52" t="n">
        <f aca="false">IF(Z$4=1,Inputs!$E$58,0)</f>
        <v>0</v>
      </c>
      <c r="AA76" s="52" t="n">
        <f aca="false">IF(AA$4=1,Inputs!$E$58,0)</f>
        <v>0</v>
      </c>
      <c r="AB76" s="52" t="n">
        <f aca="false">IF(AB$4=1,Inputs!$E$58,0)</f>
        <v>0</v>
      </c>
      <c r="AC76" s="52" t="n">
        <f aca="false">IF(AC$4=1,Inputs!$E$58,0)</f>
        <v>0</v>
      </c>
      <c r="AD76" s="52" t="n">
        <f aca="false">IF(AD$4=1,Inputs!$E$58,0)</f>
        <v>0</v>
      </c>
      <c r="AE76" s="52" t="n">
        <f aca="false">IF(AE$4=1,Inputs!$E$58,0)</f>
        <v>0</v>
      </c>
      <c r="AF76" s="52" t="n">
        <f aca="false">IF(AF$4=1,Inputs!$E$58,0)</f>
        <v>0</v>
      </c>
      <c r="AG76" s="52" t="n">
        <f aca="false">IF(AG$4=1,Inputs!$E$58,0)</f>
        <v>0</v>
      </c>
      <c r="AH76" s="52" t="n">
        <f aca="false">IF(AH$4=1,Inputs!$E$58,0)</f>
        <v>0</v>
      </c>
      <c r="AI76" s="52" t="n">
        <f aca="false">IF(AI$4=1,Inputs!$E$58,0)</f>
        <v>0</v>
      </c>
      <c r="AJ76" s="52" t="n">
        <f aca="false">IF(AJ$4=1,Inputs!$E$58,0)</f>
        <v>0</v>
      </c>
      <c r="AK76" s="52" t="n">
        <f aca="false">IF(AK$4=1,Inputs!$E$58,0)</f>
        <v>0</v>
      </c>
      <c r="AL76" s="52" t="n">
        <f aca="false">IF(AL$4=1,Inputs!$E$58,0)</f>
        <v>0</v>
      </c>
    </row>
    <row r="77" customFormat="false" ht="15" hidden="false" customHeight="false" outlineLevel="0" collapsed="false">
      <c r="A77" s="6" t="s">
        <v>52</v>
      </c>
      <c r="C77" s="52" t="n">
        <f aca="false">C76+C61+C62</f>
        <v>140000</v>
      </c>
      <c r="D77" s="52" t="n">
        <f aca="false">D76+D61+D62</f>
        <v>-1333.33333333333</v>
      </c>
      <c r="E77" s="52" t="n">
        <f aca="false">E76+E61+E62</f>
        <v>-1333.33333333333</v>
      </c>
      <c r="F77" s="52" t="n">
        <f aca="false">F76+F61+F62</f>
        <v>-1333.33333333333</v>
      </c>
      <c r="G77" s="52" t="n">
        <f aca="false">G76+G61+G62</f>
        <v>-1333.33333333333</v>
      </c>
      <c r="H77" s="52" t="n">
        <f aca="false">H76+H61+H62</f>
        <v>-1333.33333333333</v>
      </c>
      <c r="I77" s="52" t="n">
        <f aca="false">I76+I61+I62</f>
        <v>-1333.33333333333</v>
      </c>
      <c r="J77" s="52" t="n">
        <f aca="false">J76+J61+J62</f>
        <v>-1333.33333333333</v>
      </c>
      <c r="K77" s="52" t="n">
        <f aca="false">K76+K61+K62</f>
        <v>-1333.33333333333</v>
      </c>
      <c r="L77" s="52" t="n">
        <f aca="false">L76+L61+L62</f>
        <v>-1333.33333333333</v>
      </c>
      <c r="M77" s="52" t="n">
        <f aca="false">M76+M61+M62</f>
        <v>-1333.33333333333</v>
      </c>
      <c r="N77" s="52" t="n">
        <f aca="false">N76+N61+N62</f>
        <v>-1333.33333333333</v>
      </c>
      <c r="O77" s="52" t="n">
        <f aca="false">O76+O61+O62</f>
        <v>-1333.33333333333</v>
      </c>
      <c r="P77" s="52" t="n">
        <f aca="false">P76+P61+P62</f>
        <v>-1333.33333333333</v>
      </c>
      <c r="Q77" s="52" t="n">
        <f aca="false">Q76+Q61+Q62</f>
        <v>-1333.33333333333</v>
      </c>
      <c r="R77" s="52" t="n">
        <f aca="false">R76+R61+R62</f>
        <v>-1333.33333333333</v>
      </c>
      <c r="S77" s="52" t="n">
        <f aca="false">S76+S61+S62</f>
        <v>-1333.33333333333</v>
      </c>
      <c r="T77" s="52" t="n">
        <f aca="false">T76+T61+T62</f>
        <v>-1333.33333333333</v>
      </c>
      <c r="U77" s="52" t="n">
        <f aca="false">U76+U61+U62</f>
        <v>-1333.33333333333</v>
      </c>
      <c r="V77" s="52" t="n">
        <f aca="false">V76+V61+V62</f>
        <v>-1333.33333333333</v>
      </c>
      <c r="W77" s="52" t="n">
        <f aca="false">W76+W61+W62</f>
        <v>-1333.33333333333</v>
      </c>
      <c r="X77" s="52" t="n">
        <f aca="false">X76+X61+X62</f>
        <v>-1333.33333333333</v>
      </c>
      <c r="Y77" s="52" t="n">
        <f aca="false">Y76+Y61+Y62</f>
        <v>-1333.33333333333</v>
      </c>
      <c r="Z77" s="52" t="n">
        <f aca="false">Z76+Z61+Z62</f>
        <v>-1333.33333333333</v>
      </c>
      <c r="AA77" s="52" t="n">
        <f aca="false">AA76+AA61+AA62</f>
        <v>-1333.33333333333</v>
      </c>
      <c r="AB77" s="52" t="n">
        <f aca="false">AB76+AB61+AB62</f>
        <v>-1333.33333333333</v>
      </c>
      <c r="AC77" s="52" t="n">
        <f aca="false">AC76+AC61+AC62</f>
        <v>-1333.33333333333</v>
      </c>
      <c r="AD77" s="52" t="n">
        <f aca="false">AD76+AD61+AD62</f>
        <v>-1333.33333333333</v>
      </c>
      <c r="AE77" s="52" t="n">
        <f aca="false">AE76+AE61+AE62</f>
        <v>-1333.33333333333</v>
      </c>
      <c r="AF77" s="52" t="n">
        <f aca="false">AF76+AF61+AF62</f>
        <v>-1333.33333333333</v>
      </c>
      <c r="AG77" s="52" t="n">
        <f aca="false">AG76+AG61+AG62</f>
        <v>-1333.33333333333</v>
      </c>
      <c r="AH77" s="52" t="n">
        <f aca="false">AH76+AH61+AH62</f>
        <v>-1333.33333333333</v>
      </c>
      <c r="AI77" s="52" t="n">
        <f aca="false">AI76+AI61+AI62</f>
        <v>-1333.33333333333</v>
      </c>
      <c r="AJ77" s="52" t="n">
        <f aca="false">AJ76+AJ61+AJ62</f>
        <v>-1333.33333333333</v>
      </c>
      <c r="AK77" s="52" t="n">
        <f aca="false">AK76+AK61+AK62</f>
        <v>-1333.33333333333</v>
      </c>
      <c r="AL77" s="52" t="n">
        <f aca="false">AL76+AL61+AL62</f>
        <v>-1333.33333333333</v>
      </c>
    </row>
    <row r="78" customFormat="false" ht="15" hidden="false" customHeight="false" outlineLevel="0" collapsed="false">
      <c r="A78" s="101" t="s">
        <v>370</v>
      </c>
      <c r="C78" s="53" t="n">
        <f aca="false">C74+C75+C77</f>
        <v>43218.3907516952</v>
      </c>
      <c r="D78" s="53" t="n">
        <f aca="false">D74+D75+D77</f>
        <v>3218.51428340317</v>
      </c>
      <c r="E78" s="53" t="n">
        <f aca="false">E74+E75+E77</f>
        <v>6382.40867542858</v>
      </c>
      <c r="F78" s="53" t="n">
        <f aca="false">F74+F75+F77</f>
        <v>6870.65172939683</v>
      </c>
      <c r="G78" s="53" t="n">
        <f aca="false">G74+G75+G77</f>
        <v>6878.11284050794</v>
      </c>
      <c r="H78" s="53" t="n">
        <f aca="false">H74+H75+H77</f>
        <v>6885.57395161905</v>
      </c>
      <c r="I78" s="53" t="n">
        <f aca="false">I74+I75+I77</f>
        <v>6893.03506273016</v>
      </c>
      <c r="J78" s="53" t="n">
        <f aca="false">J74+J75+J77</f>
        <v>6900.49617384128</v>
      </c>
      <c r="K78" s="53" t="n">
        <f aca="false">K74+K75+K77</f>
        <v>6907.95728495239</v>
      </c>
      <c r="L78" s="53" t="n">
        <f aca="false">L74+L75+L77</f>
        <v>6915.4183960635</v>
      </c>
      <c r="M78" s="53" t="n">
        <f aca="false">M74+M75+M77</f>
        <v>16845.5801974603</v>
      </c>
      <c r="N78" s="53" t="n">
        <f aca="false">N74+N75+N77</f>
        <v>18781.1510228572</v>
      </c>
      <c r="O78" s="53" t="n">
        <f aca="false">O74+O75+O77</f>
        <v>9161.59557823615</v>
      </c>
      <c r="P78" s="53" t="n">
        <f aca="false">P74+P75+P77</f>
        <v>8005.88268812823</v>
      </c>
      <c r="Q78" s="53" t="n">
        <f aca="false">Q74+Q75+Q77</f>
        <v>8016.260465906</v>
      </c>
      <c r="R78" s="53" t="n">
        <f aca="false">R74+R75+R77</f>
        <v>8026.63824368378</v>
      </c>
      <c r="S78" s="53" t="n">
        <f aca="false">S74+S75+S77</f>
        <v>8037.01602146156</v>
      </c>
      <c r="T78" s="53" t="n">
        <f aca="false">T74+T75+T77</f>
        <v>8047.39379923934</v>
      </c>
      <c r="U78" s="53" t="n">
        <f aca="false">U74+U75+U77</f>
        <v>8057.77157701712</v>
      </c>
      <c r="V78" s="53" t="n">
        <f aca="false">V74+V75+V77</f>
        <v>8068.14935479489</v>
      </c>
      <c r="W78" s="53" t="n">
        <f aca="false">W74+W75+W77</f>
        <v>8078.52713257267</v>
      </c>
      <c r="X78" s="53" t="n">
        <f aca="false">X74+X75+X77</f>
        <v>8088.90491035044</v>
      </c>
      <c r="Y78" s="53" t="n">
        <f aca="false">Y74+Y75+Y77</f>
        <v>18626.2758504523</v>
      </c>
      <c r="Z78" s="53" t="n">
        <f aca="false">Z74+Z75+Z77</f>
        <v>20682.1852241158</v>
      </c>
      <c r="AA78" s="53" t="n">
        <f aca="false">AA74+AA75+AA77</f>
        <v>11843.2660933106</v>
      </c>
      <c r="AB78" s="53" t="n">
        <f aca="false">AB74+AB75+AB77</f>
        <v>10643.6374134325</v>
      </c>
      <c r="AC78" s="53" t="n">
        <f aca="false">AC74+AC75+AC77</f>
        <v>10654.0151912102</v>
      </c>
      <c r="AD78" s="53" t="n">
        <f aca="false">AD74+AD75+AD77</f>
        <v>10664.392968988</v>
      </c>
      <c r="AE78" s="53" t="n">
        <f aca="false">AE74+AE75+AE77</f>
        <v>10674.7707467658</v>
      </c>
      <c r="AF78" s="53" t="n">
        <f aca="false">AF74+AF75+AF77</f>
        <v>10685.1485245436</v>
      </c>
      <c r="AG78" s="53" t="n">
        <f aca="false">AG74+AG75+AG77</f>
        <v>10695.5263023214</v>
      </c>
      <c r="AH78" s="53" t="n">
        <f aca="false">AH74+AH75+AH77</f>
        <v>10705.9040800991</v>
      </c>
      <c r="AI78" s="53" t="n">
        <f aca="false">AI74+AI75+AI77</f>
        <v>10716.2818578769</v>
      </c>
      <c r="AJ78" s="53" t="n">
        <f aca="false">AJ74+AJ75+AJ77</f>
        <v>10726.6596356547</v>
      </c>
      <c r="AK78" s="53" t="n">
        <f aca="false">AK74+AK75+AK77</f>
        <v>21905.1244593421</v>
      </c>
      <c r="AL78" s="53" t="n">
        <f aca="false">AL74+AL75+AL77</f>
        <v>24085.6067071951</v>
      </c>
    </row>
    <row r="79" customFormat="false" ht="15" hidden="false" customHeight="false" outlineLevel="0" collapsed="false">
      <c r="A79" s="6" t="s">
        <v>304</v>
      </c>
      <c r="C79" s="52" t="n">
        <f aca="false">0</f>
        <v>0</v>
      </c>
      <c r="D79" s="52" t="n">
        <f aca="false">C80</f>
        <v>43218.3907516952</v>
      </c>
      <c r="E79" s="52" t="n">
        <f aca="false">D80</f>
        <v>46436.9050350984</v>
      </c>
      <c r="F79" s="52" t="n">
        <f aca="false">E80</f>
        <v>52819.313710527</v>
      </c>
      <c r="G79" s="52" t="n">
        <f aca="false">F80</f>
        <v>59689.9654399238</v>
      </c>
      <c r="H79" s="52" t="n">
        <f aca="false">G80</f>
        <v>66568.0782804318</v>
      </c>
      <c r="I79" s="52" t="n">
        <f aca="false">H80</f>
        <v>73453.6522320508</v>
      </c>
      <c r="J79" s="52" t="n">
        <f aca="false">I80</f>
        <v>80346.687294781</v>
      </c>
      <c r="K79" s="52" t="n">
        <f aca="false">J80</f>
        <v>87247.1834686223</v>
      </c>
      <c r="L79" s="52" t="n">
        <f aca="false">K80</f>
        <v>94155.1407535746</v>
      </c>
      <c r="M79" s="52" t="n">
        <f aca="false">L80</f>
        <v>101070.559149638</v>
      </c>
      <c r="N79" s="52" t="n">
        <f aca="false">M80</f>
        <v>117916.139347098</v>
      </c>
      <c r="O79" s="52" t="n">
        <f aca="false">N80</f>
        <v>136697.290369956</v>
      </c>
      <c r="P79" s="52" t="n">
        <f aca="false">O80</f>
        <v>145858.885948192</v>
      </c>
      <c r="Q79" s="52" t="n">
        <f aca="false">P80</f>
        <v>153864.76863632</v>
      </c>
      <c r="R79" s="52" t="n">
        <f aca="false">Q80</f>
        <v>161881.029102226</v>
      </c>
      <c r="S79" s="52" t="n">
        <f aca="false">R80</f>
        <v>169907.66734591</v>
      </c>
      <c r="T79" s="52" t="n">
        <f aca="false">S80</f>
        <v>177944.683367371</v>
      </c>
      <c r="U79" s="52" t="n">
        <f aca="false">T80</f>
        <v>185992.077166611</v>
      </c>
      <c r="V79" s="52" t="n">
        <f aca="false">U80</f>
        <v>194049.848743628</v>
      </c>
      <c r="W79" s="52" t="n">
        <f aca="false">V80</f>
        <v>202117.998098423</v>
      </c>
      <c r="X79" s="52" t="n">
        <f aca="false">W80</f>
        <v>210196.525230995</v>
      </c>
      <c r="Y79" s="52" t="n">
        <f aca="false">X80</f>
        <v>218285.430141346</v>
      </c>
      <c r="Z79" s="52" t="n">
        <f aca="false">Y80</f>
        <v>236911.705991798</v>
      </c>
      <c r="AA79" s="52" t="n">
        <f aca="false">Z80</f>
        <v>257593.891215914</v>
      </c>
      <c r="AB79" s="52" t="n">
        <f aca="false">AA80</f>
        <v>269437.157309225</v>
      </c>
      <c r="AC79" s="52" t="n">
        <f aca="false">AB80</f>
        <v>280080.794722657</v>
      </c>
      <c r="AD79" s="52" t="n">
        <f aca="false">AC80</f>
        <v>290734.809913867</v>
      </c>
      <c r="AE79" s="52" t="n">
        <f aca="false">AD80</f>
        <v>301399.202882855</v>
      </c>
      <c r="AF79" s="52" t="n">
        <f aca="false">AE80</f>
        <v>312073.973629621</v>
      </c>
      <c r="AG79" s="52" t="n">
        <f aca="false">AF80</f>
        <v>322759.122154165</v>
      </c>
      <c r="AH79" s="52" t="n">
        <f aca="false">AG80</f>
        <v>333454.648456486</v>
      </c>
      <c r="AI79" s="52" t="n">
        <f aca="false">AH80</f>
        <v>344160.552536585</v>
      </c>
      <c r="AJ79" s="52" t="n">
        <f aca="false">AI80</f>
        <v>354876.834394462</v>
      </c>
      <c r="AK79" s="52" t="n">
        <f aca="false">AJ80</f>
        <v>365603.494030117</v>
      </c>
      <c r="AL79" s="52" t="n">
        <f aca="false">AK80</f>
        <v>387508.618489459</v>
      </c>
    </row>
    <row r="80" customFormat="false" ht="15" hidden="false" customHeight="false" outlineLevel="0" collapsed="false">
      <c r="A80" s="101" t="s">
        <v>85</v>
      </c>
      <c r="C80" s="53" t="n">
        <f aca="false">C79+C78</f>
        <v>43218.3907516952</v>
      </c>
      <c r="D80" s="53" t="n">
        <f aca="false">D79+D78</f>
        <v>46436.9050350984</v>
      </c>
      <c r="E80" s="53" t="n">
        <f aca="false">E79+E78</f>
        <v>52819.313710527</v>
      </c>
      <c r="F80" s="53" t="n">
        <f aca="false">F79+F78</f>
        <v>59689.9654399238</v>
      </c>
      <c r="G80" s="53" t="n">
        <f aca="false">G79+G78</f>
        <v>66568.0782804318</v>
      </c>
      <c r="H80" s="53" t="n">
        <f aca="false">H79+H78</f>
        <v>73453.6522320508</v>
      </c>
      <c r="I80" s="53" t="n">
        <f aca="false">I79+I78</f>
        <v>80346.687294781</v>
      </c>
      <c r="J80" s="53" t="n">
        <f aca="false">J79+J78</f>
        <v>87247.1834686223</v>
      </c>
      <c r="K80" s="53" t="n">
        <f aca="false">K79+K78</f>
        <v>94155.1407535746</v>
      </c>
      <c r="L80" s="53" t="n">
        <f aca="false">L79+L78</f>
        <v>101070.559149638</v>
      </c>
      <c r="M80" s="53" t="n">
        <f aca="false">M79+M78</f>
        <v>117916.139347098</v>
      </c>
      <c r="N80" s="53" t="n">
        <f aca="false">N79+N78</f>
        <v>136697.290369956</v>
      </c>
      <c r="O80" s="53" t="n">
        <f aca="false">O79+O78</f>
        <v>145858.885948192</v>
      </c>
      <c r="P80" s="53" t="n">
        <f aca="false">P79+P78</f>
        <v>153864.76863632</v>
      </c>
      <c r="Q80" s="53" t="n">
        <f aca="false">Q79+Q78</f>
        <v>161881.029102226</v>
      </c>
      <c r="R80" s="53" t="n">
        <f aca="false">R79+R78</f>
        <v>169907.66734591</v>
      </c>
      <c r="S80" s="53" t="n">
        <f aca="false">S79+S78</f>
        <v>177944.683367371</v>
      </c>
      <c r="T80" s="53" t="n">
        <f aca="false">T79+T78</f>
        <v>185992.077166611</v>
      </c>
      <c r="U80" s="53" t="n">
        <f aca="false">U79+U78</f>
        <v>194049.848743628</v>
      </c>
      <c r="V80" s="53" t="n">
        <f aca="false">V79+V78</f>
        <v>202117.998098423</v>
      </c>
      <c r="W80" s="53" t="n">
        <f aca="false">W79+W78</f>
        <v>210196.525230995</v>
      </c>
      <c r="X80" s="53" t="n">
        <f aca="false">X79+X78</f>
        <v>218285.430141346</v>
      </c>
      <c r="Y80" s="53" t="n">
        <f aca="false">Y79+Y78</f>
        <v>236911.705991798</v>
      </c>
      <c r="Z80" s="53" t="n">
        <f aca="false">Z79+Z78</f>
        <v>257593.891215914</v>
      </c>
      <c r="AA80" s="53" t="n">
        <f aca="false">AA79+AA78</f>
        <v>269437.157309225</v>
      </c>
      <c r="AB80" s="53" t="n">
        <f aca="false">AB79+AB78</f>
        <v>280080.794722657</v>
      </c>
      <c r="AC80" s="53" t="n">
        <f aca="false">AC79+AC78</f>
        <v>290734.809913867</v>
      </c>
      <c r="AD80" s="53" t="n">
        <f aca="false">AD79+AD78</f>
        <v>301399.202882855</v>
      </c>
      <c r="AE80" s="53" t="n">
        <f aca="false">AE79+AE78</f>
        <v>312073.973629621</v>
      </c>
      <c r="AF80" s="53" t="n">
        <f aca="false">AF79+AF78</f>
        <v>322759.122154165</v>
      </c>
      <c r="AG80" s="53" t="n">
        <f aca="false">AG79+AG78</f>
        <v>333454.648456486</v>
      </c>
      <c r="AH80" s="53" t="n">
        <f aca="false">AH79+AH78</f>
        <v>344160.552536585</v>
      </c>
      <c r="AI80" s="53" t="n">
        <f aca="false">AI79+AI78</f>
        <v>354876.834394462</v>
      </c>
      <c r="AJ80" s="53" t="n">
        <f aca="false">AJ79+AJ78</f>
        <v>365603.494030117</v>
      </c>
      <c r="AK80" s="53" t="n">
        <f aca="false">AK79+AK78</f>
        <v>387508.618489459</v>
      </c>
      <c r="AL80" s="53" t="n">
        <f aca="false">AL79+AL78</f>
        <v>411594.225196654</v>
      </c>
    </row>
    <row r="81" customFormat="false" ht="15" hidden="false" customHeight="false" outlineLevel="0" collapsed="false">
      <c r="A81" s="107" t="s">
        <v>371</v>
      </c>
      <c r="C81" s="105" t="n">
        <f aca="false">IF(C41&gt;0,1,0)</f>
        <v>1</v>
      </c>
      <c r="D81" s="105" t="n">
        <f aca="false">IF(D41&gt;0,1,0)</f>
        <v>1</v>
      </c>
      <c r="E81" s="105" t="n">
        <f aca="false">IF(E41&gt;0,1,0)</f>
        <v>1</v>
      </c>
      <c r="F81" s="105" t="n">
        <f aca="false">IF(F41&gt;0,1,0)</f>
        <v>1</v>
      </c>
      <c r="G81" s="105" t="n">
        <f aca="false">IF(G41&gt;0,1,0)</f>
        <v>1</v>
      </c>
      <c r="H81" s="105" t="n">
        <f aca="false">IF(H41&gt;0,1,0)</f>
        <v>1</v>
      </c>
      <c r="I81" s="105" t="n">
        <f aca="false">IF(I41&gt;0,1,0)</f>
        <v>1</v>
      </c>
      <c r="J81" s="105" t="n">
        <f aca="false">IF(J41&gt;0,1,0)</f>
        <v>1</v>
      </c>
      <c r="K81" s="105" t="n">
        <f aca="false">IF(K41&gt;0,1,0)</f>
        <v>1</v>
      </c>
      <c r="L81" s="105" t="n">
        <f aca="false">IF(L41&gt;0,1,0)</f>
        <v>1</v>
      </c>
      <c r="M81" s="105" t="n">
        <f aca="false">IF(M41&gt;0,1,0)</f>
        <v>1</v>
      </c>
      <c r="N81" s="105" t="n">
        <f aca="false">IF(N41&gt;0,1,0)</f>
        <v>1</v>
      </c>
      <c r="O81" s="105" t="n">
        <f aca="false">IF(O41&gt;0,1,0)</f>
        <v>1</v>
      </c>
      <c r="P81" s="105" t="n">
        <f aca="false">IF(P41&gt;0,1,0)</f>
        <v>1</v>
      </c>
      <c r="Q81" s="105" t="n">
        <f aca="false">IF(Q41&gt;0,1,0)</f>
        <v>1</v>
      </c>
      <c r="R81" s="105" t="n">
        <f aca="false">IF(R41&gt;0,1,0)</f>
        <v>1</v>
      </c>
      <c r="S81" s="105" t="n">
        <f aca="false">IF(S41&gt;0,1,0)</f>
        <v>1</v>
      </c>
      <c r="T81" s="105" t="n">
        <f aca="false">IF(T41&gt;0,1,0)</f>
        <v>1</v>
      </c>
      <c r="U81" s="105" t="n">
        <f aca="false">IF(U41&gt;0,1,0)</f>
        <v>1</v>
      </c>
      <c r="V81" s="105" t="n">
        <f aca="false">IF(V41&gt;0,1,0)</f>
        <v>1</v>
      </c>
      <c r="W81" s="105" t="n">
        <f aca="false">IF(W41&gt;0,1,0)</f>
        <v>1</v>
      </c>
      <c r="X81" s="105" t="n">
        <f aca="false">IF(X41&gt;0,1,0)</f>
        <v>1</v>
      </c>
      <c r="Y81" s="105" t="n">
        <f aca="false">IF(Y41&gt;0,1,0)</f>
        <v>1</v>
      </c>
      <c r="Z81" s="105" t="n">
        <f aca="false">IF(Z41&gt;0,1,0)</f>
        <v>1</v>
      </c>
      <c r="AA81" s="105" t="n">
        <f aca="false">IF(AA41&gt;0,1,0)</f>
        <v>1</v>
      </c>
      <c r="AB81" s="105" t="n">
        <f aca="false">IF(AB41&gt;0,1,0)</f>
        <v>1</v>
      </c>
      <c r="AC81" s="105" t="n">
        <f aca="false">IF(AC41&gt;0,1,0)</f>
        <v>1</v>
      </c>
      <c r="AD81" s="105" t="n">
        <f aca="false">IF(AD41&gt;0,1,0)</f>
        <v>1</v>
      </c>
      <c r="AE81" s="105" t="n">
        <f aca="false">IF(AE41&gt;0,1,0)</f>
        <v>1</v>
      </c>
      <c r="AF81" s="105" t="n">
        <f aca="false">IF(AF41&gt;0,1,0)</f>
        <v>1</v>
      </c>
      <c r="AG81" s="105" t="n">
        <f aca="false">IF(AG41&gt;0,1,0)</f>
        <v>1</v>
      </c>
      <c r="AH81" s="105" t="n">
        <f aca="false">IF(AH41&gt;0,1,0)</f>
        <v>1</v>
      </c>
      <c r="AI81" s="105" t="n">
        <f aca="false">IF(AI41&gt;0,1,0)</f>
        <v>1</v>
      </c>
      <c r="AJ81" s="105" t="n">
        <f aca="false">IF(AJ41&gt;0,1,0)</f>
        <v>1</v>
      </c>
      <c r="AK81" s="105" t="n">
        <f aca="false">IF(AK41&gt;0,1,0)</f>
        <v>1</v>
      </c>
      <c r="AL81" s="105" t="n">
        <f aca="false">IF(AL41&gt;0,1,0)</f>
        <v>1</v>
      </c>
    </row>
    <row r="83" customFormat="false" ht="15.75" hidden="false" customHeight="true" outlineLevel="0" collapsed="false">
      <c r="A83" s="7" t="s">
        <v>372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07" t="s">
        <v>373</v>
      </c>
      <c r="C84" s="105" t="n">
        <f aca="false">IF(C50&gt;0,1,0)</f>
        <v>1</v>
      </c>
      <c r="D84" s="105" t="n">
        <f aca="false">IF(D50&gt;0,1,0)</f>
        <v>1</v>
      </c>
      <c r="E84" s="105" t="n">
        <f aca="false">IF(E50&gt;0,1,0)</f>
        <v>1</v>
      </c>
      <c r="F84" s="105" t="n">
        <f aca="false">IF(F50&gt;0,1,0)</f>
        <v>1</v>
      </c>
      <c r="G84" s="105" t="n">
        <f aca="false">IF(G50&gt;0,1,0)</f>
        <v>1</v>
      </c>
      <c r="H84" s="105" t="n">
        <f aca="false">IF(H50&gt;0,1,0)</f>
        <v>1</v>
      </c>
      <c r="I84" s="105" t="n">
        <f aca="false">IF(I50&gt;0,1,0)</f>
        <v>1</v>
      </c>
      <c r="J84" s="105" t="n">
        <f aca="false">IF(J50&gt;0,1,0)</f>
        <v>1</v>
      </c>
      <c r="K84" s="105" t="n">
        <f aca="false">IF(K50&gt;0,1,0)</f>
        <v>1</v>
      </c>
      <c r="L84" s="105" t="n">
        <f aca="false">IF(L50&gt;0,1,0)</f>
        <v>1</v>
      </c>
      <c r="M84" s="105" t="n">
        <f aca="false">IF(M50&gt;0,1,0)</f>
        <v>1</v>
      </c>
      <c r="N84" s="105" t="n">
        <f aca="false">IF(N50&gt;0,1,0)</f>
        <v>1</v>
      </c>
      <c r="O84" s="105" t="n">
        <f aca="false">IF(O50&gt;0,1,0)</f>
        <v>1</v>
      </c>
      <c r="P84" s="105" t="n">
        <f aca="false">IF(P50&gt;0,1,0)</f>
        <v>1</v>
      </c>
      <c r="Q84" s="105" t="n">
        <f aca="false">IF(Q50&gt;0,1,0)</f>
        <v>1</v>
      </c>
      <c r="R84" s="105" t="n">
        <f aca="false">IF(R50&gt;0,1,0)</f>
        <v>1</v>
      </c>
      <c r="S84" s="105" t="n">
        <f aca="false">IF(S50&gt;0,1,0)</f>
        <v>1</v>
      </c>
      <c r="T84" s="105" t="n">
        <f aca="false">IF(T50&gt;0,1,0)</f>
        <v>1</v>
      </c>
      <c r="U84" s="105" t="n">
        <f aca="false">IF(U50&gt;0,1,0)</f>
        <v>1</v>
      </c>
      <c r="V84" s="105" t="n">
        <f aca="false">IF(V50&gt;0,1,0)</f>
        <v>1</v>
      </c>
      <c r="W84" s="105" t="n">
        <f aca="false">IF(W50&gt;0,1,0)</f>
        <v>1</v>
      </c>
      <c r="X84" s="105" t="n">
        <f aca="false">IF(X50&gt;0,1,0)</f>
        <v>1</v>
      </c>
      <c r="Y84" s="105" t="n">
        <f aca="false">IF(Y50&gt;0,1,0)</f>
        <v>1</v>
      </c>
      <c r="Z84" s="105" t="n">
        <f aca="false">IF(Z50&gt;0,1,0)</f>
        <v>1</v>
      </c>
      <c r="AA84" s="105" t="n">
        <f aca="false">IF(AA50&gt;0,1,0)</f>
        <v>1</v>
      </c>
      <c r="AB84" s="105" t="n">
        <f aca="false">IF(AB50&gt;0,1,0)</f>
        <v>1</v>
      </c>
      <c r="AC84" s="105" t="n">
        <f aca="false">IF(AC50&gt;0,1,0)</f>
        <v>1</v>
      </c>
      <c r="AD84" s="105" t="n">
        <f aca="false">IF(AD50&gt;0,1,0)</f>
        <v>1</v>
      </c>
      <c r="AE84" s="105" t="n">
        <f aca="false">IF(AE50&gt;0,1,0)</f>
        <v>1</v>
      </c>
      <c r="AF84" s="105" t="n">
        <f aca="false">IF(AF50&gt;0,1,0)</f>
        <v>1</v>
      </c>
      <c r="AG84" s="105" t="n">
        <f aca="false">IF(AG50&gt;0,1,0)</f>
        <v>1</v>
      </c>
      <c r="AH84" s="105" t="n">
        <f aca="false">IF(AH50&gt;0,1,0)</f>
        <v>1</v>
      </c>
      <c r="AI84" s="105" t="n">
        <f aca="false">IF(AI50&gt;0,1,0)</f>
        <v>1</v>
      </c>
      <c r="AJ84" s="105" t="n">
        <f aca="false">IF(AJ50&gt;0,1,0)</f>
        <v>1</v>
      </c>
      <c r="AK84" s="105" t="n">
        <f aca="false">IF(AK50&gt;0,1,0)</f>
        <v>1</v>
      </c>
      <c r="AL84" s="105" t="n">
        <f aca="false">IF(AL50&gt;0,1,0)</f>
        <v>1</v>
      </c>
    </row>
    <row r="85" customFormat="false" ht="15" hidden="false" customHeight="false" outlineLevel="0" collapsed="false">
      <c r="A85" s="6" t="s">
        <v>374</v>
      </c>
      <c r="C85" s="52" t="n">
        <f aca="false">C74+C75</f>
        <v>-96781.6092483048</v>
      </c>
      <c r="D85" s="52" t="n">
        <f aca="false">D74+D75</f>
        <v>4551.84761673651</v>
      </c>
      <c r="E85" s="52" t="n">
        <f aca="false">E74+E75</f>
        <v>7715.74200876191</v>
      </c>
      <c r="F85" s="52" t="n">
        <f aca="false">F74+F75</f>
        <v>8203.98506273016</v>
      </c>
      <c r="G85" s="52" t="n">
        <f aca="false">G74+G75</f>
        <v>8211.44617384128</v>
      </c>
      <c r="H85" s="52" t="n">
        <f aca="false">H74+H75</f>
        <v>8218.90728495239</v>
      </c>
      <c r="I85" s="52" t="n">
        <f aca="false">I74+I75</f>
        <v>8226.3683960635</v>
      </c>
      <c r="J85" s="52" t="n">
        <f aca="false">J74+J75</f>
        <v>8233.82950717461</v>
      </c>
      <c r="K85" s="52" t="n">
        <f aca="false">K74+K75</f>
        <v>8241.29061828572</v>
      </c>
      <c r="L85" s="52" t="n">
        <f aca="false">L74+L75</f>
        <v>8248.75172939683</v>
      </c>
      <c r="M85" s="52" t="n">
        <f aca="false">M74+M75</f>
        <v>18178.9135307937</v>
      </c>
      <c r="N85" s="52" t="n">
        <f aca="false">N74+N75</f>
        <v>20114.4843561905</v>
      </c>
      <c r="O85" s="52" t="n">
        <f aca="false">O74+O75</f>
        <v>10494.9289115695</v>
      </c>
      <c r="P85" s="52" t="n">
        <f aca="false">P74+P75</f>
        <v>9339.21602146156</v>
      </c>
      <c r="Q85" s="52" t="n">
        <f aca="false">Q74+Q75</f>
        <v>9349.59379923934</v>
      </c>
      <c r="R85" s="52" t="n">
        <f aca="false">R74+R75</f>
        <v>9359.97157701711</v>
      </c>
      <c r="S85" s="52" t="n">
        <f aca="false">S74+S75</f>
        <v>9370.34935479489</v>
      </c>
      <c r="T85" s="52" t="n">
        <f aca="false">T74+T75</f>
        <v>9380.72713257267</v>
      </c>
      <c r="U85" s="52" t="n">
        <f aca="false">U74+U75</f>
        <v>9391.10491035045</v>
      </c>
      <c r="V85" s="52" t="n">
        <f aca="false">V74+V75</f>
        <v>9401.48268812822</v>
      </c>
      <c r="W85" s="52" t="n">
        <f aca="false">W74+W75</f>
        <v>9411.860465906</v>
      </c>
      <c r="X85" s="52" t="n">
        <f aca="false">X74+X75</f>
        <v>9422.23824368378</v>
      </c>
      <c r="Y85" s="52" t="n">
        <f aca="false">Y74+Y75</f>
        <v>19959.6091837857</v>
      </c>
      <c r="Z85" s="52" t="n">
        <f aca="false">Z74+Z75</f>
        <v>22015.5185574492</v>
      </c>
      <c r="AA85" s="52" t="n">
        <f aca="false">AA74+AA75</f>
        <v>13176.599426644</v>
      </c>
      <c r="AB85" s="52" t="n">
        <f aca="false">AB74+AB75</f>
        <v>11976.9707467658</v>
      </c>
      <c r="AC85" s="52" t="n">
        <f aca="false">AC74+AC75</f>
        <v>11987.3485245436</v>
      </c>
      <c r="AD85" s="52" t="n">
        <f aca="false">AD74+AD75</f>
        <v>11997.7263023214</v>
      </c>
      <c r="AE85" s="52" t="n">
        <f aca="false">AE74+AE75</f>
        <v>12008.1040800991</v>
      </c>
      <c r="AF85" s="52" t="n">
        <f aca="false">AF74+AF75</f>
        <v>12018.4818578769</v>
      </c>
      <c r="AG85" s="52" t="n">
        <f aca="false">AG74+AG75</f>
        <v>12028.8596356547</v>
      </c>
      <c r="AH85" s="52" t="n">
        <f aca="false">AH74+AH75</f>
        <v>12039.2374134325</v>
      </c>
      <c r="AI85" s="52" t="n">
        <f aca="false">AI74+AI75</f>
        <v>12049.6151912102</v>
      </c>
      <c r="AJ85" s="52" t="n">
        <f aca="false">AJ74+AJ75</f>
        <v>12059.992968988</v>
      </c>
      <c r="AK85" s="52" t="n">
        <f aca="false">AK74+AK75</f>
        <v>23238.4577926755</v>
      </c>
      <c r="AL85" s="52" t="n">
        <f aca="false">AL74+AL75</f>
        <v>25418.9400405284</v>
      </c>
    </row>
    <row r="86" customFormat="false" ht="15" hidden="false" customHeight="false" outlineLevel="0" collapsed="false">
      <c r="A86" s="6" t="s">
        <v>375</v>
      </c>
      <c r="C86" s="52" t="n">
        <f aca="false">C85</f>
        <v>-96781.6092483048</v>
      </c>
      <c r="D86" s="52" t="n">
        <f aca="false">C86+D85</f>
        <v>-92229.7616315683</v>
      </c>
      <c r="E86" s="52" t="n">
        <f aca="false">D86+E85</f>
        <v>-84514.0196228063</v>
      </c>
      <c r="F86" s="52" t="n">
        <f aca="false">E86+F85</f>
        <v>-76310.0345600762</v>
      </c>
      <c r="G86" s="52" t="n">
        <f aca="false">F86+G85</f>
        <v>-68098.5883862349</v>
      </c>
      <c r="H86" s="52" t="n">
        <f aca="false">G86+H85</f>
        <v>-59879.6811012825</v>
      </c>
      <c r="I86" s="52" t="n">
        <f aca="false">H86+I85</f>
        <v>-51653.312705219</v>
      </c>
      <c r="J86" s="52" t="n">
        <f aca="false">I86+J85</f>
        <v>-43419.4831980444</v>
      </c>
      <c r="K86" s="52" t="n">
        <f aca="false">J86+K85</f>
        <v>-35178.1925797587</v>
      </c>
      <c r="L86" s="52" t="n">
        <f aca="false">K86+L85</f>
        <v>-26929.4408503619</v>
      </c>
      <c r="M86" s="52" t="n">
        <f aca="false">L86+M85</f>
        <v>-8750.5273195682</v>
      </c>
      <c r="N86" s="52" t="n">
        <f aca="false">M86+N85</f>
        <v>11363.9570366223</v>
      </c>
      <c r="O86" s="52" t="n">
        <f aca="false">N86+O85</f>
        <v>21858.8859481918</v>
      </c>
      <c r="P86" s="52" t="n">
        <f aca="false">O86+P85</f>
        <v>31198.1019696533</v>
      </c>
      <c r="Q86" s="52" t="n">
        <f aca="false">P86+Q85</f>
        <v>40547.6957688927</v>
      </c>
      <c r="R86" s="52" t="n">
        <f aca="false">Q86+R85</f>
        <v>49907.6673459098</v>
      </c>
      <c r="S86" s="52" t="n">
        <f aca="false">R86+S85</f>
        <v>59278.0167007047</v>
      </c>
      <c r="T86" s="52" t="n">
        <f aca="false">S86+T85</f>
        <v>68658.7438332774</v>
      </c>
      <c r="U86" s="52" t="n">
        <f aca="false">T86+U85</f>
        <v>78049.8487436278</v>
      </c>
      <c r="V86" s="52" t="n">
        <f aca="false">U86+V85</f>
        <v>87451.331431756</v>
      </c>
      <c r="W86" s="52" t="n">
        <f aca="false">V86+W85</f>
        <v>96863.191897662</v>
      </c>
      <c r="X86" s="52" t="n">
        <f aca="false">W86+X85</f>
        <v>106285.430141346</v>
      </c>
      <c r="Y86" s="52" t="n">
        <f aca="false">X86+Y85</f>
        <v>126245.039325131</v>
      </c>
      <c r="Z86" s="52" t="n">
        <f aca="false">Y86+Z85</f>
        <v>148260.557882581</v>
      </c>
      <c r="AA86" s="52" t="n">
        <f aca="false">Z86+AA85</f>
        <v>161437.157309225</v>
      </c>
      <c r="AB86" s="52" t="n">
        <f aca="false">AA86+AB85</f>
        <v>173414.12805599</v>
      </c>
      <c r="AC86" s="52" t="n">
        <f aca="false">AB86+AC85</f>
        <v>185401.476580534</v>
      </c>
      <c r="AD86" s="52" t="n">
        <f aca="false">AC86+AD85</f>
        <v>197399.202882855</v>
      </c>
      <c r="AE86" s="52" t="n">
        <f aca="false">AD86+AE85</f>
        <v>209407.306962954</v>
      </c>
      <c r="AF86" s="52" t="n">
        <f aca="false">AE86+AF85</f>
        <v>221425.788820831</v>
      </c>
      <c r="AG86" s="52" t="n">
        <f aca="false">AF86+AG85</f>
        <v>233454.648456486</v>
      </c>
      <c r="AH86" s="52" t="n">
        <f aca="false">AG86+AH85</f>
        <v>245493.885869919</v>
      </c>
      <c r="AI86" s="52" t="n">
        <f aca="false">AH86+AI85</f>
        <v>257543.501061129</v>
      </c>
      <c r="AJ86" s="52" t="n">
        <f aca="false">AI86+AJ85</f>
        <v>269603.494030117</v>
      </c>
      <c r="AK86" s="52" t="n">
        <f aca="false">AJ86+AK85</f>
        <v>292841.951822792</v>
      </c>
      <c r="AL86" s="52" t="n">
        <f aca="false">AK86+AL85</f>
        <v>318260.891863321</v>
      </c>
    </row>
    <row r="87" customFormat="false" ht="15" hidden="false" customHeight="false" outlineLevel="0" collapsed="false">
      <c r="A87" s="107" t="s">
        <v>376</v>
      </c>
      <c r="C87" s="52" t="n">
        <f aca="false">C86</f>
        <v>-96781.6092483048</v>
      </c>
      <c r="D87" s="52" t="n">
        <f aca="false">MIN(C87,D86)</f>
        <v>-96781.6092483048</v>
      </c>
      <c r="E87" s="52" t="n">
        <f aca="false">MIN(D87,E86)</f>
        <v>-96781.6092483048</v>
      </c>
      <c r="F87" s="52" t="n">
        <f aca="false">MIN(E87,F86)</f>
        <v>-96781.6092483048</v>
      </c>
      <c r="G87" s="52" t="n">
        <f aca="false">MIN(F87,G86)</f>
        <v>-96781.6092483048</v>
      </c>
      <c r="H87" s="52" t="n">
        <f aca="false">MIN(G87,H86)</f>
        <v>-96781.6092483048</v>
      </c>
      <c r="I87" s="52" t="n">
        <f aca="false">MIN(H87,I86)</f>
        <v>-96781.6092483048</v>
      </c>
      <c r="J87" s="52" t="n">
        <f aca="false">MIN(I87,J86)</f>
        <v>-96781.6092483048</v>
      </c>
      <c r="K87" s="52" t="n">
        <f aca="false">MIN(J87,K86)</f>
        <v>-96781.6092483048</v>
      </c>
      <c r="L87" s="52" t="n">
        <f aca="false">MIN(K87,L86)</f>
        <v>-96781.6092483048</v>
      </c>
      <c r="M87" s="52" t="n">
        <f aca="false">MIN(L87,M86)</f>
        <v>-96781.6092483048</v>
      </c>
      <c r="N87" s="52" t="n">
        <f aca="false">MIN(M87,N86)</f>
        <v>-96781.6092483048</v>
      </c>
      <c r="O87" s="52" t="n">
        <f aca="false">MIN(N87,O86)</f>
        <v>-96781.6092483048</v>
      </c>
      <c r="P87" s="52" t="n">
        <f aca="false">MIN(O87,P86)</f>
        <v>-96781.6092483048</v>
      </c>
      <c r="Q87" s="52" t="n">
        <f aca="false">MIN(P87,Q86)</f>
        <v>-96781.6092483048</v>
      </c>
      <c r="R87" s="52" t="n">
        <f aca="false">MIN(Q87,R86)</f>
        <v>-96781.6092483048</v>
      </c>
      <c r="S87" s="52" t="n">
        <f aca="false">MIN(R87,S86)</f>
        <v>-96781.6092483048</v>
      </c>
      <c r="T87" s="52" t="n">
        <f aca="false">MIN(S87,T86)</f>
        <v>-96781.6092483048</v>
      </c>
      <c r="U87" s="52" t="n">
        <f aca="false">MIN(T87,U86)</f>
        <v>-96781.6092483048</v>
      </c>
      <c r="V87" s="52" t="n">
        <f aca="false">MIN(U87,V86)</f>
        <v>-96781.6092483048</v>
      </c>
      <c r="W87" s="52" t="n">
        <f aca="false">MIN(V87,W86)</f>
        <v>-96781.6092483048</v>
      </c>
      <c r="X87" s="52" t="n">
        <f aca="false">MIN(W87,X86)</f>
        <v>-96781.6092483048</v>
      </c>
      <c r="Y87" s="52" t="n">
        <f aca="false">MIN(X87,Y86)</f>
        <v>-96781.6092483048</v>
      </c>
      <c r="Z87" s="52" t="n">
        <f aca="false">MIN(Y87,Z86)</f>
        <v>-96781.6092483048</v>
      </c>
      <c r="AA87" s="52" t="n">
        <f aca="false">MIN(Z87,AA86)</f>
        <v>-96781.6092483048</v>
      </c>
      <c r="AB87" s="52" t="n">
        <f aca="false">MIN(AA87,AB86)</f>
        <v>-96781.6092483048</v>
      </c>
      <c r="AC87" s="52" t="n">
        <f aca="false">MIN(AB87,AC86)</f>
        <v>-96781.6092483048</v>
      </c>
      <c r="AD87" s="52" t="n">
        <f aca="false">MIN(AC87,AD86)</f>
        <v>-96781.6092483048</v>
      </c>
      <c r="AE87" s="52" t="n">
        <f aca="false">MIN(AD87,AE86)</f>
        <v>-96781.6092483048</v>
      </c>
      <c r="AF87" s="52" t="n">
        <f aca="false">MIN(AE87,AF86)</f>
        <v>-96781.6092483048</v>
      </c>
      <c r="AG87" s="52" t="n">
        <f aca="false">MIN(AF87,AG86)</f>
        <v>-96781.6092483048</v>
      </c>
      <c r="AH87" s="52" t="n">
        <f aca="false">MIN(AG87,AH86)</f>
        <v>-96781.6092483048</v>
      </c>
      <c r="AI87" s="52" t="n">
        <f aca="false">MIN(AH87,AI86)</f>
        <v>-96781.6092483048</v>
      </c>
      <c r="AJ87" s="52" t="n">
        <f aca="false">MIN(AI87,AJ86)</f>
        <v>-96781.6092483048</v>
      </c>
      <c r="AK87" s="52" t="n">
        <f aca="false">MIN(AJ87,AK86)</f>
        <v>-96781.6092483048</v>
      </c>
      <c r="AL87" s="52" t="n">
        <f aca="false">MIN(AK87,AL86)</f>
        <v>-96781.6092483048</v>
      </c>
    </row>
    <row r="88" customFormat="false" ht="15" hidden="false" customHeight="false" outlineLevel="0" collapsed="false">
      <c r="A88" s="107" t="s">
        <v>377</v>
      </c>
      <c r="C88" s="105" t="n">
        <f aca="false">IF(AND(C86&gt;=0,C87&lt;0),1,0)</f>
        <v>0</v>
      </c>
      <c r="D88" s="105" t="n">
        <f aca="false">IF(AND(D86&gt;=0,D87&lt;0),1,0)</f>
        <v>0</v>
      </c>
      <c r="E88" s="105" t="n">
        <f aca="false">IF(AND(E86&gt;=0,E87&lt;0),1,0)</f>
        <v>0</v>
      </c>
      <c r="F88" s="105" t="n">
        <f aca="false">IF(AND(F86&gt;=0,F87&lt;0),1,0)</f>
        <v>0</v>
      </c>
      <c r="G88" s="105" t="n">
        <f aca="false">IF(AND(G86&gt;=0,G87&lt;0),1,0)</f>
        <v>0</v>
      </c>
      <c r="H88" s="105" t="n">
        <f aca="false">IF(AND(H86&gt;=0,H87&lt;0),1,0)</f>
        <v>0</v>
      </c>
      <c r="I88" s="105" t="n">
        <f aca="false">IF(AND(I86&gt;=0,I87&lt;0),1,0)</f>
        <v>0</v>
      </c>
      <c r="J88" s="105" t="n">
        <f aca="false">IF(AND(J86&gt;=0,J87&lt;0),1,0)</f>
        <v>0</v>
      </c>
      <c r="K88" s="105" t="n">
        <f aca="false">IF(AND(K86&gt;=0,K87&lt;0),1,0)</f>
        <v>0</v>
      </c>
      <c r="L88" s="105" t="n">
        <f aca="false">IF(AND(L86&gt;=0,L87&lt;0),1,0)</f>
        <v>0</v>
      </c>
      <c r="M88" s="105" t="n">
        <f aca="false">IF(AND(M86&gt;=0,M87&lt;0),1,0)</f>
        <v>0</v>
      </c>
      <c r="N88" s="105" t="n">
        <f aca="false">IF(AND(N86&gt;=0,N87&lt;0),1,0)</f>
        <v>1</v>
      </c>
      <c r="O88" s="105" t="n">
        <f aca="false">IF(AND(O86&gt;=0,O87&lt;0),1,0)</f>
        <v>1</v>
      </c>
      <c r="P88" s="105" t="n">
        <f aca="false">IF(AND(P86&gt;=0,P87&lt;0),1,0)</f>
        <v>1</v>
      </c>
      <c r="Q88" s="105" t="n">
        <f aca="false">IF(AND(Q86&gt;=0,Q87&lt;0),1,0)</f>
        <v>1</v>
      </c>
      <c r="R88" s="105" t="n">
        <f aca="false">IF(AND(R86&gt;=0,R87&lt;0),1,0)</f>
        <v>1</v>
      </c>
      <c r="S88" s="105" t="n">
        <f aca="false">IF(AND(S86&gt;=0,S87&lt;0),1,0)</f>
        <v>1</v>
      </c>
      <c r="T88" s="105" t="n">
        <f aca="false">IF(AND(T86&gt;=0,T87&lt;0),1,0)</f>
        <v>1</v>
      </c>
      <c r="U88" s="105" t="n">
        <f aca="false">IF(AND(U86&gt;=0,U87&lt;0),1,0)</f>
        <v>1</v>
      </c>
      <c r="V88" s="105" t="n">
        <f aca="false">IF(AND(V86&gt;=0,V87&lt;0),1,0)</f>
        <v>1</v>
      </c>
      <c r="W88" s="105" t="n">
        <f aca="false">IF(AND(W86&gt;=0,W87&lt;0),1,0)</f>
        <v>1</v>
      </c>
      <c r="X88" s="105" t="n">
        <f aca="false">IF(AND(X86&gt;=0,X87&lt;0),1,0)</f>
        <v>1</v>
      </c>
      <c r="Y88" s="105" t="n">
        <f aca="false">IF(AND(Y86&gt;=0,Y87&lt;0),1,0)</f>
        <v>1</v>
      </c>
      <c r="Z88" s="105" t="n">
        <f aca="false">IF(AND(Z86&gt;=0,Z87&lt;0),1,0)</f>
        <v>1</v>
      </c>
      <c r="AA88" s="105" t="n">
        <f aca="false">IF(AND(AA86&gt;=0,AA87&lt;0),1,0)</f>
        <v>1</v>
      </c>
      <c r="AB88" s="105" t="n">
        <f aca="false">IF(AND(AB86&gt;=0,AB87&lt;0),1,0)</f>
        <v>1</v>
      </c>
      <c r="AC88" s="105" t="n">
        <f aca="false">IF(AND(AC86&gt;=0,AC87&lt;0),1,0)</f>
        <v>1</v>
      </c>
      <c r="AD88" s="105" t="n">
        <f aca="false">IF(AND(AD86&gt;=0,AD87&lt;0),1,0)</f>
        <v>1</v>
      </c>
      <c r="AE88" s="105" t="n">
        <f aca="false">IF(AND(AE86&gt;=0,AE87&lt;0),1,0)</f>
        <v>1</v>
      </c>
      <c r="AF88" s="105" t="n">
        <f aca="false">IF(AND(AF86&gt;=0,AF87&lt;0),1,0)</f>
        <v>1</v>
      </c>
      <c r="AG88" s="105" t="n">
        <f aca="false">IF(AND(AG86&gt;=0,AG87&lt;0),1,0)</f>
        <v>1</v>
      </c>
      <c r="AH88" s="105" t="n">
        <f aca="false">IF(AND(AH86&gt;=0,AH87&lt;0),1,0)</f>
        <v>1</v>
      </c>
      <c r="AI88" s="105" t="n">
        <f aca="false">IF(AND(AI86&gt;=0,AI87&lt;0),1,0)</f>
        <v>1</v>
      </c>
      <c r="AJ88" s="105" t="n">
        <f aca="false">IF(AND(AJ86&gt;=0,AJ87&lt;0),1,0)</f>
        <v>1</v>
      </c>
      <c r="AK88" s="105" t="n">
        <f aca="false">IF(AND(AK86&gt;=0,AK87&lt;0),1,0)</f>
        <v>1</v>
      </c>
      <c r="AL88" s="105" t="n">
        <f aca="false">IF(AND(AL86&gt;=0,AL87&lt;0),1,0)</f>
        <v>1</v>
      </c>
    </row>
    <row r="89" customFormat="false" ht="15" hidden="false" customHeight="false" outlineLevel="0" collapsed="false">
      <c r="A89" s="6" t="s">
        <v>378</v>
      </c>
      <c r="C89" s="52" t="n">
        <f aca="false">C74-C45*(1-Inputs!$E$70)+C75</f>
        <v>-96333.9425816381</v>
      </c>
      <c r="D89" s="52" t="n">
        <f aca="false">D74-D45*(1-Inputs!$E$70)+D75</f>
        <v>4995.78372784762</v>
      </c>
      <c r="E89" s="52" t="n">
        <f aca="false">E74-E45*(1-Inputs!$E$70)+E75</f>
        <v>8152.21700876191</v>
      </c>
      <c r="F89" s="52" t="n">
        <f aca="false">F74-F45*(1-Inputs!$E$70)+F75</f>
        <v>8632.99895161905</v>
      </c>
      <c r="G89" s="52" t="n">
        <f aca="false">G74-G45*(1-Inputs!$E$70)+G75</f>
        <v>8632.99895161905</v>
      </c>
      <c r="H89" s="52" t="n">
        <f aca="false">H74-H45*(1-Inputs!$E$70)+H75</f>
        <v>8632.99895161905</v>
      </c>
      <c r="I89" s="52" t="n">
        <f aca="false">I74-I45*(1-Inputs!$E$70)+I75</f>
        <v>8632.99895161905</v>
      </c>
      <c r="J89" s="52" t="n">
        <f aca="false">J74-J45*(1-Inputs!$E$70)+J75</f>
        <v>8632.99895161905</v>
      </c>
      <c r="K89" s="52" t="n">
        <f aca="false">K74-K45*(1-Inputs!$E$70)+K75</f>
        <v>8632.99895161905</v>
      </c>
      <c r="L89" s="52" t="n">
        <f aca="false">L74-L45*(1-Inputs!$E$70)+L75</f>
        <v>8632.99895161905</v>
      </c>
      <c r="M89" s="52" t="n">
        <f aca="false">M74-M45*(1-Inputs!$E$70)+M75</f>
        <v>18555.6996419048</v>
      </c>
      <c r="N89" s="52" t="n">
        <f aca="false">N74-N45*(1-Inputs!$E$70)+N75</f>
        <v>20483.8093561905</v>
      </c>
      <c r="O89" s="52" t="n">
        <f aca="false">O74-O45*(1-Inputs!$E$70)+O75</f>
        <v>10856.7928004584</v>
      </c>
      <c r="P89" s="52" t="n">
        <f aca="false">P74-P45*(1-Inputs!$E$70)+P75</f>
        <v>9693.61879923934</v>
      </c>
      <c r="Q89" s="52" t="n">
        <f aca="false">Q74-Q45*(1-Inputs!$E$70)+Q75</f>
        <v>9696.53546590601</v>
      </c>
      <c r="R89" s="52" t="n">
        <f aca="false">R74-R45*(1-Inputs!$E$70)+R75</f>
        <v>9699.45213257267</v>
      </c>
      <c r="S89" s="52" t="n">
        <f aca="false">S74-S45*(1-Inputs!$E$70)+S75</f>
        <v>9702.36879923933</v>
      </c>
      <c r="T89" s="52" t="n">
        <f aca="false">T74-T45*(1-Inputs!$E$70)+T75</f>
        <v>9705.28546590601</v>
      </c>
      <c r="U89" s="52" t="n">
        <f aca="false">U74-U45*(1-Inputs!$E$70)+U75</f>
        <v>9708.20213257267</v>
      </c>
      <c r="V89" s="52" t="n">
        <f aca="false">V74-V45*(1-Inputs!$E$70)+V75</f>
        <v>9711.11879923934</v>
      </c>
      <c r="W89" s="52" t="n">
        <f aca="false">W74-W45*(1-Inputs!$E$70)+W75</f>
        <v>9714.035465906</v>
      </c>
      <c r="X89" s="52" t="n">
        <f aca="false">X74-X45*(1-Inputs!$E$70)+X75</f>
        <v>9716.95213257267</v>
      </c>
      <c r="Y89" s="52" t="n">
        <f aca="false">Y74-Y45*(1-Inputs!$E$70)+Y75</f>
        <v>20246.8619615635</v>
      </c>
      <c r="Z89" s="52" t="n">
        <f aca="false">Z74-Z45*(1-Inputs!$E$70)+Z75</f>
        <v>22295.3102241158</v>
      </c>
      <c r="AA89" s="52" t="n">
        <f aca="false">AA74-AA45*(1-Inputs!$E$70)+AA75</f>
        <v>13448.9299821995</v>
      </c>
      <c r="AB89" s="52" t="n">
        <f aca="false">AB74-AB45*(1-Inputs!$E$70)+AB75</f>
        <v>12241.8401912102</v>
      </c>
      <c r="AC89" s="52" t="n">
        <f aca="false">AC74-AC45*(1-Inputs!$E$70)+AC75</f>
        <v>12244.7568578769</v>
      </c>
      <c r="AD89" s="52" t="n">
        <f aca="false">AD74-AD45*(1-Inputs!$E$70)+AD75</f>
        <v>12247.6735245436</v>
      </c>
      <c r="AE89" s="52" t="n">
        <f aca="false">AE74-AE45*(1-Inputs!$E$70)+AE75</f>
        <v>12250.5901912102</v>
      </c>
      <c r="AF89" s="52" t="n">
        <f aca="false">AF74-AF45*(1-Inputs!$E$70)+AF75</f>
        <v>12253.5068578769</v>
      </c>
      <c r="AG89" s="52" t="n">
        <f aca="false">AG74-AG45*(1-Inputs!$E$70)+AG75</f>
        <v>12256.4235245436</v>
      </c>
      <c r="AH89" s="52" t="n">
        <f aca="false">AH74-AH45*(1-Inputs!$E$70)+AH75</f>
        <v>12259.3401912102</v>
      </c>
      <c r="AI89" s="52" t="n">
        <f aca="false">AI74-AI45*(1-Inputs!$E$70)+AI75</f>
        <v>12262.2568578769</v>
      </c>
      <c r="AJ89" s="52" t="n">
        <f aca="false">AJ74-AJ45*(1-Inputs!$E$70)+AJ75</f>
        <v>12265.1735245436</v>
      </c>
      <c r="AK89" s="52" t="n">
        <f aca="false">AK74-AK45*(1-Inputs!$E$70)+AK75</f>
        <v>23436.1772371199</v>
      </c>
      <c r="AL89" s="52" t="n">
        <f aca="false">AL74-AL45*(1-Inputs!$E$70)+AL75</f>
        <v>25609.1983738617</v>
      </c>
    </row>
    <row r="91" customFormat="false" ht="15.75" hidden="false" customHeight="true" outlineLevel="0" collapsed="false">
      <c r="A91" s="7" t="s">
        <v>379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95</v>
      </c>
      <c r="C92" s="52" t="n">
        <f aca="false">C76</f>
        <v>60000</v>
      </c>
      <c r="D92" s="52" t="n">
        <f aca="false">C92+D76</f>
        <v>60000</v>
      </c>
      <c r="E92" s="52" t="n">
        <f aca="false">D92+E76</f>
        <v>60000</v>
      </c>
      <c r="F92" s="52" t="n">
        <f aca="false">E92+F76</f>
        <v>60000</v>
      </c>
      <c r="G92" s="52" t="n">
        <f aca="false">F92+G76</f>
        <v>60000</v>
      </c>
      <c r="H92" s="52" t="n">
        <f aca="false">G92+H76</f>
        <v>60000</v>
      </c>
      <c r="I92" s="52" t="n">
        <f aca="false">H92+I76</f>
        <v>60000</v>
      </c>
      <c r="J92" s="52" t="n">
        <f aca="false">I92+J76</f>
        <v>60000</v>
      </c>
      <c r="K92" s="52" t="n">
        <f aca="false">J92+K76</f>
        <v>60000</v>
      </c>
      <c r="L92" s="52" t="n">
        <f aca="false">K92+L76</f>
        <v>60000</v>
      </c>
      <c r="M92" s="52" t="n">
        <f aca="false">L92+M76</f>
        <v>60000</v>
      </c>
      <c r="N92" s="52" t="n">
        <f aca="false">M92+N76</f>
        <v>60000</v>
      </c>
      <c r="O92" s="52" t="n">
        <f aca="false">N92+O76</f>
        <v>60000</v>
      </c>
      <c r="P92" s="52" t="n">
        <f aca="false">O92+P76</f>
        <v>60000</v>
      </c>
      <c r="Q92" s="52" t="n">
        <f aca="false">P92+Q76</f>
        <v>60000</v>
      </c>
      <c r="R92" s="52" t="n">
        <f aca="false">Q92+R76</f>
        <v>60000</v>
      </c>
      <c r="S92" s="52" t="n">
        <f aca="false">R92+S76</f>
        <v>60000</v>
      </c>
      <c r="T92" s="52" t="n">
        <f aca="false">S92+T76</f>
        <v>60000</v>
      </c>
      <c r="U92" s="52" t="n">
        <f aca="false">T92+U76</f>
        <v>60000</v>
      </c>
      <c r="V92" s="52" t="n">
        <f aca="false">U92+V76</f>
        <v>60000</v>
      </c>
      <c r="W92" s="52" t="n">
        <f aca="false">V92+W76</f>
        <v>60000</v>
      </c>
      <c r="X92" s="52" t="n">
        <f aca="false">W92+X76</f>
        <v>60000</v>
      </c>
      <c r="Y92" s="52" t="n">
        <f aca="false">X92+Y76</f>
        <v>60000</v>
      </c>
      <c r="Z92" s="52" t="n">
        <f aca="false">Y92+Z76</f>
        <v>60000</v>
      </c>
      <c r="AA92" s="52" t="n">
        <f aca="false">Z92+AA76</f>
        <v>60000</v>
      </c>
      <c r="AB92" s="52" t="n">
        <f aca="false">AA92+AB76</f>
        <v>60000</v>
      </c>
      <c r="AC92" s="52" t="n">
        <f aca="false">AB92+AC76</f>
        <v>60000</v>
      </c>
      <c r="AD92" s="52" t="n">
        <f aca="false">AC92+AD76</f>
        <v>60000</v>
      </c>
      <c r="AE92" s="52" t="n">
        <f aca="false">AD92+AE76</f>
        <v>60000</v>
      </c>
      <c r="AF92" s="52" t="n">
        <f aca="false">AE92+AF76</f>
        <v>60000</v>
      </c>
      <c r="AG92" s="52" t="n">
        <f aca="false">AF92+AG76</f>
        <v>60000</v>
      </c>
      <c r="AH92" s="52" t="n">
        <f aca="false">AG92+AH76</f>
        <v>60000</v>
      </c>
      <c r="AI92" s="52" t="n">
        <f aca="false">AH92+AI76</f>
        <v>60000</v>
      </c>
      <c r="AJ92" s="52" t="n">
        <f aca="false">AI92+AJ76</f>
        <v>60000</v>
      </c>
      <c r="AK92" s="52" t="n">
        <f aca="false">AJ92+AK76</f>
        <v>60000</v>
      </c>
      <c r="AL92" s="52" t="n">
        <f aca="false">AK92+AL76</f>
        <v>60000</v>
      </c>
    </row>
    <row r="93" customFormat="false" ht="15" hidden="false" customHeight="false" outlineLevel="0" collapsed="false">
      <c r="A93" s="6" t="s">
        <v>96</v>
      </c>
      <c r="C93" s="52" t="n">
        <f aca="false">C50</f>
        <v>801.037151695254</v>
      </c>
      <c r="D93" s="52" t="n">
        <f aca="false">C93+D50</f>
        <v>4762.23813986033</v>
      </c>
      <c r="E93" s="52" t="n">
        <f aca="false">D93+E50</f>
        <v>11887.3335200508</v>
      </c>
      <c r="F93" s="52" t="n">
        <f aca="false">E93+F50</f>
        <v>19019.8900113524</v>
      </c>
      <c r="G93" s="52" t="n">
        <f aca="false">F93+G50</f>
        <v>26159.9076137651</v>
      </c>
      <c r="H93" s="52" t="n">
        <f aca="false">G93+H50</f>
        <v>33307.3863272889</v>
      </c>
      <c r="I93" s="52" t="n">
        <f aca="false">H93+I50</f>
        <v>40462.3261519238</v>
      </c>
      <c r="J93" s="52" t="n">
        <f aca="false">I93+J50</f>
        <v>47624.7270876699</v>
      </c>
      <c r="K93" s="52" t="n">
        <f aca="false">J93+K50</f>
        <v>54794.589134527</v>
      </c>
      <c r="L93" s="52" t="n">
        <f aca="false">K93+L50</f>
        <v>61971.9122924953</v>
      </c>
      <c r="M93" s="52" t="n">
        <f aca="false">L93+M50</f>
        <v>81007.5069661461</v>
      </c>
      <c r="N93" s="52" t="n">
        <f aca="false">M93+N50</f>
        <v>100050.562750908</v>
      </c>
      <c r="O93" s="52" t="n">
        <f aca="false">N93+O50</f>
        <v>109460.750200941</v>
      </c>
      <c r="P93" s="52" t="n">
        <f aca="false">O93+P50</f>
        <v>118867.426539863</v>
      </c>
      <c r="Q93" s="52" t="n">
        <f aca="false">P93+Q50</f>
        <v>128270.591767674</v>
      </c>
      <c r="R93" s="52" t="n">
        <f aca="false">Q93+R50</f>
        <v>137670.245884373</v>
      </c>
      <c r="S93" s="52" t="n">
        <f aca="false">R93+S50</f>
        <v>147066.388889962</v>
      </c>
      <c r="T93" s="52" t="n">
        <f aca="false">S93+T50</f>
        <v>156459.020784439</v>
      </c>
      <c r="U93" s="52" t="n">
        <f aca="false">T93+U50</f>
        <v>165848.141567806</v>
      </c>
      <c r="V93" s="52" t="n">
        <f aca="false">U93+V50</f>
        <v>175233.751240061</v>
      </c>
      <c r="W93" s="52" t="n">
        <f aca="false">V93+W50</f>
        <v>184615.849801205</v>
      </c>
      <c r="X93" s="52" t="n">
        <f aca="false">W93+X50</f>
        <v>193994.437251238</v>
      </c>
      <c r="Y93" s="52" t="n">
        <f aca="false">X93+Y50</f>
        <v>215942.03834837</v>
      </c>
      <c r="Z93" s="52" t="n">
        <f aca="false">Y93+Z50</f>
        <v>237886.12833439</v>
      </c>
      <c r="AA93" s="52" t="n">
        <f aca="false">Z93+AA50</f>
        <v>249767.403843061</v>
      </c>
      <c r="AB93" s="52" t="n">
        <f aca="false">AA93+AB50</f>
        <v>261645.16824062</v>
      </c>
      <c r="AC93" s="52" t="n">
        <f aca="false">AB93+AC50</f>
        <v>273519.421527069</v>
      </c>
      <c r="AD93" s="52" t="n">
        <f aca="false">AC93+AD50</f>
        <v>285390.163702406</v>
      </c>
      <c r="AE93" s="52" t="n">
        <f aca="false">AD93+AE50</f>
        <v>297257.394766632</v>
      </c>
      <c r="AF93" s="52" t="n">
        <f aca="false">AE93+AF50</f>
        <v>309121.114719747</v>
      </c>
      <c r="AG93" s="52" t="n">
        <f aca="false">AF93+AG50</f>
        <v>320981.323561751</v>
      </c>
      <c r="AH93" s="52" t="n">
        <f aca="false">AG93+AH50</f>
        <v>332838.021292644</v>
      </c>
      <c r="AI93" s="52" t="n">
        <f aca="false">AH93+AI50</f>
        <v>344691.207912425</v>
      </c>
      <c r="AJ93" s="52" t="n">
        <f aca="false">AI93+AJ50</f>
        <v>356540.883421096</v>
      </c>
      <c r="AK93" s="52" t="n">
        <f aca="false">AJ93+AK50</f>
        <v>381725.23933464</v>
      </c>
      <c r="AL93" s="52" t="n">
        <f aca="false">AK93+AL50</f>
        <v>406906.084137073</v>
      </c>
    </row>
    <row r="94" customFormat="false" ht="15" hidden="false" customHeight="false" outlineLevel="0" collapsed="false">
      <c r="A94" s="4" t="s">
        <v>91</v>
      </c>
      <c r="C94" s="58" t="n">
        <f aca="false">C80+C66+C67+C57</f>
        <v>162997.932785981</v>
      </c>
      <c r="D94" s="58" t="n">
        <f aca="false">D80+D66+D67+D57</f>
        <v>166858.961309384</v>
      </c>
      <c r="E94" s="58" t="n">
        <f aca="false">E80+E66+E67+E57</f>
        <v>173883.884224813</v>
      </c>
      <c r="F94" s="58" t="n">
        <f aca="false">F80+F66+F67+F57</f>
        <v>179683.107382781</v>
      </c>
      <c r="G94" s="58" t="n">
        <f aca="false">G80+G66+G67+G57</f>
        <v>185489.79165186</v>
      </c>
      <c r="H94" s="58" t="n">
        <f aca="false">H80+H66+H67+H57</f>
        <v>191303.937032051</v>
      </c>
      <c r="I94" s="58" t="n">
        <f aca="false">I80+I66+I67+I57</f>
        <v>197125.543523352</v>
      </c>
      <c r="J94" s="58" t="n">
        <f aca="false">J80+J66+J67+J57</f>
        <v>202954.611125765</v>
      </c>
      <c r="K94" s="58" t="n">
        <f aca="false">K80+K66+K67+K57</f>
        <v>208791.139839289</v>
      </c>
      <c r="L94" s="58" t="n">
        <f aca="false">L80+L66+L67+L57</f>
        <v>214635.129663924</v>
      </c>
      <c r="M94" s="58" t="n">
        <f aca="false">M80+M66+M67+M57</f>
        <v>236453.355347098</v>
      </c>
      <c r="N94" s="58" t="n">
        <f aca="false">N80+N66+N67+N57</f>
        <v>254163.077798527</v>
      </c>
      <c r="O94" s="58" t="n">
        <f aca="false">O80+O66+O67+O57</f>
        <v>260386.03818229</v>
      </c>
      <c r="P94" s="58" t="n">
        <f aca="false">P80+P66+P67+P57</f>
        <v>268459.381187878</v>
      </c>
      <c r="Q94" s="58" t="n">
        <f aca="false">Q80+Q66+Q67+Q57</f>
        <v>276529.213082356</v>
      </c>
      <c r="R94" s="58" t="n">
        <f aca="false">R80+R66+R67+R57</f>
        <v>284595.533865722</v>
      </c>
      <c r="S94" s="58" t="n">
        <f aca="false">S80+S66+S67+S57</f>
        <v>292658.343537977</v>
      </c>
      <c r="T94" s="58" t="n">
        <f aca="false">T80+T66+T67+T57</f>
        <v>300717.642099121</v>
      </c>
      <c r="U94" s="58" t="n">
        <f aca="false">U80+U66+U67+U57</f>
        <v>308773.429549154</v>
      </c>
      <c r="V94" s="58" t="n">
        <f aca="false">V80+V66+V67+V57</f>
        <v>316825.705888076</v>
      </c>
      <c r="W94" s="58" t="n">
        <f aca="false">W80+W66+W67+W57</f>
        <v>324874.471115887</v>
      </c>
      <c r="X94" s="58" t="n">
        <f aca="false">X80+X66+X67+X57</f>
        <v>332919.725232587</v>
      </c>
      <c r="Y94" s="58" t="n">
        <f aca="false">Y80+Y66+Y67+Y57</f>
        <v>357900.619567722</v>
      </c>
      <c r="Z94" s="58" t="n">
        <f aca="false">Z80+Z66+Z67+Z57</f>
        <v>378511.376220409</v>
      </c>
      <c r="AA94" s="58" t="n">
        <f aca="false">AA80+AA66+AA67+AA57</f>
        <v>387209.270925693</v>
      </c>
      <c r="AB94" s="58" t="n">
        <f aca="false">AB80+AB66+AB67+AB57</f>
        <v>397753.701989919</v>
      </c>
      <c r="AC94" s="58" t="n">
        <f aca="false">AC80+AC66+AC67+AC57</f>
        <v>408294.621943034</v>
      </c>
      <c r="AD94" s="58" t="n">
        <f aca="false">AD80+AD66+AD67+AD57</f>
        <v>418832.030785038</v>
      </c>
      <c r="AE94" s="58" t="n">
        <f aca="false">AE80+AE66+AE67+AE57</f>
        <v>429365.928515931</v>
      </c>
      <c r="AF94" s="58" t="n">
        <f aca="false">AF80+AF66+AF67+AF57</f>
        <v>439896.315135712</v>
      </c>
      <c r="AG94" s="58" t="n">
        <f aca="false">AG80+AG66+AG67+AG57</f>
        <v>450423.190644383</v>
      </c>
      <c r="AH94" s="58" t="n">
        <f aca="false">AH80+AH66+AH67+AH57</f>
        <v>460946.555041942</v>
      </c>
      <c r="AI94" s="58" t="n">
        <f aca="false">AI80+AI66+AI67+AI57</f>
        <v>471466.408328391</v>
      </c>
      <c r="AJ94" s="58" t="n">
        <f aca="false">AJ80+AJ66+AJ67+AJ57</f>
        <v>481982.750503728</v>
      </c>
      <c r="AK94" s="58" t="n">
        <f aca="false">AK80+AK66+AK67+AK57</f>
        <v>510466.32721347</v>
      </c>
      <c r="AL94" s="58" t="n">
        <f aca="false">AL80+AL66+AL67+AL57</f>
        <v>534313.83868257</v>
      </c>
    </row>
    <row r="95" customFormat="false" ht="15" hidden="false" customHeight="false" outlineLevel="0" collapsed="false">
      <c r="A95" s="6" t="s">
        <v>94</v>
      </c>
      <c r="C95" s="52" t="n">
        <f aca="false">C68+C63</f>
        <v>102196.895634286</v>
      </c>
      <c r="D95" s="52" t="n">
        <f aca="false">D68+D63</f>
        <v>102096.723169524</v>
      </c>
      <c r="E95" s="52" t="n">
        <f aca="false">E68+E63</f>
        <v>101996.550704762</v>
      </c>
      <c r="F95" s="52" t="n">
        <f aca="false">F68+F63</f>
        <v>100663.217371429</v>
      </c>
      <c r="G95" s="52" t="n">
        <f aca="false">G68+G63</f>
        <v>99329.8840380953</v>
      </c>
      <c r="H95" s="52" t="n">
        <f aca="false">H68+H63</f>
        <v>97996.5507047619</v>
      </c>
      <c r="I95" s="52" t="n">
        <f aca="false">I68+I63</f>
        <v>96663.2173714286</v>
      </c>
      <c r="J95" s="52" t="n">
        <f aca="false">J68+J63</f>
        <v>95329.8840380953</v>
      </c>
      <c r="K95" s="52" t="n">
        <f aca="false">K68+K63</f>
        <v>93996.550704762</v>
      </c>
      <c r="L95" s="52" t="n">
        <f aca="false">L68+L63</f>
        <v>92663.2173714286</v>
      </c>
      <c r="M95" s="52" t="n">
        <f aca="false">M68+M63</f>
        <v>95445.8483809524</v>
      </c>
      <c r="N95" s="52" t="n">
        <f aca="false">N68+N63</f>
        <v>94112.5150476191</v>
      </c>
      <c r="O95" s="52" t="n">
        <f aca="false">O68+O63</f>
        <v>90925.2879813486</v>
      </c>
      <c r="P95" s="52" t="n">
        <f aca="false">P68+P63</f>
        <v>89591.9546480153</v>
      </c>
      <c r="Q95" s="52" t="n">
        <f aca="false">Q68+Q63</f>
        <v>88258.621314682</v>
      </c>
      <c r="R95" s="52" t="n">
        <f aca="false">R68+R63</f>
        <v>86925.2879813486</v>
      </c>
      <c r="S95" s="52" t="n">
        <f aca="false">S68+S63</f>
        <v>85591.9546480153</v>
      </c>
      <c r="T95" s="52" t="n">
        <f aca="false">T68+T63</f>
        <v>84258.6213146819</v>
      </c>
      <c r="U95" s="52" t="n">
        <f aca="false">U68+U63</f>
        <v>82925.2879813486</v>
      </c>
      <c r="V95" s="52" t="n">
        <f aca="false">V68+V63</f>
        <v>81591.9546480153</v>
      </c>
      <c r="W95" s="52" t="n">
        <f aca="false">W68+W63</f>
        <v>80258.6213146819</v>
      </c>
      <c r="X95" s="52" t="n">
        <f aca="false">X68+X63</f>
        <v>78925.2879813486</v>
      </c>
      <c r="Y95" s="52" t="n">
        <f aca="false">Y68+Y63</f>
        <v>81958.5812193524</v>
      </c>
      <c r="Z95" s="52" t="n">
        <f aca="false">Z68+Z63</f>
        <v>80625.2478860191</v>
      </c>
      <c r="AA95" s="52" t="n">
        <f aca="false">AA68+AA63</f>
        <v>77441.8670826319</v>
      </c>
      <c r="AB95" s="52" t="n">
        <f aca="false">AB68+AB63</f>
        <v>76108.5337492986</v>
      </c>
      <c r="AC95" s="52" t="n">
        <f aca="false">AC68+AC63</f>
        <v>74775.2004159652</v>
      </c>
      <c r="AD95" s="52" t="n">
        <f aca="false">AD68+AD63</f>
        <v>73441.8670826319</v>
      </c>
      <c r="AE95" s="52" t="n">
        <f aca="false">AE68+AE63</f>
        <v>72108.5337492986</v>
      </c>
      <c r="AF95" s="52" t="n">
        <f aca="false">AF68+AF63</f>
        <v>70775.2004159652</v>
      </c>
      <c r="AG95" s="52" t="n">
        <f aca="false">AG68+AG63</f>
        <v>69441.8670826319</v>
      </c>
      <c r="AH95" s="52" t="n">
        <f aca="false">AH68+AH63</f>
        <v>68108.5337492986</v>
      </c>
      <c r="AI95" s="52" t="n">
        <f aca="false">AI68+AI63</f>
        <v>66775.2004159652</v>
      </c>
      <c r="AJ95" s="52" t="n">
        <f aca="false">AJ68+AJ63</f>
        <v>65441.8670826319</v>
      </c>
      <c r="AK95" s="52" t="n">
        <f aca="false">AK68+AK63</f>
        <v>68741.0878788302</v>
      </c>
      <c r="AL95" s="52" t="n">
        <f aca="false">AL68+AL63</f>
        <v>67407.7545454968</v>
      </c>
    </row>
    <row r="96" customFormat="false" ht="15" hidden="false" customHeight="false" outlineLevel="0" collapsed="false">
      <c r="A96" s="6" t="s">
        <v>97</v>
      </c>
      <c r="C96" s="52" t="n">
        <f aca="false">C92+C93</f>
        <v>60801.0371516953</v>
      </c>
      <c r="D96" s="52" t="n">
        <f aca="false">D92+D93</f>
        <v>64762.2381398603</v>
      </c>
      <c r="E96" s="52" t="n">
        <f aca="false">E92+E93</f>
        <v>71887.3335200508</v>
      </c>
      <c r="F96" s="52" t="n">
        <f aca="false">F92+F93</f>
        <v>79019.8900113524</v>
      </c>
      <c r="G96" s="52" t="n">
        <f aca="false">G92+G93</f>
        <v>86159.9076137651</v>
      </c>
      <c r="H96" s="52" t="n">
        <f aca="false">H92+H93</f>
        <v>93307.3863272889</v>
      </c>
      <c r="I96" s="52" t="n">
        <f aca="false">I92+I93</f>
        <v>100462.326151924</v>
      </c>
      <c r="J96" s="52" t="n">
        <f aca="false">J92+J93</f>
        <v>107624.72708767</v>
      </c>
      <c r="K96" s="52" t="n">
        <f aca="false">K92+K93</f>
        <v>114794.589134527</v>
      </c>
      <c r="L96" s="52" t="n">
        <f aca="false">L92+L93</f>
        <v>121971.912292495</v>
      </c>
      <c r="M96" s="52" t="n">
        <f aca="false">M92+M93</f>
        <v>141007.506966146</v>
      </c>
      <c r="N96" s="52" t="n">
        <f aca="false">N92+N93</f>
        <v>160050.562750908</v>
      </c>
      <c r="O96" s="52" t="n">
        <f aca="false">O92+O93</f>
        <v>169460.750200941</v>
      </c>
      <c r="P96" s="52" t="n">
        <f aca="false">P92+P93</f>
        <v>178867.426539863</v>
      </c>
      <c r="Q96" s="52" t="n">
        <f aca="false">Q92+Q93</f>
        <v>188270.591767674</v>
      </c>
      <c r="R96" s="52" t="n">
        <f aca="false">R92+R93</f>
        <v>197670.245884373</v>
      </c>
      <c r="S96" s="52" t="n">
        <f aca="false">S92+S93</f>
        <v>207066.388889962</v>
      </c>
      <c r="T96" s="52" t="n">
        <f aca="false">T92+T93</f>
        <v>216459.020784439</v>
      </c>
      <c r="U96" s="52" t="n">
        <f aca="false">U92+U93</f>
        <v>225848.141567806</v>
      </c>
      <c r="V96" s="52" t="n">
        <f aca="false">V92+V93</f>
        <v>235233.751240061</v>
      </c>
      <c r="W96" s="52" t="n">
        <f aca="false">W92+W93</f>
        <v>244615.849801205</v>
      </c>
      <c r="X96" s="52" t="n">
        <f aca="false">X92+X93</f>
        <v>253994.437251238</v>
      </c>
      <c r="Y96" s="52" t="n">
        <f aca="false">Y92+Y93</f>
        <v>275942.03834837</v>
      </c>
      <c r="Z96" s="52" t="n">
        <f aca="false">Z92+Z93</f>
        <v>297886.12833439</v>
      </c>
      <c r="AA96" s="52" t="n">
        <f aca="false">AA92+AA93</f>
        <v>309767.403843061</v>
      </c>
      <c r="AB96" s="52" t="n">
        <f aca="false">AB92+AB93</f>
        <v>321645.16824062</v>
      </c>
      <c r="AC96" s="52" t="n">
        <f aca="false">AC92+AC93</f>
        <v>333519.421527069</v>
      </c>
      <c r="AD96" s="52" t="n">
        <f aca="false">AD92+AD93</f>
        <v>345390.163702406</v>
      </c>
      <c r="AE96" s="52" t="n">
        <f aca="false">AE92+AE93</f>
        <v>357257.394766632</v>
      </c>
      <c r="AF96" s="52" t="n">
        <f aca="false">AF92+AF93</f>
        <v>369121.114719747</v>
      </c>
      <c r="AG96" s="52" t="n">
        <f aca="false">AG92+AG93</f>
        <v>380981.323561751</v>
      </c>
      <c r="AH96" s="52" t="n">
        <f aca="false">AH92+AH93</f>
        <v>392838.021292644</v>
      </c>
      <c r="AI96" s="52" t="n">
        <f aca="false">AI92+AI93</f>
        <v>404691.207912425</v>
      </c>
      <c r="AJ96" s="52" t="n">
        <f aca="false">AJ92+AJ93</f>
        <v>416540.883421096</v>
      </c>
      <c r="AK96" s="52" t="n">
        <f aca="false">AK92+AK93</f>
        <v>441725.23933464</v>
      </c>
      <c r="AL96" s="52" t="n">
        <f aca="false">AL92+AL93</f>
        <v>466906.084137073</v>
      </c>
    </row>
    <row r="97" customFormat="false" ht="15" hidden="false" customHeight="false" outlineLevel="0" collapsed="false">
      <c r="A97" s="4" t="s">
        <v>98</v>
      </c>
      <c r="C97" s="58" t="n">
        <f aca="false">C95+C96</f>
        <v>162997.932785981</v>
      </c>
      <c r="D97" s="58" t="n">
        <f aca="false">D95+D96</f>
        <v>166858.961309384</v>
      </c>
      <c r="E97" s="58" t="n">
        <f aca="false">E95+E96</f>
        <v>173883.884224813</v>
      </c>
      <c r="F97" s="58" t="n">
        <f aca="false">F95+F96</f>
        <v>179683.107382781</v>
      </c>
      <c r="G97" s="58" t="n">
        <f aca="false">G95+G96</f>
        <v>185489.79165186</v>
      </c>
      <c r="H97" s="58" t="n">
        <f aca="false">H95+H96</f>
        <v>191303.937032051</v>
      </c>
      <c r="I97" s="58" t="n">
        <f aca="false">I95+I96</f>
        <v>197125.543523352</v>
      </c>
      <c r="J97" s="58" t="n">
        <f aca="false">J95+J96</f>
        <v>202954.611125765</v>
      </c>
      <c r="K97" s="58" t="n">
        <f aca="false">K95+K96</f>
        <v>208791.139839289</v>
      </c>
      <c r="L97" s="58" t="n">
        <f aca="false">L95+L96</f>
        <v>214635.129663924</v>
      </c>
      <c r="M97" s="58" t="n">
        <f aca="false">M95+M96</f>
        <v>236453.355347099</v>
      </c>
      <c r="N97" s="58" t="n">
        <f aca="false">N95+N96</f>
        <v>254163.077798527</v>
      </c>
      <c r="O97" s="58" t="n">
        <f aca="false">O95+O96</f>
        <v>260386.03818229</v>
      </c>
      <c r="P97" s="58" t="n">
        <f aca="false">P95+P96</f>
        <v>268459.381187878</v>
      </c>
      <c r="Q97" s="58" t="n">
        <f aca="false">Q95+Q96</f>
        <v>276529.213082356</v>
      </c>
      <c r="R97" s="58" t="n">
        <f aca="false">R95+R96</f>
        <v>284595.533865722</v>
      </c>
      <c r="S97" s="58" t="n">
        <f aca="false">S95+S96</f>
        <v>292658.343537977</v>
      </c>
      <c r="T97" s="58" t="n">
        <f aca="false">T95+T96</f>
        <v>300717.642099121</v>
      </c>
      <c r="U97" s="58" t="n">
        <f aca="false">U95+U96</f>
        <v>308773.429549154</v>
      </c>
      <c r="V97" s="58" t="n">
        <f aca="false">V95+V96</f>
        <v>316825.705888076</v>
      </c>
      <c r="W97" s="58" t="n">
        <f aca="false">W95+W96</f>
        <v>324874.471115887</v>
      </c>
      <c r="X97" s="58" t="n">
        <f aca="false">X95+X96</f>
        <v>332919.725232586</v>
      </c>
      <c r="Y97" s="58" t="n">
        <f aca="false">Y95+Y96</f>
        <v>357900.619567722</v>
      </c>
      <c r="Z97" s="58" t="n">
        <f aca="false">Z95+Z96</f>
        <v>378511.376220409</v>
      </c>
      <c r="AA97" s="58" t="n">
        <f aca="false">AA95+AA96</f>
        <v>387209.270925693</v>
      </c>
      <c r="AB97" s="58" t="n">
        <f aca="false">AB95+AB96</f>
        <v>397753.701989919</v>
      </c>
      <c r="AC97" s="58" t="n">
        <f aca="false">AC95+AC96</f>
        <v>408294.621943034</v>
      </c>
      <c r="AD97" s="58" t="n">
        <f aca="false">AD95+AD96</f>
        <v>418832.030785038</v>
      </c>
      <c r="AE97" s="58" t="n">
        <f aca="false">AE95+AE96</f>
        <v>429365.92851593</v>
      </c>
      <c r="AF97" s="58" t="n">
        <f aca="false">AF95+AF96</f>
        <v>439896.315135712</v>
      </c>
      <c r="AG97" s="58" t="n">
        <f aca="false">AG95+AG96</f>
        <v>450423.190644383</v>
      </c>
      <c r="AH97" s="58" t="n">
        <f aca="false">AH95+AH96</f>
        <v>460946.555041942</v>
      </c>
      <c r="AI97" s="58" t="n">
        <f aca="false">AI95+AI96</f>
        <v>471466.40832839</v>
      </c>
      <c r="AJ97" s="58" t="n">
        <f aca="false">AJ95+AJ96</f>
        <v>481982.750503728</v>
      </c>
      <c r="AK97" s="58" t="n">
        <f aca="false">AK95+AK96</f>
        <v>510466.32721347</v>
      </c>
      <c r="AL97" s="58" t="n">
        <f aca="false">AL95+AL96</f>
        <v>534313.83868257</v>
      </c>
    </row>
    <row r="98" customFormat="false" ht="15" hidden="false" customHeight="false" outlineLevel="0" collapsed="false">
      <c r="A98" s="6" t="s">
        <v>380</v>
      </c>
      <c r="C98" s="52" t="n">
        <f aca="false">C94-C97</f>
        <v>0</v>
      </c>
      <c r="D98" s="52" t="n">
        <f aca="false">D94-D97</f>
        <v>0</v>
      </c>
      <c r="E98" s="52" t="n">
        <f aca="false">E94-E97</f>
        <v>0</v>
      </c>
      <c r="F98" s="52" t="n">
        <f aca="false">F94-F97</f>
        <v>0</v>
      </c>
      <c r="G98" s="52" t="n">
        <f aca="false">G94-G97</f>
        <v>0</v>
      </c>
      <c r="H98" s="52" t="n">
        <f aca="false">H94-H97</f>
        <v>0</v>
      </c>
      <c r="I98" s="52" t="n">
        <f aca="false">I94-I97</f>
        <v>0</v>
      </c>
      <c r="J98" s="52" t="n">
        <f aca="false">J94-J97</f>
        <v>0</v>
      </c>
      <c r="K98" s="52" t="n">
        <f aca="false">K94-K97</f>
        <v>0</v>
      </c>
      <c r="L98" s="52" t="n">
        <f aca="false">L94-L97</f>
        <v>0</v>
      </c>
      <c r="M98" s="52" t="n">
        <f aca="false">M94-M97</f>
        <v>0</v>
      </c>
      <c r="N98" s="52" t="n">
        <f aca="false">N94-N97</f>
        <v>0</v>
      </c>
      <c r="O98" s="52" t="n">
        <f aca="false">O94-O97</f>
        <v>0</v>
      </c>
      <c r="P98" s="52" t="n">
        <f aca="false">P94-P97</f>
        <v>0</v>
      </c>
      <c r="Q98" s="52" t="n">
        <f aca="false">Q94-Q97</f>
        <v>0</v>
      </c>
      <c r="R98" s="52" t="n">
        <f aca="false">R94-R97</f>
        <v>0</v>
      </c>
      <c r="S98" s="52" t="n">
        <f aca="false">S94-S97</f>
        <v>0</v>
      </c>
      <c r="T98" s="52" t="n">
        <f aca="false">T94-T97</f>
        <v>0</v>
      </c>
      <c r="U98" s="52" t="n">
        <f aca="false">U94-U97</f>
        <v>0</v>
      </c>
      <c r="V98" s="52" t="n">
        <f aca="false">V94-V97</f>
        <v>0</v>
      </c>
      <c r="W98" s="52" t="n">
        <f aca="false">W94-W97</f>
        <v>0</v>
      </c>
      <c r="X98" s="52" t="n">
        <f aca="false">X94-X97</f>
        <v>0</v>
      </c>
      <c r="Y98" s="52" t="n">
        <f aca="false">Y94-Y97</f>
        <v>0</v>
      </c>
      <c r="Z98" s="52" t="n">
        <f aca="false">Z94-Z97</f>
        <v>0</v>
      </c>
      <c r="AA98" s="52" t="n">
        <f aca="false">AA94-AA97</f>
        <v>0</v>
      </c>
      <c r="AB98" s="52" t="n">
        <f aca="false">AB94-AB97</f>
        <v>0</v>
      </c>
      <c r="AC98" s="52" t="n">
        <f aca="false">AC94-AC97</f>
        <v>0</v>
      </c>
      <c r="AD98" s="52" t="n">
        <f aca="false">AD94-AD97</f>
        <v>0</v>
      </c>
      <c r="AE98" s="52" t="n">
        <f aca="false">AE94-AE97</f>
        <v>0</v>
      </c>
      <c r="AF98" s="52" t="n">
        <f aca="false">AF94-AF97</f>
        <v>0</v>
      </c>
      <c r="AG98" s="52" t="n">
        <f aca="false">AG94-AG97</f>
        <v>0</v>
      </c>
      <c r="AH98" s="52" t="n">
        <f aca="false">AH94-AH97</f>
        <v>0</v>
      </c>
      <c r="AI98" s="52" t="n">
        <f aca="false">AI94-AI97</f>
        <v>0</v>
      </c>
      <c r="AJ98" s="52" t="n">
        <f aca="false">AJ94-AJ97</f>
        <v>0</v>
      </c>
      <c r="AK98" s="52" t="n">
        <f aca="false">AK94-AK97</f>
        <v>0</v>
      </c>
      <c r="AL98" s="52" t="n">
        <f aca="false">AL94-AL97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381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307</v>
      </c>
    </row>
    <row r="3" customFormat="false" ht="15" hidden="false" customHeight="false" outlineLevel="0" collapsed="false">
      <c r="A3" s="33" t="s">
        <v>308</v>
      </c>
      <c r="C3" s="35" t="s">
        <v>309</v>
      </c>
      <c r="D3" s="35" t="s">
        <v>310</v>
      </c>
      <c r="E3" s="35" t="s">
        <v>311</v>
      </c>
      <c r="F3" s="35" t="s">
        <v>312</v>
      </c>
      <c r="G3" s="35" t="s">
        <v>313</v>
      </c>
      <c r="H3" s="35" t="s">
        <v>314</v>
      </c>
      <c r="I3" s="35" t="s">
        <v>315</v>
      </c>
      <c r="J3" s="35" t="s">
        <v>316</v>
      </c>
      <c r="K3" s="35" t="s">
        <v>317</v>
      </c>
      <c r="L3" s="35" t="s">
        <v>318</v>
      </c>
      <c r="M3" s="35" t="s">
        <v>319</v>
      </c>
      <c r="N3" s="35" t="s">
        <v>320</v>
      </c>
      <c r="O3" s="35" t="s">
        <v>321</v>
      </c>
      <c r="P3" s="35" t="s">
        <v>322</v>
      </c>
      <c r="Q3" s="35" t="s">
        <v>323</v>
      </c>
      <c r="R3" s="35" t="s">
        <v>324</v>
      </c>
      <c r="S3" s="35" t="s">
        <v>325</v>
      </c>
      <c r="T3" s="35" t="s">
        <v>326</v>
      </c>
      <c r="U3" s="35" t="s">
        <v>327</v>
      </c>
      <c r="V3" s="35" t="s">
        <v>328</v>
      </c>
      <c r="W3" s="35" t="s">
        <v>329</v>
      </c>
      <c r="X3" s="35" t="s">
        <v>330</v>
      </c>
      <c r="Y3" s="35" t="s">
        <v>331</v>
      </c>
      <c r="Z3" s="35" t="s">
        <v>332</v>
      </c>
      <c r="AA3" s="35" t="s">
        <v>333</v>
      </c>
      <c r="AB3" s="35" t="s">
        <v>334</v>
      </c>
      <c r="AC3" s="35" t="s">
        <v>335</v>
      </c>
      <c r="AD3" s="35" t="s">
        <v>336</v>
      </c>
      <c r="AE3" s="35" t="s">
        <v>337</v>
      </c>
      <c r="AF3" s="35" t="s">
        <v>338</v>
      </c>
      <c r="AG3" s="35" t="s">
        <v>339</v>
      </c>
      <c r="AH3" s="35" t="s">
        <v>340</v>
      </c>
      <c r="AI3" s="35" t="s">
        <v>341</v>
      </c>
      <c r="AJ3" s="35" t="s">
        <v>342</v>
      </c>
      <c r="AK3" s="35" t="s">
        <v>343</v>
      </c>
      <c r="AL3" s="35" t="s">
        <v>344</v>
      </c>
    </row>
    <row r="4" customFormat="false" ht="15" hidden="false" customHeight="false" outlineLevel="0" collapsed="false">
      <c r="A4" s="57" t="s">
        <v>345</v>
      </c>
      <c r="C4" s="57" t="n">
        <v>1</v>
      </c>
      <c r="D4" s="57" t="n">
        <v>2</v>
      </c>
      <c r="E4" s="57" t="n">
        <v>3</v>
      </c>
      <c r="F4" s="57" t="n">
        <v>4</v>
      </c>
      <c r="G4" s="57" t="n">
        <v>5</v>
      </c>
      <c r="H4" s="57" t="n">
        <v>6</v>
      </c>
      <c r="I4" s="57" t="n">
        <v>7</v>
      </c>
      <c r="J4" s="57" t="n">
        <v>8</v>
      </c>
      <c r="K4" s="57" t="n">
        <v>9</v>
      </c>
      <c r="L4" s="57" t="n">
        <v>10</v>
      </c>
      <c r="M4" s="57" t="n">
        <v>11</v>
      </c>
      <c r="N4" s="57" t="n">
        <v>12</v>
      </c>
      <c r="O4" s="57" t="n">
        <v>13</v>
      </c>
      <c r="P4" s="57" t="n">
        <v>14</v>
      </c>
      <c r="Q4" s="57" t="n">
        <v>15</v>
      </c>
      <c r="R4" s="57" t="n">
        <v>16</v>
      </c>
      <c r="S4" s="57" t="n">
        <v>17</v>
      </c>
      <c r="T4" s="57" t="n">
        <v>18</v>
      </c>
      <c r="U4" s="57" t="n">
        <v>19</v>
      </c>
      <c r="V4" s="57" t="n">
        <v>20</v>
      </c>
      <c r="W4" s="57" t="n">
        <v>21</v>
      </c>
      <c r="X4" s="57" t="n">
        <v>22</v>
      </c>
      <c r="Y4" s="57" t="n">
        <v>23</v>
      </c>
      <c r="Z4" s="57" t="n">
        <v>24</v>
      </c>
      <c r="AA4" s="57" t="n">
        <v>25</v>
      </c>
      <c r="AB4" s="57" t="n">
        <v>26</v>
      </c>
      <c r="AC4" s="57" t="n">
        <v>27</v>
      </c>
      <c r="AD4" s="57" t="n">
        <v>28</v>
      </c>
      <c r="AE4" s="57" t="n">
        <v>29</v>
      </c>
      <c r="AF4" s="57" t="n">
        <v>30</v>
      </c>
      <c r="AG4" s="57" t="n">
        <v>31</v>
      </c>
      <c r="AH4" s="57" t="n">
        <v>32</v>
      </c>
      <c r="AI4" s="57" t="n">
        <v>33</v>
      </c>
      <c r="AJ4" s="57" t="n">
        <v>34</v>
      </c>
      <c r="AK4" s="57" t="n">
        <v>35</v>
      </c>
      <c r="AL4" s="57" t="n">
        <v>36</v>
      </c>
    </row>
    <row r="5" customFormat="false" ht="15" hidden="false" customHeight="false" outlineLevel="0" collapsed="false">
      <c r="A5" s="57" t="s">
        <v>122</v>
      </c>
      <c r="C5" s="57" t="n">
        <f aca="false">ROUNDUP(C4*1/12,0)</f>
        <v>1</v>
      </c>
      <c r="D5" s="57" t="n">
        <f aca="false">ROUNDUP(D4*1/12,0)</f>
        <v>1</v>
      </c>
      <c r="E5" s="57" t="n">
        <f aca="false">ROUNDUP(E4*1/12,0)</f>
        <v>1</v>
      </c>
      <c r="F5" s="57" t="n">
        <f aca="false">ROUNDUP(F4*1/12,0)</f>
        <v>1</v>
      </c>
      <c r="G5" s="57" t="n">
        <f aca="false">ROUNDUP(G4*1/12,0)</f>
        <v>1</v>
      </c>
      <c r="H5" s="57" t="n">
        <f aca="false">ROUNDUP(H4*1/12,0)</f>
        <v>1</v>
      </c>
      <c r="I5" s="57" t="n">
        <f aca="false">ROUNDUP(I4*1/12,0)</f>
        <v>1</v>
      </c>
      <c r="J5" s="57" t="n">
        <f aca="false">ROUNDUP(J4*1/12,0)</f>
        <v>1</v>
      </c>
      <c r="K5" s="57" t="n">
        <f aca="false">ROUNDUP(K4*1/12,0)</f>
        <v>1</v>
      </c>
      <c r="L5" s="57" t="n">
        <f aca="false">ROUNDUP(L4*1/12,0)</f>
        <v>1</v>
      </c>
      <c r="M5" s="57" t="n">
        <f aca="false">ROUNDUP(M4*1/12,0)</f>
        <v>1</v>
      </c>
      <c r="N5" s="57" t="n">
        <f aca="false">ROUNDUP(N4*1/12,0)</f>
        <v>1</v>
      </c>
      <c r="O5" s="57" t="n">
        <f aca="false">ROUNDUP(O4*1/12,0)</f>
        <v>2</v>
      </c>
      <c r="P5" s="57" t="n">
        <f aca="false">ROUNDUP(P4*1/12,0)</f>
        <v>2</v>
      </c>
      <c r="Q5" s="57" t="n">
        <f aca="false">ROUNDUP(Q4*1/12,0)</f>
        <v>2</v>
      </c>
      <c r="R5" s="57" t="n">
        <f aca="false">ROUNDUP(R4*1/12,0)</f>
        <v>2</v>
      </c>
      <c r="S5" s="57" t="n">
        <f aca="false">ROUNDUP(S4*1/12,0)</f>
        <v>2</v>
      </c>
      <c r="T5" s="57" t="n">
        <f aca="false">ROUNDUP(T4*1/12,0)</f>
        <v>2</v>
      </c>
      <c r="U5" s="57" t="n">
        <f aca="false">ROUNDUP(U4*1/12,0)</f>
        <v>2</v>
      </c>
      <c r="V5" s="57" t="n">
        <f aca="false">ROUNDUP(V4*1/12,0)</f>
        <v>2</v>
      </c>
      <c r="W5" s="57" t="n">
        <f aca="false">ROUNDUP(W4*1/12,0)</f>
        <v>2</v>
      </c>
      <c r="X5" s="57" t="n">
        <f aca="false">ROUNDUP(X4*1/12,0)</f>
        <v>2</v>
      </c>
      <c r="Y5" s="57" t="n">
        <f aca="false">ROUNDUP(Y4*1/12,0)</f>
        <v>2</v>
      </c>
      <c r="Z5" s="57" t="n">
        <f aca="false">ROUNDUP(Z4*1/12,0)</f>
        <v>2</v>
      </c>
      <c r="AA5" s="57" t="n">
        <f aca="false">ROUNDUP(AA4*1/12,0)</f>
        <v>3</v>
      </c>
      <c r="AB5" s="57" t="n">
        <f aca="false">ROUNDUP(AB4*1/12,0)</f>
        <v>3</v>
      </c>
      <c r="AC5" s="57" t="n">
        <f aca="false">ROUNDUP(AC4*1/12,0)</f>
        <v>3</v>
      </c>
      <c r="AD5" s="57" t="n">
        <f aca="false">ROUNDUP(AD4*1/12,0)</f>
        <v>3</v>
      </c>
      <c r="AE5" s="57" t="n">
        <f aca="false">ROUNDUP(AE4*1/12,0)</f>
        <v>3</v>
      </c>
      <c r="AF5" s="57" t="n">
        <f aca="false">ROUNDUP(AF4*1/12,0)</f>
        <v>3</v>
      </c>
      <c r="AG5" s="57" t="n">
        <f aca="false">ROUNDUP(AG4*1/12,0)</f>
        <v>3</v>
      </c>
      <c r="AH5" s="57" t="n">
        <f aca="false">ROUNDUP(AH4*1/12,0)</f>
        <v>3</v>
      </c>
      <c r="AI5" s="57" t="n">
        <f aca="false">ROUNDUP(AI4*1/12,0)</f>
        <v>3</v>
      </c>
      <c r="AJ5" s="57" t="n">
        <f aca="false">ROUNDUP(AJ4*1/12,0)</f>
        <v>3</v>
      </c>
      <c r="AK5" s="57" t="n">
        <f aca="false">ROUNDUP(AK4*1/12,0)</f>
        <v>3</v>
      </c>
      <c r="AL5" s="57" t="n">
        <f aca="false">ROUNDUP(AL4*1/12,0)</f>
        <v>3</v>
      </c>
    </row>
    <row r="7" customFormat="false" ht="15.75" hidden="false" customHeight="true" outlineLevel="0" collapsed="false">
      <c r="A7" s="7" t="s">
        <v>382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383</v>
      </c>
      <c r="C8" s="104" t="n">
        <f aca="false">Inputs!$E$42*(1+Inputs!$E$44)^(C$5-1)*MAX(0,MIN(1,C$4*1-Inputs!$E$45+1))/1</f>
        <v>5</v>
      </c>
      <c r="D8" s="104" t="n">
        <f aca="false">Inputs!$E$42*(1+Inputs!$E$44)^(D$5-1)*MAX(0,MIN(1,D$4*1-Inputs!$E$45+1))/1</f>
        <v>5</v>
      </c>
      <c r="E8" s="104" t="n">
        <f aca="false">Inputs!$E$42*(1+Inputs!$E$44)^(E$5-1)*MAX(0,MIN(1,E$4*1-Inputs!$E$45+1))/1</f>
        <v>5</v>
      </c>
      <c r="F8" s="104" t="n">
        <f aca="false">Inputs!$E$42*(1+Inputs!$E$44)^(F$5-1)*MAX(0,MIN(1,F$4*1-Inputs!$E$45+1))/1</f>
        <v>5</v>
      </c>
      <c r="G8" s="104" t="n">
        <f aca="false">Inputs!$E$42*(1+Inputs!$E$44)^(G$5-1)*MAX(0,MIN(1,G$4*1-Inputs!$E$45+1))/1</f>
        <v>5</v>
      </c>
      <c r="H8" s="104" t="n">
        <f aca="false">Inputs!$E$42*(1+Inputs!$E$44)^(H$5-1)*MAX(0,MIN(1,H$4*1-Inputs!$E$45+1))/1</f>
        <v>5</v>
      </c>
      <c r="I8" s="104" t="n">
        <f aca="false">Inputs!$E$42*(1+Inputs!$E$44)^(I$5-1)*MAX(0,MIN(1,I$4*1-Inputs!$E$45+1))/1</f>
        <v>5</v>
      </c>
      <c r="J8" s="104" t="n">
        <f aca="false">Inputs!$E$42*(1+Inputs!$E$44)^(J$5-1)*MAX(0,MIN(1,J$4*1-Inputs!$E$45+1))/1</f>
        <v>5</v>
      </c>
      <c r="K8" s="104" t="n">
        <f aca="false">Inputs!$E$42*(1+Inputs!$E$44)^(K$5-1)*MAX(0,MIN(1,K$4*1-Inputs!$E$45+1))/1</f>
        <v>5</v>
      </c>
      <c r="L8" s="104" t="n">
        <f aca="false">Inputs!$E$42*(1+Inputs!$E$44)^(L$5-1)*MAX(0,MIN(1,L$4*1-Inputs!$E$45+1))/1</f>
        <v>5</v>
      </c>
      <c r="M8" s="104" t="n">
        <f aca="false">Inputs!$E$42*(1+Inputs!$E$44)^(M$5-1)*MAX(0,MIN(1,M$4*1-Inputs!$E$45+1))/1</f>
        <v>5</v>
      </c>
      <c r="N8" s="104" t="n">
        <f aca="false">Inputs!$E$42*(1+Inputs!$E$44)^(N$5-1)*MAX(0,MIN(1,N$4*1-Inputs!$E$45+1))/1</f>
        <v>5</v>
      </c>
      <c r="O8" s="104" t="n">
        <f aca="false">Inputs!$E$42*(1+Inputs!$E$44)^(O$5-1)*MAX(0,MIN(1,O$4*1-Inputs!$E$45+1))/1</f>
        <v>5.3</v>
      </c>
      <c r="P8" s="104" t="n">
        <f aca="false">Inputs!$E$42*(1+Inputs!$E$44)^(P$5-1)*MAX(0,MIN(1,P$4*1-Inputs!$E$45+1))/1</f>
        <v>5.3</v>
      </c>
      <c r="Q8" s="104" t="n">
        <f aca="false">Inputs!$E$42*(1+Inputs!$E$44)^(Q$5-1)*MAX(0,MIN(1,Q$4*1-Inputs!$E$45+1))/1</f>
        <v>5.3</v>
      </c>
      <c r="R8" s="104" t="n">
        <f aca="false">Inputs!$E$42*(1+Inputs!$E$44)^(R$5-1)*MAX(0,MIN(1,R$4*1-Inputs!$E$45+1))/1</f>
        <v>5.3</v>
      </c>
      <c r="S8" s="104" t="n">
        <f aca="false">Inputs!$E$42*(1+Inputs!$E$44)^(S$5-1)*MAX(0,MIN(1,S$4*1-Inputs!$E$45+1))/1</f>
        <v>5.3</v>
      </c>
      <c r="T8" s="104" t="n">
        <f aca="false">Inputs!$E$42*(1+Inputs!$E$44)^(T$5-1)*MAX(0,MIN(1,T$4*1-Inputs!$E$45+1))/1</f>
        <v>5.3</v>
      </c>
      <c r="U8" s="104" t="n">
        <f aca="false">Inputs!$E$42*(1+Inputs!$E$44)^(U$5-1)*MAX(0,MIN(1,U$4*1-Inputs!$E$45+1))/1</f>
        <v>5.3</v>
      </c>
      <c r="V8" s="104" t="n">
        <f aca="false">Inputs!$E$42*(1+Inputs!$E$44)^(V$5-1)*MAX(0,MIN(1,V$4*1-Inputs!$E$45+1))/1</f>
        <v>5.3</v>
      </c>
      <c r="W8" s="104" t="n">
        <f aca="false">Inputs!$E$42*(1+Inputs!$E$44)^(W$5-1)*MAX(0,MIN(1,W$4*1-Inputs!$E$45+1))/1</f>
        <v>5.3</v>
      </c>
      <c r="X8" s="104" t="n">
        <f aca="false">Inputs!$E$42*(1+Inputs!$E$44)^(X$5-1)*MAX(0,MIN(1,X$4*1-Inputs!$E$45+1))/1</f>
        <v>5.3</v>
      </c>
      <c r="Y8" s="104" t="n">
        <f aca="false">Inputs!$E$42*(1+Inputs!$E$44)^(Y$5-1)*MAX(0,MIN(1,Y$4*1-Inputs!$E$45+1))/1</f>
        <v>5.3</v>
      </c>
      <c r="Z8" s="104" t="n">
        <f aca="false">Inputs!$E$42*(1+Inputs!$E$44)^(Z$5-1)*MAX(0,MIN(1,Z$4*1-Inputs!$E$45+1))/1</f>
        <v>5.3</v>
      </c>
      <c r="AA8" s="104" t="n">
        <f aca="false">Inputs!$E$42*(1+Inputs!$E$44)^(AA$5-1)*MAX(0,MIN(1,AA$4*1-Inputs!$E$45+1))/1</f>
        <v>5.618</v>
      </c>
      <c r="AB8" s="104" t="n">
        <f aca="false">Inputs!$E$42*(1+Inputs!$E$44)^(AB$5-1)*MAX(0,MIN(1,AB$4*1-Inputs!$E$45+1))/1</f>
        <v>5.618</v>
      </c>
      <c r="AC8" s="104" t="n">
        <f aca="false">Inputs!$E$42*(1+Inputs!$E$44)^(AC$5-1)*MAX(0,MIN(1,AC$4*1-Inputs!$E$45+1))/1</f>
        <v>5.618</v>
      </c>
      <c r="AD8" s="104" t="n">
        <f aca="false">Inputs!$E$42*(1+Inputs!$E$44)^(AD$5-1)*MAX(0,MIN(1,AD$4*1-Inputs!$E$45+1))/1</f>
        <v>5.618</v>
      </c>
      <c r="AE8" s="104" t="n">
        <f aca="false">Inputs!$E$42*(1+Inputs!$E$44)^(AE$5-1)*MAX(0,MIN(1,AE$4*1-Inputs!$E$45+1))/1</f>
        <v>5.618</v>
      </c>
      <c r="AF8" s="104" t="n">
        <f aca="false">Inputs!$E$42*(1+Inputs!$E$44)^(AF$5-1)*MAX(0,MIN(1,AF$4*1-Inputs!$E$45+1))/1</f>
        <v>5.618</v>
      </c>
      <c r="AG8" s="104" t="n">
        <f aca="false">Inputs!$E$42*(1+Inputs!$E$44)^(AG$5-1)*MAX(0,MIN(1,AG$4*1-Inputs!$E$45+1))/1</f>
        <v>5.618</v>
      </c>
      <c r="AH8" s="104" t="n">
        <f aca="false">Inputs!$E$42*(1+Inputs!$E$44)^(AH$5-1)*MAX(0,MIN(1,AH$4*1-Inputs!$E$45+1))/1</f>
        <v>5.618</v>
      </c>
      <c r="AI8" s="104" t="n">
        <f aca="false">Inputs!$E$42*(1+Inputs!$E$44)^(AI$5-1)*MAX(0,MIN(1,AI$4*1-Inputs!$E$45+1))/1</f>
        <v>5.618</v>
      </c>
      <c r="AJ8" s="104" t="n">
        <f aca="false">Inputs!$E$42*(1+Inputs!$E$44)^(AJ$5-1)*MAX(0,MIN(1,AJ$4*1-Inputs!$E$45+1))/1</f>
        <v>5.618</v>
      </c>
      <c r="AK8" s="104" t="n">
        <f aca="false">Inputs!$E$42*(1+Inputs!$E$44)^(AK$5-1)*MAX(0,MIN(1,AK$4*1-Inputs!$E$45+1))/1</f>
        <v>5.618</v>
      </c>
      <c r="AL8" s="104" t="n">
        <f aca="false">Inputs!$E$42*(1+Inputs!$E$44)^(AL$5-1)*MAX(0,MIN(1,AL$4*1-Inputs!$E$45+1))/1</f>
        <v>5.618</v>
      </c>
    </row>
    <row r="9" customFormat="false" ht="15" hidden="false" customHeight="false" outlineLevel="0" collapsed="false">
      <c r="A9" s="6" t="s">
        <v>384</v>
      </c>
      <c r="C9" s="104" t="n">
        <f aca="false">Inputs!$E$46*(1+Inputs!$E$48)^(C$5-1)*MAX(0,MIN(1,C$4*1-Inputs!$E$49+1))/1</f>
        <v>7</v>
      </c>
      <c r="D9" s="104" t="n">
        <f aca="false">Inputs!$E$46*(1+Inputs!$E$48)^(D$5-1)*MAX(0,MIN(1,D$4*1-Inputs!$E$49+1))/1</f>
        <v>7</v>
      </c>
      <c r="E9" s="104" t="n">
        <f aca="false">Inputs!$E$46*(1+Inputs!$E$48)^(E$5-1)*MAX(0,MIN(1,E$4*1-Inputs!$E$49+1))/1</f>
        <v>7</v>
      </c>
      <c r="F9" s="104" t="n">
        <f aca="false">Inputs!$E$46*(1+Inputs!$E$48)^(F$5-1)*MAX(0,MIN(1,F$4*1-Inputs!$E$49+1))/1</f>
        <v>7</v>
      </c>
      <c r="G9" s="104" t="n">
        <f aca="false">Inputs!$E$46*(1+Inputs!$E$48)^(G$5-1)*MAX(0,MIN(1,G$4*1-Inputs!$E$49+1))/1</f>
        <v>7</v>
      </c>
      <c r="H9" s="104" t="n">
        <f aca="false">Inputs!$E$46*(1+Inputs!$E$48)^(H$5-1)*MAX(0,MIN(1,H$4*1-Inputs!$E$49+1))/1</f>
        <v>7</v>
      </c>
      <c r="I9" s="104" t="n">
        <f aca="false">Inputs!$E$46*(1+Inputs!$E$48)^(I$5-1)*MAX(0,MIN(1,I$4*1-Inputs!$E$49+1))/1</f>
        <v>7</v>
      </c>
      <c r="J9" s="104" t="n">
        <f aca="false">Inputs!$E$46*(1+Inputs!$E$48)^(J$5-1)*MAX(0,MIN(1,J$4*1-Inputs!$E$49+1))/1</f>
        <v>7</v>
      </c>
      <c r="K9" s="104" t="n">
        <f aca="false">Inputs!$E$46*(1+Inputs!$E$48)^(K$5-1)*MAX(0,MIN(1,K$4*1-Inputs!$E$49+1))/1</f>
        <v>7</v>
      </c>
      <c r="L9" s="104" t="n">
        <f aca="false">Inputs!$E$46*(1+Inputs!$E$48)^(L$5-1)*MAX(0,MIN(1,L$4*1-Inputs!$E$49+1))/1</f>
        <v>7</v>
      </c>
      <c r="M9" s="104" t="n">
        <f aca="false">Inputs!$E$46*(1+Inputs!$E$48)^(M$5-1)*MAX(0,MIN(1,M$4*1-Inputs!$E$49+1))/1</f>
        <v>7</v>
      </c>
      <c r="N9" s="104" t="n">
        <f aca="false">Inputs!$E$46*(1+Inputs!$E$48)^(N$5-1)*MAX(0,MIN(1,N$4*1-Inputs!$E$49+1))/1</f>
        <v>7</v>
      </c>
      <c r="O9" s="104" t="n">
        <f aca="false">Inputs!$E$46*(1+Inputs!$E$48)^(O$5-1)*MAX(0,MIN(1,O$4*1-Inputs!$E$49+1))/1</f>
        <v>7.42</v>
      </c>
      <c r="P9" s="104" t="n">
        <f aca="false">Inputs!$E$46*(1+Inputs!$E$48)^(P$5-1)*MAX(0,MIN(1,P$4*1-Inputs!$E$49+1))/1</f>
        <v>7.42</v>
      </c>
      <c r="Q9" s="104" t="n">
        <f aca="false">Inputs!$E$46*(1+Inputs!$E$48)^(Q$5-1)*MAX(0,MIN(1,Q$4*1-Inputs!$E$49+1))/1</f>
        <v>7.42</v>
      </c>
      <c r="R9" s="104" t="n">
        <f aca="false">Inputs!$E$46*(1+Inputs!$E$48)^(R$5-1)*MAX(0,MIN(1,R$4*1-Inputs!$E$49+1))/1</f>
        <v>7.42</v>
      </c>
      <c r="S9" s="104" t="n">
        <f aca="false">Inputs!$E$46*(1+Inputs!$E$48)^(S$5-1)*MAX(0,MIN(1,S$4*1-Inputs!$E$49+1))/1</f>
        <v>7.42</v>
      </c>
      <c r="T9" s="104" t="n">
        <f aca="false">Inputs!$E$46*(1+Inputs!$E$48)^(T$5-1)*MAX(0,MIN(1,T$4*1-Inputs!$E$49+1))/1</f>
        <v>7.42</v>
      </c>
      <c r="U9" s="104" t="n">
        <f aca="false">Inputs!$E$46*(1+Inputs!$E$48)^(U$5-1)*MAX(0,MIN(1,U$4*1-Inputs!$E$49+1))/1</f>
        <v>7.42</v>
      </c>
      <c r="V9" s="104" t="n">
        <f aca="false">Inputs!$E$46*(1+Inputs!$E$48)^(V$5-1)*MAX(0,MIN(1,V$4*1-Inputs!$E$49+1))/1</f>
        <v>7.42</v>
      </c>
      <c r="W9" s="104" t="n">
        <f aca="false">Inputs!$E$46*(1+Inputs!$E$48)^(W$5-1)*MAX(0,MIN(1,W$4*1-Inputs!$E$49+1))/1</f>
        <v>7.42</v>
      </c>
      <c r="X9" s="104" t="n">
        <f aca="false">Inputs!$E$46*(1+Inputs!$E$48)^(X$5-1)*MAX(0,MIN(1,X$4*1-Inputs!$E$49+1))/1</f>
        <v>7.42</v>
      </c>
      <c r="Y9" s="104" t="n">
        <f aca="false">Inputs!$E$46*(1+Inputs!$E$48)^(Y$5-1)*MAX(0,MIN(1,Y$4*1-Inputs!$E$49+1))/1</f>
        <v>7.42</v>
      </c>
      <c r="Z9" s="104" t="n">
        <f aca="false">Inputs!$E$46*(1+Inputs!$E$48)^(Z$5-1)*MAX(0,MIN(1,Z$4*1-Inputs!$E$49+1))/1</f>
        <v>7.42</v>
      </c>
      <c r="AA9" s="104" t="n">
        <f aca="false">Inputs!$E$46*(1+Inputs!$E$48)^(AA$5-1)*MAX(0,MIN(1,AA$4*1-Inputs!$E$49+1))/1</f>
        <v>7.8652</v>
      </c>
      <c r="AB9" s="104" t="n">
        <f aca="false">Inputs!$E$46*(1+Inputs!$E$48)^(AB$5-1)*MAX(0,MIN(1,AB$4*1-Inputs!$E$49+1))/1</f>
        <v>7.8652</v>
      </c>
      <c r="AC9" s="104" t="n">
        <f aca="false">Inputs!$E$46*(1+Inputs!$E$48)^(AC$5-1)*MAX(0,MIN(1,AC$4*1-Inputs!$E$49+1))/1</f>
        <v>7.8652</v>
      </c>
      <c r="AD9" s="104" t="n">
        <f aca="false">Inputs!$E$46*(1+Inputs!$E$48)^(AD$5-1)*MAX(0,MIN(1,AD$4*1-Inputs!$E$49+1))/1</f>
        <v>7.8652</v>
      </c>
      <c r="AE9" s="104" t="n">
        <f aca="false">Inputs!$E$46*(1+Inputs!$E$48)^(AE$5-1)*MAX(0,MIN(1,AE$4*1-Inputs!$E$49+1))/1</f>
        <v>7.8652</v>
      </c>
      <c r="AF9" s="104" t="n">
        <f aca="false">Inputs!$E$46*(1+Inputs!$E$48)^(AF$5-1)*MAX(0,MIN(1,AF$4*1-Inputs!$E$49+1))/1</f>
        <v>7.8652</v>
      </c>
      <c r="AG9" s="104" t="n">
        <f aca="false">Inputs!$E$46*(1+Inputs!$E$48)^(AG$5-1)*MAX(0,MIN(1,AG$4*1-Inputs!$E$49+1))/1</f>
        <v>7.8652</v>
      </c>
      <c r="AH9" s="104" t="n">
        <f aca="false">Inputs!$E$46*(1+Inputs!$E$48)^(AH$5-1)*MAX(0,MIN(1,AH$4*1-Inputs!$E$49+1))/1</f>
        <v>7.8652</v>
      </c>
      <c r="AI9" s="104" t="n">
        <f aca="false">Inputs!$E$46*(1+Inputs!$E$48)^(AI$5-1)*MAX(0,MIN(1,AI$4*1-Inputs!$E$49+1))/1</f>
        <v>7.8652</v>
      </c>
      <c r="AJ9" s="104" t="n">
        <f aca="false">Inputs!$E$46*(1+Inputs!$E$48)^(AJ$5-1)*MAX(0,MIN(1,AJ$4*1-Inputs!$E$49+1))/1</f>
        <v>7.8652</v>
      </c>
      <c r="AK9" s="104" t="n">
        <f aca="false">Inputs!$E$46*(1+Inputs!$E$48)^(AK$5-1)*MAX(0,MIN(1,AK$4*1-Inputs!$E$49+1))/1</f>
        <v>7.8652</v>
      </c>
      <c r="AL9" s="104" t="n">
        <f aca="false">Inputs!$E$46*(1+Inputs!$E$48)^(AL$5-1)*MAX(0,MIN(1,AL$4*1-Inputs!$E$49+1))/1</f>
        <v>7.8652</v>
      </c>
    </row>
    <row r="10" customFormat="false" ht="15" hidden="false" customHeight="false" outlineLevel="0" collapsed="false">
      <c r="A10" s="6" t="s">
        <v>385</v>
      </c>
      <c r="C10" s="104" t="n">
        <f aca="false">Inputs!$E$50*(1+Inputs!$E$52)^(C$5-1)*MAX(0,MIN(1,C$4*1-Inputs!$E$53+1))/1</f>
        <v>1.5</v>
      </c>
      <c r="D10" s="104" t="n">
        <f aca="false">Inputs!$E$50*(1+Inputs!$E$52)^(D$5-1)*MAX(0,MIN(1,D$4*1-Inputs!$E$53+1))/1</f>
        <v>1.5</v>
      </c>
      <c r="E10" s="104" t="n">
        <f aca="false">Inputs!$E$50*(1+Inputs!$E$52)^(E$5-1)*MAX(0,MIN(1,E$4*1-Inputs!$E$53+1))/1</f>
        <v>1.5</v>
      </c>
      <c r="F10" s="104" t="n">
        <f aca="false">Inputs!$E$50*(1+Inputs!$E$52)^(F$5-1)*MAX(0,MIN(1,F$4*1-Inputs!$E$53+1))/1</f>
        <v>1.5</v>
      </c>
      <c r="G10" s="104" t="n">
        <f aca="false">Inputs!$E$50*(1+Inputs!$E$52)^(G$5-1)*MAX(0,MIN(1,G$4*1-Inputs!$E$53+1))/1</f>
        <v>1.5</v>
      </c>
      <c r="H10" s="104" t="n">
        <f aca="false">Inputs!$E$50*(1+Inputs!$E$52)^(H$5-1)*MAX(0,MIN(1,H$4*1-Inputs!$E$53+1))/1</f>
        <v>1.5</v>
      </c>
      <c r="I10" s="104" t="n">
        <f aca="false">Inputs!$E$50*(1+Inputs!$E$52)^(I$5-1)*MAX(0,MIN(1,I$4*1-Inputs!$E$53+1))/1</f>
        <v>1.5</v>
      </c>
      <c r="J10" s="104" t="n">
        <f aca="false">Inputs!$E$50*(1+Inputs!$E$52)^(J$5-1)*MAX(0,MIN(1,J$4*1-Inputs!$E$53+1))/1</f>
        <v>1.5</v>
      </c>
      <c r="K10" s="104" t="n">
        <f aca="false">Inputs!$E$50*(1+Inputs!$E$52)^(K$5-1)*MAX(0,MIN(1,K$4*1-Inputs!$E$53+1))/1</f>
        <v>1.5</v>
      </c>
      <c r="L10" s="104" t="n">
        <f aca="false">Inputs!$E$50*(1+Inputs!$E$52)^(L$5-1)*MAX(0,MIN(1,L$4*1-Inputs!$E$53+1))/1</f>
        <v>1.5</v>
      </c>
      <c r="M10" s="104" t="n">
        <f aca="false">Inputs!$E$50*(1+Inputs!$E$52)^(M$5-1)*MAX(0,MIN(1,M$4*1-Inputs!$E$53+1))/1</f>
        <v>1.5</v>
      </c>
      <c r="N10" s="104" t="n">
        <f aca="false">Inputs!$E$50*(1+Inputs!$E$52)^(N$5-1)*MAX(0,MIN(1,N$4*1-Inputs!$E$53+1))/1</f>
        <v>1.5</v>
      </c>
      <c r="O10" s="104" t="n">
        <f aca="false">Inputs!$E$50*(1+Inputs!$E$52)^(O$5-1)*MAX(0,MIN(1,O$4*1-Inputs!$E$53+1))/1</f>
        <v>1.5</v>
      </c>
      <c r="P10" s="104" t="n">
        <f aca="false">Inputs!$E$50*(1+Inputs!$E$52)^(P$5-1)*MAX(0,MIN(1,P$4*1-Inputs!$E$53+1))/1</f>
        <v>1.5</v>
      </c>
      <c r="Q10" s="104" t="n">
        <f aca="false">Inputs!$E$50*(1+Inputs!$E$52)^(Q$5-1)*MAX(0,MIN(1,Q$4*1-Inputs!$E$53+1))/1</f>
        <v>1.5</v>
      </c>
      <c r="R10" s="104" t="n">
        <f aca="false">Inputs!$E$50*(1+Inputs!$E$52)^(R$5-1)*MAX(0,MIN(1,R$4*1-Inputs!$E$53+1))/1</f>
        <v>1.5</v>
      </c>
      <c r="S10" s="104" t="n">
        <f aca="false">Inputs!$E$50*(1+Inputs!$E$52)^(S$5-1)*MAX(0,MIN(1,S$4*1-Inputs!$E$53+1))/1</f>
        <v>1.5</v>
      </c>
      <c r="T10" s="104" t="n">
        <f aca="false">Inputs!$E$50*(1+Inputs!$E$52)^(T$5-1)*MAX(0,MIN(1,T$4*1-Inputs!$E$53+1))/1</f>
        <v>1.5</v>
      </c>
      <c r="U10" s="104" t="n">
        <f aca="false">Inputs!$E$50*(1+Inputs!$E$52)^(U$5-1)*MAX(0,MIN(1,U$4*1-Inputs!$E$53+1))/1</f>
        <v>1.5</v>
      </c>
      <c r="V10" s="104" t="n">
        <f aca="false">Inputs!$E$50*(1+Inputs!$E$52)^(V$5-1)*MAX(0,MIN(1,V$4*1-Inputs!$E$53+1))/1</f>
        <v>1.5</v>
      </c>
      <c r="W10" s="104" t="n">
        <f aca="false">Inputs!$E$50*(1+Inputs!$E$52)^(W$5-1)*MAX(0,MIN(1,W$4*1-Inputs!$E$53+1))/1</f>
        <v>1.5</v>
      </c>
      <c r="X10" s="104" t="n">
        <f aca="false">Inputs!$E$50*(1+Inputs!$E$52)^(X$5-1)*MAX(0,MIN(1,X$4*1-Inputs!$E$53+1))/1</f>
        <v>1.5</v>
      </c>
      <c r="Y10" s="104" t="n">
        <f aca="false">Inputs!$E$50*(1+Inputs!$E$52)^(Y$5-1)*MAX(0,MIN(1,Y$4*1-Inputs!$E$53+1))/1</f>
        <v>1.5</v>
      </c>
      <c r="Z10" s="104" t="n">
        <f aca="false">Inputs!$E$50*(1+Inputs!$E$52)^(Z$5-1)*MAX(0,MIN(1,Z$4*1-Inputs!$E$53+1))/1</f>
        <v>1.5</v>
      </c>
      <c r="AA10" s="104" t="n">
        <f aca="false">Inputs!$E$50*(1+Inputs!$E$52)^(AA$5-1)*MAX(0,MIN(1,AA$4*1-Inputs!$E$53+1))/1</f>
        <v>1.5</v>
      </c>
      <c r="AB10" s="104" t="n">
        <f aca="false">Inputs!$E$50*(1+Inputs!$E$52)^(AB$5-1)*MAX(0,MIN(1,AB$4*1-Inputs!$E$53+1))/1</f>
        <v>1.5</v>
      </c>
      <c r="AC10" s="104" t="n">
        <f aca="false">Inputs!$E$50*(1+Inputs!$E$52)^(AC$5-1)*MAX(0,MIN(1,AC$4*1-Inputs!$E$53+1))/1</f>
        <v>1.5</v>
      </c>
      <c r="AD10" s="104" t="n">
        <f aca="false">Inputs!$E$50*(1+Inputs!$E$52)^(AD$5-1)*MAX(0,MIN(1,AD$4*1-Inputs!$E$53+1))/1</f>
        <v>1.5</v>
      </c>
      <c r="AE10" s="104" t="n">
        <f aca="false">Inputs!$E$50*(1+Inputs!$E$52)^(AE$5-1)*MAX(0,MIN(1,AE$4*1-Inputs!$E$53+1))/1</f>
        <v>1.5</v>
      </c>
      <c r="AF10" s="104" t="n">
        <f aca="false">Inputs!$E$50*(1+Inputs!$E$52)^(AF$5-1)*MAX(0,MIN(1,AF$4*1-Inputs!$E$53+1))/1</f>
        <v>1.5</v>
      </c>
      <c r="AG10" s="104" t="n">
        <f aca="false">Inputs!$E$50*(1+Inputs!$E$52)^(AG$5-1)*MAX(0,MIN(1,AG$4*1-Inputs!$E$53+1))/1</f>
        <v>1.5</v>
      </c>
      <c r="AH10" s="104" t="n">
        <f aca="false">Inputs!$E$50*(1+Inputs!$E$52)^(AH$5-1)*MAX(0,MIN(1,AH$4*1-Inputs!$E$53+1))/1</f>
        <v>1.5</v>
      </c>
      <c r="AI10" s="104" t="n">
        <f aca="false">Inputs!$E$50*(1+Inputs!$E$52)^(AI$5-1)*MAX(0,MIN(1,AI$4*1-Inputs!$E$53+1))/1</f>
        <v>1.5</v>
      </c>
      <c r="AJ10" s="104" t="n">
        <f aca="false">Inputs!$E$50*(1+Inputs!$E$52)^(AJ$5-1)*MAX(0,MIN(1,AJ$4*1-Inputs!$E$53+1))/1</f>
        <v>1.5</v>
      </c>
      <c r="AK10" s="104" t="n">
        <f aca="false">Inputs!$E$50*(1+Inputs!$E$52)^(AK$5-1)*MAX(0,MIN(1,AK$4*1-Inputs!$E$53+1))/1</f>
        <v>1.5</v>
      </c>
      <c r="AL10" s="104" t="n">
        <f aca="false">Inputs!$E$50*(1+Inputs!$E$52)^(AL$5-1)*MAX(0,MIN(1,AL$4*1-Inputs!$E$53+1))/1</f>
        <v>1.5</v>
      </c>
    </row>
    <row r="11" customFormat="false" ht="15" hidden="false" customHeight="false" outlineLevel="0" collapsed="false">
      <c r="A11" s="101" t="s">
        <v>386</v>
      </c>
      <c r="C11" s="108" t="n">
        <f aca="false">C8+C9+C10</f>
        <v>13.5</v>
      </c>
      <c r="D11" s="108" t="n">
        <f aca="false">D8+D9+D10</f>
        <v>13.5</v>
      </c>
      <c r="E11" s="108" t="n">
        <f aca="false">E8+E9+E10</f>
        <v>13.5</v>
      </c>
      <c r="F11" s="108" t="n">
        <f aca="false">F8+F9+F10</f>
        <v>13.5</v>
      </c>
      <c r="G11" s="108" t="n">
        <f aca="false">G8+G9+G10</f>
        <v>13.5</v>
      </c>
      <c r="H11" s="108" t="n">
        <f aca="false">H8+H9+H10</f>
        <v>13.5</v>
      </c>
      <c r="I11" s="108" t="n">
        <f aca="false">I8+I9+I10</f>
        <v>13.5</v>
      </c>
      <c r="J11" s="108" t="n">
        <f aca="false">J8+J9+J10</f>
        <v>13.5</v>
      </c>
      <c r="K11" s="108" t="n">
        <f aca="false">K8+K9+K10</f>
        <v>13.5</v>
      </c>
      <c r="L11" s="108" t="n">
        <f aca="false">L8+L9+L10</f>
        <v>13.5</v>
      </c>
      <c r="M11" s="108" t="n">
        <f aca="false">M8+M9+M10</f>
        <v>13.5</v>
      </c>
      <c r="N11" s="108" t="n">
        <f aca="false">N8+N9+N10</f>
        <v>13.5</v>
      </c>
      <c r="O11" s="108" t="n">
        <f aca="false">O8+O9+O10</f>
        <v>14.22</v>
      </c>
      <c r="P11" s="108" t="n">
        <f aca="false">P8+P9+P10</f>
        <v>14.22</v>
      </c>
      <c r="Q11" s="108" t="n">
        <f aca="false">Q8+Q9+Q10</f>
        <v>14.22</v>
      </c>
      <c r="R11" s="108" t="n">
        <f aca="false">R8+R9+R10</f>
        <v>14.22</v>
      </c>
      <c r="S11" s="108" t="n">
        <f aca="false">S8+S9+S10</f>
        <v>14.22</v>
      </c>
      <c r="T11" s="108" t="n">
        <f aca="false">T8+T9+T10</f>
        <v>14.22</v>
      </c>
      <c r="U11" s="108" t="n">
        <f aca="false">U8+U9+U10</f>
        <v>14.22</v>
      </c>
      <c r="V11" s="108" t="n">
        <f aca="false">V8+V9+V10</f>
        <v>14.22</v>
      </c>
      <c r="W11" s="108" t="n">
        <f aca="false">W8+W9+W10</f>
        <v>14.22</v>
      </c>
      <c r="X11" s="108" t="n">
        <f aca="false">X8+X9+X10</f>
        <v>14.22</v>
      </c>
      <c r="Y11" s="108" t="n">
        <f aca="false">Y8+Y9+Y10</f>
        <v>14.22</v>
      </c>
      <c r="Z11" s="108" t="n">
        <f aca="false">Z8+Z9+Z10</f>
        <v>14.22</v>
      </c>
      <c r="AA11" s="108" t="n">
        <f aca="false">AA8+AA9+AA10</f>
        <v>14.9832</v>
      </c>
      <c r="AB11" s="108" t="n">
        <f aca="false">AB8+AB9+AB10</f>
        <v>14.9832</v>
      </c>
      <c r="AC11" s="108" t="n">
        <f aca="false">AC8+AC9+AC10</f>
        <v>14.9832</v>
      </c>
      <c r="AD11" s="108" t="n">
        <f aca="false">AD8+AD9+AD10</f>
        <v>14.9832</v>
      </c>
      <c r="AE11" s="108" t="n">
        <f aca="false">AE8+AE9+AE10</f>
        <v>14.9832</v>
      </c>
      <c r="AF11" s="108" t="n">
        <f aca="false">AF8+AF9+AF10</f>
        <v>14.9832</v>
      </c>
      <c r="AG11" s="108" t="n">
        <f aca="false">AG8+AG9+AG10</f>
        <v>14.9832</v>
      </c>
      <c r="AH11" s="108" t="n">
        <f aca="false">AH8+AH9+AH10</f>
        <v>14.9832</v>
      </c>
      <c r="AI11" s="108" t="n">
        <f aca="false">AI8+AI9+AI10</f>
        <v>14.9832</v>
      </c>
      <c r="AJ11" s="108" t="n">
        <f aca="false">AJ8+AJ9+AJ10</f>
        <v>14.9832</v>
      </c>
      <c r="AK11" s="108" t="n">
        <f aca="false">AK8+AK9+AK10</f>
        <v>14.9832</v>
      </c>
      <c r="AL11" s="108" t="n">
        <f aca="false">AL8+AL9+AL10</f>
        <v>14.9832</v>
      </c>
    </row>
    <row r="13" customFormat="false" ht="15.75" hidden="false" customHeight="true" outlineLevel="0" collapsed="false">
      <c r="A13" s="7" t="s">
        <v>387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388</v>
      </c>
      <c r="C14" s="52" t="n">
        <f aca="false">-C8*Inputs!$E$43/12*1*(1+Inputs!$E$54)*(1+Inputs!$E$55)^(C$5-1)</f>
        <v>-20533.3333333333</v>
      </c>
      <c r="D14" s="52" t="n">
        <f aca="false">-D8*Inputs!$E$43/12*1*(1+Inputs!$E$54)*(1+Inputs!$E$55)^(D$5-1)</f>
        <v>-20533.3333333333</v>
      </c>
      <c r="E14" s="52" t="n">
        <f aca="false">-E8*Inputs!$E$43/12*1*(1+Inputs!$E$54)*(1+Inputs!$E$55)^(E$5-1)</f>
        <v>-20533.3333333333</v>
      </c>
      <c r="F14" s="52" t="n">
        <f aca="false">-F8*Inputs!$E$43/12*1*(1+Inputs!$E$54)*(1+Inputs!$E$55)^(F$5-1)</f>
        <v>-20533.3333333333</v>
      </c>
      <c r="G14" s="52" t="n">
        <f aca="false">-G8*Inputs!$E$43/12*1*(1+Inputs!$E$54)*(1+Inputs!$E$55)^(G$5-1)</f>
        <v>-20533.3333333333</v>
      </c>
      <c r="H14" s="52" t="n">
        <f aca="false">-H8*Inputs!$E$43/12*1*(1+Inputs!$E$54)*(1+Inputs!$E$55)^(H$5-1)</f>
        <v>-20533.3333333333</v>
      </c>
      <c r="I14" s="52" t="n">
        <f aca="false">-I8*Inputs!$E$43/12*1*(1+Inputs!$E$54)*(1+Inputs!$E$55)^(I$5-1)</f>
        <v>-20533.3333333333</v>
      </c>
      <c r="J14" s="52" t="n">
        <f aca="false">-J8*Inputs!$E$43/12*1*(1+Inputs!$E$54)*(1+Inputs!$E$55)^(J$5-1)</f>
        <v>-20533.3333333333</v>
      </c>
      <c r="K14" s="52" t="n">
        <f aca="false">-K8*Inputs!$E$43/12*1*(1+Inputs!$E$54)*(1+Inputs!$E$55)^(K$5-1)</f>
        <v>-20533.3333333333</v>
      </c>
      <c r="L14" s="52" t="n">
        <f aca="false">-L8*Inputs!$E$43/12*1*(1+Inputs!$E$54)*(1+Inputs!$E$55)^(L$5-1)</f>
        <v>-20533.3333333333</v>
      </c>
      <c r="M14" s="52" t="n">
        <f aca="false">-M8*Inputs!$E$43/12*1*(1+Inputs!$E$54)*(1+Inputs!$E$55)^(M$5-1)</f>
        <v>-20533.3333333333</v>
      </c>
      <c r="N14" s="52" t="n">
        <f aca="false">-N8*Inputs!$E$43/12*1*(1+Inputs!$E$54)*(1+Inputs!$E$55)^(N$5-1)</f>
        <v>-20533.3333333333</v>
      </c>
      <c r="O14" s="52" t="n">
        <f aca="false">-O8*Inputs!$E$43/12*1*(1+Inputs!$E$54)*(1+Inputs!$E$55)^(O$5-1)</f>
        <v>-22418.2933333333</v>
      </c>
      <c r="P14" s="52" t="n">
        <f aca="false">-P8*Inputs!$E$43/12*1*(1+Inputs!$E$54)*(1+Inputs!$E$55)^(P$5-1)</f>
        <v>-22418.2933333333</v>
      </c>
      <c r="Q14" s="52" t="n">
        <f aca="false">-Q8*Inputs!$E$43/12*1*(1+Inputs!$E$54)*(1+Inputs!$E$55)^(Q$5-1)</f>
        <v>-22418.2933333333</v>
      </c>
      <c r="R14" s="52" t="n">
        <f aca="false">-R8*Inputs!$E$43/12*1*(1+Inputs!$E$54)*(1+Inputs!$E$55)^(R$5-1)</f>
        <v>-22418.2933333333</v>
      </c>
      <c r="S14" s="52" t="n">
        <f aca="false">-S8*Inputs!$E$43/12*1*(1+Inputs!$E$54)*(1+Inputs!$E$55)^(S$5-1)</f>
        <v>-22418.2933333333</v>
      </c>
      <c r="T14" s="52" t="n">
        <f aca="false">-T8*Inputs!$E$43/12*1*(1+Inputs!$E$54)*(1+Inputs!$E$55)^(T$5-1)</f>
        <v>-22418.2933333333</v>
      </c>
      <c r="U14" s="52" t="n">
        <f aca="false">-U8*Inputs!$E$43/12*1*(1+Inputs!$E$54)*(1+Inputs!$E$55)^(U$5-1)</f>
        <v>-22418.2933333333</v>
      </c>
      <c r="V14" s="52" t="n">
        <f aca="false">-V8*Inputs!$E$43/12*1*(1+Inputs!$E$54)*(1+Inputs!$E$55)^(V$5-1)</f>
        <v>-22418.2933333333</v>
      </c>
      <c r="W14" s="52" t="n">
        <f aca="false">-W8*Inputs!$E$43/12*1*(1+Inputs!$E$54)*(1+Inputs!$E$55)^(W$5-1)</f>
        <v>-22418.2933333333</v>
      </c>
      <c r="X14" s="52" t="n">
        <f aca="false">-X8*Inputs!$E$43/12*1*(1+Inputs!$E$54)*(1+Inputs!$E$55)^(X$5-1)</f>
        <v>-22418.2933333333</v>
      </c>
      <c r="Y14" s="52" t="n">
        <f aca="false">-Y8*Inputs!$E$43/12*1*(1+Inputs!$E$54)*(1+Inputs!$E$55)^(Y$5-1)</f>
        <v>-22418.2933333333</v>
      </c>
      <c r="Z14" s="52" t="n">
        <f aca="false">-Z8*Inputs!$E$43/12*1*(1+Inputs!$E$54)*(1+Inputs!$E$55)^(Z$5-1)</f>
        <v>-22418.2933333333</v>
      </c>
      <c r="AA14" s="52" t="n">
        <f aca="false">-AA8*Inputs!$E$43/12*1*(1+Inputs!$E$54)*(1+Inputs!$E$55)^(AA$5-1)</f>
        <v>-24476.2926613333</v>
      </c>
      <c r="AB14" s="52" t="n">
        <f aca="false">-AB8*Inputs!$E$43/12*1*(1+Inputs!$E$54)*(1+Inputs!$E$55)^(AB$5-1)</f>
        <v>-24476.2926613333</v>
      </c>
      <c r="AC14" s="52" t="n">
        <f aca="false">-AC8*Inputs!$E$43/12*1*(1+Inputs!$E$54)*(1+Inputs!$E$55)^(AC$5-1)</f>
        <v>-24476.2926613333</v>
      </c>
      <c r="AD14" s="52" t="n">
        <f aca="false">-AD8*Inputs!$E$43/12*1*(1+Inputs!$E$54)*(1+Inputs!$E$55)^(AD$5-1)</f>
        <v>-24476.2926613333</v>
      </c>
      <c r="AE14" s="52" t="n">
        <f aca="false">-AE8*Inputs!$E$43/12*1*(1+Inputs!$E$54)*(1+Inputs!$E$55)^(AE$5-1)</f>
        <v>-24476.2926613333</v>
      </c>
      <c r="AF14" s="52" t="n">
        <f aca="false">-AF8*Inputs!$E$43/12*1*(1+Inputs!$E$54)*(1+Inputs!$E$55)^(AF$5-1)</f>
        <v>-24476.2926613333</v>
      </c>
      <c r="AG14" s="52" t="n">
        <f aca="false">-AG8*Inputs!$E$43/12*1*(1+Inputs!$E$54)*(1+Inputs!$E$55)^(AG$5-1)</f>
        <v>-24476.2926613333</v>
      </c>
      <c r="AH14" s="52" t="n">
        <f aca="false">-AH8*Inputs!$E$43/12*1*(1+Inputs!$E$54)*(1+Inputs!$E$55)^(AH$5-1)</f>
        <v>-24476.2926613333</v>
      </c>
      <c r="AI14" s="52" t="n">
        <f aca="false">-AI8*Inputs!$E$43/12*1*(1+Inputs!$E$54)*(1+Inputs!$E$55)^(AI$5-1)</f>
        <v>-24476.2926613333</v>
      </c>
      <c r="AJ14" s="52" t="n">
        <f aca="false">-AJ8*Inputs!$E$43/12*1*(1+Inputs!$E$54)*(1+Inputs!$E$55)^(AJ$5-1)</f>
        <v>-24476.2926613333</v>
      </c>
      <c r="AK14" s="52" t="n">
        <f aca="false">-AK8*Inputs!$E$43/12*1*(1+Inputs!$E$54)*(1+Inputs!$E$55)^(AK$5-1)</f>
        <v>-24476.2926613333</v>
      </c>
      <c r="AL14" s="52" t="n">
        <f aca="false">-AL8*Inputs!$E$43/12*1*(1+Inputs!$E$54)*(1+Inputs!$E$55)^(AL$5-1)</f>
        <v>-24476.2926613333</v>
      </c>
    </row>
    <row r="15" customFormat="false" ht="15" hidden="false" customHeight="false" outlineLevel="0" collapsed="false">
      <c r="A15" s="6" t="s">
        <v>389</v>
      </c>
      <c r="C15" s="52" t="n">
        <f aca="false">-C9*Inputs!$E$47/12*1*(1+Inputs!$E$54)*(1+Inputs!$E$55)^(C$5-1)</f>
        <v>-20253.3333333333</v>
      </c>
      <c r="D15" s="52" t="n">
        <f aca="false">-D9*Inputs!$E$47/12*1*(1+Inputs!$E$54)*(1+Inputs!$E$55)^(D$5-1)</f>
        <v>-20253.3333333333</v>
      </c>
      <c r="E15" s="52" t="n">
        <f aca="false">-E9*Inputs!$E$47/12*1*(1+Inputs!$E$54)*(1+Inputs!$E$55)^(E$5-1)</f>
        <v>-20253.3333333333</v>
      </c>
      <c r="F15" s="52" t="n">
        <f aca="false">-F9*Inputs!$E$47/12*1*(1+Inputs!$E$54)*(1+Inputs!$E$55)^(F$5-1)</f>
        <v>-20253.3333333333</v>
      </c>
      <c r="G15" s="52" t="n">
        <f aca="false">-G9*Inputs!$E$47/12*1*(1+Inputs!$E$54)*(1+Inputs!$E$55)^(G$5-1)</f>
        <v>-20253.3333333333</v>
      </c>
      <c r="H15" s="52" t="n">
        <f aca="false">-H9*Inputs!$E$47/12*1*(1+Inputs!$E$54)*(1+Inputs!$E$55)^(H$5-1)</f>
        <v>-20253.3333333333</v>
      </c>
      <c r="I15" s="52" t="n">
        <f aca="false">-I9*Inputs!$E$47/12*1*(1+Inputs!$E$54)*(1+Inputs!$E$55)^(I$5-1)</f>
        <v>-20253.3333333333</v>
      </c>
      <c r="J15" s="52" t="n">
        <f aca="false">-J9*Inputs!$E$47/12*1*(1+Inputs!$E$54)*(1+Inputs!$E$55)^(J$5-1)</f>
        <v>-20253.3333333333</v>
      </c>
      <c r="K15" s="52" t="n">
        <f aca="false">-K9*Inputs!$E$47/12*1*(1+Inputs!$E$54)*(1+Inputs!$E$55)^(K$5-1)</f>
        <v>-20253.3333333333</v>
      </c>
      <c r="L15" s="52" t="n">
        <f aca="false">-L9*Inputs!$E$47/12*1*(1+Inputs!$E$54)*(1+Inputs!$E$55)^(L$5-1)</f>
        <v>-20253.3333333333</v>
      </c>
      <c r="M15" s="52" t="n">
        <f aca="false">-M9*Inputs!$E$47/12*1*(1+Inputs!$E$54)*(1+Inputs!$E$55)^(M$5-1)</f>
        <v>-20253.3333333333</v>
      </c>
      <c r="N15" s="52" t="n">
        <f aca="false">-N9*Inputs!$E$47/12*1*(1+Inputs!$E$54)*(1+Inputs!$E$55)^(N$5-1)</f>
        <v>-20253.3333333333</v>
      </c>
      <c r="O15" s="52" t="n">
        <f aca="false">-O9*Inputs!$E$47/12*1*(1+Inputs!$E$54)*(1+Inputs!$E$55)^(O$5-1)</f>
        <v>-22112.5893333333</v>
      </c>
      <c r="P15" s="52" t="n">
        <f aca="false">-P9*Inputs!$E$47/12*1*(1+Inputs!$E$54)*(1+Inputs!$E$55)^(P$5-1)</f>
        <v>-22112.5893333333</v>
      </c>
      <c r="Q15" s="52" t="n">
        <f aca="false">-Q9*Inputs!$E$47/12*1*(1+Inputs!$E$54)*(1+Inputs!$E$55)^(Q$5-1)</f>
        <v>-22112.5893333333</v>
      </c>
      <c r="R15" s="52" t="n">
        <f aca="false">-R9*Inputs!$E$47/12*1*(1+Inputs!$E$54)*(1+Inputs!$E$55)^(R$5-1)</f>
        <v>-22112.5893333333</v>
      </c>
      <c r="S15" s="52" t="n">
        <f aca="false">-S9*Inputs!$E$47/12*1*(1+Inputs!$E$54)*(1+Inputs!$E$55)^(S$5-1)</f>
        <v>-22112.5893333333</v>
      </c>
      <c r="T15" s="52" t="n">
        <f aca="false">-T9*Inputs!$E$47/12*1*(1+Inputs!$E$54)*(1+Inputs!$E$55)^(T$5-1)</f>
        <v>-22112.5893333333</v>
      </c>
      <c r="U15" s="52" t="n">
        <f aca="false">-U9*Inputs!$E$47/12*1*(1+Inputs!$E$54)*(1+Inputs!$E$55)^(U$5-1)</f>
        <v>-22112.5893333333</v>
      </c>
      <c r="V15" s="52" t="n">
        <f aca="false">-V9*Inputs!$E$47/12*1*(1+Inputs!$E$54)*(1+Inputs!$E$55)^(V$5-1)</f>
        <v>-22112.5893333333</v>
      </c>
      <c r="W15" s="52" t="n">
        <f aca="false">-W9*Inputs!$E$47/12*1*(1+Inputs!$E$54)*(1+Inputs!$E$55)^(W$5-1)</f>
        <v>-22112.5893333333</v>
      </c>
      <c r="X15" s="52" t="n">
        <f aca="false">-X9*Inputs!$E$47/12*1*(1+Inputs!$E$54)*(1+Inputs!$E$55)^(X$5-1)</f>
        <v>-22112.5893333333</v>
      </c>
      <c r="Y15" s="52" t="n">
        <f aca="false">-Y9*Inputs!$E$47/12*1*(1+Inputs!$E$54)*(1+Inputs!$E$55)^(Y$5-1)</f>
        <v>-22112.5893333333</v>
      </c>
      <c r="Z15" s="52" t="n">
        <f aca="false">-Z9*Inputs!$E$47/12*1*(1+Inputs!$E$54)*(1+Inputs!$E$55)^(Z$5-1)</f>
        <v>-22112.5893333333</v>
      </c>
      <c r="AA15" s="52" t="n">
        <f aca="false">-AA9*Inputs!$E$47/12*1*(1+Inputs!$E$54)*(1+Inputs!$E$55)^(AA$5-1)</f>
        <v>-24142.5250341333</v>
      </c>
      <c r="AB15" s="52" t="n">
        <f aca="false">-AB9*Inputs!$E$47/12*1*(1+Inputs!$E$54)*(1+Inputs!$E$55)^(AB$5-1)</f>
        <v>-24142.5250341333</v>
      </c>
      <c r="AC15" s="52" t="n">
        <f aca="false">-AC9*Inputs!$E$47/12*1*(1+Inputs!$E$54)*(1+Inputs!$E$55)^(AC$5-1)</f>
        <v>-24142.5250341333</v>
      </c>
      <c r="AD15" s="52" t="n">
        <f aca="false">-AD9*Inputs!$E$47/12*1*(1+Inputs!$E$54)*(1+Inputs!$E$55)^(AD$5-1)</f>
        <v>-24142.5250341333</v>
      </c>
      <c r="AE15" s="52" t="n">
        <f aca="false">-AE9*Inputs!$E$47/12*1*(1+Inputs!$E$54)*(1+Inputs!$E$55)^(AE$5-1)</f>
        <v>-24142.5250341333</v>
      </c>
      <c r="AF15" s="52" t="n">
        <f aca="false">-AF9*Inputs!$E$47/12*1*(1+Inputs!$E$54)*(1+Inputs!$E$55)^(AF$5-1)</f>
        <v>-24142.5250341333</v>
      </c>
      <c r="AG15" s="52" t="n">
        <f aca="false">-AG9*Inputs!$E$47/12*1*(1+Inputs!$E$54)*(1+Inputs!$E$55)^(AG$5-1)</f>
        <v>-24142.5250341333</v>
      </c>
      <c r="AH15" s="52" t="n">
        <f aca="false">-AH9*Inputs!$E$47/12*1*(1+Inputs!$E$54)*(1+Inputs!$E$55)^(AH$5-1)</f>
        <v>-24142.5250341333</v>
      </c>
      <c r="AI15" s="52" t="n">
        <f aca="false">-AI9*Inputs!$E$47/12*1*(1+Inputs!$E$54)*(1+Inputs!$E$55)^(AI$5-1)</f>
        <v>-24142.5250341333</v>
      </c>
      <c r="AJ15" s="52" t="n">
        <f aca="false">-AJ9*Inputs!$E$47/12*1*(1+Inputs!$E$54)*(1+Inputs!$E$55)^(AJ$5-1)</f>
        <v>-24142.5250341333</v>
      </c>
      <c r="AK15" s="52" t="n">
        <f aca="false">-AK9*Inputs!$E$47/12*1*(1+Inputs!$E$54)*(1+Inputs!$E$55)^(AK$5-1)</f>
        <v>-24142.5250341333</v>
      </c>
      <c r="AL15" s="52" t="n">
        <f aca="false">-AL9*Inputs!$E$47/12*1*(1+Inputs!$E$54)*(1+Inputs!$E$55)^(AL$5-1)</f>
        <v>-24142.5250341333</v>
      </c>
    </row>
    <row r="16" customFormat="false" ht="15" hidden="false" customHeight="false" outlineLevel="0" collapsed="false">
      <c r="A16" s="6" t="s">
        <v>390</v>
      </c>
      <c r="C16" s="52" t="n">
        <f aca="false">-C10*Inputs!$E$51/12*1*(1+Inputs!$E$54)*(1+Inputs!$E$55)^(C$5-1)</f>
        <v>-8680</v>
      </c>
      <c r="D16" s="52" t="n">
        <f aca="false">-D10*Inputs!$E$51/12*1*(1+Inputs!$E$54)*(1+Inputs!$E$55)^(D$5-1)</f>
        <v>-8680</v>
      </c>
      <c r="E16" s="52" t="n">
        <f aca="false">-E10*Inputs!$E$51/12*1*(1+Inputs!$E$54)*(1+Inputs!$E$55)^(E$5-1)</f>
        <v>-8680</v>
      </c>
      <c r="F16" s="52" t="n">
        <f aca="false">-F10*Inputs!$E$51/12*1*(1+Inputs!$E$54)*(1+Inputs!$E$55)^(F$5-1)</f>
        <v>-8680</v>
      </c>
      <c r="G16" s="52" t="n">
        <f aca="false">-G10*Inputs!$E$51/12*1*(1+Inputs!$E$54)*(1+Inputs!$E$55)^(G$5-1)</f>
        <v>-8680</v>
      </c>
      <c r="H16" s="52" t="n">
        <f aca="false">-H10*Inputs!$E$51/12*1*(1+Inputs!$E$54)*(1+Inputs!$E$55)^(H$5-1)</f>
        <v>-8680</v>
      </c>
      <c r="I16" s="52" t="n">
        <f aca="false">-I10*Inputs!$E$51/12*1*(1+Inputs!$E$54)*(1+Inputs!$E$55)^(I$5-1)</f>
        <v>-8680</v>
      </c>
      <c r="J16" s="52" t="n">
        <f aca="false">-J10*Inputs!$E$51/12*1*(1+Inputs!$E$54)*(1+Inputs!$E$55)^(J$5-1)</f>
        <v>-8680</v>
      </c>
      <c r="K16" s="52" t="n">
        <f aca="false">-K10*Inputs!$E$51/12*1*(1+Inputs!$E$54)*(1+Inputs!$E$55)^(K$5-1)</f>
        <v>-8680</v>
      </c>
      <c r="L16" s="52" t="n">
        <f aca="false">-L10*Inputs!$E$51/12*1*(1+Inputs!$E$54)*(1+Inputs!$E$55)^(L$5-1)</f>
        <v>-8680</v>
      </c>
      <c r="M16" s="52" t="n">
        <f aca="false">-M10*Inputs!$E$51/12*1*(1+Inputs!$E$54)*(1+Inputs!$E$55)^(M$5-1)</f>
        <v>-8680</v>
      </c>
      <c r="N16" s="52" t="n">
        <f aca="false">-N10*Inputs!$E$51/12*1*(1+Inputs!$E$54)*(1+Inputs!$E$55)^(N$5-1)</f>
        <v>-8680</v>
      </c>
      <c r="O16" s="52" t="n">
        <f aca="false">-O10*Inputs!$E$51/12*1*(1+Inputs!$E$54)*(1+Inputs!$E$55)^(O$5-1)</f>
        <v>-8940.4</v>
      </c>
      <c r="P16" s="52" t="n">
        <f aca="false">-P10*Inputs!$E$51/12*1*(1+Inputs!$E$54)*(1+Inputs!$E$55)^(P$5-1)</f>
        <v>-8940.4</v>
      </c>
      <c r="Q16" s="52" t="n">
        <f aca="false">-Q10*Inputs!$E$51/12*1*(1+Inputs!$E$54)*(1+Inputs!$E$55)^(Q$5-1)</f>
        <v>-8940.4</v>
      </c>
      <c r="R16" s="52" t="n">
        <f aca="false">-R10*Inputs!$E$51/12*1*(1+Inputs!$E$54)*(1+Inputs!$E$55)^(R$5-1)</f>
        <v>-8940.4</v>
      </c>
      <c r="S16" s="52" t="n">
        <f aca="false">-S10*Inputs!$E$51/12*1*(1+Inputs!$E$54)*(1+Inputs!$E$55)^(S$5-1)</f>
        <v>-8940.4</v>
      </c>
      <c r="T16" s="52" t="n">
        <f aca="false">-T10*Inputs!$E$51/12*1*(1+Inputs!$E$54)*(1+Inputs!$E$55)^(T$5-1)</f>
        <v>-8940.4</v>
      </c>
      <c r="U16" s="52" t="n">
        <f aca="false">-U10*Inputs!$E$51/12*1*(1+Inputs!$E$54)*(1+Inputs!$E$55)^(U$5-1)</f>
        <v>-8940.4</v>
      </c>
      <c r="V16" s="52" t="n">
        <f aca="false">-V10*Inputs!$E$51/12*1*(1+Inputs!$E$54)*(1+Inputs!$E$55)^(V$5-1)</f>
        <v>-8940.4</v>
      </c>
      <c r="W16" s="52" t="n">
        <f aca="false">-W10*Inputs!$E$51/12*1*(1+Inputs!$E$54)*(1+Inputs!$E$55)^(W$5-1)</f>
        <v>-8940.4</v>
      </c>
      <c r="X16" s="52" t="n">
        <f aca="false">-X10*Inputs!$E$51/12*1*(1+Inputs!$E$54)*(1+Inputs!$E$55)^(X$5-1)</f>
        <v>-8940.4</v>
      </c>
      <c r="Y16" s="52" t="n">
        <f aca="false">-Y10*Inputs!$E$51/12*1*(1+Inputs!$E$54)*(1+Inputs!$E$55)^(Y$5-1)</f>
        <v>-8940.4</v>
      </c>
      <c r="Z16" s="52" t="n">
        <f aca="false">-Z10*Inputs!$E$51/12*1*(1+Inputs!$E$54)*(1+Inputs!$E$55)^(Z$5-1)</f>
        <v>-8940.4</v>
      </c>
      <c r="AA16" s="52" t="n">
        <f aca="false">-AA10*Inputs!$E$51/12*1*(1+Inputs!$E$54)*(1+Inputs!$E$55)^(AA$5-1)</f>
        <v>-9208.612</v>
      </c>
      <c r="AB16" s="52" t="n">
        <f aca="false">-AB10*Inputs!$E$51/12*1*(1+Inputs!$E$54)*(1+Inputs!$E$55)^(AB$5-1)</f>
        <v>-9208.612</v>
      </c>
      <c r="AC16" s="52" t="n">
        <f aca="false">-AC10*Inputs!$E$51/12*1*(1+Inputs!$E$54)*(1+Inputs!$E$55)^(AC$5-1)</f>
        <v>-9208.612</v>
      </c>
      <c r="AD16" s="52" t="n">
        <f aca="false">-AD10*Inputs!$E$51/12*1*(1+Inputs!$E$54)*(1+Inputs!$E$55)^(AD$5-1)</f>
        <v>-9208.612</v>
      </c>
      <c r="AE16" s="52" t="n">
        <f aca="false">-AE10*Inputs!$E$51/12*1*(1+Inputs!$E$54)*(1+Inputs!$E$55)^(AE$5-1)</f>
        <v>-9208.612</v>
      </c>
      <c r="AF16" s="52" t="n">
        <f aca="false">-AF10*Inputs!$E$51/12*1*(1+Inputs!$E$54)*(1+Inputs!$E$55)^(AF$5-1)</f>
        <v>-9208.612</v>
      </c>
      <c r="AG16" s="52" t="n">
        <f aca="false">-AG10*Inputs!$E$51/12*1*(1+Inputs!$E$54)*(1+Inputs!$E$55)^(AG$5-1)</f>
        <v>-9208.612</v>
      </c>
      <c r="AH16" s="52" t="n">
        <f aca="false">-AH10*Inputs!$E$51/12*1*(1+Inputs!$E$54)*(1+Inputs!$E$55)^(AH$5-1)</f>
        <v>-9208.612</v>
      </c>
      <c r="AI16" s="52" t="n">
        <f aca="false">-AI10*Inputs!$E$51/12*1*(1+Inputs!$E$54)*(1+Inputs!$E$55)^(AI$5-1)</f>
        <v>-9208.612</v>
      </c>
      <c r="AJ16" s="52" t="n">
        <f aca="false">-AJ10*Inputs!$E$51/12*1*(1+Inputs!$E$54)*(1+Inputs!$E$55)^(AJ$5-1)</f>
        <v>-9208.612</v>
      </c>
      <c r="AK16" s="52" t="n">
        <f aca="false">-AK10*Inputs!$E$51/12*1*(1+Inputs!$E$54)*(1+Inputs!$E$55)^(AK$5-1)</f>
        <v>-9208.612</v>
      </c>
      <c r="AL16" s="52" t="n">
        <f aca="false">-AL10*Inputs!$E$51/12*1*(1+Inputs!$E$54)*(1+Inputs!$E$55)^(AL$5-1)</f>
        <v>-9208.612</v>
      </c>
    </row>
    <row r="17" customFormat="false" ht="15" hidden="false" customHeight="false" outlineLevel="0" collapsed="false">
      <c r="A17" s="101" t="s">
        <v>391</v>
      </c>
      <c r="C17" s="53" t="n">
        <f aca="false">C14+C15+C16</f>
        <v>-49466.6666666667</v>
      </c>
      <c r="D17" s="53" t="n">
        <f aca="false">D14+D15+D16</f>
        <v>-49466.6666666667</v>
      </c>
      <c r="E17" s="53" t="n">
        <f aca="false">E14+E15+E16</f>
        <v>-49466.6666666667</v>
      </c>
      <c r="F17" s="53" t="n">
        <f aca="false">F14+F15+F16</f>
        <v>-49466.6666666667</v>
      </c>
      <c r="G17" s="53" t="n">
        <f aca="false">G14+G15+G16</f>
        <v>-49466.6666666667</v>
      </c>
      <c r="H17" s="53" t="n">
        <f aca="false">H14+H15+H16</f>
        <v>-49466.6666666667</v>
      </c>
      <c r="I17" s="53" t="n">
        <f aca="false">I14+I15+I16</f>
        <v>-49466.6666666667</v>
      </c>
      <c r="J17" s="53" t="n">
        <f aca="false">J14+J15+J16</f>
        <v>-49466.6666666667</v>
      </c>
      <c r="K17" s="53" t="n">
        <f aca="false">K14+K15+K16</f>
        <v>-49466.6666666667</v>
      </c>
      <c r="L17" s="53" t="n">
        <f aca="false">L14+L15+L16</f>
        <v>-49466.6666666667</v>
      </c>
      <c r="M17" s="53" t="n">
        <f aca="false">M14+M15+M16</f>
        <v>-49466.6666666667</v>
      </c>
      <c r="N17" s="53" t="n">
        <f aca="false">N14+N15+N16</f>
        <v>-49466.6666666667</v>
      </c>
      <c r="O17" s="53" t="n">
        <f aca="false">O14+O15+O16</f>
        <v>-53471.2826666667</v>
      </c>
      <c r="P17" s="53" t="n">
        <f aca="false">P14+P15+P16</f>
        <v>-53471.2826666667</v>
      </c>
      <c r="Q17" s="53" t="n">
        <f aca="false">Q14+Q15+Q16</f>
        <v>-53471.2826666667</v>
      </c>
      <c r="R17" s="53" t="n">
        <f aca="false">R14+R15+R16</f>
        <v>-53471.2826666667</v>
      </c>
      <c r="S17" s="53" t="n">
        <f aca="false">S14+S15+S16</f>
        <v>-53471.2826666667</v>
      </c>
      <c r="T17" s="53" t="n">
        <f aca="false">T14+T15+T16</f>
        <v>-53471.2826666667</v>
      </c>
      <c r="U17" s="53" t="n">
        <f aca="false">U14+U15+U16</f>
        <v>-53471.2826666667</v>
      </c>
      <c r="V17" s="53" t="n">
        <f aca="false">V14+V15+V16</f>
        <v>-53471.2826666667</v>
      </c>
      <c r="W17" s="53" t="n">
        <f aca="false">W14+W15+W16</f>
        <v>-53471.2826666667</v>
      </c>
      <c r="X17" s="53" t="n">
        <f aca="false">X14+X15+X16</f>
        <v>-53471.2826666667</v>
      </c>
      <c r="Y17" s="53" t="n">
        <f aca="false">Y14+Y15+Y16</f>
        <v>-53471.2826666667</v>
      </c>
      <c r="Z17" s="53" t="n">
        <f aca="false">Z14+Z15+Z16</f>
        <v>-53471.2826666667</v>
      </c>
      <c r="AA17" s="53" t="n">
        <f aca="false">AA14+AA15+AA16</f>
        <v>-57827.4296954667</v>
      </c>
      <c r="AB17" s="53" t="n">
        <f aca="false">AB14+AB15+AB16</f>
        <v>-57827.4296954667</v>
      </c>
      <c r="AC17" s="53" t="n">
        <f aca="false">AC14+AC15+AC16</f>
        <v>-57827.4296954667</v>
      </c>
      <c r="AD17" s="53" t="n">
        <f aca="false">AD14+AD15+AD16</f>
        <v>-57827.4296954667</v>
      </c>
      <c r="AE17" s="53" t="n">
        <f aca="false">AE14+AE15+AE16</f>
        <v>-57827.4296954667</v>
      </c>
      <c r="AF17" s="53" t="n">
        <f aca="false">AF14+AF15+AF16</f>
        <v>-57827.4296954667</v>
      </c>
      <c r="AG17" s="53" t="n">
        <f aca="false">AG14+AG15+AG16</f>
        <v>-57827.4296954667</v>
      </c>
      <c r="AH17" s="53" t="n">
        <f aca="false">AH14+AH15+AH16</f>
        <v>-57827.4296954667</v>
      </c>
      <c r="AI17" s="53" t="n">
        <f aca="false">AI14+AI15+AI16</f>
        <v>-57827.4296954667</v>
      </c>
      <c r="AJ17" s="53" t="n">
        <f aca="false">AJ14+AJ15+AJ16</f>
        <v>-57827.4296954667</v>
      </c>
      <c r="AK17" s="53" t="n">
        <f aca="false">AK14+AK15+AK16</f>
        <v>-57827.4296954667</v>
      </c>
      <c r="AL17" s="53" t="n">
        <f aca="false">AL14+AL15+AL16</f>
        <v>-57827.4296954667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392</v>
      </c>
    </row>
    <row r="3" customFormat="false" ht="15" hidden="false" customHeight="false" outlineLevel="0" collapsed="false">
      <c r="A3" s="33" t="s">
        <v>393</v>
      </c>
      <c r="B3" s="33" t="s">
        <v>394</v>
      </c>
      <c r="C3" s="33" t="s">
        <v>395</v>
      </c>
    </row>
    <row r="4" customFormat="false" ht="15" hidden="false" customHeight="false" outlineLevel="0" collapsed="false">
      <c r="A4" s="6" t="s">
        <v>396</v>
      </c>
      <c r="B4" s="4" t="str">
        <f aca="false">IF(ABS(SUM('P&amp;L'!$B$5:$D$5)-SUM(Monthly!$C$22:$AL$22))&lt;0.5,"PASS","FAIL")</f>
        <v>PASS</v>
      </c>
      <c r="C4" s="18" t="s">
        <v>397</v>
      </c>
    </row>
    <row r="5" customFormat="false" ht="15" hidden="false" customHeight="false" outlineLevel="0" collapsed="false">
      <c r="A5" s="6" t="s">
        <v>398</v>
      </c>
      <c r="B5" s="4" t="str">
        <f aca="false">IF(ABS(SUM('P&amp;L'!$B$25:$D$25)-SUM(Monthly!$C$50:$AL$50))&lt;0.5,"PASS","FAIL")</f>
        <v>PASS</v>
      </c>
      <c r="C5" s="18" t="s">
        <v>399</v>
      </c>
    </row>
    <row r="6" customFormat="false" ht="15" hidden="false" customHeight="false" outlineLevel="0" collapsed="false">
      <c r="A6" s="6" t="s">
        <v>400</v>
      </c>
      <c r="B6" s="4" t="str">
        <f aca="false">IF(ABS(SUM(Monthly!$C$41:$AL$41)-SUM(Monthly!$C$29:$AL$29)-SUM(Monthly!$C$40:$AL$40))&lt;0.5,"PASS","FAIL")</f>
        <v>PASS</v>
      </c>
      <c r="C6" s="18" t="s">
        <v>401</v>
      </c>
    </row>
    <row r="7" customFormat="false" ht="15" hidden="false" customHeight="false" outlineLevel="0" collapsed="false">
      <c r="A7" s="6" t="s">
        <v>402</v>
      </c>
      <c r="B7" s="4" t="str">
        <f aca="false">IF(ABS(INDEX(Monthly!$C$80:$AL$80,36)-SUM(Monthly!$C$78:$AL$78))&lt;0.5,"PASS","FAIL")</f>
        <v>PASS</v>
      </c>
      <c r="C7" s="18" t="s">
        <v>403</v>
      </c>
    </row>
    <row r="8" customFormat="false" ht="15" hidden="false" customHeight="false" outlineLevel="0" collapsed="false">
      <c r="A8" s="6" t="s">
        <v>404</v>
      </c>
      <c r="B8" s="4" t="str">
        <f aca="false">IF(AND(ISNUMBER(Dashboard!B4),Dashboard!B4&gt;=1,Dashboard!B4&lt;=3,INT(Dashboard!B4)=Dashboard!B4),"PASS","FAIL")</f>
        <v>PASS</v>
      </c>
      <c r="C8" s="18" t="s">
        <v>405</v>
      </c>
    </row>
    <row r="9" customFormat="false" ht="15" hidden="false" customHeight="false" outlineLevel="0" collapsed="false">
      <c r="A9" s="6" t="s">
        <v>406</v>
      </c>
      <c r="B9" s="4" t="str">
        <f aca="false">IF(AND(Inputs!$B$7&lt;=Inputs!$C$7,Inputs!$C$7&lt;=Inputs!$D$7,Inputs!$B$8&gt;=Inputs!$C$8,Inputs!$C$8&gt;=Inputs!$D$8,Inputs!$B$9&lt;=Inputs!$C$9,Inputs!$C$9&lt;=Inputs!$D$9,Inputs!$B$10&lt;=Inputs!$C$10,Inputs!$C$10&lt;=Inputs!$D$10,Inputs!$B$11&lt;=Inputs!$C$11,Inputs!$C$11&lt;=Inputs!$D$11,Inputs!$B$12&lt;=Inputs!$C$12,Inputs!$C$12&lt;=Inputs!$D$12,Inputs!$B$17&lt;=Inputs!$C$17,Inputs!$C$17&lt;=Inputs!$D$17,Inputs!$B$18&lt;=Inputs!$C$18,Inputs!$C$18&lt;=Inputs!$D$18,Inputs!$B$19&lt;=Inputs!$C$19,Inputs!$C$19&lt;=Inputs!$D$19,Inputs!$B$21&gt;=Inputs!$C$21,Inputs!$C$21&gt;=Inputs!$D$21,Inputs!$B$24&gt;=Inputs!$C$24,Inputs!$C$24&gt;=Inputs!$D$24,Inputs!$B$25&gt;=Inputs!$C$25,Inputs!$C$25&gt;=Inputs!$D$25,Inputs!$B$26&gt;=Inputs!$C$26,Inputs!$C$26&gt;=Inputs!$D$26,Inputs!$B$27&gt;=Inputs!$C$27,Inputs!$C$27&gt;=Inputs!$D$27,Inputs!$B$33&gt;=Inputs!$C$33,Inputs!$C$33&gt;=Inputs!$D$33,Inputs!$B$34&gt;=Inputs!$C$34,Inputs!$C$34&gt;=Inputs!$D$34,Inputs!$B$42&lt;=Inputs!$C$42,Inputs!$C$42&lt;=Inputs!$D$42,Inputs!$B$44&lt;=Inputs!$C$44,Inputs!$C$44&lt;=Inputs!$D$44,Inputs!$B$46&lt;=Inputs!$C$46,Inputs!$C$46&lt;=Inputs!$D$46,Inputs!$B$48&lt;=Inputs!$C$48,Inputs!$C$48&lt;=Inputs!$D$48,Inputs!$B$50&lt;=Inputs!$C$50,Inputs!$C$50&lt;=Inputs!$D$50,Inputs!$B$52&lt;=Inputs!$C$52,Inputs!$C$52&lt;=Inputs!$D$52,Inputs!$B$76&gt;=Inputs!$C$76,Inputs!$C$76&gt;=Inputs!$D$76,Inputs!$B$77&lt;=Inputs!$C$77,Inputs!$C$77&lt;=Inputs!$D$77,Inputs!$B$78&lt;=Inputs!$C$78,Inputs!$C$78&lt;=Inputs!$D$78),"PASS","FAIL")</f>
        <v>PASS</v>
      </c>
      <c r="C9" s="18" t="s">
        <v>407</v>
      </c>
    </row>
    <row r="10" customFormat="false" ht="15" hidden="false" customHeight="false" outlineLevel="0" collapsed="false">
      <c r="A10" s="6" t="s">
        <v>408</v>
      </c>
      <c r="B10" s="4" t="str">
        <f aca="false">IF(AND(MIN('P&amp;L'!$B$8:$D$8)&gt;=0,MAX('P&amp;L'!$B$8:$D$8)&lt;=1),"PASS","FAIL")</f>
        <v>PASS</v>
      </c>
      <c r="C10" s="18" t="s">
        <v>409</v>
      </c>
    </row>
    <row r="11" customFormat="false" ht="15" hidden="false" customHeight="false" outlineLevel="0" collapsed="false">
      <c r="A11" s="6" t="s">
        <v>410</v>
      </c>
      <c r="B11" s="4" t="str">
        <f aca="false">IF(MIN(Monthly!$C$63:$AL$63)&gt;=-0.5,"PASS","FAIL")</f>
        <v>PASS</v>
      </c>
      <c r="C11" s="18" t="s">
        <v>411</v>
      </c>
    </row>
    <row r="12" customFormat="false" ht="15" hidden="false" customHeight="false" outlineLevel="0" collapsed="false">
      <c r="A12" s="6" t="s">
        <v>412</v>
      </c>
      <c r="B12" s="4" t="str">
        <f aca="false">IF(ABS('Break-even'!B18-('Break-even'!B16-'Break-even'!B10))&lt;0.5,"PASS","FAIL")</f>
        <v>PASS</v>
      </c>
      <c r="C12" s="18" t="s">
        <v>413</v>
      </c>
    </row>
    <row r="13" customFormat="false" ht="15" hidden="false" customHeight="false" outlineLevel="0" collapsed="false">
      <c r="A13" s="6" t="s">
        <v>414</v>
      </c>
      <c r="B13" s="4" t="str">
        <f aca="false">IF(ABS(Valuation!B23-NPV(Valuation!B6,Valuation!$B$17:$D$17))&lt;0.5,"PASS","FAIL")</f>
        <v>PASS</v>
      </c>
      <c r="C13" s="18" t="s">
        <v>415</v>
      </c>
    </row>
    <row r="14" customFormat="false" ht="15" hidden="false" customHeight="false" outlineLevel="0" collapsed="false">
      <c r="A14" s="6" t="s">
        <v>416</v>
      </c>
      <c r="B14" s="4" t="str">
        <f aca="false">IF(Valuation!B6&gt;Valuation!B7,"PASS","FAIL")</f>
        <v>PASS</v>
      </c>
      <c r="C14" s="18" t="s">
        <v>417</v>
      </c>
    </row>
    <row r="15" customFormat="false" ht="15" hidden="false" customHeight="false" outlineLevel="0" collapsed="false">
      <c r="A15" s="6" t="s">
        <v>418</v>
      </c>
      <c r="B15" s="4" t="str">
        <f aca="false">IF(ABS(Valuation!D36-Valuation!B27)&lt;0.5,"PASS","FAIL")</f>
        <v>PASS</v>
      </c>
      <c r="C15" s="18" t="s">
        <v>419</v>
      </c>
    </row>
    <row r="16" customFormat="false" ht="15" hidden="false" customHeight="false" outlineLevel="0" collapsed="false">
      <c r="A16" s="6" t="s">
        <v>420</v>
      </c>
      <c r="B16" s="4" t="str">
        <f aca="false">IF(Valuation!$D$17&gt;0,"PASS","WARN")</f>
        <v>PASS</v>
      </c>
      <c r="C16" s="18" t="s">
        <v>421</v>
      </c>
    </row>
    <row r="17" customFormat="false" ht="15" hidden="false" customHeight="false" outlineLevel="0" collapsed="false">
      <c r="A17" s="6" t="s">
        <v>422</v>
      </c>
      <c r="B17" s="4" t="str">
        <f aca="false">IF(ABS('Sources &amp; Uses'!B21-'Sources &amp; Uses'!B28)&lt;0.5,"PASS","FAIL")</f>
        <v>PASS</v>
      </c>
      <c r="C17" s="18" t="s">
        <v>423</v>
      </c>
    </row>
    <row r="18" customFormat="false" ht="15" hidden="false" customHeight="false" outlineLevel="0" collapsed="false">
      <c r="A18" s="6" t="s">
        <v>424</v>
      </c>
      <c r="B18" s="4" t="str">
        <f aca="false">IF(SUMPRODUCT(--ISERROR(Monthly!$C$4:$AL$98))+SUMPRODUCT(--ISERROR(Headcount!$C$4:$AL$17))+SUMPRODUCT(--ISERROR('P&amp;L'!$B$3:$D$26))+SUMPRODUCT(--ISERROR('Cash Flow'!$B$3:$D$18))+SUMPRODUCT(--ISERROR('Balance Sheet'!$B$3:$D$17))+SUMPRODUCT(--ISERROR(KPIs!$B$27:$D$48))+SUMPRODUCT(--ISERROR('Break-even'!$B$26:$D$33))+SUMPRODUCT(--ISERROR(Valuation!$B$14:$D$19))+SUMPRODUCT(--ISERROR('Break-even'!$B$3:$D$35))+SUMPRODUCT(--ISERROR(Valuation!$A$3:$F$40))+SUMPRODUCT(--ISERROR('Sources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Uses'!$B$3:$C$30))+SUMPRODUCT(--ISERROR(Dashboard!$A$6:$W$44))+SUMPRODUCT(--ISERROR(Summary!$A$5:$S$52))+SUMPRODUCT(--ISERROR(KPIs!$A$4:$E$48))=0,"PASS","FAIL")</f>
        <v>PASS</v>
      </c>
      <c r="C18" s="18" t="s">
        <v>425</v>
      </c>
    </row>
    <row r="19" customFormat="false" ht="15" hidden="false" customHeight="false" outlineLevel="0" collapsed="false">
      <c r="A19" s="6" t="s">
        <v>426</v>
      </c>
      <c r="B19" s="4" t="str">
        <f aca="false">IF(IFERROR(AND(SUMPRODUCT(--(ABS(Summary!$B$7:$D$7-'P&amp;L'!$B$5:$D$5)&gt;0.5))=0,SUMPRODUCT(--(ABS(Summary!$B$19:$D$19-'P&amp;L'!$B$25:$D$25)&gt;0.5))=0,SUMPRODUCT(--(ABS(Summary!$B$31:$D$31-'Cash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427</v>
      </c>
    </row>
    <row r="20" customFormat="false" ht="15" hidden="false" customHeight="false" outlineLevel="0" collapsed="false">
      <c r="A20" s="6" t="s">
        <v>428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429</v>
      </c>
    </row>
    <row r="21" customFormat="false" ht="15" hidden="false" customHeight="false" outlineLevel="0" collapsed="false">
      <c r="A21" s="6" t="s">
        <v>430</v>
      </c>
      <c r="B21" s="4" t="str">
        <f aca="false">IF(SUMPRODUCT(--(ABS(Monthly!$C$98:$AL$98)&gt;0.5))=0,"PASS","FAIL")</f>
        <v>PASS</v>
      </c>
      <c r="C21" s="18" t="s">
        <v>431</v>
      </c>
    </row>
    <row r="22" customFormat="false" ht="15" hidden="false" customHeight="false" outlineLevel="0" collapsed="false">
      <c r="A22" s="6" t="s">
        <v>432</v>
      </c>
      <c r="B22" s="4" t="str">
        <f aca="false">IF(MIN(Monthly!$C$80:$AL$80)&gt;=0,"PASS","WARN")</f>
        <v>PASS</v>
      </c>
      <c r="C22" s="18" t="s">
        <v>433</v>
      </c>
    </row>
    <row r="24" customFormat="false" ht="15" hidden="false" customHeight="false" outlineLevel="0" collapsed="false">
      <c r="A24" s="55" t="s">
        <v>434</v>
      </c>
      <c r="B24" s="55" t="str">
        <f aca="false">IF(COUNTIF(B4:B22,"FAIL")&gt;0,"FAIL",IF(COUNTIF(B4:B22,"WARN")&gt;0,"PASS WITH WARNINGS","PASS"))</f>
        <v>PASS</v>
      </c>
      <c r="C24" s="109"/>
    </row>
  </sheetData>
  <conditionalFormatting sqref="B4:B24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2026-10-21T09:43:15Z</dcterms:created>
  <dc:creator/>
  <dc:description/>
  <dc:language>en-US</dc:language>
  <cp:lastModifiedBy/>
  <dcterms:modified xsi:type="dcterms:W3CDTF">2026-10-21T09:43:16Z</dcterms:modified>
  <cp:revision>0</cp:revision>
  <dc:subject/>
  <dc:title>Bakery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