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<sst xmlns="http://schemas.openxmlformats.org/spreadsheetml/2006/main" count="1141" uniqueCount="472">
  <si>
    <t xml:space="preserve">SaaS financial model (early)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</si>
  <si>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</si>
  <si>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</si>
  <si>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</si>
  <si>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</si>
  <si>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</si>
  <si>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</si>
  <si>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</si>
  <si>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</si>
  <si>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</si>
  <si>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</si>
  <si>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</si>
  <si>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</si>
  <si>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</si>
  <si>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</si>
  <si>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</si>
  <si>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</si>
  <si>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</si>
  <si>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</si>
  <si>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</si>
  <si>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</si>
  <si>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</si>
  <si>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</si>
  <si>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</si>
  <si>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</si>
  <si>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</si>
  <si>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</si>
  <si>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</si>
  <si>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</si>
  <si>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</si>
  <si>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</si>
  <si>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</si>
  <si>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</si>
  <si>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</si>
  <si>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</si>
  <si>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</si>
  <si>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</si>
  <si>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</si>
  <si>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</si>
  <si>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</si>
  <si>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</si>
  <si>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</si>
  <si>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</si>
  <si>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</si>
  <si>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</si>
  <si>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</si>
  <si>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</si>
  <si>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</si>
  <si>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</si>
  <si>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</si>
  <si>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</si>
  <si>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</si>
  <si>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</si>
  <si>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</si>
  <si>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</si>
  <si>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</si>
  <si>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</si>
  <si>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SaaS metrics</t>
  </si>
  <si>
    <t xml:space="preserve">Paying customers (year end)</t>
  </si>
  <si>
    <t xml:space="preserve">ARR (year-end MRR × 12)</t>
  </si>
  <si>
    <t xml:space="preserve">LTV ÷ CAC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</si>
  <si>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</si>
  <si>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</si>
  <si>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</si>
  <si>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</si>
  <si>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</si>
  <si>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</si>
  <si>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</si>
  <si>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</si>
  <si>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</si>
  <si>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</si>
  <si>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</si>
  <si>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</si>
  <si>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</si>
  <si>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</si>
  <si>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Hosting, payment fees &amp; support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</si>
  <si>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</si>
  <si>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</si>
  <si>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</si>
  <si>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</si>
  <si>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</si>
  <si>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</si>
  <si>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</si>
  <si>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</si>
  <si>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</si>
  <si>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</si>
  <si>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</si>
  <si>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</si>
  <si>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</si>
  <si>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</si>
  <si>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</si>
  <si>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</si>
  <si>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</si>
  <si>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</si>
  <si>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Deferred revenue (annual plans, ~6 months unearned)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</si>
  <si>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</si>
  <si>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</si>
  <si>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</si>
  <si>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</si>
  <si>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</si>
  <si>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</si>
  <si>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</si>
  <si>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</si>
  <si>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</si>
  <si>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</si>
  <si>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</si>
  <si>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</si>
  <si>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</si>
  <si>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</si>
  <si>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Paying customers at start (#)</t>
  </si>
  <si>
    <t xml:space="preserve">Average MRR per new customer (ARPA) ($ / month)</t>
  </si>
  <si>
    <t xml:space="preserve">Customer churn per month (%)</t>
  </si>
  <si>
    <t xml:space="preserve">Organic / referral new customers per month (year 1) (# / month)</t>
  </si>
  <si>
    <t xml:space="preserve">Paid marketing budget per month (year 1) ($ / month)</t>
  </si>
  <si>
    <t xml:space="preserve">Paid customer acquisition cost (CAC)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</si>
  <si>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</si>
  <si>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</si>
  <si>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</si>
  <si>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</si>
  <si>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</si>
  <si>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</si>
  <si>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</si>
  <si>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</si>
  <si>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</si>
  <si>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</si>
  <si>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</si>
  <si>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</si>
  <si>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</si>
  <si>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</si>
  <si>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</si>
  <si>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</si>
  <si>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</si>
  <si>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</si>
  <si>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</si>
  <si>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</si>
  <si>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</si>
  <si>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</si>
  <si>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</si>
  <si>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</si>
  <si>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</si>
  <si>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</si>
  <si>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</si>
  <si>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</si>
  <si>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</si>
  <si>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</si>
  <si>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</si>
  <si>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</si>
  <si>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</si>
  <si>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</si>
  <si>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</si>
  <si>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</si>
  <si>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</si>
  <si>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</si>
  <si>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</si>
  <si>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</si>
  <si>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</si>
  <si>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</si>
  <si>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</si>
  <si>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</si>
  <si>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</si>
  <si>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</si>
  <si>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</si>
  <si>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</si>
  <si>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</si>
  <si>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</si>
  <si>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</si>
  <si>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</si>
  <si>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</si>
  <si>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</si>
  <si>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</si>
  <si>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</si>
  <si>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</si>
  <si>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</si>
  <si>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</si>
  <si>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</si>
  <si>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</si>
  <si>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</si>
  <si>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</si>
  <si>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</si>
  <si>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</si>
  <si>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</si>
  <si>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</si>
  <si>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</si>
  <si>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</si>
  <si>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</si>
  <si>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</si>
  <si>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</si>
  <si>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</si>
  <si>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</si>
  <si>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</si>
  <si>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</si>
  <si>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</si>
  <si>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</si>
  <si>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</si>
  <si>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</si>
  <si>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</si>
  <si>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</si>
  <si>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</si>
  <si>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</si>
  <si>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</si>
  <si>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</si>
  <si>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</si>
  <si>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</si>
  <si>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</si>
  <si>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</si>
  <si>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</si>
  <si>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</si>
  <si>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</si>
  <si>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</si>
  <si>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</si>
  <si>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</si>
  <si>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</si>
  <si>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</si>
  <si>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</si>
  <si>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SaaS financial model (early)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</si>
  <si>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</si>
  <si>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</si>
  <si>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</si>
  <si>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</si>
  <si>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</si>
  <si>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</si>
  <si>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</si>
  <si>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</si>
  <si>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</si>
  <si>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</si>
  <si>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</si>
  <si>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</si>
  <si>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</si>
  <si>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</si>
  <si>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</si>
  <si>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SaaS metrics ($'000; per-unit rows in $)</t>
  </si>
  <si>
    <t xml:space="preserve">Customers (year end)</t>
  </si>
  <si>
    <t xml:space="preserve">New customers in the year</t>
  </si>
  <si>
    <t xml:space="preserve">Customers lost in the year</t>
  </si>
  <si>
    <t xml:space="preserve">MRR (year end)</t>
  </si>
  <si>
    <t xml:space="preserve">Average MRR per customer (year end) ($)</t>
  </si>
  <si>
    <t xml:space="preserve">Paid marketing spend</t>
  </si>
  <si>
    <t xml:space="preserve">Blended CAC (paid spend ÷ all new customers) ($)</t>
  </si>
  <si>
    <t xml:space="preserve">Customer churn per month</t>
  </si>
  <si>
    <t xml:space="preserve">Customer lifetime value (MRR × margin ÷ churn) ($)</t>
  </si>
  <si>
    <t xml:space="preserve">CAC payback (months of gross profit)</t>
  </si>
  <si>
    <t xml:space="preserve">Net burn per month (year end)</t>
  </si>
  <si>
    <t xml:space="preserve">Cash (year end)</t>
  </si>
  <si>
    <t xml:space="preserve">Runway at year-end burn (months; - = not burning)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</si>
  <si>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</si>
  <si>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</si>
  <si>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</si>
  <si>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</si>
  <si>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Business drivers</t>
  </si>
  <si>
    <t xml:space="preserve">Paying customers at start</t>
  </si>
  <si>
    <t xml:space="preserve">#</t>
  </si>
  <si>
    <t xml:space="preserve">Low ≤ Base ≤ High</t>
  </si>
  <si>
    <t xml:space="preserve">Average MRR per new customer (ARPA)</t>
  </si>
  <si>
    <t xml:space="preserve">$ / month</t>
  </si>
  <si>
    <t xml:space="preserve">Price increase per year for new customers</t>
  </si>
  <si>
    <t xml:space="preserve">%</t>
  </si>
  <si>
    <t xml:space="preserve">Low ≥ Base ≥ High (lower is better)</t>
  </si>
  <si>
    <t xml:space="preserve">Expansion MRR per month, % of opening MRR</t>
  </si>
  <si>
    <t xml:space="preserve">Organic / referral new customers per month (year 1)</t>
  </si>
  <si>
    <t xml:space="preserve"># / month</t>
  </si>
  <si>
    <t xml:space="preserve">Growth of organic new customers per year</t>
  </si>
  <si>
    <t xml:space="preserve">Paid marketing budget per month (year 1)</t>
  </si>
  <si>
    <t xml:space="preserve">Paid marketing budget growth per year</t>
  </si>
  <si>
    <t xml:space="preserve">Paid customer acquisition cost (CAC)</t>
  </si>
  <si>
    <t xml:space="preserve">$</t>
  </si>
  <si>
    <t xml:space="preserve">Share of MRR billed annually in advance</t>
  </si>
  <si>
    <t xml:space="preserve">Hosting &amp; payment fees, % of revenue</t>
  </si>
  <si>
    <t xml:space="preserve">Support &amp; onboarding cost per customer per month</t>
  </si>
  <si>
    <t xml:space="preserve">Software &amp; tools per FTE per month</t>
  </si>
  <si>
    <t xml:space="preserve">Office &amp; rent per month</t>
  </si>
  <si>
    <t xml:space="preserve">Other G&amp;A per month (legal, accounting, insurance)</t>
  </si>
  <si>
    <t xml:space="preserve">Start-up capex (equipment)</t>
  </si>
  <si>
    <t xml:space="preserve">Headcount</t>
  </si>
  <si>
    <t xml:space="preserve">Engineering &amp; product: headcount (FTE)</t>
  </si>
  <si>
    <t xml:space="preserve">FTE</t>
  </si>
  <si>
    <t xml:space="preserve">Engineering &amp; product: salary per FTE per year</t>
  </si>
  <si>
    <t xml:space="preserve">Engineering &amp; product: headcount growth per year</t>
  </si>
  <si>
    <t xml:space="preserve">Engineering &amp; product: first month on payroll</t>
  </si>
  <si>
    <t xml:space="preserve">month #</t>
  </si>
  <si>
    <t xml:space="preserve">Sales &amp; marketing: headcount (FTE)</t>
  </si>
  <si>
    <t xml:space="preserve">Sales &amp; marketing: salary per FTE per year</t>
  </si>
  <si>
    <t xml:space="preserve">Sales &amp; marketing: headcount growth per year</t>
  </si>
  <si>
    <t xml:space="preserve">Sales &amp; marketing: first month on payroll</t>
  </si>
  <si>
    <t xml:space="preserve">Customer success: headcount (FTE)</t>
  </si>
  <si>
    <t xml:space="preserve">Customer success: salary per FTE per year</t>
  </si>
  <si>
    <t xml:space="preserve">Customer success: headcount growth per year</t>
  </si>
  <si>
    <t xml:space="preserve">Customer success: first month on payroll</t>
  </si>
  <si>
    <t xml:space="preserve">G&amp;A (finance, ops): headcount (FTE)</t>
  </si>
  <si>
    <t xml:space="preserve">G&amp;A (finance, ops): salary per FTE per year</t>
  </si>
  <si>
    <t xml:space="preserve">G&amp;A (finance, ops): headcount growth per year</t>
  </si>
  <si>
    <t xml:space="preserve">G&amp;A (finance, ops):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</si>
  <si>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</si>
  <si>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</si>
  <si>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</si>
  <si>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</si>
  <si>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</si>
  <si>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</si>
  <si>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</si>
  <si>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</si>
  <si>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</si>
  <si>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</si>
  <si>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</si>
  <si>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</si>
  <si>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</si>
  <si>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</si>
  <si>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</si>
  <si>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</si>
  <si>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</si>
  <si>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</si>
  <si>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</si>
  <si>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</si>
  <si>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</si>
  <si>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</si>
  <si>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</si>
  <si>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</si>
  <si>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</si>
  <si>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</t>
  </si>
  <si>
    <t xml:space="preserve">Paid marketing</t>
  </si>
  <si>
    <t xml:space="preserve">Software &amp; tools</t>
  </si>
  <si>
    <t xml:space="preserve">Office &amp; rent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</si>
  <si>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</si>
  <si>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</si>
  <si>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</si>
  <si>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</si>
  <si>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</si>
  <si>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Increase / (decrease) in deferred revenue (annual plans, ~6 months unearned)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</si>
  <si>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</si>
  <si>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</si>
  <si>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</si>
  <si>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</si>
  <si>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</si>
  <si>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</si>
  <si>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</si>
  <si>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</si>
  <si>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</si>
  <si>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</si>
  <si>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</si>
  <si>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</si>
  <si>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</si>
  <si>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</si>
  <si>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</si>
  <si>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</si>
  <si>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</si>
  <si>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</si>
  <si>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</si>
  <si>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</si>
  <si>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</si>
  <si>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</si>
  <si>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</si>
  <si>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</si>
  <si>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</si>
  <si>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</si>
  <si>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</si>
  <si>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</si>
  <si>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</si>
  <si>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</si>
  <si>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</si>
  <si>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</si>
  <si>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</si>
  <si>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</si>
  <si>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</si>
  <si>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</si>
  <si>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</si>
  <si>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</si>
  <si>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</si>
  <si>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</si>
  <si>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</si>
  <si>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</si>
  <si>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Customers</t>
  </si>
  <si>
    <t xml:space="preserve">New customers — organic / referral</t>
  </si>
  <si>
    <t xml:space="preserve">New customers — paid marketing</t>
  </si>
  <si>
    <t xml:space="preserve">New customers — total</t>
  </si>
  <si>
    <t xml:space="preserve">Customers — opening</t>
  </si>
  <si>
    <t xml:space="preserve">Customers lost (churn)</t>
  </si>
  <si>
    <t xml:space="preserve">Customers — closing</t>
  </si>
  <si>
    <t xml:space="preserve">MRR per new customer</t>
  </si>
  <si>
    <t xml:space="preserve">MRR waterfall</t>
  </si>
  <si>
    <t xml:space="preserve">Opening MRR</t>
  </si>
  <si>
    <t xml:space="preserve">New MRR</t>
  </si>
  <si>
    <t xml:space="preserve">Expansion MRR</t>
  </si>
  <si>
    <t xml:space="preserve">Churned MRR</t>
  </si>
  <si>
    <t xml:space="preserve">Closing MRR</t>
  </si>
  <si>
    <t xml:space="preserve">Revenue &amp; cost of revenue</t>
  </si>
  <si>
    <t xml:space="preserve">Revenue (average MRR × months)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</si>
  <si>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</si>
  <si>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</si>
  <si>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</si>
  <si>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</si>
  <si>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</si>
  <si>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</si>
  <si>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</si>
  <si>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</si>
  <si>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</si>
  <si>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</si>
  <si>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</si>
  <si>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</si>
  <si>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</si>
  <si>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</si>
  <si>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SaaS metric helpers</t>
  </si>
  <si>
    <t xml:space="preserve">Net burn per month (operating + investing; negative = cash generative)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</si>
  <si>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</si>
  <si>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</si>
  <si>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</si>
  <si>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</si>
  <si>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</si>
  <si>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</si>
  <si>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</si>
  <si>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</si>
  <si>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</si>
  <si>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</si>
  <si>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</si>
  <si>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Engineering &amp; product — FTE</t>
  </si>
  <si>
    <t xml:space="preserve">Sales &amp; marketing — FTE</t>
  </si>
  <si>
    <t xml:space="preserve">Customer success — FTE</t>
  </si>
  <si>
    <t xml:space="preserve">G&amp;A (finance, ops) — FTE</t>
  </si>
  <si>
    <t xml:space="preserve">Total FTE</t>
  </si>
  <si>
    <t xml:space="preserve">Payroll cost (salary + taxes &amp; benefits)</t>
  </si>
  <si>
    <t xml:space="preserve">Engineering &amp; product — payroll cost</t>
  </si>
  <si>
    <t xml:space="preserve">Sales &amp; marketing — payroll cost</t>
  </si>
  <si>
    <t xml:space="preserve">Customer success — payroll cost</t>
  </si>
  <si>
    <t xml:space="preserve">G&amp;A (finance, ops)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</si>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</sst>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0.0\x;\(0.0&quot;x)&quot;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;&quot;($&quot;#,##0\);\-"/>
    <numFmt numFmtId="185" formatCode="0.0%;\(0.0%\);\-"/>
    <numFmt numFmtId="186" formatCode="#,##0.0;\(#,##0.0\);\-"/>
    <numFmt numFmtId="187" formatCode="0"/>
    <numFmt numFmtId="188" formatCode="[&gt;=1000000]\$#,##0.0,,\M;[&gt;=1000]\$#,##0,\k;\$#,##0"/>
    <numFmt numFmtId="189" formatCode="0.0\x"/>
    <numFmt numFmtId="190" formatCode="0.000"/>
    <numFmt numFmtId="191" formatCode="0.0\x"/>
    <numFmt numFmtId="192" formatCode="#,##0.0"/>
    <numFmt numFmtId="193" formatCode="\$#,##0.00;&quot;($&quot;#,##0.0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225414.939184555</c:v>
                </c:pt>
                <c:pt idx="1">
                  <c:v>591123.330484019</c:v>
                </c:pt>
                <c:pt idx="2">
                  <c:v>979388.559956597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-703396.477000165</c:v>
                </c:pt>
                <c:pt idx="1">
                  <c:v>-820672.963572839</c:v>
                </c:pt>
                <c:pt idx="2">
                  <c:v>-1156452.64650262</c:v>
                </c:pt>
              </c:numCache>
            </c:numRef>
          </c:val>
        </c:ser>
        <c:gapWidth val="60"/>
        <c:overlap val="0"/>
        <c:axId val="74948072"/>
        <c:axId val="72770315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-3.12045190768953</c:v>
                </c:pt>
                <c:pt idx="1">
                  <c:v>-1.38832781798827</c:v>
                </c:pt>
                <c:pt idx="2">
                  <c:v>-1.18079043781547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531944"/>
        <c:axId val="81970306"/>
      </c:lineChart>
      <c:catAx>
        <c:axId val="7494807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770315"/>
        <c:crosses val="autoZero"/>
        <c:auto val="1"/>
        <c:lblAlgn val="ctr"/>
        <c:lblOffset val="100"/>
        <c:noMultiLvlLbl val="0"/>
      </c:catAx>
      <c:valAx>
        <c:axId val="727703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948072"/>
        <c:crosses val="autoZero"/>
        <c:crossBetween val="between"/>
      </c:valAx>
      <c:catAx>
        <c:axId val="3853194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970306"/>
        <c:crosses val="autoZero"/>
        <c:auto val="1"/>
        <c:lblAlgn val="ctr"/>
        <c:lblOffset val="100"/>
        <c:noMultiLvlLbl val="0"/>
      </c:catAx>
      <c:valAx>
        <c:axId val="8197030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53194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-665196.514236771</c:v>
                </c:pt>
                <c:pt idx="1">
                  <c:v>-785208.41697933</c:v>
                </c:pt>
                <c:pt idx="2">
                  <c:v>-1117614.51512673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-20000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3000000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60"/>
        <c:overlap val="0"/>
        <c:axId val="16430563"/>
        <c:axId val="37548509"/>
      </c:barChart>
      <c:catAx>
        <c:axId val="164305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548509"/>
        <c:crosses val="autoZero"/>
        <c:auto val="1"/>
        <c:lblAlgn val="ctr"/>
        <c:lblOffset val="100"/>
        <c:noMultiLvlLbl val="0"/>
      </c:catAx>
      <c:valAx>
        <c:axId val="375485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4305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2314803.48576323</c:v>
                </c:pt>
                <c:pt idx="1">
                  <c:v>1529595.0687839</c:v>
                </c:pt>
                <c:pt idx="2">
                  <c:v>411980.553657166</c:v>
                </c:pt>
              </c:numCache>
            </c:numRef>
          </c:val>
        </c:ser>
        <c:gapWidth val="60"/>
        <c:overlap val="0"/>
        <c:axId val="79004241"/>
        <c:axId val="38496550"/>
      </c:barChart>
      <c:catAx>
        <c:axId val="7900424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496550"/>
        <c:crosses val="autoZero"/>
        <c:auto val="1"/>
        <c:lblAlgn val="ctr"/>
        <c:lblOffset val="100"/>
        <c:noMultiLvlLbl val="0"/>
      </c:catAx>
      <c:valAx>
        <c:axId val="384965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0042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ARR &amp; paying customers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ARR (year-end MRR × 12)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\$#,##0,;"($"#,##0,\);\-</c:formatCode>
                <c:ptCount val="3"/>
                <c:pt idx="0">
                  <c:v>397045.081766717</c:v>
                </c:pt>
                <c:pt idx="1">
                  <c:v>766645.333771572</c:v>
                </c:pt>
                <c:pt idx="2">
                  <c:v>1171790.94143235</c:v>
                </c:pt>
              </c:numCache>
            </c:numRef>
          </c:val>
        </c:ser>
        <c:gapWidth val="60"/>
        <c:overlap val="0"/>
        <c:axId val="55185537"/>
        <c:axId val="64556652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Paying customers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#,##0;\(#,##0\);\-</c:formatCode>
                <c:ptCount val="3"/>
                <c:pt idx="0">
                  <c:v>324.705075471428</c:v>
                </c:pt>
                <c:pt idx="1">
                  <c:v>602.208207322359</c:v>
                </c:pt>
                <c:pt idx="2">
                  <c:v>886.054646963686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895690"/>
        <c:axId val="79830365"/>
      </c:lineChart>
      <c:catAx>
        <c:axId val="5518553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556652"/>
        <c:crosses val="autoZero"/>
        <c:auto val="1"/>
        <c:lblAlgn val="ctr"/>
        <c:lblOffset val="100"/>
        <c:noMultiLvlLbl val="0"/>
      </c:catAx>
      <c:valAx>
        <c:axId val="645566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185537"/>
        <c:crosses val="autoZero"/>
        <c:crossBetween val="between"/>
      </c:valAx>
      <c:catAx>
        <c:axId val="9489569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830365"/>
        <c:crosses val="autoZero"/>
        <c:auto val="1"/>
        <c:lblAlgn val="ctr"/>
        <c:lblOffset val="100"/>
        <c:noMultiLvlLbl val="0"/>
      </c:catAx>
      <c:valAx>
        <c:axId val="79830365"/>
        <c:scaling>
          <c:orientation val="minMax"/>
        </c:scaling>
        <c:delete val="0"/>
        <c:axPos val="r"/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89569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4406.875</c:v>
                </c:pt>
                <c:pt idx="1">
                  <c:v>7244.703125</c:v>
                </c:pt>
                <c:pt idx="2">
                  <c:v>10011.585546875</c:v>
                </c:pt>
                <c:pt idx="3">
                  <c:v>12709.2959082031</c:v>
                </c:pt>
                <c:pt idx="4">
                  <c:v>15339.563510498</c:v>
                </c:pt>
                <c:pt idx="5">
                  <c:v>17904.0744227356</c:v>
                </c:pt>
                <c:pt idx="6">
                  <c:v>20404.4725621672</c:v>
                </c:pt>
                <c:pt idx="7">
                  <c:v>22842.360748113</c:v>
                </c:pt>
                <c:pt idx="8">
                  <c:v>25219.3017294102</c:v>
                </c:pt>
                <c:pt idx="9">
                  <c:v>27536.819186175</c:v>
                </c:pt>
                <c:pt idx="10">
                  <c:v>29796.3987065206</c:v>
                </c:pt>
                <c:pt idx="11">
                  <c:v>31999.4887388576</c:v>
                </c:pt>
              </c:numCache>
            </c:numRef>
          </c:val>
        </c:ser>
        <c:gapWidth val="60"/>
        <c:overlap val="0"/>
        <c:axId val="94335254"/>
        <c:axId val="67954797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-71272.6902777778</c:v>
                </c:pt>
                <c:pt idx="1">
                  <c:v>-68775.5341875</c:v>
                </c:pt>
                <c:pt idx="2">
                  <c:v>-66340.5225533681</c:v>
                </c:pt>
                <c:pt idx="3">
                  <c:v>-63966.1102973616</c:v>
                </c:pt>
                <c:pt idx="4">
                  <c:v>-61650.7907124094</c:v>
                </c:pt>
                <c:pt idx="5">
                  <c:v>-59393.0945107955</c:v>
                </c:pt>
                <c:pt idx="6">
                  <c:v>-57191.5888961248</c:v>
                </c:pt>
                <c:pt idx="7">
                  <c:v>-55044.8766582669</c:v>
                </c:pt>
                <c:pt idx="8">
                  <c:v>-52951.5952907079</c:v>
                </c:pt>
                <c:pt idx="9">
                  <c:v>-50910.4161297599</c:v>
                </c:pt>
                <c:pt idx="10">
                  <c:v>-48920.0435150849</c:v>
                </c:pt>
                <c:pt idx="11">
                  <c:v>-46979.2139710086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-71828.2458333333</c:v>
                </c:pt>
                <c:pt idx="1">
                  <c:v>-69331.0897430556</c:v>
                </c:pt>
                <c:pt idx="2">
                  <c:v>-66896.0781089236</c:v>
                </c:pt>
                <c:pt idx="3">
                  <c:v>-64521.6658529172</c:v>
                </c:pt>
                <c:pt idx="4">
                  <c:v>-62206.346267965</c:v>
                </c:pt>
                <c:pt idx="5">
                  <c:v>-59948.650066351</c:v>
                </c:pt>
                <c:pt idx="6">
                  <c:v>-57747.1444516804</c:v>
                </c:pt>
                <c:pt idx="7">
                  <c:v>-55600.4322138224</c:v>
                </c:pt>
                <c:pt idx="8">
                  <c:v>-53507.1508462635</c:v>
                </c:pt>
                <c:pt idx="9">
                  <c:v>-51465.9716853155</c:v>
                </c:pt>
                <c:pt idx="10">
                  <c:v>-49475.5990706404</c:v>
                </c:pt>
                <c:pt idx="11">
                  <c:v>-47534.7695265641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335254"/>
        <c:axId val="67954797"/>
      </c:lineChart>
      <c:catAx>
        <c:axId val="9433525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954797"/>
        <c:crosses val="autoZero"/>
        <c:auto val="1"/>
        <c:lblAlgn val="ctr"/>
        <c:lblOffset val="100"/>
        <c:noMultiLvlLbl val="0"/>
      </c:catAx>
      <c:valAx>
        <c:axId val="679547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3352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-64465.1041666667</c:v>
                </c:pt>
                <c:pt idx="1">
                  <c:v>-65545.5460069444</c:v>
                </c:pt>
                <c:pt idx="2">
                  <c:v>-63191.5685234375</c:v>
                </c:pt>
                <c:pt idx="3">
                  <c:v>-60896.1560309071</c:v>
                </c:pt>
                <c:pt idx="4">
                  <c:v>-58657.8529379622</c:v>
                </c:pt>
                <c:pt idx="5">
                  <c:v>-56475.239786995</c:v>
                </c:pt>
                <c:pt idx="6">
                  <c:v>-54346.9323585164</c:v>
                </c:pt>
                <c:pt idx="7">
                  <c:v>-52271.5807976527</c:v>
                </c:pt>
                <c:pt idx="8">
                  <c:v>-50247.8687622566</c:v>
                </c:pt>
                <c:pt idx="9">
                  <c:v>-48274.5125920979</c:v>
                </c:pt>
                <c:pt idx="10">
                  <c:v>-46350.2604986151</c:v>
                </c:pt>
                <c:pt idx="11">
                  <c:v>-44473.8917747187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3000000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overlap val="0"/>
        <c:axId val="30637528"/>
        <c:axId val="96595083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2915534.89583333</c:v>
                </c:pt>
                <c:pt idx="1">
                  <c:v>2849989.34982639</c:v>
                </c:pt>
                <c:pt idx="2">
                  <c:v>2786797.78130295</c:v>
                </c:pt>
                <c:pt idx="3">
                  <c:v>2725901.62527204</c:v>
                </c:pt>
                <c:pt idx="4">
                  <c:v>2667243.77233408</c:v>
                </c:pt>
                <c:pt idx="5">
                  <c:v>2610768.53254709</c:v>
                </c:pt>
                <c:pt idx="6">
                  <c:v>2556421.60018857</c:v>
                </c:pt>
                <c:pt idx="7">
                  <c:v>2504150.01939092</c:v>
                </c:pt>
                <c:pt idx="8">
                  <c:v>2453902.15062866</c:v>
                </c:pt>
                <c:pt idx="9">
                  <c:v>2405627.63803656</c:v>
                </c:pt>
                <c:pt idx="10">
                  <c:v>2359277.37753795</c:v>
                </c:pt>
                <c:pt idx="11">
                  <c:v>2314803.48576323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104872"/>
        <c:axId val="31063162"/>
      </c:lineChart>
      <c:catAx>
        <c:axId val="3063752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595083"/>
        <c:crosses val="autoZero"/>
        <c:auto val="1"/>
        <c:lblAlgn val="ctr"/>
        <c:lblOffset val="100"/>
        <c:noMultiLvlLbl val="0"/>
      </c:catAx>
      <c:valAx>
        <c:axId val="9659508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637528"/>
        <c:crosses val="autoZero"/>
        <c:crossBetween val="between"/>
      </c:valAx>
      <c:catAx>
        <c:axId val="17104872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063162"/>
        <c:crosses val="autoZero"/>
        <c:auto val="1"/>
        <c:lblAlgn val="ctr"/>
        <c:lblOffset val="100"/>
        <c:noMultiLvlLbl val="0"/>
      </c:catAx>
      <c:valAx>
        <c:axId val="31063162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10487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2915534.89583333</c:v>
                </c:pt>
                <c:pt idx="1">
                  <c:v>2849989.34982639</c:v>
                </c:pt>
                <c:pt idx="2">
                  <c:v>2786797.78130295</c:v>
                </c:pt>
                <c:pt idx="3">
                  <c:v>2725901.62527204</c:v>
                </c:pt>
                <c:pt idx="4">
                  <c:v>2667243.77233408</c:v>
                </c:pt>
                <c:pt idx="5">
                  <c:v>2610768.53254709</c:v>
                </c:pt>
                <c:pt idx="6">
                  <c:v>2556421.60018857</c:v>
                </c:pt>
                <c:pt idx="7">
                  <c:v>2504150.01939092</c:v>
                </c:pt>
                <c:pt idx="8">
                  <c:v>2453902.15062866</c:v>
                </c:pt>
                <c:pt idx="9">
                  <c:v>2405627.63803656</c:v>
                </c:pt>
                <c:pt idx="10">
                  <c:v>2359277.37753795</c:v>
                </c:pt>
                <c:pt idx="11">
                  <c:v>2314803.48576323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734.479166666667</c:v>
                </c:pt>
                <c:pt idx="1">
                  <c:v>1207.45052083333</c:v>
                </c:pt>
                <c:pt idx="2">
                  <c:v>1668.59759114583</c:v>
                </c:pt>
                <c:pt idx="3">
                  <c:v>2118.21598470052</c:v>
                </c:pt>
                <c:pt idx="4">
                  <c:v>2556.59391841634</c:v>
                </c:pt>
                <c:pt idx="5">
                  <c:v>2984.01240378927</c:v>
                </c:pt>
                <c:pt idx="6">
                  <c:v>3400.74542702787</c:v>
                </c:pt>
                <c:pt idx="7">
                  <c:v>3807.06012468551</c:v>
                </c:pt>
                <c:pt idx="8">
                  <c:v>4203.2169549017</c:v>
                </c:pt>
                <c:pt idx="9">
                  <c:v>4589.46986436249</c:v>
                </c:pt>
                <c:pt idx="10">
                  <c:v>4966.06645108676</c:v>
                </c:pt>
                <c:pt idx="11">
                  <c:v>5333.24812314293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19444.4444444444</c:v>
                </c:pt>
                <c:pt idx="1">
                  <c:v>18888.8888888889</c:v>
                </c:pt>
                <c:pt idx="2">
                  <c:v>18333.3333333333</c:v>
                </c:pt>
                <c:pt idx="3">
                  <c:v>17777.7777777778</c:v>
                </c:pt>
                <c:pt idx="4">
                  <c:v>17222.2222222222</c:v>
                </c:pt>
                <c:pt idx="5">
                  <c:v>16666.6666666667</c:v>
                </c:pt>
                <c:pt idx="6">
                  <c:v>16111.1111111111</c:v>
                </c:pt>
                <c:pt idx="7">
                  <c:v>15555.5555555556</c:v>
                </c:pt>
                <c:pt idx="8">
                  <c:v>15000</c:v>
                </c:pt>
                <c:pt idx="9">
                  <c:v>14444.4444444444</c:v>
                </c:pt>
                <c:pt idx="10">
                  <c:v>13888.8888888889</c:v>
                </c:pt>
                <c:pt idx="11">
                  <c:v>13333.3333333333</c:v>
                </c:pt>
              </c:numCache>
            </c:numRef>
          </c:val>
        </c:ser>
        <c:gapWidth val="60"/>
        <c:overlap val="100"/>
        <c:axId val="66339641"/>
        <c:axId val="94982237"/>
      </c:barChart>
      <c:lineChart>
        <c:grouping val="stacked"/>
        <c:varyColors val="0"/>
        <c:ser>
          <c:idx val="3"/>
          <c:order val="3"/>
          <c:tx>
            <c:strRef>
              <c:f>Summary!$A$52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Summary!$H$52:$S$52</c:f>
              <c:numCache>
                <c:formatCode>\$#,##0,;"($"#,##0,\);\-</c:formatCode>
                <c:ptCount val="12"/>
                <c:pt idx="0">
                  <c:v>2928171.75416667</c:v>
                </c:pt>
                <c:pt idx="1">
                  <c:v>2858840.66442361</c:v>
                </c:pt>
                <c:pt idx="2">
                  <c:v>2791944.58631469</c:v>
                </c:pt>
                <c:pt idx="3">
                  <c:v>2727422.92046177</c:v>
                </c:pt>
                <c:pt idx="4">
                  <c:v>2665216.57419381</c:v>
                </c:pt>
                <c:pt idx="5">
                  <c:v>2605267.92412745</c:v>
                </c:pt>
                <c:pt idx="6">
                  <c:v>2547520.77967577</c:v>
                </c:pt>
                <c:pt idx="7">
                  <c:v>2491920.34746195</c:v>
                </c:pt>
                <c:pt idx="8">
                  <c:v>2438413.19661569</c:v>
                </c:pt>
                <c:pt idx="9">
                  <c:v>2386947.22493037</c:v>
                </c:pt>
                <c:pt idx="10">
                  <c:v>2337471.62585973</c:v>
                </c:pt>
                <c:pt idx="11">
                  <c:v>2289936.85633317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339641"/>
        <c:axId val="94982237"/>
      </c:lineChart>
      <c:catAx>
        <c:axId val="6633964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982237"/>
        <c:crosses val="autoZero"/>
        <c:auto val="1"/>
        <c:lblAlgn val="ctr"/>
        <c:lblOffset val="100"/>
        <c:noMultiLvlLbl val="0"/>
      </c:catAx>
      <c:valAx>
        <c:axId val="9498223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3396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Scenarios!$B$30:$D$30</c:f>
              <c:numCache>
                <c:formatCode>\$#,##0,;"($"#,##0,\);\-</c:formatCode>
                <c:ptCount val="3"/>
                <c:pt idx="0">
                  <c:v>125924.626019004</c:v>
                </c:pt>
                <c:pt idx="1">
                  <c:v>280162.870849517</c:v>
                </c:pt>
                <c:pt idx="2">
                  <c:v>402920.185349924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225414.939184555</c:v>
                </c:pt>
                <c:pt idx="1">
                  <c:v>591123.330484019</c:v>
                </c:pt>
                <c:pt idx="2">
                  <c:v>979388.559956597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Scenarios!$B$29:$D$29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378410.09831737</c:v>
                </c:pt>
                <c:pt idx="1">
                  <c:v>1133100.31075438</c:v>
                </c:pt>
                <c:pt idx="2">
                  <c:v>2128410.73729818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612311"/>
        <c:axId val="5430096"/>
      </c:lineChart>
      <c:catAx>
        <c:axId val="9461231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30096"/>
        <c:crosses val="autoZero"/>
        <c:auto val="1"/>
        <c:lblAlgn val="ctr"/>
        <c:lblOffset val="100"/>
        <c:noMultiLvlLbl val="0"/>
      </c:catAx>
      <c:valAx>
        <c:axId val="54300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6123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Scenarios!$B$36:$D$36</c:f>
              <c:numCache>
                <c:formatCode>\$#,##0,;"($"#,##0,\);\-</c:formatCode>
                <c:ptCount val="3"/>
                <c:pt idx="0">
                  <c:v>-795768.276926783</c:v>
                </c:pt>
                <c:pt idx="1">
                  <c:v>-1105455.7700138</c:v>
                </c:pt>
                <c:pt idx="2">
                  <c:v>-1680568.60342434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-703396.477000165</c:v>
                </c:pt>
                <c:pt idx="1">
                  <c:v>-820672.963572839</c:v>
                </c:pt>
                <c:pt idx="2">
                  <c:v>-1156452.64650262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Scenarios!$B$35:$D$35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-558259.052952117</c:v>
                </c:pt>
                <c:pt idx="1">
                  <c:v>-311798.283759322</c:v>
                </c:pt>
                <c:pt idx="2">
                  <c:v>-84273.9887926618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8215428"/>
        <c:axId val="75949063"/>
      </c:lineChart>
      <c:catAx>
        <c:axId val="2821542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949063"/>
        <c:crosses val="autoZero"/>
        <c:auto val="1"/>
        <c:lblAlgn val="ctr"/>
        <c:lblOffset val="100"/>
        <c:noMultiLvlLbl val="0"/>
      </c:catAx>
      <c:valAx>
        <c:axId val="759490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2154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Scenarios!$B$42:$D$42</c:f>
              <c:numCache>
                <c:formatCode>\$#,##0,;"($"#,##0,\);\-</c:formatCode>
                <c:ptCount val="3"/>
                <c:pt idx="0">
                  <c:v>-802434.943593449</c:v>
                </c:pt>
                <c:pt idx="1">
                  <c:v>-1112122.43668047</c:v>
                </c:pt>
                <c:pt idx="2">
                  <c:v>-1687235.27009101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-710063.143666832</c:v>
                </c:pt>
                <c:pt idx="1">
                  <c:v>-827339.630239505</c:v>
                </c:pt>
                <c:pt idx="2">
                  <c:v>-1163119.31316928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Scenarios!$B$41:$D$41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-564925.719618784</c:v>
                </c:pt>
                <c:pt idx="1">
                  <c:v>-318464.950425989</c:v>
                </c:pt>
                <c:pt idx="2">
                  <c:v>-90940.6554593285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924457"/>
        <c:axId val="25552938"/>
      </c:lineChart>
      <c:catAx>
        <c:axId val="3492445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552938"/>
        <c:crosses val="autoZero"/>
        <c:auto val="1"/>
        <c:lblAlgn val="ctr"/>
        <c:lblOffset val="100"/>
        <c:noMultiLvlLbl val="0"/>
      </c:catAx>
      <c:valAx>
        <c:axId val="255529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9244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Scenarios!$B$48:$D$48</c:f>
              <c:numCache>
                <c:formatCode>\$#,##0,;"($"#,##0,\);\-</c:formatCode>
                <c:ptCount val="3"/>
                <c:pt idx="0">
                  <c:v>2204800.77938623</c:v>
                </c:pt>
                <c:pt idx="1">
                  <c:v>1112631.86476478</c:v>
                </c:pt>
                <c:pt idx="2">
                  <c:v>-556667.823183717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2314803.48576323</c:v>
                </c:pt>
                <c:pt idx="1">
                  <c:v>1529595.0687839</c:v>
                </c:pt>
                <c:pt idx="2">
                  <c:v>411980.553657166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Scenarios!$B$47:$D$47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2487622.22037006</c:v>
                </c:pt>
                <c:pt idx="1">
                  <c:v>2255241.49422263</c:v>
                </c:pt>
                <c:pt idx="2">
                  <c:v>2277434.84153472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3658251"/>
        <c:axId val="54438597"/>
      </c:lineChart>
      <c:catAx>
        <c:axId val="5365825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438597"/>
        <c:crosses val="autoZero"/>
        <c:auto val="1"/>
        <c:lblAlgn val="ctr"/>
        <c:lblOffset val="100"/>
        <c:noMultiLvlLbl val="0"/>
      </c:catAx>
      <c:valAx>
        <c:axId val="544385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6582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'Break-even'!$B$28:$D$28</c:f>
              <c:numCache>
                <c:formatCode>\$#,##0;"($"#,##0\);\-</c:formatCode>
                <c:ptCount val="3"/>
                <c:pt idx="0">
                  <c:v>225414.939184555</c:v>
                </c:pt>
                <c:pt idx="1">
                  <c:v>591123.330484019</c:v>
                </c:pt>
                <c:pt idx="2">
                  <c:v>979388.559956597</c:v>
                </c:pt>
              </c:numCache>
            </c:numRef>
          </c:val>
        </c:ser>
        <c:gapWidth val="60"/>
        <c:overlap val="0"/>
        <c:axId val="8574114"/>
        <c:axId val="82919128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'Break-even'!$B$26:$D$26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'Break-even'!$B$32:$D$32</c:f>
              <c:numCache>
                <c:formatCode>\$#,##0;"($"#,##0\);\-</c:formatCode>
                <c:ptCount val="3"/>
                <c:pt idx="0">
                  <c:v>1024574.50897584</c:v>
                </c:pt>
                <c:pt idx="1">
                  <c:v>1522813.38905384</c:v>
                </c:pt>
                <c:pt idx="2">
                  <c:v>2291221.11799251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74114"/>
        <c:axId val="82919128"/>
      </c:lineChart>
      <c:catAx>
        <c:axId val="857411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919128"/>
        <c:crosses val="autoZero"/>
        <c:auto val="1"/>
        <c:lblAlgn val="ctr"/>
        <c:lblOffset val="100"/>
        <c:noMultiLvlLbl val="0"/>
      </c:catAx>
      <c:valAx>
        <c:axId val="829191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741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3000000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665196.514236771</c:v>
                </c:pt>
                <c:pt idx="1">
                  <c:v>20000</c:v>
                </c:pt>
                <c:pt idx="2">
                  <c:v>-0</c:v>
                </c:pt>
                <c:pt idx="3">
                  <c:v>2314803.48576323</c:v>
                </c:pt>
              </c:numCache>
            </c:numRef>
          </c:val>
        </c:ser>
        <c:gapWidth val="60"/>
        <c:overlap val="0"/>
        <c:axId val="6874964"/>
        <c:axId val="47489108"/>
      </c:barChart>
      <c:catAx>
        <c:axId val="687496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489108"/>
        <c:crosses val="autoZero"/>
        <c:auto val="1"/>
        <c:lblAlgn val="ctr"/>
        <c:lblOffset val="100"/>
        <c:noMultiLvlLbl val="0"/>
      </c:catAx>
      <c:valAx>
        <c:axId val="4748910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7496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0.880170248332097</c:v>
                </c:pt>
                <c:pt idx="1">
                  <c:v>0.880843319110441</c:v>
                </c:pt>
                <c:pt idx="2">
                  <c:v>0.881555073030102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-3.12045190768953</c:v>
                </c:pt>
                <c:pt idx="1">
                  <c:v>-1.38832781798827</c:v>
                </c:pt>
                <c:pt idx="2">
                  <c:v>-1.18079043781547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-3.15002699570625</c:v>
                </c:pt>
                <c:pt idx="1">
                  <c:v>-1.39960578034041</c:v>
                </c:pt>
                <c:pt idx="2">
                  <c:v>-1.18759740589662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924412"/>
        <c:axId val="83187674"/>
      </c:lineChart>
      <c:catAx>
        <c:axId val="929244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187674"/>
        <c:crosses val="autoZero"/>
        <c:auto val="1"/>
        <c:lblAlgn val="ctr"/>
        <c:lblOffset val="100"/>
        <c:noMultiLvlLbl val="0"/>
      </c:catAx>
      <c:valAx>
        <c:axId val="831876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9244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-0.304294944101366</c:v>
                </c:pt>
                <c:pt idx="1">
                  <c:v>-0.53489796363007</c:v>
                </c:pt>
                <c:pt idx="2">
                  <c:v>-2.71723694533087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-0.310079791808689</c:v>
                </c:pt>
                <c:pt idx="1">
                  <c:v>-0.565664706235758</c:v>
                </c:pt>
                <c:pt idx="2">
                  <c:v>-3.88382335716016</c:v>
                </c:pt>
              </c:numCache>
            </c:numRef>
          </c:val>
        </c:ser>
        <c:gapWidth val="60"/>
        <c:overlap val="0"/>
        <c:axId val="34233231"/>
        <c:axId val="77579379"/>
      </c:barChart>
      <c:catAx>
        <c:axId val="3423323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579379"/>
        <c:crosses val="autoZero"/>
        <c:auto val="1"/>
        <c:lblAlgn val="ctr"/>
        <c:lblOffset val="100"/>
        <c:noMultiLvlLbl val="0"/>
      </c:catAx>
      <c:valAx>
        <c:axId val="7757937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2332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LTV ÷ CAC and CAC payback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KPIs!$A$42</c:f>
              <c:strCache>
                <c:ptCount val="1"/>
                <c:pt idx="0">
                  <c:v>LTV ÷ CAC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KPIs!$B$42:$D$42</c:f>
              <c:numCache>
                <c:formatCode>0.0\x</c:formatCode>
                <c:ptCount val="3"/>
                <c:pt idx="0">
                  <c:v>11.1280027628016</c:v>
                </c:pt>
                <c:pt idx="1">
                  <c:v>11.9837092380201</c:v>
                </c:pt>
                <c:pt idx="2">
                  <c:v>12.8975585213057</c:v>
                </c:pt>
              </c:numCache>
            </c:numRef>
          </c:val>
        </c:ser>
        <c:gapWidth val="60"/>
        <c:overlap val="0"/>
        <c:axId val="22604005"/>
        <c:axId val="89091025"/>
      </c:barChart>
      <c:lineChart>
        <c:grouping val="standard"/>
        <c:varyColors val="0"/>
        <c:ser>
          <c:idx val="1"/>
          <c:order val="1"/>
          <c:tx>
            <c:strRef>
              <c:f>KPIs!$A$43</c:f>
              <c:strCache>
                <c:ptCount val="1"/>
                <c:pt idx="0">
                  <c:v>CAC payback (months of gross profit)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KPIs!$B$43:$D$43</c:f>
              <c:numCache>
                <c:formatCode>#,##0.0;\(#,##0.0\);\-</c:formatCode>
                <c:ptCount val="3"/>
                <c:pt idx="0">
                  <c:v>2.99544617698687</c:v>
                </c:pt>
                <c:pt idx="1">
                  <c:v>2.78155391383984</c:v>
                </c:pt>
                <c:pt idx="2">
                  <c:v>2.58446846961536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311205"/>
        <c:axId val="3306437"/>
      </c:lineChart>
      <c:catAx>
        <c:axId val="2260400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091025"/>
        <c:crosses val="autoZero"/>
        <c:auto val="1"/>
        <c:lblAlgn val="ctr"/>
        <c:lblOffset val="100"/>
        <c:noMultiLvlLbl val="0"/>
      </c:catAx>
      <c:valAx>
        <c:axId val="890910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.0\x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604005"/>
        <c:crosses val="autoZero"/>
        <c:crossBetween val="between"/>
      </c:valAx>
      <c:catAx>
        <c:axId val="9231120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06437"/>
        <c:crosses val="autoZero"/>
        <c:auto val="1"/>
        <c:lblAlgn val="ctr"/>
        <c:lblOffset val="100"/>
        <c:noMultiLvlLbl val="0"/>
      </c:catAx>
      <c:valAx>
        <c:axId val="3306437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31120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New customers and customers lost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New customers in the year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#,##0.0;\(#,##0.0\);\-</c:formatCode>
                <c:ptCount val="3"/>
                <c:pt idx="0">
                  <c:v>357.333333333333</c:v>
                </c:pt>
                <c:pt idx="1">
                  <c:v>443.2</c:v>
                </c:pt>
                <c:pt idx="2">
                  <c:v>550.56</c:v>
                </c:pt>
              </c:numCache>
            </c:numRef>
          </c:val>
        </c:ser>
        <c:ser>
          <c:idx val="1"/>
          <c:order val="1"/>
          <c:tx>
            <c:strRef>
              <c:f>KPIs!$A$31</c:f>
              <c:strCache>
                <c:ptCount val="1"/>
                <c:pt idx="0">
                  <c:v>Customers lost in the year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KPIs!$B$31:$D$31</c:f>
              <c:numCache>
                <c:formatCode>#,##0.0;\(#,##0.0\);\-</c:formatCode>
                <c:ptCount val="3"/>
                <c:pt idx="0">
                  <c:v>-62.628257861905</c:v>
                </c:pt>
                <c:pt idx="1">
                  <c:v>-165.69686814907</c:v>
                </c:pt>
                <c:pt idx="2">
                  <c:v>-266.713560358673</c:v>
                </c:pt>
              </c:numCache>
            </c:numRef>
          </c:val>
        </c:ser>
        <c:gapWidth val="60"/>
        <c:overlap val="0"/>
        <c:axId val="44831323"/>
        <c:axId val="88461637"/>
      </c:barChart>
      <c:catAx>
        <c:axId val="4483132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461637"/>
        <c:crosses val="autoZero"/>
        <c:auto val="1"/>
        <c:lblAlgn val="ctr"/>
        <c:lblOffset val="100"/>
        <c:noMultiLvlLbl val="0"/>
      </c:catAx>
      <c:valAx>
        <c:axId val="8846163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83132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 WITH WARNINGS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 WITH WARNINGS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979388.559956597</v>
      </c>
      <c r="B7" s="25"/>
      <c r="C7" s="26" t="n">
        <f aca="false">D17</f>
        <v>-1.18079043781547</v>
      </c>
      <c r="D7" s="26"/>
      <c r="E7" s="26"/>
      <c r="F7" s="26"/>
      <c r="H7" s="25" t="n">
        <f aca="false">D18</f>
        <v>-1163119.31316928</v>
      </c>
      <c r="I7" s="25"/>
      <c r="J7" s="25"/>
      <c r="K7" s="25"/>
      <c r="L7" s="25" t="n">
        <f aca="false">F38</f>
        <v>411980.553657166</v>
      </c>
      <c r="M7" s="25"/>
      <c r="N7" s="25"/>
      <c r="O7" s="25"/>
      <c r="P7" s="25" t="n">
        <f aca="false">F36</f>
        <v>2813019.44634283</v>
      </c>
      <c r="Q7" s="25"/>
      <c r="R7" s="25"/>
      <c r="S7" s="25"/>
      <c r="T7" s="25" t="n">
        <f aca="false">F43</f>
        <v>-5101354.46189787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1.08442448399856</v>
      </c>
      <c r="B8" s="27"/>
      <c r="C8" s="28" t="n">
        <f aca="false">D16</f>
        <v>-1156452.64650262</v>
      </c>
      <c r="D8" s="28"/>
      <c r="E8" s="28"/>
      <c r="F8" s="28"/>
      <c r="H8" s="29" t="n">
        <f aca="false">D19</f>
        <v>-1.18759740589662</v>
      </c>
      <c r="I8" s="29"/>
      <c r="J8" s="29"/>
      <c r="K8" s="29"/>
      <c r="L8" s="30" t="n">
        <f aca="false">'Break-even'!B6</f>
        <v>36</v>
      </c>
      <c r="M8" s="30"/>
      <c r="N8" s="30"/>
      <c r="O8" s="30"/>
      <c r="P8" s="31" t="str">
        <f aca="false">IF(F37&gt;=0,"Covered by funding raised",-F37)</f>
        <v>Covered by funding raised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SUMIF(Monthly!$C$5:$AL$5,B$11,Monthly!$C$24:$AL$24)</f>
        <v>225414.939184555</v>
      </c>
      <c r="C12" s="36" t="n">
        <f aca="false">SUMIF(Monthly!$C$5:$AL$5,C$11,Monthly!$C$24:$AL$24)</f>
        <v>591123.330484019</v>
      </c>
      <c r="D12" s="36" t="n">
        <f aca="false">SUMIF(Monthly!$C$5:$AL$5,D$11,Monthly!$C$24:$AL$24)</f>
        <v>979388.559956597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SUMIF(Monthly!$C$5:$AL$5,B$11,Monthly!$C$26:$AL$26)</f>
        <v>198403.522999835</v>
      </c>
      <c r="C13" s="38" t="n">
        <f aca="false">SUMIF(Monthly!$C$5:$AL$5,C$11,Monthly!$C$26:$AL$26)</f>
        <v>520687.036427161</v>
      </c>
      <c r="D13" s="38" t="n">
        <f aca="false">SUMIF(Monthly!$C$5:$AL$5,D$11,Monthly!$C$26:$AL$26)</f>
        <v>863384.953497385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0.880170248332097</v>
      </c>
      <c r="C14" s="40" t="n">
        <f aca="false">IF(C12=0,0,C13/C12)</f>
        <v>0.880843319110441</v>
      </c>
      <c r="D14" s="40" t="n">
        <f aca="false">IF(D12=0,0,D13/D12)</f>
        <v>0.881555073030102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SUMIF(Monthly!$C$5:$AL$5,B$11,Monthly!$C$34:$AL$34)</f>
        <v>-901800</v>
      </c>
      <c r="C15" s="36" t="n">
        <f aca="false">SUMIF(Monthly!$C$5:$AL$5,C$11,Monthly!$C$34:$AL$34)</f>
        <v>-1341360</v>
      </c>
      <c r="D15" s="36" t="n">
        <f aca="false">SUMIF(Monthly!$C$5:$AL$5,D$11,Monthly!$C$34:$AL$34)</f>
        <v>-2019837.6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SUMIF(Monthly!$C$5:$AL$5,B$11,Monthly!$C$35:$AL$35)</f>
        <v>-703396.477000165</v>
      </c>
      <c r="C16" s="38" t="n">
        <f aca="false">SUMIF(Monthly!$C$5:$AL$5,C$11,Monthly!$C$35:$AL$35)</f>
        <v>-820672.963572839</v>
      </c>
      <c r="D16" s="38" t="n">
        <f aca="false">SUMIF(Monthly!$C$5:$AL$5,D$11,Monthly!$C$35:$AL$35)</f>
        <v>-1156452.64650262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-3.12045190768953</v>
      </c>
      <c r="C17" s="40" t="n">
        <f aca="false">IF(C12=0,0,C16/C12)</f>
        <v>-1.38832781798827</v>
      </c>
      <c r="D17" s="40" t="n">
        <f aca="false">IF(D12=0,0,D16/D12)</f>
        <v>-1.18079043781547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SUMIF(Monthly!$C$5:$AL$5,B$11,Monthly!$C$44:$AL$44)</f>
        <v>-710063.143666832</v>
      </c>
      <c r="C18" s="42" t="n">
        <f aca="false">SUMIF(Monthly!$C$5:$AL$5,C$11,Monthly!$C$44:$AL$44)</f>
        <v>-827339.630239505</v>
      </c>
      <c r="D18" s="42" t="n">
        <f aca="false">SUMIF(Monthly!$C$5:$AL$5,D$11,Monthly!$C$44:$AL$44)</f>
        <v>-1163119.31316928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-3.15002699570625</v>
      </c>
      <c r="C19" s="40" t="n">
        <f aca="false">IF(C12=0,0,C18/C12)</f>
        <v>-1.39960578034041</v>
      </c>
      <c r="D19" s="40" t="n">
        <f aca="false">IF(D12=0,0,D18/D12)</f>
        <v>-1.18759740589662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SUMIF(Monthly!$C$5:$AL$5,B$11,Monthly!$C$70:$AL$70)</f>
        <v>-665196.514236771</v>
      </c>
      <c r="C20" s="36" t="n">
        <f aca="false">SUMIF(Monthly!$C$5:$AL$5,C$11,Monthly!$C$70:$AL$70)</f>
        <v>-785208.41697933</v>
      </c>
      <c r="D20" s="36" t="n">
        <f aca="false">SUMIF(Monthly!$C$5:$AL$5,D$11,Monthly!$C$70:$AL$70)</f>
        <v>-1117614.51512673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SUMIF(Monthly!$C$5:$AL$5,B$11,Monthly!$C$71:$AL$71)</f>
        <v>-20000</v>
      </c>
      <c r="C21" s="36" t="n">
        <f aca="false">SUMIF(Monthly!$C$5:$AL$5,C$11,Monthly!$C$71:$AL$71)</f>
        <v>0</v>
      </c>
      <c r="D21" s="36" t="n">
        <f aca="false">SUMIF(Monthly!$C$5:$AL$5,D$11,Monthly!$C$71:$AL$71)</f>
        <v>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SUMIF(Monthly!$C$5:$AL$5,B$11,Monthly!$C$73:$AL$73)</f>
        <v>3000000</v>
      </c>
      <c r="C22" s="36" t="n">
        <f aca="false">SUMIF(Monthly!$C$5:$AL$5,C$11,Monthly!$C$73:$AL$73)</f>
        <v>0</v>
      </c>
      <c r="D22" s="36" t="n">
        <f aca="false">SUMIF(Monthly!$C$5:$AL$5,D$11,Monthly!$C$73:$AL$73)</f>
        <v>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SUMIF(Monthly!$C$5:$AL$5,B$11,Monthly!$C$74:$AL$74)</f>
        <v>2314803.48576323</v>
      </c>
      <c r="C23" s="38" t="n">
        <f aca="false">SUMIF(Monthly!$C$5:$AL$5,C$11,Monthly!$C$74:$AL$74)</f>
        <v>-785208.41697933</v>
      </c>
      <c r="D23" s="38" t="n">
        <f aca="false">SUMIF(Monthly!$C$5:$AL$5,D$11,Monthly!$C$74:$AL$74)</f>
        <v>-1117614.51512673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INDEX(Monthly!$C$76:$AL$76,B$11*12)</f>
        <v>2314803.48576323</v>
      </c>
      <c r="C24" s="42" t="n">
        <f aca="false">INDEX(Monthly!$C$76:$AL$76,C$11*12)</f>
        <v>1529595.0687839</v>
      </c>
      <c r="D24" s="42" t="n">
        <f aca="false">INDEX(Monthly!$C$76:$AL$76,D$11*12)</f>
        <v>411980.553657166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KPIs!B29</f>
        <v>324.705075471428</v>
      </c>
      <c r="C28" s="43" t="n">
        <f aca="false">KPIs!C29</f>
        <v>602.208207322359</v>
      </c>
      <c r="D28" s="43" t="n">
        <f aca="false">KPIs!D29</f>
        <v>886.054646963686</v>
      </c>
    </row>
    <row r="29" customFormat="false" ht="15" hidden="false" customHeight="false" outlineLevel="0" collapsed="false">
      <c r="A29" s="6" t="s">
        <v>59</v>
      </c>
      <c r="B29" s="36" t="n">
        <f aca="false">KPIs!B33</f>
        <v>397045.081766717</v>
      </c>
      <c r="C29" s="36" t="n">
        <f aca="false">KPIs!C33</f>
        <v>766645.333771572</v>
      </c>
      <c r="D29" s="36" t="n">
        <f aca="false">KPIs!D33</f>
        <v>1171790.94143235</v>
      </c>
    </row>
    <row r="30" customFormat="false" ht="15" hidden="false" customHeight="false" outlineLevel="0" collapsed="false">
      <c r="A30" s="6" t="s">
        <v>60</v>
      </c>
      <c r="B30" s="44" t="n">
        <f aca="false">KPIs!B42</f>
        <v>11.1280027628016</v>
      </c>
      <c r="C30" s="44" t="n">
        <f aca="false">KPIs!C42</f>
        <v>11.9837092380201</v>
      </c>
      <c r="D30" s="44" t="n">
        <f aca="false">KPIs!D42</f>
        <v>12.8975585213057</v>
      </c>
    </row>
    <row r="31" customFormat="false" ht="15" hidden="false" customHeight="false" outlineLevel="0" collapsed="false">
      <c r="A31" s="6" t="s">
        <v>61</v>
      </c>
      <c r="B31" s="45" t="n">
        <f aca="false">INDEX(Headcount!$C$12:$AL$12,B$27*12)</f>
        <v>6</v>
      </c>
      <c r="C31" s="45" t="n">
        <f aca="false">INDEX(Headcount!$C$12:$AL$12,C$27*12)</f>
        <v>9</v>
      </c>
      <c r="D31" s="45" t="n">
        <f aca="false">INDEX(Headcount!$C$12:$AL$12,D$27*12)</f>
        <v>13.5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6"/>
      <c r="C34" s="46"/>
      <c r="D34" s="46"/>
      <c r="E34" s="46"/>
      <c r="F34" s="47" t="n">
        <f aca="false">Inputs!$E$46</f>
        <v>3000000</v>
      </c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Inputs!$E$47</f>
        <v>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'Break-even'!B12</f>
        <v>2813019.44634283</v>
      </c>
    </row>
    <row r="37" customFormat="false" ht="15" hidden="false" customHeight="false" outlineLevel="0" collapsed="false">
      <c r="A37" s="37" t="s">
        <v>66</v>
      </c>
      <c r="B37" s="37"/>
      <c r="C37" s="37"/>
      <c r="D37" s="37"/>
      <c r="E37" s="37"/>
      <c r="F37" s="38" t="n">
        <f aca="false">'Break-even'!B17</f>
        <v>186980.553657165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36)</v>
      </c>
      <c r="B38" s="46"/>
      <c r="C38" s="46"/>
      <c r="D38" s="46"/>
      <c r="E38" s="46"/>
      <c r="F38" s="47" t="n">
        <f aca="false">'Break-even'!B18</f>
        <v>411980.553657166</v>
      </c>
    </row>
    <row r="39" customFormat="false" ht="15" hidden="false" customHeight="false" outlineLevel="0" collapsed="false">
      <c r="A39" s="6" t="s">
        <v>67</v>
      </c>
      <c r="B39" s="46"/>
      <c r="C39" s="46"/>
      <c r="D39" s="46"/>
      <c r="E39" s="46"/>
      <c r="F39" s="48" t="str">
        <f aca="false">'Break-even'!B21</f>
        <v>Not within horizon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str">
        <f aca="false">'Break-even'!B23</f>
        <v>Not within horizon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7" t="n">
        <f aca="false">Valuation!B27</f>
        <v>-5428065.11287869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Valuation!C27</f>
        <v>-4774643.81091704</v>
      </c>
    </row>
    <row r="43" customFormat="false" ht="15" hidden="false" customHeight="false" outlineLevel="0" collapsed="false">
      <c r="A43" s="41" t="s">
        <v>71</v>
      </c>
      <c r="B43" s="41"/>
      <c r="C43" s="41"/>
      <c r="D43" s="41"/>
      <c r="E43" s="41"/>
      <c r="F43" s="42" t="n">
        <f aca="false">Valuation!B30</f>
        <v>-5101354.46189787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9" t="n">
        <v>1</v>
      </c>
      <c r="S2" s="49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0" t="n">
        <f aca="false">INDEX(Monthly!$C$4:$AL$4,($R$2-1)*12+1)</f>
        <v>1</v>
      </c>
      <c r="I6" s="50" t="n">
        <f aca="false">INDEX(Monthly!$C$4:$AL$4,($R$2-1)*12+2)</f>
        <v>2</v>
      </c>
      <c r="J6" s="50" t="n">
        <f aca="false">INDEX(Monthly!$C$4:$AL$4,($R$2-1)*12+3)</f>
        <v>3</v>
      </c>
      <c r="K6" s="50" t="n">
        <f aca="false">INDEX(Monthly!$C$4:$AL$4,($R$2-1)*12+4)</f>
        <v>4</v>
      </c>
      <c r="L6" s="50" t="n">
        <f aca="false">INDEX(Monthly!$C$4:$AL$4,($R$2-1)*12+5)</f>
        <v>5</v>
      </c>
      <c r="M6" s="50" t="n">
        <f aca="false">INDEX(Monthly!$C$4:$AL$4,($R$2-1)*12+6)</f>
        <v>6</v>
      </c>
      <c r="N6" s="50" t="n">
        <f aca="false">INDEX(Monthly!$C$4:$AL$4,($R$2-1)*12+7)</f>
        <v>7</v>
      </c>
      <c r="O6" s="50" t="n">
        <f aca="false">INDEX(Monthly!$C$4:$AL$4,($R$2-1)*12+8)</f>
        <v>8</v>
      </c>
      <c r="P6" s="50" t="n">
        <f aca="false">INDEX(Monthly!$C$4:$AL$4,($R$2-1)*12+9)</f>
        <v>9</v>
      </c>
      <c r="Q6" s="50" t="n">
        <f aca="false">INDEX(Monthly!$C$4:$AL$4,($R$2-1)*12+10)</f>
        <v>10</v>
      </c>
      <c r="R6" s="50" t="n">
        <f aca="false">INDEX(Monthly!$C$4:$AL$4,($R$2-1)*12+11)</f>
        <v>11</v>
      </c>
      <c r="S6" s="50" t="n">
        <f aca="false">INDEX(Monthly!$C$4:$AL$4,($R$2-1)*12+12)</f>
        <v>12</v>
      </c>
    </row>
    <row r="7" customFormat="false" ht="15" hidden="false" customHeight="false" outlineLevel="0" collapsed="false">
      <c r="A7" s="51" t="s">
        <v>44</v>
      </c>
      <c r="B7" s="36" t="n">
        <f aca="false">'P&amp;L'!B5</f>
        <v>225414.939184555</v>
      </c>
      <c r="C7" s="36" t="n">
        <f aca="false">'P&amp;L'!C5</f>
        <v>591123.330484019</v>
      </c>
      <c r="D7" s="36" t="n">
        <f aca="false">'P&amp;L'!D5</f>
        <v>979388.559956597</v>
      </c>
      <c r="H7" s="36" t="n">
        <f aca="false">INDEX(Monthly!$C$24:$AL$24,($R$2-1)*12+1)</f>
        <v>4406.875</v>
      </c>
      <c r="I7" s="36" t="n">
        <f aca="false">INDEX(Monthly!$C$24:$AL$24,($R$2-1)*12+2)</f>
        <v>7244.703125</v>
      </c>
      <c r="J7" s="36" t="n">
        <f aca="false">INDEX(Monthly!$C$24:$AL$24,($R$2-1)*12+3)</f>
        <v>10011.585546875</v>
      </c>
      <c r="K7" s="36" t="n">
        <f aca="false">INDEX(Monthly!$C$24:$AL$24,($R$2-1)*12+4)</f>
        <v>12709.2959082031</v>
      </c>
      <c r="L7" s="36" t="n">
        <f aca="false">INDEX(Monthly!$C$24:$AL$24,($R$2-1)*12+5)</f>
        <v>15339.563510498</v>
      </c>
      <c r="M7" s="36" t="n">
        <f aca="false">INDEX(Monthly!$C$24:$AL$24,($R$2-1)*12+6)</f>
        <v>17904.0744227356</v>
      </c>
      <c r="N7" s="36" t="n">
        <f aca="false">INDEX(Monthly!$C$24:$AL$24,($R$2-1)*12+7)</f>
        <v>20404.4725621672</v>
      </c>
      <c r="O7" s="36" t="n">
        <f aca="false">INDEX(Monthly!$C$24:$AL$24,($R$2-1)*12+8)</f>
        <v>22842.360748113</v>
      </c>
      <c r="P7" s="36" t="n">
        <f aca="false">INDEX(Monthly!$C$24:$AL$24,($R$2-1)*12+9)</f>
        <v>25219.3017294102</v>
      </c>
      <c r="Q7" s="36" t="n">
        <f aca="false">INDEX(Monthly!$C$24:$AL$24,($R$2-1)*12+10)</f>
        <v>27536.819186175</v>
      </c>
      <c r="R7" s="36" t="n">
        <f aca="false">INDEX(Monthly!$C$24:$AL$24,($R$2-1)*12+11)</f>
        <v>29796.3987065206</v>
      </c>
      <c r="S7" s="36" t="n">
        <f aca="false">INDEX(Monthly!$C$24:$AL$24,($R$2-1)*12+12)</f>
        <v>31999.4887388576</v>
      </c>
    </row>
    <row r="8" customFormat="false" ht="15" hidden="false" customHeight="false" outlineLevel="0" collapsed="false">
      <c r="A8" s="51" t="s">
        <v>75</v>
      </c>
      <c r="B8" s="36" t="n">
        <f aca="false">'P&amp;L'!B6</f>
        <v>-27011.4161847206</v>
      </c>
      <c r="C8" s="36" t="n">
        <f aca="false">'P&amp;L'!C6</f>
        <v>-70436.2940568575</v>
      </c>
      <c r="D8" s="36" t="n">
        <f aca="false">'P&amp;L'!D6</f>
        <v>-116003.606459213</v>
      </c>
      <c r="H8" s="36" t="n">
        <f aca="false">INDEX(Monthly!$C$25:$AL$25,($R$2-1)*12+1)</f>
        <v>-529.565277777778</v>
      </c>
      <c r="I8" s="36" t="n">
        <f aca="false">INDEX(Monthly!$C$25:$AL$25,($R$2-1)*12+2)</f>
        <v>-870.2373125</v>
      </c>
      <c r="J8" s="36" t="n">
        <f aca="false">INDEX(Monthly!$C$25:$AL$25,($R$2-1)*12+3)</f>
        <v>-1202.10810024306</v>
      </c>
      <c r="K8" s="36" t="n">
        <f aca="false">INDEX(Monthly!$C$25:$AL$25,($R$2-1)*12+4)</f>
        <v>-1525.40620556476</v>
      </c>
      <c r="L8" s="36" t="n">
        <f aca="false">INDEX(Monthly!$C$25:$AL$25,($R$2-1)*12+5)</f>
        <v>-1840.35422290747</v>
      </c>
      <c r="M8" s="36" t="n">
        <f aca="false">INDEX(Monthly!$C$25:$AL$25,($R$2-1)*12+6)</f>
        <v>-2147.16893353105</v>
      </c>
      <c r="N8" s="36" t="n">
        <f aca="false">INDEX(Monthly!$C$25:$AL$25,($R$2-1)*12+7)</f>
        <v>-2446.06145829204</v>
      </c>
      <c r="O8" s="36" t="n">
        <f aca="false">INDEX(Monthly!$C$25:$AL$25,($R$2-1)*12+8)</f>
        <v>-2737.23740637992</v>
      </c>
      <c r="P8" s="36" t="n">
        <f aca="false">INDEX(Monthly!$C$25:$AL$25,($R$2-1)*12+9)</f>
        <v>-3020.89702011814</v>
      </c>
      <c r="Q8" s="36" t="n">
        <f aca="false">INDEX(Monthly!$C$25:$AL$25,($R$2-1)*12+10)</f>
        <v>-3297.23531593485</v>
      </c>
      <c r="R8" s="36" t="n">
        <f aca="false">INDEX(Monthly!$C$25:$AL$25,($R$2-1)*12+11)</f>
        <v>-3566.44222160545</v>
      </c>
      <c r="S8" s="36" t="n">
        <f aca="false">INDEX(Monthly!$C$25:$AL$25,($R$2-1)*12+12)</f>
        <v>-3828.7027098661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198403.522999835</v>
      </c>
      <c r="C9" s="38" t="n">
        <f aca="false">'P&amp;L'!C7</f>
        <v>520687.036427161</v>
      </c>
      <c r="D9" s="38" t="n">
        <f aca="false">'P&amp;L'!D7</f>
        <v>863384.953497385</v>
      </c>
      <c r="E9" s="37"/>
      <c r="F9" s="37"/>
      <c r="H9" s="38" t="n">
        <f aca="false">INDEX(Monthly!$C$26:$AL$26,($R$2-1)*12+1)</f>
        <v>3877.30972222222</v>
      </c>
      <c r="I9" s="38" t="n">
        <f aca="false">INDEX(Monthly!$C$26:$AL$26,($R$2-1)*12+2)</f>
        <v>6374.4658125</v>
      </c>
      <c r="J9" s="38" t="n">
        <f aca="false">INDEX(Monthly!$C$26:$AL$26,($R$2-1)*12+3)</f>
        <v>8809.47744663194</v>
      </c>
      <c r="K9" s="38" t="n">
        <f aca="false">INDEX(Monthly!$C$26:$AL$26,($R$2-1)*12+4)</f>
        <v>11183.8897026384</v>
      </c>
      <c r="L9" s="38" t="n">
        <f aca="false">INDEX(Monthly!$C$26:$AL$26,($R$2-1)*12+5)</f>
        <v>13499.2092875906</v>
      </c>
      <c r="M9" s="38" t="n">
        <f aca="false">INDEX(Monthly!$C$26:$AL$26,($R$2-1)*12+6)</f>
        <v>15756.9054892045</v>
      </c>
      <c r="N9" s="38" t="n">
        <f aca="false">INDEX(Monthly!$C$26:$AL$26,($R$2-1)*12+7)</f>
        <v>17958.4111038752</v>
      </c>
      <c r="O9" s="38" t="n">
        <f aca="false">INDEX(Monthly!$C$26:$AL$26,($R$2-1)*12+8)</f>
        <v>20105.1233417331</v>
      </c>
      <c r="P9" s="38" t="n">
        <f aca="false">INDEX(Monthly!$C$26:$AL$26,($R$2-1)*12+9)</f>
        <v>22198.4047092921</v>
      </c>
      <c r="Q9" s="38" t="n">
        <f aca="false">INDEX(Monthly!$C$26:$AL$26,($R$2-1)*12+10)</f>
        <v>24239.5838702401</v>
      </c>
      <c r="R9" s="38" t="n">
        <f aca="false">INDEX(Monthly!$C$26:$AL$26,($R$2-1)*12+11)</f>
        <v>26229.9564849151</v>
      </c>
      <c r="S9" s="38" t="n">
        <f aca="false">INDEX(Monthly!$C$26:$AL$26,($R$2-1)*12+12)</f>
        <v>28170.7860289915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0.880170248332097</v>
      </c>
      <c r="C10" s="40" t="n">
        <f aca="false">'P&amp;L'!C8</f>
        <v>0.880843319110441</v>
      </c>
      <c r="D10" s="40" t="n">
        <f aca="false">'P&amp;L'!D8</f>
        <v>0.881555073030102</v>
      </c>
      <c r="H10" s="40" t="n">
        <f aca="false">IF(H7=0,0,H9/H7)</f>
        <v>0.879832017523125</v>
      </c>
      <c r="I10" s="40" t="n">
        <f aca="false">IF(I7=0,0,I9/I7)</f>
        <v>0.879879506794835</v>
      </c>
      <c r="J10" s="40" t="n">
        <f aca="false">IF(J7=0,0,J9/J7)</f>
        <v>0.879928299607021</v>
      </c>
      <c r="K10" s="40" t="n">
        <f aca="false">IF(K7=0,0,K9/K7)</f>
        <v>0.879977127247451</v>
      </c>
      <c r="L10" s="40" t="n">
        <f aca="false">IF(L7=0,0,L9/L7)</f>
        <v>0.880025645993905</v>
      </c>
      <c r="M10" s="40" t="n">
        <f aca="false">IF(M7=0,0,M9/M7)</f>
        <v>0.880073726078548</v>
      </c>
      <c r="N10" s="40" t="n">
        <f aca="false">IF(N7=0,0,N9/N7)</f>
        <v>0.88012130914732</v>
      </c>
      <c r="O10" s="40" t="n">
        <f aca="false">IF(O7=0,0,O9/O7)</f>
        <v>0.880168366283855</v>
      </c>
      <c r="P10" s="40" t="n">
        <f aca="false">IF(P7=0,0,P9/P7)</f>
        <v>0.880214882532008</v>
      </c>
      <c r="Q10" s="40" t="n">
        <f aca="false">IF(Q7=0,0,Q9/Q7)</f>
        <v>0.880260850258615</v>
      </c>
      <c r="R10" s="40" t="n">
        <f aca="false">IF(R7=0,0,R9/R7)</f>
        <v>0.88030626597754</v>
      </c>
      <c r="S10" s="40" t="n">
        <f aca="false">IF(S7=0,0,S9/S7)</f>
        <v>0.880351128697352</v>
      </c>
    </row>
    <row r="11" customFormat="false" ht="15" hidden="false" customHeight="false" outlineLevel="0" collapsed="false">
      <c r="A11" s="51" t="s">
        <v>76</v>
      </c>
      <c r="B11" s="36" t="n">
        <f aca="false">'P&amp;L'!B14</f>
        <v>-901800</v>
      </c>
      <c r="C11" s="36" t="n">
        <f aca="false">'P&amp;L'!C14</f>
        <v>-1341360</v>
      </c>
      <c r="D11" s="36" t="n">
        <f aca="false">'P&amp;L'!D14</f>
        <v>-2019837.6</v>
      </c>
      <c r="H11" s="36" t="n">
        <f aca="false">INDEX(Monthly!$C$34:$AL$34,($R$2-1)*12+1)</f>
        <v>-75150</v>
      </c>
      <c r="I11" s="36" t="n">
        <f aca="false">INDEX(Monthly!$C$34:$AL$34,($R$2-1)*12+2)</f>
        <v>-75150</v>
      </c>
      <c r="J11" s="36" t="n">
        <f aca="false">INDEX(Monthly!$C$34:$AL$34,($R$2-1)*12+3)</f>
        <v>-75150</v>
      </c>
      <c r="K11" s="36" t="n">
        <f aca="false">INDEX(Monthly!$C$34:$AL$34,($R$2-1)*12+4)</f>
        <v>-75150</v>
      </c>
      <c r="L11" s="36" t="n">
        <f aca="false">INDEX(Monthly!$C$34:$AL$34,($R$2-1)*12+5)</f>
        <v>-75150</v>
      </c>
      <c r="M11" s="36" t="n">
        <f aca="false">INDEX(Monthly!$C$34:$AL$34,($R$2-1)*12+6)</f>
        <v>-75150</v>
      </c>
      <c r="N11" s="36" t="n">
        <f aca="false">INDEX(Monthly!$C$34:$AL$34,($R$2-1)*12+7)</f>
        <v>-75150</v>
      </c>
      <c r="O11" s="36" t="n">
        <f aca="false">INDEX(Monthly!$C$34:$AL$34,($R$2-1)*12+8)</f>
        <v>-75150</v>
      </c>
      <c r="P11" s="36" t="n">
        <f aca="false">INDEX(Monthly!$C$34:$AL$34,($R$2-1)*12+9)</f>
        <v>-75150</v>
      </c>
      <c r="Q11" s="36" t="n">
        <f aca="false">INDEX(Monthly!$C$34:$AL$34,($R$2-1)*12+10)</f>
        <v>-75150</v>
      </c>
      <c r="R11" s="36" t="n">
        <f aca="false">INDEX(Monthly!$C$34:$AL$34,($R$2-1)*12+11)</f>
        <v>-75150</v>
      </c>
      <c r="S11" s="36" t="n">
        <f aca="false">INDEX(Monthly!$C$34:$AL$34,($R$2-1)*12+12)</f>
        <v>-75150</v>
      </c>
    </row>
    <row r="12" customFormat="false" ht="15" hidden="false" customHeight="false" outlineLevel="0" collapsed="false">
      <c r="A12" s="37" t="s">
        <v>48</v>
      </c>
      <c r="B12" s="38" t="n">
        <f aca="false">'P&amp;L'!B15</f>
        <v>-703396.477000165</v>
      </c>
      <c r="C12" s="38" t="n">
        <f aca="false">'P&amp;L'!C15</f>
        <v>-820672.963572839</v>
      </c>
      <c r="D12" s="38" t="n">
        <f aca="false">'P&amp;L'!D15</f>
        <v>-1156452.64650262</v>
      </c>
      <c r="E12" s="37"/>
      <c r="F12" s="37"/>
      <c r="H12" s="38" t="n">
        <f aca="false">INDEX(Monthly!$C$35:$AL$35,($R$2-1)*12+1)</f>
        <v>-71272.6902777778</v>
      </c>
      <c r="I12" s="38" t="n">
        <f aca="false">INDEX(Monthly!$C$35:$AL$35,($R$2-1)*12+2)</f>
        <v>-68775.5341875</v>
      </c>
      <c r="J12" s="38" t="n">
        <f aca="false">INDEX(Monthly!$C$35:$AL$35,($R$2-1)*12+3)</f>
        <v>-66340.5225533681</v>
      </c>
      <c r="K12" s="38" t="n">
        <f aca="false">INDEX(Monthly!$C$35:$AL$35,($R$2-1)*12+4)</f>
        <v>-63966.1102973616</v>
      </c>
      <c r="L12" s="38" t="n">
        <f aca="false">INDEX(Monthly!$C$35:$AL$35,($R$2-1)*12+5)</f>
        <v>-61650.7907124094</v>
      </c>
      <c r="M12" s="38" t="n">
        <f aca="false">INDEX(Monthly!$C$35:$AL$35,($R$2-1)*12+6)</f>
        <v>-59393.0945107955</v>
      </c>
      <c r="N12" s="38" t="n">
        <f aca="false">INDEX(Monthly!$C$35:$AL$35,($R$2-1)*12+7)</f>
        <v>-57191.5888961248</v>
      </c>
      <c r="O12" s="38" t="n">
        <f aca="false">INDEX(Monthly!$C$35:$AL$35,($R$2-1)*12+8)</f>
        <v>-55044.8766582669</v>
      </c>
      <c r="P12" s="38" t="n">
        <f aca="false">INDEX(Monthly!$C$35:$AL$35,($R$2-1)*12+9)</f>
        <v>-52951.5952907079</v>
      </c>
      <c r="Q12" s="38" t="n">
        <f aca="false">INDEX(Monthly!$C$35:$AL$35,($R$2-1)*12+10)</f>
        <v>-50910.4161297599</v>
      </c>
      <c r="R12" s="38" t="n">
        <f aca="false">INDEX(Monthly!$C$35:$AL$35,($R$2-1)*12+11)</f>
        <v>-48920.0435150849</v>
      </c>
      <c r="S12" s="38" t="n">
        <f aca="false">INDEX(Monthly!$C$35:$AL$35,($R$2-1)*12+12)</f>
        <v>-46979.2139710086</v>
      </c>
    </row>
    <row r="13" customFormat="false" ht="15" hidden="false" customHeight="false" outlineLevel="0" collapsed="false">
      <c r="A13" s="39" t="s">
        <v>49</v>
      </c>
      <c r="B13" s="40" t="n">
        <f aca="false">'P&amp;L'!B16</f>
        <v>-3.12045190768953</v>
      </c>
      <c r="C13" s="40" t="n">
        <f aca="false">'P&amp;L'!C16</f>
        <v>-1.38832781798827</v>
      </c>
      <c r="D13" s="40" t="n">
        <f aca="false">'P&amp;L'!D16</f>
        <v>-1.18079043781547</v>
      </c>
      <c r="H13" s="40" t="n">
        <f aca="false">IF(H7=0,0,H12/H7)</f>
        <v>-16.173068280307</v>
      </c>
      <c r="I13" s="40" t="n">
        <f aca="false">IF(I7=0,0,I12/I7)</f>
        <v>-9.49321635418981</v>
      </c>
      <c r="J13" s="40" t="n">
        <f aca="false">IF(J7=0,0,J12/J7)</f>
        <v>-6.62637523724456</v>
      </c>
      <c r="K13" s="40" t="n">
        <f aca="false">IF(K7=0,0,K12/K7)</f>
        <v>-5.03301762421592</v>
      </c>
      <c r="L13" s="40" t="n">
        <f aca="false">IF(L7=0,0,L12/L7)</f>
        <v>-4.0190707297647</v>
      </c>
      <c r="M13" s="40" t="n">
        <f aca="false">IF(M7=0,0,M12/M7)</f>
        <v>-3.31729488542422</v>
      </c>
      <c r="N13" s="40" t="n">
        <f aca="false">IF(N7=0,0,N12/N7)</f>
        <v>-2.80289474387915</v>
      </c>
      <c r="O13" s="40" t="n">
        <f aca="false">IF(O7=0,0,O12/O7)</f>
        <v>-2.40977179483579</v>
      </c>
      <c r="P13" s="40" t="n">
        <f aca="false">IF(P7=0,0,P12/P7)</f>
        <v>-2.09964557539501</v>
      </c>
      <c r="Q13" s="40" t="n">
        <f aca="false">IF(Q7=0,0,Q12/Q7)</f>
        <v>-1.84881252208388</v>
      </c>
      <c r="R13" s="40" t="n">
        <f aca="false">IF(R7=0,0,R12/R7)</f>
        <v>-1.64181060929284</v>
      </c>
      <c r="S13" s="40" t="n">
        <f aca="false">IF(S7=0,0,S12/S7)</f>
        <v>-1.46812389267835</v>
      </c>
    </row>
    <row r="14" customFormat="false" ht="15" hidden="false" customHeight="false" outlineLevel="0" collapsed="false">
      <c r="A14" s="51" t="s">
        <v>77</v>
      </c>
      <c r="B14" s="36" t="n">
        <f aca="false">'P&amp;L'!B17</f>
        <v>-6666.66666666667</v>
      </c>
      <c r="C14" s="36" t="n">
        <f aca="false">'P&amp;L'!C17</f>
        <v>-6666.66666666667</v>
      </c>
      <c r="D14" s="36" t="n">
        <f aca="false">'P&amp;L'!D17</f>
        <v>-6666.66666666667</v>
      </c>
      <c r="H14" s="36" t="n">
        <f aca="false">INDEX(Monthly!$C$49:$AL$49,($R$2-1)*12+1)</f>
        <v>-555.555555555556</v>
      </c>
      <c r="I14" s="36" t="n">
        <f aca="false">INDEX(Monthly!$C$49:$AL$49,($R$2-1)*12+2)</f>
        <v>-555.555555555556</v>
      </c>
      <c r="J14" s="36" t="n">
        <f aca="false">INDEX(Monthly!$C$49:$AL$49,($R$2-1)*12+3)</f>
        <v>-555.555555555556</v>
      </c>
      <c r="K14" s="36" t="n">
        <f aca="false">INDEX(Monthly!$C$49:$AL$49,($R$2-1)*12+4)</f>
        <v>-555.555555555556</v>
      </c>
      <c r="L14" s="36" t="n">
        <f aca="false">INDEX(Monthly!$C$49:$AL$49,($R$2-1)*12+5)</f>
        <v>-555.555555555556</v>
      </c>
      <c r="M14" s="36" t="n">
        <f aca="false">INDEX(Monthly!$C$49:$AL$49,($R$2-1)*12+6)</f>
        <v>-555.555555555556</v>
      </c>
      <c r="N14" s="36" t="n">
        <f aca="false">INDEX(Monthly!$C$49:$AL$49,($R$2-1)*12+7)</f>
        <v>-555.555555555556</v>
      </c>
      <c r="O14" s="36" t="n">
        <f aca="false">INDEX(Monthly!$C$49:$AL$49,($R$2-1)*12+8)</f>
        <v>-555.555555555556</v>
      </c>
      <c r="P14" s="36" t="n">
        <f aca="false">INDEX(Monthly!$C$49:$AL$49,($R$2-1)*12+9)</f>
        <v>-555.555555555556</v>
      </c>
      <c r="Q14" s="36" t="n">
        <f aca="false">INDEX(Monthly!$C$49:$AL$49,($R$2-1)*12+10)</f>
        <v>-555.555555555556</v>
      </c>
      <c r="R14" s="36" t="n">
        <f aca="false">INDEX(Monthly!$C$49:$AL$49,($R$2-1)*12+11)</f>
        <v>-555.555555555556</v>
      </c>
      <c r="S14" s="36" t="n">
        <f aca="false">INDEX(Monthly!$C$49:$AL$49,($R$2-1)*12+12)</f>
        <v>-555.555555555556</v>
      </c>
    </row>
    <row r="15" customFormat="false" ht="15" hidden="false" customHeight="false" outlineLevel="0" collapsed="false">
      <c r="A15" s="37" t="s">
        <v>78</v>
      </c>
      <c r="B15" s="38" t="n">
        <f aca="false">'P&amp;L'!B18</f>
        <v>-710063.143666832</v>
      </c>
      <c r="C15" s="38" t="n">
        <f aca="false">'P&amp;L'!C18</f>
        <v>-827339.630239505</v>
      </c>
      <c r="D15" s="38" t="n">
        <f aca="false">'P&amp;L'!D18</f>
        <v>-1163119.31316928</v>
      </c>
      <c r="E15" s="37"/>
      <c r="F15" s="37"/>
      <c r="H15" s="38" t="n">
        <f aca="false">INDEX(Monthly!$C$38:$AL$38,($R$2-1)*12+1)</f>
        <v>-71828.2458333333</v>
      </c>
      <c r="I15" s="38" t="n">
        <f aca="false">INDEX(Monthly!$C$38:$AL$38,($R$2-1)*12+2)</f>
        <v>-69331.0897430556</v>
      </c>
      <c r="J15" s="38" t="n">
        <f aca="false">INDEX(Monthly!$C$38:$AL$38,($R$2-1)*12+3)</f>
        <v>-66896.0781089236</v>
      </c>
      <c r="K15" s="38" t="n">
        <f aca="false">INDEX(Monthly!$C$38:$AL$38,($R$2-1)*12+4)</f>
        <v>-64521.6658529172</v>
      </c>
      <c r="L15" s="38" t="n">
        <f aca="false">INDEX(Monthly!$C$38:$AL$38,($R$2-1)*12+5)</f>
        <v>-62206.346267965</v>
      </c>
      <c r="M15" s="38" t="n">
        <f aca="false">INDEX(Monthly!$C$38:$AL$38,($R$2-1)*12+6)</f>
        <v>-59948.650066351</v>
      </c>
      <c r="N15" s="38" t="n">
        <f aca="false">INDEX(Monthly!$C$38:$AL$38,($R$2-1)*12+7)</f>
        <v>-57747.1444516804</v>
      </c>
      <c r="O15" s="38" t="n">
        <f aca="false">INDEX(Monthly!$C$38:$AL$38,($R$2-1)*12+8)</f>
        <v>-55600.4322138224</v>
      </c>
      <c r="P15" s="38" t="n">
        <f aca="false">INDEX(Monthly!$C$38:$AL$38,($R$2-1)*12+9)</f>
        <v>-53507.1508462635</v>
      </c>
      <c r="Q15" s="38" t="n">
        <f aca="false">INDEX(Monthly!$C$38:$AL$38,($R$2-1)*12+10)</f>
        <v>-51465.9716853155</v>
      </c>
      <c r="R15" s="38" t="n">
        <f aca="false">INDEX(Monthly!$C$38:$AL$38,($R$2-1)*12+11)</f>
        <v>-49475.5990706404</v>
      </c>
      <c r="S15" s="38" t="n">
        <f aca="false">INDEX(Monthly!$C$38:$AL$38,($R$2-1)*12+12)</f>
        <v>-47534.7695265641</v>
      </c>
    </row>
    <row r="16" customFormat="false" ht="15" hidden="false" customHeight="false" outlineLevel="0" collapsed="false">
      <c r="A16" s="51" t="s">
        <v>79</v>
      </c>
      <c r="B16" s="36" t="n">
        <f aca="false">'P&amp;L'!B19</f>
        <v>0</v>
      </c>
      <c r="C16" s="36" t="n">
        <f aca="false">'P&amp;L'!C19</f>
        <v>0</v>
      </c>
      <c r="D16" s="36" t="n">
        <f aca="false">'P&amp;L'!D19</f>
        <v>0</v>
      </c>
      <c r="H16" s="36" t="n">
        <f aca="false">INDEX(Monthly!$C$39:$AL$39,($R$2-1)*12+1)</f>
        <v>-0</v>
      </c>
      <c r="I16" s="36" t="n">
        <f aca="false">INDEX(Monthly!$C$39:$AL$39,($R$2-1)*12+2)</f>
        <v>-0</v>
      </c>
      <c r="J16" s="36" t="n">
        <f aca="false">INDEX(Monthly!$C$39:$AL$39,($R$2-1)*12+3)</f>
        <v>-0</v>
      </c>
      <c r="K16" s="36" t="n">
        <f aca="false">INDEX(Monthly!$C$39:$AL$39,($R$2-1)*12+4)</f>
        <v>-0</v>
      </c>
      <c r="L16" s="36" t="n">
        <f aca="false">INDEX(Monthly!$C$39:$AL$39,($R$2-1)*12+5)</f>
        <v>-0</v>
      </c>
      <c r="M16" s="36" t="n">
        <f aca="false">INDEX(Monthly!$C$39:$AL$39,($R$2-1)*12+6)</f>
        <v>-0</v>
      </c>
      <c r="N16" s="36" t="n">
        <f aca="false">INDEX(Monthly!$C$39:$AL$39,($R$2-1)*12+7)</f>
        <v>-0</v>
      </c>
      <c r="O16" s="36" t="n">
        <f aca="false">INDEX(Monthly!$C$39:$AL$39,($R$2-1)*12+8)</f>
        <v>-0</v>
      </c>
      <c r="P16" s="36" t="n">
        <f aca="false">INDEX(Monthly!$C$39:$AL$39,($R$2-1)*12+9)</f>
        <v>-0</v>
      </c>
      <c r="Q16" s="36" t="n">
        <f aca="false">INDEX(Monthly!$C$39:$AL$39,($R$2-1)*12+10)</f>
        <v>-0</v>
      </c>
      <c r="R16" s="36" t="n">
        <f aca="false">INDEX(Monthly!$C$39:$AL$39,($R$2-1)*12+11)</f>
        <v>-0</v>
      </c>
      <c r="S16" s="36" t="n">
        <f aca="false">INDEX(Monthly!$C$39:$AL$39,($R$2-1)*12+12)</f>
        <v>-0</v>
      </c>
    </row>
    <row r="17" customFormat="false" ht="15" hidden="false" customHeight="false" outlineLevel="0" collapsed="false">
      <c r="A17" s="51" t="s">
        <v>80</v>
      </c>
      <c r="B17" s="36" t="n">
        <f aca="false">'P&amp;L'!B20</f>
        <v>-710063.143666832</v>
      </c>
      <c r="C17" s="36" t="n">
        <f aca="false">'P&amp;L'!C20</f>
        <v>-827339.630239505</v>
      </c>
      <c r="D17" s="36" t="n">
        <f aca="false">'P&amp;L'!D20</f>
        <v>-1163119.31316928</v>
      </c>
      <c r="H17" s="36" t="n">
        <f aca="false">INDEX(Monthly!$C$40:$AL$40,($R$2-1)*12+1)</f>
        <v>-71828.2458333333</v>
      </c>
      <c r="I17" s="36" t="n">
        <f aca="false">INDEX(Monthly!$C$40:$AL$40,($R$2-1)*12+2)</f>
        <v>-69331.0897430556</v>
      </c>
      <c r="J17" s="36" t="n">
        <f aca="false">INDEX(Monthly!$C$40:$AL$40,($R$2-1)*12+3)</f>
        <v>-66896.0781089236</v>
      </c>
      <c r="K17" s="36" t="n">
        <f aca="false">INDEX(Monthly!$C$40:$AL$40,($R$2-1)*12+4)</f>
        <v>-64521.6658529172</v>
      </c>
      <c r="L17" s="36" t="n">
        <f aca="false">INDEX(Monthly!$C$40:$AL$40,($R$2-1)*12+5)</f>
        <v>-62206.346267965</v>
      </c>
      <c r="M17" s="36" t="n">
        <f aca="false">INDEX(Monthly!$C$40:$AL$40,($R$2-1)*12+6)</f>
        <v>-59948.650066351</v>
      </c>
      <c r="N17" s="36" t="n">
        <f aca="false">INDEX(Monthly!$C$40:$AL$40,($R$2-1)*12+7)</f>
        <v>-57747.1444516804</v>
      </c>
      <c r="O17" s="36" t="n">
        <f aca="false">INDEX(Monthly!$C$40:$AL$40,($R$2-1)*12+8)</f>
        <v>-55600.4322138224</v>
      </c>
      <c r="P17" s="36" t="n">
        <f aca="false">INDEX(Monthly!$C$40:$AL$40,($R$2-1)*12+9)</f>
        <v>-53507.1508462635</v>
      </c>
      <c r="Q17" s="36" t="n">
        <f aca="false">INDEX(Monthly!$C$40:$AL$40,($R$2-1)*12+10)</f>
        <v>-51465.9716853155</v>
      </c>
      <c r="R17" s="36" t="n">
        <f aca="false">INDEX(Monthly!$C$40:$AL$40,($R$2-1)*12+11)</f>
        <v>-49475.5990706404</v>
      </c>
      <c r="S17" s="36" t="n">
        <f aca="false">INDEX(Monthly!$C$40:$AL$40,($R$2-1)*12+12)</f>
        <v>-47534.7695265641</v>
      </c>
    </row>
    <row r="18" customFormat="false" ht="15" hidden="false" customHeight="false" outlineLevel="0" collapsed="false">
      <c r="A18" s="51" t="s">
        <v>81</v>
      </c>
      <c r="B18" s="36" t="n">
        <f aca="false">'P&amp;L'!B21</f>
        <v>0</v>
      </c>
      <c r="C18" s="36" t="n">
        <f aca="false">'P&amp;L'!C21</f>
        <v>0</v>
      </c>
      <c r="D18" s="36" t="n">
        <f aca="false">'P&amp;L'!D21</f>
        <v>0</v>
      </c>
      <c r="H18" s="36" t="n">
        <f aca="false">INDEX(Monthly!$C$43:$AL$43,($R$2-1)*12+1)</f>
        <v>-0</v>
      </c>
      <c r="I18" s="36" t="n">
        <f aca="false">INDEX(Monthly!$C$43:$AL$43,($R$2-1)*12+2)</f>
        <v>-0</v>
      </c>
      <c r="J18" s="36" t="n">
        <f aca="false">INDEX(Monthly!$C$43:$AL$43,($R$2-1)*12+3)</f>
        <v>-0</v>
      </c>
      <c r="K18" s="36" t="n">
        <f aca="false">INDEX(Monthly!$C$43:$AL$43,($R$2-1)*12+4)</f>
        <v>-0</v>
      </c>
      <c r="L18" s="36" t="n">
        <f aca="false">INDEX(Monthly!$C$43:$AL$43,($R$2-1)*12+5)</f>
        <v>-0</v>
      </c>
      <c r="M18" s="36" t="n">
        <f aca="false">INDEX(Monthly!$C$43:$AL$43,($R$2-1)*12+6)</f>
        <v>-0</v>
      </c>
      <c r="N18" s="36" t="n">
        <f aca="false">INDEX(Monthly!$C$43:$AL$43,($R$2-1)*12+7)</f>
        <v>-0</v>
      </c>
      <c r="O18" s="36" t="n">
        <f aca="false">INDEX(Monthly!$C$43:$AL$43,($R$2-1)*12+8)</f>
        <v>-0</v>
      </c>
      <c r="P18" s="36" t="n">
        <f aca="false">INDEX(Monthly!$C$43:$AL$43,($R$2-1)*12+9)</f>
        <v>-0</v>
      </c>
      <c r="Q18" s="36" t="n">
        <f aca="false">INDEX(Monthly!$C$43:$AL$43,($R$2-1)*12+10)</f>
        <v>-0</v>
      </c>
      <c r="R18" s="36" t="n">
        <f aca="false">INDEX(Monthly!$C$43:$AL$43,($R$2-1)*12+11)</f>
        <v>-0</v>
      </c>
      <c r="S18" s="36" t="n">
        <f aca="false">INDEX(Monthly!$C$43:$AL$43,($R$2-1)*12+12)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'P&amp;L'!B22</f>
        <v>-710063.143666832</v>
      </c>
      <c r="C19" s="42" t="n">
        <f aca="false">'P&amp;L'!C22</f>
        <v>-827339.630239505</v>
      </c>
      <c r="D19" s="42" t="n">
        <f aca="false">'P&amp;L'!D22</f>
        <v>-1163119.31316928</v>
      </c>
      <c r="E19" s="41"/>
      <c r="F19" s="41"/>
      <c r="H19" s="42" t="n">
        <f aca="false">INDEX(Monthly!$C$44:$AL$44,($R$2-1)*12+1)</f>
        <v>-71828.2458333333</v>
      </c>
      <c r="I19" s="42" t="n">
        <f aca="false">INDEX(Monthly!$C$44:$AL$44,($R$2-1)*12+2)</f>
        <v>-69331.0897430556</v>
      </c>
      <c r="J19" s="42" t="n">
        <f aca="false">INDEX(Monthly!$C$44:$AL$44,($R$2-1)*12+3)</f>
        <v>-66896.0781089236</v>
      </c>
      <c r="K19" s="42" t="n">
        <f aca="false">INDEX(Monthly!$C$44:$AL$44,($R$2-1)*12+4)</f>
        <v>-64521.6658529172</v>
      </c>
      <c r="L19" s="42" t="n">
        <f aca="false">INDEX(Monthly!$C$44:$AL$44,($R$2-1)*12+5)</f>
        <v>-62206.346267965</v>
      </c>
      <c r="M19" s="42" t="n">
        <f aca="false">INDEX(Monthly!$C$44:$AL$44,($R$2-1)*12+6)</f>
        <v>-59948.650066351</v>
      </c>
      <c r="N19" s="42" t="n">
        <f aca="false">INDEX(Monthly!$C$44:$AL$44,($R$2-1)*12+7)</f>
        <v>-57747.1444516804</v>
      </c>
      <c r="O19" s="42" t="n">
        <f aca="false">INDEX(Monthly!$C$44:$AL$44,($R$2-1)*12+8)</f>
        <v>-55600.4322138224</v>
      </c>
      <c r="P19" s="42" t="n">
        <f aca="false">INDEX(Monthly!$C$44:$AL$44,($R$2-1)*12+9)</f>
        <v>-53507.1508462635</v>
      </c>
      <c r="Q19" s="42" t="n">
        <f aca="false">INDEX(Monthly!$C$44:$AL$44,($R$2-1)*12+10)</f>
        <v>-51465.9716853155</v>
      </c>
      <c r="R19" s="42" t="n">
        <f aca="false">INDEX(Monthly!$C$44:$AL$44,($R$2-1)*12+11)</f>
        <v>-49475.5990706404</v>
      </c>
      <c r="S19" s="42" t="n">
        <f aca="false">INDEX(Monthly!$C$44:$AL$44,($R$2-1)*12+12)</f>
        <v>-47534.7695265641</v>
      </c>
    </row>
    <row r="20" customFormat="false" ht="15" hidden="false" customHeight="false" outlineLevel="0" collapsed="false">
      <c r="A20" s="39" t="s">
        <v>51</v>
      </c>
      <c r="B20" s="40" t="n">
        <f aca="false">'P&amp;L'!B23</f>
        <v>-3.15002699570625</v>
      </c>
      <c r="C20" s="40" t="n">
        <f aca="false">'P&amp;L'!C23</f>
        <v>-1.39960578034041</v>
      </c>
      <c r="D20" s="40" t="n">
        <f aca="false">'P&amp;L'!D23</f>
        <v>-1.18759740589662</v>
      </c>
      <c r="H20" s="40" t="n">
        <f aca="false">IF(H7=0,0,H19/H7)</f>
        <v>-16.2991339289935</v>
      </c>
      <c r="I20" s="40" t="n">
        <f aca="false">IF(I7=0,0,I19/I7)</f>
        <v>-9.56990073255149</v>
      </c>
      <c r="J20" s="40" t="n">
        <f aca="false">IF(J7=0,0,J19/J7)</f>
        <v>-6.68186650313391</v>
      </c>
      <c r="K20" s="40" t="n">
        <f aca="false">IF(K7=0,0,K19/K7)</f>
        <v>-5.07673016026577</v>
      </c>
      <c r="L20" s="40" t="n">
        <f aca="false">IF(L7=0,0,L19/L7)</f>
        <v>-4.05528789821121</v>
      </c>
      <c r="M20" s="40" t="n">
        <f aca="false">IF(M7=0,0,M19/M7)</f>
        <v>-3.34832444564824</v>
      </c>
      <c r="N20" s="40" t="n">
        <f aca="false">IF(N7=0,0,N19/N7)</f>
        <v>-2.83012188997974</v>
      </c>
      <c r="O20" s="40" t="n">
        <f aca="false">IF(O7=0,0,O19/O7)</f>
        <v>-2.43409307938609</v>
      </c>
      <c r="P20" s="40" t="n">
        <f aca="false">IF(P7=0,0,P19/P7)</f>
        <v>-2.12167455785917</v>
      </c>
      <c r="Q20" s="40" t="n">
        <f aca="false">IF(Q7=0,0,Q19/Q7)</f>
        <v>-1.86898753038093</v>
      </c>
      <c r="R20" s="40" t="n">
        <f aca="false">IF(R7=0,0,R19/R7)</f>
        <v>-1.66045566640284</v>
      </c>
      <c r="S20" s="40" t="n">
        <f aca="false">IF(S7=0,0,S19/S7)</f>
        <v>-1.48548528117081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0" t="n">
        <f aca="false">INDEX(Monthly!$C$4:$AL$4,($R$2-1)*12+1)</f>
        <v>1</v>
      </c>
      <c r="I23" s="50" t="n">
        <f aca="false">INDEX(Monthly!$C$4:$AL$4,($R$2-1)*12+2)</f>
        <v>2</v>
      </c>
      <c r="J23" s="50" t="n">
        <f aca="false">INDEX(Monthly!$C$4:$AL$4,($R$2-1)*12+3)</f>
        <v>3</v>
      </c>
      <c r="K23" s="50" t="n">
        <f aca="false">INDEX(Monthly!$C$4:$AL$4,($R$2-1)*12+4)</f>
        <v>4</v>
      </c>
      <c r="L23" s="50" t="n">
        <f aca="false">INDEX(Monthly!$C$4:$AL$4,($R$2-1)*12+5)</f>
        <v>5</v>
      </c>
      <c r="M23" s="50" t="n">
        <f aca="false">INDEX(Monthly!$C$4:$AL$4,($R$2-1)*12+6)</f>
        <v>6</v>
      </c>
      <c r="N23" s="50" t="n">
        <f aca="false">INDEX(Monthly!$C$4:$AL$4,($R$2-1)*12+7)</f>
        <v>7</v>
      </c>
      <c r="O23" s="50" t="n">
        <f aca="false">INDEX(Monthly!$C$4:$AL$4,($R$2-1)*12+8)</f>
        <v>8</v>
      </c>
      <c r="P23" s="50" t="n">
        <f aca="false">INDEX(Monthly!$C$4:$AL$4,($R$2-1)*12+9)</f>
        <v>9</v>
      </c>
      <c r="Q23" s="50" t="n">
        <f aca="false">INDEX(Monthly!$C$4:$AL$4,($R$2-1)*12+10)</f>
        <v>10</v>
      </c>
      <c r="R23" s="50" t="n">
        <f aca="false">INDEX(Monthly!$C$4:$AL$4,($R$2-1)*12+11)</f>
        <v>11</v>
      </c>
      <c r="S23" s="50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Flow'!B11</f>
        <v>-665196.514236771</v>
      </c>
      <c r="C24" s="38" t="n">
        <f aca="false">'Cash Flow'!C11</f>
        <v>-785208.41697933</v>
      </c>
      <c r="D24" s="38" t="n">
        <f aca="false">'Cash Flow'!D11</f>
        <v>-1117614.51512673</v>
      </c>
      <c r="E24" s="37"/>
      <c r="F24" s="37"/>
      <c r="H24" s="38" t="n">
        <f aca="false">INDEX(Monthly!$C$70:$AL$70,($R$2-1)*12+1)</f>
        <v>-64465.1041666667</v>
      </c>
      <c r="I24" s="38" t="n">
        <f aca="false">INDEX(Monthly!$C$70:$AL$70,($R$2-1)*12+2)</f>
        <v>-65545.5460069444</v>
      </c>
      <c r="J24" s="38" t="n">
        <f aca="false">INDEX(Monthly!$C$70:$AL$70,($R$2-1)*12+3)</f>
        <v>-63191.5685234375</v>
      </c>
      <c r="K24" s="38" t="n">
        <f aca="false">INDEX(Monthly!$C$70:$AL$70,($R$2-1)*12+4)</f>
        <v>-60896.1560309071</v>
      </c>
      <c r="L24" s="38" t="n">
        <f aca="false">INDEX(Monthly!$C$70:$AL$70,($R$2-1)*12+5)</f>
        <v>-58657.8529379622</v>
      </c>
      <c r="M24" s="38" t="n">
        <f aca="false">INDEX(Monthly!$C$70:$AL$70,($R$2-1)*12+6)</f>
        <v>-56475.239786995</v>
      </c>
      <c r="N24" s="38" t="n">
        <f aca="false">INDEX(Monthly!$C$70:$AL$70,($R$2-1)*12+7)</f>
        <v>-54346.9323585164</v>
      </c>
      <c r="O24" s="38" t="n">
        <f aca="false">INDEX(Monthly!$C$70:$AL$70,($R$2-1)*12+8)</f>
        <v>-52271.5807976527</v>
      </c>
      <c r="P24" s="38" t="n">
        <f aca="false">INDEX(Monthly!$C$70:$AL$70,($R$2-1)*12+9)</f>
        <v>-50247.8687622566</v>
      </c>
      <c r="Q24" s="38" t="n">
        <f aca="false">INDEX(Monthly!$C$70:$AL$70,($R$2-1)*12+10)</f>
        <v>-48274.5125920979</v>
      </c>
      <c r="R24" s="38" t="n">
        <f aca="false">INDEX(Monthly!$C$70:$AL$70,($R$2-1)*12+11)</f>
        <v>-46350.2604986151</v>
      </c>
      <c r="S24" s="38" t="n">
        <f aca="false">INDEX(Monthly!$C$70:$AL$70,($R$2-1)*12+12)</f>
        <v>-44473.8917747187</v>
      </c>
    </row>
    <row r="25" customFormat="false" ht="15" hidden="false" customHeight="false" outlineLevel="0" collapsed="false">
      <c r="A25" s="51" t="s">
        <v>83</v>
      </c>
      <c r="B25" s="36" t="n">
        <f aca="false">'Cash Flow'!B12</f>
        <v>-20000</v>
      </c>
      <c r="C25" s="36" t="n">
        <f aca="false">'Cash Flow'!C12</f>
        <v>0</v>
      </c>
      <c r="D25" s="36" t="n">
        <f aca="false">'Cash Flow'!D12</f>
        <v>0</v>
      </c>
      <c r="H25" s="36" t="n">
        <f aca="false">INDEX(Monthly!$C$71:$AL$71,($R$2-1)*12+1)</f>
        <v>-20000</v>
      </c>
      <c r="I25" s="36" t="n">
        <f aca="false">INDEX(Monthly!$C$71:$AL$71,($R$2-1)*12+2)</f>
        <v>-0</v>
      </c>
      <c r="J25" s="36" t="n">
        <f aca="false">INDEX(Monthly!$C$71:$AL$71,($R$2-1)*12+3)</f>
        <v>-0</v>
      </c>
      <c r="K25" s="36" t="n">
        <f aca="false">INDEX(Monthly!$C$71:$AL$71,($R$2-1)*12+4)</f>
        <v>-0</v>
      </c>
      <c r="L25" s="36" t="n">
        <f aca="false">INDEX(Monthly!$C$71:$AL$71,($R$2-1)*12+5)</f>
        <v>-0</v>
      </c>
      <c r="M25" s="36" t="n">
        <f aca="false">INDEX(Monthly!$C$71:$AL$71,($R$2-1)*12+6)</f>
        <v>-0</v>
      </c>
      <c r="N25" s="36" t="n">
        <f aca="false">INDEX(Monthly!$C$71:$AL$71,($R$2-1)*12+7)</f>
        <v>-0</v>
      </c>
      <c r="O25" s="36" t="n">
        <f aca="false">INDEX(Monthly!$C$71:$AL$71,($R$2-1)*12+8)</f>
        <v>-0</v>
      </c>
      <c r="P25" s="36" t="n">
        <f aca="false">INDEX(Monthly!$C$71:$AL$71,($R$2-1)*12+9)</f>
        <v>-0</v>
      </c>
      <c r="Q25" s="36" t="n">
        <f aca="false">INDEX(Monthly!$C$71:$AL$71,($R$2-1)*12+10)</f>
        <v>-0</v>
      </c>
      <c r="R25" s="36" t="n">
        <f aca="false">INDEX(Monthly!$C$71:$AL$71,($R$2-1)*12+11)</f>
        <v>-0</v>
      </c>
      <c r="S25" s="36" t="n">
        <f aca="false">INDEX(Monthly!$C$71:$AL$71,($R$2-1)*12+12)</f>
        <v>-0</v>
      </c>
    </row>
    <row r="26" customFormat="false" ht="15" hidden="false" customHeight="false" outlineLevel="0" collapsed="false">
      <c r="A26" s="51" t="s">
        <v>63</v>
      </c>
      <c r="B26" s="36" t="n">
        <f aca="false">'Cash Flow'!B13</f>
        <v>3000000</v>
      </c>
      <c r="C26" s="36" t="n">
        <f aca="false">'Cash Flow'!C13</f>
        <v>0</v>
      </c>
      <c r="D26" s="36" t="n">
        <f aca="false">'Cash Flow'!D13</f>
        <v>0</v>
      </c>
      <c r="H26" s="36" t="n">
        <f aca="false">INDEX(Monthly!$C$72:$AL$72,($R$2-1)*12+1)</f>
        <v>3000000</v>
      </c>
      <c r="I26" s="36" t="n">
        <f aca="false">INDEX(Monthly!$C$72:$AL$72,($R$2-1)*12+2)</f>
        <v>0</v>
      </c>
      <c r="J26" s="36" t="n">
        <f aca="false">INDEX(Monthly!$C$72:$AL$72,($R$2-1)*12+3)</f>
        <v>0</v>
      </c>
      <c r="K26" s="36" t="n">
        <f aca="false">INDEX(Monthly!$C$72:$AL$72,($R$2-1)*12+4)</f>
        <v>0</v>
      </c>
      <c r="L26" s="36" t="n">
        <f aca="false">INDEX(Monthly!$C$72:$AL$72,($R$2-1)*12+5)</f>
        <v>0</v>
      </c>
      <c r="M26" s="36" t="n">
        <f aca="false">INDEX(Monthly!$C$72:$AL$72,($R$2-1)*12+6)</f>
        <v>0</v>
      </c>
      <c r="N26" s="36" t="n">
        <f aca="false">INDEX(Monthly!$C$72:$AL$72,($R$2-1)*12+7)</f>
        <v>0</v>
      </c>
      <c r="O26" s="36" t="n">
        <f aca="false">INDEX(Monthly!$C$72:$AL$72,($R$2-1)*12+8)</f>
        <v>0</v>
      </c>
      <c r="P26" s="36" t="n">
        <f aca="false">INDEX(Monthly!$C$72:$AL$72,($R$2-1)*12+9)</f>
        <v>0</v>
      </c>
      <c r="Q26" s="36" t="n">
        <f aca="false">INDEX(Monthly!$C$72:$AL$72,($R$2-1)*12+10)</f>
        <v>0</v>
      </c>
      <c r="R26" s="36" t="n">
        <f aca="false">INDEX(Monthly!$C$72:$AL$72,($R$2-1)*12+11)</f>
        <v>0</v>
      </c>
      <c r="S26" s="36" t="n">
        <f aca="false">INDEX(Monthly!$C$72:$AL$72,($R$2-1)*12+12)</f>
        <v>0</v>
      </c>
    </row>
    <row r="27" customFormat="false" ht="15" hidden="false" customHeight="false" outlineLevel="0" collapsed="false">
      <c r="A27" s="51" t="s">
        <v>84</v>
      </c>
      <c r="B27" s="36" t="n">
        <f aca="false">'Cash Flow'!B14</f>
        <v>0</v>
      </c>
      <c r="C27" s="36" t="n">
        <f aca="false">'Cash Flow'!C14</f>
        <v>0</v>
      </c>
      <c r="D27" s="36" t="n">
        <f aca="false">'Cash Flow'!D14</f>
        <v>0</v>
      </c>
      <c r="H27" s="36" t="n">
        <f aca="false">INDEX(Monthly!$C$55:$AL$55,($R$2-1)*12+1)</f>
        <v>0</v>
      </c>
      <c r="I27" s="36" t="n">
        <f aca="false">INDEX(Monthly!$C$55:$AL$55,($R$2-1)*12+2)</f>
        <v>0</v>
      </c>
      <c r="J27" s="36" t="n">
        <f aca="false">INDEX(Monthly!$C$55:$AL$55,($R$2-1)*12+3)</f>
        <v>0</v>
      </c>
      <c r="K27" s="36" t="n">
        <f aca="false">INDEX(Monthly!$C$55:$AL$55,($R$2-1)*12+4)</f>
        <v>0</v>
      </c>
      <c r="L27" s="36" t="n">
        <f aca="false">INDEX(Monthly!$C$55:$AL$55,($R$2-1)*12+5)</f>
        <v>0</v>
      </c>
      <c r="M27" s="36" t="n">
        <f aca="false">INDEX(Monthly!$C$55:$AL$55,($R$2-1)*12+6)</f>
        <v>0</v>
      </c>
      <c r="N27" s="36" t="n">
        <f aca="false">INDEX(Monthly!$C$55:$AL$55,($R$2-1)*12+7)</f>
        <v>0</v>
      </c>
      <c r="O27" s="36" t="n">
        <f aca="false">INDEX(Monthly!$C$55:$AL$55,($R$2-1)*12+8)</f>
        <v>0</v>
      </c>
      <c r="P27" s="36" t="n">
        <f aca="false">INDEX(Monthly!$C$55:$AL$55,($R$2-1)*12+9)</f>
        <v>0</v>
      </c>
      <c r="Q27" s="36" t="n">
        <f aca="false">INDEX(Monthly!$C$55:$AL$55,($R$2-1)*12+10)</f>
        <v>0</v>
      </c>
      <c r="R27" s="36" t="n">
        <f aca="false">INDEX(Monthly!$C$55:$AL$55,($R$2-1)*12+11)</f>
        <v>0</v>
      </c>
      <c r="S27" s="36" t="n">
        <f aca="false">INDEX(Monthly!$C$55:$AL$55,($R$2-1)*12+12)</f>
        <v>0</v>
      </c>
    </row>
    <row r="28" customFormat="false" ht="15" hidden="false" customHeight="false" outlineLevel="0" collapsed="false">
      <c r="A28" s="51" t="s">
        <v>85</v>
      </c>
      <c r="B28" s="36" t="n">
        <f aca="false">'Cash Flow'!B15</f>
        <v>0</v>
      </c>
      <c r="C28" s="36" t="n">
        <f aca="false">'Cash Flow'!C15</f>
        <v>0</v>
      </c>
      <c r="D28" s="36" t="n">
        <f aca="false">'Cash Flow'!D15</f>
        <v>0</v>
      </c>
      <c r="H28" s="36" t="n">
        <f aca="false">INDEX(Monthly!$C$56:$AL$56,($R$2-1)*12+1)</f>
        <v>-0</v>
      </c>
      <c r="I28" s="36" t="n">
        <f aca="false">INDEX(Monthly!$C$56:$AL$56,($R$2-1)*12+2)</f>
        <v>-0</v>
      </c>
      <c r="J28" s="36" t="n">
        <f aca="false">INDEX(Monthly!$C$56:$AL$56,($R$2-1)*12+3)</f>
        <v>-0</v>
      </c>
      <c r="K28" s="36" t="n">
        <f aca="false">INDEX(Monthly!$C$56:$AL$56,($R$2-1)*12+4)</f>
        <v>-0</v>
      </c>
      <c r="L28" s="36" t="n">
        <f aca="false">INDEX(Monthly!$C$56:$AL$56,($R$2-1)*12+5)</f>
        <v>-0</v>
      </c>
      <c r="M28" s="36" t="n">
        <f aca="false">INDEX(Monthly!$C$56:$AL$56,($R$2-1)*12+6)</f>
        <v>-0</v>
      </c>
      <c r="N28" s="36" t="n">
        <f aca="false">INDEX(Monthly!$C$56:$AL$56,($R$2-1)*12+7)</f>
        <v>-0</v>
      </c>
      <c r="O28" s="36" t="n">
        <f aca="false">INDEX(Monthly!$C$56:$AL$56,($R$2-1)*12+8)</f>
        <v>-0</v>
      </c>
      <c r="P28" s="36" t="n">
        <f aca="false">INDEX(Monthly!$C$56:$AL$56,($R$2-1)*12+9)</f>
        <v>-0</v>
      </c>
      <c r="Q28" s="36" t="n">
        <f aca="false">INDEX(Monthly!$C$56:$AL$56,($R$2-1)*12+10)</f>
        <v>-0</v>
      </c>
      <c r="R28" s="36" t="n">
        <f aca="false">INDEX(Monthly!$C$56:$AL$56,($R$2-1)*12+11)</f>
        <v>-0</v>
      </c>
      <c r="S28" s="36" t="n">
        <f aca="false">INDEX(Monthly!$C$56:$AL$56,($R$2-1)*12+12)</f>
        <v>-0</v>
      </c>
    </row>
    <row r="29" customFormat="false" ht="15" hidden="false" customHeight="false" outlineLevel="0" collapsed="false">
      <c r="A29" s="37" t="s">
        <v>54</v>
      </c>
      <c r="B29" s="38" t="n">
        <f aca="false">'Cash Flow'!B16</f>
        <v>3000000</v>
      </c>
      <c r="C29" s="38" t="n">
        <f aca="false">'Cash Flow'!C16</f>
        <v>0</v>
      </c>
      <c r="D29" s="38" t="n">
        <f aca="false">'Cash Flow'!D16</f>
        <v>0</v>
      </c>
      <c r="E29" s="37"/>
      <c r="F29" s="37"/>
      <c r="H29" s="38" t="n">
        <f aca="false">INDEX(Monthly!$C$73:$AL$73,($R$2-1)*12+1)</f>
        <v>3000000</v>
      </c>
      <c r="I29" s="38" t="n">
        <f aca="false">INDEX(Monthly!$C$73:$AL$73,($R$2-1)*12+2)</f>
        <v>0</v>
      </c>
      <c r="J29" s="38" t="n">
        <f aca="false">INDEX(Monthly!$C$73:$AL$73,($R$2-1)*12+3)</f>
        <v>0</v>
      </c>
      <c r="K29" s="38" t="n">
        <f aca="false">INDEX(Monthly!$C$73:$AL$73,($R$2-1)*12+4)</f>
        <v>0</v>
      </c>
      <c r="L29" s="38" t="n">
        <f aca="false">INDEX(Monthly!$C$73:$AL$73,($R$2-1)*12+5)</f>
        <v>0</v>
      </c>
      <c r="M29" s="38" t="n">
        <f aca="false">INDEX(Monthly!$C$73:$AL$73,($R$2-1)*12+6)</f>
        <v>0</v>
      </c>
      <c r="N29" s="38" t="n">
        <f aca="false">INDEX(Monthly!$C$73:$AL$73,($R$2-1)*12+7)</f>
        <v>0</v>
      </c>
      <c r="O29" s="38" t="n">
        <f aca="false">INDEX(Monthly!$C$73:$AL$73,($R$2-1)*12+8)</f>
        <v>0</v>
      </c>
      <c r="P29" s="38" t="n">
        <f aca="false">INDEX(Monthly!$C$73:$AL$73,($R$2-1)*12+9)</f>
        <v>0</v>
      </c>
      <c r="Q29" s="38" t="n">
        <f aca="false">INDEX(Monthly!$C$73:$AL$73,($R$2-1)*12+10)</f>
        <v>0</v>
      </c>
      <c r="R29" s="38" t="n">
        <f aca="false">INDEX(Monthly!$C$73:$AL$73,($R$2-1)*12+11)</f>
        <v>0</v>
      </c>
      <c r="S29" s="38" t="n">
        <f aca="false">INDEX(Monthly!$C$73:$AL$73,($R$2-1)*12+12)</f>
        <v>0</v>
      </c>
    </row>
    <row r="30" customFormat="false" ht="15" hidden="false" customHeight="false" outlineLevel="0" collapsed="false">
      <c r="A30" s="37" t="s">
        <v>55</v>
      </c>
      <c r="B30" s="38" t="n">
        <f aca="false">'Cash Flow'!B17</f>
        <v>2314803.48576323</v>
      </c>
      <c r="C30" s="38" t="n">
        <f aca="false">'Cash Flow'!C17</f>
        <v>-785208.41697933</v>
      </c>
      <c r="D30" s="38" t="n">
        <f aca="false">'Cash Flow'!D17</f>
        <v>-1117614.51512673</v>
      </c>
      <c r="E30" s="37"/>
      <c r="F30" s="37"/>
      <c r="H30" s="38" t="n">
        <f aca="false">INDEX(Monthly!$C$74:$AL$74,($R$2-1)*12+1)</f>
        <v>2915534.89583333</v>
      </c>
      <c r="I30" s="38" t="n">
        <f aca="false">INDEX(Monthly!$C$74:$AL$74,($R$2-1)*12+2)</f>
        <v>-65545.5460069444</v>
      </c>
      <c r="J30" s="38" t="n">
        <f aca="false">INDEX(Monthly!$C$74:$AL$74,($R$2-1)*12+3)</f>
        <v>-63191.5685234375</v>
      </c>
      <c r="K30" s="38" t="n">
        <f aca="false">INDEX(Monthly!$C$74:$AL$74,($R$2-1)*12+4)</f>
        <v>-60896.1560309071</v>
      </c>
      <c r="L30" s="38" t="n">
        <f aca="false">INDEX(Monthly!$C$74:$AL$74,($R$2-1)*12+5)</f>
        <v>-58657.8529379622</v>
      </c>
      <c r="M30" s="38" t="n">
        <f aca="false">INDEX(Monthly!$C$74:$AL$74,($R$2-1)*12+6)</f>
        <v>-56475.239786995</v>
      </c>
      <c r="N30" s="38" t="n">
        <f aca="false">INDEX(Monthly!$C$74:$AL$74,($R$2-1)*12+7)</f>
        <v>-54346.9323585164</v>
      </c>
      <c r="O30" s="38" t="n">
        <f aca="false">INDEX(Monthly!$C$74:$AL$74,($R$2-1)*12+8)</f>
        <v>-52271.5807976527</v>
      </c>
      <c r="P30" s="38" t="n">
        <f aca="false">INDEX(Monthly!$C$74:$AL$74,($R$2-1)*12+9)</f>
        <v>-50247.8687622566</v>
      </c>
      <c r="Q30" s="38" t="n">
        <f aca="false">INDEX(Monthly!$C$74:$AL$74,($R$2-1)*12+10)</f>
        <v>-48274.5125920979</v>
      </c>
      <c r="R30" s="38" t="n">
        <f aca="false">INDEX(Monthly!$C$74:$AL$74,($R$2-1)*12+11)</f>
        <v>-46350.2604986151</v>
      </c>
      <c r="S30" s="38" t="n">
        <f aca="false">INDEX(Monthly!$C$74:$AL$74,($R$2-1)*12+12)</f>
        <v>-44473.8917747187</v>
      </c>
    </row>
    <row r="31" customFormat="false" ht="15" hidden="false" customHeight="false" outlineLevel="0" collapsed="false">
      <c r="A31" s="41" t="s">
        <v>86</v>
      </c>
      <c r="B31" s="42" t="n">
        <f aca="false">'Cash Flow'!B19</f>
        <v>2314803.48576323</v>
      </c>
      <c r="C31" s="42" t="n">
        <f aca="false">'Cash Flow'!C19</f>
        <v>1529595.0687839</v>
      </c>
      <c r="D31" s="42" t="n">
        <f aca="false">'Cash Flow'!D19</f>
        <v>411980.553657166</v>
      </c>
      <c r="E31" s="41"/>
      <c r="F31" s="41"/>
      <c r="H31" s="42" t="n">
        <f aca="false">INDEX(Monthly!$C$76:$AL$76,($R$2-1)*12+1)</f>
        <v>2915534.89583333</v>
      </c>
      <c r="I31" s="42" t="n">
        <f aca="false">INDEX(Monthly!$C$76:$AL$76,($R$2-1)*12+2)</f>
        <v>2849989.34982639</v>
      </c>
      <c r="J31" s="42" t="n">
        <f aca="false">INDEX(Monthly!$C$76:$AL$76,($R$2-1)*12+3)</f>
        <v>2786797.78130295</v>
      </c>
      <c r="K31" s="42" t="n">
        <f aca="false">INDEX(Monthly!$C$76:$AL$76,($R$2-1)*12+4)</f>
        <v>2725901.62527204</v>
      </c>
      <c r="L31" s="42" t="n">
        <f aca="false">INDEX(Monthly!$C$76:$AL$76,($R$2-1)*12+5)</f>
        <v>2667243.77233408</v>
      </c>
      <c r="M31" s="42" t="n">
        <f aca="false">INDEX(Monthly!$C$76:$AL$76,($R$2-1)*12+6)</f>
        <v>2610768.53254709</v>
      </c>
      <c r="N31" s="42" t="n">
        <f aca="false">INDEX(Monthly!$C$76:$AL$76,($R$2-1)*12+7)</f>
        <v>2556421.60018857</v>
      </c>
      <c r="O31" s="42" t="n">
        <f aca="false">INDEX(Monthly!$C$76:$AL$76,($R$2-1)*12+8)</f>
        <v>2504150.01939092</v>
      </c>
      <c r="P31" s="42" t="n">
        <f aca="false">INDEX(Monthly!$C$76:$AL$76,($R$2-1)*12+9)</f>
        <v>2453902.15062866</v>
      </c>
      <c r="Q31" s="42" t="n">
        <f aca="false">INDEX(Monthly!$C$76:$AL$76,($R$2-1)*12+10)</f>
        <v>2405627.63803656</v>
      </c>
      <c r="R31" s="42" t="n">
        <f aca="false">INDEX(Monthly!$C$76:$AL$76,($R$2-1)*12+11)</f>
        <v>2359277.37753795</v>
      </c>
      <c r="S31" s="42" t="n">
        <f aca="false">INDEX(Monthly!$C$76:$AL$76,($R$2-1)*12+12)</f>
        <v>2314803.48576323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0" t="n">
        <f aca="false">INDEX(Monthly!$C$4:$AL$4,($R$2-1)*12+1)</f>
        <v>1</v>
      </c>
      <c r="I40" s="50" t="n">
        <f aca="false">INDEX(Monthly!$C$4:$AL$4,($R$2-1)*12+2)</f>
        <v>2</v>
      </c>
      <c r="J40" s="50" t="n">
        <f aca="false">INDEX(Monthly!$C$4:$AL$4,($R$2-1)*12+3)</f>
        <v>3</v>
      </c>
      <c r="K40" s="50" t="n">
        <f aca="false">INDEX(Monthly!$C$4:$AL$4,($R$2-1)*12+4)</f>
        <v>4</v>
      </c>
      <c r="L40" s="50" t="n">
        <f aca="false">INDEX(Monthly!$C$4:$AL$4,($R$2-1)*12+5)</f>
        <v>5</v>
      </c>
      <c r="M40" s="50" t="n">
        <f aca="false">INDEX(Monthly!$C$4:$AL$4,($R$2-1)*12+6)</f>
        <v>6</v>
      </c>
      <c r="N40" s="50" t="n">
        <f aca="false">INDEX(Monthly!$C$4:$AL$4,($R$2-1)*12+7)</f>
        <v>7</v>
      </c>
      <c r="O40" s="50" t="n">
        <f aca="false">INDEX(Monthly!$C$4:$AL$4,($R$2-1)*12+8)</f>
        <v>8</v>
      </c>
      <c r="P40" s="50" t="n">
        <f aca="false">INDEX(Monthly!$C$4:$AL$4,($R$2-1)*12+9)</f>
        <v>9</v>
      </c>
      <c r="Q40" s="50" t="n">
        <f aca="false">INDEX(Monthly!$C$4:$AL$4,($R$2-1)*12+10)</f>
        <v>10</v>
      </c>
      <c r="R40" s="50" t="n">
        <f aca="false">INDEX(Monthly!$C$4:$AL$4,($R$2-1)*12+11)</f>
        <v>11</v>
      </c>
      <c r="S40" s="50" t="n">
        <f aca="false">INDEX(Monthly!$C$4:$AL$4,($R$2-1)*12+12)</f>
        <v>12</v>
      </c>
    </row>
    <row r="41" customFormat="false" ht="15" hidden="false" customHeight="false" outlineLevel="0" collapsed="false">
      <c r="A41" s="51" t="s">
        <v>88</v>
      </c>
      <c r="B41" s="36" t="n">
        <f aca="false">'Balance Sheet'!B5</f>
        <v>2314803.48576323</v>
      </c>
      <c r="C41" s="36" t="n">
        <f aca="false">'Balance Sheet'!C5</f>
        <v>1529595.0687839</v>
      </c>
      <c r="D41" s="36" t="n">
        <f aca="false">'Balance Sheet'!D5</f>
        <v>411980.553657166</v>
      </c>
      <c r="H41" s="36" t="n">
        <f aca="false">INDEX(Monthly!$C$76:$AL$76,($R$2-1)*12+1)</f>
        <v>2915534.89583333</v>
      </c>
      <c r="I41" s="36" t="n">
        <f aca="false">INDEX(Monthly!$C$76:$AL$76,($R$2-1)*12+2)</f>
        <v>2849989.34982639</v>
      </c>
      <c r="J41" s="36" t="n">
        <f aca="false">INDEX(Monthly!$C$76:$AL$76,($R$2-1)*12+3)</f>
        <v>2786797.78130295</v>
      </c>
      <c r="K41" s="36" t="n">
        <f aca="false">INDEX(Monthly!$C$76:$AL$76,($R$2-1)*12+4)</f>
        <v>2725901.62527204</v>
      </c>
      <c r="L41" s="36" t="n">
        <f aca="false">INDEX(Monthly!$C$76:$AL$76,($R$2-1)*12+5)</f>
        <v>2667243.77233408</v>
      </c>
      <c r="M41" s="36" t="n">
        <f aca="false">INDEX(Monthly!$C$76:$AL$76,($R$2-1)*12+6)</f>
        <v>2610768.53254709</v>
      </c>
      <c r="N41" s="36" t="n">
        <f aca="false">INDEX(Monthly!$C$76:$AL$76,($R$2-1)*12+7)</f>
        <v>2556421.60018857</v>
      </c>
      <c r="O41" s="36" t="n">
        <f aca="false">INDEX(Monthly!$C$76:$AL$76,($R$2-1)*12+8)</f>
        <v>2504150.01939092</v>
      </c>
      <c r="P41" s="36" t="n">
        <f aca="false">INDEX(Monthly!$C$76:$AL$76,($R$2-1)*12+9)</f>
        <v>2453902.15062866</v>
      </c>
      <c r="Q41" s="36" t="n">
        <f aca="false">INDEX(Monthly!$C$76:$AL$76,($R$2-1)*12+10)</f>
        <v>2405627.63803656</v>
      </c>
      <c r="R41" s="36" t="n">
        <f aca="false">INDEX(Monthly!$C$76:$AL$76,($R$2-1)*12+11)</f>
        <v>2359277.37753795</v>
      </c>
      <c r="S41" s="36" t="n">
        <f aca="false">INDEX(Monthly!$C$76:$AL$76,($R$2-1)*12+12)</f>
        <v>2314803.48576323</v>
      </c>
    </row>
    <row r="42" customFormat="false" ht="15" hidden="false" customHeight="false" outlineLevel="0" collapsed="false">
      <c r="A42" s="51" t="s">
        <v>89</v>
      </c>
      <c r="B42" s="36" t="n">
        <f aca="false">'Balance Sheet'!B6</f>
        <v>5333.24812314293</v>
      </c>
      <c r="C42" s="36" t="n">
        <f aca="false">'Balance Sheet'!C6</f>
        <v>10462.4745740659</v>
      </c>
      <c r="D42" s="36" t="n">
        <f aca="false">'Balance Sheet'!D6</f>
        <v>16071.668718183</v>
      </c>
      <c r="H42" s="36" t="n">
        <f aca="false">INDEX(Monthly!$C$60:$AL$60,($R$2-1)*12+1)</f>
        <v>734.479166666667</v>
      </c>
      <c r="I42" s="36" t="n">
        <f aca="false">INDEX(Monthly!$C$60:$AL$60,($R$2-1)*12+2)</f>
        <v>1207.45052083333</v>
      </c>
      <c r="J42" s="36" t="n">
        <f aca="false">INDEX(Monthly!$C$60:$AL$60,($R$2-1)*12+3)</f>
        <v>1668.59759114583</v>
      </c>
      <c r="K42" s="36" t="n">
        <f aca="false">INDEX(Monthly!$C$60:$AL$60,($R$2-1)*12+4)</f>
        <v>2118.21598470052</v>
      </c>
      <c r="L42" s="36" t="n">
        <f aca="false">INDEX(Monthly!$C$60:$AL$60,($R$2-1)*12+5)</f>
        <v>2556.59391841634</v>
      </c>
      <c r="M42" s="36" t="n">
        <f aca="false">INDEX(Monthly!$C$60:$AL$60,($R$2-1)*12+6)</f>
        <v>2984.01240378927</v>
      </c>
      <c r="N42" s="36" t="n">
        <f aca="false">INDEX(Monthly!$C$60:$AL$60,($R$2-1)*12+7)</f>
        <v>3400.74542702787</v>
      </c>
      <c r="O42" s="36" t="n">
        <f aca="false">INDEX(Monthly!$C$60:$AL$60,($R$2-1)*12+8)</f>
        <v>3807.06012468551</v>
      </c>
      <c r="P42" s="36" t="n">
        <f aca="false">INDEX(Monthly!$C$60:$AL$60,($R$2-1)*12+9)</f>
        <v>4203.2169549017</v>
      </c>
      <c r="Q42" s="36" t="n">
        <f aca="false">INDEX(Monthly!$C$60:$AL$60,($R$2-1)*12+10)</f>
        <v>4589.46986436249</v>
      </c>
      <c r="R42" s="36" t="n">
        <f aca="false">INDEX(Monthly!$C$60:$AL$60,($R$2-1)*12+11)</f>
        <v>4966.06645108676</v>
      </c>
      <c r="S42" s="36" t="n">
        <f aca="false">INDEX(Monthly!$C$60:$AL$60,($R$2-1)*12+12)</f>
        <v>5333.24812314293</v>
      </c>
    </row>
    <row r="43" customFormat="false" ht="15" hidden="false" customHeight="false" outlineLevel="0" collapsed="false">
      <c r="A43" s="51" t="s">
        <v>90</v>
      </c>
      <c r="B43" s="36" t="n">
        <f aca="false">'Balance Sheet'!B7</f>
        <v>0</v>
      </c>
      <c r="C43" s="36" t="n">
        <f aca="false">'Balance Sheet'!C7</f>
        <v>0</v>
      </c>
      <c r="D43" s="36" t="n">
        <f aca="false">'Balance Sheet'!D7</f>
        <v>0</v>
      </c>
      <c r="H43" s="36" t="n">
        <f aca="false">INDEX(Monthly!$C$61:$AL$61,($R$2-1)*12+1)</f>
        <v>0</v>
      </c>
      <c r="I43" s="36" t="n">
        <f aca="false">INDEX(Monthly!$C$61:$AL$61,($R$2-1)*12+2)</f>
        <v>0</v>
      </c>
      <c r="J43" s="36" t="n">
        <f aca="false">INDEX(Monthly!$C$61:$AL$61,($R$2-1)*12+3)</f>
        <v>0</v>
      </c>
      <c r="K43" s="36" t="n">
        <f aca="false">INDEX(Monthly!$C$61:$AL$61,($R$2-1)*12+4)</f>
        <v>0</v>
      </c>
      <c r="L43" s="36" t="n">
        <f aca="false">INDEX(Monthly!$C$61:$AL$61,($R$2-1)*12+5)</f>
        <v>0</v>
      </c>
      <c r="M43" s="36" t="n">
        <f aca="false">INDEX(Monthly!$C$61:$AL$61,($R$2-1)*12+6)</f>
        <v>0</v>
      </c>
      <c r="N43" s="36" t="n">
        <f aca="false">INDEX(Monthly!$C$61:$AL$61,($R$2-1)*12+7)</f>
        <v>0</v>
      </c>
      <c r="O43" s="36" t="n">
        <f aca="false">INDEX(Monthly!$C$61:$AL$61,($R$2-1)*12+8)</f>
        <v>0</v>
      </c>
      <c r="P43" s="36" t="n">
        <f aca="false">INDEX(Monthly!$C$61:$AL$61,($R$2-1)*12+9)</f>
        <v>0</v>
      </c>
      <c r="Q43" s="36" t="n">
        <f aca="false">INDEX(Monthly!$C$61:$AL$61,($R$2-1)*12+10)</f>
        <v>0</v>
      </c>
      <c r="R43" s="36" t="n">
        <f aca="false">INDEX(Monthly!$C$61:$AL$61,($R$2-1)*12+11)</f>
        <v>0</v>
      </c>
      <c r="S43" s="36" t="n">
        <f aca="false">INDEX(Monthly!$C$61:$AL$61,($R$2-1)*12+12)</f>
        <v>0</v>
      </c>
    </row>
    <row r="44" customFormat="false" ht="15" hidden="false" customHeight="false" outlineLevel="0" collapsed="false">
      <c r="A44" s="51" t="s">
        <v>91</v>
      </c>
      <c r="B44" s="36" t="n">
        <f aca="false">'Balance Sheet'!B8</f>
        <v>13333.3333333333</v>
      </c>
      <c r="C44" s="36" t="n">
        <f aca="false">'Balance Sheet'!C8</f>
        <v>6666.66666666667</v>
      </c>
      <c r="D44" s="36" t="n">
        <f aca="false">'Balance Sheet'!D8</f>
        <v>0</v>
      </c>
      <c r="H44" s="36" t="n">
        <f aca="false">INDEX(Monthly!$C$51:$AL$51,($R$2-1)*12+1)</f>
        <v>19444.4444444444</v>
      </c>
      <c r="I44" s="36" t="n">
        <f aca="false">INDEX(Monthly!$C$51:$AL$51,($R$2-1)*12+2)</f>
        <v>18888.8888888889</v>
      </c>
      <c r="J44" s="36" t="n">
        <f aca="false">INDEX(Monthly!$C$51:$AL$51,($R$2-1)*12+3)</f>
        <v>18333.3333333333</v>
      </c>
      <c r="K44" s="36" t="n">
        <f aca="false">INDEX(Monthly!$C$51:$AL$51,($R$2-1)*12+4)</f>
        <v>17777.7777777778</v>
      </c>
      <c r="L44" s="36" t="n">
        <f aca="false">INDEX(Monthly!$C$51:$AL$51,($R$2-1)*12+5)</f>
        <v>17222.2222222222</v>
      </c>
      <c r="M44" s="36" t="n">
        <f aca="false">INDEX(Monthly!$C$51:$AL$51,($R$2-1)*12+6)</f>
        <v>16666.6666666667</v>
      </c>
      <c r="N44" s="36" t="n">
        <f aca="false">INDEX(Monthly!$C$51:$AL$51,($R$2-1)*12+7)</f>
        <v>16111.1111111111</v>
      </c>
      <c r="O44" s="36" t="n">
        <f aca="false">INDEX(Monthly!$C$51:$AL$51,($R$2-1)*12+8)</f>
        <v>15555.5555555556</v>
      </c>
      <c r="P44" s="36" t="n">
        <f aca="false">INDEX(Monthly!$C$51:$AL$51,($R$2-1)*12+9)</f>
        <v>15000</v>
      </c>
      <c r="Q44" s="36" t="n">
        <f aca="false">INDEX(Monthly!$C$51:$AL$51,($R$2-1)*12+10)</f>
        <v>14444.4444444444</v>
      </c>
      <c r="R44" s="36" t="n">
        <f aca="false">INDEX(Monthly!$C$51:$AL$51,($R$2-1)*12+11)</f>
        <v>13888.8888888889</v>
      </c>
      <c r="S44" s="36" t="n">
        <f aca="false">INDEX(Monthly!$C$51:$AL$51,($R$2-1)*12+12)</f>
        <v>13333.3333333333</v>
      </c>
    </row>
    <row r="45" customFormat="false" ht="15" hidden="false" customHeight="false" outlineLevel="0" collapsed="false">
      <c r="A45" s="37" t="s">
        <v>92</v>
      </c>
      <c r="B45" s="38" t="n">
        <f aca="false">'Balance Sheet'!B9</f>
        <v>2333470.06721971</v>
      </c>
      <c r="C45" s="38" t="n">
        <f aca="false">'Balance Sheet'!C9</f>
        <v>1546724.21002463</v>
      </c>
      <c r="D45" s="38" t="n">
        <f aca="false">'Balance Sheet'!D9</f>
        <v>428052.222375349</v>
      </c>
      <c r="E45" s="37"/>
      <c r="F45" s="37"/>
      <c r="H45" s="38" t="n">
        <f aca="false">INDEX(Monthly!$C$94:$AL$94,($R$2-1)*12+1)</f>
        <v>2935713.81944444</v>
      </c>
      <c r="I45" s="38" t="n">
        <f aca="false">INDEX(Monthly!$C$94:$AL$94,($R$2-1)*12+2)</f>
        <v>2870085.68923611</v>
      </c>
      <c r="J45" s="38" t="n">
        <f aca="false">INDEX(Monthly!$C$94:$AL$94,($R$2-1)*12+3)</f>
        <v>2806799.71222743</v>
      </c>
      <c r="K45" s="38" t="n">
        <f aca="false">INDEX(Monthly!$C$94:$AL$94,($R$2-1)*12+4)</f>
        <v>2745797.61903452</v>
      </c>
      <c r="L45" s="38" t="n">
        <f aca="false">INDEX(Monthly!$C$94:$AL$94,($R$2-1)*12+5)</f>
        <v>2687022.58847472</v>
      </c>
      <c r="M45" s="38" t="n">
        <f aca="false">INDEX(Monthly!$C$94:$AL$94,($R$2-1)*12+6)</f>
        <v>2630419.21161754</v>
      </c>
      <c r="N45" s="38" t="n">
        <f aca="false">INDEX(Monthly!$C$94:$AL$94,($R$2-1)*12+7)</f>
        <v>2575933.45672671</v>
      </c>
      <c r="O45" s="38" t="n">
        <f aca="false">INDEX(Monthly!$C$94:$AL$94,($R$2-1)*12+8)</f>
        <v>2523512.63507116</v>
      </c>
      <c r="P45" s="38" t="n">
        <f aca="false">INDEX(Monthly!$C$94:$AL$94,($R$2-1)*12+9)</f>
        <v>2473105.36758356</v>
      </c>
      <c r="Q45" s="38" t="n">
        <f aca="false">INDEX(Monthly!$C$94:$AL$94,($R$2-1)*12+10)</f>
        <v>2424661.55234537</v>
      </c>
      <c r="R45" s="38" t="n">
        <f aca="false">INDEX(Monthly!$C$94:$AL$94,($R$2-1)*12+11)</f>
        <v>2378132.33287792</v>
      </c>
      <c r="S45" s="38" t="n">
        <f aca="false">INDEX(Monthly!$C$94:$AL$94,($R$2-1)*12+12)</f>
        <v>2333470.06721971</v>
      </c>
    </row>
    <row r="46" customFormat="false" ht="15" hidden="false" customHeight="false" outlineLevel="0" collapsed="false">
      <c r="A46" s="51" t="s">
        <v>93</v>
      </c>
      <c r="B46" s="36" t="n">
        <f aca="false">'Balance Sheet'!B10</f>
        <v>3828.7027098661</v>
      </c>
      <c r="C46" s="36" t="n">
        <f aca="false">'Balance Sheet'!C10</f>
        <v>7462.45055381245</v>
      </c>
      <c r="D46" s="36" t="n">
        <f aca="false">'Balance Sheet'!D10</f>
        <v>11395.215307733</v>
      </c>
      <c r="H46" s="36" t="n">
        <f aca="false">INDEX(Monthly!$C$62:$AL$62,($R$2-1)*12+1)</f>
        <v>529.565277777778</v>
      </c>
      <c r="I46" s="36" t="n">
        <f aca="false">INDEX(Monthly!$C$62:$AL$62,($R$2-1)*12+2)</f>
        <v>870.2373125</v>
      </c>
      <c r="J46" s="36" t="n">
        <f aca="false">INDEX(Monthly!$C$62:$AL$62,($R$2-1)*12+3)</f>
        <v>1202.10810024306</v>
      </c>
      <c r="K46" s="36" t="n">
        <f aca="false">INDEX(Monthly!$C$62:$AL$62,($R$2-1)*12+4)</f>
        <v>1525.40620556476</v>
      </c>
      <c r="L46" s="36" t="n">
        <f aca="false">INDEX(Monthly!$C$62:$AL$62,($R$2-1)*12+5)</f>
        <v>1840.35422290747</v>
      </c>
      <c r="M46" s="36" t="n">
        <f aca="false">INDEX(Monthly!$C$62:$AL$62,($R$2-1)*12+6)</f>
        <v>2147.16893353105</v>
      </c>
      <c r="N46" s="36" t="n">
        <f aca="false">INDEX(Monthly!$C$62:$AL$62,($R$2-1)*12+7)</f>
        <v>2446.06145829204</v>
      </c>
      <c r="O46" s="36" t="n">
        <f aca="false">INDEX(Monthly!$C$62:$AL$62,($R$2-1)*12+8)</f>
        <v>2737.23740637992</v>
      </c>
      <c r="P46" s="36" t="n">
        <f aca="false">INDEX(Monthly!$C$62:$AL$62,($R$2-1)*12+9)</f>
        <v>3020.89702011814</v>
      </c>
      <c r="Q46" s="36" t="n">
        <f aca="false">INDEX(Monthly!$C$62:$AL$62,($R$2-1)*12+10)</f>
        <v>3297.23531593485</v>
      </c>
      <c r="R46" s="36" t="n">
        <f aca="false">INDEX(Monthly!$C$62:$AL$62,($R$2-1)*12+11)</f>
        <v>3566.44222160545</v>
      </c>
      <c r="S46" s="36" t="n">
        <f aca="false">INDEX(Monthly!$C$62:$AL$62,($R$2-1)*12+12)</f>
        <v>3828.7027098661</v>
      </c>
    </row>
    <row r="47" customFormat="false" ht="15" hidden="false" customHeight="false" outlineLevel="0" collapsed="false">
      <c r="A47" s="51" t="s">
        <v>94</v>
      </c>
      <c r="B47" s="36" t="n">
        <f aca="false">'Balance Sheet'!B11</f>
        <v>39704.5081766718</v>
      </c>
      <c r="C47" s="36" t="n">
        <f aca="false">'Balance Sheet'!C11</f>
        <v>76664.5333771572</v>
      </c>
      <c r="D47" s="36" t="n">
        <f aca="false">'Balance Sheet'!D11</f>
        <v>117179.094143235</v>
      </c>
      <c r="H47" s="36" t="n">
        <f aca="false">INDEX(Monthly!$C$66:$AL$66,($R$2-1)*12+1)</f>
        <v>7012.5</v>
      </c>
      <c r="I47" s="36" t="n">
        <f aca="false">INDEX(Monthly!$C$66:$AL$66,($R$2-1)*12+2)</f>
        <v>10374.7875</v>
      </c>
      <c r="J47" s="36" t="n">
        <f aca="false">INDEX(Monthly!$C$66:$AL$66,($R$2-1)*12+3)</f>
        <v>13653.0178125</v>
      </c>
      <c r="K47" s="36" t="n">
        <f aca="false">INDEX(Monthly!$C$66:$AL$66,($R$2-1)*12+4)</f>
        <v>16849.2923671875</v>
      </c>
      <c r="L47" s="36" t="n">
        <f aca="false">INDEX(Monthly!$C$66:$AL$66,($R$2-1)*12+5)</f>
        <v>19965.6600580078</v>
      </c>
      <c r="M47" s="36" t="n">
        <f aca="false">INDEX(Monthly!$C$66:$AL$66,($R$2-1)*12+6)</f>
        <v>23004.1185565576</v>
      </c>
      <c r="N47" s="36" t="n">
        <f aca="false">INDEX(Monthly!$C$66:$AL$66,($R$2-1)*12+7)</f>
        <v>25966.6155926437</v>
      </c>
      <c r="O47" s="36" t="n">
        <f aca="false">INDEX(Monthly!$C$66:$AL$66,($R$2-1)*12+8)</f>
        <v>28855.0502028276</v>
      </c>
      <c r="P47" s="36" t="n">
        <f aca="false">INDEX(Monthly!$C$66:$AL$66,($R$2-1)*12+9)</f>
        <v>31671.2739477569</v>
      </c>
      <c r="Q47" s="36" t="n">
        <f aca="false">INDEX(Monthly!$C$66:$AL$66,($R$2-1)*12+10)</f>
        <v>34417.092099063</v>
      </c>
      <c r="R47" s="36" t="n">
        <f aca="false">INDEX(Monthly!$C$66:$AL$66,($R$2-1)*12+11)</f>
        <v>37094.2647965864</v>
      </c>
      <c r="S47" s="36" t="n">
        <f aca="false">INDEX(Monthly!$C$66:$AL$66,($R$2-1)*12+12)</f>
        <v>39704.5081766718</v>
      </c>
    </row>
    <row r="48" customFormat="false" ht="15" hidden="false" customHeight="false" outlineLevel="0" collapsed="false">
      <c r="A48" s="51" t="s">
        <v>95</v>
      </c>
      <c r="B48" s="36" t="n">
        <f aca="false">'Balance Sheet'!B12</f>
        <v>0</v>
      </c>
      <c r="C48" s="36" t="n">
        <f aca="false">'Balance Sheet'!C12</f>
        <v>0</v>
      </c>
      <c r="D48" s="36" t="n">
        <f aca="false">'Balance Sheet'!D12</f>
        <v>0</v>
      </c>
      <c r="H48" s="36" t="n">
        <f aca="false">INDEX(Monthly!$C$57:$AL$57,($R$2-1)*12+1)</f>
        <v>0</v>
      </c>
      <c r="I48" s="36" t="n">
        <f aca="false">INDEX(Monthly!$C$57:$AL$57,($R$2-1)*12+2)</f>
        <v>0</v>
      </c>
      <c r="J48" s="36" t="n">
        <f aca="false">INDEX(Monthly!$C$57:$AL$57,($R$2-1)*12+3)</f>
        <v>0</v>
      </c>
      <c r="K48" s="36" t="n">
        <f aca="false">INDEX(Monthly!$C$57:$AL$57,($R$2-1)*12+4)</f>
        <v>0</v>
      </c>
      <c r="L48" s="36" t="n">
        <f aca="false">INDEX(Monthly!$C$57:$AL$57,($R$2-1)*12+5)</f>
        <v>0</v>
      </c>
      <c r="M48" s="36" t="n">
        <f aca="false">INDEX(Monthly!$C$57:$AL$57,($R$2-1)*12+6)</f>
        <v>0</v>
      </c>
      <c r="N48" s="36" t="n">
        <f aca="false">INDEX(Monthly!$C$57:$AL$57,($R$2-1)*12+7)</f>
        <v>0</v>
      </c>
      <c r="O48" s="36" t="n">
        <f aca="false">INDEX(Monthly!$C$57:$AL$57,($R$2-1)*12+8)</f>
        <v>0</v>
      </c>
      <c r="P48" s="36" t="n">
        <f aca="false">INDEX(Monthly!$C$57:$AL$57,($R$2-1)*12+9)</f>
        <v>0</v>
      </c>
      <c r="Q48" s="36" t="n">
        <f aca="false">INDEX(Monthly!$C$57:$AL$57,($R$2-1)*12+10)</f>
        <v>0</v>
      </c>
      <c r="R48" s="36" t="n">
        <f aca="false">INDEX(Monthly!$C$57:$AL$57,($R$2-1)*12+11)</f>
        <v>0</v>
      </c>
      <c r="S48" s="36" t="n">
        <f aca="false">INDEX(Monthly!$C$57:$AL$57,($R$2-1)*12+12)</f>
        <v>0</v>
      </c>
    </row>
    <row r="49" customFormat="false" ht="15" hidden="false" customHeight="false" outlineLevel="0" collapsed="false">
      <c r="A49" s="37" t="s">
        <v>96</v>
      </c>
      <c r="B49" s="38" t="n">
        <f aca="false">'Balance Sheet'!B13</f>
        <v>43533.2108865379</v>
      </c>
      <c r="C49" s="38" t="n">
        <f aca="false">'Balance Sheet'!C13</f>
        <v>84126.9839309697</v>
      </c>
      <c r="D49" s="38" t="n">
        <f aca="false">'Balance Sheet'!D13</f>
        <v>128574.309450968</v>
      </c>
      <c r="E49" s="37"/>
      <c r="F49" s="37"/>
      <c r="H49" s="38" t="n">
        <f aca="false">INDEX(Monthly!$C$95:$AL$95,($R$2-1)*12+1)</f>
        <v>7542.06527777778</v>
      </c>
      <c r="I49" s="38" t="n">
        <f aca="false">INDEX(Monthly!$C$95:$AL$95,($R$2-1)*12+2)</f>
        <v>11245.0248125</v>
      </c>
      <c r="J49" s="38" t="n">
        <f aca="false">INDEX(Monthly!$C$95:$AL$95,($R$2-1)*12+3)</f>
        <v>14855.1259127431</v>
      </c>
      <c r="K49" s="38" t="n">
        <f aca="false">INDEX(Monthly!$C$95:$AL$95,($R$2-1)*12+4)</f>
        <v>18374.6985727523</v>
      </c>
      <c r="L49" s="38" t="n">
        <f aca="false">INDEX(Monthly!$C$95:$AL$95,($R$2-1)*12+5)</f>
        <v>21806.0142809153</v>
      </c>
      <c r="M49" s="38" t="n">
        <f aca="false">INDEX(Monthly!$C$95:$AL$95,($R$2-1)*12+6)</f>
        <v>25151.2874900887</v>
      </c>
      <c r="N49" s="38" t="n">
        <f aca="false">INDEX(Monthly!$C$95:$AL$95,($R$2-1)*12+7)</f>
        <v>28412.6770509357</v>
      </c>
      <c r="O49" s="38" t="n">
        <f aca="false">INDEX(Monthly!$C$95:$AL$95,($R$2-1)*12+8)</f>
        <v>31592.2876092075</v>
      </c>
      <c r="P49" s="38" t="n">
        <f aca="false">INDEX(Monthly!$C$95:$AL$95,($R$2-1)*12+9)</f>
        <v>34692.170967875</v>
      </c>
      <c r="Q49" s="38" t="n">
        <f aca="false">INDEX(Monthly!$C$95:$AL$95,($R$2-1)*12+10)</f>
        <v>37714.3274149978</v>
      </c>
      <c r="R49" s="38" t="n">
        <f aca="false">INDEX(Monthly!$C$95:$AL$95,($R$2-1)*12+11)</f>
        <v>40660.7070181919</v>
      </c>
      <c r="S49" s="38" t="n">
        <f aca="false">INDEX(Monthly!$C$95:$AL$95,($R$2-1)*12+12)</f>
        <v>43533.2108865379</v>
      </c>
    </row>
    <row r="50" customFormat="false" ht="15" hidden="false" customHeight="false" outlineLevel="0" collapsed="false">
      <c r="A50" s="51" t="s">
        <v>97</v>
      </c>
      <c r="B50" s="36" t="n">
        <f aca="false">'Balance Sheet'!B14</f>
        <v>3000000</v>
      </c>
      <c r="C50" s="36" t="n">
        <f aca="false">'Balance Sheet'!C14</f>
        <v>3000000</v>
      </c>
      <c r="D50" s="36" t="n">
        <f aca="false">'Balance Sheet'!D14</f>
        <v>3000000</v>
      </c>
      <c r="H50" s="36" t="n">
        <f aca="false">INDEX(Monthly!$C$92:$AL$92,($R$2-1)*12+1)</f>
        <v>3000000</v>
      </c>
      <c r="I50" s="36" t="n">
        <f aca="false">INDEX(Monthly!$C$92:$AL$92,($R$2-1)*12+2)</f>
        <v>3000000</v>
      </c>
      <c r="J50" s="36" t="n">
        <f aca="false">INDEX(Monthly!$C$92:$AL$92,($R$2-1)*12+3)</f>
        <v>3000000</v>
      </c>
      <c r="K50" s="36" t="n">
        <f aca="false">INDEX(Monthly!$C$92:$AL$92,($R$2-1)*12+4)</f>
        <v>3000000</v>
      </c>
      <c r="L50" s="36" t="n">
        <f aca="false">INDEX(Monthly!$C$92:$AL$92,($R$2-1)*12+5)</f>
        <v>3000000</v>
      </c>
      <c r="M50" s="36" t="n">
        <f aca="false">INDEX(Monthly!$C$92:$AL$92,($R$2-1)*12+6)</f>
        <v>3000000</v>
      </c>
      <c r="N50" s="36" t="n">
        <f aca="false">INDEX(Monthly!$C$92:$AL$92,($R$2-1)*12+7)</f>
        <v>3000000</v>
      </c>
      <c r="O50" s="36" t="n">
        <f aca="false">INDEX(Monthly!$C$92:$AL$92,($R$2-1)*12+8)</f>
        <v>3000000</v>
      </c>
      <c r="P50" s="36" t="n">
        <f aca="false">INDEX(Monthly!$C$92:$AL$92,($R$2-1)*12+9)</f>
        <v>3000000</v>
      </c>
      <c r="Q50" s="36" t="n">
        <f aca="false">INDEX(Monthly!$C$92:$AL$92,($R$2-1)*12+10)</f>
        <v>3000000</v>
      </c>
      <c r="R50" s="36" t="n">
        <f aca="false">INDEX(Monthly!$C$92:$AL$92,($R$2-1)*12+11)</f>
        <v>3000000</v>
      </c>
      <c r="S50" s="36" t="n">
        <f aca="false">INDEX(Monthly!$C$92:$AL$92,($R$2-1)*12+12)</f>
        <v>3000000</v>
      </c>
    </row>
    <row r="51" customFormat="false" ht="15" hidden="false" customHeight="false" outlineLevel="0" collapsed="false">
      <c r="A51" s="51" t="s">
        <v>98</v>
      </c>
      <c r="B51" s="36" t="n">
        <f aca="false">'Balance Sheet'!B15</f>
        <v>-710063.143666832</v>
      </c>
      <c r="C51" s="36" t="n">
        <f aca="false">'Balance Sheet'!C15</f>
        <v>-1537402.77390634</v>
      </c>
      <c r="D51" s="36" t="n">
        <f aca="false">'Balance Sheet'!D15</f>
        <v>-2700522.08707562</v>
      </c>
      <c r="H51" s="36" t="n">
        <f aca="false">INDEX(Monthly!$C$93:$AL$93,($R$2-1)*12+1)</f>
        <v>-71828.2458333333</v>
      </c>
      <c r="I51" s="36" t="n">
        <f aca="false">INDEX(Monthly!$C$93:$AL$93,($R$2-1)*12+2)</f>
        <v>-141159.335576389</v>
      </c>
      <c r="J51" s="36" t="n">
        <f aca="false">INDEX(Monthly!$C$93:$AL$93,($R$2-1)*12+3)</f>
        <v>-208055.413685313</v>
      </c>
      <c r="K51" s="36" t="n">
        <f aca="false">INDEX(Monthly!$C$93:$AL$93,($R$2-1)*12+4)</f>
        <v>-272577.07953823</v>
      </c>
      <c r="L51" s="36" t="n">
        <f aca="false">INDEX(Monthly!$C$93:$AL$93,($R$2-1)*12+5)</f>
        <v>-334783.425806195</v>
      </c>
      <c r="M51" s="36" t="n">
        <f aca="false">INDEX(Monthly!$C$93:$AL$93,($R$2-1)*12+6)</f>
        <v>-394732.075872546</v>
      </c>
      <c r="N51" s="36" t="n">
        <f aca="false">INDEX(Monthly!$C$93:$AL$93,($R$2-1)*12+7)</f>
        <v>-452479.220324226</v>
      </c>
      <c r="O51" s="36" t="n">
        <f aca="false">INDEX(Monthly!$C$93:$AL$93,($R$2-1)*12+8)</f>
        <v>-508079.652538049</v>
      </c>
      <c r="P51" s="36" t="n">
        <f aca="false">INDEX(Monthly!$C$93:$AL$93,($R$2-1)*12+9)</f>
        <v>-561586.803384312</v>
      </c>
      <c r="Q51" s="36" t="n">
        <f aca="false">INDEX(Monthly!$C$93:$AL$93,($R$2-1)*12+10)</f>
        <v>-613052.775069627</v>
      </c>
      <c r="R51" s="36" t="n">
        <f aca="false">INDEX(Monthly!$C$93:$AL$93,($R$2-1)*12+11)</f>
        <v>-662528.374140268</v>
      </c>
      <c r="S51" s="36" t="n">
        <f aca="false">INDEX(Monthly!$C$93:$AL$93,($R$2-1)*12+12)</f>
        <v>-710063.143666832</v>
      </c>
    </row>
    <row r="52" customFormat="false" ht="15" hidden="false" customHeight="false" outlineLevel="0" collapsed="false">
      <c r="A52" s="37" t="s">
        <v>99</v>
      </c>
      <c r="B52" s="38" t="n">
        <f aca="false">'Balance Sheet'!B16</f>
        <v>2289936.85633317</v>
      </c>
      <c r="C52" s="38" t="n">
        <f aca="false">'Balance Sheet'!C16</f>
        <v>1462597.22609366</v>
      </c>
      <c r="D52" s="38" t="n">
        <f aca="false">'Balance Sheet'!D16</f>
        <v>299477.91292438</v>
      </c>
      <c r="E52" s="37"/>
      <c r="F52" s="37"/>
      <c r="H52" s="38" t="n">
        <f aca="false">INDEX(Monthly!$C$96:$AL$96,($R$2-1)*12+1)</f>
        <v>2928171.75416667</v>
      </c>
      <c r="I52" s="38" t="n">
        <f aca="false">INDEX(Monthly!$C$96:$AL$96,($R$2-1)*12+2)</f>
        <v>2858840.66442361</v>
      </c>
      <c r="J52" s="38" t="n">
        <f aca="false">INDEX(Monthly!$C$96:$AL$96,($R$2-1)*12+3)</f>
        <v>2791944.58631469</v>
      </c>
      <c r="K52" s="38" t="n">
        <f aca="false">INDEX(Monthly!$C$96:$AL$96,($R$2-1)*12+4)</f>
        <v>2727422.92046177</v>
      </c>
      <c r="L52" s="38" t="n">
        <f aca="false">INDEX(Monthly!$C$96:$AL$96,($R$2-1)*12+5)</f>
        <v>2665216.57419381</v>
      </c>
      <c r="M52" s="38" t="n">
        <f aca="false">INDEX(Monthly!$C$96:$AL$96,($R$2-1)*12+6)</f>
        <v>2605267.92412745</v>
      </c>
      <c r="N52" s="38" t="n">
        <f aca="false">INDEX(Monthly!$C$96:$AL$96,($R$2-1)*12+7)</f>
        <v>2547520.77967577</v>
      </c>
      <c r="O52" s="38" t="n">
        <f aca="false">INDEX(Monthly!$C$96:$AL$96,($R$2-1)*12+8)</f>
        <v>2491920.34746195</v>
      </c>
      <c r="P52" s="38" t="n">
        <f aca="false">INDEX(Monthly!$C$96:$AL$96,($R$2-1)*12+9)</f>
        <v>2438413.19661569</v>
      </c>
      <c r="Q52" s="38" t="n">
        <f aca="false">INDEX(Monthly!$C$96:$AL$96,($R$2-1)*12+10)</f>
        <v>2386947.22493037</v>
      </c>
      <c r="R52" s="38" t="n">
        <f aca="false">INDEX(Monthly!$C$96:$AL$96,($R$2-1)*12+11)</f>
        <v>2337471.62585973</v>
      </c>
      <c r="S52" s="38" t="n">
        <f aca="false">INDEX(Monthly!$C$96:$AL$96,($R$2-1)*12+12)</f>
        <v>2289936.85633317</v>
      </c>
    </row>
    <row r="53" customFormat="false" ht="15" hidden="false" customHeight="false" outlineLevel="0" collapsed="false">
      <c r="A53" s="41" t="s">
        <v>100</v>
      </c>
      <c r="B53" s="42" t="n">
        <f aca="false">'Balance Sheet'!B17</f>
        <v>2333470.06721971</v>
      </c>
      <c r="C53" s="42" t="n">
        <f aca="false">'Balance Sheet'!C17</f>
        <v>1546724.21002463</v>
      </c>
      <c r="D53" s="42" t="n">
        <f aca="false">'Balance Sheet'!D17</f>
        <v>428052.222375348</v>
      </c>
      <c r="E53" s="41"/>
      <c r="F53" s="41"/>
      <c r="H53" s="42" t="n">
        <f aca="false">INDEX(Monthly!$C$97:$AL$97,($R$2-1)*12+1)</f>
        <v>2935713.81944444</v>
      </c>
      <c r="I53" s="42" t="n">
        <f aca="false">INDEX(Monthly!$C$97:$AL$97,($R$2-1)*12+2)</f>
        <v>2870085.68923611</v>
      </c>
      <c r="J53" s="42" t="n">
        <f aca="false">INDEX(Monthly!$C$97:$AL$97,($R$2-1)*12+3)</f>
        <v>2806799.71222743</v>
      </c>
      <c r="K53" s="42" t="n">
        <f aca="false">INDEX(Monthly!$C$97:$AL$97,($R$2-1)*12+4)</f>
        <v>2745797.61903452</v>
      </c>
      <c r="L53" s="42" t="n">
        <f aca="false">INDEX(Monthly!$C$97:$AL$97,($R$2-1)*12+5)</f>
        <v>2687022.58847472</v>
      </c>
      <c r="M53" s="42" t="n">
        <f aca="false">INDEX(Monthly!$C$97:$AL$97,($R$2-1)*12+6)</f>
        <v>2630419.21161754</v>
      </c>
      <c r="N53" s="42" t="n">
        <f aca="false">INDEX(Monthly!$C$97:$AL$97,($R$2-1)*12+7)</f>
        <v>2575933.45672671</v>
      </c>
      <c r="O53" s="42" t="n">
        <f aca="false">INDEX(Monthly!$C$97:$AL$97,($R$2-1)*12+8)</f>
        <v>2523512.63507116</v>
      </c>
      <c r="P53" s="42" t="n">
        <f aca="false">INDEX(Monthly!$C$97:$AL$97,($R$2-1)*12+9)</f>
        <v>2473105.36758356</v>
      </c>
      <c r="Q53" s="42" t="n">
        <f aca="false">INDEX(Monthly!$C$97:$AL$97,($R$2-1)*12+10)</f>
        <v>2424661.55234537</v>
      </c>
      <c r="R53" s="42" t="n">
        <f aca="false">INDEX(Monthly!$C$97:$AL$97,($R$2-1)*12+11)</f>
        <v>2378132.33287792</v>
      </c>
      <c r="S53" s="42" t="n">
        <f aca="false">INDEX(Monthly!$C$97:$AL$97,($R$2-1)*12+12)</f>
        <v>2333470.06721971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2" t="n">
        <f aca="false">Inputs!$B$7</f>
        <v>30</v>
      </c>
      <c r="C7" s="52" t="n">
        <f aca="false">Inputs!$C$7</f>
        <v>30</v>
      </c>
      <c r="D7" s="52" t="n">
        <f aca="false">Inputs!$D$7</f>
        <v>30</v>
      </c>
      <c r="E7" s="53" t="n">
        <f aca="false">Inputs!$E$7</f>
        <v>30</v>
      </c>
    </row>
    <row r="8" customFormat="false" ht="15" hidden="false" customHeight="false" outlineLevel="0" collapsed="false">
      <c r="A8" s="6" t="s">
        <v>110</v>
      </c>
      <c r="B8" s="54" t="n">
        <f aca="false">Inputs!$B$8</f>
        <v>79</v>
      </c>
      <c r="C8" s="54" t="n">
        <f aca="false">Inputs!$C$8</f>
        <v>99</v>
      </c>
      <c r="D8" s="54" t="n">
        <f aca="false">Inputs!$D$8</f>
        <v>119</v>
      </c>
      <c r="E8" s="55" t="n">
        <f aca="false">Inputs!$E$8</f>
        <v>99</v>
      </c>
    </row>
    <row r="9" customFormat="false" ht="15" hidden="false" customHeight="false" outlineLevel="0" collapsed="false">
      <c r="A9" s="6" t="s">
        <v>111</v>
      </c>
      <c r="B9" s="56" t="n">
        <f aca="false">Inputs!$B$10</f>
        <v>0.045</v>
      </c>
      <c r="C9" s="56" t="n">
        <f aca="false">Inputs!$C$10</f>
        <v>0.03</v>
      </c>
      <c r="D9" s="56" t="n">
        <f aca="false">Inputs!$D$10</f>
        <v>0.02</v>
      </c>
      <c r="E9" s="57" t="n">
        <f aca="false">Inputs!$E$10</f>
        <v>0.03</v>
      </c>
    </row>
    <row r="10" customFormat="false" ht="15" hidden="false" customHeight="false" outlineLevel="0" collapsed="false">
      <c r="A10" s="6" t="s">
        <v>112</v>
      </c>
      <c r="B10" s="58" t="n">
        <f aca="false">Inputs!$B$12</f>
        <v>8</v>
      </c>
      <c r="C10" s="58" t="n">
        <f aca="false">Inputs!$C$12</f>
        <v>12</v>
      </c>
      <c r="D10" s="58" t="n">
        <f aca="false">Inputs!$D$12</f>
        <v>18</v>
      </c>
      <c r="E10" s="59" t="n">
        <f aca="false">Inputs!$E$12</f>
        <v>12</v>
      </c>
    </row>
    <row r="11" customFormat="false" ht="15" hidden="false" customHeight="false" outlineLevel="0" collapsed="false">
      <c r="A11" s="6" t="s">
        <v>113</v>
      </c>
      <c r="B11" s="54" t="n">
        <f aca="false">Inputs!$B$14</f>
        <v>8000</v>
      </c>
      <c r="C11" s="54" t="n">
        <f aca="false">Inputs!$C$14</f>
        <v>8000</v>
      </c>
      <c r="D11" s="54" t="n">
        <f aca="false">Inputs!$D$14</f>
        <v>8000</v>
      </c>
      <c r="E11" s="55" t="n">
        <f aca="false">Inputs!$E$14</f>
        <v>8000</v>
      </c>
    </row>
    <row r="12" customFormat="false" ht="15" hidden="false" customHeight="false" outlineLevel="0" collapsed="false">
      <c r="A12" s="6" t="s">
        <v>114</v>
      </c>
      <c r="B12" s="54" t="n">
        <f aca="false">Inputs!$B$16</f>
        <v>600</v>
      </c>
      <c r="C12" s="54" t="n">
        <f aca="false">Inputs!$C$16</f>
        <v>450</v>
      </c>
      <c r="D12" s="54" t="n">
        <f aca="false">Inputs!$D$16</f>
        <v>350</v>
      </c>
      <c r="E12" s="55" t="n">
        <f aca="false">Inputs!$E$16</f>
        <v>450</v>
      </c>
    </row>
    <row r="13" customFormat="false" ht="15" hidden="false" customHeight="false" outlineLevel="0" collapsed="false">
      <c r="A13" s="6" t="s">
        <v>115</v>
      </c>
      <c r="B13" s="54" t="n">
        <f aca="false">Inputs!$B$46</f>
        <v>3000000</v>
      </c>
      <c r="C13" s="54" t="n">
        <f aca="false">Inputs!$C$46</f>
        <v>3000000</v>
      </c>
      <c r="D13" s="54" t="n">
        <f aca="false">Inputs!$D$46</f>
        <v>3000000</v>
      </c>
      <c r="E13" s="55" t="n">
        <f aca="false">Inputs!$E$46</f>
        <v>3000000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</row>
    <row r="16" customFormat="false" ht="15" hidden="false" customHeight="false" outlineLevel="0" collapsed="false">
      <c r="A16" s="33" t="s">
        <v>117</v>
      </c>
      <c r="B16" s="35" t="s">
        <v>105</v>
      </c>
      <c r="C16" s="35" t="s">
        <v>106</v>
      </c>
      <c r="D16" s="35" t="s">
        <v>107</v>
      </c>
      <c r="E16" s="35" t="s">
        <v>108</v>
      </c>
    </row>
    <row r="17" customFormat="false" ht="15" hidden="false" customHeight="false" outlineLevel="0" collapsed="false">
      <c r="A17" s="6" t="s">
        <v>118</v>
      </c>
      <c r="B17" s="60" t="n">
        <f aca="false">D30</f>
        <v>402920.185349924</v>
      </c>
      <c r="C17" s="60" t="n">
        <f aca="false">D31</f>
        <v>979388.559956597</v>
      </c>
      <c r="D17" s="60" t="n">
        <f aca="false">D32</f>
        <v>2128410.73729818</v>
      </c>
      <c r="E17" s="61" t="n">
        <f aca="false">'P&amp;L'!D5</f>
        <v>979388.559956597</v>
      </c>
    </row>
    <row r="18" customFormat="false" ht="15" hidden="false" customHeight="false" outlineLevel="0" collapsed="false">
      <c r="A18" s="6" t="s">
        <v>119</v>
      </c>
      <c r="B18" s="60" t="n">
        <f aca="false">SUM(B30:D30)</f>
        <v>809007.682218445</v>
      </c>
      <c r="C18" s="60" t="n">
        <f aca="false">SUM(B31:D31)</f>
        <v>1795926.82962517</v>
      </c>
      <c r="D18" s="60" t="n">
        <f aca="false">SUM(B32:D32)</f>
        <v>3639921.14636993</v>
      </c>
      <c r="E18" s="61" t="n">
        <f aca="false">SUM('P&amp;L'!$B$5:$D$5)</f>
        <v>1795926.82962517</v>
      </c>
    </row>
    <row r="19" customFormat="false" ht="15" hidden="false" customHeight="false" outlineLevel="0" collapsed="false">
      <c r="A19" s="6" t="s">
        <v>120</v>
      </c>
      <c r="B19" s="60" t="n">
        <f aca="false">D36</f>
        <v>-1680568.60342434</v>
      </c>
      <c r="C19" s="60" t="n">
        <f aca="false">D37</f>
        <v>-1156452.64650262</v>
      </c>
      <c r="D19" s="60" t="n">
        <f aca="false">D38</f>
        <v>-84273.9887926618</v>
      </c>
      <c r="E19" s="61" t="n">
        <f aca="false">'P&amp;L'!D15</f>
        <v>-1156452.64650262</v>
      </c>
    </row>
    <row r="20" customFormat="false" ht="15" hidden="false" customHeight="false" outlineLevel="0" collapsed="false">
      <c r="A20" s="6" t="s">
        <v>121</v>
      </c>
      <c r="B20" s="62" t="n">
        <f aca="false">IF(B17=0,0,B19/B17)</f>
        <v>-4.17097148400451</v>
      </c>
      <c r="C20" s="62" t="n">
        <f aca="false">IF(C17=0,0,C19/C17)</f>
        <v>-1.18079043781547</v>
      </c>
      <c r="D20" s="62" t="n">
        <f aca="false">IF(D17=0,0,D19/D17)</f>
        <v>-0.0395947959272372</v>
      </c>
      <c r="E20" s="63" t="n">
        <f aca="false">IF(E17=0,0,E19/E17)</f>
        <v>-1.18079043781547</v>
      </c>
    </row>
    <row r="21" customFormat="false" ht="15" hidden="false" customHeight="false" outlineLevel="0" collapsed="false">
      <c r="A21" s="6" t="s">
        <v>122</v>
      </c>
      <c r="B21" s="60" t="n">
        <f aca="false">D42</f>
        <v>-1687235.27009101</v>
      </c>
      <c r="C21" s="60" t="n">
        <f aca="false">D43</f>
        <v>-1163119.31316928</v>
      </c>
      <c r="D21" s="60" t="n">
        <f aca="false">D44</f>
        <v>-90940.6554593285</v>
      </c>
      <c r="E21" s="61" t="n">
        <f aca="false">'P&amp;L'!D22</f>
        <v>-1163119.31316928</v>
      </c>
    </row>
    <row r="22" customFormat="false" ht="15" hidden="false" customHeight="false" outlineLevel="0" collapsed="false">
      <c r="A22" s="6" t="s">
        <v>123</v>
      </c>
      <c r="B22" s="60" t="n">
        <f aca="false">SUM(B42:D42)</f>
        <v>-3601792.65036493</v>
      </c>
      <c r="C22" s="60" t="n">
        <f aca="false">SUM(B43:D43)</f>
        <v>-2700522.08707562</v>
      </c>
      <c r="D22" s="60" t="n">
        <f aca="false">SUM(B44:D44)</f>
        <v>-974331.325504101</v>
      </c>
      <c r="E22" s="61" t="n">
        <f aca="false">SUM('P&amp;L'!$B$22:$D$22)</f>
        <v>-2700522.08707562</v>
      </c>
    </row>
    <row r="23" customFormat="false" ht="15" hidden="false" customHeight="false" outlineLevel="0" collapsed="false">
      <c r="A23" s="6" t="s">
        <v>124</v>
      </c>
      <c r="B23" s="60" t="n">
        <f aca="false">D48</f>
        <v>-556667.823183717</v>
      </c>
      <c r="C23" s="60" t="n">
        <f aca="false">D49</f>
        <v>411980.553657166</v>
      </c>
      <c r="D23" s="60" t="n">
        <f aca="false">D50</f>
        <v>2277434.84153472</v>
      </c>
      <c r="E23" s="61" t="n">
        <f aca="false">'Balance Sheet'!D5</f>
        <v>411980.553657166</v>
      </c>
    </row>
    <row r="24" customFormat="false" ht="15" hidden="false" customHeight="false" outlineLevel="0" collapsed="false">
      <c r="A24" s="6" t="s">
        <v>125</v>
      </c>
      <c r="B24" s="60" t="n">
        <f aca="false">MIN('Scenario calc'!$C$78:$AL$78)</f>
        <v>-556667.823183717</v>
      </c>
      <c r="C24" s="60" t="n">
        <f aca="false">MIN('Scenario calc'!$C$191:$AL$191)</f>
        <v>411980.553657166</v>
      </c>
      <c r="D24" s="60" t="n">
        <f aca="false">MIN('Scenario calc'!$C$304:$AL$304)</f>
        <v>2138580.37626337</v>
      </c>
      <c r="E24" s="61" t="n">
        <f aca="false">'Break-even'!B18</f>
        <v>411980.553657166</v>
      </c>
    </row>
    <row r="25" customFormat="false" ht="15" hidden="false" customHeight="false" outlineLevel="0" collapsed="false">
      <c r="A25" s="6" t="s">
        <v>126</v>
      </c>
      <c r="B25" s="64" t="n">
        <f aca="false">MATCH(MIN('Scenario calc'!$C$78:$AL$78),'Scenario calc'!$C$78:$AL$78,0)</f>
        <v>36</v>
      </c>
      <c r="C25" s="64" t="n">
        <f aca="false">MATCH(MIN('Scenario calc'!$C$191:$AL$191),'Scenario calc'!$C$191:$AL$191,0)</f>
        <v>36</v>
      </c>
      <c r="D25" s="64" t="n">
        <f aca="false">MATCH(MIN('Scenario calc'!$C$304:$AL$304),'Scenario calc'!$C$304:$AL$304,0)</f>
        <v>30</v>
      </c>
      <c r="E25" s="65" t="n">
        <f aca="false">'Break-even'!B6</f>
        <v>36</v>
      </c>
    </row>
    <row r="26" customFormat="false" ht="15" hidden="false" customHeight="false" outlineLevel="0" collapsed="false">
      <c r="A26" s="4" t="s">
        <v>65</v>
      </c>
      <c r="B26" s="60" t="n">
        <f aca="false">SUMPRODUCT(--('Scenario calc'!$C$6:$AL$6&lt;=B25),'Scenario calc'!$C$49:$AL$49)-SUMPRODUCT(--('Scenario calc'!$C$6:$AL$6&lt;=B25),'Scenario calc'!$C$72:$AL$72)-SUMPRODUCT(--('Scenario calc'!$C$6:$AL$6&lt;=B25),'Scenario calc'!$C$58:$AL$58)+Inputs!$B$61</f>
        <v>3781667.82318372</v>
      </c>
      <c r="C26" s="60" t="n">
        <f aca="false">SUMPRODUCT(--('Scenario calc'!$C$119:$AL$119&lt;=C25),'Scenario calc'!$C$162:$AL$162)-SUMPRODUCT(--('Scenario calc'!$C$119:$AL$119&lt;=C25),'Scenario calc'!$C$185:$AL$185)-SUMPRODUCT(--('Scenario calc'!$C$119:$AL$119&lt;=C25),'Scenario calc'!$C$171:$AL$171)+Inputs!$C$61</f>
        <v>2813019.44634283</v>
      </c>
      <c r="D26" s="60" t="n">
        <f aca="false">SUMPRODUCT(--('Scenario calc'!$C$232:$AL$232&lt;=D25),'Scenario calc'!$C$275:$AL$275)-SUMPRODUCT(--('Scenario calc'!$C$232:$AL$232&lt;=D25),'Scenario calc'!$C$298:$AL$298)-SUMPRODUCT(--('Scenario calc'!$C$232:$AL$232&lt;=D25),'Scenario calc'!$C$284:$AL$284)+Inputs!$D$61</f>
        <v>1086419.62373663</v>
      </c>
      <c r="E26" s="61" t="n">
        <f aca="false">'Break-even'!B12</f>
        <v>2813019.44634283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</row>
    <row r="30" customFormat="false" ht="15" hidden="false" customHeight="false" outlineLevel="0" collapsed="false">
      <c r="A30" s="6" t="s">
        <v>105</v>
      </c>
      <c r="B30" s="60" t="n">
        <f aca="false">SUMIF('Scenario calc'!$C$7:$AL$7,B$29,'Scenario calc'!$C$26:$AL$26)</f>
        <v>125924.626019004</v>
      </c>
      <c r="C30" s="60" t="n">
        <f aca="false">SUMIF('Scenario calc'!$C$7:$AL$7,C$29,'Scenario calc'!$C$26:$AL$26)</f>
        <v>280162.870849517</v>
      </c>
      <c r="D30" s="60" t="n">
        <f aca="false">SUMIF('Scenario calc'!$C$7:$AL$7,D$29,'Scenario calc'!$C$26:$AL$26)</f>
        <v>402920.185349924</v>
      </c>
    </row>
    <row r="31" customFormat="false" ht="15" hidden="false" customHeight="false" outlineLevel="0" collapsed="false">
      <c r="A31" s="6" t="s">
        <v>106</v>
      </c>
      <c r="B31" s="60" t="n">
        <f aca="false">SUMIF('Scenario calc'!$C$120:$AL$120,B$29,'Scenario calc'!$C$139:$AL$139)</f>
        <v>225414.939184555</v>
      </c>
      <c r="C31" s="60" t="n">
        <f aca="false">SUMIF('Scenario calc'!$C$120:$AL$120,C$29,'Scenario calc'!$C$139:$AL$139)</f>
        <v>591123.330484019</v>
      </c>
      <c r="D31" s="60" t="n">
        <f aca="false">SUMIF('Scenario calc'!$C$120:$AL$120,D$29,'Scenario calc'!$C$139:$AL$139)</f>
        <v>979388.559956597</v>
      </c>
    </row>
    <row r="32" customFormat="false" ht="15" hidden="false" customHeight="false" outlineLevel="0" collapsed="false">
      <c r="A32" s="6" t="s">
        <v>107</v>
      </c>
      <c r="B32" s="60" t="n">
        <f aca="false">SUMIF('Scenario calc'!$C$233:$AL$233,B$29,'Scenario calc'!$C$252:$AL$252)</f>
        <v>378410.09831737</v>
      </c>
      <c r="C32" s="60" t="n">
        <f aca="false">SUMIF('Scenario calc'!$C$233:$AL$233,C$29,'Scenario calc'!$C$252:$AL$252)</f>
        <v>1133100.31075438</v>
      </c>
      <c r="D32" s="60" t="n">
        <f aca="false">SUMIF('Scenario calc'!$C$233:$AL$233,D$29,'Scenario calc'!$C$252:$AL$252)</f>
        <v>2128410.73729818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</row>
    <row r="36" customFormat="false" ht="15" hidden="false" customHeight="false" outlineLevel="0" collapsed="false">
      <c r="A36" s="6" t="s">
        <v>105</v>
      </c>
      <c r="B36" s="60" t="n">
        <f aca="false">SUMIF('Scenario calc'!$C$7:$AL$7,B$35,'Scenario calc'!$C$37:$AL$37)</f>
        <v>-795768.276926783</v>
      </c>
      <c r="C36" s="60" t="n">
        <f aca="false">SUMIF('Scenario calc'!$C$7:$AL$7,C$35,'Scenario calc'!$C$37:$AL$37)</f>
        <v>-1105455.7700138</v>
      </c>
      <c r="D36" s="60" t="n">
        <f aca="false">SUMIF('Scenario calc'!$C$7:$AL$7,D$35,'Scenario calc'!$C$37:$AL$37)</f>
        <v>-1680568.60342434</v>
      </c>
    </row>
    <row r="37" customFormat="false" ht="15" hidden="false" customHeight="false" outlineLevel="0" collapsed="false">
      <c r="A37" s="6" t="s">
        <v>106</v>
      </c>
      <c r="B37" s="60" t="n">
        <f aca="false">SUMIF('Scenario calc'!$C$120:$AL$120,B$35,'Scenario calc'!$C$150:$AL$150)</f>
        <v>-703396.477000165</v>
      </c>
      <c r="C37" s="60" t="n">
        <f aca="false">SUMIF('Scenario calc'!$C$120:$AL$120,C$35,'Scenario calc'!$C$150:$AL$150)</f>
        <v>-820672.963572839</v>
      </c>
      <c r="D37" s="60" t="n">
        <f aca="false">SUMIF('Scenario calc'!$C$120:$AL$120,D$35,'Scenario calc'!$C$150:$AL$150)</f>
        <v>-1156452.64650262</v>
      </c>
    </row>
    <row r="38" customFormat="false" ht="15" hidden="false" customHeight="false" outlineLevel="0" collapsed="false">
      <c r="A38" s="6" t="s">
        <v>107</v>
      </c>
      <c r="B38" s="60" t="n">
        <f aca="false">SUMIF('Scenario calc'!$C$233:$AL$233,B$35,'Scenario calc'!$C$263:$AL$263)</f>
        <v>-558259.052952117</v>
      </c>
      <c r="C38" s="60" t="n">
        <f aca="false">SUMIF('Scenario calc'!$C$233:$AL$233,C$35,'Scenario calc'!$C$263:$AL$263)</f>
        <v>-311798.283759322</v>
      </c>
      <c r="D38" s="60" t="n">
        <f aca="false">SUMIF('Scenario calc'!$C$233:$AL$233,D$35,'Scenario calc'!$C$263:$AL$263)</f>
        <v>-84273.9887926618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</row>
    <row r="42" customFormat="false" ht="15" hidden="false" customHeight="false" outlineLevel="0" collapsed="false">
      <c r="A42" s="6" t="s">
        <v>105</v>
      </c>
      <c r="B42" s="60" t="n">
        <f aca="false">SUMIF('Scenario calc'!$C$7:$AL$7,B$41,'Scenario calc'!$C$46:$AL$46)</f>
        <v>-802434.943593449</v>
      </c>
      <c r="C42" s="60" t="n">
        <f aca="false">SUMIF('Scenario calc'!$C$7:$AL$7,C$41,'Scenario calc'!$C$46:$AL$46)</f>
        <v>-1112122.43668047</v>
      </c>
      <c r="D42" s="60" t="n">
        <f aca="false">SUMIF('Scenario calc'!$C$7:$AL$7,D$41,'Scenario calc'!$C$46:$AL$46)</f>
        <v>-1687235.27009101</v>
      </c>
    </row>
    <row r="43" customFormat="false" ht="15" hidden="false" customHeight="false" outlineLevel="0" collapsed="false">
      <c r="A43" s="6" t="s">
        <v>106</v>
      </c>
      <c r="B43" s="60" t="n">
        <f aca="false">SUMIF('Scenario calc'!$C$120:$AL$120,B$41,'Scenario calc'!$C$159:$AL$159)</f>
        <v>-710063.143666832</v>
      </c>
      <c r="C43" s="60" t="n">
        <f aca="false">SUMIF('Scenario calc'!$C$120:$AL$120,C$41,'Scenario calc'!$C$159:$AL$159)</f>
        <v>-827339.630239505</v>
      </c>
      <c r="D43" s="60" t="n">
        <f aca="false">SUMIF('Scenario calc'!$C$120:$AL$120,D$41,'Scenario calc'!$C$159:$AL$159)</f>
        <v>-1163119.31316928</v>
      </c>
    </row>
    <row r="44" customFormat="false" ht="15" hidden="false" customHeight="false" outlineLevel="0" collapsed="false">
      <c r="A44" s="6" t="s">
        <v>107</v>
      </c>
      <c r="B44" s="60" t="n">
        <f aca="false">SUMIF('Scenario calc'!$C$233:$AL$233,B$41,'Scenario calc'!$C$272:$AL$272)</f>
        <v>-564925.719618784</v>
      </c>
      <c r="C44" s="60" t="n">
        <f aca="false">SUMIF('Scenario calc'!$C$233:$AL$233,C$41,'Scenario calc'!$C$272:$AL$272)</f>
        <v>-318464.950425989</v>
      </c>
      <c r="D44" s="60" t="n">
        <f aca="false">SUMIF('Scenario calc'!$C$233:$AL$233,D$41,'Scenario calc'!$C$272:$AL$272)</f>
        <v>-90940.6554593285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</row>
    <row r="48" customFormat="false" ht="15" hidden="false" customHeight="false" outlineLevel="0" collapsed="false">
      <c r="A48" s="6" t="s">
        <v>105</v>
      </c>
      <c r="B48" s="60" t="n">
        <f aca="false">INDEX('Scenario calc'!$C$78:$AL$78,B$47*12)</f>
        <v>2204800.77938623</v>
      </c>
      <c r="C48" s="60" t="n">
        <f aca="false">INDEX('Scenario calc'!$C$78:$AL$78,C$47*12)</f>
        <v>1112631.86476478</v>
      </c>
      <c r="D48" s="60" t="n">
        <f aca="false">INDEX('Scenario calc'!$C$78:$AL$78,D$47*12)</f>
        <v>-556667.823183717</v>
      </c>
    </row>
    <row r="49" customFormat="false" ht="15" hidden="false" customHeight="false" outlineLevel="0" collapsed="false">
      <c r="A49" s="6" t="s">
        <v>106</v>
      </c>
      <c r="B49" s="60" t="n">
        <f aca="false">INDEX('Scenario calc'!$C$191:$AL$191,B$47*12)</f>
        <v>2314803.48576323</v>
      </c>
      <c r="C49" s="60" t="n">
        <f aca="false">INDEX('Scenario calc'!$C$191:$AL$191,C$47*12)</f>
        <v>1529595.0687839</v>
      </c>
      <c r="D49" s="60" t="n">
        <f aca="false">INDEX('Scenario calc'!$C$191:$AL$191,D$47*12)</f>
        <v>411980.553657166</v>
      </c>
    </row>
    <row r="50" customFormat="false" ht="15" hidden="false" customHeight="false" outlineLevel="0" collapsed="false">
      <c r="A50" s="6" t="s">
        <v>107</v>
      </c>
      <c r="B50" s="60" t="n">
        <f aca="false">INDEX('Scenario calc'!$C$304:$AL$304,B$47*12)</f>
        <v>2487622.22037006</v>
      </c>
      <c r="C50" s="60" t="n">
        <f aca="false">INDEX('Scenario calc'!$C$304:$AL$304,C$47*12)</f>
        <v>2255241.49422263</v>
      </c>
      <c r="D50" s="60" t="n">
        <f aca="false">INDEX('Scenario calc'!$C$304:$AL$304,D$47*12)</f>
        <v>2277434.84153472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</row>
    <row r="6" customFormat="false" ht="15" hidden="false" customHeight="false" outlineLevel="0" collapsed="false">
      <c r="A6" s="6" t="s">
        <v>126</v>
      </c>
      <c r="B6" s="64" t="n">
        <f aca="false">MATCH(MIN(Monthly!$C$76:$AL$76),Monthly!$C$76:$AL$76,0)</f>
        <v>36</v>
      </c>
    </row>
    <row r="7" customFormat="false" ht="15" hidden="false" customHeight="false" outlineLevel="0" collapsed="false">
      <c r="A7" s="6" t="s">
        <v>136</v>
      </c>
      <c r="B7" s="66" t="n">
        <f aca="false">SUMPRODUCT(--(Monthly!$C$4:$AL$4&lt;=$B$6),Monthly!$C$47:$AL$47)</f>
        <v>20000</v>
      </c>
    </row>
    <row r="8" customFormat="false" ht="15" hidden="false" customHeight="false" outlineLevel="0" collapsed="false">
      <c r="A8" s="6" t="s">
        <v>137</v>
      </c>
      <c r="B8" s="66" t="n">
        <f aca="false">-SUMPRODUCT(--(Monthly!$C$4:$AL$4&lt;=$B$6),Monthly!$C$70:$AL$70)</f>
        <v>2568019.44634283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6" t="n">
        <f aca="false">-SUMPRODUCT(--(Monthly!$C$4:$AL$4&lt;=$B$6),Monthly!$C$56:$AL$56)</f>
        <v>-0</v>
      </c>
    </row>
    <row r="10" customFormat="false" ht="15" hidden="false" customHeight="false" outlineLevel="0" collapsed="false">
      <c r="A10" s="4" t="s">
        <v>140</v>
      </c>
      <c r="B10" s="67" t="n">
        <f aca="false">B7+B8+B9</f>
        <v>2588019.44634283</v>
      </c>
    </row>
    <row r="11" customFormat="false" ht="15" hidden="false" customHeight="false" outlineLevel="0" collapsed="false">
      <c r="A11" s="6" t="s">
        <v>141</v>
      </c>
      <c r="B11" s="68" t="n">
        <f aca="false">Inputs!$E$61</f>
        <v>225000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7" t="n">
        <f aca="false">B10+B11</f>
        <v>2813019.44634283</v>
      </c>
    </row>
    <row r="14" customFormat="false" ht="15" hidden="false" customHeight="false" outlineLevel="0" collapsed="false">
      <c r="A14" s="6" t="s">
        <v>63</v>
      </c>
      <c r="B14" s="68" t="n">
        <f aca="false">Inputs!$E$46</f>
        <v>3000000</v>
      </c>
    </row>
    <row r="15" customFormat="false" ht="15" hidden="false" customHeight="false" outlineLevel="0" collapsed="false">
      <c r="A15" s="6" t="s">
        <v>64</v>
      </c>
      <c r="B15" s="68" t="n">
        <f aca="false">Inputs!$E$47</f>
        <v>0</v>
      </c>
    </row>
    <row r="16" customFormat="false" ht="15" hidden="false" customHeight="false" outlineLevel="0" collapsed="false">
      <c r="A16" s="4" t="s">
        <v>144</v>
      </c>
      <c r="B16" s="67" t="n">
        <f aca="false">B14+B15</f>
        <v>3000000</v>
      </c>
    </row>
    <row r="17" customFormat="false" ht="15" hidden="false" customHeight="false" outlineLevel="0" collapsed="false">
      <c r="A17" s="69" t="s">
        <v>66</v>
      </c>
      <c r="B17" s="70" t="n">
        <f aca="false">B16-B12</f>
        <v>186980.553657165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6" t="n">
        <f aca="false">MIN(Monthly!$C$76:$AL$76)</f>
        <v>411980.553657166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</row>
    <row r="21" customFormat="false" ht="15" hidden="false" customHeight="false" outlineLevel="0" collapsed="false">
      <c r="A21" s="6" t="s">
        <v>149</v>
      </c>
      <c r="B21" s="64" t="str">
        <f aca="false">IFERROR(MATCH(1,Monthly!$C$77:$AL$77,0),"Not within horizon")</f>
        <v>Not within horizon</v>
      </c>
    </row>
    <row r="22" customFormat="false" ht="15" hidden="false" customHeight="false" outlineLevel="0" collapsed="false">
      <c r="A22" s="6" t="s">
        <v>150</v>
      </c>
      <c r="B22" s="64" t="str">
        <f aca="false">IFERROR(MATCH(1,Monthly!$C$84:$AL$84,0),"Not within horizon")</f>
        <v>Not within horizon</v>
      </c>
    </row>
    <row r="23" customFormat="false" ht="15" hidden="false" customHeight="false" outlineLevel="0" collapsed="false">
      <c r="A23" s="6" t="s">
        <v>151</v>
      </c>
      <c r="B23" s="64" t="str">
        <f aca="false">IF(MIN(Monthly!$C$86:$AL$86)&gt;=0,"No investment to pay back",IFERROR(MATCH(1,Monthly!$C$88:$AL$88,0),"Not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</row>
    <row r="26" customFormat="false" ht="15" hidden="false" customHeight="false" outlineLevel="0" collapsed="false">
      <c r="A26" s="71" t="s">
        <v>154</v>
      </c>
      <c r="B26" s="71" t="n">
        <v>1</v>
      </c>
      <c r="C26" s="71" t="n">
        <v>2</v>
      </c>
      <c r="D26" s="71" t="n">
        <v>3</v>
      </c>
    </row>
    <row r="27" customFormat="false" ht="15" hidden="false" customHeight="false" outlineLevel="0" collapsed="false">
      <c r="A27" s="33"/>
      <c r="B27" s="35" t="s">
        <v>155</v>
      </c>
      <c r="C27" s="35" t="s">
        <v>156</v>
      </c>
      <c r="D27" s="35" t="s">
        <v>157</v>
      </c>
    </row>
    <row r="28" customFormat="false" ht="15" hidden="false" customHeight="false" outlineLevel="0" collapsed="false">
      <c r="A28" s="4" t="s">
        <v>44</v>
      </c>
      <c r="B28" s="72" t="n">
        <f aca="false">SUMIF(Monthly!$C$5:$AL$5,B$26,Monthly!$C$24:$AL$24)</f>
        <v>225414.939184555</v>
      </c>
      <c r="C28" s="72" t="n">
        <f aca="false">SUMIF(Monthly!$C$5:$AL$5,C$26,Monthly!$C$24:$AL$24)</f>
        <v>591123.330484019</v>
      </c>
      <c r="D28" s="72" t="n">
        <f aca="false">SUMIF(Monthly!$C$5:$AL$5,D$26,Monthly!$C$24:$AL$24)</f>
        <v>979388.559956597</v>
      </c>
    </row>
    <row r="29" customFormat="false" ht="15" hidden="false" customHeight="false" outlineLevel="0" collapsed="false">
      <c r="A29" s="6" t="s">
        <v>45</v>
      </c>
      <c r="B29" s="66" t="n">
        <f aca="false">SUMIF(Monthly!$C$5:$AL$5,B$26,Monthly!$C$26:$AL$26)</f>
        <v>198403.522999835</v>
      </c>
      <c r="C29" s="66" t="n">
        <f aca="false">SUMIF(Monthly!$C$5:$AL$5,C$26,Monthly!$C$26:$AL$26)</f>
        <v>520687.036427161</v>
      </c>
      <c r="D29" s="66" t="n">
        <f aca="false">SUMIF(Monthly!$C$5:$AL$5,D$26,Monthly!$C$26:$AL$26)</f>
        <v>863384.953497385</v>
      </c>
    </row>
    <row r="30" customFormat="false" ht="15" hidden="false" customHeight="false" outlineLevel="0" collapsed="false">
      <c r="A30" s="39" t="s">
        <v>158</v>
      </c>
      <c r="B30" s="73" t="n">
        <f aca="false">IF(B28=0,0,B29/B28)</f>
        <v>0.880170248332097</v>
      </c>
      <c r="C30" s="73" t="n">
        <f aca="false">IF(C28=0,0,C29/C28)</f>
        <v>0.880843319110441</v>
      </c>
      <c r="D30" s="73" t="n">
        <f aca="false">IF(D28=0,0,D29/D28)</f>
        <v>0.881555073030102</v>
      </c>
    </row>
    <row r="31" customFormat="false" ht="15" hidden="false" customHeight="false" outlineLevel="0" collapsed="false">
      <c r="A31" s="6" t="s">
        <v>159</v>
      </c>
      <c r="B31" s="66" t="n">
        <f aca="false">-SUMIF(Monthly!$C$5:$AL$5,B$26,Monthly!$C$34:$AL$34)</f>
        <v>901800</v>
      </c>
      <c r="C31" s="66" t="n">
        <f aca="false">-SUMIF(Monthly!$C$5:$AL$5,C$26,Monthly!$C$34:$AL$34)</f>
        <v>1341360</v>
      </c>
      <c r="D31" s="66" t="n">
        <f aca="false">-SUMIF(Monthly!$C$5:$AL$5,D$26,Monthly!$C$34:$AL$34)</f>
        <v>2019837.6</v>
      </c>
    </row>
    <row r="32" customFormat="false" ht="15" hidden="false" customHeight="false" outlineLevel="0" collapsed="false">
      <c r="A32" s="4" t="s">
        <v>160</v>
      </c>
      <c r="B32" s="72" t="n">
        <f aca="false">IF(B30&gt;0,B31/B30,"n/a")</f>
        <v>1024574.50897584</v>
      </c>
      <c r="C32" s="72" t="n">
        <f aca="false">IF(C30&gt;0,C31/C30,"n/a")</f>
        <v>1522813.38905384</v>
      </c>
      <c r="D32" s="72" t="n">
        <f aca="false">IF(D30&gt;0,D31/D30,"n/a")</f>
        <v>2291221.11799251</v>
      </c>
    </row>
    <row r="33" customFormat="false" ht="15" hidden="false" customHeight="false" outlineLevel="0" collapsed="false">
      <c r="A33" s="39" t="s">
        <v>161</v>
      </c>
      <c r="B33" s="73" t="n">
        <f aca="false">IF(AND(ISNUMBER(B32),B28&gt;0),(B28-B32)/B28,"n/a")</f>
        <v>-3.54528219239712</v>
      </c>
      <c r="C33" s="73" t="n">
        <f aca="false">IF(AND(ISNUMBER(C32),C28&gt;0),(C28-C32)/C28,"n/a")</f>
        <v>-1.57613481066115</v>
      </c>
      <c r="D33" s="73" t="n">
        <f aca="false">IF(AND(ISNUMBER(D32),D28&gt;0),(D28-D32)/D28,"n/a")</f>
        <v>-1.3394403525543</v>
      </c>
    </row>
    <row r="35" customFormat="false" ht="15" hidden="false" customHeight="false" outlineLevel="0" collapsed="false">
      <c r="A35" s="39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166</v>
      </c>
      <c r="B6" s="74" t="n">
        <f aca="false">Inputs!$E$64</f>
        <v>0.2</v>
      </c>
    </row>
    <row r="7" customFormat="false" ht="15" hidden="false" customHeight="false" outlineLevel="0" collapsed="false">
      <c r="A7" s="39" t="s">
        <v>167</v>
      </c>
      <c r="B7" s="74" t="n">
        <f aca="false">Inputs!$E$65</f>
        <v>0.02</v>
      </c>
    </row>
    <row r="8" customFormat="false" ht="15" hidden="false" customHeight="false" outlineLevel="0" collapsed="false">
      <c r="A8" s="6" t="s">
        <v>168</v>
      </c>
      <c r="B8" s="75" t="n">
        <f aca="false">Inputs!$E$66</f>
        <v>4.5</v>
      </c>
    </row>
    <row r="9" customFormat="false" ht="15" hidden="false" customHeight="false" outlineLevel="0" collapsed="false">
      <c r="A9" s="39" t="s">
        <v>169</v>
      </c>
      <c r="B9" s="74" t="n">
        <f aca="false">Inputs!$E$58</f>
        <v>0.21</v>
      </c>
    </row>
    <row r="10" customFormat="false" ht="15" hidden="false" customHeight="false" outlineLevel="0" collapsed="false">
      <c r="A10" s="39" t="s">
        <v>170</v>
      </c>
      <c r="B10" s="74" t="n">
        <f aca="false">Inputs!$E$67</f>
        <v>0.01</v>
      </c>
    </row>
    <row r="11" customFormat="false" ht="15" hidden="false" customHeight="false" outlineLevel="0" collapsed="false">
      <c r="A11" s="39" t="s">
        <v>171</v>
      </c>
      <c r="B11" s="74" t="n">
        <f aca="false">Inputs!$E$68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</row>
    <row r="14" customFormat="false" ht="15" hidden="false" customHeight="false" outlineLevel="0" collapsed="false">
      <c r="A14" s="71" t="s">
        <v>154</v>
      </c>
      <c r="B14" s="71" t="n">
        <v>1</v>
      </c>
      <c r="C14" s="71" t="n">
        <v>2</v>
      </c>
      <c r="D14" s="71" t="n">
        <v>3</v>
      </c>
    </row>
    <row r="15" customFormat="false" ht="15" hidden="false" customHeight="false" outlineLevel="0" collapsed="false">
      <c r="A15" s="33"/>
      <c r="B15" s="35" t="s">
        <v>155</v>
      </c>
      <c r="C15" s="35" t="s">
        <v>156</v>
      </c>
      <c r="D15" s="35" t="s">
        <v>157</v>
      </c>
    </row>
    <row r="16" customFormat="false" ht="15" hidden="false" customHeight="false" outlineLevel="0" collapsed="false">
      <c r="A16" s="6" t="s">
        <v>48</v>
      </c>
      <c r="B16" s="66" t="n">
        <f aca="false">SUMIF(Monthly!$C$5:$AL$5,B$14,Monthly!$C$35:$AL$35)</f>
        <v>-703396.477000165</v>
      </c>
      <c r="C16" s="66" t="n">
        <f aca="false">SUMIF(Monthly!$C$5:$AL$5,C$14,Monthly!$C$35:$AL$35)</f>
        <v>-820672.963572839</v>
      </c>
      <c r="D16" s="66" t="n">
        <f aca="false">SUMIF(Monthly!$C$5:$AL$5,D$14,Monthly!$C$35:$AL$35)</f>
        <v>-1156452.64650262</v>
      </c>
    </row>
    <row r="17" customFormat="false" ht="15" hidden="false" customHeight="false" outlineLevel="0" collapsed="false">
      <c r="A17" s="4" t="s">
        <v>173</v>
      </c>
      <c r="B17" s="72" t="n">
        <f aca="false">SUMIF(Monthly!$C$5:$AL$5,B$14,Monthly!$C$89:$AL$89)</f>
        <v>-685196.514236771</v>
      </c>
      <c r="C17" s="72" t="n">
        <f aca="false">SUMIF(Monthly!$C$5:$AL$5,C$14,Monthly!$C$89:$AL$89)</f>
        <v>-785208.41697933</v>
      </c>
      <c r="D17" s="72" t="n">
        <f aca="false">SUMIF(Monthly!$C$5:$AL$5,D$14,Monthly!$C$89:$AL$89)</f>
        <v>-1117614.51512673</v>
      </c>
    </row>
    <row r="18" customFormat="false" ht="15" hidden="false" customHeight="false" outlineLevel="0" collapsed="false">
      <c r="A18" s="6" t="s">
        <v>174</v>
      </c>
      <c r="B18" s="76" t="n">
        <f aca="false">1/(1+Inputs!$E$64)^B$14</f>
        <v>0.833333333333333</v>
      </c>
      <c r="C18" s="76" t="n">
        <f aca="false">1/(1+Inputs!$E$64)^C$14</f>
        <v>0.694444444444444</v>
      </c>
      <c r="D18" s="76" t="n">
        <f aca="false">1/(1+Inputs!$E$64)^D$14</f>
        <v>0.578703703703704</v>
      </c>
    </row>
    <row r="19" customFormat="false" ht="15" hidden="false" customHeight="false" outlineLevel="0" collapsed="false">
      <c r="A19" s="6" t="s">
        <v>175</v>
      </c>
      <c r="B19" s="66" t="n">
        <f aca="false">B17*B18</f>
        <v>-570997.095197309</v>
      </c>
      <c r="C19" s="66" t="n">
        <f aca="false">C17*C18</f>
        <v>-545283.622902312</v>
      </c>
      <c r="D19" s="66" t="n">
        <f aca="false">D17*D18</f>
        <v>-646767.65921686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177</v>
      </c>
      <c r="C22" s="35" t="s">
        <v>178</v>
      </c>
    </row>
    <row r="23" customFormat="false" ht="15" hidden="false" customHeight="false" outlineLevel="0" collapsed="false">
      <c r="A23" s="6" t="s">
        <v>179</v>
      </c>
      <c r="B23" s="66" t="n">
        <f aca="false">SUM($B$19:$D$19)</f>
        <v>-1763048.37731648</v>
      </c>
      <c r="C23" s="66" t="n">
        <f aca="false">B23</f>
        <v>-1763048.37731648</v>
      </c>
    </row>
    <row r="24" customFormat="false" ht="15" hidden="false" customHeight="false" outlineLevel="0" collapsed="false">
      <c r="A24" s="6" t="s">
        <v>180</v>
      </c>
      <c r="B24" s="66" t="n">
        <f aca="false">$D$17</f>
        <v>-1117614.51512673</v>
      </c>
      <c r="C24" s="66" t="n">
        <f aca="false">$D$16</f>
        <v>-1156452.64650262</v>
      </c>
    </row>
    <row r="25" customFormat="false" ht="15" hidden="false" customHeight="false" outlineLevel="0" collapsed="false">
      <c r="A25" s="6" t="s">
        <v>181</v>
      </c>
      <c r="B25" s="66" t="n">
        <f aca="false">IF($B$6&gt;$B$7,B24*(1+$B$7)/($B$6-$B$7),0)</f>
        <v>-6333148.91905149</v>
      </c>
      <c r="C25" s="66" t="n">
        <f aca="false">C24*$B$8</f>
        <v>-5204036.90926177</v>
      </c>
    </row>
    <row r="26" customFormat="false" ht="15" hidden="false" customHeight="false" outlineLevel="0" collapsed="false">
      <c r="A26" s="6" t="s">
        <v>182</v>
      </c>
      <c r="B26" s="66" t="n">
        <f aca="false">B25/(1+$B$6)^$D$14</f>
        <v>-3665016.73556221</v>
      </c>
      <c r="C26" s="66" t="n">
        <f aca="false">C25/(1+$B$6)^$D$14</f>
        <v>-3011595.43360056</v>
      </c>
    </row>
    <row r="27" customFormat="false" ht="15" hidden="false" customHeight="false" outlineLevel="0" collapsed="false">
      <c r="A27" s="4" t="s">
        <v>176</v>
      </c>
      <c r="B27" s="67" t="n">
        <f aca="false">B23+B26</f>
        <v>-5428065.11287869</v>
      </c>
      <c r="C27" s="67" t="n">
        <f aca="false">C23+C26</f>
        <v>-4774643.81091704</v>
      </c>
    </row>
    <row r="28" customFormat="false" ht="15" hidden="false" customHeight="false" outlineLevel="0" collapsed="false">
      <c r="A28" s="39" t="s">
        <v>183</v>
      </c>
      <c r="B28" s="73" t="n">
        <f aca="false">IF(B27&lt;&gt;0,B26/B27,0)</f>
        <v>0.675197636606559</v>
      </c>
      <c r="C28" s="73" t="n">
        <f aca="false">IF(C27&lt;&gt;0,C26/C27,0)</f>
        <v>0.630747664718918</v>
      </c>
    </row>
    <row r="29" customFormat="false" ht="15" hidden="false" customHeight="false" outlineLevel="0" collapsed="false">
      <c r="A29" s="6" t="s">
        <v>184</v>
      </c>
      <c r="B29" s="77" t="str">
        <f aca="false">IF(C24&gt;0,B25/C24,"n/a")</f>
        <v>n/a</v>
      </c>
      <c r="C29" s="73" t="n">
        <f aca="false">IF(C25+B24&lt;&gt;0,(C25*$B$6-B24)/(C25+B24),"n/a")</f>
        <v>-0.0121498526442099</v>
      </c>
    </row>
    <row r="30" customFormat="false" ht="15" hidden="false" customHeight="false" outlineLevel="0" collapsed="false">
      <c r="A30" s="69" t="s">
        <v>185</v>
      </c>
      <c r="B30" s="70" t="n">
        <f aca="false">AVERAGE(B27,C27)</f>
        <v>-5101354.46189787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78" t="n">
        <f aca="false">$B$7+(-2)*$B$11</f>
        <v>0.01</v>
      </c>
      <c r="C33" s="78" t="n">
        <f aca="false">$B$7+(-1)*$B$11</f>
        <v>0.015</v>
      </c>
      <c r="D33" s="78" t="n">
        <f aca="false">$B$7+(0)*$B$11</f>
        <v>0.02</v>
      </c>
      <c r="E33" s="78" t="n">
        <f aca="false">$B$7+(1)*$B$11</f>
        <v>0.025</v>
      </c>
      <c r="F33" s="78" t="n">
        <f aca="false">$B$7+(2)*$B$11</f>
        <v>0.03</v>
      </c>
    </row>
    <row r="34" customFormat="false" ht="15" hidden="false" customHeight="false" outlineLevel="0" collapsed="false">
      <c r="A34" s="73" t="n">
        <f aca="false">$B$6+(-2)*$B$10</f>
        <v>0.18</v>
      </c>
      <c r="B34" s="66" t="n">
        <f aca="false">IF($A34&gt;B$33,SUMPRODUCT($B$17:$D$17/(1+$A34)^$B$14:$D$14)+$D$17*(1+B$33)/($A34-B$33)/(1+$A34)^$D$14,"n/a")</f>
        <v>-5866089.72560757</v>
      </c>
      <c r="C34" s="66" t="n">
        <f aca="false">IF($A34&gt;C$33,SUMPRODUCT($B$17:$D$17/(1+$A34)^$B$14:$D$14)+$D$17*(1+C$33)/($A34-C$33)/(1+$A34)^$D$14,"n/a")</f>
        <v>-6009165.18786061</v>
      </c>
      <c r="D34" s="66" t="n">
        <f aca="false">IF($A34&gt;D$33,SUMPRODUCT($B$17:$D$17/(1+$A34)^$B$14:$D$14)+$D$17*(1+D$33)/($A34-D$33)/(1+$A34)^$D$14,"n/a")</f>
        <v>-6161182.86650446</v>
      </c>
      <c r="E34" s="66" t="n">
        <f aca="false">IF($A34&gt;E$33,SUMPRODUCT($B$17:$D$17/(1+$A34)^$B$14:$D$14)+$D$17*(1+E$33)/($A34-E$33)/(1+$A34)^$D$14,"n/a")</f>
        <v>-6323008.13731888</v>
      </c>
      <c r="F34" s="66" t="n">
        <f aca="false">IF($A34&gt;F$33,SUMPRODUCT($B$17:$D$17/(1+$A34)^$B$14:$D$14)+$D$17*(1+F$33)/($A34-F$33)/(1+$A34)^$D$14,"n/a")</f>
        <v>-6495621.75952093</v>
      </c>
    </row>
    <row r="35" customFormat="false" ht="15" hidden="false" customHeight="false" outlineLevel="0" collapsed="false">
      <c r="A35" s="73" t="n">
        <f aca="false">$B$6+(-1)*$B$10</f>
        <v>0.19</v>
      </c>
      <c r="B35" s="66" t="n">
        <f aca="false">IF($A35&gt;B$33,SUMPRODUCT($B$17:$D$17/(1+$A35)^$B$14:$D$14)+$D$17*(1+B$33)/($A35-B$33)/(1+$A35)^$D$14,"n/a")</f>
        <v>-5514837.79210716</v>
      </c>
      <c r="C35" s="66" t="n">
        <f aca="false">IF($A35&gt;C$33,SUMPRODUCT($B$17:$D$17/(1+$A35)^$B$14:$D$14)+$D$17*(1+C$33)/($A35-C$33)/(1+$A35)^$D$14,"n/a")</f>
        <v>-5640110.81617692</v>
      </c>
      <c r="D35" s="66" t="n">
        <f aca="false">IF($A35&gt;D$33,SUMPRODUCT($B$17:$D$17/(1+$A35)^$B$14:$D$14)+$D$17*(1+D$33)/($A35-D$33)/(1+$A35)^$D$14,"n/a")</f>
        <v>-5772752.84166256</v>
      </c>
      <c r="E35" s="66" t="n">
        <f aca="false">IF($A35&gt;E$33,SUMPRODUCT($B$17:$D$17/(1+$A35)^$B$14:$D$14)+$D$17*(1+E$33)/($A35-E$33)/(1+$A35)^$D$14,"n/a")</f>
        <v>-5913433.77778368</v>
      </c>
      <c r="F35" s="66" t="n">
        <f aca="false">IF($A35&gt;F$33,SUMPRODUCT($B$17:$D$17/(1+$A35)^$B$14:$D$14)+$D$17*(1+F$33)/($A35-F$33)/(1+$A35)^$D$14,"n/a")</f>
        <v>-6062907.27241238</v>
      </c>
    </row>
    <row r="36" customFormat="false" ht="15" hidden="false" customHeight="false" outlineLevel="0" collapsed="false">
      <c r="A36" s="73" t="n">
        <f aca="false">$B$6+(0)*$B$10</f>
        <v>0.2</v>
      </c>
      <c r="B36" s="66" t="n">
        <f aca="false">IF($A36&gt;B$33,SUMPRODUCT($B$17:$D$17/(1+$A36)^$B$14:$D$14)+$D$17*(1+B$33)/($A36-B$33)/(1+$A36)^$D$14,"n/a")</f>
        <v>-5201129.09210084</v>
      </c>
      <c r="C36" s="66" t="n">
        <f aca="false">IF($A36&gt;C$33,SUMPRODUCT($B$17:$D$17/(1+$A36)^$B$14:$D$14)+$D$17*(1+C$33)/($A36-C$33)/(1+$A36)^$D$14,"n/a")</f>
        <v>-5311530.39950628</v>
      </c>
      <c r="D36" s="66" t="n">
        <f aca="false">IF($A36&gt;D$33,SUMPRODUCT($B$17:$D$17/(1+$A36)^$B$14:$D$14)+$D$17*(1+D$33)/($A36-D$33)/(1+$A36)^$D$14,"n/a")</f>
        <v>-5428065.11287869</v>
      </c>
      <c r="E36" s="66" t="n">
        <f aca="false">IF($A36&gt;E$33,SUMPRODUCT($B$17:$D$17/(1+$A36)^$B$14:$D$14)+$D$17*(1+E$33)/($A36-E$33)/(1+$A36)^$D$14,"n/a")</f>
        <v>-5551258.95272952</v>
      </c>
      <c r="F36" s="66" t="n">
        <f aca="false">IF($A36&gt;F$33,SUMPRODUCT($B$17:$D$17/(1+$A36)^$B$14:$D$14)+$D$17*(1+F$33)/($A36-F$33)/(1+$A36)^$D$14,"n/a")</f>
        <v>-5681699.48904216</v>
      </c>
    </row>
    <row r="37" customFormat="false" ht="15" hidden="false" customHeight="false" outlineLevel="0" collapsed="false">
      <c r="A37" s="73" t="n">
        <f aca="false">$B$6+(1)*$B$10</f>
        <v>0.21</v>
      </c>
      <c r="B37" s="66" t="n">
        <f aca="false">IF($A37&gt;B$33,SUMPRODUCT($B$17:$D$17/(1+$A37)^$B$14:$D$14)+$D$17*(1+B$33)/($A37-B$33)/(1+$A37)^$D$14,"n/a")</f>
        <v>-4919314.78371661</v>
      </c>
      <c r="C37" s="66" t="n">
        <f aca="false">IF($A37&gt;C$33,SUMPRODUCT($B$17:$D$17/(1+$A37)^$B$14:$D$14)+$D$17*(1+C$33)/($A37-C$33)/(1+$A37)^$D$14,"n/a")</f>
        <v>-5017179.62368365</v>
      </c>
      <c r="D37" s="66" t="n">
        <f aca="false">IF($A37&gt;D$33,SUMPRODUCT($B$17:$D$17/(1+$A37)^$B$14:$D$14)+$D$17*(1+D$33)/($A37-D$33)/(1+$A37)^$D$14,"n/a")</f>
        <v>-5120195.24470158</v>
      </c>
      <c r="E37" s="66" t="n">
        <f aca="false">IF($A37&gt;E$33,SUMPRODUCT($B$17:$D$17/(1+$A37)^$B$14:$D$14)+$D$17*(1+E$33)/($A37-E$33)/(1+$A37)^$D$14,"n/a")</f>
        <v>-5228779.27766643</v>
      </c>
      <c r="F37" s="66" t="n">
        <f aca="false">IF($A37&gt;F$33,SUMPRODUCT($B$17:$D$17/(1+$A37)^$B$14:$D$14)+$D$17*(1+F$33)/($A37-F$33)/(1+$A37)^$D$14,"n/a")</f>
        <v>-5343395.7569071</v>
      </c>
    </row>
    <row r="38" customFormat="false" ht="15" hidden="false" customHeight="false" outlineLevel="0" collapsed="false">
      <c r="A38" s="73" t="n">
        <f aca="false">$B$6+(2)*$B$10</f>
        <v>0.22</v>
      </c>
      <c r="B38" s="66" t="n">
        <f aca="false">IF($A38&gt;B$33,SUMPRODUCT($B$17:$D$17/(1+$A38)^$B$14:$D$14)+$D$17*(1+B$33)/($A38-B$33)/(1+$A38)^$D$14,"n/a")</f>
        <v>-4664822.65916694</v>
      </c>
      <c r="C38" s="66" t="n">
        <f aca="false">IF($A38&gt;C$33,SUMPRODUCT($B$17:$D$17/(1+$A38)^$B$14:$D$14)+$D$17*(1+C$33)/($A38-C$33)/(1+$A38)^$D$14,"n/a")</f>
        <v>-4752033.24839937</v>
      </c>
      <c r="D38" s="66" t="n">
        <f aca="false">IF($A38&gt;D$33,SUMPRODUCT($B$17:$D$17/(1+$A38)^$B$14:$D$14)+$D$17*(1+D$33)/($A38-D$33)/(1+$A38)^$D$14,"n/a")</f>
        <v>-4843604.36709343</v>
      </c>
      <c r="E38" s="66" t="n">
        <f aca="false">IF($A38&gt;E$33,SUMPRODUCT($B$17:$D$17/(1+$A38)^$B$14:$D$14)+$D$17*(1+E$33)/($A38-E$33)/(1+$A38)^$D$14,"n/a")</f>
        <v>-4939871.44059231</v>
      </c>
      <c r="F38" s="66" t="n">
        <f aca="false">IF($A38&gt;F$33,SUMPRODUCT($B$17:$D$17/(1+$A38)^$B$14:$D$14)+$D$17*(1+F$33)/($A38-F$33)/(1+$A38)^$D$14,"n/a")</f>
        <v>-5041205.20217008</v>
      </c>
    </row>
    <row r="40" customFormat="false" ht="15" hidden="false" customHeight="false" outlineLevel="0" collapsed="false">
      <c r="A40" s="3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35" t="s">
        <v>192</v>
      </c>
      <c r="C6" s="35" t="s">
        <v>193</v>
      </c>
    </row>
    <row r="7" customFormat="false" ht="15" hidden="false" customHeight="false" outlineLevel="0" collapsed="false">
      <c r="A7" s="6" t="s">
        <v>194</v>
      </c>
      <c r="B7" s="79" t="n">
        <f aca="false">Inputs!$E$46</f>
        <v>3000000</v>
      </c>
      <c r="C7" s="73" t="n">
        <f aca="false">IF($B$9=0,0,B7/$B$9)</f>
        <v>1</v>
      </c>
    </row>
    <row r="8" customFormat="false" ht="15" hidden="false" customHeight="false" outlineLevel="0" collapsed="false">
      <c r="A8" s="6" t="s">
        <v>195</v>
      </c>
      <c r="B8" s="79" t="n">
        <f aca="false">Inputs!$E$47</f>
        <v>0</v>
      </c>
      <c r="C8" s="73" t="n">
        <f aca="false">IF($B$9=0,0,B8/$B$9)</f>
        <v>0</v>
      </c>
    </row>
    <row r="9" customFormat="false" ht="15" hidden="false" customHeight="false" outlineLevel="0" collapsed="false">
      <c r="A9" s="4" t="s">
        <v>196</v>
      </c>
      <c r="B9" s="80" t="n">
        <f aca="false">B7+B8</f>
        <v>3000000</v>
      </c>
      <c r="C9" s="81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77" t="n">
        <f aca="false">IF(B7&lt;=0,IF(B8&gt;0,"n/a",0),B8/B7)</f>
        <v>0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79" t="n">
        <f aca="false">'Break-even'!B12</f>
        <v>2813019.44634283</v>
      </c>
    </row>
    <row r="12" customFormat="false" ht="15" hidden="false" customHeight="false" outlineLevel="0" collapsed="false">
      <c r="A12" s="69" t="s">
        <v>66</v>
      </c>
      <c r="B12" s="82" t="n">
        <f aca="false">'Break-even'!B17</f>
        <v>186980.553657165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3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4" t="n">
        <f aca="false">MIN(36,MAX(1,ROUND(B15,0)))</f>
        <v>12</v>
      </c>
    </row>
    <row r="17" customFormat="false" ht="15" hidden="false" customHeight="false" outlineLevel="0" collapsed="false">
      <c r="A17" s="33" t="s">
        <v>203</v>
      </c>
      <c r="B17" s="35" t="s">
        <v>192</v>
      </c>
      <c r="C17" s="35" t="s">
        <v>193</v>
      </c>
    </row>
    <row r="18" customFormat="false" ht="15" hidden="false" customHeight="false" outlineLevel="0" collapsed="false">
      <c r="A18" s="6" t="s">
        <v>63</v>
      </c>
      <c r="B18" s="60" t="n">
        <f aca="false">SUMPRODUCT(--(Monthly!$C$4:$AL$4&lt;=$B$16),Monthly!$C$72:$AL$72)</f>
        <v>3000000</v>
      </c>
      <c r="C18" s="73" t="n">
        <f aca="false">IF($B$21=0,0,B18/$B$21)</f>
        <v>1</v>
      </c>
    </row>
    <row r="19" customFormat="false" ht="15" hidden="false" customHeight="false" outlineLevel="0" collapsed="false">
      <c r="A19" s="6" t="s">
        <v>204</v>
      </c>
      <c r="B19" s="60" t="n">
        <f aca="false">SUMPRODUCT(--(Monthly!$C$4:$AL$4&lt;=$B$16),Monthly!$C$55:$AL$55)</f>
        <v>0</v>
      </c>
      <c r="C19" s="73" t="n">
        <f aca="false">IF($B$21=0,0,B19/$B$21)</f>
        <v>0</v>
      </c>
    </row>
    <row r="20" customFormat="false" ht="15" hidden="false" customHeight="false" outlineLevel="0" collapsed="false">
      <c r="A20" s="6" t="s">
        <v>205</v>
      </c>
      <c r="B20" s="60" t="n">
        <f aca="false">MAX(0,SUMPRODUCT(--(Monthly!$C$4:$AL$4&lt;=$B$16),Monthly!$C$70:$AL$70))</f>
        <v>0</v>
      </c>
      <c r="C20" s="73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80" t="n">
        <f aca="false">SUM(B18:B20)</f>
        <v>3000000</v>
      </c>
      <c r="C21" s="81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35" t="s">
        <v>192</v>
      </c>
      <c r="C23" s="35" t="s">
        <v>193</v>
      </c>
    </row>
    <row r="24" customFormat="false" ht="15" hidden="false" customHeight="false" outlineLevel="0" collapsed="false">
      <c r="A24" s="6" t="s">
        <v>208</v>
      </c>
      <c r="B24" s="60" t="n">
        <f aca="false">MAX(0,-SUMPRODUCT(--(Monthly!$C$4:$AL$4&lt;=$B$16),Monthly!$C$70:$AL$70))</f>
        <v>665196.514236771</v>
      </c>
      <c r="C24" s="73" t="n">
        <f aca="false">IF($B$28=0,0,B24/$B$28)</f>
        <v>0.221732171412257</v>
      </c>
    </row>
    <row r="25" customFormat="false" ht="15" hidden="false" customHeight="false" outlineLevel="0" collapsed="false">
      <c r="A25" s="6" t="s">
        <v>83</v>
      </c>
      <c r="B25" s="60" t="n">
        <f aca="false">-SUMPRODUCT(--(Monthly!$C$4:$AL$4&lt;=$B$16),Monthly!$C$71:$AL$71)</f>
        <v>20000</v>
      </c>
      <c r="C25" s="73" t="n">
        <f aca="false">IF($B$28=0,0,B25/$B$28)</f>
        <v>0.00666666666666667</v>
      </c>
    </row>
    <row r="26" customFormat="false" ht="15" hidden="false" customHeight="false" outlineLevel="0" collapsed="false">
      <c r="A26" s="6" t="s">
        <v>209</v>
      </c>
      <c r="B26" s="60" t="n">
        <f aca="false">-SUMPRODUCT(--(Monthly!$C$4:$AL$4&lt;=$B$16),Monthly!$C$56:$AL$56)</f>
        <v>-0</v>
      </c>
      <c r="C26" s="73" t="n">
        <f aca="false">IF($B$28=0,0,B26/$B$28)</f>
        <v>-0</v>
      </c>
    </row>
    <row r="27" customFormat="false" ht="15" hidden="false" customHeight="false" outlineLevel="0" collapsed="false">
      <c r="A27" s="6" t="s">
        <v>210</v>
      </c>
      <c r="B27" s="60" t="n">
        <f aca="false">INDEX(Monthly!$C$76:$AL$76,$B$16)</f>
        <v>2314803.48576323</v>
      </c>
      <c r="C27" s="73" t="n">
        <f aca="false">IF($B$28=0,0,B27/$B$28)</f>
        <v>0.771601161921077</v>
      </c>
    </row>
    <row r="28" customFormat="false" ht="15" hidden="false" customHeight="false" outlineLevel="0" collapsed="false">
      <c r="A28" s="4" t="s">
        <v>211</v>
      </c>
      <c r="B28" s="80" t="n">
        <f aca="false">SUM(B24:B27)</f>
        <v>3000000</v>
      </c>
      <c r="C28" s="81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60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213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216</v>
      </c>
    </row>
    <row r="6" customFormat="false" ht="15" hidden="false" customHeight="false" outlineLevel="0" collapsed="false">
      <c r="A6" s="39" t="s">
        <v>217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1.62237867917017</v>
      </c>
      <c r="D6" s="40" t="n">
        <f aca="false">IF(N('P&amp;L'!C5)&lt;=0,"n/a",'P&amp;L'!D5/'P&amp;L'!C5-1)</f>
        <v>0.656826096095145</v>
      </c>
      <c r="E6" s="84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0.880170248332097</v>
      </c>
      <c r="C7" s="40" t="n">
        <f aca="false">IF('P&amp;L'!C5&lt;=0,"n/a",'P&amp;L'!C7/'P&amp;L'!C5)</f>
        <v>0.880843319110441</v>
      </c>
      <c r="D7" s="40" t="n">
        <f aca="false">IF('P&amp;L'!D5&lt;=0,"n/a",'P&amp;L'!D7/'P&amp;L'!D5)</f>
        <v>0.881555073030102</v>
      </c>
      <c r="E7" s="84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IF('P&amp;L'!B5&lt;=0,"n/a",'P&amp;L'!B15/'P&amp;L'!B5)</f>
        <v>-3.12045190768953</v>
      </c>
      <c r="C8" s="40" t="n">
        <f aca="false">IF('P&amp;L'!C5&lt;=0,"n/a",'P&amp;L'!C15/'P&amp;L'!C5)</f>
        <v>-1.38832781798827</v>
      </c>
      <c r="D8" s="40" t="n">
        <f aca="false">IF('P&amp;L'!D5&lt;=0,"n/a",'P&amp;L'!D15/'P&amp;L'!D5)</f>
        <v>-1.18079043781547</v>
      </c>
      <c r="E8" s="84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IF('P&amp;L'!B5&lt;=0,"n/a",'P&amp;L'!B22/'P&amp;L'!B5)</f>
        <v>-3.15002699570625</v>
      </c>
      <c r="C9" s="40" t="n">
        <f aca="false">IF('P&amp;L'!C5&lt;=0,"n/a",'P&amp;L'!C22/'P&amp;L'!C5)</f>
        <v>-1.39960578034041</v>
      </c>
      <c r="D9" s="40" t="n">
        <f aca="false">IF('P&amp;L'!D5&lt;=0,"n/a",'P&amp;L'!D22/'P&amp;L'!D5)</f>
        <v>-1.18759740589662</v>
      </c>
      <c r="E9" s="84"/>
    </row>
    <row r="10" customFormat="false" ht="15" hidden="false" customHeight="false" outlineLevel="0" collapsed="false">
      <c r="A10" s="39" t="s">
        <v>218</v>
      </c>
      <c r="B10" s="40" t="n">
        <f aca="false">IF('P&amp;L'!B5&lt;=0,"n/a",-SUMIF(Headcount!$C$5:$AL$5,B$5,Headcount!$C$19:$AL$19)/'P&amp;L'!B5)</f>
        <v>3.28727103305836</v>
      </c>
      <c r="C10" s="40" t="n">
        <f aca="false">IF('P&amp;L'!C5&lt;=0,"n/a",-SUMIF(Headcount!$C$5:$AL$5,C$5,Headcount!$C$19:$AL$19)/'P&amp;L'!C5)</f>
        <v>1.95553100408588</v>
      </c>
      <c r="D10" s="40" t="n">
        <f aca="false">IF('P&amp;L'!D5&lt;=0,"n/a",-SUMIF(Headcount!$C$5:$AL$5,D$5,Headcount!$C$19:$AL$19)/'P&amp;L'!D5)</f>
        <v>1.84124838060179</v>
      </c>
      <c r="E10" s="84"/>
    </row>
    <row r="11" customFormat="false" ht="15" hidden="false" customHeight="false" outlineLevel="0" collapsed="false">
      <c r="A11" s="39" t="s">
        <v>219</v>
      </c>
      <c r="B11" s="40" t="n">
        <f aca="false">IF('P&amp;L'!B5&lt;=0,"n/a",-'P&amp;L'!B10/'P&amp;L'!B5)</f>
        <v>0.425881267440759</v>
      </c>
      <c r="C11" s="40" t="n">
        <f aca="false">IF('P&amp;L'!C5&lt;=0,"n/a",-'P&amp;L'!C10/'P&amp;L'!C5)</f>
        <v>0.194883189444871</v>
      </c>
      <c r="D11" s="40" t="n">
        <f aca="false">IF('P&amp;L'!D5&lt;=0,"n/a",-'P&amp;L'!D10/'P&amp;L'!D5)</f>
        <v>0.141149290130698</v>
      </c>
      <c r="E11" s="84"/>
    </row>
    <row r="12" customFormat="false" ht="15" hidden="false" customHeight="false" outlineLevel="0" collapsed="false">
      <c r="A12" s="39" t="s">
        <v>220</v>
      </c>
      <c r="B12" s="40" t="n">
        <f aca="false">IF('P&amp;L'!B5&lt;=0,"n/a",-'P&amp;L'!B14/'P&amp;L'!B5)</f>
        <v>4.00062215602163</v>
      </c>
      <c r="C12" s="40" t="n">
        <f aca="false">IF('P&amp;L'!C5&lt;=0,"n/a",-'P&amp;L'!C14/'P&amp;L'!C5)</f>
        <v>2.26917113709871</v>
      </c>
      <c r="D12" s="40" t="n">
        <f aca="false">IF('P&amp;L'!D5&lt;=0,"n/a",-'P&amp;L'!D14/'P&amp;L'!D5)</f>
        <v>2.06234551084558</v>
      </c>
      <c r="E12" s="84"/>
    </row>
    <row r="13" customFormat="false" ht="15" hidden="false" customHeight="false" outlineLevel="0" collapsed="false">
      <c r="A13" s="6" t="s">
        <v>221</v>
      </c>
      <c r="B13" s="44" t="n">
        <f aca="false">IF(('Balance Sheet'!B13-'Balance Sheet'!B12)&lt;=0,"n/a",('Balance Sheet'!B5+'Balance Sheet'!B6+'Balance Sheet'!B7)/('Balance Sheet'!B13-'Balance Sheet'!B12))</f>
        <v>53.295786978209</v>
      </c>
      <c r="C13" s="44" t="n">
        <f aca="false">IF(('Balance Sheet'!C13-'Balance Sheet'!C12)&lt;=0,"n/a",('Balance Sheet'!C5+'Balance Sheet'!C6+'Balance Sheet'!C7)/('Balance Sheet'!C13-'Balance Sheet'!C12))</f>
        <v>18.3063444259651</v>
      </c>
      <c r="D13" s="44" t="n">
        <f aca="false">IF(('Balance Sheet'!D13-'Balance Sheet'!D12)&lt;=0,"n/a",('Balance Sheet'!D5+'Balance Sheet'!D6+'Balance Sheet'!D7)/('Balance Sheet'!D13-'Balance Sheet'!D12))</f>
        <v>3.32922046560621</v>
      </c>
      <c r="E13" s="85"/>
    </row>
    <row r="14" customFormat="false" ht="15" hidden="false" customHeight="false" outlineLevel="0" collapsed="false">
      <c r="A14" s="6" t="s">
        <v>222</v>
      </c>
      <c r="B14" s="44" t="n">
        <f aca="false">IF('Balance Sheet'!B16&lt;=0,"n/a",'Balance Sheet'!B12/'Balance Sheet'!B16)</f>
        <v>0</v>
      </c>
      <c r="C14" s="44" t="n">
        <f aca="false">IF('Balance Sheet'!C16&lt;=0,"n/a",'Balance Sheet'!C12/'Balance Sheet'!C16)</f>
        <v>0</v>
      </c>
      <c r="D14" s="44" t="n">
        <f aca="false">IF('Balance Sheet'!D16&lt;=0,"n/a",'Balance Sheet'!D12/'Balance Sheet'!D16)</f>
        <v>0</v>
      </c>
      <c r="E14" s="85"/>
    </row>
    <row r="15" customFormat="false" ht="15" hidden="false" customHeight="false" outlineLevel="0" collapsed="false">
      <c r="A15" s="39" t="s">
        <v>223</v>
      </c>
      <c r="B15" s="40" t="n">
        <f aca="false">IF('Balance Sheet'!B9&lt;=0,"n/a",'P&amp;L'!B22/'Balance Sheet'!B9)</f>
        <v>-0.304294944101366</v>
      </c>
      <c r="C15" s="40" t="n">
        <f aca="false">IF('Balance Sheet'!C9&lt;=0,"n/a",'P&amp;L'!C22/'Balance Sheet'!C9)</f>
        <v>-0.53489796363007</v>
      </c>
      <c r="D15" s="40" t="n">
        <f aca="false">IF('Balance Sheet'!D9&lt;=0,"n/a",'P&amp;L'!D22/'Balance Sheet'!D9)</f>
        <v>-2.71723694533087</v>
      </c>
      <c r="E15" s="84"/>
    </row>
    <row r="16" customFormat="false" ht="15" hidden="false" customHeight="false" outlineLevel="0" collapsed="false">
      <c r="A16" s="39" t="s">
        <v>224</v>
      </c>
      <c r="B16" s="40" t="n">
        <f aca="false">IF('Balance Sheet'!B16&lt;=0,"n/a",'P&amp;L'!B22/'Balance Sheet'!B16)</f>
        <v>-0.310079791808689</v>
      </c>
      <c r="C16" s="40" t="n">
        <f aca="false">IF('Balance Sheet'!C16&lt;=0,"n/a",'P&amp;L'!C22/'Balance Sheet'!C16)</f>
        <v>-0.565664706235758</v>
      </c>
      <c r="D16" s="40" t="n">
        <f aca="false">IF('Balance Sheet'!D16&lt;=0,"n/a",'P&amp;L'!D22/'Balance Sheet'!D16)</f>
        <v>-3.88382335716016</v>
      </c>
      <c r="E16" s="84"/>
    </row>
    <row r="18" customFormat="false" ht="15.75" hidden="false" customHeight="true" outlineLevel="0" collapsed="false">
      <c r="A18" s="7" t="s">
        <v>225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1" t="s">
        <v>51</v>
      </c>
      <c r="B20" s="40" t="n">
        <f aca="false">IF('P&amp;L'!B5&lt;=0,"n/a",'P&amp;L'!B22/'P&amp;L'!B5)</f>
        <v>-3.15002699570625</v>
      </c>
      <c r="C20" s="40" t="n">
        <f aca="false">IF('P&amp;L'!C5&lt;=0,"n/a",'P&amp;L'!C22/'P&amp;L'!C5)</f>
        <v>-1.39960578034041</v>
      </c>
      <c r="D20" s="40" t="n">
        <f aca="false">IF('P&amp;L'!D5&lt;=0,"n/a",'P&amp;L'!D22/'P&amp;L'!D5)</f>
        <v>-1.18759740589662</v>
      </c>
    </row>
    <row r="21" customFormat="false" ht="15" hidden="false" customHeight="false" outlineLevel="0" collapsed="false">
      <c r="A21" s="51" t="s">
        <v>226</v>
      </c>
      <c r="B21" s="44" t="n">
        <f aca="false">IF('Balance Sheet'!B9&lt;=0,"n/a",'P&amp;L'!B5/'Balance Sheet'!B9)</f>
        <v>0.096600741681308</v>
      </c>
      <c r="C21" s="44" t="n">
        <f aca="false">IF('Balance Sheet'!C9&lt;=0,"n/a",'P&amp;L'!C5/'Balance Sheet'!C9)</f>
        <v>0.382177589678127</v>
      </c>
      <c r="D21" s="44" t="n">
        <f aca="false">IF('Balance Sheet'!D9&lt;=0,"n/a",'P&amp;L'!D5/'Balance Sheet'!D9)</f>
        <v>2.28801185640801</v>
      </c>
    </row>
    <row r="22" customFormat="false" ht="15" hidden="false" customHeight="false" outlineLevel="0" collapsed="false">
      <c r="A22" s="51" t="s">
        <v>227</v>
      </c>
      <c r="B22" s="44" t="n">
        <f aca="false">IF('Balance Sheet'!B16&lt;=0,"n/a",'Balance Sheet'!B9/'Balance Sheet'!B16)</f>
        <v>1.01901065995167</v>
      </c>
      <c r="C22" s="44" t="n">
        <f aca="false">IF('Balance Sheet'!C16&lt;=0,"n/a",'Balance Sheet'!C9/'Balance Sheet'!C16)</f>
        <v>1.05751890023452</v>
      </c>
      <c r="D22" s="44" t="n">
        <f aca="false">IF('Balance Sheet'!D16&lt;=0,"n/a",'Balance Sheet'!D9/'Balance Sheet'!D16)</f>
        <v>1.42932818716228</v>
      </c>
    </row>
    <row r="23" customFormat="false" ht="15" hidden="false" customHeight="false" outlineLevel="0" collapsed="false">
      <c r="A23" s="41" t="s">
        <v>228</v>
      </c>
      <c r="B23" s="86" t="n">
        <f aca="false">IF(AND(ISNUMBER(B20),ISNUMBER(B21),ISNUMBER(B22)),B20*B21*B22,"n/a")</f>
        <v>-0.310079791808689</v>
      </c>
      <c r="C23" s="86" t="n">
        <f aca="false">IF(AND(ISNUMBER(C20),ISNUMBER(C21),ISNUMBER(C22)),C20*C21*C22,"n/a")</f>
        <v>-0.565664706235757</v>
      </c>
      <c r="D23" s="86" t="n">
        <f aca="false">IF(AND(ISNUMBER(D20),ISNUMBER(D21),ISNUMBER(D22)),D20*D21*D22,"n/a")</f>
        <v>-3.88382335716016</v>
      </c>
    </row>
    <row r="24" customFormat="false" ht="15" hidden="false" customHeight="false" outlineLevel="0" collapsed="false">
      <c r="A24" s="21" t="s">
        <v>229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</row>
    <row r="27" customFormat="false" ht="15" hidden="false" customHeight="false" outlineLevel="0" collapsed="false">
      <c r="A27" s="71" t="s">
        <v>154</v>
      </c>
      <c r="B27" s="71" t="n">
        <v>1</v>
      </c>
      <c r="C27" s="71" t="n">
        <v>2</v>
      </c>
      <c r="D27" s="71" t="n">
        <v>3</v>
      </c>
    </row>
    <row r="28" customFormat="false" ht="15" hidden="false" customHeight="false" outlineLevel="0" collapsed="false">
      <c r="A28" s="33"/>
      <c r="B28" s="35" t="s">
        <v>155</v>
      </c>
      <c r="C28" s="35" t="s">
        <v>156</v>
      </c>
      <c r="D28" s="35" t="s">
        <v>157</v>
      </c>
      <c r="E28" s="35" t="s">
        <v>216</v>
      </c>
    </row>
    <row r="29" customFormat="false" ht="15" hidden="false" customHeight="false" outlineLevel="0" collapsed="false">
      <c r="A29" s="4" t="s">
        <v>231</v>
      </c>
      <c r="B29" s="87" t="n">
        <f aca="false">INDEX(Monthly!$C$13:$AL$13,B$27*12)</f>
        <v>324.705075471428</v>
      </c>
      <c r="C29" s="87" t="n">
        <f aca="false">INDEX(Monthly!$C$13:$AL$13,C$27*12)</f>
        <v>602.208207322359</v>
      </c>
      <c r="D29" s="87" t="n">
        <f aca="false">INDEX(Monthly!$C$13:$AL$13,D$27*12)</f>
        <v>886.054646963686</v>
      </c>
      <c r="E29" s="88"/>
    </row>
    <row r="30" customFormat="false" ht="15" hidden="false" customHeight="false" outlineLevel="0" collapsed="false">
      <c r="A30" s="6" t="s">
        <v>232</v>
      </c>
      <c r="B30" s="89" t="n">
        <f aca="false">SUMIF(Monthly!$C$5:$AL$5,B$27,Monthly!$C$10:$AL$10)</f>
        <v>357.333333333333</v>
      </c>
      <c r="C30" s="89" t="n">
        <f aca="false">SUMIF(Monthly!$C$5:$AL$5,C$27,Monthly!$C$10:$AL$10)</f>
        <v>443.2</v>
      </c>
      <c r="D30" s="89" t="n">
        <f aca="false">SUMIF(Monthly!$C$5:$AL$5,D$27,Monthly!$C$10:$AL$10)</f>
        <v>550.56</v>
      </c>
      <c r="E30" s="88"/>
    </row>
    <row r="31" customFormat="false" ht="15" hidden="false" customHeight="false" outlineLevel="0" collapsed="false">
      <c r="A31" s="6" t="s">
        <v>233</v>
      </c>
      <c r="B31" s="89" t="n">
        <f aca="false">SUMIF(Monthly!$C$5:$AL$5,B$27,Monthly!$C$12:$AL$12)</f>
        <v>-62.628257861905</v>
      </c>
      <c r="C31" s="89" t="n">
        <f aca="false">SUMIF(Monthly!$C$5:$AL$5,C$27,Monthly!$C$12:$AL$12)</f>
        <v>-165.69686814907</v>
      </c>
      <c r="D31" s="89" t="n">
        <f aca="false">SUMIF(Monthly!$C$5:$AL$5,D$27,Monthly!$C$12:$AL$12)</f>
        <v>-266.713560358673</v>
      </c>
      <c r="E31" s="88"/>
    </row>
    <row r="32" customFormat="false" ht="15" hidden="false" customHeight="false" outlineLevel="0" collapsed="false">
      <c r="A32" s="4" t="s">
        <v>234</v>
      </c>
      <c r="B32" s="90" t="n">
        <f aca="false">INDEX(Monthly!$C$21:$AL$21,B$27*12)</f>
        <v>33087.0901472265</v>
      </c>
      <c r="C32" s="90" t="n">
        <f aca="false">INDEX(Monthly!$C$21:$AL$21,C$27*12)</f>
        <v>63887.111147631</v>
      </c>
      <c r="D32" s="90" t="n">
        <f aca="false">INDEX(Monthly!$C$21:$AL$21,D$27*12)</f>
        <v>97649.2451193627</v>
      </c>
      <c r="E32" s="91"/>
    </row>
    <row r="33" customFormat="false" ht="15" hidden="false" customHeight="false" outlineLevel="0" collapsed="false">
      <c r="A33" s="4" t="s">
        <v>59</v>
      </c>
      <c r="B33" s="90" t="n">
        <f aca="false">B32*12</f>
        <v>397045.081766717</v>
      </c>
      <c r="C33" s="90" t="n">
        <f aca="false">C32*12</f>
        <v>766645.333771572</v>
      </c>
      <c r="D33" s="90" t="n">
        <f aca="false">D32*12</f>
        <v>1171790.94143235</v>
      </c>
      <c r="E33" s="91"/>
    </row>
    <row r="34" customFormat="false" ht="15" hidden="false" customHeight="false" outlineLevel="0" collapsed="false">
      <c r="A34" s="6" t="s">
        <v>235</v>
      </c>
      <c r="B34" s="92" t="n">
        <f aca="false">IF(B29=0,0,B32/B29)</f>
        <v>101.898900407357</v>
      </c>
      <c r="C34" s="92" t="n">
        <f aca="false">IF(C29=0,0,C32/C29)</f>
        <v>106.088077795713</v>
      </c>
      <c r="D34" s="92" t="n">
        <f aca="false">IF(D29=0,0,D32/D29)</f>
        <v>110.206797576182</v>
      </c>
      <c r="E34" s="93"/>
    </row>
    <row r="35" customFormat="false" ht="15" hidden="false" customHeight="false" outlineLevel="0" collapsed="false">
      <c r="A35" s="6" t="s">
        <v>44</v>
      </c>
      <c r="B35" s="36" t="n">
        <f aca="false">SUMIF(Monthly!$C$5:$AL$5,B$27,Monthly!$C$24:$AL$24)</f>
        <v>225414.939184555</v>
      </c>
      <c r="C35" s="36" t="n">
        <f aca="false">SUMIF(Monthly!$C$5:$AL$5,C$27,Monthly!$C$24:$AL$24)</f>
        <v>591123.330484019</v>
      </c>
      <c r="D35" s="36" t="n">
        <f aca="false">SUMIF(Monthly!$C$5:$AL$5,D$27,Monthly!$C$24:$AL$24)</f>
        <v>979388.559956597</v>
      </c>
      <c r="E35" s="91"/>
    </row>
    <row r="36" customFormat="false" ht="15" hidden="false" customHeight="false" outlineLevel="0" collapsed="false">
      <c r="A36" s="6" t="s">
        <v>45</v>
      </c>
      <c r="B36" s="36" t="n">
        <f aca="false">SUMIF(Monthly!$C$5:$AL$5,B$27,Monthly!$C$26:$AL$26)</f>
        <v>198403.522999835</v>
      </c>
      <c r="C36" s="36" t="n">
        <f aca="false">SUMIF(Monthly!$C$5:$AL$5,C$27,Monthly!$C$26:$AL$26)</f>
        <v>520687.036427161</v>
      </c>
      <c r="D36" s="36" t="n">
        <f aca="false">SUMIF(Monthly!$C$5:$AL$5,D$27,Monthly!$C$26:$AL$26)</f>
        <v>863384.953497385</v>
      </c>
      <c r="E36" s="91"/>
    </row>
    <row r="37" customFormat="false" ht="15" hidden="false" customHeight="false" outlineLevel="0" collapsed="false">
      <c r="A37" s="39" t="s">
        <v>46</v>
      </c>
      <c r="B37" s="94" t="n">
        <f aca="false">IF(B35=0,0,B36/B35)</f>
        <v>0.880170248332097</v>
      </c>
      <c r="C37" s="94" t="n">
        <f aca="false">IF(C35=0,0,C36/C35)</f>
        <v>0.880843319110441</v>
      </c>
      <c r="D37" s="94" t="n">
        <f aca="false">IF(D35=0,0,D36/D35)</f>
        <v>0.881555073030102</v>
      </c>
      <c r="E37" s="95"/>
    </row>
    <row r="38" customFormat="false" ht="15" hidden="false" customHeight="false" outlineLevel="0" collapsed="false">
      <c r="A38" s="6" t="s">
        <v>236</v>
      </c>
      <c r="B38" s="36" t="n">
        <f aca="false">-SUMIF(Monthly!$C$5:$AL$5,B$27,Monthly!$C$30:$AL$30)</f>
        <v>96000</v>
      </c>
      <c r="C38" s="36" t="n">
        <f aca="false">-SUMIF(Monthly!$C$5:$AL$5,C$27,Monthly!$C$30:$AL$30)</f>
        <v>115200</v>
      </c>
      <c r="D38" s="36" t="n">
        <f aca="false">-SUMIF(Monthly!$C$5:$AL$5,D$27,Monthly!$C$30:$AL$30)</f>
        <v>138240</v>
      </c>
      <c r="E38" s="91"/>
    </row>
    <row r="39" customFormat="false" ht="15" hidden="false" customHeight="false" outlineLevel="0" collapsed="false">
      <c r="A39" s="6" t="s">
        <v>237</v>
      </c>
      <c r="B39" s="92" t="n">
        <f aca="false">IF(B30=0,0,B38/B30)</f>
        <v>268.65671641791</v>
      </c>
      <c r="C39" s="92" t="n">
        <f aca="false">IF(C30=0,0,C38/C30)</f>
        <v>259.927797833935</v>
      </c>
      <c r="D39" s="92" t="n">
        <f aca="false">IF(D30=0,0,D38/D30)</f>
        <v>251.089799476896</v>
      </c>
      <c r="E39" s="93"/>
    </row>
    <row r="40" customFormat="false" ht="15" hidden="false" customHeight="false" outlineLevel="0" collapsed="false">
      <c r="A40" s="39" t="s">
        <v>238</v>
      </c>
      <c r="B40" s="94" t="n">
        <f aca="false">INDEX(Monthly!$C$81:$AL$81,B$27*12)</f>
        <v>0.03</v>
      </c>
      <c r="C40" s="94" t="n">
        <f aca="false">INDEX(Monthly!$C$81:$AL$81,C$27*12)</f>
        <v>0.03</v>
      </c>
      <c r="D40" s="94" t="n">
        <f aca="false">INDEX(Monthly!$C$81:$AL$81,D$27*12)</f>
        <v>0.03</v>
      </c>
      <c r="E40" s="95"/>
    </row>
    <row r="41" customFormat="false" ht="15" hidden="false" customHeight="false" outlineLevel="0" collapsed="false">
      <c r="A41" s="6" t="s">
        <v>239</v>
      </c>
      <c r="B41" s="92" t="n">
        <f aca="false">IF(B40=0,0,B34*B37/B40)</f>
        <v>2989.61268254371</v>
      </c>
      <c r="C41" s="92" t="n">
        <f aca="false">IF(C40=0,0,C34*C37/C40)</f>
        <v>3114.89915212074</v>
      </c>
      <c r="D41" s="92" t="n">
        <f aca="false">IF(D40=0,0,D34*D37/D40)</f>
        <v>3238.44538285617</v>
      </c>
      <c r="E41" s="93"/>
    </row>
    <row r="42" customFormat="false" ht="15" hidden="false" customHeight="false" outlineLevel="0" collapsed="false">
      <c r="A42" s="6" t="s">
        <v>60</v>
      </c>
      <c r="B42" s="96" t="n">
        <f aca="false">IF(B39=0,0,B41/B39)</f>
        <v>11.1280027628016</v>
      </c>
      <c r="C42" s="96" t="n">
        <f aca="false">IF(C39=0,0,C41/C39)</f>
        <v>11.9837092380201</v>
      </c>
      <c r="D42" s="96" t="n">
        <f aca="false">IF(D39=0,0,D41/D39)</f>
        <v>12.8975585213057</v>
      </c>
      <c r="E42" s="97"/>
    </row>
    <row r="43" customFormat="false" ht="15" hidden="false" customHeight="false" outlineLevel="0" collapsed="false">
      <c r="A43" s="6" t="s">
        <v>240</v>
      </c>
      <c r="B43" s="89" t="n">
        <f aca="false">IF(B34*B37&lt;=0,0,B39/(B34*B37))</f>
        <v>2.99544617698687</v>
      </c>
      <c r="C43" s="89" t="n">
        <f aca="false">IF(C34*C37&lt;=0,0,C39/(C34*C37))</f>
        <v>2.78155391383984</v>
      </c>
      <c r="D43" s="89" t="n">
        <f aca="false">IF(D34*D37&lt;=0,0,D39/(D34*D37))</f>
        <v>2.58446846961536</v>
      </c>
      <c r="E43" s="88"/>
    </row>
    <row r="44" customFormat="false" ht="15" hidden="false" customHeight="false" outlineLevel="0" collapsed="false">
      <c r="A44" s="6" t="s">
        <v>241</v>
      </c>
      <c r="B44" s="36" t="n">
        <f aca="false">INDEX(Monthly!$C$80:$AL$80,B$27*12)</f>
        <v>44473.8917747187</v>
      </c>
      <c r="C44" s="36" t="n">
        <f aca="false">INDEX(Monthly!$C$80:$AL$80,C$27*12)</f>
        <v>53908.8705785703</v>
      </c>
      <c r="D44" s="36" t="n">
        <f aca="false">INDEX(Monthly!$C$80:$AL$80,D$27*12)</f>
        <v>80483.0870371505</v>
      </c>
      <c r="E44" s="91"/>
    </row>
    <row r="45" customFormat="false" ht="15" hidden="false" customHeight="false" outlineLevel="0" collapsed="false">
      <c r="A45" s="6" t="s">
        <v>242</v>
      </c>
      <c r="B45" s="36" t="n">
        <f aca="false">INDEX(Monthly!$C$76:$AL$76,B$27*12)</f>
        <v>2314803.48576323</v>
      </c>
      <c r="C45" s="36" t="n">
        <f aca="false">INDEX(Monthly!$C$76:$AL$76,C$27*12)</f>
        <v>1529595.0687839</v>
      </c>
      <c r="D45" s="36" t="n">
        <f aca="false">INDEX(Monthly!$C$76:$AL$76,D$27*12)</f>
        <v>411980.553657166</v>
      </c>
      <c r="E45" s="91"/>
    </row>
    <row r="46" customFormat="false" ht="15" hidden="false" customHeight="false" outlineLevel="0" collapsed="false">
      <c r="A46" s="6" t="s">
        <v>243</v>
      </c>
      <c r="B46" s="89" t="n">
        <f aca="false">IF(B44&lt;=0,0,MAX(0,B45)/B44)</f>
        <v>52.0485928573286</v>
      </c>
      <c r="C46" s="89" t="n">
        <f aca="false">IF(C44&lt;=0,0,MAX(0,C45)/C44)</f>
        <v>28.3737175787159</v>
      </c>
      <c r="D46" s="89" t="n">
        <f aca="false">IF(D44&lt;=0,0,MAX(0,D45)/D44)</f>
        <v>5.1188463169535</v>
      </c>
      <c r="E46" s="88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246</v>
      </c>
      <c r="G5" s="33" t="s">
        <v>247</v>
      </c>
    </row>
    <row r="6" customFormat="false" ht="15.75" hidden="false" customHeight="true" outlineLevel="0" collapsed="false">
      <c r="A6" s="7" t="s">
        <v>248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249</v>
      </c>
      <c r="B7" s="98" t="n">
        <v>30</v>
      </c>
      <c r="C7" s="98" t="n">
        <v>30</v>
      </c>
      <c r="D7" s="98" t="n">
        <v>30</v>
      </c>
      <c r="E7" s="99" t="n">
        <f aca="false">CHOOSE(Dashboard!$B$4,B7,C7,D7)</f>
        <v>30</v>
      </c>
      <c r="F7" s="39" t="s">
        <v>250</v>
      </c>
      <c r="G7" s="100" t="s">
        <v>251</v>
      </c>
    </row>
    <row r="8" customFormat="false" ht="15" hidden="false" customHeight="false" outlineLevel="0" collapsed="false">
      <c r="A8" s="6" t="s">
        <v>252</v>
      </c>
      <c r="B8" s="101" t="n">
        <v>79</v>
      </c>
      <c r="C8" s="101" t="n">
        <v>99</v>
      </c>
      <c r="D8" s="101" t="n">
        <v>119</v>
      </c>
      <c r="E8" s="102" t="n">
        <f aca="false">CHOOSE(Dashboard!$B$4,B8,C8,D8)</f>
        <v>99</v>
      </c>
      <c r="F8" s="39" t="s">
        <v>253</v>
      </c>
      <c r="G8" s="100" t="s">
        <v>251</v>
      </c>
    </row>
    <row r="9" customFormat="false" ht="15" hidden="false" customHeight="false" outlineLevel="0" collapsed="false">
      <c r="A9" s="6" t="s">
        <v>254</v>
      </c>
      <c r="B9" s="103" t="n">
        <v>0</v>
      </c>
      <c r="C9" s="103" t="n">
        <v>0.03</v>
      </c>
      <c r="D9" s="103" t="n">
        <v>0.05</v>
      </c>
      <c r="E9" s="104" t="n">
        <f aca="false">CHOOSE(Dashboard!$B$4,B9,C9,D9)</f>
        <v>0.03</v>
      </c>
      <c r="F9" s="39" t="s">
        <v>255</v>
      </c>
      <c r="G9" s="100" t="s">
        <v>251</v>
      </c>
    </row>
    <row r="10" customFormat="false" ht="15" hidden="false" customHeight="false" outlineLevel="0" collapsed="false">
      <c r="A10" s="6" t="s">
        <v>238</v>
      </c>
      <c r="B10" s="103" t="n">
        <v>0.045</v>
      </c>
      <c r="C10" s="103" t="n">
        <v>0.03</v>
      </c>
      <c r="D10" s="103" t="n">
        <v>0.02</v>
      </c>
      <c r="E10" s="104" t="n">
        <f aca="false">CHOOSE(Dashboard!$B$4,B10,C10,D10)</f>
        <v>0.03</v>
      </c>
      <c r="F10" s="39" t="s">
        <v>255</v>
      </c>
      <c r="G10" s="100" t="s">
        <v>256</v>
      </c>
    </row>
    <row r="11" customFormat="false" ht="15" hidden="false" customHeight="false" outlineLevel="0" collapsed="false">
      <c r="A11" s="6" t="s">
        <v>257</v>
      </c>
      <c r="B11" s="103" t="n">
        <v>0</v>
      </c>
      <c r="C11" s="103" t="n">
        <v>0.005</v>
      </c>
      <c r="D11" s="103" t="n">
        <v>0.01</v>
      </c>
      <c r="E11" s="104" t="n">
        <f aca="false">CHOOSE(Dashboard!$B$4,B11,C11,D11)</f>
        <v>0.005</v>
      </c>
      <c r="F11" s="39" t="s">
        <v>255</v>
      </c>
      <c r="G11" s="100" t="s">
        <v>251</v>
      </c>
    </row>
    <row r="12" customFormat="false" ht="15" hidden="false" customHeight="false" outlineLevel="0" collapsed="false">
      <c r="A12" s="6" t="s">
        <v>258</v>
      </c>
      <c r="B12" s="105" t="n">
        <v>8</v>
      </c>
      <c r="C12" s="105" t="n">
        <v>12</v>
      </c>
      <c r="D12" s="105" t="n">
        <v>18</v>
      </c>
      <c r="E12" s="106" t="n">
        <f aca="false">CHOOSE(Dashboard!$B$4,B12,C12,D12)</f>
        <v>12</v>
      </c>
      <c r="F12" s="39" t="s">
        <v>259</v>
      </c>
      <c r="G12" s="100" t="s">
        <v>251</v>
      </c>
    </row>
    <row r="13" customFormat="false" ht="15" hidden="false" customHeight="false" outlineLevel="0" collapsed="false">
      <c r="A13" s="6" t="s">
        <v>260</v>
      </c>
      <c r="B13" s="103" t="n">
        <v>0.1</v>
      </c>
      <c r="C13" s="103" t="n">
        <v>0.3</v>
      </c>
      <c r="D13" s="103" t="n">
        <v>0.5</v>
      </c>
      <c r="E13" s="104" t="n">
        <f aca="false">CHOOSE(Dashboard!$B$4,B13,C13,D13)</f>
        <v>0.3</v>
      </c>
      <c r="F13" s="39" t="s">
        <v>255</v>
      </c>
      <c r="G13" s="100" t="s">
        <v>251</v>
      </c>
    </row>
    <row r="14" customFormat="false" ht="15" hidden="false" customHeight="false" outlineLevel="0" collapsed="false">
      <c r="A14" s="6" t="s">
        <v>261</v>
      </c>
      <c r="B14" s="101" t="n">
        <v>8000</v>
      </c>
      <c r="C14" s="101" t="n">
        <v>8000</v>
      </c>
      <c r="D14" s="101" t="n">
        <v>8000</v>
      </c>
      <c r="E14" s="102" t="n">
        <f aca="false">CHOOSE(Dashboard!$B$4,B14,C14,D14)</f>
        <v>8000</v>
      </c>
      <c r="F14" s="39" t="s">
        <v>253</v>
      </c>
      <c r="G14" s="100"/>
    </row>
    <row r="15" customFormat="false" ht="15" hidden="false" customHeight="false" outlineLevel="0" collapsed="false">
      <c r="A15" s="6" t="s">
        <v>262</v>
      </c>
      <c r="B15" s="103" t="n">
        <v>0.2</v>
      </c>
      <c r="C15" s="103" t="n">
        <v>0.2</v>
      </c>
      <c r="D15" s="103" t="n">
        <v>0.2</v>
      </c>
      <c r="E15" s="104" t="n">
        <f aca="false">CHOOSE(Dashboard!$B$4,B15,C15,D15)</f>
        <v>0.2</v>
      </c>
      <c r="F15" s="39" t="s">
        <v>255</v>
      </c>
      <c r="G15" s="100"/>
    </row>
    <row r="16" customFormat="false" ht="15" hidden="false" customHeight="false" outlineLevel="0" collapsed="false">
      <c r="A16" s="6" t="s">
        <v>263</v>
      </c>
      <c r="B16" s="101" t="n">
        <v>600</v>
      </c>
      <c r="C16" s="101" t="n">
        <v>450</v>
      </c>
      <c r="D16" s="101" t="n">
        <v>350</v>
      </c>
      <c r="E16" s="102" t="n">
        <f aca="false">CHOOSE(Dashboard!$B$4,B16,C16,D16)</f>
        <v>450</v>
      </c>
      <c r="F16" s="39" t="s">
        <v>264</v>
      </c>
      <c r="G16" s="100" t="s">
        <v>256</v>
      </c>
    </row>
    <row r="17" customFormat="false" ht="15" hidden="false" customHeight="false" outlineLevel="0" collapsed="false">
      <c r="A17" s="6" t="s">
        <v>265</v>
      </c>
      <c r="B17" s="103" t="n">
        <v>0.2</v>
      </c>
      <c r="C17" s="103" t="n">
        <v>0.2</v>
      </c>
      <c r="D17" s="103" t="n">
        <v>0.2</v>
      </c>
      <c r="E17" s="104" t="n">
        <f aca="false">CHOOSE(Dashboard!$B$4,B17,C17,D17)</f>
        <v>0.2</v>
      </c>
      <c r="F17" s="39" t="s">
        <v>255</v>
      </c>
      <c r="G17" s="100"/>
    </row>
    <row r="18" customFormat="false" ht="15" hidden="false" customHeight="false" outlineLevel="0" collapsed="false">
      <c r="A18" s="6" t="s">
        <v>266</v>
      </c>
      <c r="B18" s="103" t="n">
        <v>0.12</v>
      </c>
      <c r="C18" s="103" t="n">
        <v>0.1</v>
      </c>
      <c r="D18" s="103" t="n">
        <v>0.08</v>
      </c>
      <c r="E18" s="104" t="n">
        <f aca="false">CHOOSE(Dashboard!$B$4,B18,C18,D18)</f>
        <v>0.1</v>
      </c>
      <c r="F18" s="39" t="s">
        <v>255</v>
      </c>
      <c r="G18" s="100" t="s">
        <v>256</v>
      </c>
    </row>
    <row r="19" customFormat="false" ht="15" hidden="false" customHeight="false" outlineLevel="0" collapsed="false">
      <c r="A19" s="6" t="s">
        <v>267</v>
      </c>
      <c r="B19" s="107" t="n">
        <v>3</v>
      </c>
      <c r="C19" s="107" t="n">
        <v>2</v>
      </c>
      <c r="D19" s="107" t="n">
        <v>1.5</v>
      </c>
      <c r="E19" s="108" t="n">
        <f aca="false">CHOOSE(Dashboard!$B$4,B19,C19,D19)</f>
        <v>2</v>
      </c>
      <c r="F19" s="39" t="s">
        <v>264</v>
      </c>
      <c r="G19" s="100" t="s">
        <v>256</v>
      </c>
    </row>
    <row r="20" customFormat="false" ht="15" hidden="false" customHeight="false" outlineLevel="0" collapsed="false">
      <c r="A20" s="6" t="s">
        <v>268</v>
      </c>
      <c r="B20" s="101" t="n">
        <v>150</v>
      </c>
      <c r="C20" s="101" t="n">
        <v>150</v>
      </c>
      <c r="D20" s="101" t="n">
        <v>150</v>
      </c>
      <c r="E20" s="102" t="n">
        <f aca="false">CHOOSE(Dashboard!$B$4,B20,C20,D20)</f>
        <v>150</v>
      </c>
      <c r="F20" s="39" t="s">
        <v>264</v>
      </c>
      <c r="G20" s="100"/>
    </row>
    <row r="21" customFormat="false" ht="15" hidden="false" customHeight="false" outlineLevel="0" collapsed="false">
      <c r="A21" s="6" t="s">
        <v>269</v>
      </c>
      <c r="B21" s="101" t="n">
        <v>1500</v>
      </c>
      <c r="C21" s="101" t="n">
        <v>1500</v>
      </c>
      <c r="D21" s="101" t="n">
        <v>1500</v>
      </c>
      <c r="E21" s="102" t="n">
        <f aca="false">CHOOSE(Dashboard!$B$4,B21,C21,D21)</f>
        <v>1500</v>
      </c>
      <c r="F21" s="39" t="s">
        <v>264</v>
      </c>
      <c r="G21" s="100"/>
    </row>
    <row r="22" customFormat="false" ht="15" hidden="false" customHeight="false" outlineLevel="0" collapsed="false">
      <c r="A22" s="6" t="s">
        <v>270</v>
      </c>
      <c r="B22" s="101" t="n">
        <v>3000</v>
      </c>
      <c r="C22" s="101" t="n">
        <v>3000</v>
      </c>
      <c r="D22" s="101" t="n">
        <v>3000</v>
      </c>
      <c r="E22" s="102" t="n">
        <f aca="false">CHOOSE(Dashboard!$B$4,B22,C22,D22)</f>
        <v>3000</v>
      </c>
      <c r="F22" s="39" t="s">
        <v>264</v>
      </c>
      <c r="G22" s="100"/>
    </row>
    <row r="23" customFormat="false" ht="15" hidden="false" customHeight="false" outlineLevel="0" collapsed="false">
      <c r="A23" s="6" t="s">
        <v>271</v>
      </c>
      <c r="B23" s="101" t="n">
        <v>20000</v>
      </c>
      <c r="C23" s="101" t="n">
        <v>20000</v>
      </c>
      <c r="D23" s="101" t="n">
        <v>20000</v>
      </c>
      <c r="E23" s="102" t="n">
        <f aca="false">CHOOSE(Dashboard!$B$4,B23,C23,D23)</f>
        <v>20000</v>
      </c>
      <c r="F23" s="39" t="s">
        <v>264</v>
      </c>
      <c r="G23" s="100"/>
    </row>
    <row r="25" customFormat="false" ht="15.75" hidden="false" customHeight="true" outlineLevel="0" collapsed="false">
      <c r="A25" s="7" t="s">
        <v>272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273</v>
      </c>
      <c r="B26" s="105" t="n">
        <v>3</v>
      </c>
      <c r="C26" s="105" t="n">
        <v>3</v>
      </c>
      <c r="D26" s="105" t="n">
        <v>3</v>
      </c>
      <c r="E26" s="106" t="n">
        <f aca="false">CHOOSE(Dashboard!$B$4,B26,C26,D26)</f>
        <v>3</v>
      </c>
      <c r="F26" s="39" t="s">
        <v>274</v>
      </c>
      <c r="G26" s="100" t="s">
        <v>251</v>
      </c>
    </row>
    <row r="27" customFormat="false" ht="15" hidden="false" customHeight="false" outlineLevel="0" collapsed="false">
      <c r="A27" s="6" t="s">
        <v>275</v>
      </c>
      <c r="B27" s="101" t="n">
        <v>125000</v>
      </c>
      <c r="C27" s="101" t="n">
        <v>125000</v>
      </c>
      <c r="D27" s="101" t="n">
        <v>125000</v>
      </c>
      <c r="E27" s="102" t="n">
        <f aca="false">CHOOSE(Dashboard!$B$4,B27,C27,D27)</f>
        <v>125000</v>
      </c>
      <c r="F27" s="39" t="s">
        <v>264</v>
      </c>
      <c r="G27" s="100"/>
    </row>
    <row r="28" customFormat="false" ht="15" hidden="false" customHeight="false" outlineLevel="0" collapsed="false">
      <c r="A28" s="6" t="s">
        <v>276</v>
      </c>
      <c r="B28" s="103" t="n">
        <v>0.5</v>
      </c>
      <c r="C28" s="103" t="n">
        <v>0.5</v>
      </c>
      <c r="D28" s="103" t="n">
        <v>0.5</v>
      </c>
      <c r="E28" s="104" t="n">
        <f aca="false">CHOOSE(Dashboard!$B$4,B28,C28,D28)</f>
        <v>0.5</v>
      </c>
      <c r="F28" s="39" t="s">
        <v>255</v>
      </c>
      <c r="G28" s="100" t="s">
        <v>251</v>
      </c>
    </row>
    <row r="29" customFormat="false" ht="15" hidden="false" customHeight="false" outlineLevel="0" collapsed="false">
      <c r="A29" s="6" t="s">
        <v>277</v>
      </c>
      <c r="B29" s="98" t="n">
        <v>1</v>
      </c>
      <c r="C29" s="98" t="n">
        <v>1</v>
      </c>
      <c r="D29" s="98" t="n">
        <v>1</v>
      </c>
      <c r="E29" s="99" t="n">
        <f aca="false">CHOOSE(Dashboard!$B$4,B29,C29,D29)</f>
        <v>1</v>
      </c>
      <c r="F29" s="39" t="s">
        <v>278</v>
      </c>
      <c r="G29" s="100"/>
    </row>
    <row r="30" customFormat="false" ht="15" hidden="false" customHeight="false" outlineLevel="0" collapsed="false">
      <c r="A30" s="6" t="s">
        <v>279</v>
      </c>
      <c r="B30" s="105" t="n">
        <v>1.5</v>
      </c>
      <c r="C30" s="105" t="n">
        <v>1.5</v>
      </c>
      <c r="D30" s="105" t="n">
        <v>1.5</v>
      </c>
      <c r="E30" s="106" t="n">
        <f aca="false">CHOOSE(Dashboard!$B$4,B30,C30,D30)</f>
        <v>1.5</v>
      </c>
      <c r="F30" s="39" t="s">
        <v>274</v>
      </c>
      <c r="G30" s="100" t="s">
        <v>251</v>
      </c>
    </row>
    <row r="31" customFormat="false" ht="15" hidden="false" customHeight="false" outlineLevel="0" collapsed="false">
      <c r="A31" s="6" t="s">
        <v>280</v>
      </c>
      <c r="B31" s="101" t="n">
        <v>95000</v>
      </c>
      <c r="C31" s="101" t="n">
        <v>95000</v>
      </c>
      <c r="D31" s="101" t="n">
        <v>95000</v>
      </c>
      <c r="E31" s="102" t="n">
        <f aca="false">CHOOSE(Dashboard!$B$4,B31,C31,D31)</f>
        <v>95000</v>
      </c>
      <c r="F31" s="39" t="s">
        <v>264</v>
      </c>
      <c r="G31" s="100"/>
    </row>
    <row r="32" customFormat="false" ht="15" hidden="false" customHeight="false" outlineLevel="0" collapsed="false">
      <c r="A32" s="6" t="s">
        <v>281</v>
      </c>
      <c r="B32" s="103" t="n">
        <v>0.5</v>
      </c>
      <c r="C32" s="103" t="n">
        <v>0.5</v>
      </c>
      <c r="D32" s="103" t="n">
        <v>0.5</v>
      </c>
      <c r="E32" s="104" t="n">
        <f aca="false">CHOOSE(Dashboard!$B$4,B32,C32,D32)</f>
        <v>0.5</v>
      </c>
      <c r="F32" s="39" t="s">
        <v>255</v>
      </c>
      <c r="G32" s="100" t="s">
        <v>251</v>
      </c>
    </row>
    <row r="33" customFormat="false" ht="15" hidden="false" customHeight="false" outlineLevel="0" collapsed="false">
      <c r="A33" s="6" t="s">
        <v>282</v>
      </c>
      <c r="B33" s="98" t="n">
        <v>1</v>
      </c>
      <c r="C33" s="98" t="n">
        <v>1</v>
      </c>
      <c r="D33" s="98" t="n">
        <v>1</v>
      </c>
      <c r="E33" s="99" t="n">
        <f aca="false">CHOOSE(Dashboard!$B$4,B33,C33,D33)</f>
        <v>1</v>
      </c>
      <c r="F33" s="39" t="s">
        <v>278</v>
      </c>
      <c r="G33" s="100"/>
    </row>
    <row r="34" customFormat="false" ht="15" hidden="false" customHeight="false" outlineLevel="0" collapsed="false">
      <c r="A34" s="6" t="s">
        <v>283</v>
      </c>
      <c r="B34" s="105" t="n">
        <v>1</v>
      </c>
      <c r="C34" s="105" t="n">
        <v>1</v>
      </c>
      <c r="D34" s="105" t="n">
        <v>1</v>
      </c>
      <c r="E34" s="106" t="n">
        <f aca="false">CHOOSE(Dashboard!$B$4,B34,C34,D34)</f>
        <v>1</v>
      </c>
      <c r="F34" s="39" t="s">
        <v>274</v>
      </c>
      <c r="G34" s="100" t="s">
        <v>251</v>
      </c>
    </row>
    <row r="35" customFormat="false" ht="15" hidden="false" customHeight="false" outlineLevel="0" collapsed="false">
      <c r="A35" s="6" t="s">
        <v>284</v>
      </c>
      <c r="B35" s="101" t="n">
        <v>60000</v>
      </c>
      <c r="C35" s="101" t="n">
        <v>60000</v>
      </c>
      <c r="D35" s="101" t="n">
        <v>60000</v>
      </c>
      <c r="E35" s="102" t="n">
        <f aca="false">CHOOSE(Dashboard!$B$4,B35,C35,D35)</f>
        <v>60000</v>
      </c>
      <c r="F35" s="39" t="s">
        <v>264</v>
      </c>
      <c r="G35" s="100"/>
    </row>
    <row r="36" customFormat="false" ht="15" hidden="false" customHeight="false" outlineLevel="0" collapsed="false">
      <c r="A36" s="6" t="s">
        <v>285</v>
      </c>
      <c r="B36" s="103" t="n">
        <v>0.5</v>
      </c>
      <c r="C36" s="103" t="n">
        <v>0.5</v>
      </c>
      <c r="D36" s="103" t="n">
        <v>0.5</v>
      </c>
      <c r="E36" s="104" t="n">
        <f aca="false">CHOOSE(Dashboard!$B$4,B36,C36,D36)</f>
        <v>0.5</v>
      </c>
      <c r="F36" s="39" t="s">
        <v>255</v>
      </c>
      <c r="G36" s="100" t="s">
        <v>251</v>
      </c>
    </row>
    <row r="37" customFormat="false" ht="15" hidden="false" customHeight="false" outlineLevel="0" collapsed="false">
      <c r="A37" s="6" t="s">
        <v>286</v>
      </c>
      <c r="B37" s="98" t="n">
        <v>1</v>
      </c>
      <c r="C37" s="98" t="n">
        <v>1</v>
      </c>
      <c r="D37" s="98" t="n">
        <v>1</v>
      </c>
      <c r="E37" s="99" t="n">
        <f aca="false">CHOOSE(Dashboard!$B$4,B37,C37,D37)</f>
        <v>1</v>
      </c>
      <c r="F37" s="39" t="s">
        <v>278</v>
      </c>
      <c r="G37" s="100"/>
    </row>
    <row r="38" customFormat="false" ht="15" hidden="false" customHeight="false" outlineLevel="0" collapsed="false">
      <c r="A38" s="6" t="s">
        <v>287</v>
      </c>
      <c r="B38" s="105" t="n">
        <v>0.5</v>
      </c>
      <c r="C38" s="105" t="n">
        <v>0.5</v>
      </c>
      <c r="D38" s="105" t="n">
        <v>0.5</v>
      </c>
      <c r="E38" s="106" t="n">
        <f aca="false">CHOOSE(Dashboard!$B$4,B38,C38,D38)</f>
        <v>0.5</v>
      </c>
      <c r="F38" s="39" t="s">
        <v>274</v>
      </c>
      <c r="G38" s="100" t="s">
        <v>251</v>
      </c>
    </row>
    <row r="39" customFormat="false" ht="15" hidden="false" customHeight="false" outlineLevel="0" collapsed="false">
      <c r="A39" s="6" t="s">
        <v>288</v>
      </c>
      <c r="B39" s="101" t="n">
        <v>80000</v>
      </c>
      <c r="C39" s="101" t="n">
        <v>80000</v>
      </c>
      <c r="D39" s="101" t="n">
        <v>80000</v>
      </c>
      <c r="E39" s="102" t="n">
        <f aca="false">CHOOSE(Dashboard!$B$4,B39,C39,D39)</f>
        <v>80000</v>
      </c>
      <c r="F39" s="39" t="s">
        <v>264</v>
      </c>
      <c r="G39" s="100"/>
    </row>
    <row r="40" customFormat="false" ht="15" hidden="false" customHeight="false" outlineLevel="0" collapsed="false">
      <c r="A40" s="6" t="s">
        <v>289</v>
      </c>
      <c r="B40" s="103" t="n">
        <v>0.5</v>
      </c>
      <c r="C40" s="103" t="n">
        <v>0.5</v>
      </c>
      <c r="D40" s="103" t="n">
        <v>0.5</v>
      </c>
      <c r="E40" s="104" t="n">
        <f aca="false">CHOOSE(Dashboard!$B$4,B40,C40,D40)</f>
        <v>0.5</v>
      </c>
      <c r="F40" s="39" t="s">
        <v>255</v>
      </c>
      <c r="G40" s="100" t="s">
        <v>251</v>
      </c>
    </row>
    <row r="41" customFormat="false" ht="15" hidden="false" customHeight="false" outlineLevel="0" collapsed="false">
      <c r="A41" s="6" t="s">
        <v>290</v>
      </c>
      <c r="B41" s="98" t="n">
        <v>1</v>
      </c>
      <c r="C41" s="98" t="n">
        <v>1</v>
      </c>
      <c r="D41" s="98" t="n">
        <v>1</v>
      </c>
      <c r="E41" s="99" t="n">
        <f aca="false">CHOOSE(Dashboard!$B$4,B41,C41,D41)</f>
        <v>1</v>
      </c>
      <c r="F41" s="39" t="s">
        <v>278</v>
      </c>
      <c r="G41" s="100"/>
    </row>
    <row r="42" customFormat="false" ht="15" hidden="false" customHeight="false" outlineLevel="0" collapsed="false">
      <c r="A42" s="6" t="s">
        <v>291</v>
      </c>
      <c r="B42" s="103" t="n">
        <v>0.2</v>
      </c>
      <c r="C42" s="103" t="n">
        <v>0.2</v>
      </c>
      <c r="D42" s="103" t="n">
        <v>0.2</v>
      </c>
      <c r="E42" s="104" t="n">
        <f aca="false">CHOOSE(Dashboard!$B$4,B42,C42,D42)</f>
        <v>0.2</v>
      </c>
      <c r="F42" s="39" t="s">
        <v>255</v>
      </c>
      <c r="G42" s="100"/>
    </row>
    <row r="43" customFormat="false" ht="15" hidden="false" customHeight="false" outlineLevel="0" collapsed="false">
      <c r="A43" s="6" t="s">
        <v>292</v>
      </c>
      <c r="B43" s="103" t="n">
        <v>0.04</v>
      </c>
      <c r="C43" s="103" t="n">
        <v>0.04</v>
      </c>
      <c r="D43" s="103" t="n">
        <v>0.04</v>
      </c>
      <c r="E43" s="104" t="n">
        <f aca="false">CHOOSE(Dashboard!$B$4,B43,C43,D43)</f>
        <v>0.04</v>
      </c>
      <c r="F43" s="39" t="s">
        <v>255</v>
      </c>
      <c r="G43" s="100"/>
    </row>
    <row r="45" customFormat="false" ht="15.75" hidden="false" customHeight="true" outlineLevel="0" collapsed="false">
      <c r="A45" s="7" t="s">
        <v>293</v>
      </c>
      <c r="B45" s="7"/>
      <c r="C45" s="7"/>
      <c r="D45" s="7"/>
      <c r="E45" s="7"/>
      <c r="F45" s="7"/>
      <c r="G45" s="7"/>
    </row>
    <row r="46" customFormat="false" ht="15" hidden="false" customHeight="false" outlineLevel="0" collapsed="false">
      <c r="A46" s="6" t="s">
        <v>294</v>
      </c>
      <c r="B46" s="101" t="n">
        <v>3000000</v>
      </c>
      <c r="C46" s="101" t="n">
        <v>3000000</v>
      </c>
      <c r="D46" s="101" t="n">
        <v>3000000</v>
      </c>
      <c r="E46" s="102" t="n">
        <f aca="false">CHOOSE(Dashboard!$B$4,B46,C46,D46)</f>
        <v>3000000</v>
      </c>
      <c r="F46" s="39" t="s">
        <v>264</v>
      </c>
      <c r="G46" s="100"/>
    </row>
    <row r="47" customFormat="false" ht="15" hidden="false" customHeight="false" outlineLevel="0" collapsed="false">
      <c r="A47" s="6" t="s">
        <v>295</v>
      </c>
      <c r="B47" s="101" t="n">
        <v>0</v>
      </c>
      <c r="C47" s="101" t="n">
        <v>0</v>
      </c>
      <c r="D47" s="101" t="n">
        <v>0</v>
      </c>
      <c r="E47" s="102" t="n">
        <f aca="false">CHOOSE(Dashboard!$B$4,B47,C47,D47)</f>
        <v>0</v>
      </c>
      <c r="F47" s="39" t="s">
        <v>264</v>
      </c>
      <c r="G47" s="100"/>
    </row>
    <row r="48" customFormat="false" ht="15" hidden="false" customHeight="false" outlineLevel="0" collapsed="false">
      <c r="A48" s="6" t="s">
        <v>296</v>
      </c>
      <c r="B48" s="103" t="n">
        <v>0</v>
      </c>
      <c r="C48" s="103" t="n">
        <v>0</v>
      </c>
      <c r="D48" s="103" t="n">
        <v>0</v>
      </c>
      <c r="E48" s="104" t="n">
        <f aca="false">CHOOSE(Dashboard!$B$4,B48,C48,D48)</f>
        <v>0</v>
      </c>
      <c r="F48" s="39" t="s">
        <v>255</v>
      </c>
      <c r="G48" s="100"/>
    </row>
    <row r="49" customFormat="false" ht="15" hidden="false" customHeight="false" outlineLevel="0" collapsed="false">
      <c r="A49" s="6" t="s">
        <v>297</v>
      </c>
      <c r="B49" s="98" t="n">
        <v>1</v>
      </c>
      <c r="C49" s="98" t="n">
        <v>1</v>
      </c>
      <c r="D49" s="98" t="n">
        <v>1</v>
      </c>
      <c r="E49" s="99" t="n">
        <f aca="false">CHOOSE(Dashboard!$B$4,B49,C49,D49)</f>
        <v>1</v>
      </c>
      <c r="F49" s="39" t="s">
        <v>298</v>
      </c>
      <c r="G49" s="100"/>
    </row>
    <row r="51" customFormat="false" ht="15.75" hidden="false" customHeight="true" outlineLevel="0" collapsed="false">
      <c r="A51" s="7" t="s">
        <v>299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300</v>
      </c>
      <c r="B52" s="98" t="n">
        <v>5</v>
      </c>
      <c r="C52" s="98" t="n">
        <v>5</v>
      </c>
      <c r="D52" s="98" t="n">
        <v>5</v>
      </c>
      <c r="E52" s="99" t="n">
        <f aca="false">CHOOSE(Dashboard!$B$4,B52,C52,D52)</f>
        <v>5</v>
      </c>
      <c r="F52" s="39" t="s">
        <v>301</v>
      </c>
      <c r="G52" s="100"/>
    </row>
    <row r="53" customFormat="false" ht="15" hidden="false" customHeight="false" outlineLevel="0" collapsed="false">
      <c r="A53" s="6" t="s">
        <v>302</v>
      </c>
      <c r="B53" s="98" t="n">
        <v>0</v>
      </c>
      <c r="C53" s="98" t="n">
        <v>0</v>
      </c>
      <c r="D53" s="98" t="n">
        <v>0</v>
      </c>
      <c r="E53" s="99" t="n">
        <f aca="false">CHOOSE(Dashboard!$B$4,B53,C53,D53)</f>
        <v>0</v>
      </c>
      <c r="F53" s="39" t="s">
        <v>301</v>
      </c>
      <c r="G53" s="100"/>
    </row>
    <row r="54" customFormat="false" ht="15" hidden="false" customHeight="false" outlineLevel="0" collapsed="false">
      <c r="A54" s="6" t="s">
        <v>303</v>
      </c>
      <c r="B54" s="98" t="n">
        <v>30</v>
      </c>
      <c r="C54" s="98" t="n">
        <v>30</v>
      </c>
      <c r="D54" s="98" t="n">
        <v>30</v>
      </c>
      <c r="E54" s="99" t="n">
        <f aca="false">CHOOSE(Dashboard!$B$4,B54,C54,D54)</f>
        <v>30</v>
      </c>
      <c r="F54" s="39" t="s">
        <v>301</v>
      </c>
      <c r="G54" s="100"/>
    </row>
    <row r="56" customFormat="false" ht="15.75" hidden="false" customHeight="true" outlineLevel="0" collapsed="false">
      <c r="A56" s="7" t="s">
        <v>304</v>
      </c>
      <c r="B56" s="7"/>
      <c r="C56" s="7"/>
      <c r="D56" s="7"/>
      <c r="E56" s="7"/>
      <c r="F56" s="7"/>
      <c r="G56" s="7"/>
    </row>
    <row r="57" customFormat="false" ht="15" hidden="false" customHeight="false" outlineLevel="0" collapsed="false">
      <c r="A57" s="6" t="s">
        <v>305</v>
      </c>
      <c r="B57" s="98" t="n">
        <v>3</v>
      </c>
      <c r="C57" s="98" t="n">
        <v>3</v>
      </c>
      <c r="D57" s="98" t="n">
        <v>3</v>
      </c>
      <c r="E57" s="99" t="n">
        <f aca="false">CHOOSE(Dashboard!$B$4,B57,C57,D57)</f>
        <v>3</v>
      </c>
      <c r="F57" s="39" t="s">
        <v>298</v>
      </c>
      <c r="G57" s="100"/>
    </row>
    <row r="58" customFormat="false" ht="15" hidden="false" customHeight="false" outlineLevel="0" collapsed="false">
      <c r="A58" s="6" t="s">
        <v>306</v>
      </c>
      <c r="B58" s="103" t="n">
        <v>0.21</v>
      </c>
      <c r="C58" s="103" t="n">
        <v>0.21</v>
      </c>
      <c r="D58" s="103" t="n">
        <v>0.21</v>
      </c>
      <c r="E58" s="104" t="n">
        <f aca="false">CHOOSE(Dashboard!$B$4,B58,C58,D58)</f>
        <v>0.21</v>
      </c>
      <c r="F58" s="39" t="s">
        <v>255</v>
      </c>
      <c r="G58" s="100"/>
    </row>
    <row r="60" customFormat="false" ht="15.75" hidden="false" customHeight="true" outlineLevel="0" collapsed="false">
      <c r="A60" s="7" t="s">
        <v>307</v>
      </c>
      <c r="B60" s="7"/>
      <c r="C60" s="7"/>
      <c r="D60" s="7"/>
      <c r="E60" s="7"/>
      <c r="F60" s="7"/>
      <c r="G60" s="7"/>
    </row>
    <row r="61" customFormat="false" ht="15" hidden="false" customHeight="false" outlineLevel="0" collapsed="false">
      <c r="A61" s="6" t="s">
        <v>141</v>
      </c>
      <c r="B61" s="101" t="n">
        <v>225000</v>
      </c>
      <c r="C61" s="101" t="n">
        <v>225000</v>
      </c>
      <c r="D61" s="101" t="n">
        <v>225000</v>
      </c>
      <c r="E61" s="102" t="n">
        <f aca="false">CHOOSE(Dashboard!$B$4,B61,C61,D61)</f>
        <v>225000</v>
      </c>
      <c r="F61" s="39" t="s">
        <v>264</v>
      </c>
      <c r="G61" s="100" t="s">
        <v>308</v>
      </c>
    </row>
    <row r="63" customFormat="false" ht="15.75" hidden="false" customHeight="true" outlineLevel="0" collapsed="false">
      <c r="A63" s="7" t="s">
        <v>309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166</v>
      </c>
      <c r="B64" s="103" t="n">
        <v>0.25</v>
      </c>
      <c r="C64" s="103" t="n">
        <v>0.2</v>
      </c>
      <c r="D64" s="103" t="n">
        <v>0.17</v>
      </c>
      <c r="E64" s="104" t="n">
        <f aca="false">CHOOSE(Dashboard!$B$4,B64,C64,D64)</f>
        <v>0.2</v>
      </c>
      <c r="F64" s="39" t="s">
        <v>255</v>
      </c>
      <c r="G64" s="100" t="s">
        <v>256</v>
      </c>
    </row>
    <row r="65" customFormat="false" ht="15" hidden="false" customHeight="false" outlineLevel="0" collapsed="false">
      <c r="A65" s="6" t="s">
        <v>310</v>
      </c>
      <c r="B65" s="103" t="n">
        <v>0.01</v>
      </c>
      <c r="C65" s="103" t="n">
        <v>0.02</v>
      </c>
      <c r="D65" s="103" t="n">
        <v>0.03</v>
      </c>
      <c r="E65" s="104" t="n">
        <f aca="false">CHOOSE(Dashboard!$B$4,B65,C65,D65)</f>
        <v>0.02</v>
      </c>
      <c r="F65" s="39" t="s">
        <v>255</v>
      </c>
      <c r="G65" s="100" t="s">
        <v>251</v>
      </c>
    </row>
    <row r="66" customFormat="false" ht="15" hidden="false" customHeight="false" outlineLevel="0" collapsed="false">
      <c r="A66" s="6" t="s">
        <v>168</v>
      </c>
      <c r="B66" s="109" t="n">
        <v>3.5</v>
      </c>
      <c r="C66" s="109" t="n">
        <v>4.5</v>
      </c>
      <c r="D66" s="109" t="n">
        <v>6</v>
      </c>
      <c r="E66" s="110" t="n">
        <f aca="false">CHOOSE(Dashboard!$B$4,B66,C66,D66)</f>
        <v>4.5</v>
      </c>
      <c r="F66" s="39" t="s">
        <v>311</v>
      </c>
      <c r="G66" s="100" t="s">
        <v>251</v>
      </c>
    </row>
    <row r="67" customFormat="false" ht="15" hidden="false" customHeight="false" outlineLevel="0" collapsed="false">
      <c r="A67" s="6" t="s">
        <v>312</v>
      </c>
      <c r="B67" s="103" t="n">
        <v>0.01</v>
      </c>
      <c r="C67" s="103" t="n">
        <v>0.01</v>
      </c>
      <c r="D67" s="103" t="n">
        <v>0.01</v>
      </c>
      <c r="E67" s="104" t="n">
        <f aca="false">CHOOSE(Dashboard!$B$4,B67,C67,D67)</f>
        <v>0.01</v>
      </c>
      <c r="F67" s="39" t="s">
        <v>255</v>
      </c>
      <c r="G67" s="100"/>
    </row>
    <row r="68" customFormat="false" ht="15" hidden="false" customHeight="false" outlineLevel="0" collapsed="false">
      <c r="A68" s="6" t="s">
        <v>313</v>
      </c>
      <c r="B68" s="103" t="n">
        <v>0.005</v>
      </c>
      <c r="C68" s="103" t="n">
        <v>0.005</v>
      </c>
      <c r="D68" s="103" t="n">
        <v>0.005</v>
      </c>
      <c r="E68" s="104" t="n">
        <f aca="false">CHOOSE(Dashboard!$B$4,B68,C68,D68)</f>
        <v>0.005</v>
      </c>
      <c r="F68" s="39" t="s">
        <v>255</v>
      </c>
      <c r="G68" s="100"/>
    </row>
    <row r="70" customFormat="false" ht="15" hidden="false" customHeight="false" outlineLevel="0" collapsed="false">
      <c r="A70" s="21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315</v>
      </c>
    </row>
    <row r="3" customFormat="false" ht="15" hidden="false" customHeight="false" outlineLevel="0" collapsed="false">
      <c r="A3" s="71" t="s">
        <v>154</v>
      </c>
      <c r="B3" s="71" t="n">
        <v>1</v>
      </c>
      <c r="C3" s="71" t="n">
        <v>2</v>
      </c>
      <c r="D3" s="71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4" t="s">
        <v>44</v>
      </c>
      <c r="B5" s="72" t="n">
        <f aca="false">SUMIF(Monthly!$C$5:$AL$5,B$3,Monthly!$C$24:$AL$24)</f>
        <v>225414.939184555</v>
      </c>
      <c r="C5" s="72" t="n">
        <f aca="false">SUMIF(Monthly!$C$5:$AL$5,C$3,Monthly!$C$24:$AL$24)</f>
        <v>591123.330484019</v>
      </c>
      <c r="D5" s="72" t="n">
        <f aca="false">SUMIF(Monthly!$C$5:$AL$5,D$3,Monthly!$C$24:$AL$24)</f>
        <v>979388.559956597</v>
      </c>
    </row>
    <row r="6" customFormat="false" ht="15" hidden="false" customHeight="false" outlineLevel="0" collapsed="false">
      <c r="A6" s="6" t="s">
        <v>75</v>
      </c>
      <c r="B6" s="66" t="n">
        <f aca="false">SUMIF(Monthly!$C$5:$AL$5,B$3,Monthly!$C$25:$AL$25)</f>
        <v>-27011.4161847206</v>
      </c>
      <c r="C6" s="66" t="n">
        <f aca="false">SUMIF(Monthly!$C$5:$AL$5,C$3,Monthly!$C$25:$AL$25)</f>
        <v>-70436.2940568575</v>
      </c>
      <c r="D6" s="66" t="n">
        <f aca="false">SUMIF(Monthly!$C$5:$AL$5,D$3,Monthly!$C$25:$AL$25)</f>
        <v>-116003.606459213</v>
      </c>
    </row>
    <row r="7" customFormat="false" ht="15" hidden="false" customHeight="false" outlineLevel="0" collapsed="false">
      <c r="A7" s="111" t="s">
        <v>45</v>
      </c>
      <c r="B7" s="67" t="n">
        <f aca="false">SUMIF(Monthly!$C$5:$AL$5,B$3,Monthly!$C$26:$AL$26)</f>
        <v>198403.522999835</v>
      </c>
      <c r="C7" s="67" t="n">
        <f aca="false">SUMIF(Monthly!$C$5:$AL$5,C$3,Monthly!$C$26:$AL$26)</f>
        <v>520687.036427161</v>
      </c>
      <c r="D7" s="67" t="n">
        <f aca="false">SUMIF(Monthly!$C$5:$AL$5,D$3,Monthly!$C$26:$AL$26)</f>
        <v>863384.953497385</v>
      </c>
    </row>
    <row r="8" customFormat="false" ht="15" hidden="false" customHeight="false" outlineLevel="0" collapsed="false">
      <c r="A8" s="39" t="s">
        <v>46</v>
      </c>
      <c r="B8" s="73" t="n">
        <f aca="false">IF(B5=0,0,B7/B5)</f>
        <v>0.880170248332097</v>
      </c>
      <c r="C8" s="73" t="n">
        <f aca="false">IF(C5=0,0,C7/C5)</f>
        <v>0.880843319110441</v>
      </c>
      <c r="D8" s="73" t="n">
        <f aca="false">IF(D5=0,0,D7/D5)</f>
        <v>0.881555073030102</v>
      </c>
    </row>
    <row r="9" customFormat="false" ht="15" hidden="false" customHeight="false" outlineLevel="0" collapsed="false">
      <c r="A9" s="6" t="s">
        <v>316</v>
      </c>
      <c r="B9" s="66" t="n">
        <f aca="false">SUMIF(Monthly!$C$5:$AL$5,B$3,Monthly!$C$29:$AL$29)</f>
        <v>-741000</v>
      </c>
      <c r="C9" s="66" t="n">
        <f aca="false">SUMIF(Monthly!$C$5:$AL$5,C$3,Monthly!$C$29:$AL$29)</f>
        <v>-1155960</v>
      </c>
      <c r="D9" s="66" t="n">
        <f aca="false">SUMIF(Monthly!$C$5:$AL$5,D$3,Monthly!$C$29:$AL$29)</f>
        <v>-1803297.6</v>
      </c>
    </row>
    <row r="10" customFormat="false" ht="15" hidden="false" customHeight="false" outlineLevel="0" collapsed="false">
      <c r="A10" s="6" t="s">
        <v>317</v>
      </c>
      <c r="B10" s="66" t="n">
        <f aca="false">SUMIF(Monthly!$C$5:$AL$5,B$3,Monthly!$C$30:$AL$30)</f>
        <v>-96000</v>
      </c>
      <c r="C10" s="66" t="n">
        <f aca="false">SUMIF(Monthly!$C$5:$AL$5,C$3,Monthly!$C$30:$AL$30)</f>
        <v>-115200</v>
      </c>
      <c r="D10" s="66" t="n">
        <f aca="false">SUMIF(Monthly!$C$5:$AL$5,D$3,Monthly!$C$30:$AL$30)</f>
        <v>-138240</v>
      </c>
    </row>
    <row r="11" customFormat="false" ht="15" hidden="false" customHeight="false" outlineLevel="0" collapsed="false">
      <c r="A11" s="6" t="s">
        <v>318</v>
      </c>
      <c r="B11" s="66" t="n">
        <f aca="false">SUMIF(Monthly!$C$5:$AL$5,B$3,Monthly!$C$31:$AL$31)</f>
        <v>-10800</v>
      </c>
      <c r="C11" s="66" t="n">
        <f aca="false">SUMIF(Monthly!$C$5:$AL$5,C$3,Monthly!$C$31:$AL$31)</f>
        <v>-16200</v>
      </c>
      <c r="D11" s="66" t="n">
        <f aca="false">SUMIF(Monthly!$C$5:$AL$5,D$3,Monthly!$C$31:$AL$31)</f>
        <v>-24300</v>
      </c>
    </row>
    <row r="12" customFormat="false" ht="15" hidden="false" customHeight="false" outlineLevel="0" collapsed="false">
      <c r="A12" s="6" t="s">
        <v>319</v>
      </c>
      <c r="B12" s="66" t="n">
        <f aca="false">SUMIF(Monthly!$C$5:$AL$5,B$3,Monthly!$C$32:$AL$32)</f>
        <v>-18000</v>
      </c>
      <c r="C12" s="66" t="n">
        <f aca="false">SUMIF(Monthly!$C$5:$AL$5,C$3,Monthly!$C$32:$AL$32)</f>
        <v>-18000</v>
      </c>
      <c r="D12" s="66" t="n">
        <f aca="false">SUMIF(Monthly!$C$5:$AL$5,D$3,Monthly!$C$32:$AL$32)</f>
        <v>-18000</v>
      </c>
    </row>
    <row r="13" customFormat="false" ht="15" hidden="false" customHeight="false" outlineLevel="0" collapsed="false">
      <c r="A13" s="6" t="s">
        <v>320</v>
      </c>
      <c r="B13" s="66" t="n">
        <f aca="false">SUMIF(Monthly!$C$5:$AL$5,B$3,Monthly!$C$33:$AL$33)</f>
        <v>-36000</v>
      </c>
      <c r="C13" s="66" t="n">
        <f aca="false">SUMIF(Monthly!$C$5:$AL$5,C$3,Monthly!$C$33:$AL$33)</f>
        <v>-36000</v>
      </c>
      <c r="D13" s="66" t="n">
        <f aca="false">SUMIF(Monthly!$C$5:$AL$5,D$3,Monthly!$C$33:$AL$33)</f>
        <v>-36000</v>
      </c>
    </row>
    <row r="14" customFormat="false" ht="15" hidden="false" customHeight="false" outlineLevel="0" collapsed="false">
      <c r="A14" s="111" t="s">
        <v>76</v>
      </c>
      <c r="B14" s="67" t="n">
        <f aca="false">SUMIF(Monthly!$C$5:$AL$5,B$3,Monthly!$C$34:$AL$34)</f>
        <v>-901800</v>
      </c>
      <c r="C14" s="67" t="n">
        <f aca="false">SUMIF(Monthly!$C$5:$AL$5,C$3,Monthly!$C$34:$AL$34)</f>
        <v>-1341360</v>
      </c>
      <c r="D14" s="67" t="n">
        <f aca="false">SUMIF(Monthly!$C$5:$AL$5,D$3,Monthly!$C$34:$AL$34)</f>
        <v>-2019837.6</v>
      </c>
    </row>
    <row r="15" customFormat="false" ht="15" hidden="false" customHeight="false" outlineLevel="0" collapsed="false">
      <c r="A15" s="111" t="s">
        <v>48</v>
      </c>
      <c r="B15" s="67" t="n">
        <f aca="false">SUMIF(Monthly!$C$5:$AL$5,B$3,Monthly!$C$35:$AL$35)</f>
        <v>-703396.477000165</v>
      </c>
      <c r="C15" s="67" t="n">
        <f aca="false">SUMIF(Monthly!$C$5:$AL$5,C$3,Monthly!$C$35:$AL$35)</f>
        <v>-820672.963572839</v>
      </c>
      <c r="D15" s="67" t="n">
        <f aca="false">SUMIF(Monthly!$C$5:$AL$5,D$3,Monthly!$C$35:$AL$35)</f>
        <v>-1156452.64650262</v>
      </c>
    </row>
    <row r="16" customFormat="false" ht="15" hidden="false" customHeight="false" outlineLevel="0" collapsed="false">
      <c r="A16" s="39" t="s">
        <v>49</v>
      </c>
      <c r="B16" s="73" t="n">
        <f aca="false">IF(B5=0,0,B15/B5)</f>
        <v>-3.12045190768953</v>
      </c>
      <c r="C16" s="73" t="n">
        <f aca="false">IF(C5=0,0,C15/C5)</f>
        <v>-1.38832781798827</v>
      </c>
      <c r="D16" s="73" t="n">
        <f aca="false">IF(D5=0,0,D15/D5)</f>
        <v>-1.18079043781547</v>
      </c>
    </row>
    <row r="17" customFormat="false" ht="15" hidden="false" customHeight="false" outlineLevel="0" collapsed="false">
      <c r="A17" s="6" t="s">
        <v>77</v>
      </c>
      <c r="B17" s="66" t="n">
        <f aca="false">SUMIF(Monthly!$C$5:$AL$5,B$3,Monthly!$C$49:$AL$49)</f>
        <v>-6666.66666666667</v>
      </c>
      <c r="C17" s="66" t="n">
        <f aca="false">SUMIF(Monthly!$C$5:$AL$5,C$3,Monthly!$C$49:$AL$49)</f>
        <v>-6666.66666666667</v>
      </c>
      <c r="D17" s="66" t="n">
        <f aca="false">SUMIF(Monthly!$C$5:$AL$5,D$3,Monthly!$C$49:$AL$49)</f>
        <v>-6666.66666666667</v>
      </c>
    </row>
    <row r="18" customFormat="false" ht="15" hidden="false" customHeight="false" outlineLevel="0" collapsed="false">
      <c r="A18" s="4" t="s">
        <v>78</v>
      </c>
      <c r="B18" s="72" t="n">
        <f aca="false">SUMIF(Monthly!$C$5:$AL$5,B$3,Monthly!$C$38:$AL$38)</f>
        <v>-710063.143666832</v>
      </c>
      <c r="C18" s="72" t="n">
        <f aca="false">SUMIF(Monthly!$C$5:$AL$5,C$3,Monthly!$C$38:$AL$38)</f>
        <v>-827339.630239505</v>
      </c>
      <c r="D18" s="72" t="n">
        <f aca="false">SUMIF(Monthly!$C$5:$AL$5,D$3,Monthly!$C$38:$AL$38)</f>
        <v>-1163119.31316928</v>
      </c>
    </row>
    <row r="19" customFormat="false" ht="15" hidden="false" customHeight="false" outlineLevel="0" collapsed="false">
      <c r="A19" s="6" t="s">
        <v>79</v>
      </c>
      <c r="B19" s="66" t="n">
        <f aca="false">SUMIF(Monthly!$C$5:$AL$5,B$3,Monthly!$C$39:$AL$39)</f>
        <v>0</v>
      </c>
      <c r="C19" s="66" t="n">
        <f aca="false">SUMIF(Monthly!$C$5:$AL$5,C$3,Monthly!$C$39:$AL$39)</f>
        <v>0</v>
      </c>
      <c r="D19" s="66" t="n">
        <f aca="false">SUMIF(Monthly!$C$5:$AL$5,D$3,Monthly!$C$39:$AL$39)</f>
        <v>0</v>
      </c>
    </row>
    <row r="20" customFormat="false" ht="15" hidden="false" customHeight="false" outlineLevel="0" collapsed="false">
      <c r="A20" s="112" t="s">
        <v>80</v>
      </c>
      <c r="B20" s="113" t="n">
        <f aca="false">SUMIF(Monthly!$C$5:$AL$5,B$3,Monthly!$C$40:$AL$40)</f>
        <v>-710063.143666832</v>
      </c>
      <c r="C20" s="113" t="n">
        <f aca="false">SUMIF(Monthly!$C$5:$AL$5,C$3,Monthly!$C$40:$AL$40)</f>
        <v>-827339.630239505</v>
      </c>
      <c r="D20" s="113" t="n">
        <f aca="false">SUMIF(Monthly!$C$5:$AL$5,D$3,Monthly!$C$40:$AL$40)</f>
        <v>-1163119.31316928</v>
      </c>
    </row>
    <row r="21" customFormat="false" ht="15" hidden="false" customHeight="false" outlineLevel="0" collapsed="false">
      <c r="A21" s="6" t="s">
        <v>81</v>
      </c>
      <c r="B21" s="66" t="n">
        <f aca="false">SUMIF(Monthly!$C$5:$AL$5,B$3,Monthly!$C$43:$AL$43)</f>
        <v>0</v>
      </c>
      <c r="C21" s="66" t="n">
        <f aca="false">SUMIF(Monthly!$C$5:$AL$5,C$3,Monthly!$C$43:$AL$43)</f>
        <v>0</v>
      </c>
      <c r="D21" s="66" t="n">
        <f aca="false">SUMIF(Monthly!$C$5:$AL$5,D$3,Monthly!$C$43:$AL$43)</f>
        <v>0</v>
      </c>
    </row>
    <row r="22" customFormat="false" ht="15" hidden="false" customHeight="false" outlineLevel="0" collapsed="false">
      <c r="A22" s="69" t="s">
        <v>50</v>
      </c>
      <c r="B22" s="70" t="n">
        <f aca="false">SUMIF(Monthly!$C$5:$AL$5,B$3,Monthly!$C$44:$AL$44)</f>
        <v>-710063.143666832</v>
      </c>
      <c r="C22" s="70" t="n">
        <f aca="false">SUMIF(Monthly!$C$5:$AL$5,C$3,Monthly!$C$44:$AL$44)</f>
        <v>-827339.630239505</v>
      </c>
      <c r="D22" s="70" t="n">
        <f aca="false">SUMIF(Monthly!$C$5:$AL$5,D$3,Monthly!$C$44:$AL$44)</f>
        <v>-1163119.31316928</v>
      </c>
    </row>
    <row r="23" customFormat="false" ht="15" hidden="false" customHeight="false" outlineLevel="0" collapsed="false">
      <c r="A23" s="39" t="s">
        <v>51</v>
      </c>
      <c r="B23" s="73" t="n">
        <f aca="false">IF(B5=0,0,B22/B5)</f>
        <v>-3.15002699570625</v>
      </c>
      <c r="C23" s="73" t="n">
        <f aca="false">IF(C5=0,0,C22/C5)</f>
        <v>-1.39960578034041</v>
      </c>
      <c r="D23" s="73" t="n">
        <f aca="false">IF(D5=0,0,D22/D5)</f>
        <v>-1.18759740589662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315</v>
      </c>
    </row>
    <row r="3" customFormat="false" ht="15" hidden="false" customHeight="false" outlineLevel="0" collapsed="false">
      <c r="A3" s="71" t="s">
        <v>154</v>
      </c>
      <c r="B3" s="71" t="n">
        <v>1</v>
      </c>
      <c r="C3" s="71" t="n">
        <v>2</v>
      </c>
      <c r="D3" s="71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50</v>
      </c>
      <c r="B5" s="66" t="n">
        <f aca="false">SUMIF(Monthly!$C$5:$AL$5,B$3,Monthly!$C$44:$AL$44)</f>
        <v>-710063.143666832</v>
      </c>
      <c r="C5" s="66" t="n">
        <f aca="false">SUMIF(Monthly!$C$5:$AL$5,C$3,Monthly!$C$44:$AL$44)</f>
        <v>-827339.630239505</v>
      </c>
      <c r="D5" s="66" t="n">
        <f aca="false">SUMIF(Monthly!$C$5:$AL$5,D$3,Monthly!$C$44:$AL$44)</f>
        <v>-1163119.31316928</v>
      </c>
    </row>
    <row r="6" customFormat="false" ht="15" hidden="false" customHeight="false" outlineLevel="0" collapsed="false">
      <c r="A6" s="6" t="s">
        <v>321</v>
      </c>
      <c r="B6" s="66" t="n">
        <f aca="false">-SUMIF(Monthly!$C$5:$AL$5,B$3,Monthly!$C$49:$AL$49)</f>
        <v>6666.66666666667</v>
      </c>
      <c r="C6" s="66" t="n">
        <f aca="false">-SUMIF(Monthly!$C$5:$AL$5,C$3,Monthly!$C$49:$AL$49)</f>
        <v>6666.66666666667</v>
      </c>
      <c r="D6" s="66" t="n">
        <f aca="false">-SUMIF(Monthly!$C$5:$AL$5,D$3,Monthly!$C$49:$AL$49)</f>
        <v>6666.66666666667</v>
      </c>
    </row>
    <row r="7" customFormat="false" ht="15" hidden="false" customHeight="false" outlineLevel="0" collapsed="false">
      <c r="A7" s="6" t="s">
        <v>322</v>
      </c>
      <c r="B7" s="66" t="n">
        <f aca="false">SUMIF(Monthly!$C$5:$AL$5,B$3,Monthly!$C$63:$AL$63)</f>
        <v>-5333.24812314293</v>
      </c>
      <c r="C7" s="66" t="n">
        <f aca="false">SUMIF(Monthly!$C$5:$AL$5,C$3,Monthly!$C$63:$AL$63)</f>
        <v>-5129.22645092299</v>
      </c>
      <c r="D7" s="66" t="n">
        <f aca="false">SUMIF(Monthly!$C$5:$AL$5,D$3,Monthly!$C$63:$AL$63)</f>
        <v>-5609.19414411709</v>
      </c>
    </row>
    <row r="8" customFormat="false" ht="15" hidden="false" customHeight="false" outlineLevel="0" collapsed="false">
      <c r="A8" s="6" t="s">
        <v>323</v>
      </c>
      <c r="B8" s="66" t="n">
        <f aca="false">SUMIF(Monthly!$C$5:$AL$5,B$3,Monthly!$C$64:$AL$64)</f>
        <v>0</v>
      </c>
      <c r="C8" s="66" t="n">
        <f aca="false">SUMIF(Monthly!$C$5:$AL$5,C$3,Monthly!$C$64:$AL$64)</f>
        <v>0</v>
      </c>
      <c r="D8" s="66" t="n">
        <f aca="false">SUMIF(Monthly!$C$5:$AL$5,D$3,Monthly!$C$64:$AL$64)</f>
        <v>0</v>
      </c>
    </row>
    <row r="9" customFormat="false" ht="15" hidden="false" customHeight="false" outlineLevel="0" collapsed="false">
      <c r="A9" s="6" t="s">
        <v>324</v>
      </c>
      <c r="B9" s="66" t="n">
        <f aca="false">SUMIF(Monthly!$C$5:$AL$5,B$3,Monthly!$C$65:$AL$65)</f>
        <v>3828.7027098661</v>
      </c>
      <c r="C9" s="66" t="n">
        <f aca="false">SUMIF(Monthly!$C$5:$AL$5,C$3,Monthly!$C$65:$AL$65)</f>
        <v>3633.74784394635</v>
      </c>
      <c r="D9" s="66" t="n">
        <f aca="false">SUMIF(Monthly!$C$5:$AL$5,D$3,Monthly!$C$65:$AL$65)</f>
        <v>3932.76475392051</v>
      </c>
    </row>
    <row r="10" customFormat="false" ht="15" hidden="false" customHeight="false" outlineLevel="0" collapsed="false">
      <c r="A10" s="6" t="s">
        <v>325</v>
      </c>
      <c r="B10" s="66" t="n">
        <f aca="false">SUMIF(Monthly!$C$5:$AL$5,B$3,Monthly!$C$67:$AL$67)</f>
        <v>39704.5081766718</v>
      </c>
      <c r="C10" s="66" t="n">
        <f aca="false">SUMIF(Monthly!$C$5:$AL$5,C$3,Monthly!$C$67:$AL$67)</f>
        <v>36960.0252004855</v>
      </c>
      <c r="D10" s="66" t="n">
        <f aca="false">SUMIF(Monthly!$C$5:$AL$5,D$3,Monthly!$C$67:$AL$67)</f>
        <v>40514.560766078</v>
      </c>
    </row>
    <row r="11" customFormat="false" ht="15" hidden="false" customHeight="false" outlineLevel="0" collapsed="false">
      <c r="A11" s="111" t="s">
        <v>52</v>
      </c>
      <c r="B11" s="67" t="n">
        <f aca="false">SUMIF(Monthly!$C$5:$AL$5,B$3,Monthly!$C$70:$AL$70)</f>
        <v>-665196.514236771</v>
      </c>
      <c r="C11" s="67" t="n">
        <f aca="false">SUMIF(Monthly!$C$5:$AL$5,C$3,Monthly!$C$70:$AL$70)</f>
        <v>-785208.41697933</v>
      </c>
      <c r="D11" s="67" t="n">
        <f aca="false">SUMIF(Monthly!$C$5:$AL$5,D$3,Monthly!$C$70:$AL$70)</f>
        <v>-1117614.51512673</v>
      </c>
    </row>
    <row r="12" customFormat="false" ht="15" hidden="false" customHeight="false" outlineLevel="0" collapsed="false">
      <c r="A12" s="6" t="s">
        <v>83</v>
      </c>
      <c r="B12" s="66" t="n">
        <f aca="false">SUMIF(Monthly!$C$5:$AL$5,B$3,Monthly!$C$71:$AL$71)</f>
        <v>-20000</v>
      </c>
      <c r="C12" s="66" t="n">
        <f aca="false">SUMIF(Monthly!$C$5:$AL$5,C$3,Monthly!$C$71:$AL$71)</f>
        <v>0</v>
      </c>
      <c r="D12" s="66" t="n">
        <f aca="false">SUMIF(Monthly!$C$5:$AL$5,D$3,Monthly!$C$71:$AL$71)</f>
        <v>0</v>
      </c>
    </row>
    <row r="13" customFormat="false" ht="15" hidden="false" customHeight="false" outlineLevel="0" collapsed="false">
      <c r="A13" s="6" t="s">
        <v>63</v>
      </c>
      <c r="B13" s="66" t="n">
        <f aca="false">SUMIF(Monthly!$C$5:$AL$5,B$3,Monthly!$C$72:$AL$72)</f>
        <v>3000000</v>
      </c>
      <c r="C13" s="66" t="n">
        <f aca="false">SUMIF(Monthly!$C$5:$AL$5,C$3,Monthly!$C$72:$AL$72)</f>
        <v>0</v>
      </c>
      <c r="D13" s="66" t="n">
        <f aca="false">SUMIF(Monthly!$C$5:$AL$5,D$3,Monthly!$C$72:$AL$72)</f>
        <v>0</v>
      </c>
    </row>
    <row r="14" customFormat="false" ht="15" hidden="false" customHeight="false" outlineLevel="0" collapsed="false">
      <c r="A14" s="6" t="s">
        <v>84</v>
      </c>
      <c r="B14" s="66" t="n">
        <f aca="false">SUMIF(Monthly!$C$5:$AL$5,B$3,Monthly!$C$55:$AL$55)</f>
        <v>0</v>
      </c>
      <c r="C14" s="66" t="n">
        <f aca="false">SUMIF(Monthly!$C$5:$AL$5,C$3,Monthly!$C$55:$AL$55)</f>
        <v>0</v>
      </c>
      <c r="D14" s="66" t="n">
        <f aca="false">SUMIF(Monthly!$C$5:$AL$5,D$3,Monthly!$C$55:$AL$55)</f>
        <v>0</v>
      </c>
    </row>
    <row r="15" customFormat="false" ht="15" hidden="false" customHeight="false" outlineLevel="0" collapsed="false">
      <c r="A15" s="6" t="s">
        <v>85</v>
      </c>
      <c r="B15" s="66" t="n">
        <f aca="false">SUMIF(Monthly!$C$5:$AL$5,B$3,Monthly!$C$56:$AL$56)</f>
        <v>0</v>
      </c>
      <c r="C15" s="66" t="n">
        <f aca="false">SUMIF(Monthly!$C$5:$AL$5,C$3,Monthly!$C$56:$AL$56)</f>
        <v>0</v>
      </c>
      <c r="D15" s="66" t="n">
        <f aca="false">SUMIF(Monthly!$C$5:$AL$5,D$3,Monthly!$C$56:$AL$56)</f>
        <v>0</v>
      </c>
    </row>
    <row r="16" customFormat="false" ht="15" hidden="false" customHeight="false" outlineLevel="0" collapsed="false">
      <c r="A16" s="111" t="s">
        <v>54</v>
      </c>
      <c r="B16" s="67" t="n">
        <f aca="false">SUMIF(Monthly!$C$5:$AL$5,B$3,Monthly!$C$73:$AL$73)</f>
        <v>3000000</v>
      </c>
      <c r="C16" s="67" t="n">
        <f aca="false">SUMIF(Monthly!$C$5:$AL$5,C$3,Monthly!$C$73:$AL$73)</f>
        <v>0</v>
      </c>
      <c r="D16" s="67" t="n">
        <f aca="false">SUMIF(Monthly!$C$5:$AL$5,D$3,Monthly!$C$73:$AL$73)</f>
        <v>0</v>
      </c>
    </row>
    <row r="17" customFormat="false" ht="15" hidden="false" customHeight="false" outlineLevel="0" collapsed="false">
      <c r="A17" s="4" t="s">
        <v>55</v>
      </c>
      <c r="B17" s="72" t="n">
        <f aca="false">SUMIF(Monthly!$C$5:$AL$5,B$3,Monthly!$C$74:$AL$74)</f>
        <v>2314803.48576323</v>
      </c>
      <c r="C17" s="72" t="n">
        <f aca="false">SUMIF(Monthly!$C$5:$AL$5,C$3,Monthly!$C$74:$AL$74)</f>
        <v>-785208.41697933</v>
      </c>
      <c r="D17" s="72" t="n">
        <f aca="false">SUMIF(Monthly!$C$5:$AL$5,D$3,Monthly!$C$74:$AL$74)</f>
        <v>-1117614.51512673</v>
      </c>
    </row>
    <row r="18" customFormat="false" ht="15" hidden="false" customHeight="false" outlineLevel="0" collapsed="false">
      <c r="A18" s="6" t="s">
        <v>326</v>
      </c>
      <c r="B18" s="66" t="n">
        <f aca="false">INDEX(Monthly!$C$75:$AL$75,(B$3-1)*12+1)</f>
        <v>0</v>
      </c>
      <c r="C18" s="66" t="n">
        <f aca="false">INDEX(Monthly!$C$75:$AL$75,(C$3-1)*12+1)</f>
        <v>2314803.48576323</v>
      </c>
      <c r="D18" s="66" t="n">
        <f aca="false">INDEX(Monthly!$C$75:$AL$75,(D$3-1)*12+1)</f>
        <v>1529595.0687839</v>
      </c>
    </row>
    <row r="19" customFormat="false" ht="15" hidden="false" customHeight="false" outlineLevel="0" collapsed="false">
      <c r="A19" s="69" t="s">
        <v>86</v>
      </c>
      <c r="B19" s="70" t="n">
        <f aca="false">INDEX(Monthly!$C$76:$AL$76,B$3*12)</f>
        <v>2314803.48576323</v>
      </c>
      <c r="C19" s="70" t="n">
        <f aca="false">INDEX(Monthly!$C$76:$AL$76,C$3*12)</f>
        <v>1529595.0687839</v>
      </c>
      <c r="D19" s="70" t="n">
        <f aca="false">INDEX(Monthly!$C$76:$AL$76,D$3*12)</f>
        <v>411980.553657166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315</v>
      </c>
    </row>
    <row r="3" customFormat="false" ht="15" hidden="false" customHeight="false" outlineLevel="0" collapsed="false">
      <c r="A3" s="71" t="s">
        <v>154</v>
      </c>
      <c r="B3" s="71" t="n">
        <v>1</v>
      </c>
      <c r="C3" s="71" t="n">
        <v>2</v>
      </c>
      <c r="D3" s="71" t="n">
        <v>3</v>
      </c>
    </row>
    <row r="4" customFormat="false" ht="15" hidden="false" customHeight="false" outlineLevel="0" collapsed="false">
      <c r="A4" s="33"/>
      <c r="B4" s="35" t="s">
        <v>155</v>
      </c>
      <c r="C4" s="35" t="s">
        <v>156</v>
      </c>
      <c r="D4" s="35" t="s">
        <v>157</v>
      </c>
    </row>
    <row r="5" customFormat="false" ht="15" hidden="false" customHeight="false" outlineLevel="0" collapsed="false">
      <c r="A5" s="6" t="s">
        <v>88</v>
      </c>
      <c r="B5" s="66" t="n">
        <f aca="false">INDEX(Monthly!$C$76:$AL$76,B$3*12)</f>
        <v>2314803.48576323</v>
      </c>
      <c r="C5" s="66" t="n">
        <f aca="false">INDEX(Monthly!$C$76:$AL$76,C$3*12)</f>
        <v>1529595.0687839</v>
      </c>
      <c r="D5" s="66" t="n">
        <f aca="false">INDEX(Monthly!$C$76:$AL$76,D$3*12)</f>
        <v>411980.553657166</v>
      </c>
    </row>
    <row r="6" customFormat="false" ht="15" hidden="false" customHeight="false" outlineLevel="0" collapsed="false">
      <c r="A6" s="6" t="s">
        <v>89</v>
      </c>
      <c r="B6" s="66" t="n">
        <f aca="false">INDEX(Monthly!$C$60:$AL$60,B$3*12)</f>
        <v>5333.24812314293</v>
      </c>
      <c r="C6" s="66" t="n">
        <f aca="false">INDEX(Monthly!$C$60:$AL$60,C$3*12)</f>
        <v>10462.4745740659</v>
      </c>
      <c r="D6" s="66" t="n">
        <f aca="false">INDEX(Monthly!$C$60:$AL$60,D$3*12)</f>
        <v>16071.668718183</v>
      </c>
    </row>
    <row r="7" customFormat="false" ht="15" hidden="false" customHeight="false" outlineLevel="0" collapsed="false">
      <c r="A7" s="6" t="s">
        <v>90</v>
      </c>
      <c r="B7" s="66" t="n">
        <f aca="false">INDEX(Monthly!$C$61:$AL$61,B$3*12)</f>
        <v>0</v>
      </c>
      <c r="C7" s="66" t="n">
        <f aca="false">INDEX(Monthly!$C$61:$AL$61,C$3*12)</f>
        <v>0</v>
      </c>
      <c r="D7" s="66" t="n">
        <f aca="false">INDEX(Monthly!$C$61:$AL$61,D$3*12)</f>
        <v>0</v>
      </c>
    </row>
    <row r="8" customFormat="false" ht="15" hidden="false" customHeight="false" outlineLevel="0" collapsed="false">
      <c r="A8" s="6" t="s">
        <v>91</v>
      </c>
      <c r="B8" s="66" t="n">
        <f aca="false">INDEX(Monthly!$C$51:$AL$51,B$3*12)</f>
        <v>13333.3333333333</v>
      </c>
      <c r="C8" s="66" t="n">
        <f aca="false">INDEX(Monthly!$C$51:$AL$51,C$3*12)</f>
        <v>6666.66666666667</v>
      </c>
      <c r="D8" s="66" t="n">
        <f aca="false">INDEX(Monthly!$C$51:$AL$51,D$3*12)</f>
        <v>0</v>
      </c>
    </row>
    <row r="9" customFormat="false" ht="15" hidden="false" customHeight="false" outlineLevel="0" collapsed="false">
      <c r="A9" s="111" t="s">
        <v>92</v>
      </c>
      <c r="B9" s="67" t="n">
        <f aca="false">INDEX(Monthly!$C$94:$AL$94,B$3*12)</f>
        <v>2333470.06721971</v>
      </c>
      <c r="C9" s="67" t="n">
        <f aca="false">INDEX(Monthly!$C$94:$AL$94,C$3*12)</f>
        <v>1546724.21002463</v>
      </c>
      <c r="D9" s="67" t="n">
        <f aca="false">INDEX(Monthly!$C$94:$AL$94,D$3*12)</f>
        <v>428052.222375349</v>
      </c>
    </row>
    <row r="10" customFormat="false" ht="15" hidden="false" customHeight="false" outlineLevel="0" collapsed="false">
      <c r="A10" s="6" t="s">
        <v>93</v>
      </c>
      <c r="B10" s="66" t="n">
        <f aca="false">INDEX(Monthly!$C$62:$AL$62,B$3*12)</f>
        <v>3828.7027098661</v>
      </c>
      <c r="C10" s="66" t="n">
        <f aca="false">INDEX(Monthly!$C$62:$AL$62,C$3*12)</f>
        <v>7462.45055381245</v>
      </c>
      <c r="D10" s="66" t="n">
        <f aca="false">INDEX(Monthly!$C$62:$AL$62,D$3*12)</f>
        <v>11395.215307733</v>
      </c>
    </row>
    <row r="11" customFormat="false" ht="15" hidden="false" customHeight="false" outlineLevel="0" collapsed="false">
      <c r="A11" s="6" t="s">
        <v>94</v>
      </c>
      <c r="B11" s="66" t="n">
        <f aca="false">INDEX(Monthly!$C$66:$AL$66,B$3*12)</f>
        <v>39704.5081766718</v>
      </c>
      <c r="C11" s="66" t="n">
        <f aca="false">INDEX(Monthly!$C$66:$AL$66,C$3*12)</f>
        <v>76664.5333771572</v>
      </c>
      <c r="D11" s="66" t="n">
        <f aca="false">INDEX(Monthly!$C$66:$AL$66,D$3*12)</f>
        <v>117179.094143235</v>
      </c>
    </row>
    <row r="12" customFormat="false" ht="15" hidden="false" customHeight="false" outlineLevel="0" collapsed="false">
      <c r="A12" s="6" t="s">
        <v>95</v>
      </c>
      <c r="B12" s="66" t="n">
        <f aca="false">INDEX(Monthly!$C$57:$AL$57,B$3*12)</f>
        <v>0</v>
      </c>
      <c r="C12" s="66" t="n">
        <f aca="false">INDEX(Monthly!$C$57:$AL$57,C$3*12)</f>
        <v>0</v>
      </c>
      <c r="D12" s="66" t="n">
        <f aca="false">INDEX(Monthly!$C$57:$AL$57,D$3*12)</f>
        <v>0</v>
      </c>
    </row>
    <row r="13" customFormat="false" ht="15" hidden="false" customHeight="false" outlineLevel="0" collapsed="false">
      <c r="A13" s="112" t="s">
        <v>96</v>
      </c>
      <c r="B13" s="113" t="n">
        <f aca="false">INDEX(Monthly!$C$95:$AL$95,B$3*12)</f>
        <v>43533.2108865379</v>
      </c>
      <c r="C13" s="113" t="n">
        <f aca="false">INDEX(Monthly!$C$95:$AL$95,C$3*12)</f>
        <v>84126.9839309697</v>
      </c>
      <c r="D13" s="113" t="n">
        <f aca="false">INDEX(Monthly!$C$95:$AL$95,D$3*12)</f>
        <v>128574.309450968</v>
      </c>
    </row>
    <row r="14" customFormat="false" ht="15" hidden="false" customHeight="false" outlineLevel="0" collapsed="false">
      <c r="A14" s="6" t="s">
        <v>97</v>
      </c>
      <c r="B14" s="66" t="n">
        <f aca="false">INDEX(Monthly!$C$92:$AL$92,B$3*12)</f>
        <v>3000000</v>
      </c>
      <c r="C14" s="66" t="n">
        <f aca="false">INDEX(Monthly!$C$92:$AL$92,C$3*12)</f>
        <v>3000000</v>
      </c>
      <c r="D14" s="66" t="n">
        <f aca="false">INDEX(Monthly!$C$92:$AL$92,D$3*12)</f>
        <v>3000000</v>
      </c>
    </row>
    <row r="15" customFormat="false" ht="15" hidden="false" customHeight="false" outlineLevel="0" collapsed="false">
      <c r="A15" s="6" t="s">
        <v>98</v>
      </c>
      <c r="B15" s="66" t="n">
        <f aca="false">INDEX(Monthly!$C$93:$AL$93,B$3*12)</f>
        <v>-710063.143666832</v>
      </c>
      <c r="C15" s="66" t="n">
        <f aca="false">INDEX(Monthly!$C$93:$AL$93,C$3*12)</f>
        <v>-1537402.77390634</v>
      </c>
      <c r="D15" s="66" t="n">
        <f aca="false">INDEX(Monthly!$C$93:$AL$93,D$3*12)</f>
        <v>-2700522.08707562</v>
      </c>
    </row>
    <row r="16" customFormat="false" ht="15" hidden="false" customHeight="false" outlineLevel="0" collapsed="false">
      <c r="A16" s="112" t="s">
        <v>99</v>
      </c>
      <c r="B16" s="113" t="n">
        <f aca="false">INDEX(Monthly!$C$96:$AL$96,B$3*12)</f>
        <v>2289936.85633317</v>
      </c>
      <c r="C16" s="113" t="n">
        <f aca="false">INDEX(Monthly!$C$96:$AL$96,C$3*12)</f>
        <v>1462597.22609366</v>
      </c>
      <c r="D16" s="113" t="n">
        <f aca="false">INDEX(Monthly!$C$96:$AL$96,D$3*12)</f>
        <v>299477.91292438</v>
      </c>
    </row>
    <row r="17" customFormat="false" ht="15" hidden="false" customHeight="false" outlineLevel="0" collapsed="false">
      <c r="A17" s="69" t="s">
        <v>100</v>
      </c>
      <c r="B17" s="70" t="n">
        <f aca="false">INDEX(Monthly!$C$97:$AL$97,B$3*12)</f>
        <v>2333470.06721971</v>
      </c>
      <c r="C17" s="70" t="n">
        <f aca="false">INDEX(Monthly!$C$97:$AL$97,C$3*12)</f>
        <v>1546724.21002463</v>
      </c>
      <c r="D17" s="70" t="n">
        <f aca="false">INDEX(Monthly!$C$97:$AL$97,D$3*12)</f>
        <v>428052.222375348</v>
      </c>
    </row>
    <row r="18" customFormat="false" ht="15" hidden="false" customHeight="false" outlineLevel="0" collapsed="false">
      <c r="A18" s="6" t="s">
        <v>327</v>
      </c>
      <c r="B18" s="66" t="n">
        <f aca="false">INDEX(Monthly!$C$98:$AL$98,B$3*12)</f>
        <v>0</v>
      </c>
      <c r="C18" s="66" t="n">
        <f aca="false">INDEX(Monthly!$C$98:$AL$98,C$3*12)</f>
        <v>0</v>
      </c>
      <c r="D18" s="66" t="n">
        <f aca="false">INDEX(Monthly!$C$98:$AL$98,D$3*12)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328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329</v>
      </c>
    </row>
    <row r="3" customFormat="false" ht="15" hidden="false" customHeight="false" outlineLevel="0" collapsed="false">
      <c r="A3" s="33" t="s">
        <v>330</v>
      </c>
      <c r="C3" s="35" t="s">
        <v>331</v>
      </c>
      <c r="D3" s="35" t="s">
        <v>332</v>
      </c>
      <c r="E3" s="35" t="s">
        <v>333</v>
      </c>
      <c r="F3" s="35" t="s">
        <v>334</v>
      </c>
      <c r="G3" s="35" t="s">
        <v>335</v>
      </c>
      <c r="H3" s="35" t="s">
        <v>336</v>
      </c>
      <c r="I3" s="35" t="s">
        <v>337</v>
      </c>
      <c r="J3" s="35" t="s">
        <v>338</v>
      </c>
      <c r="K3" s="35" t="s">
        <v>339</v>
      </c>
      <c r="L3" s="35" t="s">
        <v>340</v>
      </c>
      <c r="M3" s="35" t="s">
        <v>341</v>
      </c>
      <c r="N3" s="35" t="s">
        <v>342</v>
      </c>
      <c r="O3" s="35" t="s">
        <v>343</v>
      </c>
      <c r="P3" s="35" t="s">
        <v>344</v>
      </c>
      <c r="Q3" s="35" t="s">
        <v>345</v>
      </c>
      <c r="R3" s="35" t="s">
        <v>346</v>
      </c>
      <c r="S3" s="35" t="s">
        <v>347</v>
      </c>
      <c r="T3" s="35" t="s">
        <v>348</v>
      </c>
      <c r="U3" s="35" t="s">
        <v>349</v>
      </c>
      <c r="V3" s="35" t="s">
        <v>350</v>
      </c>
      <c r="W3" s="35" t="s">
        <v>351</v>
      </c>
      <c r="X3" s="35" t="s">
        <v>352</v>
      </c>
      <c r="Y3" s="35" t="s">
        <v>353</v>
      </c>
      <c r="Z3" s="35" t="s">
        <v>354</v>
      </c>
      <c r="AA3" s="35" t="s">
        <v>355</v>
      </c>
      <c r="AB3" s="35" t="s">
        <v>356</v>
      </c>
      <c r="AC3" s="35" t="s">
        <v>357</v>
      </c>
      <c r="AD3" s="35" t="s">
        <v>358</v>
      </c>
      <c r="AE3" s="35" t="s">
        <v>359</v>
      </c>
      <c r="AF3" s="35" t="s">
        <v>360</v>
      </c>
      <c r="AG3" s="35" t="s">
        <v>361</v>
      </c>
      <c r="AH3" s="35" t="s">
        <v>362</v>
      </c>
      <c r="AI3" s="35" t="s">
        <v>363</v>
      </c>
      <c r="AJ3" s="35" t="s">
        <v>364</v>
      </c>
      <c r="AK3" s="35" t="s">
        <v>365</v>
      </c>
      <c r="AL3" s="35" t="s">
        <v>366</v>
      </c>
    </row>
    <row r="4" customFormat="false" ht="15" hidden="false" customHeight="false" outlineLevel="0" collapsed="false">
      <c r="A4" s="71" t="s">
        <v>367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</row>
    <row r="5" customFormat="false" ht="15" hidden="false" customHeight="false" outlineLevel="0" collapsed="false">
      <c r="A5" s="71" t="s">
        <v>154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</row>
    <row r="7" customFormat="false" ht="15.75" hidden="false" customHeight="true" outlineLevel="0" collapsed="false">
      <c r="A7" s="7" t="s">
        <v>368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369</v>
      </c>
      <c r="C8" s="114" t="n">
        <f aca="false">Inputs!$E$12*(1+Inputs!$E$13)^(C$5-1)*1</f>
        <v>12</v>
      </c>
      <c r="D8" s="114" t="n">
        <f aca="false">Inputs!$E$12*(1+Inputs!$E$13)^(D$5-1)*1</f>
        <v>12</v>
      </c>
      <c r="E8" s="114" t="n">
        <f aca="false">Inputs!$E$12*(1+Inputs!$E$13)^(E$5-1)*1</f>
        <v>12</v>
      </c>
      <c r="F8" s="114" t="n">
        <f aca="false">Inputs!$E$12*(1+Inputs!$E$13)^(F$5-1)*1</f>
        <v>12</v>
      </c>
      <c r="G8" s="114" t="n">
        <f aca="false">Inputs!$E$12*(1+Inputs!$E$13)^(G$5-1)*1</f>
        <v>12</v>
      </c>
      <c r="H8" s="114" t="n">
        <f aca="false">Inputs!$E$12*(1+Inputs!$E$13)^(H$5-1)*1</f>
        <v>12</v>
      </c>
      <c r="I8" s="114" t="n">
        <f aca="false">Inputs!$E$12*(1+Inputs!$E$13)^(I$5-1)*1</f>
        <v>12</v>
      </c>
      <c r="J8" s="114" t="n">
        <f aca="false">Inputs!$E$12*(1+Inputs!$E$13)^(J$5-1)*1</f>
        <v>12</v>
      </c>
      <c r="K8" s="114" t="n">
        <f aca="false">Inputs!$E$12*(1+Inputs!$E$13)^(K$5-1)*1</f>
        <v>12</v>
      </c>
      <c r="L8" s="114" t="n">
        <f aca="false">Inputs!$E$12*(1+Inputs!$E$13)^(L$5-1)*1</f>
        <v>12</v>
      </c>
      <c r="M8" s="114" t="n">
        <f aca="false">Inputs!$E$12*(1+Inputs!$E$13)^(M$5-1)*1</f>
        <v>12</v>
      </c>
      <c r="N8" s="114" t="n">
        <f aca="false">Inputs!$E$12*(1+Inputs!$E$13)^(N$5-1)*1</f>
        <v>12</v>
      </c>
      <c r="O8" s="114" t="n">
        <f aca="false">Inputs!$E$12*(1+Inputs!$E$13)^(O$5-1)*1</f>
        <v>15.6</v>
      </c>
      <c r="P8" s="114" t="n">
        <f aca="false">Inputs!$E$12*(1+Inputs!$E$13)^(P$5-1)*1</f>
        <v>15.6</v>
      </c>
      <c r="Q8" s="114" t="n">
        <f aca="false">Inputs!$E$12*(1+Inputs!$E$13)^(Q$5-1)*1</f>
        <v>15.6</v>
      </c>
      <c r="R8" s="114" t="n">
        <f aca="false">Inputs!$E$12*(1+Inputs!$E$13)^(R$5-1)*1</f>
        <v>15.6</v>
      </c>
      <c r="S8" s="114" t="n">
        <f aca="false">Inputs!$E$12*(1+Inputs!$E$13)^(S$5-1)*1</f>
        <v>15.6</v>
      </c>
      <c r="T8" s="114" t="n">
        <f aca="false">Inputs!$E$12*(1+Inputs!$E$13)^(T$5-1)*1</f>
        <v>15.6</v>
      </c>
      <c r="U8" s="114" t="n">
        <f aca="false">Inputs!$E$12*(1+Inputs!$E$13)^(U$5-1)*1</f>
        <v>15.6</v>
      </c>
      <c r="V8" s="114" t="n">
        <f aca="false">Inputs!$E$12*(1+Inputs!$E$13)^(V$5-1)*1</f>
        <v>15.6</v>
      </c>
      <c r="W8" s="114" t="n">
        <f aca="false">Inputs!$E$12*(1+Inputs!$E$13)^(W$5-1)*1</f>
        <v>15.6</v>
      </c>
      <c r="X8" s="114" t="n">
        <f aca="false">Inputs!$E$12*(1+Inputs!$E$13)^(X$5-1)*1</f>
        <v>15.6</v>
      </c>
      <c r="Y8" s="114" t="n">
        <f aca="false">Inputs!$E$12*(1+Inputs!$E$13)^(Y$5-1)*1</f>
        <v>15.6</v>
      </c>
      <c r="Z8" s="114" t="n">
        <f aca="false">Inputs!$E$12*(1+Inputs!$E$13)^(Z$5-1)*1</f>
        <v>15.6</v>
      </c>
      <c r="AA8" s="114" t="n">
        <f aca="false">Inputs!$E$12*(1+Inputs!$E$13)^(AA$5-1)*1</f>
        <v>20.28</v>
      </c>
      <c r="AB8" s="114" t="n">
        <f aca="false">Inputs!$E$12*(1+Inputs!$E$13)^(AB$5-1)*1</f>
        <v>20.28</v>
      </c>
      <c r="AC8" s="114" t="n">
        <f aca="false">Inputs!$E$12*(1+Inputs!$E$13)^(AC$5-1)*1</f>
        <v>20.28</v>
      </c>
      <c r="AD8" s="114" t="n">
        <f aca="false">Inputs!$E$12*(1+Inputs!$E$13)^(AD$5-1)*1</f>
        <v>20.28</v>
      </c>
      <c r="AE8" s="114" t="n">
        <f aca="false">Inputs!$E$12*(1+Inputs!$E$13)^(AE$5-1)*1</f>
        <v>20.28</v>
      </c>
      <c r="AF8" s="114" t="n">
        <f aca="false">Inputs!$E$12*(1+Inputs!$E$13)^(AF$5-1)*1</f>
        <v>20.28</v>
      </c>
      <c r="AG8" s="114" t="n">
        <f aca="false">Inputs!$E$12*(1+Inputs!$E$13)^(AG$5-1)*1</f>
        <v>20.28</v>
      </c>
      <c r="AH8" s="114" t="n">
        <f aca="false">Inputs!$E$12*(1+Inputs!$E$13)^(AH$5-1)*1</f>
        <v>20.28</v>
      </c>
      <c r="AI8" s="114" t="n">
        <f aca="false">Inputs!$E$12*(1+Inputs!$E$13)^(AI$5-1)*1</f>
        <v>20.28</v>
      </c>
      <c r="AJ8" s="114" t="n">
        <f aca="false">Inputs!$E$12*(1+Inputs!$E$13)^(AJ$5-1)*1</f>
        <v>20.28</v>
      </c>
      <c r="AK8" s="114" t="n">
        <f aca="false">Inputs!$E$12*(1+Inputs!$E$13)^(AK$5-1)*1</f>
        <v>20.28</v>
      </c>
      <c r="AL8" s="114" t="n">
        <f aca="false">Inputs!$E$12*(1+Inputs!$E$13)^(AL$5-1)*1</f>
        <v>20.28</v>
      </c>
    </row>
    <row r="9" customFormat="false" ht="15" hidden="false" customHeight="false" outlineLevel="0" collapsed="false">
      <c r="A9" s="6" t="s">
        <v>370</v>
      </c>
      <c r="C9" s="114" t="n">
        <f aca="false">-C30/MAX(1,Inputs!$E$16)</f>
        <v>17.7777777777778</v>
      </c>
      <c r="D9" s="114" t="n">
        <f aca="false">-D30/MAX(1,Inputs!$E$16)</f>
        <v>17.7777777777778</v>
      </c>
      <c r="E9" s="114" t="n">
        <f aca="false">-E30/MAX(1,Inputs!$E$16)</f>
        <v>17.7777777777778</v>
      </c>
      <c r="F9" s="114" t="n">
        <f aca="false">-F30/MAX(1,Inputs!$E$16)</f>
        <v>17.7777777777778</v>
      </c>
      <c r="G9" s="114" t="n">
        <f aca="false">-G30/MAX(1,Inputs!$E$16)</f>
        <v>17.7777777777778</v>
      </c>
      <c r="H9" s="114" t="n">
        <f aca="false">-H30/MAX(1,Inputs!$E$16)</f>
        <v>17.7777777777778</v>
      </c>
      <c r="I9" s="114" t="n">
        <f aca="false">-I30/MAX(1,Inputs!$E$16)</f>
        <v>17.7777777777778</v>
      </c>
      <c r="J9" s="114" t="n">
        <f aca="false">-J30/MAX(1,Inputs!$E$16)</f>
        <v>17.7777777777778</v>
      </c>
      <c r="K9" s="114" t="n">
        <f aca="false">-K30/MAX(1,Inputs!$E$16)</f>
        <v>17.7777777777778</v>
      </c>
      <c r="L9" s="114" t="n">
        <f aca="false">-L30/MAX(1,Inputs!$E$16)</f>
        <v>17.7777777777778</v>
      </c>
      <c r="M9" s="114" t="n">
        <f aca="false">-M30/MAX(1,Inputs!$E$16)</f>
        <v>17.7777777777778</v>
      </c>
      <c r="N9" s="114" t="n">
        <f aca="false">-N30/MAX(1,Inputs!$E$16)</f>
        <v>17.7777777777778</v>
      </c>
      <c r="O9" s="114" t="n">
        <f aca="false">-O30/MAX(1,Inputs!$E$16)</f>
        <v>21.3333333333333</v>
      </c>
      <c r="P9" s="114" t="n">
        <f aca="false">-P30/MAX(1,Inputs!$E$16)</f>
        <v>21.3333333333333</v>
      </c>
      <c r="Q9" s="114" t="n">
        <f aca="false">-Q30/MAX(1,Inputs!$E$16)</f>
        <v>21.3333333333333</v>
      </c>
      <c r="R9" s="114" t="n">
        <f aca="false">-R30/MAX(1,Inputs!$E$16)</f>
        <v>21.3333333333333</v>
      </c>
      <c r="S9" s="114" t="n">
        <f aca="false">-S30/MAX(1,Inputs!$E$16)</f>
        <v>21.3333333333333</v>
      </c>
      <c r="T9" s="114" t="n">
        <f aca="false">-T30/MAX(1,Inputs!$E$16)</f>
        <v>21.3333333333333</v>
      </c>
      <c r="U9" s="114" t="n">
        <f aca="false">-U30/MAX(1,Inputs!$E$16)</f>
        <v>21.3333333333333</v>
      </c>
      <c r="V9" s="114" t="n">
        <f aca="false">-V30/MAX(1,Inputs!$E$16)</f>
        <v>21.3333333333333</v>
      </c>
      <c r="W9" s="114" t="n">
        <f aca="false">-W30/MAX(1,Inputs!$E$16)</f>
        <v>21.3333333333333</v>
      </c>
      <c r="X9" s="114" t="n">
        <f aca="false">-X30/MAX(1,Inputs!$E$16)</f>
        <v>21.3333333333333</v>
      </c>
      <c r="Y9" s="114" t="n">
        <f aca="false">-Y30/MAX(1,Inputs!$E$16)</f>
        <v>21.3333333333333</v>
      </c>
      <c r="Z9" s="114" t="n">
        <f aca="false">-Z30/MAX(1,Inputs!$E$16)</f>
        <v>21.3333333333333</v>
      </c>
      <c r="AA9" s="114" t="n">
        <f aca="false">-AA30/MAX(1,Inputs!$E$16)</f>
        <v>25.6</v>
      </c>
      <c r="AB9" s="114" t="n">
        <f aca="false">-AB30/MAX(1,Inputs!$E$16)</f>
        <v>25.6</v>
      </c>
      <c r="AC9" s="114" t="n">
        <f aca="false">-AC30/MAX(1,Inputs!$E$16)</f>
        <v>25.6</v>
      </c>
      <c r="AD9" s="114" t="n">
        <f aca="false">-AD30/MAX(1,Inputs!$E$16)</f>
        <v>25.6</v>
      </c>
      <c r="AE9" s="114" t="n">
        <f aca="false">-AE30/MAX(1,Inputs!$E$16)</f>
        <v>25.6</v>
      </c>
      <c r="AF9" s="114" t="n">
        <f aca="false">-AF30/MAX(1,Inputs!$E$16)</f>
        <v>25.6</v>
      </c>
      <c r="AG9" s="114" t="n">
        <f aca="false">-AG30/MAX(1,Inputs!$E$16)</f>
        <v>25.6</v>
      </c>
      <c r="AH9" s="114" t="n">
        <f aca="false">-AH30/MAX(1,Inputs!$E$16)</f>
        <v>25.6</v>
      </c>
      <c r="AI9" s="114" t="n">
        <f aca="false">-AI30/MAX(1,Inputs!$E$16)</f>
        <v>25.6</v>
      </c>
      <c r="AJ9" s="114" t="n">
        <f aca="false">-AJ30/MAX(1,Inputs!$E$16)</f>
        <v>25.6</v>
      </c>
      <c r="AK9" s="114" t="n">
        <f aca="false">-AK30/MAX(1,Inputs!$E$16)</f>
        <v>25.6</v>
      </c>
      <c r="AL9" s="114" t="n">
        <f aca="false">-AL30/MAX(1,Inputs!$E$16)</f>
        <v>25.6</v>
      </c>
    </row>
    <row r="10" customFormat="false" ht="15" hidden="false" customHeight="false" outlineLevel="0" collapsed="false">
      <c r="A10" s="4" t="s">
        <v>371</v>
      </c>
      <c r="C10" s="115" t="n">
        <f aca="false">C8+C9</f>
        <v>29.7777777777778</v>
      </c>
      <c r="D10" s="115" t="n">
        <f aca="false">D8+D9</f>
        <v>29.7777777777778</v>
      </c>
      <c r="E10" s="115" t="n">
        <f aca="false">E8+E9</f>
        <v>29.7777777777778</v>
      </c>
      <c r="F10" s="115" t="n">
        <f aca="false">F8+F9</f>
        <v>29.7777777777778</v>
      </c>
      <c r="G10" s="115" t="n">
        <f aca="false">G8+G9</f>
        <v>29.7777777777778</v>
      </c>
      <c r="H10" s="115" t="n">
        <f aca="false">H8+H9</f>
        <v>29.7777777777778</v>
      </c>
      <c r="I10" s="115" t="n">
        <f aca="false">I8+I9</f>
        <v>29.7777777777778</v>
      </c>
      <c r="J10" s="115" t="n">
        <f aca="false">J8+J9</f>
        <v>29.7777777777778</v>
      </c>
      <c r="K10" s="115" t="n">
        <f aca="false">K8+K9</f>
        <v>29.7777777777778</v>
      </c>
      <c r="L10" s="115" t="n">
        <f aca="false">L8+L9</f>
        <v>29.7777777777778</v>
      </c>
      <c r="M10" s="115" t="n">
        <f aca="false">M8+M9</f>
        <v>29.7777777777778</v>
      </c>
      <c r="N10" s="115" t="n">
        <f aca="false">N8+N9</f>
        <v>29.7777777777778</v>
      </c>
      <c r="O10" s="115" t="n">
        <f aca="false">O8+O9</f>
        <v>36.9333333333333</v>
      </c>
      <c r="P10" s="115" t="n">
        <f aca="false">P8+P9</f>
        <v>36.9333333333333</v>
      </c>
      <c r="Q10" s="115" t="n">
        <f aca="false">Q8+Q9</f>
        <v>36.9333333333333</v>
      </c>
      <c r="R10" s="115" t="n">
        <f aca="false">R8+R9</f>
        <v>36.9333333333333</v>
      </c>
      <c r="S10" s="115" t="n">
        <f aca="false">S8+S9</f>
        <v>36.9333333333333</v>
      </c>
      <c r="T10" s="115" t="n">
        <f aca="false">T8+T9</f>
        <v>36.9333333333333</v>
      </c>
      <c r="U10" s="115" t="n">
        <f aca="false">U8+U9</f>
        <v>36.9333333333333</v>
      </c>
      <c r="V10" s="115" t="n">
        <f aca="false">V8+V9</f>
        <v>36.9333333333333</v>
      </c>
      <c r="W10" s="115" t="n">
        <f aca="false">W8+W9</f>
        <v>36.9333333333333</v>
      </c>
      <c r="X10" s="115" t="n">
        <f aca="false">X8+X9</f>
        <v>36.9333333333333</v>
      </c>
      <c r="Y10" s="115" t="n">
        <f aca="false">Y8+Y9</f>
        <v>36.9333333333333</v>
      </c>
      <c r="Z10" s="115" t="n">
        <f aca="false">Z8+Z9</f>
        <v>36.9333333333333</v>
      </c>
      <c r="AA10" s="115" t="n">
        <f aca="false">AA8+AA9</f>
        <v>45.88</v>
      </c>
      <c r="AB10" s="115" t="n">
        <f aca="false">AB8+AB9</f>
        <v>45.88</v>
      </c>
      <c r="AC10" s="115" t="n">
        <f aca="false">AC8+AC9</f>
        <v>45.88</v>
      </c>
      <c r="AD10" s="115" t="n">
        <f aca="false">AD8+AD9</f>
        <v>45.88</v>
      </c>
      <c r="AE10" s="115" t="n">
        <f aca="false">AE8+AE9</f>
        <v>45.88</v>
      </c>
      <c r="AF10" s="115" t="n">
        <f aca="false">AF8+AF9</f>
        <v>45.88</v>
      </c>
      <c r="AG10" s="115" t="n">
        <f aca="false">AG8+AG9</f>
        <v>45.88</v>
      </c>
      <c r="AH10" s="115" t="n">
        <f aca="false">AH8+AH9</f>
        <v>45.88</v>
      </c>
      <c r="AI10" s="115" t="n">
        <f aca="false">AI8+AI9</f>
        <v>45.88</v>
      </c>
      <c r="AJ10" s="115" t="n">
        <f aca="false">AJ8+AJ9</f>
        <v>45.88</v>
      </c>
      <c r="AK10" s="115" t="n">
        <f aca="false">AK8+AK9</f>
        <v>45.88</v>
      </c>
      <c r="AL10" s="115" t="n">
        <f aca="false">AL8+AL9</f>
        <v>45.88</v>
      </c>
    </row>
    <row r="11" customFormat="false" ht="15" hidden="false" customHeight="false" outlineLevel="0" collapsed="false">
      <c r="A11" s="6" t="s">
        <v>372</v>
      </c>
      <c r="C11" s="116" t="n">
        <f aca="false">Inputs!$E$7</f>
        <v>30</v>
      </c>
      <c r="D11" s="114" t="n">
        <f aca="false">C13</f>
        <v>58.8777777777778</v>
      </c>
      <c r="E11" s="114" t="n">
        <f aca="false">D13</f>
        <v>86.8892222222222</v>
      </c>
      <c r="F11" s="114" t="n">
        <f aca="false">E13</f>
        <v>114.060323333333</v>
      </c>
      <c r="G11" s="114" t="n">
        <f aca="false">F13</f>
        <v>140.416291411111</v>
      </c>
      <c r="H11" s="114" t="n">
        <f aca="false">G13</f>
        <v>165.981580446556</v>
      </c>
      <c r="I11" s="114" t="n">
        <f aca="false">H13</f>
        <v>190.779910810937</v>
      </c>
      <c r="J11" s="114" t="n">
        <f aca="false">I13</f>
        <v>214.834291264386</v>
      </c>
      <c r="K11" s="114" t="n">
        <f aca="false">J13</f>
        <v>238.167040304233</v>
      </c>
      <c r="L11" s="114" t="n">
        <f aca="false">K13</f>
        <v>260.799806872883</v>
      </c>
      <c r="M11" s="114" t="n">
        <f aca="false">L13</f>
        <v>282.753590444475</v>
      </c>
      <c r="N11" s="114" t="n">
        <f aca="false">M13</f>
        <v>304.048760508918</v>
      </c>
      <c r="O11" s="114" t="n">
        <f aca="false">N13</f>
        <v>324.705075471428</v>
      </c>
      <c r="P11" s="114" t="n">
        <f aca="false">O13</f>
        <v>351.897256540619</v>
      </c>
      <c r="Q11" s="114" t="n">
        <f aca="false">P13</f>
        <v>378.273672177734</v>
      </c>
      <c r="R11" s="114" t="n">
        <f aca="false">Q13</f>
        <v>403.858795345735</v>
      </c>
      <c r="S11" s="114" t="n">
        <f aca="false">R13</f>
        <v>428.676364818696</v>
      </c>
      <c r="T11" s="114" t="n">
        <f aca="false">S13</f>
        <v>452.749407207469</v>
      </c>
      <c r="U11" s="114" t="n">
        <f aca="false">T13</f>
        <v>476.100258324578</v>
      </c>
      <c r="V11" s="114" t="n">
        <f aca="false">U13</f>
        <v>498.750583908174</v>
      </c>
      <c r="W11" s="114" t="n">
        <f aca="false">V13</f>
        <v>520.721399724262</v>
      </c>
      <c r="X11" s="114" t="n">
        <f aca="false">W13</f>
        <v>542.033091065868</v>
      </c>
      <c r="Y11" s="114" t="n">
        <f aca="false">X13</f>
        <v>562.705431667225</v>
      </c>
      <c r="Z11" s="114" t="n">
        <f aca="false">Y13</f>
        <v>582.757602050541</v>
      </c>
      <c r="AA11" s="114" t="n">
        <f aca="false">Z13</f>
        <v>602.208207322359</v>
      </c>
      <c r="AB11" s="114" t="n">
        <f aca="false">AA13</f>
        <v>630.021961102688</v>
      </c>
      <c r="AC11" s="114" t="n">
        <f aca="false">AB13</f>
        <v>657.001302269607</v>
      </c>
      <c r="AD11" s="114" t="n">
        <f aca="false">AC13</f>
        <v>683.171263201519</v>
      </c>
      <c r="AE11" s="114" t="n">
        <f aca="false">AD13</f>
        <v>708.556125305473</v>
      </c>
      <c r="AF11" s="114" t="n">
        <f aca="false">AE13</f>
        <v>733.179441546309</v>
      </c>
      <c r="AG11" s="114" t="n">
        <f aca="false">AF13</f>
        <v>757.06405829992</v>
      </c>
      <c r="AH11" s="114" t="n">
        <f aca="false">AG13</f>
        <v>780.232136550922</v>
      </c>
      <c r="AI11" s="114" t="n">
        <f aca="false">AH13</f>
        <v>802.705172454395</v>
      </c>
      <c r="AJ11" s="114" t="n">
        <f aca="false">AI13</f>
        <v>824.504017280763</v>
      </c>
      <c r="AK11" s="114" t="n">
        <f aca="false">AJ13</f>
        <v>845.64889676234</v>
      </c>
      <c r="AL11" s="114" t="n">
        <f aca="false">AK13</f>
        <v>866.15942985947</v>
      </c>
    </row>
    <row r="12" customFormat="false" ht="15" hidden="false" customHeight="false" outlineLevel="0" collapsed="false">
      <c r="A12" s="6" t="s">
        <v>373</v>
      </c>
      <c r="C12" s="114" t="n">
        <f aca="false">-C11*Inputs!$E$10</f>
        <v>-0.9</v>
      </c>
      <c r="D12" s="114" t="n">
        <f aca="false">-D11*Inputs!$E$10</f>
        <v>-1.76633333333333</v>
      </c>
      <c r="E12" s="114" t="n">
        <f aca="false">-E11*Inputs!$E$10</f>
        <v>-2.60667666666667</v>
      </c>
      <c r="F12" s="114" t="n">
        <f aca="false">-F11*Inputs!$E$10</f>
        <v>-3.4218097</v>
      </c>
      <c r="G12" s="114" t="n">
        <f aca="false">-G11*Inputs!$E$10</f>
        <v>-4.21248874233333</v>
      </c>
      <c r="H12" s="114" t="n">
        <f aca="false">-H11*Inputs!$E$10</f>
        <v>-4.97944741339667</v>
      </c>
      <c r="I12" s="114" t="n">
        <f aca="false">-I11*Inputs!$E$10</f>
        <v>-5.7233973243281</v>
      </c>
      <c r="J12" s="114" t="n">
        <f aca="false">-J11*Inputs!$E$10</f>
        <v>-6.44502873793159</v>
      </c>
      <c r="K12" s="114" t="n">
        <f aca="false">-K11*Inputs!$E$10</f>
        <v>-7.14501120912698</v>
      </c>
      <c r="L12" s="114" t="n">
        <f aca="false">-L11*Inputs!$E$10</f>
        <v>-7.8239942061865</v>
      </c>
      <c r="M12" s="114" t="n">
        <f aca="false">-M11*Inputs!$E$10</f>
        <v>-8.48260771333424</v>
      </c>
      <c r="N12" s="114" t="n">
        <f aca="false">-N11*Inputs!$E$10</f>
        <v>-9.12146281526755</v>
      </c>
      <c r="O12" s="114" t="n">
        <f aca="false">-O11*Inputs!$E$10</f>
        <v>-9.74115226414285</v>
      </c>
      <c r="P12" s="114" t="n">
        <f aca="false">-P11*Inputs!$E$10</f>
        <v>-10.5569176962186</v>
      </c>
      <c r="Q12" s="114" t="n">
        <f aca="false">-Q11*Inputs!$E$10</f>
        <v>-11.348210165332</v>
      </c>
      <c r="R12" s="114" t="n">
        <f aca="false">-R11*Inputs!$E$10</f>
        <v>-12.115763860372</v>
      </c>
      <c r="S12" s="114" t="n">
        <f aca="false">-S11*Inputs!$E$10</f>
        <v>-12.8602909445609</v>
      </c>
      <c r="T12" s="114" t="n">
        <f aca="false">-T11*Inputs!$E$10</f>
        <v>-13.5824822162241</v>
      </c>
      <c r="U12" s="114" t="n">
        <f aca="false">-U11*Inputs!$E$10</f>
        <v>-14.2830077497373</v>
      </c>
      <c r="V12" s="114" t="n">
        <f aca="false">-V11*Inputs!$E$10</f>
        <v>-14.9625175172452</v>
      </c>
      <c r="W12" s="114" t="n">
        <f aca="false">-W11*Inputs!$E$10</f>
        <v>-15.6216419917279</v>
      </c>
      <c r="X12" s="114" t="n">
        <f aca="false">-X11*Inputs!$E$10</f>
        <v>-16.260992731976</v>
      </c>
      <c r="Y12" s="114" t="n">
        <f aca="false">-Y11*Inputs!$E$10</f>
        <v>-16.8811629500167</v>
      </c>
      <c r="Z12" s="114" t="n">
        <f aca="false">-Z11*Inputs!$E$10</f>
        <v>-17.4827280615162</v>
      </c>
      <c r="AA12" s="114" t="n">
        <f aca="false">-AA11*Inputs!$E$10</f>
        <v>-18.0662462196708</v>
      </c>
      <c r="AB12" s="114" t="n">
        <f aca="false">-AB11*Inputs!$E$10</f>
        <v>-18.9006588330806</v>
      </c>
      <c r="AC12" s="114" t="n">
        <f aca="false">-AC11*Inputs!$E$10</f>
        <v>-19.7100390680882</v>
      </c>
      <c r="AD12" s="114" t="n">
        <f aca="false">-AD11*Inputs!$E$10</f>
        <v>-20.4951378960456</v>
      </c>
      <c r="AE12" s="114" t="n">
        <f aca="false">-AE11*Inputs!$E$10</f>
        <v>-21.2566837591642</v>
      </c>
      <c r="AF12" s="114" t="n">
        <f aca="false">-AF11*Inputs!$E$10</f>
        <v>-21.9953832463893</v>
      </c>
      <c r="AG12" s="114" t="n">
        <f aca="false">-AG11*Inputs!$E$10</f>
        <v>-22.7119217489976</v>
      </c>
      <c r="AH12" s="114" t="n">
        <f aca="false">-AH11*Inputs!$E$10</f>
        <v>-23.4069640965277</v>
      </c>
      <c r="AI12" s="114" t="n">
        <f aca="false">-AI11*Inputs!$E$10</f>
        <v>-24.0811551736318</v>
      </c>
      <c r="AJ12" s="114" t="n">
        <f aca="false">-AJ11*Inputs!$E$10</f>
        <v>-24.7351205184229</v>
      </c>
      <c r="AK12" s="114" t="n">
        <f aca="false">-AK11*Inputs!$E$10</f>
        <v>-25.3694669028702</v>
      </c>
      <c r="AL12" s="114" t="n">
        <f aca="false">-AL11*Inputs!$E$10</f>
        <v>-25.9847828957841</v>
      </c>
    </row>
    <row r="13" customFormat="false" ht="15" hidden="false" customHeight="false" outlineLevel="0" collapsed="false">
      <c r="A13" s="111" t="s">
        <v>374</v>
      </c>
      <c r="C13" s="117" t="n">
        <f aca="false">C11+C10+C12</f>
        <v>58.8777777777778</v>
      </c>
      <c r="D13" s="117" t="n">
        <f aca="false">D11+D10+D12</f>
        <v>86.8892222222222</v>
      </c>
      <c r="E13" s="117" t="n">
        <f aca="false">E11+E10+E12</f>
        <v>114.060323333333</v>
      </c>
      <c r="F13" s="117" t="n">
        <f aca="false">F11+F10+F12</f>
        <v>140.416291411111</v>
      </c>
      <c r="G13" s="117" t="n">
        <f aca="false">G11+G10+G12</f>
        <v>165.981580446556</v>
      </c>
      <c r="H13" s="117" t="n">
        <f aca="false">H11+H10+H12</f>
        <v>190.779910810937</v>
      </c>
      <c r="I13" s="117" t="n">
        <f aca="false">I11+I10+I12</f>
        <v>214.834291264386</v>
      </c>
      <c r="J13" s="117" t="n">
        <f aca="false">J11+J10+J12</f>
        <v>238.167040304233</v>
      </c>
      <c r="K13" s="117" t="n">
        <f aca="false">K11+K10+K12</f>
        <v>260.799806872883</v>
      </c>
      <c r="L13" s="117" t="n">
        <f aca="false">L11+L10+L12</f>
        <v>282.753590444475</v>
      </c>
      <c r="M13" s="117" t="n">
        <f aca="false">M11+M10+M12</f>
        <v>304.048760508918</v>
      </c>
      <c r="N13" s="117" t="n">
        <f aca="false">N11+N10+N12</f>
        <v>324.705075471428</v>
      </c>
      <c r="O13" s="117" t="n">
        <f aca="false">O11+O10+O12</f>
        <v>351.897256540619</v>
      </c>
      <c r="P13" s="117" t="n">
        <f aca="false">P11+P10+P12</f>
        <v>378.273672177734</v>
      </c>
      <c r="Q13" s="117" t="n">
        <f aca="false">Q11+Q10+Q12</f>
        <v>403.858795345735</v>
      </c>
      <c r="R13" s="117" t="n">
        <f aca="false">R11+R10+R12</f>
        <v>428.676364818696</v>
      </c>
      <c r="S13" s="117" t="n">
        <f aca="false">S11+S10+S12</f>
        <v>452.749407207469</v>
      </c>
      <c r="T13" s="117" t="n">
        <f aca="false">T11+T10+T12</f>
        <v>476.100258324578</v>
      </c>
      <c r="U13" s="117" t="n">
        <f aca="false">U11+U10+U12</f>
        <v>498.750583908174</v>
      </c>
      <c r="V13" s="117" t="n">
        <f aca="false">V11+V10+V12</f>
        <v>520.721399724262</v>
      </c>
      <c r="W13" s="117" t="n">
        <f aca="false">W11+W10+W12</f>
        <v>542.033091065868</v>
      </c>
      <c r="X13" s="117" t="n">
        <f aca="false">X11+X10+X12</f>
        <v>562.705431667225</v>
      </c>
      <c r="Y13" s="117" t="n">
        <f aca="false">Y11+Y10+Y12</f>
        <v>582.757602050541</v>
      </c>
      <c r="Z13" s="117" t="n">
        <f aca="false">Z11+Z10+Z12</f>
        <v>602.208207322359</v>
      </c>
      <c r="AA13" s="117" t="n">
        <f aca="false">AA11+AA10+AA12</f>
        <v>630.021961102688</v>
      </c>
      <c r="AB13" s="117" t="n">
        <f aca="false">AB11+AB10+AB12</f>
        <v>657.001302269607</v>
      </c>
      <c r="AC13" s="117" t="n">
        <f aca="false">AC11+AC10+AC12</f>
        <v>683.171263201519</v>
      </c>
      <c r="AD13" s="117" t="n">
        <f aca="false">AD11+AD10+AD12</f>
        <v>708.556125305473</v>
      </c>
      <c r="AE13" s="117" t="n">
        <f aca="false">AE11+AE10+AE12</f>
        <v>733.179441546309</v>
      </c>
      <c r="AF13" s="117" t="n">
        <f aca="false">AF11+AF10+AF12</f>
        <v>757.06405829992</v>
      </c>
      <c r="AG13" s="117" t="n">
        <f aca="false">AG11+AG10+AG12</f>
        <v>780.232136550922</v>
      </c>
      <c r="AH13" s="117" t="n">
        <f aca="false">AH11+AH10+AH12</f>
        <v>802.705172454395</v>
      </c>
      <c r="AI13" s="117" t="n">
        <f aca="false">AI11+AI10+AI12</f>
        <v>824.504017280763</v>
      </c>
      <c r="AJ13" s="117" t="n">
        <f aca="false">AJ11+AJ10+AJ12</f>
        <v>845.64889676234</v>
      </c>
      <c r="AK13" s="117" t="n">
        <f aca="false">AK11+AK10+AK12</f>
        <v>866.15942985947</v>
      </c>
      <c r="AL13" s="117" t="n">
        <f aca="false">AL11+AL10+AL12</f>
        <v>886.054646963686</v>
      </c>
    </row>
    <row r="14" customFormat="false" ht="15" hidden="false" customHeight="false" outlineLevel="0" collapsed="false">
      <c r="A14" s="6" t="s">
        <v>375</v>
      </c>
      <c r="C14" s="118" t="n">
        <f aca="false">Inputs!$E$8*(1+Inputs!$E$9)^(C$5-1)</f>
        <v>99</v>
      </c>
      <c r="D14" s="118" t="n">
        <f aca="false">Inputs!$E$8*(1+Inputs!$E$9)^(D$5-1)</f>
        <v>99</v>
      </c>
      <c r="E14" s="118" t="n">
        <f aca="false">Inputs!$E$8*(1+Inputs!$E$9)^(E$5-1)</f>
        <v>99</v>
      </c>
      <c r="F14" s="118" t="n">
        <f aca="false">Inputs!$E$8*(1+Inputs!$E$9)^(F$5-1)</f>
        <v>99</v>
      </c>
      <c r="G14" s="118" t="n">
        <f aca="false">Inputs!$E$8*(1+Inputs!$E$9)^(G$5-1)</f>
        <v>99</v>
      </c>
      <c r="H14" s="118" t="n">
        <f aca="false">Inputs!$E$8*(1+Inputs!$E$9)^(H$5-1)</f>
        <v>99</v>
      </c>
      <c r="I14" s="118" t="n">
        <f aca="false">Inputs!$E$8*(1+Inputs!$E$9)^(I$5-1)</f>
        <v>99</v>
      </c>
      <c r="J14" s="118" t="n">
        <f aca="false">Inputs!$E$8*(1+Inputs!$E$9)^(J$5-1)</f>
        <v>99</v>
      </c>
      <c r="K14" s="118" t="n">
        <f aca="false">Inputs!$E$8*(1+Inputs!$E$9)^(K$5-1)</f>
        <v>99</v>
      </c>
      <c r="L14" s="118" t="n">
        <f aca="false">Inputs!$E$8*(1+Inputs!$E$9)^(L$5-1)</f>
        <v>99</v>
      </c>
      <c r="M14" s="118" t="n">
        <f aca="false">Inputs!$E$8*(1+Inputs!$E$9)^(M$5-1)</f>
        <v>99</v>
      </c>
      <c r="N14" s="118" t="n">
        <f aca="false">Inputs!$E$8*(1+Inputs!$E$9)^(N$5-1)</f>
        <v>99</v>
      </c>
      <c r="O14" s="118" t="n">
        <f aca="false">Inputs!$E$8*(1+Inputs!$E$9)^(O$5-1)</f>
        <v>101.97</v>
      </c>
      <c r="P14" s="118" t="n">
        <f aca="false">Inputs!$E$8*(1+Inputs!$E$9)^(P$5-1)</f>
        <v>101.97</v>
      </c>
      <c r="Q14" s="118" t="n">
        <f aca="false">Inputs!$E$8*(1+Inputs!$E$9)^(Q$5-1)</f>
        <v>101.97</v>
      </c>
      <c r="R14" s="118" t="n">
        <f aca="false">Inputs!$E$8*(1+Inputs!$E$9)^(R$5-1)</f>
        <v>101.97</v>
      </c>
      <c r="S14" s="118" t="n">
        <f aca="false">Inputs!$E$8*(1+Inputs!$E$9)^(S$5-1)</f>
        <v>101.97</v>
      </c>
      <c r="T14" s="118" t="n">
        <f aca="false">Inputs!$E$8*(1+Inputs!$E$9)^(T$5-1)</f>
        <v>101.97</v>
      </c>
      <c r="U14" s="118" t="n">
        <f aca="false">Inputs!$E$8*(1+Inputs!$E$9)^(U$5-1)</f>
        <v>101.97</v>
      </c>
      <c r="V14" s="118" t="n">
        <f aca="false">Inputs!$E$8*(1+Inputs!$E$9)^(V$5-1)</f>
        <v>101.97</v>
      </c>
      <c r="W14" s="118" t="n">
        <f aca="false">Inputs!$E$8*(1+Inputs!$E$9)^(W$5-1)</f>
        <v>101.97</v>
      </c>
      <c r="X14" s="118" t="n">
        <f aca="false">Inputs!$E$8*(1+Inputs!$E$9)^(X$5-1)</f>
        <v>101.97</v>
      </c>
      <c r="Y14" s="118" t="n">
        <f aca="false">Inputs!$E$8*(1+Inputs!$E$9)^(Y$5-1)</f>
        <v>101.97</v>
      </c>
      <c r="Z14" s="118" t="n">
        <f aca="false">Inputs!$E$8*(1+Inputs!$E$9)^(Z$5-1)</f>
        <v>101.97</v>
      </c>
      <c r="AA14" s="118" t="n">
        <f aca="false">Inputs!$E$8*(1+Inputs!$E$9)^(AA$5-1)</f>
        <v>105.0291</v>
      </c>
      <c r="AB14" s="118" t="n">
        <f aca="false">Inputs!$E$8*(1+Inputs!$E$9)^(AB$5-1)</f>
        <v>105.0291</v>
      </c>
      <c r="AC14" s="118" t="n">
        <f aca="false">Inputs!$E$8*(1+Inputs!$E$9)^(AC$5-1)</f>
        <v>105.0291</v>
      </c>
      <c r="AD14" s="118" t="n">
        <f aca="false">Inputs!$E$8*(1+Inputs!$E$9)^(AD$5-1)</f>
        <v>105.0291</v>
      </c>
      <c r="AE14" s="118" t="n">
        <f aca="false">Inputs!$E$8*(1+Inputs!$E$9)^(AE$5-1)</f>
        <v>105.0291</v>
      </c>
      <c r="AF14" s="118" t="n">
        <f aca="false">Inputs!$E$8*(1+Inputs!$E$9)^(AF$5-1)</f>
        <v>105.0291</v>
      </c>
      <c r="AG14" s="118" t="n">
        <f aca="false">Inputs!$E$8*(1+Inputs!$E$9)^(AG$5-1)</f>
        <v>105.0291</v>
      </c>
      <c r="AH14" s="118" t="n">
        <f aca="false">Inputs!$E$8*(1+Inputs!$E$9)^(AH$5-1)</f>
        <v>105.0291</v>
      </c>
      <c r="AI14" s="118" t="n">
        <f aca="false">Inputs!$E$8*(1+Inputs!$E$9)^(AI$5-1)</f>
        <v>105.0291</v>
      </c>
      <c r="AJ14" s="118" t="n">
        <f aca="false">Inputs!$E$8*(1+Inputs!$E$9)^(AJ$5-1)</f>
        <v>105.0291</v>
      </c>
      <c r="AK14" s="118" t="n">
        <f aca="false">Inputs!$E$8*(1+Inputs!$E$9)^(AK$5-1)</f>
        <v>105.0291</v>
      </c>
      <c r="AL14" s="118" t="n">
        <f aca="false">Inputs!$E$8*(1+Inputs!$E$9)^(AL$5-1)</f>
        <v>105.0291</v>
      </c>
    </row>
    <row r="16" customFormat="false" ht="15.75" hidden="false" customHeight="true" outlineLevel="0" collapsed="false">
      <c r="A16" s="7" t="s">
        <v>376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377</v>
      </c>
      <c r="C17" s="66" t="n">
        <f aca="false">Inputs!$E$7*Inputs!$E$8</f>
        <v>2970</v>
      </c>
      <c r="D17" s="66" t="n">
        <f aca="false">C21</f>
        <v>5843.75</v>
      </c>
      <c r="E17" s="66" t="n">
        <f aca="false">D21</f>
        <v>8645.65625</v>
      </c>
      <c r="F17" s="66" t="n">
        <f aca="false">E21</f>
        <v>11377.51484375</v>
      </c>
      <c r="G17" s="66" t="n">
        <f aca="false">F21</f>
        <v>14041.0769726563</v>
      </c>
      <c r="H17" s="66" t="n">
        <f aca="false">G21</f>
        <v>16638.0500483398</v>
      </c>
      <c r="I17" s="66" t="n">
        <f aca="false">H21</f>
        <v>19170.0987971314</v>
      </c>
      <c r="J17" s="66" t="n">
        <f aca="false">I21</f>
        <v>21638.8463272031</v>
      </c>
      <c r="K17" s="66" t="n">
        <f aca="false">J21</f>
        <v>24045.875169023</v>
      </c>
      <c r="L17" s="66" t="n">
        <f aca="false">K21</f>
        <v>26392.7282897974</v>
      </c>
      <c r="M17" s="66" t="n">
        <f aca="false">L21</f>
        <v>28680.9100825525</v>
      </c>
      <c r="N17" s="66" t="n">
        <f aca="false">M21</f>
        <v>30911.8873304887</v>
      </c>
      <c r="O17" s="66" t="n">
        <f aca="false">N21</f>
        <v>33087.0901472265</v>
      </c>
      <c r="P17" s="66" t="n">
        <f aca="false">O21</f>
        <v>36026.0048935458</v>
      </c>
      <c r="Q17" s="66" t="n">
        <f aca="false">P21</f>
        <v>38891.4467712071</v>
      </c>
      <c r="R17" s="66" t="n">
        <f aca="false">Q21</f>
        <v>41685.252601927</v>
      </c>
      <c r="S17" s="66" t="n">
        <f aca="false">R21</f>
        <v>44409.2132868788</v>
      </c>
      <c r="T17" s="66" t="n">
        <f aca="false">S21</f>
        <v>47065.0749547068</v>
      </c>
      <c r="U17" s="66" t="n">
        <f aca="false">T21</f>
        <v>49654.5400808392</v>
      </c>
      <c r="V17" s="66" t="n">
        <f aca="false">U21</f>
        <v>52179.2685788182</v>
      </c>
      <c r="W17" s="66" t="n">
        <f aca="false">V21</f>
        <v>54640.8788643477</v>
      </c>
      <c r="X17" s="66" t="n">
        <f aca="false">W21</f>
        <v>57040.948892739</v>
      </c>
      <c r="Y17" s="66" t="n">
        <f aca="false">X21</f>
        <v>59381.0171704205</v>
      </c>
      <c r="Z17" s="66" t="n">
        <f aca="false">Y21</f>
        <v>61662.58374116</v>
      </c>
      <c r="AA17" s="66" t="n">
        <f aca="false">Z21</f>
        <v>63887.111147631</v>
      </c>
      <c r="AB17" s="66" t="n">
        <f aca="false">AA21</f>
        <v>67108.6684769402</v>
      </c>
      <c r="AC17" s="66" t="n">
        <f aca="false">AB21</f>
        <v>70249.6868730167</v>
      </c>
      <c r="AD17" s="66" t="n">
        <f aca="false">AC21</f>
        <v>73312.1798091913</v>
      </c>
      <c r="AE17" s="66" t="n">
        <f aca="false">AD21</f>
        <v>76298.1104219615</v>
      </c>
      <c r="AF17" s="66" t="n">
        <f aca="false">AE21</f>
        <v>79209.3927694125</v>
      </c>
      <c r="AG17" s="66" t="n">
        <f aca="false">AF21</f>
        <v>82047.8930581772</v>
      </c>
      <c r="AH17" s="66" t="n">
        <f aca="false">AG21</f>
        <v>84815.4308397227</v>
      </c>
      <c r="AI17" s="66" t="n">
        <f aca="false">AH21</f>
        <v>87513.7801767297</v>
      </c>
      <c r="AJ17" s="66" t="n">
        <f aca="false">AI21</f>
        <v>90144.6707803114</v>
      </c>
      <c r="AK17" s="66" t="n">
        <f aca="false">AJ21</f>
        <v>92709.7891188036</v>
      </c>
      <c r="AL17" s="66" t="n">
        <f aca="false">AK21</f>
        <v>95210.7794988335</v>
      </c>
    </row>
    <row r="18" customFormat="false" ht="15" hidden="false" customHeight="false" outlineLevel="0" collapsed="false">
      <c r="A18" s="6" t="s">
        <v>378</v>
      </c>
      <c r="C18" s="66" t="n">
        <f aca="false">C10*C14</f>
        <v>2948</v>
      </c>
      <c r="D18" s="66" t="n">
        <f aca="false">D10*D14</f>
        <v>2948</v>
      </c>
      <c r="E18" s="66" t="n">
        <f aca="false">E10*E14</f>
        <v>2948</v>
      </c>
      <c r="F18" s="66" t="n">
        <f aca="false">F10*F14</f>
        <v>2948</v>
      </c>
      <c r="G18" s="66" t="n">
        <f aca="false">G10*G14</f>
        <v>2948</v>
      </c>
      <c r="H18" s="66" t="n">
        <f aca="false">H10*H14</f>
        <v>2948</v>
      </c>
      <c r="I18" s="66" t="n">
        <f aca="false">I10*I14</f>
        <v>2948</v>
      </c>
      <c r="J18" s="66" t="n">
        <f aca="false">J10*J14</f>
        <v>2948</v>
      </c>
      <c r="K18" s="66" t="n">
        <f aca="false">K10*K14</f>
        <v>2948</v>
      </c>
      <c r="L18" s="66" t="n">
        <f aca="false">L10*L14</f>
        <v>2948</v>
      </c>
      <c r="M18" s="66" t="n">
        <f aca="false">M10*M14</f>
        <v>2948</v>
      </c>
      <c r="N18" s="66" t="n">
        <f aca="false">N10*N14</f>
        <v>2948</v>
      </c>
      <c r="O18" s="66" t="n">
        <f aca="false">O10*O14</f>
        <v>3766.092</v>
      </c>
      <c r="P18" s="66" t="n">
        <f aca="false">P10*P14</f>
        <v>3766.092</v>
      </c>
      <c r="Q18" s="66" t="n">
        <f aca="false">Q10*Q14</f>
        <v>3766.092</v>
      </c>
      <c r="R18" s="66" t="n">
        <f aca="false">R10*R14</f>
        <v>3766.092</v>
      </c>
      <c r="S18" s="66" t="n">
        <f aca="false">S10*S14</f>
        <v>3766.092</v>
      </c>
      <c r="T18" s="66" t="n">
        <f aca="false">T10*T14</f>
        <v>3766.092</v>
      </c>
      <c r="U18" s="66" t="n">
        <f aca="false">U10*U14</f>
        <v>3766.092</v>
      </c>
      <c r="V18" s="66" t="n">
        <f aca="false">V10*V14</f>
        <v>3766.092</v>
      </c>
      <c r="W18" s="66" t="n">
        <f aca="false">W10*W14</f>
        <v>3766.092</v>
      </c>
      <c r="X18" s="66" t="n">
        <f aca="false">X10*X14</f>
        <v>3766.092</v>
      </c>
      <c r="Y18" s="66" t="n">
        <f aca="false">Y10*Y14</f>
        <v>3766.092</v>
      </c>
      <c r="Z18" s="66" t="n">
        <f aca="false">Z10*Z14</f>
        <v>3766.092</v>
      </c>
      <c r="AA18" s="66" t="n">
        <f aca="false">AA10*AA14</f>
        <v>4818.735108</v>
      </c>
      <c r="AB18" s="66" t="n">
        <f aca="false">AB10*AB14</f>
        <v>4818.735108</v>
      </c>
      <c r="AC18" s="66" t="n">
        <f aca="false">AC10*AC14</f>
        <v>4818.735108</v>
      </c>
      <c r="AD18" s="66" t="n">
        <f aca="false">AD10*AD14</f>
        <v>4818.735108</v>
      </c>
      <c r="AE18" s="66" t="n">
        <f aca="false">AE10*AE14</f>
        <v>4818.735108</v>
      </c>
      <c r="AF18" s="66" t="n">
        <f aca="false">AF10*AF14</f>
        <v>4818.735108</v>
      </c>
      <c r="AG18" s="66" t="n">
        <f aca="false">AG10*AG14</f>
        <v>4818.735108</v>
      </c>
      <c r="AH18" s="66" t="n">
        <f aca="false">AH10*AH14</f>
        <v>4818.735108</v>
      </c>
      <c r="AI18" s="66" t="n">
        <f aca="false">AI10*AI14</f>
        <v>4818.735108</v>
      </c>
      <c r="AJ18" s="66" t="n">
        <f aca="false">AJ10*AJ14</f>
        <v>4818.735108</v>
      </c>
      <c r="AK18" s="66" t="n">
        <f aca="false">AK10*AK14</f>
        <v>4818.735108</v>
      </c>
      <c r="AL18" s="66" t="n">
        <f aca="false">AL10*AL14</f>
        <v>4818.735108</v>
      </c>
    </row>
    <row r="19" customFormat="false" ht="15" hidden="false" customHeight="false" outlineLevel="0" collapsed="false">
      <c r="A19" s="6" t="s">
        <v>379</v>
      </c>
      <c r="C19" s="66" t="n">
        <f aca="false">C17*Inputs!$E$11</f>
        <v>14.85</v>
      </c>
      <c r="D19" s="66" t="n">
        <f aca="false">D17*Inputs!$E$11</f>
        <v>29.21875</v>
      </c>
      <c r="E19" s="66" t="n">
        <f aca="false">E17*Inputs!$E$11</f>
        <v>43.22828125</v>
      </c>
      <c r="F19" s="66" t="n">
        <f aca="false">F17*Inputs!$E$11</f>
        <v>56.88757421875</v>
      </c>
      <c r="G19" s="66" t="n">
        <f aca="false">G17*Inputs!$E$11</f>
        <v>70.2053848632813</v>
      </c>
      <c r="H19" s="66" t="n">
        <f aca="false">H17*Inputs!$E$11</f>
        <v>83.1902502416992</v>
      </c>
      <c r="I19" s="66" t="n">
        <f aca="false">I17*Inputs!$E$11</f>
        <v>95.8504939856568</v>
      </c>
      <c r="J19" s="66" t="n">
        <f aca="false">J17*Inputs!$E$11</f>
        <v>108.194231636015</v>
      </c>
      <c r="K19" s="66" t="n">
        <f aca="false">K17*Inputs!$E$11</f>
        <v>120.229375845115</v>
      </c>
      <c r="L19" s="66" t="n">
        <f aca="false">L17*Inputs!$E$11</f>
        <v>131.963641448987</v>
      </c>
      <c r="M19" s="66" t="n">
        <f aca="false">M17*Inputs!$E$11</f>
        <v>143.404550412762</v>
      </c>
      <c r="N19" s="66" t="n">
        <f aca="false">N17*Inputs!$E$11</f>
        <v>154.559436652443</v>
      </c>
      <c r="O19" s="66" t="n">
        <f aca="false">O17*Inputs!$E$11</f>
        <v>165.435450736132</v>
      </c>
      <c r="P19" s="66" t="n">
        <f aca="false">P17*Inputs!$E$11</f>
        <v>180.130024467729</v>
      </c>
      <c r="Q19" s="66" t="n">
        <f aca="false">Q17*Inputs!$E$11</f>
        <v>194.457233856036</v>
      </c>
      <c r="R19" s="66" t="n">
        <f aca="false">R17*Inputs!$E$11</f>
        <v>208.426263009635</v>
      </c>
      <c r="S19" s="66" t="n">
        <f aca="false">S17*Inputs!$E$11</f>
        <v>222.046066434394</v>
      </c>
      <c r="T19" s="66" t="n">
        <f aca="false">T17*Inputs!$E$11</f>
        <v>235.325374773534</v>
      </c>
      <c r="U19" s="66" t="n">
        <f aca="false">U17*Inputs!$E$11</f>
        <v>248.272700404196</v>
      </c>
      <c r="V19" s="66" t="n">
        <f aca="false">V17*Inputs!$E$11</f>
        <v>260.896342894091</v>
      </c>
      <c r="W19" s="66" t="n">
        <f aca="false">W17*Inputs!$E$11</f>
        <v>273.204394321739</v>
      </c>
      <c r="X19" s="66" t="n">
        <f aca="false">X17*Inputs!$E$11</f>
        <v>285.204744463695</v>
      </c>
      <c r="Y19" s="66" t="n">
        <f aca="false">Y17*Inputs!$E$11</f>
        <v>296.905085852103</v>
      </c>
      <c r="Z19" s="66" t="n">
        <f aca="false">Z17*Inputs!$E$11</f>
        <v>308.3129187058</v>
      </c>
      <c r="AA19" s="66" t="n">
        <f aca="false">AA17*Inputs!$E$11</f>
        <v>319.435555738155</v>
      </c>
      <c r="AB19" s="66" t="n">
        <f aca="false">AB17*Inputs!$E$11</f>
        <v>335.543342384701</v>
      </c>
      <c r="AC19" s="66" t="n">
        <f aca="false">AC17*Inputs!$E$11</f>
        <v>351.248434365084</v>
      </c>
      <c r="AD19" s="66" t="n">
        <f aca="false">AD17*Inputs!$E$11</f>
        <v>366.560899045957</v>
      </c>
      <c r="AE19" s="66" t="n">
        <f aca="false">AE17*Inputs!$E$11</f>
        <v>381.490552109808</v>
      </c>
      <c r="AF19" s="66" t="n">
        <f aca="false">AF17*Inputs!$E$11</f>
        <v>396.046963847062</v>
      </c>
      <c r="AG19" s="66" t="n">
        <f aca="false">AG17*Inputs!$E$11</f>
        <v>410.239465290886</v>
      </c>
      <c r="AH19" s="66" t="n">
        <f aca="false">AH17*Inputs!$E$11</f>
        <v>424.077154198614</v>
      </c>
      <c r="AI19" s="66" t="n">
        <f aca="false">AI17*Inputs!$E$11</f>
        <v>437.568900883648</v>
      </c>
      <c r="AJ19" s="66" t="n">
        <f aca="false">AJ17*Inputs!$E$11</f>
        <v>450.723353901557</v>
      </c>
      <c r="AK19" s="66" t="n">
        <f aca="false">AK17*Inputs!$E$11</f>
        <v>463.548945594018</v>
      </c>
      <c r="AL19" s="66" t="n">
        <f aca="false">AL17*Inputs!$E$11</f>
        <v>476.053897494168</v>
      </c>
    </row>
    <row r="20" customFormat="false" ht="15" hidden="false" customHeight="false" outlineLevel="0" collapsed="false">
      <c r="A20" s="6" t="s">
        <v>380</v>
      </c>
      <c r="C20" s="66" t="n">
        <f aca="false">-C17*Inputs!$E$10</f>
        <v>-89.1</v>
      </c>
      <c r="D20" s="66" t="n">
        <f aca="false">-D17*Inputs!$E$10</f>
        <v>-175.3125</v>
      </c>
      <c r="E20" s="66" t="n">
        <f aca="false">-E17*Inputs!$E$10</f>
        <v>-259.3696875</v>
      </c>
      <c r="F20" s="66" t="n">
        <f aca="false">-F17*Inputs!$E$10</f>
        <v>-341.3254453125</v>
      </c>
      <c r="G20" s="66" t="n">
        <f aca="false">-G17*Inputs!$E$10</f>
        <v>-421.232309179688</v>
      </c>
      <c r="H20" s="66" t="n">
        <f aca="false">-H17*Inputs!$E$10</f>
        <v>-499.141501450195</v>
      </c>
      <c r="I20" s="66" t="n">
        <f aca="false">-I17*Inputs!$E$10</f>
        <v>-575.102963913941</v>
      </c>
      <c r="J20" s="66" t="n">
        <f aca="false">-J17*Inputs!$E$10</f>
        <v>-649.165389816092</v>
      </c>
      <c r="K20" s="66" t="n">
        <f aca="false">-K17*Inputs!$E$10</f>
        <v>-721.37625507069</v>
      </c>
      <c r="L20" s="66" t="n">
        <f aca="false">-L17*Inputs!$E$10</f>
        <v>-791.781848693923</v>
      </c>
      <c r="M20" s="66" t="n">
        <f aca="false">-M17*Inputs!$E$10</f>
        <v>-860.427302476575</v>
      </c>
      <c r="N20" s="66" t="n">
        <f aca="false">-N17*Inputs!$E$10</f>
        <v>-927.35661991466</v>
      </c>
      <c r="O20" s="66" t="n">
        <f aca="false">-O17*Inputs!$E$10</f>
        <v>-992.612704416794</v>
      </c>
      <c r="P20" s="66" t="n">
        <f aca="false">-P17*Inputs!$E$10</f>
        <v>-1080.78014680637</v>
      </c>
      <c r="Q20" s="66" t="n">
        <f aca="false">-Q17*Inputs!$E$10</f>
        <v>-1166.74340313621</v>
      </c>
      <c r="R20" s="66" t="n">
        <f aca="false">-R17*Inputs!$E$10</f>
        <v>-1250.55757805781</v>
      </c>
      <c r="S20" s="66" t="n">
        <f aca="false">-S17*Inputs!$E$10</f>
        <v>-1332.27639860636</v>
      </c>
      <c r="T20" s="66" t="n">
        <f aca="false">-T17*Inputs!$E$10</f>
        <v>-1411.9522486412</v>
      </c>
      <c r="U20" s="66" t="n">
        <f aca="false">-U17*Inputs!$E$10</f>
        <v>-1489.63620242517</v>
      </c>
      <c r="V20" s="66" t="n">
        <f aca="false">-V17*Inputs!$E$10</f>
        <v>-1565.37805736455</v>
      </c>
      <c r="W20" s="66" t="n">
        <f aca="false">-W17*Inputs!$E$10</f>
        <v>-1639.22636593043</v>
      </c>
      <c r="X20" s="66" t="n">
        <f aca="false">-X17*Inputs!$E$10</f>
        <v>-1711.22846678217</v>
      </c>
      <c r="Y20" s="66" t="n">
        <f aca="false">-Y17*Inputs!$E$10</f>
        <v>-1781.43051511262</v>
      </c>
      <c r="Z20" s="66" t="n">
        <f aca="false">-Z17*Inputs!$E$10</f>
        <v>-1849.8775122348</v>
      </c>
      <c r="AA20" s="66" t="n">
        <f aca="false">-AA17*Inputs!$E$10</f>
        <v>-1916.61333442893</v>
      </c>
      <c r="AB20" s="66" t="n">
        <f aca="false">-AB17*Inputs!$E$10</f>
        <v>-2013.26005430821</v>
      </c>
      <c r="AC20" s="66" t="n">
        <f aca="false">-AC17*Inputs!$E$10</f>
        <v>-2107.4906061905</v>
      </c>
      <c r="AD20" s="66" t="n">
        <f aca="false">-AD17*Inputs!$E$10</f>
        <v>-2199.36539427574</v>
      </c>
      <c r="AE20" s="66" t="n">
        <f aca="false">-AE17*Inputs!$E$10</f>
        <v>-2288.94331265885</v>
      </c>
      <c r="AF20" s="66" t="n">
        <f aca="false">-AF17*Inputs!$E$10</f>
        <v>-2376.28178308237</v>
      </c>
      <c r="AG20" s="66" t="n">
        <f aca="false">-AG17*Inputs!$E$10</f>
        <v>-2461.43679174531</v>
      </c>
      <c r="AH20" s="66" t="n">
        <f aca="false">-AH17*Inputs!$E$10</f>
        <v>-2544.46292519168</v>
      </c>
      <c r="AI20" s="66" t="n">
        <f aca="false">-AI17*Inputs!$E$10</f>
        <v>-2625.41340530189</v>
      </c>
      <c r="AJ20" s="66" t="n">
        <f aca="false">-AJ17*Inputs!$E$10</f>
        <v>-2704.34012340934</v>
      </c>
      <c r="AK20" s="66" t="n">
        <f aca="false">-AK17*Inputs!$E$10</f>
        <v>-2781.29367356411</v>
      </c>
      <c r="AL20" s="66" t="n">
        <f aca="false">-AL17*Inputs!$E$10</f>
        <v>-2856.323384965</v>
      </c>
    </row>
    <row r="21" customFormat="false" ht="15" hidden="false" customHeight="false" outlineLevel="0" collapsed="false">
      <c r="A21" s="111" t="s">
        <v>381</v>
      </c>
      <c r="C21" s="67" t="n">
        <f aca="false">C17+C18+C19+C20</f>
        <v>5843.75</v>
      </c>
      <c r="D21" s="67" t="n">
        <f aca="false">D17+D18+D19+D20</f>
        <v>8645.65625</v>
      </c>
      <c r="E21" s="67" t="n">
        <f aca="false">E17+E18+E19+E20</f>
        <v>11377.51484375</v>
      </c>
      <c r="F21" s="67" t="n">
        <f aca="false">F17+F18+F19+F20</f>
        <v>14041.0769726563</v>
      </c>
      <c r="G21" s="67" t="n">
        <f aca="false">G17+G18+G19+G20</f>
        <v>16638.0500483398</v>
      </c>
      <c r="H21" s="67" t="n">
        <f aca="false">H17+H18+H19+H20</f>
        <v>19170.0987971314</v>
      </c>
      <c r="I21" s="67" t="n">
        <f aca="false">I17+I18+I19+I20</f>
        <v>21638.8463272031</v>
      </c>
      <c r="J21" s="67" t="n">
        <f aca="false">J17+J18+J19+J20</f>
        <v>24045.875169023</v>
      </c>
      <c r="K21" s="67" t="n">
        <f aca="false">K17+K18+K19+K20</f>
        <v>26392.7282897974</v>
      </c>
      <c r="L21" s="67" t="n">
        <f aca="false">L17+L18+L19+L20</f>
        <v>28680.9100825525</v>
      </c>
      <c r="M21" s="67" t="n">
        <f aca="false">M17+M18+M19+M20</f>
        <v>30911.8873304887</v>
      </c>
      <c r="N21" s="67" t="n">
        <f aca="false">N17+N18+N19+N20</f>
        <v>33087.0901472265</v>
      </c>
      <c r="O21" s="67" t="n">
        <f aca="false">O17+O18+O19+O20</f>
        <v>36026.0048935458</v>
      </c>
      <c r="P21" s="67" t="n">
        <f aca="false">P17+P18+P19+P20</f>
        <v>38891.4467712071</v>
      </c>
      <c r="Q21" s="67" t="n">
        <f aca="false">Q17+Q18+Q19+Q20</f>
        <v>41685.252601927</v>
      </c>
      <c r="R21" s="67" t="n">
        <f aca="false">R17+R18+R19+R20</f>
        <v>44409.2132868788</v>
      </c>
      <c r="S21" s="67" t="n">
        <f aca="false">S17+S18+S19+S20</f>
        <v>47065.0749547068</v>
      </c>
      <c r="T21" s="67" t="n">
        <f aca="false">T17+T18+T19+T20</f>
        <v>49654.5400808392</v>
      </c>
      <c r="U21" s="67" t="n">
        <f aca="false">U17+U18+U19+U20</f>
        <v>52179.2685788182</v>
      </c>
      <c r="V21" s="67" t="n">
        <f aca="false">V17+V18+V19+V20</f>
        <v>54640.8788643477</v>
      </c>
      <c r="W21" s="67" t="n">
        <f aca="false">W17+W18+W19+W20</f>
        <v>57040.948892739</v>
      </c>
      <c r="X21" s="67" t="n">
        <f aca="false">X17+X18+X19+X20</f>
        <v>59381.0171704205</v>
      </c>
      <c r="Y21" s="67" t="n">
        <f aca="false">Y17+Y18+Y19+Y20</f>
        <v>61662.58374116</v>
      </c>
      <c r="Z21" s="67" t="n">
        <f aca="false">Z17+Z18+Z19+Z20</f>
        <v>63887.111147631</v>
      </c>
      <c r="AA21" s="67" t="n">
        <f aca="false">AA17+AA18+AA19+AA20</f>
        <v>67108.6684769402</v>
      </c>
      <c r="AB21" s="67" t="n">
        <f aca="false">AB17+AB18+AB19+AB20</f>
        <v>70249.6868730167</v>
      </c>
      <c r="AC21" s="67" t="n">
        <f aca="false">AC17+AC18+AC19+AC20</f>
        <v>73312.1798091913</v>
      </c>
      <c r="AD21" s="67" t="n">
        <f aca="false">AD17+AD18+AD19+AD20</f>
        <v>76298.1104219615</v>
      </c>
      <c r="AE21" s="67" t="n">
        <f aca="false">AE17+AE18+AE19+AE20</f>
        <v>79209.3927694125</v>
      </c>
      <c r="AF21" s="67" t="n">
        <f aca="false">AF17+AF18+AF19+AF20</f>
        <v>82047.8930581772</v>
      </c>
      <c r="AG21" s="67" t="n">
        <f aca="false">AG17+AG18+AG19+AG20</f>
        <v>84815.4308397227</v>
      </c>
      <c r="AH21" s="67" t="n">
        <f aca="false">AH17+AH18+AH19+AH20</f>
        <v>87513.7801767297</v>
      </c>
      <c r="AI21" s="67" t="n">
        <f aca="false">AI17+AI18+AI19+AI20</f>
        <v>90144.6707803114</v>
      </c>
      <c r="AJ21" s="67" t="n">
        <f aca="false">AJ17+AJ18+AJ19+AJ20</f>
        <v>92709.7891188036</v>
      </c>
      <c r="AK21" s="67" t="n">
        <f aca="false">AK17+AK18+AK19+AK20</f>
        <v>95210.7794988335</v>
      </c>
      <c r="AL21" s="67" t="n">
        <f aca="false">AL17+AL18+AL19+AL20</f>
        <v>97649.2451193627</v>
      </c>
    </row>
    <row r="23" customFormat="false" ht="15.75" hidden="false" customHeight="true" outlineLevel="0" collapsed="false">
      <c r="A23" s="7" t="s">
        <v>382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111" t="s">
        <v>383</v>
      </c>
      <c r="C24" s="67" t="n">
        <f aca="false">(C17+C21)/2*1</f>
        <v>4406.875</v>
      </c>
      <c r="D24" s="67" t="n">
        <f aca="false">(D17+D21)/2*1</f>
        <v>7244.703125</v>
      </c>
      <c r="E24" s="67" t="n">
        <f aca="false">(E17+E21)/2*1</f>
        <v>10011.585546875</v>
      </c>
      <c r="F24" s="67" t="n">
        <f aca="false">(F17+F21)/2*1</f>
        <v>12709.2959082031</v>
      </c>
      <c r="G24" s="67" t="n">
        <f aca="false">(G17+G21)/2*1</f>
        <v>15339.563510498</v>
      </c>
      <c r="H24" s="67" t="n">
        <f aca="false">(H17+H21)/2*1</f>
        <v>17904.0744227356</v>
      </c>
      <c r="I24" s="67" t="n">
        <f aca="false">(I17+I21)/2*1</f>
        <v>20404.4725621672</v>
      </c>
      <c r="J24" s="67" t="n">
        <f aca="false">(J17+J21)/2*1</f>
        <v>22842.360748113</v>
      </c>
      <c r="K24" s="67" t="n">
        <f aca="false">(K17+K21)/2*1</f>
        <v>25219.3017294102</v>
      </c>
      <c r="L24" s="67" t="n">
        <f aca="false">(L17+L21)/2*1</f>
        <v>27536.819186175</v>
      </c>
      <c r="M24" s="67" t="n">
        <f aca="false">(M17+M21)/2*1</f>
        <v>29796.3987065206</v>
      </c>
      <c r="N24" s="67" t="n">
        <f aca="false">(N17+N21)/2*1</f>
        <v>31999.4887388576</v>
      </c>
      <c r="O24" s="67" t="n">
        <f aca="false">(O17+O21)/2*1</f>
        <v>34556.5475203861</v>
      </c>
      <c r="P24" s="67" t="n">
        <f aca="false">(P17+P21)/2*1</f>
        <v>37458.7258323765</v>
      </c>
      <c r="Q24" s="67" t="n">
        <f aca="false">(Q17+Q21)/2*1</f>
        <v>40288.3496865671</v>
      </c>
      <c r="R24" s="67" t="n">
        <f aca="false">(R17+R21)/2*1</f>
        <v>43047.2329444029</v>
      </c>
      <c r="S24" s="67" t="n">
        <f aca="false">(S17+S21)/2*1</f>
        <v>45737.1441207928</v>
      </c>
      <c r="T24" s="67" t="n">
        <f aca="false">(T17+T21)/2*1</f>
        <v>48359.807517773</v>
      </c>
      <c r="U24" s="67" t="n">
        <f aca="false">(U17+U21)/2*1</f>
        <v>50916.9043298287</v>
      </c>
      <c r="V24" s="67" t="n">
        <f aca="false">(V17+V21)/2*1</f>
        <v>53410.0737215829</v>
      </c>
      <c r="W24" s="67" t="n">
        <f aca="false">(W17+W21)/2*1</f>
        <v>55840.9138785434</v>
      </c>
      <c r="X24" s="67" t="n">
        <f aca="false">(X17+X21)/2*1</f>
        <v>58210.9830315798</v>
      </c>
      <c r="Y24" s="67" t="n">
        <f aca="false">(Y17+Y21)/2*1</f>
        <v>60521.8004557903</v>
      </c>
      <c r="Z24" s="67" t="n">
        <f aca="false">(Z17+Z21)/2*1</f>
        <v>62774.8474443955</v>
      </c>
      <c r="AA24" s="67" t="n">
        <f aca="false">(AA17+AA21)/2*1</f>
        <v>65497.8898122856</v>
      </c>
      <c r="AB24" s="67" t="n">
        <f aca="false">(AB17+AB21)/2*1</f>
        <v>68679.1776749785</v>
      </c>
      <c r="AC24" s="67" t="n">
        <f aca="false">(AC17+AC21)/2*1</f>
        <v>71780.933341104</v>
      </c>
      <c r="AD24" s="67" t="n">
        <f aca="false">(AD17+AD21)/2*1</f>
        <v>74805.1451155764</v>
      </c>
      <c r="AE24" s="67" t="n">
        <f aca="false">(AE17+AE21)/2*1</f>
        <v>77753.751595687</v>
      </c>
      <c r="AF24" s="67" t="n">
        <f aca="false">(AF17+AF21)/2*1</f>
        <v>80628.6429137948</v>
      </c>
      <c r="AG24" s="67" t="n">
        <f aca="false">(AG17+AG21)/2*1</f>
        <v>83431.6619489499</v>
      </c>
      <c r="AH24" s="67" t="n">
        <f aca="false">(AH17+AH21)/2*1</f>
        <v>86164.6055082262</v>
      </c>
      <c r="AI24" s="67" t="n">
        <f aca="false">(AI17+AI21)/2*1</f>
        <v>88829.2254785205</v>
      </c>
      <c r="AJ24" s="67" t="n">
        <f aca="false">(AJ17+AJ21)/2*1</f>
        <v>91427.2299495575</v>
      </c>
      <c r="AK24" s="67" t="n">
        <f aca="false">(AK17+AK21)/2*1</f>
        <v>93960.2843088186</v>
      </c>
      <c r="AL24" s="67" t="n">
        <f aca="false">(AL17+AL21)/2*1</f>
        <v>96430.0123090981</v>
      </c>
    </row>
    <row r="25" customFormat="false" ht="15" hidden="false" customHeight="false" outlineLevel="0" collapsed="false">
      <c r="A25" s="6" t="s">
        <v>75</v>
      </c>
      <c r="C25" s="66" t="n">
        <f aca="false">-(C24*Inputs!$E$18+(C11+C13)/2*Inputs!$E$19*1)</f>
        <v>-529.565277777778</v>
      </c>
      <c r="D25" s="66" t="n">
        <f aca="false">-(D24*Inputs!$E$18+(D11+D13)/2*Inputs!$E$19*1)</f>
        <v>-870.2373125</v>
      </c>
      <c r="E25" s="66" t="n">
        <f aca="false">-(E24*Inputs!$E$18+(E11+E13)/2*Inputs!$E$19*1)</f>
        <v>-1202.10810024306</v>
      </c>
      <c r="F25" s="66" t="n">
        <f aca="false">-(F24*Inputs!$E$18+(F11+F13)/2*Inputs!$E$19*1)</f>
        <v>-1525.40620556476</v>
      </c>
      <c r="G25" s="66" t="n">
        <f aca="false">-(G24*Inputs!$E$18+(G11+G13)/2*Inputs!$E$19*1)</f>
        <v>-1840.35422290747</v>
      </c>
      <c r="H25" s="66" t="n">
        <f aca="false">-(H24*Inputs!$E$18+(H11+H13)/2*Inputs!$E$19*1)</f>
        <v>-2147.16893353105</v>
      </c>
      <c r="I25" s="66" t="n">
        <f aca="false">-(I24*Inputs!$E$18+(I11+I13)/2*Inputs!$E$19*1)</f>
        <v>-2446.06145829204</v>
      </c>
      <c r="J25" s="66" t="n">
        <f aca="false">-(J24*Inputs!$E$18+(J11+J13)/2*Inputs!$E$19*1)</f>
        <v>-2737.23740637992</v>
      </c>
      <c r="K25" s="66" t="n">
        <f aca="false">-(K24*Inputs!$E$18+(K11+K13)/2*Inputs!$E$19*1)</f>
        <v>-3020.89702011814</v>
      </c>
      <c r="L25" s="66" t="n">
        <f aca="false">-(L24*Inputs!$E$18+(L11+L13)/2*Inputs!$E$19*1)</f>
        <v>-3297.23531593485</v>
      </c>
      <c r="M25" s="66" t="n">
        <f aca="false">-(M24*Inputs!$E$18+(M11+M13)/2*Inputs!$E$19*1)</f>
        <v>-3566.44222160545</v>
      </c>
      <c r="N25" s="66" t="n">
        <f aca="false">-(N24*Inputs!$E$18+(N11+N13)/2*Inputs!$E$19*1)</f>
        <v>-3828.7027098661</v>
      </c>
      <c r="O25" s="66" t="n">
        <f aca="false">-(O24*Inputs!$E$18+(O11+O13)/2*Inputs!$E$19*1)</f>
        <v>-4132.25708405066</v>
      </c>
      <c r="P25" s="66" t="n">
        <f aca="false">-(P24*Inputs!$E$18+(P11+P13)/2*Inputs!$E$19*1)</f>
        <v>-4476.043511956</v>
      </c>
      <c r="Q25" s="66" t="n">
        <f aca="false">-(Q24*Inputs!$E$18+(Q11+Q13)/2*Inputs!$E$19*1)</f>
        <v>-4810.96743618017</v>
      </c>
      <c r="R25" s="66" t="n">
        <f aca="false">-(R24*Inputs!$E$18+(R11+R13)/2*Inputs!$E$19*1)</f>
        <v>-5137.25845460472</v>
      </c>
      <c r="S25" s="66" t="n">
        <f aca="false">-(S24*Inputs!$E$18+(S11+S13)/2*Inputs!$E$19*1)</f>
        <v>-5455.14018410545</v>
      </c>
      <c r="T25" s="66" t="n">
        <f aca="false">-(T24*Inputs!$E$18+(T11+T13)/2*Inputs!$E$19*1)</f>
        <v>-5764.83041730935</v>
      </c>
      <c r="U25" s="66" t="n">
        <f aca="false">-(U24*Inputs!$E$18+(U11+U13)/2*Inputs!$E$19*1)</f>
        <v>-6066.54127521562</v>
      </c>
      <c r="V25" s="66" t="n">
        <f aca="false">-(V24*Inputs!$E$18+(V11+V13)/2*Inputs!$E$19*1)</f>
        <v>-6360.47935579073</v>
      </c>
      <c r="W25" s="66" t="n">
        <f aca="false">-(W24*Inputs!$E$18+(W11+W13)/2*Inputs!$E$19*1)</f>
        <v>-6646.84587864447</v>
      </c>
      <c r="X25" s="66" t="n">
        <f aca="false">-(X24*Inputs!$E$18+(X11+X13)/2*Inputs!$E$19*1)</f>
        <v>-6925.83682589107</v>
      </c>
      <c r="Y25" s="66" t="n">
        <f aca="false">-(Y24*Inputs!$E$18+(Y11+Y13)/2*Inputs!$E$19*1)</f>
        <v>-7197.6430792968</v>
      </c>
      <c r="Z25" s="66" t="n">
        <f aca="false">-(Z24*Inputs!$E$18+(Z11+Z13)/2*Inputs!$E$19*1)</f>
        <v>-7462.45055381245</v>
      </c>
      <c r="AA25" s="66" t="n">
        <f aca="false">-(AA24*Inputs!$E$18+(AA11+AA13)/2*Inputs!$E$19*1)</f>
        <v>-7782.01914965361</v>
      </c>
      <c r="AB25" s="66" t="n">
        <f aca="false">-(AB24*Inputs!$E$18+(AB11+AB13)/2*Inputs!$E$19*1)</f>
        <v>-8154.94103087014</v>
      </c>
      <c r="AC25" s="66" t="n">
        <f aca="false">-(AC24*Inputs!$E$18+(AC11+AC13)/2*Inputs!$E$19*1)</f>
        <v>-8518.26589958153</v>
      </c>
      <c r="AD25" s="66" t="n">
        <f aca="false">-(AD24*Inputs!$E$18+(AD11+AD13)/2*Inputs!$E$19*1)</f>
        <v>-8872.24190006463</v>
      </c>
      <c r="AE25" s="66" t="n">
        <f aca="false">-(AE24*Inputs!$E$18+(AE11+AE13)/2*Inputs!$E$19*1)</f>
        <v>-9217.11072642048</v>
      </c>
      <c r="AF25" s="66" t="n">
        <f aca="false">-(AF24*Inputs!$E$18+(AF11+AF13)/2*Inputs!$E$19*1)</f>
        <v>-9553.10779122571</v>
      </c>
      <c r="AG25" s="66" t="n">
        <f aca="false">-(AG24*Inputs!$E$18+(AG11+AG13)/2*Inputs!$E$19*1)</f>
        <v>-9880.46238974584</v>
      </c>
      <c r="AH25" s="66" t="n">
        <f aca="false">-(AH24*Inputs!$E$18+(AH11+AH13)/2*Inputs!$E$19*1)</f>
        <v>-10199.3978598279</v>
      </c>
      <c r="AI25" s="66" t="n">
        <f aca="false">-(AI24*Inputs!$E$18+(AI11+AI13)/2*Inputs!$E$19*1)</f>
        <v>-10510.1317375872</v>
      </c>
      <c r="AJ25" s="66" t="n">
        <f aca="false">-(AJ24*Inputs!$E$18+(AJ11+AJ13)/2*Inputs!$E$19*1)</f>
        <v>-10812.8759089989</v>
      </c>
      <c r="AK25" s="66" t="n">
        <f aca="false">-(AK24*Inputs!$E$18+(AK11+AK13)/2*Inputs!$E$19*1)</f>
        <v>-11107.8367575037</v>
      </c>
      <c r="AL25" s="66" t="n">
        <f aca="false">-(AL24*Inputs!$E$18+(AL11+AL13)/2*Inputs!$E$19*1)</f>
        <v>-11395.215307733</v>
      </c>
    </row>
    <row r="26" customFormat="false" ht="15" hidden="false" customHeight="false" outlineLevel="0" collapsed="false">
      <c r="A26" s="111" t="s">
        <v>45</v>
      </c>
      <c r="C26" s="67" t="n">
        <f aca="false">C24+C25</f>
        <v>3877.30972222222</v>
      </c>
      <c r="D26" s="67" t="n">
        <f aca="false">D24+D25</f>
        <v>6374.4658125</v>
      </c>
      <c r="E26" s="67" t="n">
        <f aca="false">E24+E25</f>
        <v>8809.47744663194</v>
      </c>
      <c r="F26" s="67" t="n">
        <f aca="false">F24+F25</f>
        <v>11183.8897026384</v>
      </c>
      <c r="G26" s="67" t="n">
        <f aca="false">G24+G25</f>
        <v>13499.2092875906</v>
      </c>
      <c r="H26" s="67" t="n">
        <f aca="false">H24+H25</f>
        <v>15756.9054892045</v>
      </c>
      <c r="I26" s="67" t="n">
        <f aca="false">I24+I25</f>
        <v>17958.4111038752</v>
      </c>
      <c r="J26" s="67" t="n">
        <f aca="false">J24+J25</f>
        <v>20105.1233417331</v>
      </c>
      <c r="K26" s="67" t="n">
        <f aca="false">K24+K25</f>
        <v>22198.4047092921</v>
      </c>
      <c r="L26" s="67" t="n">
        <f aca="false">L24+L25</f>
        <v>24239.5838702401</v>
      </c>
      <c r="M26" s="67" t="n">
        <f aca="false">M24+M25</f>
        <v>26229.9564849151</v>
      </c>
      <c r="N26" s="67" t="n">
        <f aca="false">N24+N25</f>
        <v>28170.7860289915</v>
      </c>
      <c r="O26" s="67" t="n">
        <f aca="false">O24+O25</f>
        <v>30424.2904363355</v>
      </c>
      <c r="P26" s="67" t="n">
        <f aca="false">P24+P25</f>
        <v>32982.6823204205</v>
      </c>
      <c r="Q26" s="67" t="n">
        <f aca="false">Q24+Q25</f>
        <v>35477.3822503869</v>
      </c>
      <c r="R26" s="67" t="n">
        <f aca="false">R24+R25</f>
        <v>37909.9744897982</v>
      </c>
      <c r="S26" s="67" t="n">
        <f aca="false">S24+S25</f>
        <v>40282.0039366874</v>
      </c>
      <c r="T26" s="67" t="n">
        <f aca="false">T24+T25</f>
        <v>42594.9771004636</v>
      </c>
      <c r="U26" s="67" t="n">
        <f aca="false">U24+U25</f>
        <v>44850.363054613</v>
      </c>
      <c r="V26" s="67" t="n">
        <f aca="false">V24+V25</f>
        <v>47049.5943657922</v>
      </c>
      <c r="W26" s="67" t="n">
        <f aca="false">W24+W25</f>
        <v>49194.0679998989</v>
      </c>
      <c r="X26" s="67" t="n">
        <f aca="false">X24+X25</f>
        <v>51285.1462056887</v>
      </c>
      <c r="Y26" s="67" t="n">
        <f aca="false">Y24+Y25</f>
        <v>53324.1573764935</v>
      </c>
      <c r="Z26" s="67" t="n">
        <f aca="false">Z24+Z25</f>
        <v>55312.3968905831</v>
      </c>
      <c r="AA26" s="67" t="n">
        <f aca="false">AA24+AA25</f>
        <v>57715.870662632</v>
      </c>
      <c r="AB26" s="67" t="n">
        <f aca="false">AB24+AB25</f>
        <v>60524.2366441083</v>
      </c>
      <c r="AC26" s="67" t="n">
        <f aca="false">AC24+AC25</f>
        <v>63262.6674415225</v>
      </c>
      <c r="AD26" s="67" t="n">
        <f aca="false">AD24+AD25</f>
        <v>65932.9032155118</v>
      </c>
      <c r="AE26" s="67" t="n">
        <f aca="false">AE24+AE25</f>
        <v>68536.6408692665</v>
      </c>
      <c r="AF26" s="67" t="n">
        <f aca="false">AF24+AF25</f>
        <v>71075.5351225691</v>
      </c>
      <c r="AG26" s="67" t="n">
        <f aca="false">AG24+AG25</f>
        <v>73551.1995592041</v>
      </c>
      <c r="AH26" s="67" t="n">
        <f aca="false">AH24+AH25</f>
        <v>75965.2076483982</v>
      </c>
      <c r="AI26" s="67" t="n">
        <f aca="false">AI24+AI25</f>
        <v>78319.0937409333</v>
      </c>
      <c r="AJ26" s="67" t="n">
        <f aca="false">AJ24+AJ25</f>
        <v>80614.3540405587</v>
      </c>
      <c r="AK26" s="67" t="n">
        <f aca="false">AK24+AK25</f>
        <v>82852.4475513149</v>
      </c>
      <c r="AL26" s="67" t="n">
        <f aca="false">AL24+AL25</f>
        <v>85034.7970013651</v>
      </c>
    </row>
    <row r="28" customFormat="false" ht="15.75" hidden="false" customHeight="true" outlineLevel="0" collapsed="false">
      <c r="A28" s="7" t="s">
        <v>47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316</v>
      </c>
      <c r="C29" s="68" t="n">
        <f aca="false">Headcount!C19</f>
        <v>-61750</v>
      </c>
      <c r="D29" s="68" t="n">
        <f aca="false">Headcount!D19</f>
        <v>-61750</v>
      </c>
      <c r="E29" s="68" t="n">
        <f aca="false">Headcount!E19</f>
        <v>-61750</v>
      </c>
      <c r="F29" s="68" t="n">
        <f aca="false">Headcount!F19</f>
        <v>-61750</v>
      </c>
      <c r="G29" s="68" t="n">
        <f aca="false">Headcount!G19</f>
        <v>-61750</v>
      </c>
      <c r="H29" s="68" t="n">
        <f aca="false">Headcount!H19</f>
        <v>-61750</v>
      </c>
      <c r="I29" s="68" t="n">
        <f aca="false">Headcount!I19</f>
        <v>-61750</v>
      </c>
      <c r="J29" s="68" t="n">
        <f aca="false">Headcount!J19</f>
        <v>-61750</v>
      </c>
      <c r="K29" s="68" t="n">
        <f aca="false">Headcount!K19</f>
        <v>-61750</v>
      </c>
      <c r="L29" s="68" t="n">
        <f aca="false">Headcount!L19</f>
        <v>-61750</v>
      </c>
      <c r="M29" s="68" t="n">
        <f aca="false">Headcount!M19</f>
        <v>-61750</v>
      </c>
      <c r="N29" s="68" t="n">
        <f aca="false">Headcount!N19</f>
        <v>-61750</v>
      </c>
      <c r="O29" s="68" t="n">
        <f aca="false">Headcount!O19</f>
        <v>-96330</v>
      </c>
      <c r="P29" s="68" t="n">
        <f aca="false">Headcount!P19</f>
        <v>-96330</v>
      </c>
      <c r="Q29" s="68" t="n">
        <f aca="false">Headcount!Q19</f>
        <v>-96330</v>
      </c>
      <c r="R29" s="68" t="n">
        <f aca="false">Headcount!R19</f>
        <v>-96330</v>
      </c>
      <c r="S29" s="68" t="n">
        <f aca="false">Headcount!S19</f>
        <v>-96330</v>
      </c>
      <c r="T29" s="68" t="n">
        <f aca="false">Headcount!T19</f>
        <v>-96330</v>
      </c>
      <c r="U29" s="68" t="n">
        <f aca="false">Headcount!U19</f>
        <v>-96330</v>
      </c>
      <c r="V29" s="68" t="n">
        <f aca="false">Headcount!V19</f>
        <v>-96330</v>
      </c>
      <c r="W29" s="68" t="n">
        <f aca="false">Headcount!W19</f>
        <v>-96330</v>
      </c>
      <c r="X29" s="68" t="n">
        <f aca="false">Headcount!X19</f>
        <v>-96330</v>
      </c>
      <c r="Y29" s="68" t="n">
        <f aca="false">Headcount!Y19</f>
        <v>-96330</v>
      </c>
      <c r="Z29" s="68" t="n">
        <f aca="false">Headcount!Z19</f>
        <v>-96330</v>
      </c>
      <c r="AA29" s="68" t="n">
        <f aca="false">Headcount!AA19</f>
        <v>-150274.8</v>
      </c>
      <c r="AB29" s="68" t="n">
        <f aca="false">Headcount!AB19</f>
        <v>-150274.8</v>
      </c>
      <c r="AC29" s="68" t="n">
        <f aca="false">Headcount!AC19</f>
        <v>-150274.8</v>
      </c>
      <c r="AD29" s="68" t="n">
        <f aca="false">Headcount!AD19</f>
        <v>-150274.8</v>
      </c>
      <c r="AE29" s="68" t="n">
        <f aca="false">Headcount!AE19</f>
        <v>-150274.8</v>
      </c>
      <c r="AF29" s="68" t="n">
        <f aca="false">Headcount!AF19</f>
        <v>-150274.8</v>
      </c>
      <c r="AG29" s="68" t="n">
        <f aca="false">Headcount!AG19</f>
        <v>-150274.8</v>
      </c>
      <c r="AH29" s="68" t="n">
        <f aca="false">Headcount!AH19</f>
        <v>-150274.8</v>
      </c>
      <c r="AI29" s="68" t="n">
        <f aca="false">Headcount!AI19</f>
        <v>-150274.8</v>
      </c>
      <c r="AJ29" s="68" t="n">
        <f aca="false">Headcount!AJ19</f>
        <v>-150274.8</v>
      </c>
      <c r="AK29" s="68" t="n">
        <f aca="false">Headcount!AK19</f>
        <v>-150274.8</v>
      </c>
      <c r="AL29" s="68" t="n">
        <f aca="false">Headcount!AL19</f>
        <v>-150274.8</v>
      </c>
    </row>
    <row r="30" customFormat="false" ht="15" hidden="false" customHeight="false" outlineLevel="0" collapsed="false">
      <c r="A30" s="6" t="s">
        <v>317</v>
      </c>
      <c r="C30" s="66" t="n">
        <f aca="false">-Inputs!$E$14*(1+Inputs!$E$15)^(C$5-1)*1</f>
        <v>-8000</v>
      </c>
      <c r="D30" s="66" t="n">
        <f aca="false">-Inputs!$E$14*(1+Inputs!$E$15)^(D$5-1)*1</f>
        <v>-8000</v>
      </c>
      <c r="E30" s="66" t="n">
        <f aca="false">-Inputs!$E$14*(1+Inputs!$E$15)^(E$5-1)*1</f>
        <v>-8000</v>
      </c>
      <c r="F30" s="66" t="n">
        <f aca="false">-Inputs!$E$14*(1+Inputs!$E$15)^(F$5-1)*1</f>
        <v>-8000</v>
      </c>
      <c r="G30" s="66" t="n">
        <f aca="false">-Inputs!$E$14*(1+Inputs!$E$15)^(G$5-1)*1</f>
        <v>-8000</v>
      </c>
      <c r="H30" s="66" t="n">
        <f aca="false">-Inputs!$E$14*(1+Inputs!$E$15)^(H$5-1)*1</f>
        <v>-8000</v>
      </c>
      <c r="I30" s="66" t="n">
        <f aca="false">-Inputs!$E$14*(1+Inputs!$E$15)^(I$5-1)*1</f>
        <v>-8000</v>
      </c>
      <c r="J30" s="66" t="n">
        <f aca="false">-Inputs!$E$14*(1+Inputs!$E$15)^(J$5-1)*1</f>
        <v>-8000</v>
      </c>
      <c r="K30" s="66" t="n">
        <f aca="false">-Inputs!$E$14*(1+Inputs!$E$15)^(K$5-1)*1</f>
        <v>-8000</v>
      </c>
      <c r="L30" s="66" t="n">
        <f aca="false">-Inputs!$E$14*(1+Inputs!$E$15)^(L$5-1)*1</f>
        <v>-8000</v>
      </c>
      <c r="M30" s="66" t="n">
        <f aca="false">-Inputs!$E$14*(1+Inputs!$E$15)^(M$5-1)*1</f>
        <v>-8000</v>
      </c>
      <c r="N30" s="66" t="n">
        <f aca="false">-Inputs!$E$14*(1+Inputs!$E$15)^(N$5-1)*1</f>
        <v>-8000</v>
      </c>
      <c r="O30" s="66" t="n">
        <f aca="false">-Inputs!$E$14*(1+Inputs!$E$15)^(O$5-1)*1</f>
        <v>-9600</v>
      </c>
      <c r="P30" s="66" t="n">
        <f aca="false">-Inputs!$E$14*(1+Inputs!$E$15)^(P$5-1)*1</f>
        <v>-9600</v>
      </c>
      <c r="Q30" s="66" t="n">
        <f aca="false">-Inputs!$E$14*(1+Inputs!$E$15)^(Q$5-1)*1</f>
        <v>-9600</v>
      </c>
      <c r="R30" s="66" t="n">
        <f aca="false">-Inputs!$E$14*(1+Inputs!$E$15)^(R$5-1)*1</f>
        <v>-9600</v>
      </c>
      <c r="S30" s="66" t="n">
        <f aca="false">-Inputs!$E$14*(1+Inputs!$E$15)^(S$5-1)*1</f>
        <v>-9600</v>
      </c>
      <c r="T30" s="66" t="n">
        <f aca="false">-Inputs!$E$14*(1+Inputs!$E$15)^(T$5-1)*1</f>
        <v>-9600</v>
      </c>
      <c r="U30" s="66" t="n">
        <f aca="false">-Inputs!$E$14*(1+Inputs!$E$15)^(U$5-1)*1</f>
        <v>-9600</v>
      </c>
      <c r="V30" s="66" t="n">
        <f aca="false">-Inputs!$E$14*(1+Inputs!$E$15)^(V$5-1)*1</f>
        <v>-9600</v>
      </c>
      <c r="W30" s="66" t="n">
        <f aca="false">-Inputs!$E$14*(1+Inputs!$E$15)^(W$5-1)*1</f>
        <v>-9600</v>
      </c>
      <c r="X30" s="66" t="n">
        <f aca="false">-Inputs!$E$14*(1+Inputs!$E$15)^(X$5-1)*1</f>
        <v>-9600</v>
      </c>
      <c r="Y30" s="66" t="n">
        <f aca="false">-Inputs!$E$14*(1+Inputs!$E$15)^(Y$5-1)*1</f>
        <v>-9600</v>
      </c>
      <c r="Z30" s="66" t="n">
        <f aca="false">-Inputs!$E$14*(1+Inputs!$E$15)^(Z$5-1)*1</f>
        <v>-9600</v>
      </c>
      <c r="AA30" s="66" t="n">
        <f aca="false">-Inputs!$E$14*(1+Inputs!$E$15)^(AA$5-1)*1</f>
        <v>-11520</v>
      </c>
      <c r="AB30" s="66" t="n">
        <f aca="false">-Inputs!$E$14*(1+Inputs!$E$15)^(AB$5-1)*1</f>
        <v>-11520</v>
      </c>
      <c r="AC30" s="66" t="n">
        <f aca="false">-Inputs!$E$14*(1+Inputs!$E$15)^(AC$5-1)*1</f>
        <v>-11520</v>
      </c>
      <c r="AD30" s="66" t="n">
        <f aca="false">-Inputs!$E$14*(1+Inputs!$E$15)^(AD$5-1)*1</f>
        <v>-11520</v>
      </c>
      <c r="AE30" s="66" t="n">
        <f aca="false">-Inputs!$E$14*(1+Inputs!$E$15)^(AE$5-1)*1</f>
        <v>-11520</v>
      </c>
      <c r="AF30" s="66" t="n">
        <f aca="false">-Inputs!$E$14*(1+Inputs!$E$15)^(AF$5-1)*1</f>
        <v>-11520</v>
      </c>
      <c r="AG30" s="66" t="n">
        <f aca="false">-Inputs!$E$14*(1+Inputs!$E$15)^(AG$5-1)*1</f>
        <v>-11520</v>
      </c>
      <c r="AH30" s="66" t="n">
        <f aca="false">-Inputs!$E$14*(1+Inputs!$E$15)^(AH$5-1)*1</f>
        <v>-11520</v>
      </c>
      <c r="AI30" s="66" t="n">
        <f aca="false">-Inputs!$E$14*(1+Inputs!$E$15)^(AI$5-1)*1</f>
        <v>-11520</v>
      </c>
      <c r="AJ30" s="66" t="n">
        <f aca="false">-Inputs!$E$14*(1+Inputs!$E$15)^(AJ$5-1)*1</f>
        <v>-11520</v>
      </c>
      <c r="AK30" s="66" t="n">
        <f aca="false">-Inputs!$E$14*(1+Inputs!$E$15)^(AK$5-1)*1</f>
        <v>-11520</v>
      </c>
      <c r="AL30" s="66" t="n">
        <f aca="false">-Inputs!$E$14*(1+Inputs!$E$15)^(AL$5-1)*1</f>
        <v>-11520</v>
      </c>
    </row>
    <row r="31" customFormat="false" ht="15" hidden="false" customHeight="false" outlineLevel="0" collapsed="false">
      <c r="A31" s="6" t="s">
        <v>318</v>
      </c>
      <c r="C31" s="66" t="n">
        <f aca="false">-Headcount!C12*Inputs!$E$20*1</f>
        <v>-900</v>
      </c>
      <c r="D31" s="66" t="n">
        <f aca="false">-Headcount!D12*Inputs!$E$20*1</f>
        <v>-900</v>
      </c>
      <c r="E31" s="66" t="n">
        <f aca="false">-Headcount!E12*Inputs!$E$20*1</f>
        <v>-900</v>
      </c>
      <c r="F31" s="66" t="n">
        <f aca="false">-Headcount!F12*Inputs!$E$20*1</f>
        <v>-900</v>
      </c>
      <c r="G31" s="66" t="n">
        <f aca="false">-Headcount!G12*Inputs!$E$20*1</f>
        <v>-900</v>
      </c>
      <c r="H31" s="66" t="n">
        <f aca="false">-Headcount!H12*Inputs!$E$20*1</f>
        <v>-900</v>
      </c>
      <c r="I31" s="66" t="n">
        <f aca="false">-Headcount!I12*Inputs!$E$20*1</f>
        <v>-900</v>
      </c>
      <c r="J31" s="66" t="n">
        <f aca="false">-Headcount!J12*Inputs!$E$20*1</f>
        <v>-900</v>
      </c>
      <c r="K31" s="66" t="n">
        <f aca="false">-Headcount!K12*Inputs!$E$20*1</f>
        <v>-900</v>
      </c>
      <c r="L31" s="66" t="n">
        <f aca="false">-Headcount!L12*Inputs!$E$20*1</f>
        <v>-900</v>
      </c>
      <c r="M31" s="66" t="n">
        <f aca="false">-Headcount!M12*Inputs!$E$20*1</f>
        <v>-900</v>
      </c>
      <c r="N31" s="66" t="n">
        <f aca="false">-Headcount!N12*Inputs!$E$20*1</f>
        <v>-900</v>
      </c>
      <c r="O31" s="66" t="n">
        <f aca="false">-Headcount!O12*Inputs!$E$20*1</f>
        <v>-1350</v>
      </c>
      <c r="P31" s="66" t="n">
        <f aca="false">-Headcount!P12*Inputs!$E$20*1</f>
        <v>-1350</v>
      </c>
      <c r="Q31" s="66" t="n">
        <f aca="false">-Headcount!Q12*Inputs!$E$20*1</f>
        <v>-1350</v>
      </c>
      <c r="R31" s="66" t="n">
        <f aca="false">-Headcount!R12*Inputs!$E$20*1</f>
        <v>-1350</v>
      </c>
      <c r="S31" s="66" t="n">
        <f aca="false">-Headcount!S12*Inputs!$E$20*1</f>
        <v>-1350</v>
      </c>
      <c r="T31" s="66" t="n">
        <f aca="false">-Headcount!T12*Inputs!$E$20*1</f>
        <v>-1350</v>
      </c>
      <c r="U31" s="66" t="n">
        <f aca="false">-Headcount!U12*Inputs!$E$20*1</f>
        <v>-1350</v>
      </c>
      <c r="V31" s="66" t="n">
        <f aca="false">-Headcount!V12*Inputs!$E$20*1</f>
        <v>-1350</v>
      </c>
      <c r="W31" s="66" t="n">
        <f aca="false">-Headcount!W12*Inputs!$E$20*1</f>
        <v>-1350</v>
      </c>
      <c r="X31" s="66" t="n">
        <f aca="false">-Headcount!X12*Inputs!$E$20*1</f>
        <v>-1350</v>
      </c>
      <c r="Y31" s="66" t="n">
        <f aca="false">-Headcount!Y12*Inputs!$E$20*1</f>
        <v>-1350</v>
      </c>
      <c r="Z31" s="66" t="n">
        <f aca="false">-Headcount!Z12*Inputs!$E$20*1</f>
        <v>-1350</v>
      </c>
      <c r="AA31" s="66" t="n">
        <f aca="false">-Headcount!AA12*Inputs!$E$20*1</f>
        <v>-2025</v>
      </c>
      <c r="AB31" s="66" t="n">
        <f aca="false">-Headcount!AB12*Inputs!$E$20*1</f>
        <v>-2025</v>
      </c>
      <c r="AC31" s="66" t="n">
        <f aca="false">-Headcount!AC12*Inputs!$E$20*1</f>
        <v>-2025</v>
      </c>
      <c r="AD31" s="66" t="n">
        <f aca="false">-Headcount!AD12*Inputs!$E$20*1</f>
        <v>-2025</v>
      </c>
      <c r="AE31" s="66" t="n">
        <f aca="false">-Headcount!AE12*Inputs!$E$20*1</f>
        <v>-2025</v>
      </c>
      <c r="AF31" s="66" t="n">
        <f aca="false">-Headcount!AF12*Inputs!$E$20*1</f>
        <v>-2025</v>
      </c>
      <c r="AG31" s="66" t="n">
        <f aca="false">-Headcount!AG12*Inputs!$E$20*1</f>
        <v>-2025</v>
      </c>
      <c r="AH31" s="66" t="n">
        <f aca="false">-Headcount!AH12*Inputs!$E$20*1</f>
        <v>-2025</v>
      </c>
      <c r="AI31" s="66" t="n">
        <f aca="false">-Headcount!AI12*Inputs!$E$20*1</f>
        <v>-2025</v>
      </c>
      <c r="AJ31" s="66" t="n">
        <f aca="false">-Headcount!AJ12*Inputs!$E$20*1</f>
        <v>-2025</v>
      </c>
      <c r="AK31" s="66" t="n">
        <f aca="false">-Headcount!AK12*Inputs!$E$20*1</f>
        <v>-2025</v>
      </c>
      <c r="AL31" s="66" t="n">
        <f aca="false">-Headcount!AL12*Inputs!$E$20*1</f>
        <v>-2025</v>
      </c>
    </row>
    <row r="32" customFormat="false" ht="15" hidden="false" customHeight="false" outlineLevel="0" collapsed="false">
      <c r="A32" s="6" t="s">
        <v>319</v>
      </c>
      <c r="C32" s="66" t="n">
        <f aca="false">-Inputs!$E$21*1</f>
        <v>-1500</v>
      </c>
      <c r="D32" s="66" t="n">
        <f aca="false">-Inputs!$E$21*1</f>
        <v>-1500</v>
      </c>
      <c r="E32" s="66" t="n">
        <f aca="false">-Inputs!$E$21*1</f>
        <v>-1500</v>
      </c>
      <c r="F32" s="66" t="n">
        <f aca="false">-Inputs!$E$21*1</f>
        <v>-1500</v>
      </c>
      <c r="G32" s="66" t="n">
        <f aca="false">-Inputs!$E$21*1</f>
        <v>-1500</v>
      </c>
      <c r="H32" s="66" t="n">
        <f aca="false">-Inputs!$E$21*1</f>
        <v>-1500</v>
      </c>
      <c r="I32" s="66" t="n">
        <f aca="false">-Inputs!$E$21*1</f>
        <v>-1500</v>
      </c>
      <c r="J32" s="66" t="n">
        <f aca="false">-Inputs!$E$21*1</f>
        <v>-1500</v>
      </c>
      <c r="K32" s="66" t="n">
        <f aca="false">-Inputs!$E$21*1</f>
        <v>-1500</v>
      </c>
      <c r="L32" s="66" t="n">
        <f aca="false">-Inputs!$E$21*1</f>
        <v>-1500</v>
      </c>
      <c r="M32" s="66" t="n">
        <f aca="false">-Inputs!$E$21*1</f>
        <v>-1500</v>
      </c>
      <c r="N32" s="66" t="n">
        <f aca="false">-Inputs!$E$21*1</f>
        <v>-1500</v>
      </c>
      <c r="O32" s="66" t="n">
        <f aca="false">-Inputs!$E$21*1</f>
        <v>-1500</v>
      </c>
      <c r="P32" s="66" t="n">
        <f aca="false">-Inputs!$E$21*1</f>
        <v>-1500</v>
      </c>
      <c r="Q32" s="66" t="n">
        <f aca="false">-Inputs!$E$21*1</f>
        <v>-1500</v>
      </c>
      <c r="R32" s="66" t="n">
        <f aca="false">-Inputs!$E$21*1</f>
        <v>-1500</v>
      </c>
      <c r="S32" s="66" t="n">
        <f aca="false">-Inputs!$E$21*1</f>
        <v>-1500</v>
      </c>
      <c r="T32" s="66" t="n">
        <f aca="false">-Inputs!$E$21*1</f>
        <v>-1500</v>
      </c>
      <c r="U32" s="66" t="n">
        <f aca="false">-Inputs!$E$21*1</f>
        <v>-1500</v>
      </c>
      <c r="V32" s="66" t="n">
        <f aca="false">-Inputs!$E$21*1</f>
        <v>-1500</v>
      </c>
      <c r="W32" s="66" t="n">
        <f aca="false">-Inputs!$E$21*1</f>
        <v>-1500</v>
      </c>
      <c r="X32" s="66" t="n">
        <f aca="false">-Inputs!$E$21*1</f>
        <v>-1500</v>
      </c>
      <c r="Y32" s="66" t="n">
        <f aca="false">-Inputs!$E$21*1</f>
        <v>-1500</v>
      </c>
      <c r="Z32" s="66" t="n">
        <f aca="false">-Inputs!$E$21*1</f>
        <v>-1500</v>
      </c>
      <c r="AA32" s="66" t="n">
        <f aca="false">-Inputs!$E$21*1</f>
        <v>-1500</v>
      </c>
      <c r="AB32" s="66" t="n">
        <f aca="false">-Inputs!$E$21*1</f>
        <v>-1500</v>
      </c>
      <c r="AC32" s="66" t="n">
        <f aca="false">-Inputs!$E$21*1</f>
        <v>-1500</v>
      </c>
      <c r="AD32" s="66" t="n">
        <f aca="false">-Inputs!$E$21*1</f>
        <v>-1500</v>
      </c>
      <c r="AE32" s="66" t="n">
        <f aca="false">-Inputs!$E$21*1</f>
        <v>-1500</v>
      </c>
      <c r="AF32" s="66" t="n">
        <f aca="false">-Inputs!$E$21*1</f>
        <v>-1500</v>
      </c>
      <c r="AG32" s="66" t="n">
        <f aca="false">-Inputs!$E$21*1</f>
        <v>-1500</v>
      </c>
      <c r="AH32" s="66" t="n">
        <f aca="false">-Inputs!$E$21*1</f>
        <v>-1500</v>
      </c>
      <c r="AI32" s="66" t="n">
        <f aca="false">-Inputs!$E$21*1</f>
        <v>-1500</v>
      </c>
      <c r="AJ32" s="66" t="n">
        <f aca="false">-Inputs!$E$21*1</f>
        <v>-1500</v>
      </c>
      <c r="AK32" s="66" t="n">
        <f aca="false">-Inputs!$E$21*1</f>
        <v>-1500</v>
      </c>
      <c r="AL32" s="66" t="n">
        <f aca="false">-Inputs!$E$21*1</f>
        <v>-1500</v>
      </c>
    </row>
    <row r="33" customFormat="false" ht="15" hidden="false" customHeight="false" outlineLevel="0" collapsed="false">
      <c r="A33" s="6" t="s">
        <v>320</v>
      </c>
      <c r="C33" s="66" t="n">
        <f aca="false">-Inputs!$E$22*1</f>
        <v>-3000</v>
      </c>
      <c r="D33" s="66" t="n">
        <f aca="false">-Inputs!$E$22*1</f>
        <v>-3000</v>
      </c>
      <c r="E33" s="66" t="n">
        <f aca="false">-Inputs!$E$22*1</f>
        <v>-3000</v>
      </c>
      <c r="F33" s="66" t="n">
        <f aca="false">-Inputs!$E$22*1</f>
        <v>-3000</v>
      </c>
      <c r="G33" s="66" t="n">
        <f aca="false">-Inputs!$E$22*1</f>
        <v>-3000</v>
      </c>
      <c r="H33" s="66" t="n">
        <f aca="false">-Inputs!$E$22*1</f>
        <v>-3000</v>
      </c>
      <c r="I33" s="66" t="n">
        <f aca="false">-Inputs!$E$22*1</f>
        <v>-3000</v>
      </c>
      <c r="J33" s="66" t="n">
        <f aca="false">-Inputs!$E$22*1</f>
        <v>-3000</v>
      </c>
      <c r="K33" s="66" t="n">
        <f aca="false">-Inputs!$E$22*1</f>
        <v>-3000</v>
      </c>
      <c r="L33" s="66" t="n">
        <f aca="false">-Inputs!$E$22*1</f>
        <v>-3000</v>
      </c>
      <c r="M33" s="66" t="n">
        <f aca="false">-Inputs!$E$22*1</f>
        <v>-3000</v>
      </c>
      <c r="N33" s="66" t="n">
        <f aca="false">-Inputs!$E$22*1</f>
        <v>-3000</v>
      </c>
      <c r="O33" s="66" t="n">
        <f aca="false">-Inputs!$E$22*1</f>
        <v>-3000</v>
      </c>
      <c r="P33" s="66" t="n">
        <f aca="false">-Inputs!$E$22*1</f>
        <v>-3000</v>
      </c>
      <c r="Q33" s="66" t="n">
        <f aca="false">-Inputs!$E$22*1</f>
        <v>-3000</v>
      </c>
      <c r="R33" s="66" t="n">
        <f aca="false">-Inputs!$E$22*1</f>
        <v>-3000</v>
      </c>
      <c r="S33" s="66" t="n">
        <f aca="false">-Inputs!$E$22*1</f>
        <v>-3000</v>
      </c>
      <c r="T33" s="66" t="n">
        <f aca="false">-Inputs!$E$22*1</f>
        <v>-3000</v>
      </c>
      <c r="U33" s="66" t="n">
        <f aca="false">-Inputs!$E$22*1</f>
        <v>-3000</v>
      </c>
      <c r="V33" s="66" t="n">
        <f aca="false">-Inputs!$E$22*1</f>
        <v>-3000</v>
      </c>
      <c r="W33" s="66" t="n">
        <f aca="false">-Inputs!$E$22*1</f>
        <v>-3000</v>
      </c>
      <c r="X33" s="66" t="n">
        <f aca="false">-Inputs!$E$22*1</f>
        <v>-3000</v>
      </c>
      <c r="Y33" s="66" t="n">
        <f aca="false">-Inputs!$E$22*1</f>
        <v>-3000</v>
      </c>
      <c r="Z33" s="66" t="n">
        <f aca="false">-Inputs!$E$22*1</f>
        <v>-3000</v>
      </c>
      <c r="AA33" s="66" t="n">
        <f aca="false">-Inputs!$E$22*1</f>
        <v>-3000</v>
      </c>
      <c r="AB33" s="66" t="n">
        <f aca="false">-Inputs!$E$22*1</f>
        <v>-3000</v>
      </c>
      <c r="AC33" s="66" t="n">
        <f aca="false">-Inputs!$E$22*1</f>
        <v>-3000</v>
      </c>
      <c r="AD33" s="66" t="n">
        <f aca="false">-Inputs!$E$22*1</f>
        <v>-3000</v>
      </c>
      <c r="AE33" s="66" t="n">
        <f aca="false">-Inputs!$E$22*1</f>
        <v>-3000</v>
      </c>
      <c r="AF33" s="66" t="n">
        <f aca="false">-Inputs!$E$22*1</f>
        <v>-3000</v>
      </c>
      <c r="AG33" s="66" t="n">
        <f aca="false">-Inputs!$E$22*1</f>
        <v>-3000</v>
      </c>
      <c r="AH33" s="66" t="n">
        <f aca="false">-Inputs!$E$22*1</f>
        <v>-3000</v>
      </c>
      <c r="AI33" s="66" t="n">
        <f aca="false">-Inputs!$E$22*1</f>
        <v>-3000</v>
      </c>
      <c r="AJ33" s="66" t="n">
        <f aca="false">-Inputs!$E$22*1</f>
        <v>-3000</v>
      </c>
      <c r="AK33" s="66" t="n">
        <f aca="false">-Inputs!$E$22*1</f>
        <v>-3000</v>
      </c>
      <c r="AL33" s="66" t="n">
        <f aca="false">-Inputs!$E$22*1</f>
        <v>-3000</v>
      </c>
    </row>
    <row r="34" customFormat="false" ht="15" hidden="false" customHeight="false" outlineLevel="0" collapsed="false">
      <c r="A34" s="111" t="s">
        <v>76</v>
      </c>
      <c r="C34" s="67" t="n">
        <f aca="false">C29+C30+C31+C32+C33</f>
        <v>-75150</v>
      </c>
      <c r="D34" s="67" t="n">
        <f aca="false">D29+D30+D31+D32+D33</f>
        <v>-75150</v>
      </c>
      <c r="E34" s="67" t="n">
        <f aca="false">E29+E30+E31+E32+E33</f>
        <v>-75150</v>
      </c>
      <c r="F34" s="67" t="n">
        <f aca="false">F29+F30+F31+F32+F33</f>
        <v>-75150</v>
      </c>
      <c r="G34" s="67" t="n">
        <f aca="false">G29+G30+G31+G32+G33</f>
        <v>-75150</v>
      </c>
      <c r="H34" s="67" t="n">
        <f aca="false">H29+H30+H31+H32+H33</f>
        <v>-75150</v>
      </c>
      <c r="I34" s="67" t="n">
        <f aca="false">I29+I30+I31+I32+I33</f>
        <v>-75150</v>
      </c>
      <c r="J34" s="67" t="n">
        <f aca="false">J29+J30+J31+J32+J33</f>
        <v>-75150</v>
      </c>
      <c r="K34" s="67" t="n">
        <f aca="false">K29+K30+K31+K32+K33</f>
        <v>-75150</v>
      </c>
      <c r="L34" s="67" t="n">
        <f aca="false">L29+L30+L31+L32+L33</f>
        <v>-75150</v>
      </c>
      <c r="M34" s="67" t="n">
        <f aca="false">M29+M30+M31+M32+M33</f>
        <v>-75150</v>
      </c>
      <c r="N34" s="67" t="n">
        <f aca="false">N29+N30+N31+N32+N33</f>
        <v>-75150</v>
      </c>
      <c r="O34" s="67" t="n">
        <f aca="false">O29+O30+O31+O32+O33</f>
        <v>-111780</v>
      </c>
      <c r="P34" s="67" t="n">
        <f aca="false">P29+P30+P31+P32+P33</f>
        <v>-111780</v>
      </c>
      <c r="Q34" s="67" t="n">
        <f aca="false">Q29+Q30+Q31+Q32+Q33</f>
        <v>-111780</v>
      </c>
      <c r="R34" s="67" t="n">
        <f aca="false">R29+R30+R31+R32+R33</f>
        <v>-111780</v>
      </c>
      <c r="S34" s="67" t="n">
        <f aca="false">S29+S30+S31+S32+S33</f>
        <v>-111780</v>
      </c>
      <c r="T34" s="67" t="n">
        <f aca="false">T29+T30+T31+T32+T33</f>
        <v>-111780</v>
      </c>
      <c r="U34" s="67" t="n">
        <f aca="false">U29+U30+U31+U32+U33</f>
        <v>-111780</v>
      </c>
      <c r="V34" s="67" t="n">
        <f aca="false">V29+V30+V31+V32+V33</f>
        <v>-111780</v>
      </c>
      <c r="W34" s="67" t="n">
        <f aca="false">W29+W30+W31+W32+W33</f>
        <v>-111780</v>
      </c>
      <c r="X34" s="67" t="n">
        <f aca="false">X29+X30+X31+X32+X33</f>
        <v>-111780</v>
      </c>
      <c r="Y34" s="67" t="n">
        <f aca="false">Y29+Y30+Y31+Y32+Y33</f>
        <v>-111780</v>
      </c>
      <c r="Z34" s="67" t="n">
        <f aca="false">Z29+Z30+Z31+Z32+Z33</f>
        <v>-111780</v>
      </c>
      <c r="AA34" s="67" t="n">
        <f aca="false">AA29+AA30+AA31+AA32+AA33</f>
        <v>-168319.8</v>
      </c>
      <c r="AB34" s="67" t="n">
        <f aca="false">AB29+AB30+AB31+AB32+AB33</f>
        <v>-168319.8</v>
      </c>
      <c r="AC34" s="67" t="n">
        <f aca="false">AC29+AC30+AC31+AC32+AC33</f>
        <v>-168319.8</v>
      </c>
      <c r="AD34" s="67" t="n">
        <f aca="false">AD29+AD30+AD31+AD32+AD33</f>
        <v>-168319.8</v>
      </c>
      <c r="AE34" s="67" t="n">
        <f aca="false">AE29+AE30+AE31+AE32+AE33</f>
        <v>-168319.8</v>
      </c>
      <c r="AF34" s="67" t="n">
        <f aca="false">AF29+AF30+AF31+AF32+AF33</f>
        <v>-168319.8</v>
      </c>
      <c r="AG34" s="67" t="n">
        <f aca="false">AG29+AG30+AG31+AG32+AG33</f>
        <v>-168319.8</v>
      </c>
      <c r="AH34" s="67" t="n">
        <f aca="false">AH29+AH30+AH31+AH32+AH33</f>
        <v>-168319.8</v>
      </c>
      <c r="AI34" s="67" t="n">
        <f aca="false">AI29+AI30+AI31+AI32+AI33</f>
        <v>-168319.8</v>
      </c>
      <c r="AJ34" s="67" t="n">
        <f aca="false">AJ29+AJ30+AJ31+AJ32+AJ33</f>
        <v>-168319.8</v>
      </c>
      <c r="AK34" s="67" t="n">
        <f aca="false">AK29+AK30+AK31+AK32+AK33</f>
        <v>-168319.8</v>
      </c>
      <c r="AL34" s="67" t="n">
        <f aca="false">AL29+AL30+AL31+AL32+AL33</f>
        <v>-168319.8</v>
      </c>
    </row>
    <row r="35" customFormat="false" ht="15" hidden="false" customHeight="false" outlineLevel="0" collapsed="false">
      <c r="A35" s="111" t="s">
        <v>48</v>
      </c>
      <c r="C35" s="67" t="n">
        <f aca="false">C26+C34</f>
        <v>-71272.6902777778</v>
      </c>
      <c r="D35" s="67" t="n">
        <f aca="false">D26+D34</f>
        <v>-68775.5341875</v>
      </c>
      <c r="E35" s="67" t="n">
        <f aca="false">E26+E34</f>
        <v>-66340.5225533681</v>
      </c>
      <c r="F35" s="67" t="n">
        <f aca="false">F26+F34</f>
        <v>-63966.1102973616</v>
      </c>
      <c r="G35" s="67" t="n">
        <f aca="false">G26+G34</f>
        <v>-61650.7907124094</v>
      </c>
      <c r="H35" s="67" t="n">
        <f aca="false">H26+H34</f>
        <v>-59393.0945107955</v>
      </c>
      <c r="I35" s="67" t="n">
        <f aca="false">I26+I34</f>
        <v>-57191.5888961248</v>
      </c>
      <c r="J35" s="67" t="n">
        <f aca="false">J26+J34</f>
        <v>-55044.8766582669</v>
      </c>
      <c r="K35" s="67" t="n">
        <f aca="false">K26+K34</f>
        <v>-52951.5952907079</v>
      </c>
      <c r="L35" s="67" t="n">
        <f aca="false">L26+L34</f>
        <v>-50910.4161297599</v>
      </c>
      <c r="M35" s="67" t="n">
        <f aca="false">M26+M34</f>
        <v>-48920.0435150849</v>
      </c>
      <c r="N35" s="67" t="n">
        <f aca="false">N26+N34</f>
        <v>-46979.2139710086</v>
      </c>
      <c r="O35" s="67" t="n">
        <f aca="false">O26+O34</f>
        <v>-81355.7095636645</v>
      </c>
      <c r="P35" s="67" t="n">
        <f aca="false">P26+P34</f>
        <v>-78797.3176795795</v>
      </c>
      <c r="Q35" s="67" t="n">
        <f aca="false">Q26+Q34</f>
        <v>-76302.6177496131</v>
      </c>
      <c r="R35" s="67" t="n">
        <f aca="false">R26+R34</f>
        <v>-73870.0255102018</v>
      </c>
      <c r="S35" s="67" t="n">
        <f aca="false">S26+S34</f>
        <v>-71497.9960633127</v>
      </c>
      <c r="T35" s="67" t="n">
        <f aca="false">T26+T34</f>
        <v>-69185.0228995364</v>
      </c>
      <c r="U35" s="67" t="n">
        <f aca="false">U26+U34</f>
        <v>-66929.636945387</v>
      </c>
      <c r="V35" s="67" t="n">
        <f aca="false">V26+V34</f>
        <v>-64730.4056342078</v>
      </c>
      <c r="W35" s="67" t="n">
        <f aca="false">W26+W34</f>
        <v>-62585.9320001011</v>
      </c>
      <c r="X35" s="67" t="n">
        <f aca="false">X26+X34</f>
        <v>-60494.8537943113</v>
      </c>
      <c r="Y35" s="67" t="n">
        <f aca="false">Y26+Y34</f>
        <v>-58455.8426235065</v>
      </c>
      <c r="Z35" s="67" t="n">
        <f aca="false">Z26+Z34</f>
        <v>-56467.6031094169</v>
      </c>
      <c r="AA35" s="67" t="n">
        <f aca="false">AA26+AA34</f>
        <v>-110603.929337368</v>
      </c>
      <c r="AB35" s="67" t="n">
        <f aca="false">AB26+AB34</f>
        <v>-107795.563355892</v>
      </c>
      <c r="AC35" s="67" t="n">
        <f aca="false">AC26+AC34</f>
        <v>-105057.132558478</v>
      </c>
      <c r="AD35" s="67" t="n">
        <f aca="false">AD26+AD34</f>
        <v>-102386.896784488</v>
      </c>
      <c r="AE35" s="67" t="n">
        <f aca="false">AE26+AE34</f>
        <v>-99783.1591307335</v>
      </c>
      <c r="AF35" s="67" t="n">
        <f aca="false">AF26+AF34</f>
        <v>-97244.2648774309</v>
      </c>
      <c r="AG35" s="67" t="n">
        <f aca="false">AG26+AG34</f>
        <v>-94768.6004407959</v>
      </c>
      <c r="AH35" s="67" t="n">
        <f aca="false">AH26+AH34</f>
        <v>-92354.5923516018</v>
      </c>
      <c r="AI35" s="67" t="n">
        <f aca="false">AI26+AI34</f>
        <v>-90000.7062590667</v>
      </c>
      <c r="AJ35" s="67" t="n">
        <f aca="false">AJ26+AJ34</f>
        <v>-87705.4459594414</v>
      </c>
      <c r="AK35" s="67" t="n">
        <f aca="false">AK26+AK34</f>
        <v>-85467.3524486851</v>
      </c>
      <c r="AL35" s="67" t="n">
        <f aca="false">AL26+AL34</f>
        <v>-83285.0029986349</v>
      </c>
    </row>
    <row r="37" customFormat="false" ht="15.75" hidden="false" customHeight="true" outlineLevel="0" collapsed="false">
      <c r="A37" s="7" t="s">
        <v>384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4" t="s">
        <v>78</v>
      </c>
      <c r="C38" s="72" t="n">
        <f aca="false">C35+C49</f>
        <v>-71828.2458333333</v>
      </c>
      <c r="D38" s="72" t="n">
        <f aca="false">D35+D49</f>
        <v>-69331.0897430556</v>
      </c>
      <c r="E38" s="72" t="n">
        <f aca="false">E35+E49</f>
        <v>-66896.0781089236</v>
      </c>
      <c r="F38" s="72" t="n">
        <f aca="false">F35+F49</f>
        <v>-64521.6658529172</v>
      </c>
      <c r="G38" s="72" t="n">
        <f aca="false">G35+G49</f>
        <v>-62206.346267965</v>
      </c>
      <c r="H38" s="72" t="n">
        <f aca="false">H35+H49</f>
        <v>-59948.650066351</v>
      </c>
      <c r="I38" s="72" t="n">
        <f aca="false">I35+I49</f>
        <v>-57747.1444516804</v>
      </c>
      <c r="J38" s="72" t="n">
        <f aca="false">J35+J49</f>
        <v>-55600.4322138224</v>
      </c>
      <c r="K38" s="72" t="n">
        <f aca="false">K35+K49</f>
        <v>-53507.1508462635</v>
      </c>
      <c r="L38" s="72" t="n">
        <f aca="false">L35+L49</f>
        <v>-51465.9716853155</v>
      </c>
      <c r="M38" s="72" t="n">
        <f aca="false">M35+M49</f>
        <v>-49475.5990706404</v>
      </c>
      <c r="N38" s="72" t="n">
        <f aca="false">N35+N49</f>
        <v>-47534.7695265641</v>
      </c>
      <c r="O38" s="72" t="n">
        <f aca="false">O35+O49</f>
        <v>-81911.2651192201</v>
      </c>
      <c r="P38" s="72" t="n">
        <f aca="false">P35+P49</f>
        <v>-79352.8732351351</v>
      </c>
      <c r="Q38" s="72" t="n">
        <f aca="false">Q35+Q49</f>
        <v>-76858.1733051687</v>
      </c>
      <c r="R38" s="72" t="n">
        <f aca="false">R35+R49</f>
        <v>-74425.5810657574</v>
      </c>
      <c r="S38" s="72" t="n">
        <f aca="false">S35+S49</f>
        <v>-72053.5516188682</v>
      </c>
      <c r="T38" s="72" t="n">
        <f aca="false">T35+T49</f>
        <v>-69740.5784550919</v>
      </c>
      <c r="U38" s="72" t="n">
        <f aca="false">U35+U49</f>
        <v>-67485.1925009425</v>
      </c>
      <c r="V38" s="72" t="n">
        <f aca="false">V35+V49</f>
        <v>-65285.9611897633</v>
      </c>
      <c r="W38" s="72" t="n">
        <f aca="false">W35+W49</f>
        <v>-63141.4875556567</v>
      </c>
      <c r="X38" s="72" t="n">
        <f aca="false">X35+X49</f>
        <v>-61050.4093498668</v>
      </c>
      <c r="Y38" s="72" t="n">
        <f aca="false">Y35+Y49</f>
        <v>-59011.3981790621</v>
      </c>
      <c r="Z38" s="72" t="n">
        <f aca="false">Z35+Z49</f>
        <v>-57023.1586649725</v>
      </c>
      <c r="AA38" s="72" t="n">
        <f aca="false">AA35+AA49</f>
        <v>-111159.484892924</v>
      </c>
      <c r="AB38" s="72" t="n">
        <f aca="false">AB35+AB49</f>
        <v>-108351.118911447</v>
      </c>
      <c r="AC38" s="72" t="n">
        <f aca="false">AC35+AC49</f>
        <v>-105612.688114033</v>
      </c>
      <c r="AD38" s="72" t="n">
        <f aca="false">AD35+AD49</f>
        <v>-102942.452340044</v>
      </c>
      <c r="AE38" s="72" t="n">
        <f aca="false">AE35+AE49</f>
        <v>-100338.714686289</v>
      </c>
      <c r="AF38" s="72" t="n">
        <f aca="false">AF35+AF49</f>
        <v>-97799.8204329865</v>
      </c>
      <c r="AG38" s="72" t="n">
        <f aca="false">AG35+AG49</f>
        <v>-95324.1559963515</v>
      </c>
      <c r="AH38" s="72" t="n">
        <f aca="false">AH35+AH49</f>
        <v>-92910.1479071573</v>
      </c>
      <c r="AI38" s="72" t="n">
        <f aca="false">AI35+AI49</f>
        <v>-90556.2618146223</v>
      </c>
      <c r="AJ38" s="72" t="n">
        <f aca="false">AJ35+AJ49</f>
        <v>-88261.0015149969</v>
      </c>
      <c r="AK38" s="72" t="n">
        <f aca="false">AK35+AK49</f>
        <v>-86022.9080042407</v>
      </c>
      <c r="AL38" s="72" t="n">
        <f aca="false">AL35+AL49</f>
        <v>-83840.5585541905</v>
      </c>
    </row>
    <row r="39" customFormat="false" ht="15" hidden="false" customHeight="false" outlineLevel="0" collapsed="false">
      <c r="A39" s="6" t="s">
        <v>385</v>
      </c>
      <c r="C39" s="66" t="n">
        <f aca="false">-(C54+C55+C57)/2*Inputs!$E$48/12</f>
        <v>-0</v>
      </c>
      <c r="D39" s="66" t="n">
        <f aca="false">-(D54+D55+D57)/2*Inputs!$E$48/12</f>
        <v>-0</v>
      </c>
      <c r="E39" s="66" t="n">
        <f aca="false">-(E54+E55+E57)/2*Inputs!$E$48/12</f>
        <v>-0</v>
      </c>
      <c r="F39" s="66" t="n">
        <f aca="false">-(F54+F55+F57)/2*Inputs!$E$48/12</f>
        <v>-0</v>
      </c>
      <c r="G39" s="66" t="n">
        <f aca="false">-(G54+G55+G57)/2*Inputs!$E$48/12</f>
        <v>-0</v>
      </c>
      <c r="H39" s="66" t="n">
        <f aca="false">-(H54+H55+H57)/2*Inputs!$E$48/12</f>
        <v>-0</v>
      </c>
      <c r="I39" s="66" t="n">
        <f aca="false">-(I54+I55+I57)/2*Inputs!$E$48/12</f>
        <v>-0</v>
      </c>
      <c r="J39" s="66" t="n">
        <f aca="false">-(J54+J55+J57)/2*Inputs!$E$48/12</f>
        <v>-0</v>
      </c>
      <c r="K39" s="66" t="n">
        <f aca="false">-(K54+K55+K57)/2*Inputs!$E$48/12</f>
        <v>-0</v>
      </c>
      <c r="L39" s="66" t="n">
        <f aca="false">-(L54+L55+L57)/2*Inputs!$E$48/12</f>
        <v>-0</v>
      </c>
      <c r="M39" s="66" t="n">
        <f aca="false">-(M54+M55+M57)/2*Inputs!$E$48/12</f>
        <v>-0</v>
      </c>
      <c r="N39" s="66" t="n">
        <f aca="false">-(N54+N55+N57)/2*Inputs!$E$48/12</f>
        <v>-0</v>
      </c>
      <c r="O39" s="66" t="n">
        <f aca="false">-(O54+O55+O57)/2*Inputs!$E$48/12</f>
        <v>-0</v>
      </c>
      <c r="P39" s="66" t="n">
        <f aca="false">-(P54+P55+P57)/2*Inputs!$E$48/12</f>
        <v>-0</v>
      </c>
      <c r="Q39" s="66" t="n">
        <f aca="false">-(Q54+Q55+Q57)/2*Inputs!$E$48/12</f>
        <v>-0</v>
      </c>
      <c r="R39" s="66" t="n">
        <f aca="false">-(R54+R55+R57)/2*Inputs!$E$48/12</f>
        <v>-0</v>
      </c>
      <c r="S39" s="66" t="n">
        <f aca="false">-(S54+S55+S57)/2*Inputs!$E$48/12</f>
        <v>-0</v>
      </c>
      <c r="T39" s="66" t="n">
        <f aca="false">-(T54+T55+T57)/2*Inputs!$E$48/12</f>
        <v>-0</v>
      </c>
      <c r="U39" s="66" t="n">
        <f aca="false">-(U54+U55+U57)/2*Inputs!$E$48/12</f>
        <v>-0</v>
      </c>
      <c r="V39" s="66" t="n">
        <f aca="false">-(V54+V55+V57)/2*Inputs!$E$48/12</f>
        <v>-0</v>
      </c>
      <c r="W39" s="66" t="n">
        <f aca="false">-(W54+W55+W57)/2*Inputs!$E$48/12</f>
        <v>-0</v>
      </c>
      <c r="X39" s="66" t="n">
        <f aca="false">-(X54+X55+X57)/2*Inputs!$E$48/12</f>
        <v>-0</v>
      </c>
      <c r="Y39" s="66" t="n">
        <f aca="false">-(Y54+Y55+Y57)/2*Inputs!$E$48/12</f>
        <v>-0</v>
      </c>
      <c r="Z39" s="66" t="n">
        <f aca="false">-(Z54+Z55+Z57)/2*Inputs!$E$48/12</f>
        <v>-0</v>
      </c>
      <c r="AA39" s="66" t="n">
        <f aca="false">-(AA54+AA55+AA57)/2*Inputs!$E$48/12</f>
        <v>-0</v>
      </c>
      <c r="AB39" s="66" t="n">
        <f aca="false">-(AB54+AB55+AB57)/2*Inputs!$E$48/12</f>
        <v>-0</v>
      </c>
      <c r="AC39" s="66" t="n">
        <f aca="false">-(AC54+AC55+AC57)/2*Inputs!$E$48/12</f>
        <v>-0</v>
      </c>
      <c r="AD39" s="66" t="n">
        <f aca="false">-(AD54+AD55+AD57)/2*Inputs!$E$48/12</f>
        <v>-0</v>
      </c>
      <c r="AE39" s="66" t="n">
        <f aca="false">-(AE54+AE55+AE57)/2*Inputs!$E$48/12</f>
        <v>-0</v>
      </c>
      <c r="AF39" s="66" t="n">
        <f aca="false">-(AF54+AF55+AF57)/2*Inputs!$E$48/12</f>
        <v>-0</v>
      </c>
      <c r="AG39" s="66" t="n">
        <f aca="false">-(AG54+AG55+AG57)/2*Inputs!$E$48/12</f>
        <v>-0</v>
      </c>
      <c r="AH39" s="66" t="n">
        <f aca="false">-(AH54+AH55+AH57)/2*Inputs!$E$48/12</f>
        <v>-0</v>
      </c>
      <c r="AI39" s="66" t="n">
        <f aca="false">-(AI54+AI55+AI57)/2*Inputs!$E$48/12</f>
        <v>-0</v>
      </c>
      <c r="AJ39" s="66" t="n">
        <f aca="false">-(AJ54+AJ55+AJ57)/2*Inputs!$E$48/12</f>
        <v>-0</v>
      </c>
      <c r="AK39" s="66" t="n">
        <f aca="false">-(AK54+AK55+AK57)/2*Inputs!$E$48/12</f>
        <v>-0</v>
      </c>
      <c r="AL39" s="66" t="n">
        <f aca="false">-(AL54+AL55+AL57)/2*Inputs!$E$48/12</f>
        <v>-0</v>
      </c>
    </row>
    <row r="40" customFormat="false" ht="15" hidden="false" customHeight="false" outlineLevel="0" collapsed="false">
      <c r="A40" s="111" t="s">
        <v>80</v>
      </c>
      <c r="C40" s="67" t="n">
        <f aca="false">C38+C39</f>
        <v>-71828.2458333333</v>
      </c>
      <c r="D40" s="67" t="n">
        <f aca="false">D38+D39</f>
        <v>-69331.0897430556</v>
      </c>
      <c r="E40" s="67" t="n">
        <f aca="false">E38+E39</f>
        <v>-66896.0781089236</v>
      </c>
      <c r="F40" s="67" t="n">
        <f aca="false">F38+F39</f>
        <v>-64521.6658529172</v>
      </c>
      <c r="G40" s="67" t="n">
        <f aca="false">G38+G39</f>
        <v>-62206.346267965</v>
      </c>
      <c r="H40" s="67" t="n">
        <f aca="false">H38+H39</f>
        <v>-59948.650066351</v>
      </c>
      <c r="I40" s="67" t="n">
        <f aca="false">I38+I39</f>
        <v>-57747.1444516804</v>
      </c>
      <c r="J40" s="67" t="n">
        <f aca="false">J38+J39</f>
        <v>-55600.4322138224</v>
      </c>
      <c r="K40" s="67" t="n">
        <f aca="false">K38+K39</f>
        <v>-53507.1508462635</v>
      </c>
      <c r="L40" s="67" t="n">
        <f aca="false">L38+L39</f>
        <v>-51465.9716853155</v>
      </c>
      <c r="M40" s="67" t="n">
        <f aca="false">M38+M39</f>
        <v>-49475.5990706404</v>
      </c>
      <c r="N40" s="67" t="n">
        <f aca="false">N38+N39</f>
        <v>-47534.7695265641</v>
      </c>
      <c r="O40" s="67" t="n">
        <f aca="false">O38+O39</f>
        <v>-81911.2651192201</v>
      </c>
      <c r="P40" s="67" t="n">
        <f aca="false">P38+P39</f>
        <v>-79352.8732351351</v>
      </c>
      <c r="Q40" s="67" t="n">
        <f aca="false">Q38+Q39</f>
        <v>-76858.1733051687</v>
      </c>
      <c r="R40" s="67" t="n">
        <f aca="false">R38+R39</f>
        <v>-74425.5810657574</v>
      </c>
      <c r="S40" s="67" t="n">
        <f aca="false">S38+S39</f>
        <v>-72053.5516188682</v>
      </c>
      <c r="T40" s="67" t="n">
        <f aca="false">T38+T39</f>
        <v>-69740.5784550919</v>
      </c>
      <c r="U40" s="67" t="n">
        <f aca="false">U38+U39</f>
        <v>-67485.1925009425</v>
      </c>
      <c r="V40" s="67" t="n">
        <f aca="false">V38+V39</f>
        <v>-65285.9611897633</v>
      </c>
      <c r="W40" s="67" t="n">
        <f aca="false">W38+W39</f>
        <v>-63141.4875556567</v>
      </c>
      <c r="X40" s="67" t="n">
        <f aca="false">X38+X39</f>
        <v>-61050.4093498668</v>
      </c>
      <c r="Y40" s="67" t="n">
        <f aca="false">Y38+Y39</f>
        <v>-59011.3981790621</v>
      </c>
      <c r="Z40" s="67" t="n">
        <f aca="false">Z38+Z39</f>
        <v>-57023.1586649725</v>
      </c>
      <c r="AA40" s="67" t="n">
        <f aca="false">AA38+AA39</f>
        <v>-111159.484892924</v>
      </c>
      <c r="AB40" s="67" t="n">
        <f aca="false">AB38+AB39</f>
        <v>-108351.118911447</v>
      </c>
      <c r="AC40" s="67" t="n">
        <f aca="false">AC38+AC39</f>
        <v>-105612.688114033</v>
      </c>
      <c r="AD40" s="67" t="n">
        <f aca="false">AD38+AD39</f>
        <v>-102942.452340044</v>
      </c>
      <c r="AE40" s="67" t="n">
        <f aca="false">AE38+AE39</f>
        <v>-100338.714686289</v>
      </c>
      <c r="AF40" s="67" t="n">
        <f aca="false">AF38+AF39</f>
        <v>-97799.8204329865</v>
      </c>
      <c r="AG40" s="67" t="n">
        <f aca="false">AG38+AG39</f>
        <v>-95324.1559963515</v>
      </c>
      <c r="AH40" s="67" t="n">
        <f aca="false">AH38+AH39</f>
        <v>-92910.1479071573</v>
      </c>
      <c r="AI40" s="67" t="n">
        <f aca="false">AI38+AI39</f>
        <v>-90556.2618146223</v>
      </c>
      <c r="AJ40" s="67" t="n">
        <f aca="false">AJ38+AJ39</f>
        <v>-88261.0015149969</v>
      </c>
      <c r="AK40" s="67" t="n">
        <f aca="false">AK38+AK39</f>
        <v>-86022.9080042407</v>
      </c>
      <c r="AL40" s="67" t="n">
        <f aca="false">AL38+AL39</f>
        <v>-83840.5585541905</v>
      </c>
    </row>
    <row r="41" customFormat="false" ht="15" hidden="false" customHeight="false" outlineLevel="0" collapsed="false">
      <c r="A41" s="119" t="s">
        <v>386</v>
      </c>
      <c r="C41" s="66" t="n">
        <f aca="false">C40</f>
        <v>-71828.2458333333</v>
      </c>
      <c r="D41" s="66" t="n">
        <f aca="false">C41+D40</f>
        <v>-141159.335576389</v>
      </c>
      <c r="E41" s="66" t="n">
        <f aca="false">D41+E40</f>
        <v>-208055.413685313</v>
      </c>
      <c r="F41" s="66" t="n">
        <f aca="false">E41+F40</f>
        <v>-272577.07953823</v>
      </c>
      <c r="G41" s="66" t="n">
        <f aca="false">F41+G40</f>
        <v>-334783.425806195</v>
      </c>
      <c r="H41" s="66" t="n">
        <f aca="false">G41+H40</f>
        <v>-394732.075872546</v>
      </c>
      <c r="I41" s="66" t="n">
        <f aca="false">H41+I40</f>
        <v>-452479.220324226</v>
      </c>
      <c r="J41" s="66" t="n">
        <f aca="false">I41+J40</f>
        <v>-508079.652538049</v>
      </c>
      <c r="K41" s="66" t="n">
        <f aca="false">J41+K40</f>
        <v>-561586.803384312</v>
      </c>
      <c r="L41" s="66" t="n">
        <f aca="false">K41+L40</f>
        <v>-613052.775069627</v>
      </c>
      <c r="M41" s="66" t="n">
        <f aca="false">L41+M40</f>
        <v>-662528.374140268</v>
      </c>
      <c r="N41" s="66" t="n">
        <f aca="false">M41+N40</f>
        <v>-710063.143666832</v>
      </c>
      <c r="O41" s="66" t="n">
        <f aca="false">N41+O40</f>
        <v>-791974.408786052</v>
      </c>
      <c r="P41" s="66" t="n">
        <f aca="false">O41+P40</f>
        <v>-871327.282021187</v>
      </c>
      <c r="Q41" s="66" t="n">
        <f aca="false">P41+Q40</f>
        <v>-948185.455326356</v>
      </c>
      <c r="R41" s="66" t="n">
        <f aca="false">Q41+R40</f>
        <v>-1022611.03639211</v>
      </c>
      <c r="S41" s="66" t="n">
        <f aca="false">R41+S40</f>
        <v>-1094664.58801098</v>
      </c>
      <c r="T41" s="66" t="n">
        <f aca="false">S41+T40</f>
        <v>-1164405.16646607</v>
      </c>
      <c r="U41" s="66" t="n">
        <f aca="false">T41+U40</f>
        <v>-1231890.35896702</v>
      </c>
      <c r="V41" s="66" t="n">
        <f aca="false">U41+V40</f>
        <v>-1297176.32015678</v>
      </c>
      <c r="W41" s="66" t="n">
        <f aca="false">V41+W40</f>
        <v>-1360317.80771244</v>
      </c>
      <c r="X41" s="66" t="n">
        <f aca="false">W41+X40</f>
        <v>-1421368.2170623</v>
      </c>
      <c r="Y41" s="66" t="n">
        <f aca="false">X41+Y40</f>
        <v>-1480379.61524137</v>
      </c>
      <c r="Z41" s="66" t="n">
        <f aca="false">Y41+Z40</f>
        <v>-1537402.77390634</v>
      </c>
      <c r="AA41" s="66" t="n">
        <f aca="false">Z41+AA40</f>
        <v>-1648562.25879926</v>
      </c>
      <c r="AB41" s="66" t="n">
        <f aca="false">AA41+AB40</f>
        <v>-1756913.37771071</v>
      </c>
      <c r="AC41" s="66" t="n">
        <f aca="false">AB41+AC40</f>
        <v>-1862526.06582474</v>
      </c>
      <c r="AD41" s="66" t="n">
        <f aca="false">AC41+AD40</f>
        <v>-1965468.51816479</v>
      </c>
      <c r="AE41" s="66" t="n">
        <f aca="false">AD41+AE40</f>
        <v>-2065807.23285107</v>
      </c>
      <c r="AF41" s="66" t="n">
        <f aca="false">AE41+AF40</f>
        <v>-2163607.05328406</v>
      </c>
      <c r="AG41" s="66" t="n">
        <f aca="false">AF41+AG40</f>
        <v>-2258931.20928041</v>
      </c>
      <c r="AH41" s="66" t="n">
        <f aca="false">AG41+AH40</f>
        <v>-2351841.35718757</v>
      </c>
      <c r="AI41" s="66" t="n">
        <f aca="false">AH41+AI40</f>
        <v>-2442397.61900219</v>
      </c>
      <c r="AJ41" s="66" t="n">
        <f aca="false">AI41+AJ40</f>
        <v>-2530658.62051719</v>
      </c>
      <c r="AK41" s="66" t="n">
        <f aca="false">AJ41+AK40</f>
        <v>-2616681.52852143</v>
      </c>
      <c r="AL41" s="66" t="n">
        <f aca="false">AK41+AL40</f>
        <v>-2700522.08707562</v>
      </c>
    </row>
    <row r="42" customFormat="false" ht="15" hidden="false" customHeight="false" outlineLevel="0" collapsed="false">
      <c r="A42" s="119" t="s">
        <v>387</v>
      </c>
      <c r="C42" s="66" t="n">
        <f aca="false">MAX(0,C41)</f>
        <v>0</v>
      </c>
      <c r="D42" s="66" t="n">
        <f aca="false">MAX(C42,D41)</f>
        <v>0</v>
      </c>
      <c r="E42" s="66" t="n">
        <f aca="false">MAX(D42,E41)</f>
        <v>0</v>
      </c>
      <c r="F42" s="66" t="n">
        <f aca="false">MAX(E42,F41)</f>
        <v>0</v>
      </c>
      <c r="G42" s="66" t="n">
        <f aca="false">MAX(F42,G41)</f>
        <v>0</v>
      </c>
      <c r="H42" s="66" t="n">
        <f aca="false">MAX(G42,H41)</f>
        <v>0</v>
      </c>
      <c r="I42" s="66" t="n">
        <f aca="false">MAX(H42,I41)</f>
        <v>0</v>
      </c>
      <c r="J42" s="66" t="n">
        <f aca="false">MAX(I42,J41)</f>
        <v>0</v>
      </c>
      <c r="K42" s="66" t="n">
        <f aca="false">MAX(J42,K41)</f>
        <v>0</v>
      </c>
      <c r="L42" s="66" t="n">
        <f aca="false">MAX(K42,L41)</f>
        <v>0</v>
      </c>
      <c r="M42" s="66" t="n">
        <f aca="false">MAX(L42,M41)</f>
        <v>0</v>
      </c>
      <c r="N42" s="66" t="n">
        <f aca="false">MAX(M42,N41)</f>
        <v>0</v>
      </c>
      <c r="O42" s="66" t="n">
        <f aca="false">MAX(N42,O41)</f>
        <v>0</v>
      </c>
      <c r="P42" s="66" t="n">
        <f aca="false">MAX(O42,P41)</f>
        <v>0</v>
      </c>
      <c r="Q42" s="66" t="n">
        <f aca="false">MAX(P42,Q41)</f>
        <v>0</v>
      </c>
      <c r="R42" s="66" t="n">
        <f aca="false">MAX(Q42,R41)</f>
        <v>0</v>
      </c>
      <c r="S42" s="66" t="n">
        <f aca="false">MAX(R42,S41)</f>
        <v>0</v>
      </c>
      <c r="T42" s="66" t="n">
        <f aca="false">MAX(S42,T41)</f>
        <v>0</v>
      </c>
      <c r="U42" s="66" t="n">
        <f aca="false">MAX(T42,U41)</f>
        <v>0</v>
      </c>
      <c r="V42" s="66" t="n">
        <f aca="false">MAX(U42,V41)</f>
        <v>0</v>
      </c>
      <c r="W42" s="66" t="n">
        <f aca="false">MAX(V42,W41)</f>
        <v>0</v>
      </c>
      <c r="X42" s="66" t="n">
        <f aca="false">MAX(W42,X41)</f>
        <v>0</v>
      </c>
      <c r="Y42" s="66" t="n">
        <f aca="false">MAX(X42,Y41)</f>
        <v>0</v>
      </c>
      <c r="Z42" s="66" t="n">
        <f aca="false">MAX(Y42,Z41)</f>
        <v>0</v>
      </c>
      <c r="AA42" s="66" t="n">
        <f aca="false">MAX(Z42,AA41)</f>
        <v>0</v>
      </c>
      <c r="AB42" s="66" t="n">
        <f aca="false">MAX(AA42,AB41)</f>
        <v>0</v>
      </c>
      <c r="AC42" s="66" t="n">
        <f aca="false">MAX(AB42,AC41)</f>
        <v>0</v>
      </c>
      <c r="AD42" s="66" t="n">
        <f aca="false">MAX(AC42,AD41)</f>
        <v>0</v>
      </c>
      <c r="AE42" s="66" t="n">
        <f aca="false">MAX(AD42,AE41)</f>
        <v>0</v>
      </c>
      <c r="AF42" s="66" t="n">
        <f aca="false">MAX(AE42,AF41)</f>
        <v>0</v>
      </c>
      <c r="AG42" s="66" t="n">
        <f aca="false">MAX(AF42,AG41)</f>
        <v>0</v>
      </c>
      <c r="AH42" s="66" t="n">
        <f aca="false">MAX(AG42,AH41)</f>
        <v>0</v>
      </c>
      <c r="AI42" s="66" t="n">
        <f aca="false">MAX(AH42,AI41)</f>
        <v>0</v>
      </c>
      <c r="AJ42" s="66" t="n">
        <f aca="false">MAX(AI42,AJ41)</f>
        <v>0</v>
      </c>
      <c r="AK42" s="66" t="n">
        <f aca="false">MAX(AJ42,AK41)</f>
        <v>0</v>
      </c>
      <c r="AL42" s="66" t="n">
        <f aca="false">MAX(AK42,AL41)</f>
        <v>0</v>
      </c>
    </row>
    <row r="43" customFormat="false" ht="15" hidden="false" customHeight="false" outlineLevel="0" collapsed="false">
      <c r="A43" s="6" t="s">
        <v>81</v>
      </c>
      <c r="C43" s="66" t="n">
        <f aca="false">-C42*Inputs!$E$58</f>
        <v>-0</v>
      </c>
      <c r="D43" s="66" t="n">
        <f aca="false">-(D42-C42)*Inputs!$E$58</f>
        <v>-0</v>
      </c>
      <c r="E43" s="66" t="n">
        <f aca="false">-(E42-D42)*Inputs!$E$58</f>
        <v>-0</v>
      </c>
      <c r="F43" s="66" t="n">
        <f aca="false">-(F42-E42)*Inputs!$E$58</f>
        <v>-0</v>
      </c>
      <c r="G43" s="66" t="n">
        <f aca="false">-(G42-F42)*Inputs!$E$58</f>
        <v>-0</v>
      </c>
      <c r="H43" s="66" t="n">
        <f aca="false">-(H42-G42)*Inputs!$E$58</f>
        <v>-0</v>
      </c>
      <c r="I43" s="66" t="n">
        <f aca="false">-(I42-H42)*Inputs!$E$58</f>
        <v>-0</v>
      </c>
      <c r="J43" s="66" t="n">
        <f aca="false">-(J42-I42)*Inputs!$E$58</f>
        <v>-0</v>
      </c>
      <c r="K43" s="66" t="n">
        <f aca="false">-(K42-J42)*Inputs!$E$58</f>
        <v>-0</v>
      </c>
      <c r="L43" s="66" t="n">
        <f aca="false">-(L42-K42)*Inputs!$E$58</f>
        <v>-0</v>
      </c>
      <c r="M43" s="66" t="n">
        <f aca="false">-(M42-L42)*Inputs!$E$58</f>
        <v>-0</v>
      </c>
      <c r="N43" s="66" t="n">
        <f aca="false">-(N42-M42)*Inputs!$E$58</f>
        <v>-0</v>
      </c>
      <c r="O43" s="66" t="n">
        <f aca="false">-(O42-N42)*Inputs!$E$58</f>
        <v>-0</v>
      </c>
      <c r="P43" s="66" t="n">
        <f aca="false">-(P42-O42)*Inputs!$E$58</f>
        <v>-0</v>
      </c>
      <c r="Q43" s="66" t="n">
        <f aca="false">-(Q42-P42)*Inputs!$E$58</f>
        <v>-0</v>
      </c>
      <c r="R43" s="66" t="n">
        <f aca="false">-(R42-Q42)*Inputs!$E$58</f>
        <v>-0</v>
      </c>
      <c r="S43" s="66" t="n">
        <f aca="false">-(S42-R42)*Inputs!$E$58</f>
        <v>-0</v>
      </c>
      <c r="T43" s="66" t="n">
        <f aca="false">-(T42-S42)*Inputs!$E$58</f>
        <v>-0</v>
      </c>
      <c r="U43" s="66" t="n">
        <f aca="false">-(U42-T42)*Inputs!$E$58</f>
        <v>-0</v>
      </c>
      <c r="V43" s="66" t="n">
        <f aca="false">-(V42-U42)*Inputs!$E$58</f>
        <v>-0</v>
      </c>
      <c r="W43" s="66" t="n">
        <f aca="false">-(W42-V42)*Inputs!$E$58</f>
        <v>-0</v>
      </c>
      <c r="X43" s="66" t="n">
        <f aca="false">-(X42-W42)*Inputs!$E$58</f>
        <v>-0</v>
      </c>
      <c r="Y43" s="66" t="n">
        <f aca="false">-(Y42-X42)*Inputs!$E$58</f>
        <v>-0</v>
      </c>
      <c r="Z43" s="66" t="n">
        <f aca="false">-(Z42-Y42)*Inputs!$E$58</f>
        <v>-0</v>
      </c>
      <c r="AA43" s="66" t="n">
        <f aca="false">-(AA42-Z42)*Inputs!$E$58</f>
        <v>-0</v>
      </c>
      <c r="AB43" s="66" t="n">
        <f aca="false">-(AB42-AA42)*Inputs!$E$58</f>
        <v>-0</v>
      </c>
      <c r="AC43" s="66" t="n">
        <f aca="false">-(AC42-AB42)*Inputs!$E$58</f>
        <v>-0</v>
      </c>
      <c r="AD43" s="66" t="n">
        <f aca="false">-(AD42-AC42)*Inputs!$E$58</f>
        <v>-0</v>
      </c>
      <c r="AE43" s="66" t="n">
        <f aca="false">-(AE42-AD42)*Inputs!$E$58</f>
        <v>-0</v>
      </c>
      <c r="AF43" s="66" t="n">
        <f aca="false">-(AF42-AE42)*Inputs!$E$58</f>
        <v>-0</v>
      </c>
      <c r="AG43" s="66" t="n">
        <f aca="false">-(AG42-AF42)*Inputs!$E$58</f>
        <v>-0</v>
      </c>
      <c r="AH43" s="66" t="n">
        <f aca="false">-(AH42-AG42)*Inputs!$E$58</f>
        <v>-0</v>
      </c>
      <c r="AI43" s="66" t="n">
        <f aca="false">-(AI42-AH42)*Inputs!$E$58</f>
        <v>-0</v>
      </c>
      <c r="AJ43" s="66" t="n">
        <f aca="false">-(AJ42-AI42)*Inputs!$E$58</f>
        <v>-0</v>
      </c>
      <c r="AK43" s="66" t="n">
        <f aca="false">-(AK42-AJ42)*Inputs!$E$58</f>
        <v>-0</v>
      </c>
      <c r="AL43" s="66" t="n">
        <f aca="false">-(AL42-AK42)*Inputs!$E$58</f>
        <v>-0</v>
      </c>
    </row>
    <row r="44" customFormat="false" ht="15" hidden="false" customHeight="false" outlineLevel="0" collapsed="false">
      <c r="A44" s="111" t="s">
        <v>50</v>
      </c>
      <c r="C44" s="67" t="n">
        <f aca="false">C40+C43</f>
        <v>-71828.2458333333</v>
      </c>
      <c r="D44" s="67" t="n">
        <f aca="false">D40+D43</f>
        <v>-69331.0897430556</v>
      </c>
      <c r="E44" s="67" t="n">
        <f aca="false">E40+E43</f>
        <v>-66896.0781089236</v>
      </c>
      <c r="F44" s="67" t="n">
        <f aca="false">F40+F43</f>
        <v>-64521.6658529172</v>
      </c>
      <c r="G44" s="67" t="n">
        <f aca="false">G40+G43</f>
        <v>-62206.346267965</v>
      </c>
      <c r="H44" s="67" t="n">
        <f aca="false">H40+H43</f>
        <v>-59948.650066351</v>
      </c>
      <c r="I44" s="67" t="n">
        <f aca="false">I40+I43</f>
        <v>-57747.1444516804</v>
      </c>
      <c r="J44" s="67" t="n">
        <f aca="false">J40+J43</f>
        <v>-55600.4322138224</v>
      </c>
      <c r="K44" s="67" t="n">
        <f aca="false">K40+K43</f>
        <v>-53507.1508462635</v>
      </c>
      <c r="L44" s="67" t="n">
        <f aca="false">L40+L43</f>
        <v>-51465.9716853155</v>
      </c>
      <c r="M44" s="67" t="n">
        <f aca="false">M40+M43</f>
        <v>-49475.5990706404</v>
      </c>
      <c r="N44" s="67" t="n">
        <f aca="false">N40+N43</f>
        <v>-47534.7695265641</v>
      </c>
      <c r="O44" s="67" t="n">
        <f aca="false">O40+O43</f>
        <v>-81911.2651192201</v>
      </c>
      <c r="P44" s="67" t="n">
        <f aca="false">P40+P43</f>
        <v>-79352.8732351351</v>
      </c>
      <c r="Q44" s="67" t="n">
        <f aca="false">Q40+Q43</f>
        <v>-76858.1733051687</v>
      </c>
      <c r="R44" s="67" t="n">
        <f aca="false">R40+R43</f>
        <v>-74425.5810657574</v>
      </c>
      <c r="S44" s="67" t="n">
        <f aca="false">S40+S43</f>
        <v>-72053.5516188682</v>
      </c>
      <c r="T44" s="67" t="n">
        <f aca="false">T40+T43</f>
        <v>-69740.5784550919</v>
      </c>
      <c r="U44" s="67" t="n">
        <f aca="false">U40+U43</f>
        <v>-67485.1925009425</v>
      </c>
      <c r="V44" s="67" t="n">
        <f aca="false">V40+V43</f>
        <v>-65285.9611897633</v>
      </c>
      <c r="W44" s="67" t="n">
        <f aca="false">W40+W43</f>
        <v>-63141.4875556567</v>
      </c>
      <c r="X44" s="67" t="n">
        <f aca="false">X40+X43</f>
        <v>-61050.4093498668</v>
      </c>
      <c r="Y44" s="67" t="n">
        <f aca="false">Y40+Y43</f>
        <v>-59011.3981790621</v>
      </c>
      <c r="Z44" s="67" t="n">
        <f aca="false">Z40+Z43</f>
        <v>-57023.1586649725</v>
      </c>
      <c r="AA44" s="67" t="n">
        <f aca="false">AA40+AA43</f>
        <v>-111159.484892924</v>
      </c>
      <c r="AB44" s="67" t="n">
        <f aca="false">AB40+AB43</f>
        <v>-108351.118911447</v>
      </c>
      <c r="AC44" s="67" t="n">
        <f aca="false">AC40+AC43</f>
        <v>-105612.688114033</v>
      </c>
      <c r="AD44" s="67" t="n">
        <f aca="false">AD40+AD43</f>
        <v>-102942.452340044</v>
      </c>
      <c r="AE44" s="67" t="n">
        <f aca="false">AE40+AE43</f>
        <v>-100338.714686289</v>
      </c>
      <c r="AF44" s="67" t="n">
        <f aca="false">AF40+AF43</f>
        <v>-97799.8204329865</v>
      </c>
      <c r="AG44" s="67" t="n">
        <f aca="false">AG40+AG43</f>
        <v>-95324.1559963515</v>
      </c>
      <c r="AH44" s="67" t="n">
        <f aca="false">AH40+AH43</f>
        <v>-92910.1479071573</v>
      </c>
      <c r="AI44" s="67" t="n">
        <f aca="false">AI40+AI43</f>
        <v>-90556.2618146223</v>
      </c>
      <c r="AJ44" s="67" t="n">
        <f aca="false">AJ40+AJ43</f>
        <v>-88261.0015149969</v>
      </c>
      <c r="AK44" s="67" t="n">
        <f aca="false">AK40+AK43</f>
        <v>-86022.9080042407</v>
      </c>
      <c r="AL44" s="67" t="n">
        <f aca="false">AL40+AL43</f>
        <v>-83840.5585541905</v>
      </c>
    </row>
    <row r="46" customFormat="false" ht="15.75" hidden="false" customHeight="true" outlineLevel="0" collapsed="false">
      <c r="A46" s="7" t="s">
        <v>388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6" t="s">
        <v>83</v>
      </c>
      <c r="C47" s="66" t="n">
        <f aca="false">IF(C$4=1,Inputs!$E$23,0)</f>
        <v>20000</v>
      </c>
      <c r="D47" s="66" t="n">
        <f aca="false">IF(D$4=1,Inputs!$E$23,0)</f>
        <v>0</v>
      </c>
      <c r="E47" s="66" t="n">
        <f aca="false">IF(E$4=1,Inputs!$E$23,0)</f>
        <v>0</v>
      </c>
      <c r="F47" s="66" t="n">
        <f aca="false">IF(F$4=1,Inputs!$E$23,0)</f>
        <v>0</v>
      </c>
      <c r="G47" s="66" t="n">
        <f aca="false">IF(G$4=1,Inputs!$E$23,0)</f>
        <v>0</v>
      </c>
      <c r="H47" s="66" t="n">
        <f aca="false">IF(H$4=1,Inputs!$E$23,0)</f>
        <v>0</v>
      </c>
      <c r="I47" s="66" t="n">
        <f aca="false">IF(I$4=1,Inputs!$E$23,0)</f>
        <v>0</v>
      </c>
      <c r="J47" s="66" t="n">
        <f aca="false">IF(J$4=1,Inputs!$E$23,0)</f>
        <v>0</v>
      </c>
      <c r="K47" s="66" t="n">
        <f aca="false">IF(K$4=1,Inputs!$E$23,0)</f>
        <v>0</v>
      </c>
      <c r="L47" s="66" t="n">
        <f aca="false">IF(L$4=1,Inputs!$E$23,0)</f>
        <v>0</v>
      </c>
      <c r="M47" s="66" t="n">
        <f aca="false">IF(M$4=1,Inputs!$E$23,0)</f>
        <v>0</v>
      </c>
      <c r="N47" s="66" t="n">
        <f aca="false">IF(N$4=1,Inputs!$E$23,0)</f>
        <v>0</v>
      </c>
      <c r="O47" s="66" t="n">
        <f aca="false">IF(O$4=1,Inputs!$E$23,0)</f>
        <v>0</v>
      </c>
      <c r="P47" s="66" t="n">
        <f aca="false">IF(P$4=1,Inputs!$E$23,0)</f>
        <v>0</v>
      </c>
      <c r="Q47" s="66" t="n">
        <f aca="false">IF(Q$4=1,Inputs!$E$23,0)</f>
        <v>0</v>
      </c>
      <c r="R47" s="66" t="n">
        <f aca="false">IF(R$4=1,Inputs!$E$23,0)</f>
        <v>0</v>
      </c>
      <c r="S47" s="66" t="n">
        <f aca="false">IF(S$4=1,Inputs!$E$23,0)</f>
        <v>0</v>
      </c>
      <c r="T47" s="66" t="n">
        <f aca="false">IF(T$4=1,Inputs!$E$23,0)</f>
        <v>0</v>
      </c>
      <c r="U47" s="66" t="n">
        <f aca="false">IF(U$4=1,Inputs!$E$23,0)</f>
        <v>0</v>
      </c>
      <c r="V47" s="66" t="n">
        <f aca="false">IF(V$4=1,Inputs!$E$23,0)</f>
        <v>0</v>
      </c>
      <c r="W47" s="66" t="n">
        <f aca="false">IF(W$4=1,Inputs!$E$23,0)</f>
        <v>0</v>
      </c>
      <c r="X47" s="66" t="n">
        <f aca="false">IF(X$4=1,Inputs!$E$23,0)</f>
        <v>0</v>
      </c>
      <c r="Y47" s="66" t="n">
        <f aca="false">IF(Y$4=1,Inputs!$E$23,0)</f>
        <v>0</v>
      </c>
      <c r="Z47" s="66" t="n">
        <f aca="false">IF(Z$4=1,Inputs!$E$23,0)</f>
        <v>0</v>
      </c>
      <c r="AA47" s="66" t="n">
        <f aca="false">IF(AA$4=1,Inputs!$E$23,0)</f>
        <v>0</v>
      </c>
      <c r="AB47" s="66" t="n">
        <f aca="false">IF(AB$4=1,Inputs!$E$23,0)</f>
        <v>0</v>
      </c>
      <c r="AC47" s="66" t="n">
        <f aca="false">IF(AC$4=1,Inputs!$E$23,0)</f>
        <v>0</v>
      </c>
      <c r="AD47" s="66" t="n">
        <f aca="false">IF(AD$4=1,Inputs!$E$23,0)</f>
        <v>0</v>
      </c>
      <c r="AE47" s="66" t="n">
        <f aca="false">IF(AE$4=1,Inputs!$E$23,0)</f>
        <v>0</v>
      </c>
      <c r="AF47" s="66" t="n">
        <f aca="false">IF(AF$4=1,Inputs!$E$23,0)</f>
        <v>0</v>
      </c>
      <c r="AG47" s="66" t="n">
        <f aca="false">IF(AG$4=1,Inputs!$E$23,0)</f>
        <v>0</v>
      </c>
      <c r="AH47" s="66" t="n">
        <f aca="false">IF(AH$4=1,Inputs!$E$23,0)</f>
        <v>0</v>
      </c>
      <c r="AI47" s="66" t="n">
        <f aca="false">IF(AI$4=1,Inputs!$E$23,0)</f>
        <v>0</v>
      </c>
      <c r="AJ47" s="66" t="n">
        <f aca="false">IF(AJ$4=1,Inputs!$E$23,0)</f>
        <v>0</v>
      </c>
      <c r="AK47" s="66" t="n">
        <f aca="false">IF(AK$4=1,Inputs!$E$23,0)</f>
        <v>0</v>
      </c>
      <c r="AL47" s="66" t="n">
        <f aca="false">IF(AL$4=1,Inputs!$E$23,0)</f>
        <v>0</v>
      </c>
    </row>
    <row r="48" customFormat="false" ht="15" hidden="false" customHeight="false" outlineLevel="0" collapsed="false">
      <c r="A48" s="6" t="s">
        <v>389</v>
      </c>
      <c r="C48" s="66" t="n">
        <f aca="false">C47</f>
        <v>20000</v>
      </c>
      <c r="D48" s="66" t="n">
        <f aca="false">C48+D47</f>
        <v>20000</v>
      </c>
      <c r="E48" s="66" t="n">
        <f aca="false">D48+E47</f>
        <v>20000</v>
      </c>
      <c r="F48" s="66" t="n">
        <f aca="false">E48+F47</f>
        <v>20000</v>
      </c>
      <c r="G48" s="66" t="n">
        <f aca="false">F48+G47</f>
        <v>20000</v>
      </c>
      <c r="H48" s="66" t="n">
        <f aca="false">G48+H47</f>
        <v>20000</v>
      </c>
      <c r="I48" s="66" t="n">
        <f aca="false">H48+I47</f>
        <v>20000</v>
      </c>
      <c r="J48" s="66" t="n">
        <f aca="false">I48+J47</f>
        <v>20000</v>
      </c>
      <c r="K48" s="66" t="n">
        <f aca="false">J48+K47</f>
        <v>20000</v>
      </c>
      <c r="L48" s="66" t="n">
        <f aca="false">K48+L47</f>
        <v>20000</v>
      </c>
      <c r="M48" s="66" t="n">
        <f aca="false">L48+M47</f>
        <v>20000</v>
      </c>
      <c r="N48" s="66" t="n">
        <f aca="false">M48+N47</f>
        <v>20000</v>
      </c>
      <c r="O48" s="66" t="n">
        <f aca="false">N48+O47</f>
        <v>20000</v>
      </c>
      <c r="P48" s="66" t="n">
        <f aca="false">O48+P47</f>
        <v>20000</v>
      </c>
      <c r="Q48" s="66" t="n">
        <f aca="false">P48+Q47</f>
        <v>20000</v>
      </c>
      <c r="R48" s="66" t="n">
        <f aca="false">Q48+R47</f>
        <v>20000</v>
      </c>
      <c r="S48" s="66" t="n">
        <f aca="false">R48+S47</f>
        <v>20000</v>
      </c>
      <c r="T48" s="66" t="n">
        <f aca="false">S48+T47</f>
        <v>20000</v>
      </c>
      <c r="U48" s="66" t="n">
        <f aca="false">T48+U47</f>
        <v>20000</v>
      </c>
      <c r="V48" s="66" t="n">
        <f aca="false">U48+V47</f>
        <v>20000</v>
      </c>
      <c r="W48" s="66" t="n">
        <f aca="false">V48+W47</f>
        <v>20000</v>
      </c>
      <c r="X48" s="66" t="n">
        <f aca="false">W48+X47</f>
        <v>20000</v>
      </c>
      <c r="Y48" s="66" t="n">
        <f aca="false">X48+Y47</f>
        <v>20000</v>
      </c>
      <c r="Z48" s="66" t="n">
        <f aca="false">Y48+Z47</f>
        <v>20000</v>
      </c>
      <c r="AA48" s="66" t="n">
        <f aca="false">Z48+AA47</f>
        <v>20000</v>
      </c>
      <c r="AB48" s="66" t="n">
        <f aca="false">AA48+AB47</f>
        <v>20000</v>
      </c>
      <c r="AC48" s="66" t="n">
        <f aca="false">AB48+AC47</f>
        <v>20000</v>
      </c>
      <c r="AD48" s="66" t="n">
        <f aca="false">AC48+AD47</f>
        <v>20000</v>
      </c>
      <c r="AE48" s="66" t="n">
        <f aca="false">AD48+AE47</f>
        <v>20000</v>
      </c>
      <c r="AF48" s="66" t="n">
        <f aca="false">AE48+AF47</f>
        <v>20000</v>
      </c>
      <c r="AG48" s="66" t="n">
        <f aca="false">AF48+AG47</f>
        <v>20000</v>
      </c>
      <c r="AH48" s="66" t="n">
        <f aca="false">AG48+AH47</f>
        <v>20000</v>
      </c>
      <c r="AI48" s="66" t="n">
        <f aca="false">AH48+AI47</f>
        <v>20000</v>
      </c>
      <c r="AJ48" s="66" t="n">
        <f aca="false">AI48+AJ47</f>
        <v>20000</v>
      </c>
      <c r="AK48" s="66" t="n">
        <f aca="false">AJ48+AK47</f>
        <v>20000</v>
      </c>
      <c r="AL48" s="66" t="n">
        <f aca="false">AK48+AL47</f>
        <v>20000</v>
      </c>
    </row>
    <row r="49" customFormat="false" ht="15" hidden="false" customHeight="false" outlineLevel="0" collapsed="false">
      <c r="A49" s="6" t="s">
        <v>77</v>
      </c>
      <c r="C49" s="66" t="n">
        <f aca="false">-MIN(C48/MAX(1,Inputs!$E$57*12),C47)</f>
        <v>-555.555555555556</v>
      </c>
      <c r="D49" s="66" t="n">
        <f aca="false">-MIN(D48/MAX(1,Inputs!$E$57*12),C51+D47)</f>
        <v>-555.555555555556</v>
      </c>
      <c r="E49" s="66" t="n">
        <f aca="false">-MIN(E48/MAX(1,Inputs!$E$57*12),D51+E47)</f>
        <v>-555.555555555556</v>
      </c>
      <c r="F49" s="66" t="n">
        <f aca="false">-MIN(F48/MAX(1,Inputs!$E$57*12),E51+F47)</f>
        <v>-555.555555555556</v>
      </c>
      <c r="G49" s="66" t="n">
        <f aca="false">-MIN(G48/MAX(1,Inputs!$E$57*12),F51+G47)</f>
        <v>-555.555555555556</v>
      </c>
      <c r="H49" s="66" t="n">
        <f aca="false">-MIN(H48/MAX(1,Inputs!$E$57*12),G51+H47)</f>
        <v>-555.555555555556</v>
      </c>
      <c r="I49" s="66" t="n">
        <f aca="false">-MIN(I48/MAX(1,Inputs!$E$57*12),H51+I47)</f>
        <v>-555.555555555556</v>
      </c>
      <c r="J49" s="66" t="n">
        <f aca="false">-MIN(J48/MAX(1,Inputs!$E$57*12),I51+J47)</f>
        <v>-555.555555555556</v>
      </c>
      <c r="K49" s="66" t="n">
        <f aca="false">-MIN(K48/MAX(1,Inputs!$E$57*12),J51+K47)</f>
        <v>-555.555555555556</v>
      </c>
      <c r="L49" s="66" t="n">
        <f aca="false">-MIN(L48/MAX(1,Inputs!$E$57*12),K51+L47)</f>
        <v>-555.555555555556</v>
      </c>
      <c r="M49" s="66" t="n">
        <f aca="false">-MIN(M48/MAX(1,Inputs!$E$57*12),L51+M47)</f>
        <v>-555.555555555556</v>
      </c>
      <c r="N49" s="66" t="n">
        <f aca="false">-MIN(N48/MAX(1,Inputs!$E$57*12),M51+N47)</f>
        <v>-555.555555555556</v>
      </c>
      <c r="O49" s="66" t="n">
        <f aca="false">-MIN(O48/MAX(1,Inputs!$E$57*12),N51+O47)</f>
        <v>-555.555555555556</v>
      </c>
      <c r="P49" s="66" t="n">
        <f aca="false">-MIN(P48/MAX(1,Inputs!$E$57*12),O51+P47)</f>
        <v>-555.555555555556</v>
      </c>
      <c r="Q49" s="66" t="n">
        <f aca="false">-MIN(Q48/MAX(1,Inputs!$E$57*12),P51+Q47)</f>
        <v>-555.555555555556</v>
      </c>
      <c r="R49" s="66" t="n">
        <f aca="false">-MIN(R48/MAX(1,Inputs!$E$57*12),Q51+R47)</f>
        <v>-555.555555555556</v>
      </c>
      <c r="S49" s="66" t="n">
        <f aca="false">-MIN(S48/MAX(1,Inputs!$E$57*12),R51+S47)</f>
        <v>-555.555555555556</v>
      </c>
      <c r="T49" s="66" t="n">
        <f aca="false">-MIN(T48/MAX(1,Inputs!$E$57*12),S51+T47)</f>
        <v>-555.555555555556</v>
      </c>
      <c r="U49" s="66" t="n">
        <f aca="false">-MIN(U48/MAX(1,Inputs!$E$57*12),T51+U47)</f>
        <v>-555.555555555556</v>
      </c>
      <c r="V49" s="66" t="n">
        <f aca="false">-MIN(V48/MAX(1,Inputs!$E$57*12),U51+V47)</f>
        <v>-555.555555555556</v>
      </c>
      <c r="W49" s="66" t="n">
        <f aca="false">-MIN(W48/MAX(1,Inputs!$E$57*12),V51+W47)</f>
        <v>-555.555555555556</v>
      </c>
      <c r="X49" s="66" t="n">
        <f aca="false">-MIN(X48/MAX(1,Inputs!$E$57*12),W51+X47)</f>
        <v>-555.555555555556</v>
      </c>
      <c r="Y49" s="66" t="n">
        <f aca="false">-MIN(Y48/MAX(1,Inputs!$E$57*12),X51+Y47)</f>
        <v>-555.555555555556</v>
      </c>
      <c r="Z49" s="66" t="n">
        <f aca="false">-MIN(Z48/MAX(1,Inputs!$E$57*12),Y51+Z47)</f>
        <v>-555.555555555556</v>
      </c>
      <c r="AA49" s="66" t="n">
        <f aca="false">-MIN(AA48/MAX(1,Inputs!$E$57*12),Z51+AA47)</f>
        <v>-555.555555555556</v>
      </c>
      <c r="AB49" s="66" t="n">
        <f aca="false">-MIN(AB48/MAX(1,Inputs!$E$57*12),AA51+AB47)</f>
        <v>-555.555555555556</v>
      </c>
      <c r="AC49" s="66" t="n">
        <f aca="false">-MIN(AC48/MAX(1,Inputs!$E$57*12),AB51+AC47)</f>
        <v>-555.555555555556</v>
      </c>
      <c r="AD49" s="66" t="n">
        <f aca="false">-MIN(AD48/MAX(1,Inputs!$E$57*12),AC51+AD47)</f>
        <v>-555.555555555556</v>
      </c>
      <c r="AE49" s="66" t="n">
        <f aca="false">-MIN(AE48/MAX(1,Inputs!$E$57*12),AD51+AE47)</f>
        <v>-555.555555555556</v>
      </c>
      <c r="AF49" s="66" t="n">
        <f aca="false">-MIN(AF48/MAX(1,Inputs!$E$57*12),AE51+AF47)</f>
        <v>-555.555555555556</v>
      </c>
      <c r="AG49" s="66" t="n">
        <f aca="false">-MIN(AG48/MAX(1,Inputs!$E$57*12),AF51+AG47)</f>
        <v>-555.555555555556</v>
      </c>
      <c r="AH49" s="66" t="n">
        <f aca="false">-MIN(AH48/MAX(1,Inputs!$E$57*12),AG51+AH47)</f>
        <v>-555.555555555556</v>
      </c>
      <c r="AI49" s="66" t="n">
        <f aca="false">-MIN(AI48/MAX(1,Inputs!$E$57*12),AH51+AI47)</f>
        <v>-555.555555555556</v>
      </c>
      <c r="AJ49" s="66" t="n">
        <f aca="false">-MIN(AJ48/MAX(1,Inputs!$E$57*12),AI51+AJ47)</f>
        <v>-555.555555555556</v>
      </c>
      <c r="AK49" s="66" t="n">
        <f aca="false">-MIN(AK48/MAX(1,Inputs!$E$57*12),AJ51+AK47)</f>
        <v>-555.555555555556</v>
      </c>
      <c r="AL49" s="66" t="n">
        <f aca="false">-MIN(AL48/MAX(1,Inputs!$E$57*12),AK51+AL47)</f>
        <v>-555.555555555556</v>
      </c>
    </row>
    <row r="50" customFormat="false" ht="15" hidden="false" customHeight="false" outlineLevel="0" collapsed="false">
      <c r="A50" s="6" t="s">
        <v>390</v>
      </c>
      <c r="C50" s="66" t="n">
        <f aca="false">C49</f>
        <v>-555.555555555556</v>
      </c>
      <c r="D50" s="66" t="n">
        <f aca="false">C50+D49</f>
        <v>-1111.11111111111</v>
      </c>
      <c r="E50" s="66" t="n">
        <f aca="false">D50+E49</f>
        <v>-1666.66666666667</v>
      </c>
      <c r="F50" s="66" t="n">
        <f aca="false">E50+F49</f>
        <v>-2222.22222222222</v>
      </c>
      <c r="G50" s="66" t="n">
        <f aca="false">F50+G49</f>
        <v>-2777.77777777778</v>
      </c>
      <c r="H50" s="66" t="n">
        <f aca="false">G50+H49</f>
        <v>-3333.33333333333</v>
      </c>
      <c r="I50" s="66" t="n">
        <f aca="false">H50+I49</f>
        <v>-3888.88888888889</v>
      </c>
      <c r="J50" s="66" t="n">
        <f aca="false">I50+J49</f>
        <v>-4444.44444444444</v>
      </c>
      <c r="K50" s="66" t="n">
        <f aca="false">J50+K49</f>
        <v>-5000</v>
      </c>
      <c r="L50" s="66" t="n">
        <f aca="false">K50+L49</f>
        <v>-5555.55555555556</v>
      </c>
      <c r="M50" s="66" t="n">
        <f aca="false">L50+M49</f>
        <v>-6111.11111111111</v>
      </c>
      <c r="N50" s="66" t="n">
        <f aca="false">M50+N49</f>
        <v>-6666.66666666667</v>
      </c>
      <c r="O50" s="66" t="n">
        <f aca="false">N50+O49</f>
        <v>-7222.22222222222</v>
      </c>
      <c r="P50" s="66" t="n">
        <f aca="false">O50+P49</f>
        <v>-7777.77777777778</v>
      </c>
      <c r="Q50" s="66" t="n">
        <f aca="false">P50+Q49</f>
        <v>-8333.33333333333</v>
      </c>
      <c r="R50" s="66" t="n">
        <f aca="false">Q50+R49</f>
        <v>-8888.88888888889</v>
      </c>
      <c r="S50" s="66" t="n">
        <f aca="false">R50+S49</f>
        <v>-9444.44444444444</v>
      </c>
      <c r="T50" s="66" t="n">
        <f aca="false">S50+T49</f>
        <v>-10000</v>
      </c>
      <c r="U50" s="66" t="n">
        <f aca="false">T50+U49</f>
        <v>-10555.5555555556</v>
      </c>
      <c r="V50" s="66" t="n">
        <f aca="false">U50+V49</f>
        <v>-11111.1111111111</v>
      </c>
      <c r="W50" s="66" t="n">
        <f aca="false">V50+W49</f>
        <v>-11666.6666666667</v>
      </c>
      <c r="X50" s="66" t="n">
        <f aca="false">W50+X49</f>
        <v>-12222.2222222222</v>
      </c>
      <c r="Y50" s="66" t="n">
        <f aca="false">X50+Y49</f>
        <v>-12777.7777777778</v>
      </c>
      <c r="Z50" s="66" t="n">
        <f aca="false">Y50+Z49</f>
        <v>-13333.3333333333</v>
      </c>
      <c r="AA50" s="66" t="n">
        <f aca="false">Z50+AA49</f>
        <v>-13888.8888888889</v>
      </c>
      <c r="AB50" s="66" t="n">
        <f aca="false">AA50+AB49</f>
        <v>-14444.4444444444</v>
      </c>
      <c r="AC50" s="66" t="n">
        <f aca="false">AB50+AC49</f>
        <v>-15000</v>
      </c>
      <c r="AD50" s="66" t="n">
        <f aca="false">AC50+AD49</f>
        <v>-15555.5555555555</v>
      </c>
      <c r="AE50" s="66" t="n">
        <f aca="false">AD50+AE49</f>
        <v>-16111.1111111111</v>
      </c>
      <c r="AF50" s="66" t="n">
        <f aca="false">AE50+AF49</f>
        <v>-16666.6666666667</v>
      </c>
      <c r="AG50" s="66" t="n">
        <f aca="false">AF50+AG49</f>
        <v>-17222.2222222222</v>
      </c>
      <c r="AH50" s="66" t="n">
        <f aca="false">AG50+AH49</f>
        <v>-17777.7777777778</v>
      </c>
      <c r="AI50" s="66" t="n">
        <f aca="false">AH50+AI49</f>
        <v>-18333.3333333333</v>
      </c>
      <c r="AJ50" s="66" t="n">
        <f aca="false">AI50+AJ49</f>
        <v>-18888.8888888889</v>
      </c>
      <c r="AK50" s="66" t="n">
        <f aca="false">AJ50+AK49</f>
        <v>-19444.4444444444</v>
      </c>
      <c r="AL50" s="66" t="n">
        <f aca="false">AK50+AL49</f>
        <v>-20000</v>
      </c>
    </row>
    <row r="51" customFormat="false" ht="15" hidden="false" customHeight="false" outlineLevel="0" collapsed="false">
      <c r="A51" s="4" t="s">
        <v>91</v>
      </c>
      <c r="C51" s="72" t="n">
        <f aca="false">C48+C50</f>
        <v>19444.4444444444</v>
      </c>
      <c r="D51" s="72" t="n">
        <f aca="false">D48+D50</f>
        <v>18888.8888888889</v>
      </c>
      <c r="E51" s="72" t="n">
        <f aca="false">E48+E50</f>
        <v>18333.3333333333</v>
      </c>
      <c r="F51" s="72" t="n">
        <f aca="false">F48+F50</f>
        <v>17777.7777777778</v>
      </c>
      <c r="G51" s="72" t="n">
        <f aca="false">G48+G50</f>
        <v>17222.2222222222</v>
      </c>
      <c r="H51" s="72" t="n">
        <f aca="false">H48+H50</f>
        <v>16666.6666666667</v>
      </c>
      <c r="I51" s="72" t="n">
        <f aca="false">I48+I50</f>
        <v>16111.1111111111</v>
      </c>
      <c r="J51" s="72" t="n">
        <f aca="false">J48+J50</f>
        <v>15555.5555555556</v>
      </c>
      <c r="K51" s="72" t="n">
        <f aca="false">K48+K50</f>
        <v>15000</v>
      </c>
      <c r="L51" s="72" t="n">
        <f aca="false">L48+L50</f>
        <v>14444.4444444444</v>
      </c>
      <c r="M51" s="72" t="n">
        <f aca="false">M48+M50</f>
        <v>13888.8888888889</v>
      </c>
      <c r="N51" s="72" t="n">
        <f aca="false">N48+N50</f>
        <v>13333.3333333333</v>
      </c>
      <c r="O51" s="72" t="n">
        <f aca="false">O48+O50</f>
        <v>12777.7777777778</v>
      </c>
      <c r="P51" s="72" t="n">
        <f aca="false">P48+P50</f>
        <v>12222.2222222222</v>
      </c>
      <c r="Q51" s="72" t="n">
        <f aca="false">Q48+Q50</f>
        <v>11666.6666666667</v>
      </c>
      <c r="R51" s="72" t="n">
        <f aca="false">R48+R50</f>
        <v>11111.1111111111</v>
      </c>
      <c r="S51" s="72" t="n">
        <f aca="false">S48+S50</f>
        <v>10555.5555555556</v>
      </c>
      <c r="T51" s="72" t="n">
        <f aca="false">T48+T50</f>
        <v>10000</v>
      </c>
      <c r="U51" s="72" t="n">
        <f aca="false">U48+U50</f>
        <v>9444.44444444445</v>
      </c>
      <c r="V51" s="72" t="n">
        <f aca="false">V48+V50</f>
        <v>8888.88888888889</v>
      </c>
      <c r="W51" s="72" t="n">
        <f aca="false">W48+W50</f>
        <v>8333.33333333334</v>
      </c>
      <c r="X51" s="72" t="n">
        <f aca="false">X48+X50</f>
        <v>7777.77777777778</v>
      </c>
      <c r="Y51" s="72" t="n">
        <f aca="false">Y48+Y50</f>
        <v>7222.22222222223</v>
      </c>
      <c r="Z51" s="72" t="n">
        <f aca="false">Z48+Z50</f>
        <v>6666.66666666667</v>
      </c>
      <c r="AA51" s="72" t="n">
        <f aca="false">AA48+AA50</f>
        <v>6111.11111111112</v>
      </c>
      <c r="AB51" s="72" t="n">
        <f aca="false">AB48+AB50</f>
        <v>5555.55555555556</v>
      </c>
      <c r="AC51" s="72" t="n">
        <f aca="false">AC48+AC50</f>
        <v>5000.00000000001</v>
      </c>
      <c r="AD51" s="72" t="n">
        <f aca="false">AD48+AD50</f>
        <v>4444.44444444445</v>
      </c>
      <c r="AE51" s="72" t="n">
        <f aca="false">AE48+AE50</f>
        <v>3888.8888888889</v>
      </c>
      <c r="AF51" s="72" t="n">
        <f aca="false">AF48+AF50</f>
        <v>3333.33333333334</v>
      </c>
      <c r="AG51" s="72" t="n">
        <f aca="false">AG48+AG50</f>
        <v>2777.77777777779</v>
      </c>
      <c r="AH51" s="72" t="n">
        <f aca="false">AH48+AH50</f>
        <v>2222.22222222223</v>
      </c>
      <c r="AI51" s="72" t="n">
        <f aca="false">AI48+AI50</f>
        <v>1666.66666666668</v>
      </c>
      <c r="AJ51" s="72" t="n">
        <f aca="false">AJ48+AJ50</f>
        <v>1111.11111111112</v>
      </c>
      <c r="AK51" s="72" t="n">
        <f aca="false">AK48+AK50</f>
        <v>555.555555555569</v>
      </c>
      <c r="AL51" s="72" t="n">
        <f aca="false">AL48+AL50</f>
        <v>0</v>
      </c>
    </row>
    <row r="53" customFormat="false" ht="15.75" hidden="false" customHeight="true" outlineLevel="0" collapsed="false">
      <c r="A53" s="7" t="s">
        <v>391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392</v>
      </c>
      <c r="C54" s="66" t="n">
        <f aca="false">0</f>
        <v>0</v>
      </c>
      <c r="D54" s="66" t="n">
        <f aca="false">C57</f>
        <v>0</v>
      </c>
      <c r="E54" s="66" t="n">
        <f aca="false">D57</f>
        <v>0</v>
      </c>
      <c r="F54" s="66" t="n">
        <f aca="false">E57</f>
        <v>0</v>
      </c>
      <c r="G54" s="66" t="n">
        <f aca="false">F57</f>
        <v>0</v>
      </c>
      <c r="H54" s="66" t="n">
        <f aca="false">G57</f>
        <v>0</v>
      </c>
      <c r="I54" s="66" t="n">
        <f aca="false">H57</f>
        <v>0</v>
      </c>
      <c r="J54" s="66" t="n">
        <f aca="false">I57</f>
        <v>0</v>
      </c>
      <c r="K54" s="66" t="n">
        <f aca="false">J57</f>
        <v>0</v>
      </c>
      <c r="L54" s="66" t="n">
        <f aca="false">K57</f>
        <v>0</v>
      </c>
      <c r="M54" s="66" t="n">
        <f aca="false">L57</f>
        <v>0</v>
      </c>
      <c r="N54" s="66" t="n">
        <f aca="false">M57</f>
        <v>0</v>
      </c>
      <c r="O54" s="66" t="n">
        <f aca="false">N57</f>
        <v>0</v>
      </c>
      <c r="P54" s="66" t="n">
        <f aca="false">O57</f>
        <v>0</v>
      </c>
      <c r="Q54" s="66" t="n">
        <f aca="false">P57</f>
        <v>0</v>
      </c>
      <c r="R54" s="66" t="n">
        <f aca="false">Q57</f>
        <v>0</v>
      </c>
      <c r="S54" s="66" t="n">
        <f aca="false">R57</f>
        <v>0</v>
      </c>
      <c r="T54" s="66" t="n">
        <f aca="false">S57</f>
        <v>0</v>
      </c>
      <c r="U54" s="66" t="n">
        <f aca="false">T57</f>
        <v>0</v>
      </c>
      <c r="V54" s="66" t="n">
        <f aca="false">U57</f>
        <v>0</v>
      </c>
      <c r="W54" s="66" t="n">
        <f aca="false">V57</f>
        <v>0</v>
      </c>
      <c r="X54" s="66" t="n">
        <f aca="false">W57</f>
        <v>0</v>
      </c>
      <c r="Y54" s="66" t="n">
        <f aca="false">X57</f>
        <v>0</v>
      </c>
      <c r="Z54" s="66" t="n">
        <f aca="false">Y57</f>
        <v>0</v>
      </c>
      <c r="AA54" s="66" t="n">
        <f aca="false">Z57</f>
        <v>0</v>
      </c>
      <c r="AB54" s="66" t="n">
        <f aca="false">AA57</f>
        <v>0</v>
      </c>
      <c r="AC54" s="66" t="n">
        <f aca="false">AB57</f>
        <v>0</v>
      </c>
      <c r="AD54" s="66" t="n">
        <f aca="false">AC57</f>
        <v>0</v>
      </c>
      <c r="AE54" s="66" t="n">
        <f aca="false">AD57</f>
        <v>0</v>
      </c>
      <c r="AF54" s="66" t="n">
        <f aca="false">AE57</f>
        <v>0</v>
      </c>
      <c r="AG54" s="66" t="n">
        <f aca="false">AF57</f>
        <v>0</v>
      </c>
      <c r="AH54" s="66" t="n">
        <f aca="false">AG57</f>
        <v>0</v>
      </c>
      <c r="AI54" s="66" t="n">
        <f aca="false">AH57</f>
        <v>0</v>
      </c>
      <c r="AJ54" s="66" t="n">
        <f aca="false">AI57</f>
        <v>0</v>
      </c>
      <c r="AK54" s="66" t="n">
        <f aca="false">AJ57</f>
        <v>0</v>
      </c>
      <c r="AL54" s="66" t="n">
        <f aca="false">AK57</f>
        <v>0</v>
      </c>
    </row>
    <row r="55" customFormat="false" ht="15" hidden="false" customHeight="false" outlineLevel="0" collapsed="false">
      <c r="A55" s="6" t="s">
        <v>84</v>
      </c>
      <c r="C55" s="66" t="n">
        <f aca="false">IF(C$4=1,Inputs!$E$47,0)</f>
        <v>0</v>
      </c>
      <c r="D55" s="66" t="n">
        <f aca="false">IF(D$4=1,Inputs!$E$47,0)</f>
        <v>0</v>
      </c>
      <c r="E55" s="66" t="n">
        <f aca="false">IF(E$4=1,Inputs!$E$47,0)</f>
        <v>0</v>
      </c>
      <c r="F55" s="66" t="n">
        <f aca="false">IF(F$4=1,Inputs!$E$47,0)</f>
        <v>0</v>
      </c>
      <c r="G55" s="66" t="n">
        <f aca="false">IF(G$4=1,Inputs!$E$47,0)</f>
        <v>0</v>
      </c>
      <c r="H55" s="66" t="n">
        <f aca="false">IF(H$4=1,Inputs!$E$47,0)</f>
        <v>0</v>
      </c>
      <c r="I55" s="66" t="n">
        <f aca="false">IF(I$4=1,Inputs!$E$47,0)</f>
        <v>0</v>
      </c>
      <c r="J55" s="66" t="n">
        <f aca="false">IF(J$4=1,Inputs!$E$47,0)</f>
        <v>0</v>
      </c>
      <c r="K55" s="66" t="n">
        <f aca="false">IF(K$4=1,Inputs!$E$47,0)</f>
        <v>0</v>
      </c>
      <c r="L55" s="66" t="n">
        <f aca="false">IF(L$4=1,Inputs!$E$47,0)</f>
        <v>0</v>
      </c>
      <c r="M55" s="66" t="n">
        <f aca="false">IF(M$4=1,Inputs!$E$47,0)</f>
        <v>0</v>
      </c>
      <c r="N55" s="66" t="n">
        <f aca="false">IF(N$4=1,Inputs!$E$47,0)</f>
        <v>0</v>
      </c>
      <c r="O55" s="66" t="n">
        <f aca="false">IF(O$4=1,Inputs!$E$47,0)</f>
        <v>0</v>
      </c>
      <c r="P55" s="66" t="n">
        <f aca="false">IF(P$4=1,Inputs!$E$47,0)</f>
        <v>0</v>
      </c>
      <c r="Q55" s="66" t="n">
        <f aca="false">IF(Q$4=1,Inputs!$E$47,0)</f>
        <v>0</v>
      </c>
      <c r="R55" s="66" t="n">
        <f aca="false">IF(R$4=1,Inputs!$E$47,0)</f>
        <v>0</v>
      </c>
      <c r="S55" s="66" t="n">
        <f aca="false">IF(S$4=1,Inputs!$E$47,0)</f>
        <v>0</v>
      </c>
      <c r="T55" s="66" t="n">
        <f aca="false">IF(T$4=1,Inputs!$E$47,0)</f>
        <v>0</v>
      </c>
      <c r="U55" s="66" t="n">
        <f aca="false">IF(U$4=1,Inputs!$E$47,0)</f>
        <v>0</v>
      </c>
      <c r="V55" s="66" t="n">
        <f aca="false">IF(V$4=1,Inputs!$E$47,0)</f>
        <v>0</v>
      </c>
      <c r="W55" s="66" t="n">
        <f aca="false">IF(W$4=1,Inputs!$E$47,0)</f>
        <v>0</v>
      </c>
      <c r="X55" s="66" t="n">
        <f aca="false">IF(X$4=1,Inputs!$E$47,0)</f>
        <v>0</v>
      </c>
      <c r="Y55" s="66" t="n">
        <f aca="false">IF(Y$4=1,Inputs!$E$47,0)</f>
        <v>0</v>
      </c>
      <c r="Z55" s="66" t="n">
        <f aca="false">IF(Z$4=1,Inputs!$E$47,0)</f>
        <v>0</v>
      </c>
      <c r="AA55" s="66" t="n">
        <f aca="false">IF(AA$4=1,Inputs!$E$47,0)</f>
        <v>0</v>
      </c>
      <c r="AB55" s="66" t="n">
        <f aca="false">IF(AB$4=1,Inputs!$E$47,0)</f>
        <v>0</v>
      </c>
      <c r="AC55" s="66" t="n">
        <f aca="false">IF(AC$4=1,Inputs!$E$47,0)</f>
        <v>0</v>
      </c>
      <c r="AD55" s="66" t="n">
        <f aca="false">IF(AD$4=1,Inputs!$E$47,0)</f>
        <v>0</v>
      </c>
      <c r="AE55" s="66" t="n">
        <f aca="false">IF(AE$4=1,Inputs!$E$47,0)</f>
        <v>0</v>
      </c>
      <c r="AF55" s="66" t="n">
        <f aca="false">IF(AF$4=1,Inputs!$E$47,0)</f>
        <v>0</v>
      </c>
      <c r="AG55" s="66" t="n">
        <f aca="false">IF(AG$4=1,Inputs!$E$47,0)</f>
        <v>0</v>
      </c>
      <c r="AH55" s="66" t="n">
        <f aca="false">IF(AH$4=1,Inputs!$E$47,0)</f>
        <v>0</v>
      </c>
      <c r="AI55" s="66" t="n">
        <f aca="false">IF(AI$4=1,Inputs!$E$47,0)</f>
        <v>0</v>
      </c>
      <c r="AJ55" s="66" t="n">
        <f aca="false">IF(AJ$4=1,Inputs!$E$47,0)</f>
        <v>0</v>
      </c>
      <c r="AK55" s="66" t="n">
        <f aca="false">IF(AK$4=1,Inputs!$E$47,0)</f>
        <v>0</v>
      </c>
      <c r="AL55" s="66" t="n">
        <f aca="false">IF(AL$4=1,Inputs!$E$47,0)</f>
        <v>0</v>
      </c>
    </row>
    <row r="56" customFormat="false" ht="15" hidden="false" customHeight="false" outlineLevel="0" collapsed="false">
      <c r="A56" s="6" t="s">
        <v>85</v>
      </c>
      <c r="C56" s="66" t="n">
        <f aca="false">-MIN(C54,Inputs!$E$47/MAX(1,Inputs!$E$49*12))</f>
        <v>-0</v>
      </c>
      <c r="D56" s="66" t="n">
        <f aca="false">-MIN(D54,Inputs!$E$47/MAX(1,Inputs!$E$49*12))</f>
        <v>-0</v>
      </c>
      <c r="E56" s="66" t="n">
        <f aca="false">-MIN(E54,Inputs!$E$47/MAX(1,Inputs!$E$49*12))</f>
        <v>-0</v>
      </c>
      <c r="F56" s="66" t="n">
        <f aca="false">-MIN(F54,Inputs!$E$47/MAX(1,Inputs!$E$49*12))</f>
        <v>-0</v>
      </c>
      <c r="G56" s="66" t="n">
        <f aca="false">-MIN(G54,Inputs!$E$47/MAX(1,Inputs!$E$49*12))</f>
        <v>-0</v>
      </c>
      <c r="H56" s="66" t="n">
        <f aca="false">-MIN(H54,Inputs!$E$47/MAX(1,Inputs!$E$49*12))</f>
        <v>-0</v>
      </c>
      <c r="I56" s="66" t="n">
        <f aca="false">-MIN(I54,Inputs!$E$47/MAX(1,Inputs!$E$49*12))</f>
        <v>-0</v>
      </c>
      <c r="J56" s="66" t="n">
        <f aca="false">-MIN(J54,Inputs!$E$47/MAX(1,Inputs!$E$49*12))</f>
        <v>-0</v>
      </c>
      <c r="K56" s="66" t="n">
        <f aca="false">-MIN(K54,Inputs!$E$47/MAX(1,Inputs!$E$49*12))</f>
        <v>-0</v>
      </c>
      <c r="L56" s="66" t="n">
        <f aca="false">-MIN(L54,Inputs!$E$47/MAX(1,Inputs!$E$49*12))</f>
        <v>-0</v>
      </c>
      <c r="M56" s="66" t="n">
        <f aca="false">-MIN(M54,Inputs!$E$47/MAX(1,Inputs!$E$49*12))</f>
        <v>-0</v>
      </c>
      <c r="N56" s="66" t="n">
        <f aca="false">-MIN(N54,Inputs!$E$47/MAX(1,Inputs!$E$49*12))</f>
        <v>-0</v>
      </c>
      <c r="O56" s="66" t="n">
        <f aca="false">-MIN(O54,Inputs!$E$47/MAX(1,Inputs!$E$49*12))</f>
        <v>-0</v>
      </c>
      <c r="P56" s="66" t="n">
        <f aca="false">-MIN(P54,Inputs!$E$47/MAX(1,Inputs!$E$49*12))</f>
        <v>-0</v>
      </c>
      <c r="Q56" s="66" t="n">
        <f aca="false">-MIN(Q54,Inputs!$E$47/MAX(1,Inputs!$E$49*12))</f>
        <v>-0</v>
      </c>
      <c r="R56" s="66" t="n">
        <f aca="false">-MIN(R54,Inputs!$E$47/MAX(1,Inputs!$E$49*12))</f>
        <v>-0</v>
      </c>
      <c r="S56" s="66" t="n">
        <f aca="false">-MIN(S54,Inputs!$E$47/MAX(1,Inputs!$E$49*12))</f>
        <v>-0</v>
      </c>
      <c r="T56" s="66" t="n">
        <f aca="false">-MIN(T54,Inputs!$E$47/MAX(1,Inputs!$E$49*12))</f>
        <v>-0</v>
      </c>
      <c r="U56" s="66" t="n">
        <f aca="false">-MIN(U54,Inputs!$E$47/MAX(1,Inputs!$E$49*12))</f>
        <v>-0</v>
      </c>
      <c r="V56" s="66" t="n">
        <f aca="false">-MIN(V54,Inputs!$E$47/MAX(1,Inputs!$E$49*12))</f>
        <v>-0</v>
      </c>
      <c r="W56" s="66" t="n">
        <f aca="false">-MIN(W54,Inputs!$E$47/MAX(1,Inputs!$E$49*12))</f>
        <v>-0</v>
      </c>
      <c r="X56" s="66" t="n">
        <f aca="false">-MIN(X54,Inputs!$E$47/MAX(1,Inputs!$E$49*12))</f>
        <v>-0</v>
      </c>
      <c r="Y56" s="66" t="n">
        <f aca="false">-MIN(Y54,Inputs!$E$47/MAX(1,Inputs!$E$49*12))</f>
        <v>-0</v>
      </c>
      <c r="Z56" s="66" t="n">
        <f aca="false">-MIN(Z54,Inputs!$E$47/MAX(1,Inputs!$E$49*12))</f>
        <v>-0</v>
      </c>
      <c r="AA56" s="66" t="n">
        <f aca="false">-MIN(AA54,Inputs!$E$47/MAX(1,Inputs!$E$49*12))</f>
        <v>-0</v>
      </c>
      <c r="AB56" s="66" t="n">
        <f aca="false">-MIN(AB54,Inputs!$E$47/MAX(1,Inputs!$E$49*12))</f>
        <v>-0</v>
      </c>
      <c r="AC56" s="66" t="n">
        <f aca="false">-MIN(AC54,Inputs!$E$47/MAX(1,Inputs!$E$49*12))</f>
        <v>-0</v>
      </c>
      <c r="AD56" s="66" t="n">
        <f aca="false">-MIN(AD54,Inputs!$E$47/MAX(1,Inputs!$E$49*12))</f>
        <v>-0</v>
      </c>
      <c r="AE56" s="66" t="n">
        <f aca="false">-MIN(AE54,Inputs!$E$47/MAX(1,Inputs!$E$49*12))</f>
        <v>-0</v>
      </c>
      <c r="AF56" s="66" t="n">
        <f aca="false">-MIN(AF54,Inputs!$E$47/MAX(1,Inputs!$E$49*12))</f>
        <v>-0</v>
      </c>
      <c r="AG56" s="66" t="n">
        <f aca="false">-MIN(AG54,Inputs!$E$47/MAX(1,Inputs!$E$49*12))</f>
        <v>-0</v>
      </c>
      <c r="AH56" s="66" t="n">
        <f aca="false">-MIN(AH54,Inputs!$E$47/MAX(1,Inputs!$E$49*12))</f>
        <v>-0</v>
      </c>
      <c r="AI56" s="66" t="n">
        <f aca="false">-MIN(AI54,Inputs!$E$47/MAX(1,Inputs!$E$49*12))</f>
        <v>-0</v>
      </c>
      <c r="AJ56" s="66" t="n">
        <f aca="false">-MIN(AJ54,Inputs!$E$47/MAX(1,Inputs!$E$49*12))</f>
        <v>-0</v>
      </c>
      <c r="AK56" s="66" t="n">
        <f aca="false">-MIN(AK54,Inputs!$E$47/MAX(1,Inputs!$E$49*12))</f>
        <v>-0</v>
      </c>
      <c r="AL56" s="66" t="n">
        <f aca="false">-MIN(AL54,Inputs!$E$47/MAX(1,Inputs!$E$49*12))</f>
        <v>-0</v>
      </c>
    </row>
    <row r="57" customFormat="false" ht="15" hidden="false" customHeight="false" outlineLevel="0" collapsed="false">
      <c r="A57" s="4" t="s">
        <v>393</v>
      </c>
      <c r="C57" s="72" t="n">
        <f aca="false">C54+C55+C56</f>
        <v>0</v>
      </c>
      <c r="D57" s="72" t="n">
        <f aca="false">D54+D55+D56</f>
        <v>0</v>
      </c>
      <c r="E57" s="72" t="n">
        <f aca="false">E54+E55+E56</f>
        <v>0</v>
      </c>
      <c r="F57" s="72" t="n">
        <f aca="false">F54+F55+F56</f>
        <v>0</v>
      </c>
      <c r="G57" s="72" t="n">
        <f aca="false">G54+G55+G56</f>
        <v>0</v>
      </c>
      <c r="H57" s="72" t="n">
        <f aca="false">H54+H55+H56</f>
        <v>0</v>
      </c>
      <c r="I57" s="72" t="n">
        <f aca="false">I54+I55+I56</f>
        <v>0</v>
      </c>
      <c r="J57" s="72" t="n">
        <f aca="false">J54+J55+J56</f>
        <v>0</v>
      </c>
      <c r="K57" s="72" t="n">
        <f aca="false">K54+K55+K56</f>
        <v>0</v>
      </c>
      <c r="L57" s="72" t="n">
        <f aca="false">L54+L55+L56</f>
        <v>0</v>
      </c>
      <c r="M57" s="72" t="n">
        <f aca="false">M54+M55+M56</f>
        <v>0</v>
      </c>
      <c r="N57" s="72" t="n">
        <f aca="false">N54+N55+N56</f>
        <v>0</v>
      </c>
      <c r="O57" s="72" t="n">
        <f aca="false">O54+O55+O56</f>
        <v>0</v>
      </c>
      <c r="P57" s="72" t="n">
        <f aca="false">P54+P55+P56</f>
        <v>0</v>
      </c>
      <c r="Q57" s="72" t="n">
        <f aca="false">Q54+Q55+Q56</f>
        <v>0</v>
      </c>
      <c r="R57" s="72" t="n">
        <f aca="false">R54+R55+R56</f>
        <v>0</v>
      </c>
      <c r="S57" s="72" t="n">
        <f aca="false">S54+S55+S56</f>
        <v>0</v>
      </c>
      <c r="T57" s="72" t="n">
        <f aca="false">T54+T55+T56</f>
        <v>0</v>
      </c>
      <c r="U57" s="72" t="n">
        <f aca="false">U54+U55+U56</f>
        <v>0</v>
      </c>
      <c r="V57" s="72" t="n">
        <f aca="false">V54+V55+V56</f>
        <v>0</v>
      </c>
      <c r="W57" s="72" t="n">
        <f aca="false">W54+W55+W56</f>
        <v>0</v>
      </c>
      <c r="X57" s="72" t="n">
        <f aca="false">X54+X55+X56</f>
        <v>0</v>
      </c>
      <c r="Y57" s="72" t="n">
        <f aca="false">Y54+Y55+Y56</f>
        <v>0</v>
      </c>
      <c r="Z57" s="72" t="n">
        <f aca="false">Z54+Z55+Z56</f>
        <v>0</v>
      </c>
      <c r="AA57" s="72" t="n">
        <f aca="false">AA54+AA55+AA56</f>
        <v>0</v>
      </c>
      <c r="AB57" s="72" t="n">
        <f aca="false">AB54+AB55+AB56</f>
        <v>0</v>
      </c>
      <c r="AC57" s="72" t="n">
        <f aca="false">AC54+AC55+AC56</f>
        <v>0</v>
      </c>
      <c r="AD57" s="72" t="n">
        <f aca="false">AD54+AD55+AD56</f>
        <v>0</v>
      </c>
      <c r="AE57" s="72" t="n">
        <f aca="false">AE54+AE55+AE56</f>
        <v>0</v>
      </c>
      <c r="AF57" s="72" t="n">
        <f aca="false">AF54+AF55+AF56</f>
        <v>0</v>
      </c>
      <c r="AG57" s="72" t="n">
        <f aca="false">AG54+AG55+AG56</f>
        <v>0</v>
      </c>
      <c r="AH57" s="72" t="n">
        <f aca="false">AH54+AH55+AH56</f>
        <v>0</v>
      </c>
      <c r="AI57" s="72" t="n">
        <f aca="false">AI54+AI55+AI56</f>
        <v>0</v>
      </c>
      <c r="AJ57" s="72" t="n">
        <f aca="false">AJ54+AJ55+AJ56</f>
        <v>0</v>
      </c>
      <c r="AK57" s="72" t="n">
        <f aca="false">AK54+AK55+AK56</f>
        <v>0</v>
      </c>
      <c r="AL57" s="72" t="n">
        <f aca="false">AL54+AL55+AL56</f>
        <v>0</v>
      </c>
    </row>
    <row r="59" customFormat="false" ht="15.75" hidden="false" customHeight="true" outlineLevel="0" collapsed="false">
      <c r="A59" s="7" t="s">
        <v>299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89</v>
      </c>
      <c r="C60" s="66" t="n">
        <f aca="false">C24*Inputs!$E$52/30</f>
        <v>734.479166666667</v>
      </c>
      <c r="D60" s="66" t="n">
        <f aca="false">D24*Inputs!$E$52/30</f>
        <v>1207.45052083333</v>
      </c>
      <c r="E60" s="66" t="n">
        <f aca="false">E24*Inputs!$E$52/30</f>
        <v>1668.59759114583</v>
      </c>
      <c r="F60" s="66" t="n">
        <f aca="false">F24*Inputs!$E$52/30</f>
        <v>2118.21598470052</v>
      </c>
      <c r="G60" s="66" t="n">
        <f aca="false">G24*Inputs!$E$52/30</f>
        <v>2556.59391841634</v>
      </c>
      <c r="H60" s="66" t="n">
        <f aca="false">H24*Inputs!$E$52/30</f>
        <v>2984.01240378927</v>
      </c>
      <c r="I60" s="66" t="n">
        <f aca="false">I24*Inputs!$E$52/30</f>
        <v>3400.74542702787</v>
      </c>
      <c r="J60" s="66" t="n">
        <f aca="false">J24*Inputs!$E$52/30</f>
        <v>3807.06012468551</v>
      </c>
      <c r="K60" s="66" t="n">
        <f aca="false">K24*Inputs!$E$52/30</f>
        <v>4203.2169549017</v>
      </c>
      <c r="L60" s="66" t="n">
        <f aca="false">L24*Inputs!$E$52/30</f>
        <v>4589.46986436249</v>
      </c>
      <c r="M60" s="66" t="n">
        <f aca="false">M24*Inputs!$E$52/30</f>
        <v>4966.06645108676</v>
      </c>
      <c r="N60" s="66" t="n">
        <f aca="false">N24*Inputs!$E$52/30</f>
        <v>5333.24812314293</v>
      </c>
      <c r="O60" s="66" t="n">
        <f aca="false">O24*Inputs!$E$52/30</f>
        <v>5759.42458673102</v>
      </c>
      <c r="P60" s="66" t="n">
        <f aca="false">P24*Inputs!$E$52/30</f>
        <v>6243.12097206274</v>
      </c>
      <c r="Q60" s="66" t="n">
        <f aca="false">Q24*Inputs!$E$52/30</f>
        <v>6714.72494776118</v>
      </c>
      <c r="R60" s="66" t="n">
        <f aca="false">R24*Inputs!$E$52/30</f>
        <v>7174.53882406715</v>
      </c>
      <c r="S60" s="66" t="n">
        <f aca="false">S24*Inputs!$E$52/30</f>
        <v>7622.85735346547</v>
      </c>
      <c r="T60" s="66" t="n">
        <f aca="false">T24*Inputs!$E$52/30</f>
        <v>8059.96791962883</v>
      </c>
      <c r="U60" s="66" t="n">
        <f aca="false">U24*Inputs!$E$52/30</f>
        <v>8486.15072163811</v>
      </c>
      <c r="V60" s="66" t="n">
        <f aca="false">V24*Inputs!$E$52/30</f>
        <v>8901.67895359716</v>
      </c>
      <c r="W60" s="66" t="n">
        <f aca="false">W24*Inputs!$E$52/30</f>
        <v>9306.81897975723</v>
      </c>
      <c r="X60" s="66" t="n">
        <f aca="false">X24*Inputs!$E$52/30</f>
        <v>9701.8305052633</v>
      </c>
      <c r="Y60" s="66" t="n">
        <f aca="false">Y24*Inputs!$E$52/30</f>
        <v>10086.9667426317</v>
      </c>
      <c r="Z60" s="66" t="n">
        <f aca="false">Z24*Inputs!$E$52/30</f>
        <v>10462.4745740659</v>
      </c>
      <c r="AA60" s="66" t="n">
        <f aca="false">AA24*Inputs!$E$52/30</f>
        <v>10916.3149687143</v>
      </c>
      <c r="AB60" s="66" t="n">
        <f aca="false">AB24*Inputs!$E$52/30</f>
        <v>11446.5296124964</v>
      </c>
      <c r="AC60" s="66" t="n">
        <f aca="false">AC24*Inputs!$E$52/30</f>
        <v>11963.488890184</v>
      </c>
      <c r="AD60" s="66" t="n">
        <f aca="false">AD24*Inputs!$E$52/30</f>
        <v>12467.5241859294</v>
      </c>
      <c r="AE60" s="66" t="n">
        <f aca="false">AE24*Inputs!$E$52/30</f>
        <v>12958.9585992812</v>
      </c>
      <c r="AF60" s="66" t="n">
        <f aca="false">AF24*Inputs!$E$52/30</f>
        <v>13438.1071522991</v>
      </c>
      <c r="AG60" s="66" t="n">
        <f aca="false">AG24*Inputs!$E$52/30</f>
        <v>13905.2769914917</v>
      </c>
      <c r="AH60" s="66" t="n">
        <f aca="false">AH24*Inputs!$E$52/30</f>
        <v>14360.7675847044</v>
      </c>
      <c r="AI60" s="66" t="n">
        <f aca="false">AI24*Inputs!$E$52/30</f>
        <v>14804.8709130868</v>
      </c>
      <c r="AJ60" s="66" t="n">
        <f aca="false">AJ24*Inputs!$E$52/30</f>
        <v>15237.8716582596</v>
      </c>
      <c r="AK60" s="66" t="n">
        <f aca="false">AK24*Inputs!$E$52/30</f>
        <v>15660.0473848031</v>
      </c>
      <c r="AL60" s="66" t="n">
        <f aca="false">AL24*Inputs!$E$52/30</f>
        <v>16071.668718183</v>
      </c>
    </row>
    <row r="61" customFormat="false" ht="15" hidden="false" customHeight="false" outlineLevel="0" collapsed="false">
      <c r="A61" s="6" t="s">
        <v>90</v>
      </c>
      <c r="C61" s="66" t="n">
        <f aca="false">-C25*Inputs!$E$53/30</f>
        <v>0</v>
      </c>
      <c r="D61" s="66" t="n">
        <f aca="false">-D25*Inputs!$E$53/30</f>
        <v>0</v>
      </c>
      <c r="E61" s="66" t="n">
        <f aca="false">-E25*Inputs!$E$53/30</f>
        <v>0</v>
      </c>
      <c r="F61" s="66" t="n">
        <f aca="false">-F25*Inputs!$E$53/30</f>
        <v>0</v>
      </c>
      <c r="G61" s="66" t="n">
        <f aca="false">-G25*Inputs!$E$53/30</f>
        <v>0</v>
      </c>
      <c r="H61" s="66" t="n">
        <f aca="false">-H25*Inputs!$E$53/30</f>
        <v>0</v>
      </c>
      <c r="I61" s="66" t="n">
        <f aca="false">-I25*Inputs!$E$53/30</f>
        <v>0</v>
      </c>
      <c r="J61" s="66" t="n">
        <f aca="false">-J25*Inputs!$E$53/30</f>
        <v>0</v>
      </c>
      <c r="K61" s="66" t="n">
        <f aca="false">-K25*Inputs!$E$53/30</f>
        <v>0</v>
      </c>
      <c r="L61" s="66" t="n">
        <f aca="false">-L25*Inputs!$E$53/30</f>
        <v>0</v>
      </c>
      <c r="M61" s="66" t="n">
        <f aca="false">-M25*Inputs!$E$53/30</f>
        <v>0</v>
      </c>
      <c r="N61" s="66" t="n">
        <f aca="false">-N25*Inputs!$E$53/30</f>
        <v>0</v>
      </c>
      <c r="O61" s="66" t="n">
        <f aca="false">-O25*Inputs!$E$53/30</f>
        <v>0</v>
      </c>
      <c r="P61" s="66" t="n">
        <f aca="false">-P25*Inputs!$E$53/30</f>
        <v>0</v>
      </c>
      <c r="Q61" s="66" t="n">
        <f aca="false">-Q25*Inputs!$E$53/30</f>
        <v>0</v>
      </c>
      <c r="R61" s="66" t="n">
        <f aca="false">-R25*Inputs!$E$53/30</f>
        <v>0</v>
      </c>
      <c r="S61" s="66" t="n">
        <f aca="false">-S25*Inputs!$E$53/30</f>
        <v>0</v>
      </c>
      <c r="T61" s="66" t="n">
        <f aca="false">-T25*Inputs!$E$53/30</f>
        <v>0</v>
      </c>
      <c r="U61" s="66" t="n">
        <f aca="false">-U25*Inputs!$E$53/30</f>
        <v>0</v>
      </c>
      <c r="V61" s="66" t="n">
        <f aca="false">-V25*Inputs!$E$53/30</f>
        <v>0</v>
      </c>
      <c r="W61" s="66" t="n">
        <f aca="false">-W25*Inputs!$E$53/30</f>
        <v>0</v>
      </c>
      <c r="X61" s="66" t="n">
        <f aca="false">-X25*Inputs!$E$53/30</f>
        <v>0</v>
      </c>
      <c r="Y61" s="66" t="n">
        <f aca="false">-Y25*Inputs!$E$53/30</f>
        <v>0</v>
      </c>
      <c r="Z61" s="66" t="n">
        <f aca="false">-Z25*Inputs!$E$53/30</f>
        <v>0</v>
      </c>
      <c r="AA61" s="66" t="n">
        <f aca="false">-AA25*Inputs!$E$53/30</f>
        <v>0</v>
      </c>
      <c r="AB61" s="66" t="n">
        <f aca="false">-AB25*Inputs!$E$53/30</f>
        <v>0</v>
      </c>
      <c r="AC61" s="66" t="n">
        <f aca="false">-AC25*Inputs!$E$53/30</f>
        <v>0</v>
      </c>
      <c r="AD61" s="66" t="n">
        <f aca="false">-AD25*Inputs!$E$53/30</f>
        <v>0</v>
      </c>
      <c r="AE61" s="66" t="n">
        <f aca="false">-AE25*Inputs!$E$53/30</f>
        <v>0</v>
      </c>
      <c r="AF61" s="66" t="n">
        <f aca="false">-AF25*Inputs!$E$53/30</f>
        <v>0</v>
      </c>
      <c r="AG61" s="66" t="n">
        <f aca="false">-AG25*Inputs!$E$53/30</f>
        <v>0</v>
      </c>
      <c r="AH61" s="66" t="n">
        <f aca="false">-AH25*Inputs!$E$53/30</f>
        <v>0</v>
      </c>
      <c r="AI61" s="66" t="n">
        <f aca="false">-AI25*Inputs!$E$53/30</f>
        <v>0</v>
      </c>
      <c r="AJ61" s="66" t="n">
        <f aca="false">-AJ25*Inputs!$E$53/30</f>
        <v>0</v>
      </c>
      <c r="AK61" s="66" t="n">
        <f aca="false">-AK25*Inputs!$E$53/30</f>
        <v>0</v>
      </c>
      <c r="AL61" s="66" t="n">
        <f aca="false">-AL25*Inputs!$E$53/30</f>
        <v>0</v>
      </c>
    </row>
    <row r="62" customFormat="false" ht="15" hidden="false" customHeight="false" outlineLevel="0" collapsed="false">
      <c r="A62" s="6" t="s">
        <v>93</v>
      </c>
      <c r="C62" s="66" t="n">
        <f aca="false">-C25*Inputs!$E$54/30</f>
        <v>529.565277777778</v>
      </c>
      <c r="D62" s="66" t="n">
        <f aca="false">-D25*Inputs!$E$54/30</f>
        <v>870.2373125</v>
      </c>
      <c r="E62" s="66" t="n">
        <f aca="false">-E25*Inputs!$E$54/30</f>
        <v>1202.10810024306</v>
      </c>
      <c r="F62" s="66" t="n">
        <f aca="false">-F25*Inputs!$E$54/30</f>
        <v>1525.40620556476</v>
      </c>
      <c r="G62" s="66" t="n">
        <f aca="false">-G25*Inputs!$E$54/30</f>
        <v>1840.35422290747</v>
      </c>
      <c r="H62" s="66" t="n">
        <f aca="false">-H25*Inputs!$E$54/30</f>
        <v>2147.16893353105</v>
      </c>
      <c r="I62" s="66" t="n">
        <f aca="false">-I25*Inputs!$E$54/30</f>
        <v>2446.06145829204</v>
      </c>
      <c r="J62" s="66" t="n">
        <f aca="false">-J25*Inputs!$E$54/30</f>
        <v>2737.23740637992</v>
      </c>
      <c r="K62" s="66" t="n">
        <f aca="false">-K25*Inputs!$E$54/30</f>
        <v>3020.89702011814</v>
      </c>
      <c r="L62" s="66" t="n">
        <f aca="false">-L25*Inputs!$E$54/30</f>
        <v>3297.23531593485</v>
      </c>
      <c r="M62" s="66" t="n">
        <f aca="false">-M25*Inputs!$E$54/30</f>
        <v>3566.44222160545</v>
      </c>
      <c r="N62" s="66" t="n">
        <f aca="false">-N25*Inputs!$E$54/30</f>
        <v>3828.7027098661</v>
      </c>
      <c r="O62" s="66" t="n">
        <f aca="false">-O25*Inputs!$E$54/30</f>
        <v>4132.25708405066</v>
      </c>
      <c r="P62" s="66" t="n">
        <f aca="false">-P25*Inputs!$E$54/30</f>
        <v>4476.043511956</v>
      </c>
      <c r="Q62" s="66" t="n">
        <f aca="false">-Q25*Inputs!$E$54/30</f>
        <v>4810.96743618017</v>
      </c>
      <c r="R62" s="66" t="n">
        <f aca="false">-R25*Inputs!$E$54/30</f>
        <v>5137.25845460472</v>
      </c>
      <c r="S62" s="66" t="n">
        <f aca="false">-S25*Inputs!$E$54/30</f>
        <v>5455.14018410545</v>
      </c>
      <c r="T62" s="66" t="n">
        <f aca="false">-T25*Inputs!$E$54/30</f>
        <v>5764.83041730935</v>
      </c>
      <c r="U62" s="66" t="n">
        <f aca="false">-U25*Inputs!$E$54/30</f>
        <v>6066.54127521562</v>
      </c>
      <c r="V62" s="66" t="n">
        <f aca="false">-V25*Inputs!$E$54/30</f>
        <v>6360.47935579073</v>
      </c>
      <c r="W62" s="66" t="n">
        <f aca="false">-W25*Inputs!$E$54/30</f>
        <v>6646.84587864447</v>
      </c>
      <c r="X62" s="66" t="n">
        <f aca="false">-X25*Inputs!$E$54/30</f>
        <v>6925.83682589107</v>
      </c>
      <c r="Y62" s="66" t="n">
        <f aca="false">-Y25*Inputs!$E$54/30</f>
        <v>7197.64307929679</v>
      </c>
      <c r="Z62" s="66" t="n">
        <f aca="false">-Z25*Inputs!$E$54/30</f>
        <v>7462.45055381245</v>
      </c>
      <c r="AA62" s="66" t="n">
        <f aca="false">-AA25*Inputs!$E$54/30</f>
        <v>7782.01914965361</v>
      </c>
      <c r="AB62" s="66" t="n">
        <f aca="false">-AB25*Inputs!$E$54/30</f>
        <v>8154.94103087014</v>
      </c>
      <c r="AC62" s="66" t="n">
        <f aca="false">-AC25*Inputs!$E$54/30</f>
        <v>8518.26589958153</v>
      </c>
      <c r="AD62" s="66" t="n">
        <f aca="false">-AD25*Inputs!$E$54/30</f>
        <v>8872.24190006463</v>
      </c>
      <c r="AE62" s="66" t="n">
        <f aca="false">-AE25*Inputs!$E$54/30</f>
        <v>9217.11072642048</v>
      </c>
      <c r="AF62" s="66" t="n">
        <f aca="false">-AF25*Inputs!$E$54/30</f>
        <v>9553.10779122571</v>
      </c>
      <c r="AG62" s="66" t="n">
        <f aca="false">-AG25*Inputs!$E$54/30</f>
        <v>9880.46238974584</v>
      </c>
      <c r="AH62" s="66" t="n">
        <f aca="false">-AH25*Inputs!$E$54/30</f>
        <v>10199.3978598279</v>
      </c>
      <c r="AI62" s="66" t="n">
        <f aca="false">-AI25*Inputs!$E$54/30</f>
        <v>10510.1317375872</v>
      </c>
      <c r="AJ62" s="66" t="n">
        <f aca="false">-AJ25*Inputs!$E$54/30</f>
        <v>10812.8759089989</v>
      </c>
      <c r="AK62" s="66" t="n">
        <f aca="false">-AK25*Inputs!$E$54/30</f>
        <v>11107.8367575037</v>
      </c>
      <c r="AL62" s="66" t="n">
        <f aca="false">-AL25*Inputs!$E$54/30</f>
        <v>11395.215307733</v>
      </c>
    </row>
    <row r="63" customFormat="false" ht="15" hidden="false" customHeight="false" outlineLevel="0" collapsed="false">
      <c r="A63" s="6" t="s">
        <v>322</v>
      </c>
      <c r="C63" s="66" t="n">
        <f aca="false">-C60</f>
        <v>-734.479166666667</v>
      </c>
      <c r="D63" s="66" t="n">
        <f aca="false">C60-D60</f>
        <v>-472.971354166667</v>
      </c>
      <c r="E63" s="66" t="n">
        <f aca="false">D60-E60</f>
        <v>-461.1470703125</v>
      </c>
      <c r="F63" s="66" t="n">
        <f aca="false">E60-F60</f>
        <v>-449.618393554688</v>
      </c>
      <c r="G63" s="66" t="n">
        <f aca="false">F60-G60</f>
        <v>-438.377933715821</v>
      </c>
      <c r="H63" s="66" t="n">
        <f aca="false">G60-H60</f>
        <v>-427.418485372925</v>
      </c>
      <c r="I63" s="66" t="n">
        <f aca="false">H60-I60</f>
        <v>-416.733023238602</v>
      </c>
      <c r="J63" s="66" t="n">
        <f aca="false">I60-J60</f>
        <v>-406.314697657637</v>
      </c>
      <c r="K63" s="66" t="n">
        <f aca="false">J60-K60</f>
        <v>-396.156830216195</v>
      </c>
      <c r="L63" s="66" t="n">
        <f aca="false">K60-L60</f>
        <v>-386.252909460791</v>
      </c>
      <c r="M63" s="66" t="n">
        <f aca="false">L60-M60</f>
        <v>-376.596586724271</v>
      </c>
      <c r="N63" s="66" t="n">
        <f aca="false">M60-N60</f>
        <v>-367.181672056164</v>
      </c>
      <c r="O63" s="66" t="n">
        <f aca="false">N60-O60</f>
        <v>-426.176463588095</v>
      </c>
      <c r="P63" s="66" t="n">
        <f aca="false">O60-P60</f>
        <v>-483.696385331723</v>
      </c>
      <c r="Q63" s="66" t="n">
        <f aca="false">P60-Q60</f>
        <v>-471.603975698432</v>
      </c>
      <c r="R63" s="66" t="n">
        <f aca="false">Q60-R60</f>
        <v>-459.81387630597</v>
      </c>
      <c r="S63" s="66" t="n">
        <f aca="false">R60-S60</f>
        <v>-448.318529398322</v>
      </c>
      <c r="T63" s="66" t="n">
        <f aca="false">S60-T60</f>
        <v>-437.110566163364</v>
      </c>
      <c r="U63" s="66" t="n">
        <f aca="false">T60-U60</f>
        <v>-426.182802009278</v>
      </c>
      <c r="V63" s="66" t="n">
        <f aca="false">U60-V60</f>
        <v>-415.528231959048</v>
      </c>
      <c r="W63" s="66" t="n">
        <f aca="false">V60-W60</f>
        <v>-405.140026160072</v>
      </c>
      <c r="X63" s="66" t="n">
        <f aca="false">W60-X60</f>
        <v>-395.011525506068</v>
      </c>
      <c r="Y63" s="66" t="n">
        <f aca="false">X60-Y60</f>
        <v>-385.136237368419</v>
      </c>
      <c r="Z63" s="66" t="n">
        <f aca="false">Y60-Z60</f>
        <v>-375.507831434205</v>
      </c>
      <c r="AA63" s="66" t="n">
        <f aca="false">Z60-AA60</f>
        <v>-453.84039464835</v>
      </c>
      <c r="AB63" s="66" t="n">
        <f aca="false">AA60-AB60</f>
        <v>-530.214643782143</v>
      </c>
      <c r="AC63" s="66" t="n">
        <f aca="false">AB60-AC60</f>
        <v>-516.959277687589</v>
      </c>
      <c r="AD63" s="66" t="n">
        <f aca="false">AC60-AD60</f>
        <v>-504.035295745396</v>
      </c>
      <c r="AE63" s="66" t="n">
        <f aca="false">AD60-AE60</f>
        <v>-491.434413351768</v>
      </c>
      <c r="AF63" s="66" t="n">
        <f aca="false">AE60-AF60</f>
        <v>-479.148553017971</v>
      </c>
      <c r="AG63" s="66" t="n">
        <f aca="false">AF60-AG60</f>
        <v>-467.169839192518</v>
      </c>
      <c r="AH63" s="66" t="n">
        <f aca="false">AG60-AH60</f>
        <v>-455.490593212708</v>
      </c>
      <c r="AI63" s="66" t="n">
        <f aca="false">AH60-AI60</f>
        <v>-444.103328382391</v>
      </c>
      <c r="AJ63" s="66" t="n">
        <f aca="false">AI60-AJ60</f>
        <v>-433.000745172831</v>
      </c>
      <c r="AK63" s="66" t="n">
        <f aca="false">AJ60-AK60</f>
        <v>-422.175726543506</v>
      </c>
      <c r="AL63" s="66" t="n">
        <f aca="false">AK60-AL60</f>
        <v>-411.621333379922</v>
      </c>
    </row>
    <row r="64" customFormat="false" ht="15" hidden="false" customHeight="false" outlineLevel="0" collapsed="false">
      <c r="A64" s="6" t="s">
        <v>323</v>
      </c>
      <c r="C64" s="66" t="n">
        <f aca="false">-C61</f>
        <v>-0</v>
      </c>
      <c r="D64" s="66" t="n">
        <f aca="false">C61-D61</f>
        <v>0</v>
      </c>
      <c r="E64" s="66" t="n">
        <f aca="false">D61-E61</f>
        <v>0</v>
      </c>
      <c r="F64" s="66" t="n">
        <f aca="false">E61-F61</f>
        <v>0</v>
      </c>
      <c r="G64" s="66" t="n">
        <f aca="false">F61-G61</f>
        <v>0</v>
      </c>
      <c r="H64" s="66" t="n">
        <f aca="false">G61-H61</f>
        <v>0</v>
      </c>
      <c r="I64" s="66" t="n">
        <f aca="false">H61-I61</f>
        <v>0</v>
      </c>
      <c r="J64" s="66" t="n">
        <f aca="false">I61-J61</f>
        <v>0</v>
      </c>
      <c r="K64" s="66" t="n">
        <f aca="false">J61-K61</f>
        <v>0</v>
      </c>
      <c r="L64" s="66" t="n">
        <f aca="false">K61-L61</f>
        <v>0</v>
      </c>
      <c r="M64" s="66" t="n">
        <f aca="false">L61-M61</f>
        <v>0</v>
      </c>
      <c r="N64" s="66" t="n">
        <f aca="false">M61-N61</f>
        <v>0</v>
      </c>
      <c r="O64" s="66" t="n">
        <f aca="false">N61-O61</f>
        <v>0</v>
      </c>
      <c r="P64" s="66" t="n">
        <f aca="false">O61-P61</f>
        <v>0</v>
      </c>
      <c r="Q64" s="66" t="n">
        <f aca="false">P61-Q61</f>
        <v>0</v>
      </c>
      <c r="R64" s="66" t="n">
        <f aca="false">Q61-R61</f>
        <v>0</v>
      </c>
      <c r="S64" s="66" t="n">
        <f aca="false">R61-S61</f>
        <v>0</v>
      </c>
      <c r="T64" s="66" t="n">
        <f aca="false">S61-T61</f>
        <v>0</v>
      </c>
      <c r="U64" s="66" t="n">
        <f aca="false">T61-U61</f>
        <v>0</v>
      </c>
      <c r="V64" s="66" t="n">
        <f aca="false">U61-V61</f>
        <v>0</v>
      </c>
      <c r="W64" s="66" t="n">
        <f aca="false">V61-W61</f>
        <v>0</v>
      </c>
      <c r="X64" s="66" t="n">
        <f aca="false">W61-X61</f>
        <v>0</v>
      </c>
      <c r="Y64" s="66" t="n">
        <f aca="false">X61-Y61</f>
        <v>0</v>
      </c>
      <c r="Z64" s="66" t="n">
        <f aca="false">Y61-Z61</f>
        <v>0</v>
      </c>
      <c r="AA64" s="66" t="n">
        <f aca="false">Z61-AA61</f>
        <v>0</v>
      </c>
      <c r="AB64" s="66" t="n">
        <f aca="false">AA61-AB61</f>
        <v>0</v>
      </c>
      <c r="AC64" s="66" t="n">
        <f aca="false">AB61-AC61</f>
        <v>0</v>
      </c>
      <c r="AD64" s="66" t="n">
        <f aca="false">AC61-AD61</f>
        <v>0</v>
      </c>
      <c r="AE64" s="66" t="n">
        <f aca="false">AD61-AE61</f>
        <v>0</v>
      </c>
      <c r="AF64" s="66" t="n">
        <f aca="false">AE61-AF61</f>
        <v>0</v>
      </c>
      <c r="AG64" s="66" t="n">
        <f aca="false">AF61-AG61</f>
        <v>0</v>
      </c>
      <c r="AH64" s="66" t="n">
        <f aca="false">AG61-AH61</f>
        <v>0</v>
      </c>
      <c r="AI64" s="66" t="n">
        <f aca="false">AH61-AI61</f>
        <v>0</v>
      </c>
      <c r="AJ64" s="66" t="n">
        <f aca="false">AI61-AJ61</f>
        <v>0</v>
      </c>
      <c r="AK64" s="66" t="n">
        <f aca="false">AJ61-AK61</f>
        <v>0</v>
      </c>
      <c r="AL64" s="66" t="n">
        <f aca="false">AK61-AL61</f>
        <v>0</v>
      </c>
    </row>
    <row r="65" customFormat="false" ht="15" hidden="false" customHeight="false" outlineLevel="0" collapsed="false">
      <c r="A65" s="6" t="s">
        <v>324</v>
      </c>
      <c r="C65" s="66" t="n">
        <f aca="false">C62</f>
        <v>529.565277777778</v>
      </c>
      <c r="D65" s="66" t="n">
        <f aca="false">D62-C62</f>
        <v>340.672034722222</v>
      </c>
      <c r="E65" s="66" t="n">
        <f aca="false">E62-D62</f>
        <v>331.870787743055</v>
      </c>
      <c r="F65" s="66" t="n">
        <f aca="false">F62-E62</f>
        <v>323.298105321701</v>
      </c>
      <c r="G65" s="66" t="n">
        <f aca="false">G62-F62</f>
        <v>314.948017342715</v>
      </c>
      <c r="H65" s="66" t="n">
        <f aca="false">H62-G62</f>
        <v>306.814710623581</v>
      </c>
      <c r="I65" s="66" t="n">
        <f aca="false">I62-H62</f>
        <v>298.892524760992</v>
      </c>
      <c r="J65" s="66" t="n">
        <f aca="false">J62-I62</f>
        <v>291.175948087878</v>
      </c>
      <c r="K65" s="66" t="n">
        <f aca="false">K62-J62</f>
        <v>283.659613738214</v>
      </c>
      <c r="L65" s="66" t="n">
        <f aca="false">L62-K62</f>
        <v>276.338295816716</v>
      </c>
      <c r="M65" s="66" t="n">
        <f aca="false">M62-L62</f>
        <v>269.206905670598</v>
      </c>
      <c r="N65" s="66" t="n">
        <f aca="false">N62-M62</f>
        <v>262.260488260652</v>
      </c>
      <c r="O65" s="66" t="n">
        <f aca="false">O62-N62</f>
        <v>303.554374184558</v>
      </c>
      <c r="P65" s="66" t="n">
        <f aca="false">P62-O62</f>
        <v>343.786427905339</v>
      </c>
      <c r="Q65" s="66" t="n">
        <f aca="false">Q62-P62</f>
        <v>334.923924224174</v>
      </c>
      <c r="R65" s="66" t="n">
        <f aca="false">R62-Q62</f>
        <v>326.291018424546</v>
      </c>
      <c r="S65" s="66" t="n">
        <f aca="false">S62-R62</f>
        <v>317.881729500726</v>
      </c>
      <c r="T65" s="66" t="n">
        <f aca="false">T62-S62</f>
        <v>309.690233203901</v>
      </c>
      <c r="U65" s="66" t="n">
        <f aca="false">U62-T62</f>
        <v>301.710857906272</v>
      </c>
      <c r="V65" s="66" t="n">
        <f aca="false">V62-U62</f>
        <v>293.938080575113</v>
      </c>
      <c r="W65" s="66" t="n">
        <f aca="false">W62-V62</f>
        <v>286.366522853738</v>
      </c>
      <c r="X65" s="66" t="n">
        <f aca="false">X62-W62</f>
        <v>278.990947246603</v>
      </c>
      <c r="Y65" s="66" t="n">
        <f aca="false">Y62-X62</f>
        <v>271.806253405723</v>
      </c>
      <c r="Z65" s="66" t="n">
        <f aca="false">Z62-Y62</f>
        <v>264.807474515658</v>
      </c>
      <c r="AA65" s="66" t="n">
        <f aca="false">AA62-Z62</f>
        <v>319.568595841158</v>
      </c>
      <c r="AB65" s="66" t="n">
        <f aca="false">AB62-AA62</f>
        <v>372.921881216533</v>
      </c>
      <c r="AC65" s="66" t="n">
        <f aca="false">AC62-AB62</f>
        <v>363.324868711385</v>
      </c>
      <c r="AD65" s="66" t="n">
        <f aca="false">AD62-AC62</f>
        <v>353.976000483104</v>
      </c>
      <c r="AE65" s="66" t="n">
        <f aca="false">AE62-AD62</f>
        <v>344.868826355851</v>
      </c>
      <c r="AF65" s="66" t="n">
        <f aca="false">AF62-AE62</f>
        <v>335.997064805229</v>
      </c>
      <c r="AG65" s="66" t="n">
        <f aca="false">AG62-AF62</f>
        <v>327.354598520125</v>
      </c>
      <c r="AH65" s="66" t="n">
        <f aca="false">AH62-AG62</f>
        <v>318.935470082099</v>
      </c>
      <c r="AI65" s="66" t="n">
        <f aca="false">AI62-AH62</f>
        <v>310.733877759274</v>
      </c>
      <c r="AJ65" s="66" t="n">
        <f aca="false">AJ62-AI62</f>
        <v>302.744171411643</v>
      </c>
      <c r="AK65" s="66" t="n">
        <f aca="false">AK62-AJ62</f>
        <v>294.960848504812</v>
      </c>
      <c r="AL65" s="66" t="n">
        <f aca="false">AL62-AK62</f>
        <v>287.378550229299</v>
      </c>
    </row>
    <row r="66" customFormat="false" ht="15" hidden="false" customHeight="false" outlineLevel="0" collapsed="false">
      <c r="A66" s="6" t="s">
        <v>94</v>
      </c>
      <c r="C66" s="66" t="n">
        <f aca="false">C21*Inputs!$E$17*6</f>
        <v>7012.5</v>
      </c>
      <c r="D66" s="66" t="n">
        <f aca="false">D21*Inputs!$E$17*6</f>
        <v>10374.7875</v>
      </c>
      <c r="E66" s="66" t="n">
        <f aca="false">E21*Inputs!$E$17*6</f>
        <v>13653.0178125</v>
      </c>
      <c r="F66" s="66" t="n">
        <f aca="false">F21*Inputs!$E$17*6</f>
        <v>16849.2923671875</v>
      </c>
      <c r="G66" s="66" t="n">
        <f aca="false">G21*Inputs!$E$17*6</f>
        <v>19965.6600580078</v>
      </c>
      <c r="H66" s="66" t="n">
        <f aca="false">H21*Inputs!$E$17*6</f>
        <v>23004.1185565576</v>
      </c>
      <c r="I66" s="66" t="n">
        <f aca="false">I21*Inputs!$E$17*6</f>
        <v>25966.6155926437</v>
      </c>
      <c r="J66" s="66" t="n">
        <f aca="false">J21*Inputs!$E$17*6</f>
        <v>28855.0502028276</v>
      </c>
      <c r="K66" s="66" t="n">
        <f aca="false">K21*Inputs!$E$17*6</f>
        <v>31671.2739477569</v>
      </c>
      <c r="L66" s="66" t="n">
        <f aca="false">L21*Inputs!$E$17*6</f>
        <v>34417.092099063</v>
      </c>
      <c r="M66" s="66" t="n">
        <f aca="false">M21*Inputs!$E$17*6</f>
        <v>37094.2647965864</v>
      </c>
      <c r="N66" s="66" t="n">
        <f aca="false">N21*Inputs!$E$17*6</f>
        <v>39704.5081766718</v>
      </c>
      <c r="O66" s="66" t="n">
        <f aca="false">O21*Inputs!$E$17*6</f>
        <v>43231.205872255</v>
      </c>
      <c r="P66" s="66" t="n">
        <f aca="false">P21*Inputs!$E$17*6</f>
        <v>46669.7361254486</v>
      </c>
      <c r="Q66" s="66" t="n">
        <f aca="false">Q21*Inputs!$E$17*6</f>
        <v>50022.3031223124</v>
      </c>
      <c r="R66" s="66" t="n">
        <f aca="false">R21*Inputs!$E$17*6</f>
        <v>53291.0559442546</v>
      </c>
      <c r="S66" s="66" t="n">
        <f aca="false">S21*Inputs!$E$17*6</f>
        <v>56478.0899456482</v>
      </c>
      <c r="T66" s="66" t="n">
        <f aca="false">T21*Inputs!$E$17*6</f>
        <v>59585.448097007</v>
      </c>
      <c r="U66" s="66" t="n">
        <f aca="false">U21*Inputs!$E$17*6</f>
        <v>62615.1222945818</v>
      </c>
      <c r="V66" s="66" t="n">
        <f aca="false">V21*Inputs!$E$17*6</f>
        <v>65569.0546372173</v>
      </c>
      <c r="W66" s="66" t="n">
        <f aca="false">W21*Inputs!$E$17*6</f>
        <v>68449.1386712868</v>
      </c>
      <c r="X66" s="66" t="n">
        <f aca="false">X21*Inputs!$E$17*6</f>
        <v>71257.2206045047</v>
      </c>
      <c r="Y66" s="66" t="n">
        <f aca="false">Y21*Inputs!$E$17*6</f>
        <v>73995.100489392</v>
      </c>
      <c r="Z66" s="66" t="n">
        <f aca="false">Z21*Inputs!$E$17*6</f>
        <v>76664.5333771572</v>
      </c>
      <c r="AA66" s="66" t="n">
        <f aca="false">AA21*Inputs!$E$17*6</f>
        <v>80530.4021723283</v>
      </c>
      <c r="AB66" s="66" t="n">
        <f aca="false">AB21*Inputs!$E$17*6</f>
        <v>84299.6242476201</v>
      </c>
      <c r="AC66" s="66" t="n">
        <f aca="false">AC21*Inputs!$E$17*6</f>
        <v>87974.6157710296</v>
      </c>
      <c r="AD66" s="66" t="n">
        <f aca="false">AD21*Inputs!$E$17*6</f>
        <v>91557.7325063538</v>
      </c>
      <c r="AE66" s="66" t="n">
        <f aca="false">AE21*Inputs!$E$17*6</f>
        <v>95051.271323295</v>
      </c>
      <c r="AF66" s="66" t="n">
        <f aca="false">AF21*Inputs!$E$17*6</f>
        <v>98457.4716698126</v>
      </c>
      <c r="AG66" s="66" t="n">
        <f aca="false">AG21*Inputs!$E$17*6</f>
        <v>101778.517007667</v>
      </c>
      <c r="AH66" s="66" t="n">
        <f aca="false">AH21*Inputs!$E$17*6</f>
        <v>105016.536212076</v>
      </c>
      <c r="AI66" s="66" t="n">
        <f aca="false">AI21*Inputs!$E$17*6</f>
        <v>108173.604936374</v>
      </c>
      <c r="AJ66" s="66" t="n">
        <f aca="false">AJ21*Inputs!$E$17*6</f>
        <v>111251.746942564</v>
      </c>
      <c r="AK66" s="66" t="n">
        <f aca="false">AK21*Inputs!$E$17*6</f>
        <v>114252.9353986</v>
      </c>
      <c r="AL66" s="66" t="n">
        <f aca="false">AL21*Inputs!$E$17*6</f>
        <v>117179.094143235</v>
      </c>
    </row>
    <row r="67" customFormat="false" ht="15" hidden="false" customHeight="false" outlineLevel="0" collapsed="false">
      <c r="A67" s="6" t="s">
        <v>325</v>
      </c>
      <c r="C67" s="66" t="n">
        <f aca="false">C66</f>
        <v>7012.5</v>
      </c>
      <c r="D67" s="66" t="n">
        <f aca="false">D66-C66</f>
        <v>3362.2875</v>
      </c>
      <c r="E67" s="66" t="n">
        <f aca="false">E66-D66</f>
        <v>3278.2303125</v>
      </c>
      <c r="F67" s="66" t="n">
        <f aca="false">F66-E66</f>
        <v>3196.2745546875</v>
      </c>
      <c r="G67" s="66" t="n">
        <f aca="false">G66-F66</f>
        <v>3116.36769082031</v>
      </c>
      <c r="H67" s="66" t="n">
        <f aca="false">H66-G66</f>
        <v>3038.45849854981</v>
      </c>
      <c r="I67" s="66" t="n">
        <f aca="false">I66-H66</f>
        <v>2962.49703608606</v>
      </c>
      <c r="J67" s="66" t="n">
        <f aca="false">J66-I66</f>
        <v>2888.43461018391</v>
      </c>
      <c r="K67" s="66" t="n">
        <f aca="false">K66-J66</f>
        <v>2816.22374492931</v>
      </c>
      <c r="L67" s="66" t="n">
        <f aca="false">L66-K66</f>
        <v>2745.81815130608</v>
      </c>
      <c r="M67" s="66" t="n">
        <f aca="false">M66-L66</f>
        <v>2677.17269752342</v>
      </c>
      <c r="N67" s="66" t="n">
        <f aca="false">N66-M66</f>
        <v>2610.24338008535</v>
      </c>
      <c r="O67" s="66" t="n">
        <f aca="false">O66-N66</f>
        <v>3526.69769558321</v>
      </c>
      <c r="P67" s="66" t="n">
        <f aca="false">P66-O66</f>
        <v>3438.53025319362</v>
      </c>
      <c r="Q67" s="66" t="n">
        <f aca="false">Q66-P66</f>
        <v>3352.56699686379</v>
      </c>
      <c r="R67" s="66" t="n">
        <f aca="false">R66-Q66</f>
        <v>3268.75282194219</v>
      </c>
      <c r="S67" s="66" t="n">
        <f aca="false">S66-R66</f>
        <v>3187.03400139364</v>
      </c>
      <c r="T67" s="66" t="n">
        <f aca="false">T66-S66</f>
        <v>3107.3581513588</v>
      </c>
      <c r="U67" s="66" t="n">
        <f aca="false">U66-T66</f>
        <v>3029.67419757482</v>
      </c>
      <c r="V67" s="66" t="n">
        <f aca="false">V66-U66</f>
        <v>2953.93234263546</v>
      </c>
      <c r="W67" s="66" t="n">
        <f aca="false">W66-V66</f>
        <v>2880.08403406957</v>
      </c>
      <c r="X67" s="66" t="n">
        <f aca="false">X66-W66</f>
        <v>2808.08193321782</v>
      </c>
      <c r="Y67" s="66" t="n">
        <f aca="false">Y66-X66</f>
        <v>2737.87988488737</v>
      </c>
      <c r="Z67" s="66" t="n">
        <f aca="false">Z66-Y66</f>
        <v>2669.4328877652</v>
      </c>
      <c r="AA67" s="66" t="n">
        <f aca="false">AA66-Z66</f>
        <v>3865.86879517106</v>
      </c>
      <c r="AB67" s="66" t="n">
        <f aca="false">AB66-AA66</f>
        <v>3769.22207529178</v>
      </c>
      <c r="AC67" s="66" t="n">
        <f aca="false">AC66-AB66</f>
        <v>3674.99152340948</v>
      </c>
      <c r="AD67" s="66" t="n">
        <f aca="false">AD66-AC66</f>
        <v>3583.11673532426</v>
      </c>
      <c r="AE67" s="66" t="n">
        <f aca="false">AE66-AD66</f>
        <v>3493.53881694116</v>
      </c>
      <c r="AF67" s="66" t="n">
        <f aca="false">AF66-AE66</f>
        <v>3406.20034651762</v>
      </c>
      <c r="AG67" s="66" t="n">
        <f aca="false">AG66-AF66</f>
        <v>3321.04533785467</v>
      </c>
      <c r="AH67" s="66" t="n">
        <f aca="false">AH66-AG66</f>
        <v>3238.01920440832</v>
      </c>
      <c r="AI67" s="66" t="n">
        <f aca="false">AI66-AH66</f>
        <v>3157.06872429809</v>
      </c>
      <c r="AJ67" s="66" t="n">
        <f aca="false">AJ66-AI66</f>
        <v>3078.14200619064</v>
      </c>
      <c r="AK67" s="66" t="n">
        <f aca="false">AK66-AJ66</f>
        <v>3001.18845603586</v>
      </c>
      <c r="AL67" s="66" t="n">
        <f aca="false">AL66-AK66</f>
        <v>2926.158744635</v>
      </c>
    </row>
    <row r="69" customFormat="false" ht="15.75" hidden="false" customHeight="true" outlineLevel="0" collapsed="false">
      <c r="A69" s="7" t="s">
        <v>394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customFormat="false" ht="15" hidden="false" customHeight="false" outlineLevel="0" collapsed="false">
      <c r="A70" s="4" t="s">
        <v>52</v>
      </c>
      <c r="C70" s="72" t="n">
        <f aca="false">C44-C49+C63+C64+C65+C67</f>
        <v>-64465.1041666667</v>
      </c>
      <c r="D70" s="72" t="n">
        <f aca="false">D44-D49+D63+D64+D65+D67</f>
        <v>-65545.5460069444</v>
      </c>
      <c r="E70" s="72" t="n">
        <f aca="false">E44-E49+E63+E64+E65+E67</f>
        <v>-63191.5685234375</v>
      </c>
      <c r="F70" s="72" t="n">
        <f aca="false">F44-F49+F63+F64+F65+F67</f>
        <v>-60896.1560309071</v>
      </c>
      <c r="G70" s="72" t="n">
        <f aca="false">G44-G49+G63+G64+G65+G67</f>
        <v>-58657.8529379622</v>
      </c>
      <c r="H70" s="72" t="n">
        <f aca="false">H44-H49+H63+H64+H65+H67</f>
        <v>-56475.239786995</v>
      </c>
      <c r="I70" s="72" t="n">
        <f aca="false">I44-I49+I63+I64+I65+I67</f>
        <v>-54346.9323585164</v>
      </c>
      <c r="J70" s="72" t="n">
        <f aca="false">J44-J49+J63+J64+J65+J67</f>
        <v>-52271.5807976527</v>
      </c>
      <c r="K70" s="72" t="n">
        <f aca="false">K44-K49+K63+K64+K65+K67</f>
        <v>-50247.8687622566</v>
      </c>
      <c r="L70" s="72" t="n">
        <f aca="false">L44-L49+L63+L64+L65+L67</f>
        <v>-48274.5125920979</v>
      </c>
      <c r="M70" s="72" t="n">
        <f aca="false">M44-M49+M63+M64+M65+M67</f>
        <v>-46350.2604986151</v>
      </c>
      <c r="N70" s="72" t="n">
        <f aca="false">N44-N49+N63+N64+N65+N67</f>
        <v>-44473.8917747187</v>
      </c>
      <c r="O70" s="72" t="n">
        <f aca="false">O44-O49+O63+O64+O65+O67</f>
        <v>-77951.6339574849</v>
      </c>
      <c r="P70" s="72" t="n">
        <f aca="false">P44-P49+P63+P64+P65+P67</f>
        <v>-75498.6973838123</v>
      </c>
      <c r="Q70" s="72" t="n">
        <f aca="false">Q44-Q49+Q63+Q64+Q65+Q67</f>
        <v>-73086.7308042236</v>
      </c>
      <c r="R70" s="72" t="n">
        <f aca="false">R44-R49+R63+R64+R65+R67</f>
        <v>-70734.7955461411</v>
      </c>
      <c r="S70" s="72" t="n">
        <f aca="false">S44-S49+S63+S64+S65+S67</f>
        <v>-68441.3988618166</v>
      </c>
      <c r="T70" s="72" t="n">
        <f aca="false">T44-T49+T63+T64+T65+T67</f>
        <v>-66205.085081137</v>
      </c>
      <c r="U70" s="72" t="n">
        <f aca="false">U44-U49+U63+U64+U65+U67</f>
        <v>-64024.4346919152</v>
      </c>
      <c r="V70" s="72" t="n">
        <f aca="false">V44-V49+V63+V64+V65+V67</f>
        <v>-61898.0634429563</v>
      </c>
      <c r="W70" s="72" t="n">
        <f aca="false">W44-W49+W63+W64+W65+W67</f>
        <v>-59824.6214693379</v>
      </c>
      <c r="X70" s="72" t="n">
        <f aca="false">X44-X49+X63+X64+X65+X67</f>
        <v>-57802.7924393529</v>
      </c>
      <c r="Y70" s="72" t="n">
        <f aca="false">Y44-Y49+Y63+Y64+Y65+Y67</f>
        <v>-55831.2927225818</v>
      </c>
      <c r="Z70" s="72" t="n">
        <f aca="false">Z44-Z49+Z63+Z64+Z65+Z67</f>
        <v>-53908.8705785703</v>
      </c>
      <c r="AA70" s="72" t="n">
        <f aca="false">AA44-AA49+AA63+AA64+AA65+AA67</f>
        <v>-106872.332341004</v>
      </c>
      <c r="AB70" s="72" t="n">
        <f aca="false">AB44-AB49+AB63+AB64+AB65+AB67</f>
        <v>-104183.634043166</v>
      </c>
      <c r="AC70" s="72" t="n">
        <f aca="false">AC44-AC49+AC63+AC64+AC65+AC67</f>
        <v>-101535.775444044</v>
      </c>
      <c r="AD70" s="72" t="n">
        <f aca="false">AD44-AD49+AD63+AD64+AD65+AD67</f>
        <v>-98953.8393444263</v>
      </c>
      <c r="AE70" s="72" t="n">
        <f aca="false">AE44-AE49+AE63+AE64+AE65+AE67</f>
        <v>-96436.1859007883</v>
      </c>
      <c r="AF70" s="72" t="n">
        <f aca="false">AF44-AF49+AF63+AF64+AF65+AF67</f>
        <v>-93981.216019126</v>
      </c>
      <c r="AG70" s="72" t="n">
        <f aca="false">AG44-AG49+AG63+AG64+AG65+AG67</f>
        <v>-91587.3703436136</v>
      </c>
      <c r="AH70" s="72" t="n">
        <f aca="false">AH44-AH49+AH63+AH64+AH65+AH67</f>
        <v>-89253.1282703241</v>
      </c>
      <c r="AI70" s="72" t="n">
        <f aca="false">AI44-AI49+AI63+AI64+AI65+AI67</f>
        <v>-86977.0069853917</v>
      </c>
      <c r="AJ70" s="72" t="n">
        <f aca="false">AJ44-AJ49+AJ63+AJ64+AJ65+AJ67</f>
        <v>-84757.5605270119</v>
      </c>
      <c r="AK70" s="72" t="n">
        <f aca="false">AK44-AK49+AK63+AK64+AK65+AK67</f>
        <v>-82593.378870688</v>
      </c>
      <c r="AL70" s="72" t="n">
        <f aca="false">AL44-AL49+AL63+AL64+AL65+AL67</f>
        <v>-80483.0870371505</v>
      </c>
    </row>
    <row r="71" customFormat="false" ht="15" hidden="false" customHeight="false" outlineLevel="0" collapsed="false">
      <c r="A71" s="6" t="s">
        <v>395</v>
      </c>
      <c r="C71" s="66" t="n">
        <f aca="false">-C47</f>
        <v>-20000</v>
      </c>
      <c r="D71" s="66" t="n">
        <f aca="false">-D47</f>
        <v>-0</v>
      </c>
      <c r="E71" s="66" t="n">
        <f aca="false">-E47</f>
        <v>-0</v>
      </c>
      <c r="F71" s="66" t="n">
        <f aca="false">-F47</f>
        <v>-0</v>
      </c>
      <c r="G71" s="66" t="n">
        <f aca="false">-G47</f>
        <v>-0</v>
      </c>
      <c r="H71" s="66" t="n">
        <f aca="false">-H47</f>
        <v>-0</v>
      </c>
      <c r="I71" s="66" t="n">
        <f aca="false">-I47</f>
        <v>-0</v>
      </c>
      <c r="J71" s="66" t="n">
        <f aca="false">-J47</f>
        <v>-0</v>
      </c>
      <c r="K71" s="66" t="n">
        <f aca="false">-K47</f>
        <v>-0</v>
      </c>
      <c r="L71" s="66" t="n">
        <f aca="false">-L47</f>
        <v>-0</v>
      </c>
      <c r="M71" s="66" t="n">
        <f aca="false">-M47</f>
        <v>-0</v>
      </c>
      <c r="N71" s="66" t="n">
        <f aca="false">-N47</f>
        <v>-0</v>
      </c>
      <c r="O71" s="66" t="n">
        <f aca="false">-O47</f>
        <v>-0</v>
      </c>
      <c r="P71" s="66" t="n">
        <f aca="false">-P47</f>
        <v>-0</v>
      </c>
      <c r="Q71" s="66" t="n">
        <f aca="false">-Q47</f>
        <v>-0</v>
      </c>
      <c r="R71" s="66" t="n">
        <f aca="false">-R47</f>
        <v>-0</v>
      </c>
      <c r="S71" s="66" t="n">
        <f aca="false">-S47</f>
        <v>-0</v>
      </c>
      <c r="T71" s="66" t="n">
        <f aca="false">-T47</f>
        <v>-0</v>
      </c>
      <c r="U71" s="66" t="n">
        <f aca="false">-U47</f>
        <v>-0</v>
      </c>
      <c r="V71" s="66" t="n">
        <f aca="false">-V47</f>
        <v>-0</v>
      </c>
      <c r="W71" s="66" t="n">
        <f aca="false">-W47</f>
        <v>-0</v>
      </c>
      <c r="X71" s="66" t="n">
        <f aca="false">-X47</f>
        <v>-0</v>
      </c>
      <c r="Y71" s="66" t="n">
        <f aca="false">-Y47</f>
        <v>-0</v>
      </c>
      <c r="Z71" s="66" t="n">
        <f aca="false">-Z47</f>
        <v>-0</v>
      </c>
      <c r="AA71" s="66" t="n">
        <f aca="false">-AA47</f>
        <v>-0</v>
      </c>
      <c r="AB71" s="66" t="n">
        <f aca="false">-AB47</f>
        <v>-0</v>
      </c>
      <c r="AC71" s="66" t="n">
        <f aca="false">-AC47</f>
        <v>-0</v>
      </c>
      <c r="AD71" s="66" t="n">
        <f aca="false">-AD47</f>
        <v>-0</v>
      </c>
      <c r="AE71" s="66" t="n">
        <f aca="false">-AE47</f>
        <v>-0</v>
      </c>
      <c r="AF71" s="66" t="n">
        <f aca="false">-AF47</f>
        <v>-0</v>
      </c>
      <c r="AG71" s="66" t="n">
        <f aca="false">-AG47</f>
        <v>-0</v>
      </c>
      <c r="AH71" s="66" t="n">
        <f aca="false">-AH47</f>
        <v>-0</v>
      </c>
      <c r="AI71" s="66" t="n">
        <f aca="false">-AI47</f>
        <v>-0</v>
      </c>
      <c r="AJ71" s="66" t="n">
        <f aca="false">-AJ47</f>
        <v>-0</v>
      </c>
      <c r="AK71" s="66" t="n">
        <f aca="false">-AK47</f>
        <v>-0</v>
      </c>
      <c r="AL71" s="66" t="n">
        <f aca="false">-AL47</f>
        <v>-0</v>
      </c>
    </row>
    <row r="72" customFormat="false" ht="15" hidden="false" customHeight="false" outlineLevel="0" collapsed="false">
      <c r="A72" s="6" t="s">
        <v>63</v>
      </c>
      <c r="C72" s="66" t="n">
        <f aca="false">IF(C$4=1,Inputs!$E$46,0)</f>
        <v>3000000</v>
      </c>
      <c r="D72" s="66" t="n">
        <f aca="false">IF(D$4=1,Inputs!$E$46,0)</f>
        <v>0</v>
      </c>
      <c r="E72" s="66" t="n">
        <f aca="false">IF(E$4=1,Inputs!$E$46,0)</f>
        <v>0</v>
      </c>
      <c r="F72" s="66" t="n">
        <f aca="false">IF(F$4=1,Inputs!$E$46,0)</f>
        <v>0</v>
      </c>
      <c r="G72" s="66" t="n">
        <f aca="false">IF(G$4=1,Inputs!$E$46,0)</f>
        <v>0</v>
      </c>
      <c r="H72" s="66" t="n">
        <f aca="false">IF(H$4=1,Inputs!$E$46,0)</f>
        <v>0</v>
      </c>
      <c r="I72" s="66" t="n">
        <f aca="false">IF(I$4=1,Inputs!$E$46,0)</f>
        <v>0</v>
      </c>
      <c r="J72" s="66" t="n">
        <f aca="false">IF(J$4=1,Inputs!$E$46,0)</f>
        <v>0</v>
      </c>
      <c r="K72" s="66" t="n">
        <f aca="false">IF(K$4=1,Inputs!$E$46,0)</f>
        <v>0</v>
      </c>
      <c r="L72" s="66" t="n">
        <f aca="false">IF(L$4=1,Inputs!$E$46,0)</f>
        <v>0</v>
      </c>
      <c r="M72" s="66" t="n">
        <f aca="false">IF(M$4=1,Inputs!$E$46,0)</f>
        <v>0</v>
      </c>
      <c r="N72" s="66" t="n">
        <f aca="false">IF(N$4=1,Inputs!$E$46,0)</f>
        <v>0</v>
      </c>
      <c r="O72" s="66" t="n">
        <f aca="false">IF(O$4=1,Inputs!$E$46,0)</f>
        <v>0</v>
      </c>
      <c r="P72" s="66" t="n">
        <f aca="false">IF(P$4=1,Inputs!$E$46,0)</f>
        <v>0</v>
      </c>
      <c r="Q72" s="66" t="n">
        <f aca="false">IF(Q$4=1,Inputs!$E$46,0)</f>
        <v>0</v>
      </c>
      <c r="R72" s="66" t="n">
        <f aca="false">IF(R$4=1,Inputs!$E$46,0)</f>
        <v>0</v>
      </c>
      <c r="S72" s="66" t="n">
        <f aca="false">IF(S$4=1,Inputs!$E$46,0)</f>
        <v>0</v>
      </c>
      <c r="T72" s="66" t="n">
        <f aca="false">IF(T$4=1,Inputs!$E$46,0)</f>
        <v>0</v>
      </c>
      <c r="U72" s="66" t="n">
        <f aca="false">IF(U$4=1,Inputs!$E$46,0)</f>
        <v>0</v>
      </c>
      <c r="V72" s="66" t="n">
        <f aca="false">IF(V$4=1,Inputs!$E$46,0)</f>
        <v>0</v>
      </c>
      <c r="W72" s="66" t="n">
        <f aca="false">IF(W$4=1,Inputs!$E$46,0)</f>
        <v>0</v>
      </c>
      <c r="X72" s="66" t="n">
        <f aca="false">IF(X$4=1,Inputs!$E$46,0)</f>
        <v>0</v>
      </c>
      <c r="Y72" s="66" t="n">
        <f aca="false">IF(Y$4=1,Inputs!$E$46,0)</f>
        <v>0</v>
      </c>
      <c r="Z72" s="66" t="n">
        <f aca="false">IF(Z$4=1,Inputs!$E$46,0)</f>
        <v>0</v>
      </c>
      <c r="AA72" s="66" t="n">
        <f aca="false">IF(AA$4=1,Inputs!$E$46,0)</f>
        <v>0</v>
      </c>
      <c r="AB72" s="66" t="n">
        <f aca="false">IF(AB$4=1,Inputs!$E$46,0)</f>
        <v>0</v>
      </c>
      <c r="AC72" s="66" t="n">
        <f aca="false">IF(AC$4=1,Inputs!$E$46,0)</f>
        <v>0</v>
      </c>
      <c r="AD72" s="66" t="n">
        <f aca="false">IF(AD$4=1,Inputs!$E$46,0)</f>
        <v>0</v>
      </c>
      <c r="AE72" s="66" t="n">
        <f aca="false">IF(AE$4=1,Inputs!$E$46,0)</f>
        <v>0</v>
      </c>
      <c r="AF72" s="66" t="n">
        <f aca="false">IF(AF$4=1,Inputs!$E$46,0)</f>
        <v>0</v>
      </c>
      <c r="AG72" s="66" t="n">
        <f aca="false">IF(AG$4=1,Inputs!$E$46,0)</f>
        <v>0</v>
      </c>
      <c r="AH72" s="66" t="n">
        <f aca="false">IF(AH$4=1,Inputs!$E$46,0)</f>
        <v>0</v>
      </c>
      <c r="AI72" s="66" t="n">
        <f aca="false">IF(AI$4=1,Inputs!$E$46,0)</f>
        <v>0</v>
      </c>
      <c r="AJ72" s="66" t="n">
        <f aca="false">IF(AJ$4=1,Inputs!$E$46,0)</f>
        <v>0</v>
      </c>
      <c r="AK72" s="66" t="n">
        <f aca="false">IF(AK$4=1,Inputs!$E$46,0)</f>
        <v>0</v>
      </c>
      <c r="AL72" s="66" t="n">
        <f aca="false">IF(AL$4=1,Inputs!$E$46,0)</f>
        <v>0</v>
      </c>
    </row>
    <row r="73" customFormat="false" ht="15" hidden="false" customHeight="false" outlineLevel="0" collapsed="false">
      <c r="A73" s="6" t="s">
        <v>54</v>
      </c>
      <c r="C73" s="66" t="n">
        <f aca="false">C72+C55+C56</f>
        <v>3000000</v>
      </c>
      <c r="D73" s="66" t="n">
        <f aca="false">D72+D55+D56</f>
        <v>0</v>
      </c>
      <c r="E73" s="66" t="n">
        <f aca="false">E72+E55+E56</f>
        <v>0</v>
      </c>
      <c r="F73" s="66" t="n">
        <f aca="false">F72+F55+F56</f>
        <v>0</v>
      </c>
      <c r="G73" s="66" t="n">
        <f aca="false">G72+G55+G56</f>
        <v>0</v>
      </c>
      <c r="H73" s="66" t="n">
        <f aca="false">H72+H55+H56</f>
        <v>0</v>
      </c>
      <c r="I73" s="66" t="n">
        <f aca="false">I72+I55+I56</f>
        <v>0</v>
      </c>
      <c r="J73" s="66" t="n">
        <f aca="false">J72+J55+J56</f>
        <v>0</v>
      </c>
      <c r="K73" s="66" t="n">
        <f aca="false">K72+K55+K56</f>
        <v>0</v>
      </c>
      <c r="L73" s="66" t="n">
        <f aca="false">L72+L55+L56</f>
        <v>0</v>
      </c>
      <c r="M73" s="66" t="n">
        <f aca="false">M72+M55+M56</f>
        <v>0</v>
      </c>
      <c r="N73" s="66" t="n">
        <f aca="false">N72+N55+N56</f>
        <v>0</v>
      </c>
      <c r="O73" s="66" t="n">
        <f aca="false">O72+O55+O56</f>
        <v>0</v>
      </c>
      <c r="P73" s="66" t="n">
        <f aca="false">P72+P55+P56</f>
        <v>0</v>
      </c>
      <c r="Q73" s="66" t="n">
        <f aca="false">Q72+Q55+Q56</f>
        <v>0</v>
      </c>
      <c r="R73" s="66" t="n">
        <f aca="false">R72+R55+R56</f>
        <v>0</v>
      </c>
      <c r="S73" s="66" t="n">
        <f aca="false">S72+S55+S56</f>
        <v>0</v>
      </c>
      <c r="T73" s="66" t="n">
        <f aca="false">T72+T55+T56</f>
        <v>0</v>
      </c>
      <c r="U73" s="66" t="n">
        <f aca="false">U72+U55+U56</f>
        <v>0</v>
      </c>
      <c r="V73" s="66" t="n">
        <f aca="false">V72+V55+V56</f>
        <v>0</v>
      </c>
      <c r="W73" s="66" t="n">
        <f aca="false">W72+W55+W56</f>
        <v>0</v>
      </c>
      <c r="X73" s="66" t="n">
        <f aca="false">X72+X55+X56</f>
        <v>0</v>
      </c>
      <c r="Y73" s="66" t="n">
        <f aca="false">Y72+Y55+Y56</f>
        <v>0</v>
      </c>
      <c r="Z73" s="66" t="n">
        <f aca="false">Z72+Z55+Z56</f>
        <v>0</v>
      </c>
      <c r="AA73" s="66" t="n">
        <f aca="false">AA72+AA55+AA56</f>
        <v>0</v>
      </c>
      <c r="AB73" s="66" t="n">
        <f aca="false">AB72+AB55+AB56</f>
        <v>0</v>
      </c>
      <c r="AC73" s="66" t="n">
        <f aca="false">AC72+AC55+AC56</f>
        <v>0</v>
      </c>
      <c r="AD73" s="66" t="n">
        <f aca="false">AD72+AD55+AD56</f>
        <v>0</v>
      </c>
      <c r="AE73" s="66" t="n">
        <f aca="false">AE72+AE55+AE56</f>
        <v>0</v>
      </c>
      <c r="AF73" s="66" t="n">
        <f aca="false">AF72+AF55+AF56</f>
        <v>0</v>
      </c>
      <c r="AG73" s="66" t="n">
        <f aca="false">AG72+AG55+AG56</f>
        <v>0</v>
      </c>
      <c r="AH73" s="66" t="n">
        <f aca="false">AH72+AH55+AH56</f>
        <v>0</v>
      </c>
      <c r="AI73" s="66" t="n">
        <f aca="false">AI72+AI55+AI56</f>
        <v>0</v>
      </c>
      <c r="AJ73" s="66" t="n">
        <f aca="false">AJ72+AJ55+AJ56</f>
        <v>0</v>
      </c>
      <c r="AK73" s="66" t="n">
        <f aca="false">AK72+AK55+AK56</f>
        <v>0</v>
      </c>
      <c r="AL73" s="66" t="n">
        <f aca="false">AL72+AL55+AL56</f>
        <v>0</v>
      </c>
    </row>
    <row r="74" customFormat="false" ht="15" hidden="false" customHeight="false" outlineLevel="0" collapsed="false">
      <c r="A74" s="111" t="s">
        <v>396</v>
      </c>
      <c r="C74" s="67" t="n">
        <f aca="false">C70+C71+C73</f>
        <v>2915534.89583333</v>
      </c>
      <c r="D74" s="67" t="n">
        <f aca="false">D70+D71+D73</f>
        <v>-65545.5460069444</v>
      </c>
      <c r="E74" s="67" t="n">
        <f aca="false">E70+E71+E73</f>
        <v>-63191.5685234375</v>
      </c>
      <c r="F74" s="67" t="n">
        <f aca="false">F70+F71+F73</f>
        <v>-60896.1560309071</v>
      </c>
      <c r="G74" s="67" t="n">
        <f aca="false">G70+G71+G73</f>
        <v>-58657.8529379622</v>
      </c>
      <c r="H74" s="67" t="n">
        <f aca="false">H70+H71+H73</f>
        <v>-56475.239786995</v>
      </c>
      <c r="I74" s="67" t="n">
        <f aca="false">I70+I71+I73</f>
        <v>-54346.9323585164</v>
      </c>
      <c r="J74" s="67" t="n">
        <f aca="false">J70+J71+J73</f>
        <v>-52271.5807976527</v>
      </c>
      <c r="K74" s="67" t="n">
        <f aca="false">K70+K71+K73</f>
        <v>-50247.8687622566</v>
      </c>
      <c r="L74" s="67" t="n">
        <f aca="false">L70+L71+L73</f>
        <v>-48274.5125920979</v>
      </c>
      <c r="M74" s="67" t="n">
        <f aca="false">M70+M71+M73</f>
        <v>-46350.2604986151</v>
      </c>
      <c r="N74" s="67" t="n">
        <f aca="false">N70+N71+N73</f>
        <v>-44473.8917747187</v>
      </c>
      <c r="O74" s="67" t="n">
        <f aca="false">O70+O71+O73</f>
        <v>-77951.6339574849</v>
      </c>
      <c r="P74" s="67" t="n">
        <f aca="false">P70+P71+P73</f>
        <v>-75498.6973838123</v>
      </c>
      <c r="Q74" s="67" t="n">
        <f aca="false">Q70+Q71+Q73</f>
        <v>-73086.7308042236</v>
      </c>
      <c r="R74" s="67" t="n">
        <f aca="false">R70+R71+R73</f>
        <v>-70734.7955461411</v>
      </c>
      <c r="S74" s="67" t="n">
        <f aca="false">S70+S71+S73</f>
        <v>-68441.3988618166</v>
      </c>
      <c r="T74" s="67" t="n">
        <f aca="false">T70+T71+T73</f>
        <v>-66205.085081137</v>
      </c>
      <c r="U74" s="67" t="n">
        <f aca="false">U70+U71+U73</f>
        <v>-64024.4346919152</v>
      </c>
      <c r="V74" s="67" t="n">
        <f aca="false">V70+V71+V73</f>
        <v>-61898.0634429563</v>
      </c>
      <c r="W74" s="67" t="n">
        <f aca="false">W70+W71+W73</f>
        <v>-59824.6214693379</v>
      </c>
      <c r="X74" s="67" t="n">
        <f aca="false">X70+X71+X73</f>
        <v>-57802.7924393529</v>
      </c>
      <c r="Y74" s="67" t="n">
        <f aca="false">Y70+Y71+Y73</f>
        <v>-55831.2927225818</v>
      </c>
      <c r="Z74" s="67" t="n">
        <f aca="false">Z70+Z71+Z73</f>
        <v>-53908.8705785703</v>
      </c>
      <c r="AA74" s="67" t="n">
        <f aca="false">AA70+AA71+AA73</f>
        <v>-106872.332341004</v>
      </c>
      <c r="AB74" s="67" t="n">
        <f aca="false">AB70+AB71+AB73</f>
        <v>-104183.634043166</v>
      </c>
      <c r="AC74" s="67" t="n">
        <f aca="false">AC70+AC71+AC73</f>
        <v>-101535.775444044</v>
      </c>
      <c r="AD74" s="67" t="n">
        <f aca="false">AD70+AD71+AD73</f>
        <v>-98953.8393444263</v>
      </c>
      <c r="AE74" s="67" t="n">
        <f aca="false">AE70+AE71+AE73</f>
        <v>-96436.1859007883</v>
      </c>
      <c r="AF74" s="67" t="n">
        <f aca="false">AF70+AF71+AF73</f>
        <v>-93981.216019126</v>
      </c>
      <c r="AG74" s="67" t="n">
        <f aca="false">AG70+AG71+AG73</f>
        <v>-91587.3703436136</v>
      </c>
      <c r="AH74" s="67" t="n">
        <f aca="false">AH70+AH71+AH73</f>
        <v>-89253.1282703241</v>
      </c>
      <c r="AI74" s="67" t="n">
        <f aca="false">AI70+AI71+AI73</f>
        <v>-86977.0069853917</v>
      </c>
      <c r="AJ74" s="67" t="n">
        <f aca="false">AJ70+AJ71+AJ73</f>
        <v>-84757.5605270119</v>
      </c>
      <c r="AK74" s="67" t="n">
        <f aca="false">AK70+AK71+AK73</f>
        <v>-82593.378870688</v>
      </c>
      <c r="AL74" s="67" t="n">
        <f aca="false">AL70+AL71+AL73</f>
        <v>-80483.0870371505</v>
      </c>
    </row>
    <row r="75" customFormat="false" ht="15" hidden="false" customHeight="false" outlineLevel="0" collapsed="false">
      <c r="A75" s="6" t="s">
        <v>326</v>
      </c>
      <c r="C75" s="66" t="n">
        <f aca="false">0</f>
        <v>0</v>
      </c>
      <c r="D75" s="66" t="n">
        <f aca="false">C76</f>
        <v>2915534.89583333</v>
      </c>
      <c r="E75" s="66" t="n">
        <f aca="false">D76</f>
        <v>2849989.34982639</v>
      </c>
      <c r="F75" s="66" t="n">
        <f aca="false">E76</f>
        <v>2786797.78130295</v>
      </c>
      <c r="G75" s="66" t="n">
        <f aca="false">F76</f>
        <v>2725901.62527204</v>
      </c>
      <c r="H75" s="66" t="n">
        <f aca="false">G76</f>
        <v>2667243.77233408</v>
      </c>
      <c r="I75" s="66" t="n">
        <f aca="false">H76</f>
        <v>2610768.53254709</v>
      </c>
      <c r="J75" s="66" t="n">
        <f aca="false">I76</f>
        <v>2556421.60018857</v>
      </c>
      <c r="K75" s="66" t="n">
        <f aca="false">J76</f>
        <v>2504150.01939092</v>
      </c>
      <c r="L75" s="66" t="n">
        <f aca="false">K76</f>
        <v>2453902.15062866</v>
      </c>
      <c r="M75" s="66" t="n">
        <f aca="false">L76</f>
        <v>2405627.63803656</v>
      </c>
      <c r="N75" s="66" t="n">
        <f aca="false">M76</f>
        <v>2359277.37753795</v>
      </c>
      <c r="O75" s="66" t="n">
        <f aca="false">N76</f>
        <v>2314803.48576323</v>
      </c>
      <c r="P75" s="66" t="n">
        <f aca="false">O76</f>
        <v>2236851.85180574</v>
      </c>
      <c r="Q75" s="66" t="n">
        <f aca="false">P76</f>
        <v>2161353.15442193</v>
      </c>
      <c r="R75" s="66" t="n">
        <f aca="false">Q76</f>
        <v>2088266.42361771</v>
      </c>
      <c r="S75" s="66" t="n">
        <f aca="false">R76</f>
        <v>2017531.62807157</v>
      </c>
      <c r="T75" s="66" t="n">
        <f aca="false">S76</f>
        <v>1949090.22920975</v>
      </c>
      <c r="U75" s="66" t="n">
        <f aca="false">T76</f>
        <v>1882885.14412861</v>
      </c>
      <c r="V75" s="66" t="n">
        <f aca="false">U76</f>
        <v>1818860.7094367</v>
      </c>
      <c r="W75" s="66" t="n">
        <f aca="false">V76</f>
        <v>1756962.64599374</v>
      </c>
      <c r="X75" s="66" t="n">
        <f aca="false">W76</f>
        <v>1697138.02452441</v>
      </c>
      <c r="Y75" s="66" t="n">
        <f aca="false">X76</f>
        <v>1639335.23208505</v>
      </c>
      <c r="Z75" s="66" t="n">
        <f aca="false">Y76</f>
        <v>1583503.93936247</v>
      </c>
      <c r="AA75" s="66" t="n">
        <f aca="false">Z76</f>
        <v>1529595.0687839</v>
      </c>
      <c r="AB75" s="66" t="n">
        <f aca="false">AA76</f>
        <v>1422722.7364429</v>
      </c>
      <c r="AC75" s="66" t="n">
        <f aca="false">AB76</f>
        <v>1318539.10239973</v>
      </c>
      <c r="AD75" s="66" t="n">
        <f aca="false">AC76</f>
        <v>1217003.32695569</v>
      </c>
      <c r="AE75" s="66" t="n">
        <f aca="false">AD76</f>
        <v>1118049.48761126</v>
      </c>
      <c r="AF75" s="66" t="n">
        <f aca="false">AE76</f>
        <v>1021613.30171047</v>
      </c>
      <c r="AG75" s="66" t="n">
        <f aca="false">AF76</f>
        <v>927632.085691346</v>
      </c>
      <c r="AH75" s="66" t="n">
        <f aca="false">AG76</f>
        <v>836044.715347732</v>
      </c>
      <c r="AI75" s="66" t="n">
        <f aca="false">AH76</f>
        <v>746791.587077408</v>
      </c>
      <c r="AJ75" s="66" t="n">
        <f aca="false">AI76</f>
        <v>659814.580092016</v>
      </c>
      <c r="AK75" s="66" t="n">
        <f aca="false">AJ76</f>
        <v>575057.019565004</v>
      </c>
      <c r="AL75" s="66" t="n">
        <f aca="false">AK76</f>
        <v>492463.640694316</v>
      </c>
    </row>
    <row r="76" customFormat="false" ht="15" hidden="false" customHeight="false" outlineLevel="0" collapsed="false">
      <c r="A76" s="111" t="s">
        <v>86</v>
      </c>
      <c r="C76" s="67" t="n">
        <f aca="false">C75+C74</f>
        <v>2915534.89583333</v>
      </c>
      <c r="D76" s="67" t="n">
        <f aca="false">D75+D74</f>
        <v>2849989.34982639</v>
      </c>
      <c r="E76" s="67" t="n">
        <f aca="false">E75+E74</f>
        <v>2786797.78130295</v>
      </c>
      <c r="F76" s="67" t="n">
        <f aca="false">F75+F74</f>
        <v>2725901.62527204</v>
      </c>
      <c r="G76" s="67" t="n">
        <f aca="false">G75+G74</f>
        <v>2667243.77233408</v>
      </c>
      <c r="H76" s="67" t="n">
        <f aca="false">H75+H74</f>
        <v>2610768.53254709</v>
      </c>
      <c r="I76" s="67" t="n">
        <f aca="false">I75+I74</f>
        <v>2556421.60018857</v>
      </c>
      <c r="J76" s="67" t="n">
        <f aca="false">J75+J74</f>
        <v>2504150.01939092</v>
      </c>
      <c r="K76" s="67" t="n">
        <f aca="false">K75+K74</f>
        <v>2453902.15062866</v>
      </c>
      <c r="L76" s="67" t="n">
        <f aca="false">L75+L74</f>
        <v>2405627.63803656</v>
      </c>
      <c r="M76" s="67" t="n">
        <f aca="false">M75+M74</f>
        <v>2359277.37753795</v>
      </c>
      <c r="N76" s="67" t="n">
        <f aca="false">N75+N74</f>
        <v>2314803.48576323</v>
      </c>
      <c r="O76" s="67" t="n">
        <f aca="false">O75+O74</f>
        <v>2236851.85180574</v>
      </c>
      <c r="P76" s="67" t="n">
        <f aca="false">P75+P74</f>
        <v>2161353.15442193</v>
      </c>
      <c r="Q76" s="67" t="n">
        <f aca="false">Q75+Q74</f>
        <v>2088266.42361771</v>
      </c>
      <c r="R76" s="67" t="n">
        <f aca="false">R75+R74</f>
        <v>2017531.62807157</v>
      </c>
      <c r="S76" s="67" t="n">
        <f aca="false">S75+S74</f>
        <v>1949090.22920975</v>
      </c>
      <c r="T76" s="67" t="n">
        <f aca="false">T75+T74</f>
        <v>1882885.14412861</v>
      </c>
      <c r="U76" s="67" t="n">
        <f aca="false">U75+U74</f>
        <v>1818860.7094367</v>
      </c>
      <c r="V76" s="67" t="n">
        <f aca="false">V75+V74</f>
        <v>1756962.64599374</v>
      </c>
      <c r="W76" s="67" t="n">
        <f aca="false">W75+W74</f>
        <v>1697138.02452441</v>
      </c>
      <c r="X76" s="67" t="n">
        <f aca="false">X75+X74</f>
        <v>1639335.23208505</v>
      </c>
      <c r="Y76" s="67" t="n">
        <f aca="false">Y75+Y74</f>
        <v>1583503.93936247</v>
      </c>
      <c r="Z76" s="67" t="n">
        <f aca="false">Z75+Z74</f>
        <v>1529595.0687839</v>
      </c>
      <c r="AA76" s="67" t="n">
        <f aca="false">AA75+AA74</f>
        <v>1422722.7364429</v>
      </c>
      <c r="AB76" s="67" t="n">
        <f aca="false">AB75+AB74</f>
        <v>1318539.10239973</v>
      </c>
      <c r="AC76" s="67" t="n">
        <f aca="false">AC75+AC74</f>
        <v>1217003.32695569</v>
      </c>
      <c r="AD76" s="67" t="n">
        <f aca="false">AD75+AD74</f>
        <v>1118049.48761126</v>
      </c>
      <c r="AE76" s="67" t="n">
        <f aca="false">AE75+AE74</f>
        <v>1021613.30171047</v>
      </c>
      <c r="AF76" s="67" t="n">
        <f aca="false">AF75+AF74</f>
        <v>927632.085691346</v>
      </c>
      <c r="AG76" s="67" t="n">
        <f aca="false">AG75+AG74</f>
        <v>836044.715347732</v>
      </c>
      <c r="AH76" s="67" t="n">
        <f aca="false">AH75+AH74</f>
        <v>746791.587077408</v>
      </c>
      <c r="AI76" s="67" t="n">
        <f aca="false">AI75+AI74</f>
        <v>659814.580092016</v>
      </c>
      <c r="AJ76" s="67" t="n">
        <f aca="false">AJ75+AJ74</f>
        <v>575057.019565004</v>
      </c>
      <c r="AK76" s="67" t="n">
        <f aca="false">AK75+AK74</f>
        <v>492463.640694316</v>
      </c>
      <c r="AL76" s="67" t="n">
        <f aca="false">AL75+AL74</f>
        <v>411980.553657166</v>
      </c>
    </row>
    <row r="77" customFormat="false" ht="15" hidden="false" customHeight="false" outlineLevel="0" collapsed="false">
      <c r="A77" s="119" t="s">
        <v>397</v>
      </c>
      <c r="C77" s="120" t="n">
        <f aca="false">IF(C35&gt;0,1,0)</f>
        <v>0</v>
      </c>
      <c r="D77" s="120" t="n">
        <f aca="false">IF(D35&gt;0,1,0)</f>
        <v>0</v>
      </c>
      <c r="E77" s="120" t="n">
        <f aca="false">IF(E35&gt;0,1,0)</f>
        <v>0</v>
      </c>
      <c r="F77" s="120" t="n">
        <f aca="false">IF(F35&gt;0,1,0)</f>
        <v>0</v>
      </c>
      <c r="G77" s="120" t="n">
        <f aca="false">IF(G35&gt;0,1,0)</f>
        <v>0</v>
      </c>
      <c r="H77" s="120" t="n">
        <f aca="false">IF(H35&gt;0,1,0)</f>
        <v>0</v>
      </c>
      <c r="I77" s="120" t="n">
        <f aca="false">IF(I35&gt;0,1,0)</f>
        <v>0</v>
      </c>
      <c r="J77" s="120" t="n">
        <f aca="false">IF(J35&gt;0,1,0)</f>
        <v>0</v>
      </c>
      <c r="K77" s="120" t="n">
        <f aca="false">IF(K35&gt;0,1,0)</f>
        <v>0</v>
      </c>
      <c r="L77" s="120" t="n">
        <f aca="false">IF(L35&gt;0,1,0)</f>
        <v>0</v>
      </c>
      <c r="M77" s="120" t="n">
        <f aca="false">IF(M35&gt;0,1,0)</f>
        <v>0</v>
      </c>
      <c r="N77" s="120" t="n">
        <f aca="false">IF(N35&gt;0,1,0)</f>
        <v>0</v>
      </c>
      <c r="O77" s="120" t="n">
        <f aca="false">IF(O35&gt;0,1,0)</f>
        <v>0</v>
      </c>
      <c r="P77" s="120" t="n">
        <f aca="false">IF(P35&gt;0,1,0)</f>
        <v>0</v>
      </c>
      <c r="Q77" s="120" t="n">
        <f aca="false">IF(Q35&gt;0,1,0)</f>
        <v>0</v>
      </c>
      <c r="R77" s="120" t="n">
        <f aca="false">IF(R35&gt;0,1,0)</f>
        <v>0</v>
      </c>
      <c r="S77" s="120" t="n">
        <f aca="false">IF(S35&gt;0,1,0)</f>
        <v>0</v>
      </c>
      <c r="T77" s="120" t="n">
        <f aca="false">IF(T35&gt;0,1,0)</f>
        <v>0</v>
      </c>
      <c r="U77" s="120" t="n">
        <f aca="false">IF(U35&gt;0,1,0)</f>
        <v>0</v>
      </c>
      <c r="V77" s="120" t="n">
        <f aca="false">IF(V35&gt;0,1,0)</f>
        <v>0</v>
      </c>
      <c r="W77" s="120" t="n">
        <f aca="false">IF(W35&gt;0,1,0)</f>
        <v>0</v>
      </c>
      <c r="X77" s="120" t="n">
        <f aca="false">IF(X35&gt;0,1,0)</f>
        <v>0</v>
      </c>
      <c r="Y77" s="120" t="n">
        <f aca="false">IF(Y35&gt;0,1,0)</f>
        <v>0</v>
      </c>
      <c r="Z77" s="120" t="n">
        <f aca="false">IF(Z35&gt;0,1,0)</f>
        <v>0</v>
      </c>
      <c r="AA77" s="120" t="n">
        <f aca="false">IF(AA35&gt;0,1,0)</f>
        <v>0</v>
      </c>
      <c r="AB77" s="120" t="n">
        <f aca="false">IF(AB35&gt;0,1,0)</f>
        <v>0</v>
      </c>
      <c r="AC77" s="120" t="n">
        <f aca="false">IF(AC35&gt;0,1,0)</f>
        <v>0</v>
      </c>
      <c r="AD77" s="120" t="n">
        <f aca="false">IF(AD35&gt;0,1,0)</f>
        <v>0</v>
      </c>
      <c r="AE77" s="120" t="n">
        <f aca="false">IF(AE35&gt;0,1,0)</f>
        <v>0</v>
      </c>
      <c r="AF77" s="120" t="n">
        <f aca="false">IF(AF35&gt;0,1,0)</f>
        <v>0</v>
      </c>
      <c r="AG77" s="120" t="n">
        <f aca="false">IF(AG35&gt;0,1,0)</f>
        <v>0</v>
      </c>
      <c r="AH77" s="120" t="n">
        <f aca="false">IF(AH35&gt;0,1,0)</f>
        <v>0</v>
      </c>
      <c r="AI77" s="120" t="n">
        <f aca="false">IF(AI35&gt;0,1,0)</f>
        <v>0</v>
      </c>
      <c r="AJ77" s="120" t="n">
        <f aca="false">IF(AJ35&gt;0,1,0)</f>
        <v>0</v>
      </c>
      <c r="AK77" s="120" t="n">
        <f aca="false">IF(AK35&gt;0,1,0)</f>
        <v>0</v>
      </c>
      <c r="AL77" s="120" t="n">
        <f aca="false">IF(AL35&gt;0,1,0)</f>
        <v>0</v>
      </c>
    </row>
    <row r="79" customFormat="false" ht="15.75" hidden="false" customHeight="true" outlineLevel="0" collapsed="false">
      <c r="A79" s="7" t="s">
        <v>398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customFormat="false" ht="15" hidden="false" customHeight="false" outlineLevel="0" collapsed="false">
      <c r="A80" s="6" t="s">
        <v>399</v>
      </c>
      <c r="C80" s="66" t="n">
        <f aca="false">-(C70+C71)/1</f>
        <v>84465.1041666667</v>
      </c>
      <c r="D80" s="66" t="n">
        <f aca="false">-(D70+D71)/1</f>
        <v>65545.5460069444</v>
      </c>
      <c r="E80" s="66" t="n">
        <f aca="false">-(E70+E71)/1</f>
        <v>63191.5685234375</v>
      </c>
      <c r="F80" s="66" t="n">
        <f aca="false">-(F70+F71)/1</f>
        <v>60896.1560309071</v>
      </c>
      <c r="G80" s="66" t="n">
        <f aca="false">-(G70+G71)/1</f>
        <v>58657.8529379622</v>
      </c>
      <c r="H80" s="66" t="n">
        <f aca="false">-(H70+H71)/1</f>
        <v>56475.239786995</v>
      </c>
      <c r="I80" s="66" t="n">
        <f aca="false">-(I70+I71)/1</f>
        <v>54346.9323585164</v>
      </c>
      <c r="J80" s="66" t="n">
        <f aca="false">-(J70+J71)/1</f>
        <v>52271.5807976527</v>
      </c>
      <c r="K80" s="66" t="n">
        <f aca="false">-(K70+K71)/1</f>
        <v>50247.8687622566</v>
      </c>
      <c r="L80" s="66" t="n">
        <f aca="false">-(L70+L71)/1</f>
        <v>48274.5125920979</v>
      </c>
      <c r="M80" s="66" t="n">
        <f aca="false">-(M70+M71)/1</f>
        <v>46350.2604986151</v>
      </c>
      <c r="N80" s="66" t="n">
        <f aca="false">-(N70+N71)/1</f>
        <v>44473.8917747187</v>
      </c>
      <c r="O80" s="66" t="n">
        <f aca="false">-(O70+O71)/1</f>
        <v>77951.6339574849</v>
      </c>
      <c r="P80" s="66" t="n">
        <f aca="false">-(P70+P71)/1</f>
        <v>75498.6973838123</v>
      </c>
      <c r="Q80" s="66" t="n">
        <f aca="false">-(Q70+Q71)/1</f>
        <v>73086.7308042236</v>
      </c>
      <c r="R80" s="66" t="n">
        <f aca="false">-(R70+R71)/1</f>
        <v>70734.7955461411</v>
      </c>
      <c r="S80" s="66" t="n">
        <f aca="false">-(S70+S71)/1</f>
        <v>68441.3988618166</v>
      </c>
      <c r="T80" s="66" t="n">
        <f aca="false">-(T70+T71)/1</f>
        <v>66205.085081137</v>
      </c>
      <c r="U80" s="66" t="n">
        <f aca="false">-(U70+U71)/1</f>
        <v>64024.4346919152</v>
      </c>
      <c r="V80" s="66" t="n">
        <f aca="false">-(V70+V71)/1</f>
        <v>61898.0634429563</v>
      </c>
      <c r="W80" s="66" t="n">
        <f aca="false">-(W70+W71)/1</f>
        <v>59824.6214693379</v>
      </c>
      <c r="X80" s="66" t="n">
        <f aca="false">-(X70+X71)/1</f>
        <v>57802.7924393529</v>
      </c>
      <c r="Y80" s="66" t="n">
        <f aca="false">-(Y70+Y71)/1</f>
        <v>55831.2927225818</v>
      </c>
      <c r="Z80" s="66" t="n">
        <f aca="false">-(Z70+Z71)/1</f>
        <v>53908.8705785703</v>
      </c>
      <c r="AA80" s="66" t="n">
        <f aca="false">-(AA70+AA71)/1</f>
        <v>106872.332341004</v>
      </c>
      <c r="AB80" s="66" t="n">
        <f aca="false">-(AB70+AB71)/1</f>
        <v>104183.634043166</v>
      </c>
      <c r="AC80" s="66" t="n">
        <f aca="false">-(AC70+AC71)/1</f>
        <v>101535.775444044</v>
      </c>
      <c r="AD80" s="66" t="n">
        <f aca="false">-(AD70+AD71)/1</f>
        <v>98953.8393444263</v>
      </c>
      <c r="AE80" s="66" t="n">
        <f aca="false">-(AE70+AE71)/1</f>
        <v>96436.1859007883</v>
      </c>
      <c r="AF80" s="66" t="n">
        <f aca="false">-(AF70+AF71)/1</f>
        <v>93981.216019126</v>
      </c>
      <c r="AG80" s="66" t="n">
        <f aca="false">-(AG70+AG71)/1</f>
        <v>91587.3703436136</v>
      </c>
      <c r="AH80" s="66" t="n">
        <f aca="false">-(AH70+AH71)/1</f>
        <v>89253.1282703241</v>
      </c>
      <c r="AI80" s="66" t="n">
        <f aca="false">-(AI70+AI71)/1</f>
        <v>86977.0069853917</v>
      </c>
      <c r="AJ80" s="66" t="n">
        <f aca="false">-(AJ70+AJ71)/1</f>
        <v>84757.5605270119</v>
      </c>
      <c r="AK80" s="66" t="n">
        <f aca="false">-(AK70+AK71)/1</f>
        <v>82593.378870688</v>
      </c>
      <c r="AL80" s="66" t="n">
        <f aca="false">-(AL70+AL71)/1</f>
        <v>80483.0870371505</v>
      </c>
    </row>
    <row r="81" customFormat="false" ht="15" hidden="false" customHeight="false" outlineLevel="0" collapsed="false">
      <c r="A81" s="39" t="s">
        <v>238</v>
      </c>
      <c r="C81" s="74" t="n">
        <f aca="false">Inputs!$E$10</f>
        <v>0.03</v>
      </c>
      <c r="D81" s="74" t="n">
        <f aca="false">Inputs!$E$10</f>
        <v>0.03</v>
      </c>
      <c r="E81" s="74" t="n">
        <f aca="false">Inputs!$E$10</f>
        <v>0.03</v>
      </c>
      <c r="F81" s="74" t="n">
        <f aca="false">Inputs!$E$10</f>
        <v>0.03</v>
      </c>
      <c r="G81" s="74" t="n">
        <f aca="false">Inputs!$E$10</f>
        <v>0.03</v>
      </c>
      <c r="H81" s="74" t="n">
        <f aca="false">Inputs!$E$10</f>
        <v>0.03</v>
      </c>
      <c r="I81" s="74" t="n">
        <f aca="false">Inputs!$E$10</f>
        <v>0.03</v>
      </c>
      <c r="J81" s="74" t="n">
        <f aca="false">Inputs!$E$10</f>
        <v>0.03</v>
      </c>
      <c r="K81" s="74" t="n">
        <f aca="false">Inputs!$E$10</f>
        <v>0.03</v>
      </c>
      <c r="L81" s="74" t="n">
        <f aca="false">Inputs!$E$10</f>
        <v>0.03</v>
      </c>
      <c r="M81" s="74" t="n">
        <f aca="false">Inputs!$E$10</f>
        <v>0.03</v>
      </c>
      <c r="N81" s="74" t="n">
        <f aca="false">Inputs!$E$10</f>
        <v>0.03</v>
      </c>
      <c r="O81" s="74" t="n">
        <f aca="false">Inputs!$E$10</f>
        <v>0.03</v>
      </c>
      <c r="P81" s="74" t="n">
        <f aca="false">Inputs!$E$10</f>
        <v>0.03</v>
      </c>
      <c r="Q81" s="74" t="n">
        <f aca="false">Inputs!$E$10</f>
        <v>0.03</v>
      </c>
      <c r="R81" s="74" t="n">
        <f aca="false">Inputs!$E$10</f>
        <v>0.03</v>
      </c>
      <c r="S81" s="74" t="n">
        <f aca="false">Inputs!$E$10</f>
        <v>0.03</v>
      </c>
      <c r="T81" s="74" t="n">
        <f aca="false">Inputs!$E$10</f>
        <v>0.03</v>
      </c>
      <c r="U81" s="74" t="n">
        <f aca="false">Inputs!$E$10</f>
        <v>0.03</v>
      </c>
      <c r="V81" s="74" t="n">
        <f aca="false">Inputs!$E$10</f>
        <v>0.03</v>
      </c>
      <c r="W81" s="74" t="n">
        <f aca="false">Inputs!$E$10</f>
        <v>0.03</v>
      </c>
      <c r="X81" s="74" t="n">
        <f aca="false">Inputs!$E$10</f>
        <v>0.03</v>
      </c>
      <c r="Y81" s="74" t="n">
        <f aca="false">Inputs!$E$10</f>
        <v>0.03</v>
      </c>
      <c r="Z81" s="74" t="n">
        <f aca="false">Inputs!$E$10</f>
        <v>0.03</v>
      </c>
      <c r="AA81" s="74" t="n">
        <f aca="false">Inputs!$E$10</f>
        <v>0.03</v>
      </c>
      <c r="AB81" s="74" t="n">
        <f aca="false">Inputs!$E$10</f>
        <v>0.03</v>
      </c>
      <c r="AC81" s="74" t="n">
        <f aca="false">Inputs!$E$10</f>
        <v>0.03</v>
      </c>
      <c r="AD81" s="74" t="n">
        <f aca="false">Inputs!$E$10</f>
        <v>0.03</v>
      </c>
      <c r="AE81" s="74" t="n">
        <f aca="false">Inputs!$E$10</f>
        <v>0.03</v>
      </c>
      <c r="AF81" s="74" t="n">
        <f aca="false">Inputs!$E$10</f>
        <v>0.03</v>
      </c>
      <c r="AG81" s="74" t="n">
        <f aca="false">Inputs!$E$10</f>
        <v>0.03</v>
      </c>
      <c r="AH81" s="74" t="n">
        <f aca="false">Inputs!$E$10</f>
        <v>0.03</v>
      </c>
      <c r="AI81" s="74" t="n">
        <f aca="false">Inputs!$E$10</f>
        <v>0.03</v>
      </c>
      <c r="AJ81" s="74" t="n">
        <f aca="false">Inputs!$E$10</f>
        <v>0.03</v>
      </c>
      <c r="AK81" s="74" t="n">
        <f aca="false">Inputs!$E$10</f>
        <v>0.03</v>
      </c>
      <c r="AL81" s="74" t="n">
        <f aca="false">Inputs!$E$10</f>
        <v>0.03</v>
      </c>
    </row>
    <row r="83" customFormat="false" ht="15.75" hidden="false" customHeight="true" outlineLevel="0" collapsed="false">
      <c r="A83" s="7" t="s">
        <v>400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19" t="s">
        <v>401</v>
      </c>
      <c r="C84" s="120" t="n">
        <f aca="false">IF(C44&gt;0,1,0)</f>
        <v>0</v>
      </c>
      <c r="D84" s="120" t="n">
        <f aca="false">IF(D44&gt;0,1,0)</f>
        <v>0</v>
      </c>
      <c r="E84" s="120" t="n">
        <f aca="false">IF(E44&gt;0,1,0)</f>
        <v>0</v>
      </c>
      <c r="F84" s="120" t="n">
        <f aca="false">IF(F44&gt;0,1,0)</f>
        <v>0</v>
      </c>
      <c r="G84" s="120" t="n">
        <f aca="false">IF(G44&gt;0,1,0)</f>
        <v>0</v>
      </c>
      <c r="H84" s="120" t="n">
        <f aca="false">IF(H44&gt;0,1,0)</f>
        <v>0</v>
      </c>
      <c r="I84" s="120" t="n">
        <f aca="false">IF(I44&gt;0,1,0)</f>
        <v>0</v>
      </c>
      <c r="J84" s="120" t="n">
        <f aca="false">IF(J44&gt;0,1,0)</f>
        <v>0</v>
      </c>
      <c r="K84" s="120" t="n">
        <f aca="false">IF(K44&gt;0,1,0)</f>
        <v>0</v>
      </c>
      <c r="L84" s="120" t="n">
        <f aca="false">IF(L44&gt;0,1,0)</f>
        <v>0</v>
      </c>
      <c r="M84" s="120" t="n">
        <f aca="false">IF(M44&gt;0,1,0)</f>
        <v>0</v>
      </c>
      <c r="N84" s="120" t="n">
        <f aca="false">IF(N44&gt;0,1,0)</f>
        <v>0</v>
      </c>
      <c r="O84" s="120" t="n">
        <f aca="false">IF(O44&gt;0,1,0)</f>
        <v>0</v>
      </c>
      <c r="P84" s="120" t="n">
        <f aca="false">IF(P44&gt;0,1,0)</f>
        <v>0</v>
      </c>
      <c r="Q84" s="120" t="n">
        <f aca="false">IF(Q44&gt;0,1,0)</f>
        <v>0</v>
      </c>
      <c r="R84" s="120" t="n">
        <f aca="false">IF(R44&gt;0,1,0)</f>
        <v>0</v>
      </c>
      <c r="S84" s="120" t="n">
        <f aca="false">IF(S44&gt;0,1,0)</f>
        <v>0</v>
      </c>
      <c r="T84" s="120" t="n">
        <f aca="false">IF(T44&gt;0,1,0)</f>
        <v>0</v>
      </c>
      <c r="U84" s="120" t="n">
        <f aca="false">IF(U44&gt;0,1,0)</f>
        <v>0</v>
      </c>
      <c r="V84" s="120" t="n">
        <f aca="false">IF(V44&gt;0,1,0)</f>
        <v>0</v>
      </c>
      <c r="W84" s="120" t="n">
        <f aca="false">IF(W44&gt;0,1,0)</f>
        <v>0</v>
      </c>
      <c r="X84" s="120" t="n">
        <f aca="false">IF(X44&gt;0,1,0)</f>
        <v>0</v>
      </c>
      <c r="Y84" s="120" t="n">
        <f aca="false">IF(Y44&gt;0,1,0)</f>
        <v>0</v>
      </c>
      <c r="Z84" s="120" t="n">
        <f aca="false">IF(Z44&gt;0,1,0)</f>
        <v>0</v>
      </c>
      <c r="AA84" s="120" t="n">
        <f aca="false">IF(AA44&gt;0,1,0)</f>
        <v>0</v>
      </c>
      <c r="AB84" s="120" t="n">
        <f aca="false">IF(AB44&gt;0,1,0)</f>
        <v>0</v>
      </c>
      <c r="AC84" s="120" t="n">
        <f aca="false">IF(AC44&gt;0,1,0)</f>
        <v>0</v>
      </c>
      <c r="AD84" s="120" t="n">
        <f aca="false">IF(AD44&gt;0,1,0)</f>
        <v>0</v>
      </c>
      <c r="AE84" s="120" t="n">
        <f aca="false">IF(AE44&gt;0,1,0)</f>
        <v>0</v>
      </c>
      <c r="AF84" s="120" t="n">
        <f aca="false">IF(AF44&gt;0,1,0)</f>
        <v>0</v>
      </c>
      <c r="AG84" s="120" t="n">
        <f aca="false">IF(AG44&gt;0,1,0)</f>
        <v>0</v>
      </c>
      <c r="AH84" s="120" t="n">
        <f aca="false">IF(AH44&gt;0,1,0)</f>
        <v>0</v>
      </c>
      <c r="AI84" s="120" t="n">
        <f aca="false">IF(AI44&gt;0,1,0)</f>
        <v>0</v>
      </c>
      <c r="AJ84" s="120" t="n">
        <f aca="false">IF(AJ44&gt;0,1,0)</f>
        <v>0</v>
      </c>
      <c r="AK84" s="120" t="n">
        <f aca="false">IF(AK44&gt;0,1,0)</f>
        <v>0</v>
      </c>
      <c r="AL84" s="120" t="n">
        <f aca="false">IF(AL44&gt;0,1,0)</f>
        <v>0</v>
      </c>
    </row>
    <row r="85" customFormat="false" ht="15" hidden="false" customHeight="false" outlineLevel="0" collapsed="false">
      <c r="A85" s="6" t="s">
        <v>402</v>
      </c>
      <c r="C85" s="66" t="n">
        <f aca="false">C70+C71</f>
        <v>-84465.1041666667</v>
      </c>
      <c r="D85" s="66" t="n">
        <f aca="false">D70+D71</f>
        <v>-65545.5460069444</v>
      </c>
      <c r="E85" s="66" t="n">
        <f aca="false">E70+E71</f>
        <v>-63191.5685234375</v>
      </c>
      <c r="F85" s="66" t="n">
        <f aca="false">F70+F71</f>
        <v>-60896.1560309071</v>
      </c>
      <c r="G85" s="66" t="n">
        <f aca="false">G70+G71</f>
        <v>-58657.8529379622</v>
      </c>
      <c r="H85" s="66" t="n">
        <f aca="false">H70+H71</f>
        <v>-56475.239786995</v>
      </c>
      <c r="I85" s="66" t="n">
        <f aca="false">I70+I71</f>
        <v>-54346.9323585164</v>
      </c>
      <c r="J85" s="66" t="n">
        <f aca="false">J70+J71</f>
        <v>-52271.5807976527</v>
      </c>
      <c r="K85" s="66" t="n">
        <f aca="false">K70+K71</f>
        <v>-50247.8687622566</v>
      </c>
      <c r="L85" s="66" t="n">
        <f aca="false">L70+L71</f>
        <v>-48274.5125920979</v>
      </c>
      <c r="M85" s="66" t="n">
        <f aca="false">M70+M71</f>
        <v>-46350.2604986151</v>
      </c>
      <c r="N85" s="66" t="n">
        <f aca="false">N70+N71</f>
        <v>-44473.8917747187</v>
      </c>
      <c r="O85" s="66" t="n">
        <f aca="false">O70+O71</f>
        <v>-77951.6339574849</v>
      </c>
      <c r="P85" s="66" t="n">
        <f aca="false">P70+P71</f>
        <v>-75498.6973838123</v>
      </c>
      <c r="Q85" s="66" t="n">
        <f aca="false">Q70+Q71</f>
        <v>-73086.7308042236</v>
      </c>
      <c r="R85" s="66" t="n">
        <f aca="false">R70+R71</f>
        <v>-70734.7955461411</v>
      </c>
      <c r="S85" s="66" t="n">
        <f aca="false">S70+S71</f>
        <v>-68441.3988618166</v>
      </c>
      <c r="T85" s="66" t="n">
        <f aca="false">T70+T71</f>
        <v>-66205.085081137</v>
      </c>
      <c r="U85" s="66" t="n">
        <f aca="false">U70+U71</f>
        <v>-64024.4346919152</v>
      </c>
      <c r="V85" s="66" t="n">
        <f aca="false">V70+V71</f>
        <v>-61898.0634429563</v>
      </c>
      <c r="W85" s="66" t="n">
        <f aca="false">W70+W71</f>
        <v>-59824.6214693379</v>
      </c>
      <c r="X85" s="66" t="n">
        <f aca="false">X70+X71</f>
        <v>-57802.7924393529</v>
      </c>
      <c r="Y85" s="66" t="n">
        <f aca="false">Y70+Y71</f>
        <v>-55831.2927225818</v>
      </c>
      <c r="Z85" s="66" t="n">
        <f aca="false">Z70+Z71</f>
        <v>-53908.8705785703</v>
      </c>
      <c r="AA85" s="66" t="n">
        <f aca="false">AA70+AA71</f>
        <v>-106872.332341004</v>
      </c>
      <c r="AB85" s="66" t="n">
        <f aca="false">AB70+AB71</f>
        <v>-104183.634043166</v>
      </c>
      <c r="AC85" s="66" t="n">
        <f aca="false">AC70+AC71</f>
        <v>-101535.775444044</v>
      </c>
      <c r="AD85" s="66" t="n">
        <f aca="false">AD70+AD71</f>
        <v>-98953.8393444263</v>
      </c>
      <c r="AE85" s="66" t="n">
        <f aca="false">AE70+AE71</f>
        <v>-96436.1859007883</v>
      </c>
      <c r="AF85" s="66" t="n">
        <f aca="false">AF70+AF71</f>
        <v>-93981.216019126</v>
      </c>
      <c r="AG85" s="66" t="n">
        <f aca="false">AG70+AG71</f>
        <v>-91587.3703436136</v>
      </c>
      <c r="AH85" s="66" t="n">
        <f aca="false">AH70+AH71</f>
        <v>-89253.1282703241</v>
      </c>
      <c r="AI85" s="66" t="n">
        <f aca="false">AI70+AI71</f>
        <v>-86977.0069853917</v>
      </c>
      <c r="AJ85" s="66" t="n">
        <f aca="false">AJ70+AJ71</f>
        <v>-84757.5605270119</v>
      </c>
      <c r="AK85" s="66" t="n">
        <f aca="false">AK70+AK71</f>
        <v>-82593.378870688</v>
      </c>
      <c r="AL85" s="66" t="n">
        <f aca="false">AL70+AL71</f>
        <v>-80483.0870371505</v>
      </c>
    </row>
    <row r="86" customFormat="false" ht="15" hidden="false" customHeight="false" outlineLevel="0" collapsed="false">
      <c r="A86" s="6" t="s">
        <v>403</v>
      </c>
      <c r="C86" s="66" t="n">
        <f aca="false">C85</f>
        <v>-84465.1041666667</v>
      </c>
      <c r="D86" s="66" t="n">
        <f aca="false">C86+D85</f>
        <v>-150010.650173611</v>
      </c>
      <c r="E86" s="66" t="n">
        <f aca="false">D86+E85</f>
        <v>-213202.218697049</v>
      </c>
      <c r="F86" s="66" t="n">
        <f aca="false">E86+F85</f>
        <v>-274098.374727956</v>
      </c>
      <c r="G86" s="66" t="n">
        <f aca="false">F86+G85</f>
        <v>-332756.227665918</v>
      </c>
      <c r="H86" s="66" t="n">
        <f aca="false">G86+H85</f>
        <v>-389231.467452913</v>
      </c>
      <c r="I86" s="66" t="n">
        <f aca="false">H86+I85</f>
        <v>-443578.399811429</v>
      </c>
      <c r="J86" s="66" t="n">
        <f aca="false">I86+J85</f>
        <v>-495849.980609082</v>
      </c>
      <c r="K86" s="66" t="n">
        <f aca="false">J86+K85</f>
        <v>-546097.849371339</v>
      </c>
      <c r="L86" s="66" t="n">
        <f aca="false">K86+L85</f>
        <v>-594372.361963437</v>
      </c>
      <c r="M86" s="66" t="n">
        <f aca="false">L86+M85</f>
        <v>-640722.622462052</v>
      </c>
      <c r="N86" s="66" t="n">
        <f aca="false">M86+N85</f>
        <v>-685196.51423677</v>
      </c>
      <c r="O86" s="66" t="n">
        <f aca="false">N86+O85</f>
        <v>-763148.148194255</v>
      </c>
      <c r="P86" s="66" t="n">
        <f aca="false">O86+P85</f>
        <v>-838646.845578068</v>
      </c>
      <c r="Q86" s="66" t="n">
        <f aca="false">P86+Q85</f>
        <v>-911733.576382291</v>
      </c>
      <c r="R86" s="66" t="n">
        <f aca="false">Q86+R85</f>
        <v>-982468.371928432</v>
      </c>
      <c r="S86" s="66" t="n">
        <f aca="false">R86+S85</f>
        <v>-1050909.77079025</v>
      </c>
      <c r="T86" s="66" t="n">
        <f aca="false">S86+T85</f>
        <v>-1117114.85587139</v>
      </c>
      <c r="U86" s="66" t="n">
        <f aca="false">T86+U85</f>
        <v>-1181139.2905633</v>
      </c>
      <c r="V86" s="66" t="n">
        <f aca="false">U86+V85</f>
        <v>-1243037.35400626</v>
      </c>
      <c r="W86" s="66" t="n">
        <f aca="false">V86+W85</f>
        <v>-1302861.97547559</v>
      </c>
      <c r="X86" s="66" t="n">
        <f aca="false">W86+X85</f>
        <v>-1360664.76791495</v>
      </c>
      <c r="Y86" s="66" t="n">
        <f aca="false">X86+Y85</f>
        <v>-1416496.06063753</v>
      </c>
      <c r="Z86" s="66" t="n">
        <f aca="false">Y86+Z85</f>
        <v>-1470404.9312161</v>
      </c>
      <c r="AA86" s="66" t="n">
        <f aca="false">Z86+AA85</f>
        <v>-1577277.2635571</v>
      </c>
      <c r="AB86" s="66" t="n">
        <f aca="false">AA86+AB85</f>
        <v>-1681460.89760027</v>
      </c>
      <c r="AC86" s="66" t="n">
        <f aca="false">AB86+AC85</f>
        <v>-1782996.67304431</v>
      </c>
      <c r="AD86" s="66" t="n">
        <f aca="false">AC86+AD85</f>
        <v>-1881950.51238874</v>
      </c>
      <c r="AE86" s="66" t="n">
        <f aca="false">AD86+AE85</f>
        <v>-1978386.69828953</v>
      </c>
      <c r="AF86" s="66" t="n">
        <f aca="false">AE86+AF85</f>
        <v>-2072367.91430865</v>
      </c>
      <c r="AG86" s="66" t="n">
        <f aca="false">AF86+AG85</f>
        <v>-2163955.28465227</v>
      </c>
      <c r="AH86" s="66" t="n">
        <f aca="false">AG86+AH85</f>
        <v>-2253208.41292259</v>
      </c>
      <c r="AI86" s="66" t="n">
        <f aca="false">AH86+AI85</f>
        <v>-2340185.41990798</v>
      </c>
      <c r="AJ86" s="66" t="n">
        <f aca="false">AI86+AJ85</f>
        <v>-2424942.980435</v>
      </c>
      <c r="AK86" s="66" t="n">
        <f aca="false">AJ86+AK85</f>
        <v>-2507536.35930568</v>
      </c>
      <c r="AL86" s="66" t="n">
        <f aca="false">AK86+AL85</f>
        <v>-2588019.44634283</v>
      </c>
    </row>
    <row r="87" customFormat="false" ht="15" hidden="false" customHeight="false" outlineLevel="0" collapsed="false">
      <c r="A87" s="119" t="s">
        <v>404</v>
      </c>
      <c r="C87" s="66" t="n">
        <f aca="false">C86</f>
        <v>-84465.1041666667</v>
      </c>
      <c r="D87" s="66" t="n">
        <f aca="false">MIN(C87,D86)</f>
        <v>-150010.650173611</v>
      </c>
      <c r="E87" s="66" t="n">
        <f aca="false">MIN(D87,E86)</f>
        <v>-213202.218697049</v>
      </c>
      <c r="F87" s="66" t="n">
        <f aca="false">MIN(E87,F86)</f>
        <v>-274098.374727956</v>
      </c>
      <c r="G87" s="66" t="n">
        <f aca="false">MIN(F87,G86)</f>
        <v>-332756.227665918</v>
      </c>
      <c r="H87" s="66" t="n">
        <f aca="false">MIN(G87,H86)</f>
        <v>-389231.467452913</v>
      </c>
      <c r="I87" s="66" t="n">
        <f aca="false">MIN(H87,I86)</f>
        <v>-443578.399811429</v>
      </c>
      <c r="J87" s="66" t="n">
        <f aca="false">MIN(I87,J86)</f>
        <v>-495849.980609082</v>
      </c>
      <c r="K87" s="66" t="n">
        <f aca="false">MIN(J87,K86)</f>
        <v>-546097.849371339</v>
      </c>
      <c r="L87" s="66" t="n">
        <f aca="false">MIN(K87,L86)</f>
        <v>-594372.361963437</v>
      </c>
      <c r="M87" s="66" t="n">
        <f aca="false">MIN(L87,M86)</f>
        <v>-640722.622462052</v>
      </c>
      <c r="N87" s="66" t="n">
        <f aca="false">MIN(M87,N86)</f>
        <v>-685196.51423677</v>
      </c>
      <c r="O87" s="66" t="n">
        <f aca="false">MIN(N87,O86)</f>
        <v>-763148.148194255</v>
      </c>
      <c r="P87" s="66" t="n">
        <f aca="false">MIN(O87,P86)</f>
        <v>-838646.845578068</v>
      </c>
      <c r="Q87" s="66" t="n">
        <f aca="false">MIN(P87,Q86)</f>
        <v>-911733.576382291</v>
      </c>
      <c r="R87" s="66" t="n">
        <f aca="false">MIN(Q87,R86)</f>
        <v>-982468.371928432</v>
      </c>
      <c r="S87" s="66" t="n">
        <f aca="false">MIN(R87,S86)</f>
        <v>-1050909.77079025</v>
      </c>
      <c r="T87" s="66" t="n">
        <f aca="false">MIN(S87,T86)</f>
        <v>-1117114.85587139</v>
      </c>
      <c r="U87" s="66" t="n">
        <f aca="false">MIN(T87,U86)</f>
        <v>-1181139.2905633</v>
      </c>
      <c r="V87" s="66" t="n">
        <f aca="false">MIN(U87,V86)</f>
        <v>-1243037.35400626</v>
      </c>
      <c r="W87" s="66" t="n">
        <f aca="false">MIN(V87,W86)</f>
        <v>-1302861.97547559</v>
      </c>
      <c r="X87" s="66" t="n">
        <f aca="false">MIN(W87,X86)</f>
        <v>-1360664.76791495</v>
      </c>
      <c r="Y87" s="66" t="n">
        <f aca="false">MIN(X87,Y86)</f>
        <v>-1416496.06063753</v>
      </c>
      <c r="Z87" s="66" t="n">
        <f aca="false">MIN(Y87,Z86)</f>
        <v>-1470404.9312161</v>
      </c>
      <c r="AA87" s="66" t="n">
        <f aca="false">MIN(Z87,AA86)</f>
        <v>-1577277.2635571</v>
      </c>
      <c r="AB87" s="66" t="n">
        <f aca="false">MIN(AA87,AB86)</f>
        <v>-1681460.89760027</v>
      </c>
      <c r="AC87" s="66" t="n">
        <f aca="false">MIN(AB87,AC86)</f>
        <v>-1782996.67304431</v>
      </c>
      <c r="AD87" s="66" t="n">
        <f aca="false">MIN(AC87,AD86)</f>
        <v>-1881950.51238874</v>
      </c>
      <c r="AE87" s="66" t="n">
        <f aca="false">MIN(AD87,AE86)</f>
        <v>-1978386.69828953</v>
      </c>
      <c r="AF87" s="66" t="n">
        <f aca="false">MIN(AE87,AF86)</f>
        <v>-2072367.91430865</v>
      </c>
      <c r="AG87" s="66" t="n">
        <f aca="false">MIN(AF87,AG86)</f>
        <v>-2163955.28465227</v>
      </c>
      <c r="AH87" s="66" t="n">
        <f aca="false">MIN(AG87,AH86)</f>
        <v>-2253208.41292259</v>
      </c>
      <c r="AI87" s="66" t="n">
        <f aca="false">MIN(AH87,AI86)</f>
        <v>-2340185.41990798</v>
      </c>
      <c r="AJ87" s="66" t="n">
        <f aca="false">MIN(AI87,AJ86)</f>
        <v>-2424942.980435</v>
      </c>
      <c r="AK87" s="66" t="n">
        <f aca="false">MIN(AJ87,AK86)</f>
        <v>-2507536.35930568</v>
      </c>
      <c r="AL87" s="66" t="n">
        <f aca="false">MIN(AK87,AL86)</f>
        <v>-2588019.44634283</v>
      </c>
    </row>
    <row r="88" customFormat="false" ht="15" hidden="false" customHeight="false" outlineLevel="0" collapsed="false">
      <c r="A88" s="119" t="s">
        <v>405</v>
      </c>
      <c r="C88" s="120" t="n">
        <f aca="false">IF(AND(C86&gt;=0,C87&lt;0),1,0)</f>
        <v>0</v>
      </c>
      <c r="D88" s="120" t="n">
        <f aca="false">IF(AND(D86&gt;=0,D87&lt;0),1,0)</f>
        <v>0</v>
      </c>
      <c r="E88" s="120" t="n">
        <f aca="false">IF(AND(E86&gt;=0,E87&lt;0),1,0)</f>
        <v>0</v>
      </c>
      <c r="F88" s="120" t="n">
        <f aca="false">IF(AND(F86&gt;=0,F87&lt;0),1,0)</f>
        <v>0</v>
      </c>
      <c r="G88" s="120" t="n">
        <f aca="false">IF(AND(G86&gt;=0,G87&lt;0),1,0)</f>
        <v>0</v>
      </c>
      <c r="H88" s="120" t="n">
        <f aca="false">IF(AND(H86&gt;=0,H87&lt;0),1,0)</f>
        <v>0</v>
      </c>
      <c r="I88" s="120" t="n">
        <f aca="false">IF(AND(I86&gt;=0,I87&lt;0),1,0)</f>
        <v>0</v>
      </c>
      <c r="J88" s="120" t="n">
        <f aca="false">IF(AND(J86&gt;=0,J87&lt;0),1,0)</f>
        <v>0</v>
      </c>
      <c r="K88" s="120" t="n">
        <f aca="false">IF(AND(K86&gt;=0,K87&lt;0),1,0)</f>
        <v>0</v>
      </c>
      <c r="L88" s="120" t="n">
        <f aca="false">IF(AND(L86&gt;=0,L87&lt;0),1,0)</f>
        <v>0</v>
      </c>
      <c r="M88" s="120" t="n">
        <f aca="false">IF(AND(M86&gt;=0,M87&lt;0),1,0)</f>
        <v>0</v>
      </c>
      <c r="N88" s="120" t="n">
        <f aca="false">IF(AND(N86&gt;=0,N87&lt;0),1,0)</f>
        <v>0</v>
      </c>
      <c r="O88" s="120" t="n">
        <f aca="false">IF(AND(O86&gt;=0,O87&lt;0),1,0)</f>
        <v>0</v>
      </c>
      <c r="P88" s="120" t="n">
        <f aca="false">IF(AND(P86&gt;=0,P87&lt;0),1,0)</f>
        <v>0</v>
      </c>
      <c r="Q88" s="120" t="n">
        <f aca="false">IF(AND(Q86&gt;=0,Q87&lt;0),1,0)</f>
        <v>0</v>
      </c>
      <c r="R88" s="120" t="n">
        <f aca="false">IF(AND(R86&gt;=0,R87&lt;0),1,0)</f>
        <v>0</v>
      </c>
      <c r="S88" s="120" t="n">
        <f aca="false">IF(AND(S86&gt;=0,S87&lt;0),1,0)</f>
        <v>0</v>
      </c>
      <c r="T88" s="120" t="n">
        <f aca="false">IF(AND(T86&gt;=0,T87&lt;0),1,0)</f>
        <v>0</v>
      </c>
      <c r="U88" s="120" t="n">
        <f aca="false">IF(AND(U86&gt;=0,U87&lt;0),1,0)</f>
        <v>0</v>
      </c>
      <c r="V88" s="120" t="n">
        <f aca="false">IF(AND(V86&gt;=0,V87&lt;0),1,0)</f>
        <v>0</v>
      </c>
      <c r="W88" s="120" t="n">
        <f aca="false">IF(AND(W86&gt;=0,W87&lt;0),1,0)</f>
        <v>0</v>
      </c>
      <c r="X88" s="120" t="n">
        <f aca="false">IF(AND(X86&gt;=0,X87&lt;0),1,0)</f>
        <v>0</v>
      </c>
      <c r="Y88" s="120" t="n">
        <f aca="false">IF(AND(Y86&gt;=0,Y87&lt;0),1,0)</f>
        <v>0</v>
      </c>
      <c r="Z88" s="120" t="n">
        <f aca="false">IF(AND(Z86&gt;=0,Z87&lt;0),1,0)</f>
        <v>0</v>
      </c>
      <c r="AA88" s="120" t="n">
        <f aca="false">IF(AND(AA86&gt;=0,AA87&lt;0),1,0)</f>
        <v>0</v>
      </c>
      <c r="AB88" s="120" t="n">
        <f aca="false">IF(AND(AB86&gt;=0,AB87&lt;0),1,0)</f>
        <v>0</v>
      </c>
      <c r="AC88" s="120" t="n">
        <f aca="false">IF(AND(AC86&gt;=0,AC87&lt;0),1,0)</f>
        <v>0</v>
      </c>
      <c r="AD88" s="120" t="n">
        <f aca="false">IF(AND(AD86&gt;=0,AD87&lt;0),1,0)</f>
        <v>0</v>
      </c>
      <c r="AE88" s="120" t="n">
        <f aca="false">IF(AND(AE86&gt;=0,AE87&lt;0),1,0)</f>
        <v>0</v>
      </c>
      <c r="AF88" s="120" t="n">
        <f aca="false">IF(AND(AF86&gt;=0,AF87&lt;0),1,0)</f>
        <v>0</v>
      </c>
      <c r="AG88" s="120" t="n">
        <f aca="false">IF(AND(AG86&gt;=0,AG87&lt;0),1,0)</f>
        <v>0</v>
      </c>
      <c r="AH88" s="120" t="n">
        <f aca="false">IF(AND(AH86&gt;=0,AH87&lt;0),1,0)</f>
        <v>0</v>
      </c>
      <c r="AI88" s="120" t="n">
        <f aca="false">IF(AND(AI86&gt;=0,AI87&lt;0),1,0)</f>
        <v>0</v>
      </c>
      <c r="AJ88" s="120" t="n">
        <f aca="false">IF(AND(AJ86&gt;=0,AJ87&lt;0),1,0)</f>
        <v>0</v>
      </c>
      <c r="AK88" s="120" t="n">
        <f aca="false">IF(AND(AK86&gt;=0,AK87&lt;0),1,0)</f>
        <v>0</v>
      </c>
      <c r="AL88" s="120" t="n">
        <f aca="false">IF(AND(AL86&gt;=0,AL87&lt;0),1,0)</f>
        <v>0</v>
      </c>
    </row>
    <row r="89" customFormat="false" ht="15" hidden="false" customHeight="false" outlineLevel="0" collapsed="false">
      <c r="A89" s="6" t="s">
        <v>406</v>
      </c>
      <c r="C89" s="66" t="n">
        <f aca="false">C70-C39*(1-Inputs!$E$58)+C71</f>
        <v>-84465.1041666667</v>
      </c>
      <c r="D89" s="66" t="n">
        <f aca="false">D70-D39*(1-Inputs!$E$58)+D71</f>
        <v>-65545.5460069444</v>
      </c>
      <c r="E89" s="66" t="n">
        <f aca="false">E70-E39*(1-Inputs!$E$58)+E71</f>
        <v>-63191.5685234375</v>
      </c>
      <c r="F89" s="66" t="n">
        <f aca="false">F70-F39*(1-Inputs!$E$58)+F71</f>
        <v>-60896.1560309071</v>
      </c>
      <c r="G89" s="66" t="n">
        <f aca="false">G70-G39*(1-Inputs!$E$58)+G71</f>
        <v>-58657.8529379622</v>
      </c>
      <c r="H89" s="66" t="n">
        <f aca="false">H70-H39*(1-Inputs!$E$58)+H71</f>
        <v>-56475.239786995</v>
      </c>
      <c r="I89" s="66" t="n">
        <f aca="false">I70-I39*(1-Inputs!$E$58)+I71</f>
        <v>-54346.9323585164</v>
      </c>
      <c r="J89" s="66" t="n">
        <f aca="false">J70-J39*(1-Inputs!$E$58)+J71</f>
        <v>-52271.5807976527</v>
      </c>
      <c r="K89" s="66" t="n">
        <f aca="false">K70-K39*(1-Inputs!$E$58)+K71</f>
        <v>-50247.8687622566</v>
      </c>
      <c r="L89" s="66" t="n">
        <f aca="false">L70-L39*(1-Inputs!$E$58)+L71</f>
        <v>-48274.5125920979</v>
      </c>
      <c r="M89" s="66" t="n">
        <f aca="false">M70-M39*(1-Inputs!$E$58)+M71</f>
        <v>-46350.2604986151</v>
      </c>
      <c r="N89" s="66" t="n">
        <f aca="false">N70-N39*(1-Inputs!$E$58)+N71</f>
        <v>-44473.8917747187</v>
      </c>
      <c r="O89" s="66" t="n">
        <f aca="false">O70-O39*(1-Inputs!$E$58)+O71</f>
        <v>-77951.6339574849</v>
      </c>
      <c r="P89" s="66" t="n">
        <f aca="false">P70-P39*(1-Inputs!$E$58)+P71</f>
        <v>-75498.6973838123</v>
      </c>
      <c r="Q89" s="66" t="n">
        <f aca="false">Q70-Q39*(1-Inputs!$E$58)+Q71</f>
        <v>-73086.7308042236</v>
      </c>
      <c r="R89" s="66" t="n">
        <f aca="false">R70-R39*(1-Inputs!$E$58)+R71</f>
        <v>-70734.7955461411</v>
      </c>
      <c r="S89" s="66" t="n">
        <f aca="false">S70-S39*(1-Inputs!$E$58)+S71</f>
        <v>-68441.3988618166</v>
      </c>
      <c r="T89" s="66" t="n">
        <f aca="false">T70-T39*(1-Inputs!$E$58)+T71</f>
        <v>-66205.085081137</v>
      </c>
      <c r="U89" s="66" t="n">
        <f aca="false">U70-U39*(1-Inputs!$E$58)+U71</f>
        <v>-64024.4346919152</v>
      </c>
      <c r="V89" s="66" t="n">
        <f aca="false">V70-V39*(1-Inputs!$E$58)+V71</f>
        <v>-61898.0634429563</v>
      </c>
      <c r="W89" s="66" t="n">
        <f aca="false">W70-W39*(1-Inputs!$E$58)+W71</f>
        <v>-59824.6214693379</v>
      </c>
      <c r="X89" s="66" t="n">
        <f aca="false">X70-X39*(1-Inputs!$E$58)+X71</f>
        <v>-57802.7924393529</v>
      </c>
      <c r="Y89" s="66" t="n">
        <f aca="false">Y70-Y39*(1-Inputs!$E$58)+Y71</f>
        <v>-55831.2927225818</v>
      </c>
      <c r="Z89" s="66" t="n">
        <f aca="false">Z70-Z39*(1-Inputs!$E$58)+Z71</f>
        <v>-53908.8705785703</v>
      </c>
      <c r="AA89" s="66" t="n">
        <f aca="false">AA70-AA39*(1-Inputs!$E$58)+AA71</f>
        <v>-106872.332341004</v>
      </c>
      <c r="AB89" s="66" t="n">
        <f aca="false">AB70-AB39*(1-Inputs!$E$58)+AB71</f>
        <v>-104183.634043166</v>
      </c>
      <c r="AC89" s="66" t="n">
        <f aca="false">AC70-AC39*(1-Inputs!$E$58)+AC71</f>
        <v>-101535.775444044</v>
      </c>
      <c r="AD89" s="66" t="n">
        <f aca="false">AD70-AD39*(1-Inputs!$E$58)+AD71</f>
        <v>-98953.8393444263</v>
      </c>
      <c r="AE89" s="66" t="n">
        <f aca="false">AE70-AE39*(1-Inputs!$E$58)+AE71</f>
        <v>-96436.1859007883</v>
      </c>
      <c r="AF89" s="66" t="n">
        <f aca="false">AF70-AF39*(1-Inputs!$E$58)+AF71</f>
        <v>-93981.216019126</v>
      </c>
      <c r="AG89" s="66" t="n">
        <f aca="false">AG70-AG39*(1-Inputs!$E$58)+AG71</f>
        <v>-91587.3703436136</v>
      </c>
      <c r="AH89" s="66" t="n">
        <f aca="false">AH70-AH39*(1-Inputs!$E$58)+AH71</f>
        <v>-89253.1282703241</v>
      </c>
      <c r="AI89" s="66" t="n">
        <f aca="false">AI70-AI39*(1-Inputs!$E$58)+AI71</f>
        <v>-86977.0069853917</v>
      </c>
      <c r="AJ89" s="66" t="n">
        <f aca="false">AJ70-AJ39*(1-Inputs!$E$58)+AJ71</f>
        <v>-84757.5605270119</v>
      </c>
      <c r="AK89" s="66" t="n">
        <f aca="false">AK70-AK39*(1-Inputs!$E$58)+AK71</f>
        <v>-82593.378870688</v>
      </c>
      <c r="AL89" s="66" t="n">
        <f aca="false">AL70-AL39*(1-Inputs!$E$58)+AL71</f>
        <v>-80483.0870371505</v>
      </c>
    </row>
    <row r="91" customFormat="false" ht="15.75" hidden="false" customHeight="true" outlineLevel="0" collapsed="false">
      <c r="A91" s="7" t="s">
        <v>407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97</v>
      </c>
      <c r="C92" s="66" t="n">
        <f aca="false">C72</f>
        <v>3000000</v>
      </c>
      <c r="D92" s="66" t="n">
        <f aca="false">C92+D72</f>
        <v>3000000</v>
      </c>
      <c r="E92" s="66" t="n">
        <f aca="false">D92+E72</f>
        <v>3000000</v>
      </c>
      <c r="F92" s="66" t="n">
        <f aca="false">E92+F72</f>
        <v>3000000</v>
      </c>
      <c r="G92" s="66" t="n">
        <f aca="false">F92+G72</f>
        <v>3000000</v>
      </c>
      <c r="H92" s="66" t="n">
        <f aca="false">G92+H72</f>
        <v>3000000</v>
      </c>
      <c r="I92" s="66" t="n">
        <f aca="false">H92+I72</f>
        <v>3000000</v>
      </c>
      <c r="J92" s="66" t="n">
        <f aca="false">I92+J72</f>
        <v>3000000</v>
      </c>
      <c r="K92" s="66" t="n">
        <f aca="false">J92+K72</f>
        <v>3000000</v>
      </c>
      <c r="L92" s="66" t="n">
        <f aca="false">K92+L72</f>
        <v>3000000</v>
      </c>
      <c r="M92" s="66" t="n">
        <f aca="false">L92+M72</f>
        <v>3000000</v>
      </c>
      <c r="N92" s="66" t="n">
        <f aca="false">M92+N72</f>
        <v>3000000</v>
      </c>
      <c r="O92" s="66" t="n">
        <f aca="false">N92+O72</f>
        <v>3000000</v>
      </c>
      <c r="P92" s="66" t="n">
        <f aca="false">O92+P72</f>
        <v>3000000</v>
      </c>
      <c r="Q92" s="66" t="n">
        <f aca="false">P92+Q72</f>
        <v>3000000</v>
      </c>
      <c r="R92" s="66" t="n">
        <f aca="false">Q92+R72</f>
        <v>3000000</v>
      </c>
      <c r="S92" s="66" t="n">
        <f aca="false">R92+S72</f>
        <v>3000000</v>
      </c>
      <c r="T92" s="66" t="n">
        <f aca="false">S92+T72</f>
        <v>3000000</v>
      </c>
      <c r="U92" s="66" t="n">
        <f aca="false">T92+U72</f>
        <v>3000000</v>
      </c>
      <c r="V92" s="66" t="n">
        <f aca="false">U92+V72</f>
        <v>3000000</v>
      </c>
      <c r="W92" s="66" t="n">
        <f aca="false">V92+W72</f>
        <v>3000000</v>
      </c>
      <c r="X92" s="66" t="n">
        <f aca="false">W92+X72</f>
        <v>3000000</v>
      </c>
      <c r="Y92" s="66" t="n">
        <f aca="false">X92+Y72</f>
        <v>3000000</v>
      </c>
      <c r="Z92" s="66" t="n">
        <f aca="false">Y92+Z72</f>
        <v>3000000</v>
      </c>
      <c r="AA92" s="66" t="n">
        <f aca="false">Z92+AA72</f>
        <v>3000000</v>
      </c>
      <c r="AB92" s="66" t="n">
        <f aca="false">AA92+AB72</f>
        <v>3000000</v>
      </c>
      <c r="AC92" s="66" t="n">
        <f aca="false">AB92+AC72</f>
        <v>3000000</v>
      </c>
      <c r="AD92" s="66" t="n">
        <f aca="false">AC92+AD72</f>
        <v>3000000</v>
      </c>
      <c r="AE92" s="66" t="n">
        <f aca="false">AD92+AE72</f>
        <v>3000000</v>
      </c>
      <c r="AF92" s="66" t="n">
        <f aca="false">AE92+AF72</f>
        <v>3000000</v>
      </c>
      <c r="AG92" s="66" t="n">
        <f aca="false">AF92+AG72</f>
        <v>3000000</v>
      </c>
      <c r="AH92" s="66" t="n">
        <f aca="false">AG92+AH72</f>
        <v>3000000</v>
      </c>
      <c r="AI92" s="66" t="n">
        <f aca="false">AH92+AI72</f>
        <v>3000000</v>
      </c>
      <c r="AJ92" s="66" t="n">
        <f aca="false">AI92+AJ72</f>
        <v>3000000</v>
      </c>
      <c r="AK92" s="66" t="n">
        <f aca="false">AJ92+AK72</f>
        <v>3000000</v>
      </c>
      <c r="AL92" s="66" t="n">
        <f aca="false">AK92+AL72</f>
        <v>3000000</v>
      </c>
    </row>
    <row r="93" customFormat="false" ht="15" hidden="false" customHeight="false" outlineLevel="0" collapsed="false">
      <c r="A93" s="6" t="s">
        <v>98</v>
      </c>
      <c r="C93" s="66" t="n">
        <f aca="false">C44</f>
        <v>-71828.2458333333</v>
      </c>
      <c r="D93" s="66" t="n">
        <f aca="false">C93+D44</f>
        <v>-141159.335576389</v>
      </c>
      <c r="E93" s="66" t="n">
        <f aca="false">D93+E44</f>
        <v>-208055.413685313</v>
      </c>
      <c r="F93" s="66" t="n">
        <f aca="false">E93+F44</f>
        <v>-272577.07953823</v>
      </c>
      <c r="G93" s="66" t="n">
        <f aca="false">F93+G44</f>
        <v>-334783.425806195</v>
      </c>
      <c r="H93" s="66" t="n">
        <f aca="false">G93+H44</f>
        <v>-394732.075872546</v>
      </c>
      <c r="I93" s="66" t="n">
        <f aca="false">H93+I44</f>
        <v>-452479.220324226</v>
      </c>
      <c r="J93" s="66" t="n">
        <f aca="false">I93+J44</f>
        <v>-508079.652538049</v>
      </c>
      <c r="K93" s="66" t="n">
        <f aca="false">J93+K44</f>
        <v>-561586.803384312</v>
      </c>
      <c r="L93" s="66" t="n">
        <f aca="false">K93+L44</f>
        <v>-613052.775069627</v>
      </c>
      <c r="M93" s="66" t="n">
        <f aca="false">L93+M44</f>
        <v>-662528.374140268</v>
      </c>
      <c r="N93" s="66" t="n">
        <f aca="false">M93+N44</f>
        <v>-710063.143666832</v>
      </c>
      <c r="O93" s="66" t="n">
        <f aca="false">N93+O44</f>
        <v>-791974.408786052</v>
      </c>
      <c r="P93" s="66" t="n">
        <f aca="false">O93+P44</f>
        <v>-871327.282021187</v>
      </c>
      <c r="Q93" s="66" t="n">
        <f aca="false">P93+Q44</f>
        <v>-948185.455326356</v>
      </c>
      <c r="R93" s="66" t="n">
        <f aca="false">Q93+R44</f>
        <v>-1022611.03639211</v>
      </c>
      <c r="S93" s="66" t="n">
        <f aca="false">R93+S44</f>
        <v>-1094664.58801098</v>
      </c>
      <c r="T93" s="66" t="n">
        <f aca="false">S93+T44</f>
        <v>-1164405.16646607</v>
      </c>
      <c r="U93" s="66" t="n">
        <f aca="false">T93+U44</f>
        <v>-1231890.35896702</v>
      </c>
      <c r="V93" s="66" t="n">
        <f aca="false">U93+V44</f>
        <v>-1297176.32015678</v>
      </c>
      <c r="W93" s="66" t="n">
        <f aca="false">V93+W44</f>
        <v>-1360317.80771244</v>
      </c>
      <c r="X93" s="66" t="n">
        <f aca="false">W93+X44</f>
        <v>-1421368.2170623</v>
      </c>
      <c r="Y93" s="66" t="n">
        <f aca="false">X93+Y44</f>
        <v>-1480379.61524137</v>
      </c>
      <c r="Z93" s="66" t="n">
        <f aca="false">Y93+Z44</f>
        <v>-1537402.77390634</v>
      </c>
      <c r="AA93" s="66" t="n">
        <f aca="false">Z93+AA44</f>
        <v>-1648562.25879926</v>
      </c>
      <c r="AB93" s="66" t="n">
        <f aca="false">AA93+AB44</f>
        <v>-1756913.37771071</v>
      </c>
      <c r="AC93" s="66" t="n">
        <f aca="false">AB93+AC44</f>
        <v>-1862526.06582474</v>
      </c>
      <c r="AD93" s="66" t="n">
        <f aca="false">AC93+AD44</f>
        <v>-1965468.51816479</v>
      </c>
      <c r="AE93" s="66" t="n">
        <f aca="false">AD93+AE44</f>
        <v>-2065807.23285107</v>
      </c>
      <c r="AF93" s="66" t="n">
        <f aca="false">AE93+AF44</f>
        <v>-2163607.05328406</v>
      </c>
      <c r="AG93" s="66" t="n">
        <f aca="false">AF93+AG44</f>
        <v>-2258931.20928041</v>
      </c>
      <c r="AH93" s="66" t="n">
        <f aca="false">AG93+AH44</f>
        <v>-2351841.35718757</v>
      </c>
      <c r="AI93" s="66" t="n">
        <f aca="false">AH93+AI44</f>
        <v>-2442397.61900219</v>
      </c>
      <c r="AJ93" s="66" t="n">
        <f aca="false">AI93+AJ44</f>
        <v>-2530658.62051719</v>
      </c>
      <c r="AK93" s="66" t="n">
        <f aca="false">AJ93+AK44</f>
        <v>-2616681.52852143</v>
      </c>
      <c r="AL93" s="66" t="n">
        <f aca="false">AK93+AL44</f>
        <v>-2700522.08707562</v>
      </c>
    </row>
    <row r="94" customFormat="false" ht="15" hidden="false" customHeight="false" outlineLevel="0" collapsed="false">
      <c r="A94" s="4" t="s">
        <v>92</v>
      </c>
      <c r="C94" s="72" t="n">
        <f aca="false">C76+C60+C61+C51</f>
        <v>2935713.81944444</v>
      </c>
      <c r="D94" s="72" t="n">
        <f aca="false">D76+D60+D61+D51</f>
        <v>2870085.68923611</v>
      </c>
      <c r="E94" s="72" t="n">
        <f aca="false">E76+E60+E61+E51</f>
        <v>2806799.71222743</v>
      </c>
      <c r="F94" s="72" t="n">
        <f aca="false">F76+F60+F61+F51</f>
        <v>2745797.61903452</v>
      </c>
      <c r="G94" s="72" t="n">
        <f aca="false">G76+G60+G61+G51</f>
        <v>2687022.58847472</v>
      </c>
      <c r="H94" s="72" t="n">
        <f aca="false">H76+H60+H61+H51</f>
        <v>2630419.21161754</v>
      </c>
      <c r="I94" s="72" t="n">
        <f aca="false">I76+I60+I61+I51</f>
        <v>2575933.45672671</v>
      </c>
      <c r="J94" s="72" t="n">
        <f aca="false">J76+J60+J61+J51</f>
        <v>2523512.63507116</v>
      </c>
      <c r="K94" s="72" t="n">
        <f aca="false">K76+K60+K61+K51</f>
        <v>2473105.36758356</v>
      </c>
      <c r="L94" s="72" t="n">
        <f aca="false">L76+L60+L61+L51</f>
        <v>2424661.55234537</v>
      </c>
      <c r="M94" s="72" t="n">
        <f aca="false">M76+M60+M61+M51</f>
        <v>2378132.33287792</v>
      </c>
      <c r="N94" s="72" t="n">
        <f aca="false">N76+N60+N61+N51</f>
        <v>2333470.06721971</v>
      </c>
      <c r="O94" s="72" t="n">
        <f aca="false">O76+O60+O61+O51</f>
        <v>2255389.05417025</v>
      </c>
      <c r="P94" s="72" t="n">
        <f aca="false">P76+P60+P61+P51</f>
        <v>2179818.49761622</v>
      </c>
      <c r="Q94" s="72" t="n">
        <f aca="false">Q76+Q60+Q61+Q51</f>
        <v>2106647.81523214</v>
      </c>
      <c r="R94" s="72" t="n">
        <f aca="false">R76+R60+R61+R51</f>
        <v>2035817.27800675</v>
      </c>
      <c r="S94" s="72" t="n">
        <f aca="false">S76+S60+S61+S51</f>
        <v>1967268.64211877</v>
      </c>
      <c r="T94" s="72" t="n">
        <f aca="false">T76+T60+T61+T51</f>
        <v>1900945.11204824</v>
      </c>
      <c r="U94" s="72" t="n">
        <f aca="false">U76+U60+U61+U51</f>
        <v>1836791.30460278</v>
      </c>
      <c r="V94" s="72" t="n">
        <f aca="false">V76+V60+V61+V51</f>
        <v>1774753.21383623</v>
      </c>
      <c r="W94" s="72" t="n">
        <f aca="false">W76+W60+W61+W51</f>
        <v>1714778.1768375</v>
      </c>
      <c r="X94" s="72" t="n">
        <f aca="false">X76+X60+X61+X51</f>
        <v>1656814.84036809</v>
      </c>
      <c r="Y94" s="72" t="n">
        <f aca="false">Y76+Y60+Y61+Y51</f>
        <v>1600813.12832732</v>
      </c>
      <c r="Z94" s="72" t="n">
        <f aca="false">Z76+Z60+Z61+Z51</f>
        <v>1546724.21002463</v>
      </c>
      <c r="AA94" s="72" t="n">
        <f aca="false">AA76+AA60+AA61+AA51</f>
        <v>1439750.16252272</v>
      </c>
      <c r="AB94" s="72" t="n">
        <f aca="false">AB76+AB60+AB61+AB51</f>
        <v>1335541.18756778</v>
      </c>
      <c r="AC94" s="72" t="n">
        <f aca="false">AC76+AC60+AC61+AC51</f>
        <v>1233966.81584587</v>
      </c>
      <c r="AD94" s="72" t="n">
        <f aca="false">AD76+AD60+AD61+AD51</f>
        <v>1134961.45624163</v>
      </c>
      <c r="AE94" s="72" t="n">
        <f aca="false">AE76+AE60+AE61+AE51</f>
        <v>1038461.14919864</v>
      </c>
      <c r="AF94" s="72" t="n">
        <f aca="false">AF76+AF60+AF61+AF51</f>
        <v>944403.526176978</v>
      </c>
      <c r="AG94" s="72" t="n">
        <f aca="false">AG76+AG60+AG61+AG51</f>
        <v>852727.770117001</v>
      </c>
      <c r="AH94" s="72" t="n">
        <f aca="false">AH76+AH60+AH61+AH51</f>
        <v>763374.576884334</v>
      </c>
      <c r="AI94" s="72" t="n">
        <f aca="false">AI76+AI60+AI61+AI51</f>
        <v>676286.11767177</v>
      </c>
      <c r="AJ94" s="72" t="n">
        <f aca="false">AJ76+AJ60+AJ61+AJ51</f>
        <v>591406.002334375</v>
      </c>
      <c r="AK94" s="72" t="n">
        <f aca="false">AK76+AK60+AK61+AK51</f>
        <v>508679.243634675</v>
      </c>
      <c r="AL94" s="72" t="n">
        <f aca="false">AL76+AL60+AL61+AL51</f>
        <v>428052.222375349</v>
      </c>
    </row>
    <row r="95" customFormat="false" ht="15" hidden="false" customHeight="false" outlineLevel="0" collapsed="false">
      <c r="A95" s="6" t="s">
        <v>96</v>
      </c>
      <c r="C95" s="66" t="n">
        <f aca="false">C62+C57+C66</f>
        <v>7542.06527777778</v>
      </c>
      <c r="D95" s="66" t="n">
        <f aca="false">D62+D57+D66</f>
        <v>11245.0248125</v>
      </c>
      <c r="E95" s="66" t="n">
        <f aca="false">E62+E57+E66</f>
        <v>14855.1259127431</v>
      </c>
      <c r="F95" s="66" t="n">
        <f aca="false">F62+F57+F66</f>
        <v>18374.6985727523</v>
      </c>
      <c r="G95" s="66" t="n">
        <f aca="false">G62+G57+G66</f>
        <v>21806.0142809153</v>
      </c>
      <c r="H95" s="66" t="n">
        <f aca="false">H62+H57+H66</f>
        <v>25151.2874900887</v>
      </c>
      <c r="I95" s="66" t="n">
        <f aca="false">I62+I57+I66</f>
        <v>28412.6770509357</v>
      </c>
      <c r="J95" s="66" t="n">
        <f aca="false">J62+J57+J66</f>
        <v>31592.2876092075</v>
      </c>
      <c r="K95" s="66" t="n">
        <f aca="false">K62+K57+K66</f>
        <v>34692.170967875</v>
      </c>
      <c r="L95" s="66" t="n">
        <f aca="false">L62+L57+L66</f>
        <v>37714.3274149978</v>
      </c>
      <c r="M95" s="66" t="n">
        <f aca="false">M62+M57+M66</f>
        <v>40660.7070181919</v>
      </c>
      <c r="N95" s="66" t="n">
        <f aca="false">N62+N57+N66</f>
        <v>43533.2108865379</v>
      </c>
      <c r="O95" s="66" t="n">
        <f aca="false">O62+O57+O66</f>
        <v>47363.4629563056</v>
      </c>
      <c r="P95" s="66" t="n">
        <f aca="false">P62+P57+P66</f>
        <v>51145.7796374046</v>
      </c>
      <c r="Q95" s="66" t="n">
        <f aca="false">Q62+Q57+Q66</f>
        <v>54833.2705584925</v>
      </c>
      <c r="R95" s="66" t="n">
        <f aca="false">R62+R57+R66</f>
        <v>58428.3143988593</v>
      </c>
      <c r="S95" s="66" t="n">
        <f aca="false">S62+S57+S66</f>
        <v>61933.2301297536</v>
      </c>
      <c r="T95" s="66" t="n">
        <f aca="false">T62+T57+T66</f>
        <v>65350.2785143163</v>
      </c>
      <c r="U95" s="66" t="n">
        <f aca="false">U62+U57+U66</f>
        <v>68681.6635697974</v>
      </c>
      <c r="V95" s="66" t="n">
        <f aca="false">V62+V57+V66</f>
        <v>71929.533993008</v>
      </c>
      <c r="W95" s="66" t="n">
        <f aca="false">W62+W57+W66</f>
        <v>75095.9845499313</v>
      </c>
      <c r="X95" s="66" t="n">
        <f aca="false">X62+X57+X66</f>
        <v>78183.0574303957</v>
      </c>
      <c r="Y95" s="66" t="n">
        <f aca="false">Y62+Y57+Y66</f>
        <v>81192.7435686888</v>
      </c>
      <c r="Z95" s="66" t="n">
        <f aca="false">Z62+Z57+Z66</f>
        <v>84126.9839309697</v>
      </c>
      <c r="AA95" s="66" t="n">
        <f aca="false">AA62+AA57+AA66</f>
        <v>88312.4213219819</v>
      </c>
      <c r="AB95" s="66" t="n">
        <f aca="false">AB62+AB57+AB66</f>
        <v>92454.5652784902</v>
      </c>
      <c r="AC95" s="66" t="n">
        <f aca="false">AC62+AC57+AC66</f>
        <v>96492.8816706111</v>
      </c>
      <c r="AD95" s="66" t="n">
        <f aca="false">AD62+AD57+AD66</f>
        <v>100429.974406418</v>
      </c>
      <c r="AE95" s="66" t="n">
        <f aca="false">AE62+AE57+AE66</f>
        <v>104268.382049715</v>
      </c>
      <c r="AF95" s="66" t="n">
        <f aca="false">AF62+AF57+AF66</f>
        <v>108010.579461038</v>
      </c>
      <c r="AG95" s="66" t="n">
        <f aca="false">AG62+AG57+AG66</f>
        <v>111658.979397413</v>
      </c>
      <c r="AH95" s="66" t="n">
        <f aca="false">AH62+AH57+AH66</f>
        <v>115215.934071904</v>
      </c>
      <c r="AI95" s="66" t="n">
        <f aca="false">AI62+AI57+AI66</f>
        <v>118683.736673961</v>
      </c>
      <c r="AJ95" s="66" t="n">
        <f aca="false">AJ62+AJ57+AJ66</f>
        <v>122064.622851563</v>
      </c>
      <c r="AK95" s="66" t="n">
        <f aca="false">AK62+AK57+AK66</f>
        <v>125360.772156104</v>
      </c>
      <c r="AL95" s="66" t="n">
        <f aca="false">AL62+AL57+AL66</f>
        <v>128574.309450968</v>
      </c>
    </row>
    <row r="96" customFormat="false" ht="15" hidden="false" customHeight="false" outlineLevel="0" collapsed="false">
      <c r="A96" s="6" t="s">
        <v>99</v>
      </c>
      <c r="C96" s="66" t="n">
        <f aca="false">C92+C93</f>
        <v>2928171.75416667</v>
      </c>
      <c r="D96" s="66" t="n">
        <f aca="false">D92+D93</f>
        <v>2858840.66442361</v>
      </c>
      <c r="E96" s="66" t="n">
        <f aca="false">E92+E93</f>
        <v>2791944.58631469</v>
      </c>
      <c r="F96" s="66" t="n">
        <f aca="false">F92+F93</f>
        <v>2727422.92046177</v>
      </c>
      <c r="G96" s="66" t="n">
        <f aca="false">G92+G93</f>
        <v>2665216.57419381</v>
      </c>
      <c r="H96" s="66" t="n">
        <f aca="false">H92+H93</f>
        <v>2605267.92412745</v>
      </c>
      <c r="I96" s="66" t="n">
        <f aca="false">I92+I93</f>
        <v>2547520.77967577</v>
      </c>
      <c r="J96" s="66" t="n">
        <f aca="false">J92+J93</f>
        <v>2491920.34746195</v>
      </c>
      <c r="K96" s="66" t="n">
        <f aca="false">K92+K93</f>
        <v>2438413.19661569</v>
      </c>
      <c r="L96" s="66" t="n">
        <f aca="false">L92+L93</f>
        <v>2386947.22493037</v>
      </c>
      <c r="M96" s="66" t="n">
        <f aca="false">M92+M93</f>
        <v>2337471.62585973</v>
      </c>
      <c r="N96" s="66" t="n">
        <f aca="false">N92+N93</f>
        <v>2289936.85633317</v>
      </c>
      <c r="O96" s="66" t="n">
        <f aca="false">O92+O93</f>
        <v>2208025.59121395</v>
      </c>
      <c r="P96" s="66" t="n">
        <f aca="false">P92+P93</f>
        <v>2128672.71797881</v>
      </c>
      <c r="Q96" s="66" t="n">
        <f aca="false">Q92+Q93</f>
        <v>2051814.54467364</v>
      </c>
      <c r="R96" s="66" t="n">
        <f aca="false">R92+R93</f>
        <v>1977388.96360789</v>
      </c>
      <c r="S96" s="66" t="n">
        <f aca="false">S92+S93</f>
        <v>1905335.41198902</v>
      </c>
      <c r="T96" s="66" t="n">
        <f aca="false">T92+T93</f>
        <v>1835594.83353393</v>
      </c>
      <c r="U96" s="66" t="n">
        <f aca="false">U92+U93</f>
        <v>1768109.64103298</v>
      </c>
      <c r="V96" s="66" t="n">
        <f aca="false">V92+V93</f>
        <v>1702823.67984322</v>
      </c>
      <c r="W96" s="66" t="n">
        <f aca="false">W92+W93</f>
        <v>1639682.19228756</v>
      </c>
      <c r="X96" s="66" t="n">
        <f aca="false">X92+X93</f>
        <v>1578631.7829377</v>
      </c>
      <c r="Y96" s="66" t="n">
        <f aca="false">Y92+Y93</f>
        <v>1519620.38475864</v>
      </c>
      <c r="Z96" s="66" t="n">
        <f aca="false">Z92+Z93</f>
        <v>1462597.22609366</v>
      </c>
      <c r="AA96" s="66" t="n">
        <f aca="false">AA92+AA93</f>
        <v>1351437.74120074</v>
      </c>
      <c r="AB96" s="66" t="n">
        <f aca="false">AB92+AB93</f>
        <v>1243086.62228929</v>
      </c>
      <c r="AC96" s="66" t="n">
        <f aca="false">AC92+AC93</f>
        <v>1137473.93417526</v>
      </c>
      <c r="AD96" s="66" t="n">
        <f aca="false">AD92+AD93</f>
        <v>1034531.48183521</v>
      </c>
      <c r="AE96" s="66" t="n">
        <f aca="false">AE92+AE93</f>
        <v>934192.767148926</v>
      </c>
      <c r="AF96" s="66" t="n">
        <f aca="false">AF92+AF93</f>
        <v>836392.946715939</v>
      </c>
      <c r="AG96" s="66" t="n">
        <f aca="false">AG92+AG93</f>
        <v>741068.790719588</v>
      </c>
      <c r="AH96" s="66" t="n">
        <f aca="false">AH92+AH93</f>
        <v>648158.64281243</v>
      </c>
      <c r="AI96" s="66" t="n">
        <f aca="false">AI92+AI93</f>
        <v>557602.380997808</v>
      </c>
      <c r="AJ96" s="66" t="n">
        <f aca="false">AJ92+AJ93</f>
        <v>469341.379482811</v>
      </c>
      <c r="AK96" s="66" t="n">
        <f aca="false">AK92+AK93</f>
        <v>383318.471478571</v>
      </c>
      <c r="AL96" s="66" t="n">
        <f aca="false">AL92+AL93</f>
        <v>299477.91292438</v>
      </c>
    </row>
    <row r="97" customFormat="false" ht="15" hidden="false" customHeight="false" outlineLevel="0" collapsed="false">
      <c r="A97" s="4" t="s">
        <v>100</v>
      </c>
      <c r="C97" s="72" t="n">
        <f aca="false">C95+C96</f>
        <v>2935713.81944444</v>
      </c>
      <c r="D97" s="72" t="n">
        <f aca="false">D95+D96</f>
        <v>2870085.68923611</v>
      </c>
      <c r="E97" s="72" t="n">
        <f aca="false">E95+E96</f>
        <v>2806799.71222743</v>
      </c>
      <c r="F97" s="72" t="n">
        <f aca="false">F95+F96</f>
        <v>2745797.61903452</v>
      </c>
      <c r="G97" s="72" t="n">
        <f aca="false">G95+G96</f>
        <v>2687022.58847472</v>
      </c>
      <c r="H97" s="72" t="n">
        <f aca="false">H95+H96</f>
        <v>2630419.21161754</v>
      </c>
      <c r="I97" s="72" t="n">
        <f aca="false">I95+I96</f>
        <v>2575933.45672671</v>
      </c>
      <c r="J97" s="72" t="n">
        <f aca="false">J95+J96</f>
        <v>2523512.63507116</v>
      </c>
      <c r="K97" s="72" t="n">
        <f aca="false">K95+K96</f>
        <v>2473105.36758356</v>
      </c>
      <c r="L97" s="72" t="n">
        <f aca="false">L95+L96</f>
        <v>2424661.55234537</v>
      </c>
      <c r="M97" s="72" t="n">
        <f aca="false">M95+M96</f>
        <v>2378132.33287792</v>
      </c>
      <c r="N97" s="72" t="n">
        <f aca="false">N95+N96</f>
        <v>2333470.06721971</v>
      </c>
      <c r="O97" s="72" t="n">
        <f aca="false">O95+O96</f>
        <v>2255389.05417025</v>
      </c>
      <c r="P97" s="72" t="n">
        <f aca="false">P95+P96</f>
        <v>2179818.49761622</v>
      </c>
      <c r="Q97" s="72" t="n">
        <f aca="false">Q95+Q96</f>
        <v>2106647.81523214</v>
      </c>
      <c r="R97" s="72" t="n">
        <f aca="false">R95+R96</f>
        <v>2035817.27800675</v>
      </c>
      <c r="S97" s="72" t="n">
        <f aca="false">S95+S96</f>
        <v>1967268.64211877</v>
      </c>
      <c r="T97" s="72" t="n">
        <f aca="false">T95+T96</f>
        <v>1900945.11204824</v>
      </c>
      <c r="U97" s="72" t="n">
        <f aca="false">U95+U96</f>
        <v>1836791.30460278</v>
      </c>
      <c r="V97" s="72" t="n">
        <f aca="false">V95+V96</f>
        <v>1774753.21383623</v>
      </c>
      <c r="W97" s="72" t="n">
        <f aca="false">W95+W96</f>
        <v>1714778.1768375</v>
      </c>
      <c r="X97" s="72" t="n">
        <f aca="false">X95+X96</f>
        <v>1656814.84036809</v>
      </c>
      <c r="Y97" s="72" t="n">
        <f aca="false">Y95+Y96</f>
        <v>1600813.12832732</v>
      </c>
      <c r="Z97" s="72" t="n">
        <f aca="false">Z95+Z96</f>
        <v>1546724.21002463</v>
      </c>
      <c r="AA97" s="72" t="n">
        <f aca="false">AA95+AA96</f>
        <v>1439750.16252272</v>
      </c>
      <c r="AB97" s="72" t="n">
        <f aca="false">AB95+AB96</f>
        <v>1335541.18756778</v>
      </c>
      <c r="AC97" s="72" t="n">
        <f aca="false">AC95+AC96</f>
        <v>1233966.81584587</v>
      </c>
      <c r="AD97" s="72" t="n">
        <f aca="false">AD95+AD96</f>
        <v>1134961.45624163</v>
      </c>
      <c r="AE97" s="72" t="n">
        <f aca="false">AE95+AE96</f>
        <v>1038461.14919864</v>
      </c>
      <c r="AF97" s="72" t="n">
        <f aca="false">AF95+AF96</f>
        <v>944403.526176978</v>
      </c>
      <c r="AG97" s="72" t="n">
        <f aca="false">AG95+AG96</f>
        <v>852727.770117001</v>
      </c>
      <c r="AH97" s="72" t="n">
        <f aca="false">AH95+AH96</f>
        <v>763374.576884334</v>
      </c>
      <c r="AI97" s="72" t="n">
        <f aca="false">AI95+AI96</f>
        <v>676286.117671769</v>
      </c>
      <c r="AJ97" s="72" t="n">
        <f aca="false">AJ95+AJ96</f>
        <v>591406.002334375</v>
      </c>
      <c r="AK97" s="72" t="n">
        <f aca="false">AK95+AK96</f>
        <v>508679.243634675</v>
      </c>
      <c r="AL97" s="72" t="n">
        <f aca="false">AL95+AL96</f>
        <v>428052.222375348</v>
      </c>
    </row>
    <row r="98" customFormat="false" ht="15" hidden="false" customHeight="false" outlineLevel="0" collapsed="false">
      <c r="A98" s="6" t="s">
        <v>408</v>
      </c>
      <c r="C98" s="66" t="n">
        <f aca="false">C94-C97</f>
        <v>0</v>
      </c>
      <c r="D98" s="66" t="n">
        <f aca="false">D94-D97</f>
        <v>0</v>
      </c>
      <c r="E98" s="66" t="n">
        <f aca="false">E94-E97</f>
        <v>0</v>
      </c>
      <c r="F98" s="66" t="n">
        <f aca="false">F94-F97</f>
        <v>0</v>
      </c>
      <c r="G98" s="66" t="n">
        <f aca="false">G94-G97</f>
        <v>0</v>
      </c>
      <c r="H98" s="66" t="n">
        <f aca="false">H94-H97</f>
        <v>0</v>
      </c>
      <c r="I98" s="66" t="n">
        <f aca="false">I94-I97</f>
        <v>0</v>
      </c>
      <c r="J98" s="66" t="n">
        <f aca="false">J94-J97</f>
        <v>0</v>
      </c>
      <c r="K98" s="66" t="n">
        <f aca="false">K94-K97</f>
        <v>0</v>
      </c>
      <c r="L98" s="66" t="n">
        <f aca="false">L94-L97</f>
        <v>0</v>
      </c>
      <c r="M98" s="66" t="n">
        <f aca="false">M94-M97</f>
        <v>0</v>
      </c>
      <c r="N98" s="66" t="n">
        <f aca="false">N94-N97</f>
        <v>0</v>
      </c>
      <c r="O98" s="66" t="n">
        <f aca="false">O94-O97</f>
        <v>0</v>
      </c>
      <c r="P98" s="66" t="n">
        <f aca="false">P94-P97</f>
        <v>0</v>
      </c>
      <c r="Q98" s="66" t="n">
        <f aca="false">Q94-Q97</f>
        <v>0</v>
      </c>
      <c r="R98" s="66" t="n">
        <f aca="false">R94-R97</f>
        <v>0</v>
      </c>
      <c r="S98" s="66" t="n">
        <f aca="false">S94-S97</f>
        <v>0</v>
      </c>
      <c r="T98" s="66" t="n">
        <f aca="false">T94-T97</f>
        <v>0</v>
      </c>
      <c r="U98" s="66" t="n">
        <f aca="false">U94-U97</f>
        <v>0</v>
      </c>
      <c r="V98" s="66" t="n">
        <f aca="false">V94-V97</f>
        <v>0</v>
      </c>
      <c r="W98" s="66" t="n">
        <f aca="false">W94-W97</f>
        <v>0</v>
      </c>
      <c r="X98" s="66" t="n">
        <f aca="false">X94-X97</f>
        <v>0</v>
      </c>
      <c r="Y98" s="66" t="n">
        <f aca="false">Y94-Y97</f>
        <v>0</v>
      </c>
      <c r="Z98" s="66" t="n">
        <f aca="false">Z94-Z97</f>
        <v>0</v>
      </c>
      <c r="AA98" s="66" t="n">
        <f aca="false">AA94-AA97</f>
        <v>0</v>
      </c>
      <c r="AB98" s="66" t="n">
        <f aca="false">AB94-AB97</f>
        <v>0</v>
      </c>
      <c r="AC98" s="66" t="n">
        <f aca="false">AC94-AC97</f>
        <v>0</v>
      </c>
      <c r="AD98" s="66" t="n">
        <f aca="false">AD94-AD97</f>
        <v>0</v>
      </c>
      <c r="AE98" s="66" t="n">
        <f aca="false">AE94-AE97</f>
        <v>0</v>
      </c>
      <c r="AF98" s="66" t="n">
        <f aca="false">AF94-AF97</f>
        <v>0</v>
      </c>
      <c r="AG98" s="66" t="n">
        <f aca="false">AG94-AG97</f>
        <v>0</v>
      </c>
      <c r="AH98" s="66" t="n">
        <f aca="false">AH94-AH97</f>
        <v>0</v>
      </c>
      <c r="AI98" s="66" t="n">
        <f aca="false">AI94-AI97</f>
        <v>0</v>
      </c>
      <c r="AJ98" s="66" t="n">
        <f aca="false">AJ94-AJ97</f>
        <v>0</v>
      </c>
      <c r="AK98" s="66" t="n">
        <f aca="false">AK94-AK97</f>
        <v>0</v>
      </c>
      <c r="AL98" s="66" t="n">
        <f aca="false">AL94-AL97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409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329</v>
      </c>
    </row>
    <row r="3" customFormat="false" ht="15" hidden="false" customHeight="false" outlineLevel="0" collapsed="false">
      <c r="A3" s="33" t="s">
        <v>330</v>
      </c>
      <c r="C3" s="35" t="s">
        <v>331</v>
      </c>
      <c r="D3" s="35" t="s">
        <v>332</v>
      </c>
      <c r="E3" s="35" t="s">
        <v>333</v>
      </c>
      <c r="F3" s="35" t="s">
        <v>334</v>
      </c>
      <c r="G3" s="35" t="s">
        <v>335</v>
      </c>
      <c r="H3" s="35" t="s">
        <v>336</v>
      </c>
      <c r="I3" s="35" t="s">
        <v>337</v>
      </c>
      <c r="J3" s="35" t="s">
        <v>338</v>
      </c>
      <c r="K3" s="35" t="s">
        <v>339</v>
      </c>
      <c r="L3" s="35" t="s">
        <v>340</v>
      </c>
      <c r="M3" s="35" t="s">
        <v>341</v>
      </c>
      <c r="N3" s="35" t="s">
        <v>342</v>
      </c>
      <c r="O3" s="35" t="s">
        <v>343</v>
      </c>
      <c r="P3" s="35" t="s">
        <v>344</v>
      </c>
      <c r="Q3" s="35" t="s">
        <v>345</v>
      </c>
      <c r="R3" s="35" t="s">
        <v>346</v>
      </c>
      <c r="S3" s="35" t="s">
        <v>347</v>
      </c>
      <c r="T3" s="35" t="s">
        <v>348</v>
      </c>
      <c r="U3" s="35" t="s">
        <v>349</v>
      </c>
      <c r="V3" s="35" t="s">
        <v>350</v>
      </c>
      <c r="W3" s="35" t="s">
        <v>351</v>
      </c>
      <c r="X3" s="35" t="s">
        <v>352</v>
      </c>
      <c r="Y3" s="35" t="s">
        <v>353</v>
      </c>
      <c r="Z3" s="35" t="s">
        <v>354</v>
      </c>
      <c r="AA3" s="35" t="s">
        <v>355</v>
      </c>
      <c r="AB3" s="35" t="s">
        <v>356</v>
      </c>
      <c r="AC3" s="35" t="s">
        <v>357</v>
      </c>
      <c r="AD3" s="35" t="s">
        <v>358</v>
      </c>
      <c r="AE3" s="35" t="s">
        <v>359</v>
      </c>
      <c r="AF3" s="35" t="s">
        <v>360</v>
      </c>
      <c r="AG3" s="35" t="s">
        <v>361</v>
      </c>
      <c r="AH3" s="35" t="s">
        <v>362</v>
      </c>
      <c r="AI3" s="35" t="s">
        <v>363</v>
      </c>
      <c r="AJ3" s="35" t="s">
        <v>364</v>
      </c>
      <c r="AK3" s="35" t="s">
        <v>365</v>
      </c>
      <c r="AL3" s="35" t="s">
        <v>366</v>
      </c>
    </row>
    <row r="4" customFormat="false" ht="15" hidden="false" customHeight="false" outlineLevel="0" collapsed="false">
      <c r="A4" s="71" t="s">
        <v>367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</row>
    <row r="5" customFormat="false" ht="15" hidden="false" customHeight="false" outlineLevel="0" collapsed="false">
      <c r="A5" s="71" t="s">
        <v>154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</row>
    <row r="7" customFormat="false" ht="15.75" hidden="false" customHeight="true" outlineLevel="0" collapsed="false">
      <c r="A7" s="7" t="s">
        <v>410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411</v>
      </c>
      <c r="C8" s="114" t="n">
        <f aca="false">Inputs!$E$26*(1+Inputs!$E$28)^(C$5-1)*MAX(0,MIN(1,C$4*1-Inputs!$E$29+1))/1</f>
        <v>3</v>
      </c>
      <c r="D8" s="114" t="n">
        <f aca="false">Inputs!$E$26*(1+Inputs!$E$28)^(D$5-1)*MAX(0,MIN(1,D$4*1-Inputs!$E$29+1))/1</f>
        <v>3</v>
      </c>
      <c r="E8" s="114" t="n">
        <f aca="false">Inputs!$E$26*(1+Inputs!$E$28)^(E$5-1)*MAX(0,MIN(1,E$4*1-Inputs!$E$29+1))/1</f>
        <v>3</v>
      </c>
      <c r="F8" s="114" t="n">
        <f aca="false">Inputs!$E$26*(1+Inputs!$E$28)^(F$5-1)*MAX(0,MIN(1,F$4*1-Inputs!$E$29+1))/1</f>
        <v>3</v>
      </c>
      <c r="G8" s="114" t="n">
        <f aca="false">Inputs!$E$26*(1+Inputs!$E$28)^(G$5-1)*MAX(0,MIN(1,G$4*1-Inputs!$E$29+1))/1</f>
        <v>3</v>
      </c>
      <c r="H8" s="114" t="n">
        <f aca="false">Inputs!$E$26*(1+Inputs!$E$28)^(H$5-1)*MAX(0,MIN(1,H$4*1-Inputs!$E$29+1))/1</f>
        <v>3</v>
      </c>
      <c r="I8" s="114" t="n">
        <f aca="false">Inputs!$E$26*(1+Inputs!$E$28)^(I$5-1)*MAX(0,MIN(1,I$4*1-Inputs!$E$29+1))/1</f>
        <v>3</v>
      </c>
      <c r="J8" s="114" t="n">
        <f aca="false">Inputs!$E$26*(1+Inputs!$E$28)^(J$5-1)*MAX(0,MIN(1,J$4*1-Inputs!$E$29+1))/1</f>
        <v>3</v>
      </c>
      <c r="K8" s="114" t="n">
        <f aca="false">Inputs!$E$26*(1+Inputs!$E$28)^(K$5-1)*MAX(0,MIN(1,K$4*1-Inputs!$E$29+1))/1</f>
        <v>3</v>
      </c>
      <c r="L8" s="114" t="n">
        <f aca="false">Inputs!$E$26*(1+Inputs!$E$28)^(L$5-1)*MAX(0,MIN(1,L$4*1-Inputs!$E$29+1))/1</f>
        <v>3</v>
      </c>
      <c r="M8" s="114" t="n">
        <f aca="false">Inputs!$E$26*(1+Inputs!$E$28)^(M$5-1)*MAX(0,MIN(1,M$4*1-Inputs!$E$29+1))/1</f>
        <v>3</v>
      </c>
      <c r="N8" s="114" t="n">
        <f aca="false">Inputs!$E$26*(1+Inputs!$E$28)^(N$5-1)*MAX(0,MIN(1,N$4*1-Inputs!$E$29+1))/1</f>
        <v>3</v>
      </c>
      <c r="O8" s="114" t="n">
        <f aca="false">Inputs!$E$26*(1+Inputs!$E$28)^(O$5-1)*MAX(0,MIN(1,O$4*1-Inputs!$E$29+1))/1</f>
        <v>4.5</v>
      </c>
      <c r="P8" s="114" t="n">
        <f aca="false">Inputs!$E$26*(1+Inputs!$E$28)^(P$5-1)*MAX(0,MIN(1,P$4*1-Inputs!$E$29+1))/1</f>
        <v>4.5</v>
      </c>
      <c r="Q8" s="114" t="n">
        <f aca="false">Inputs!$E$26*(1+Inputs!$E$28)^(Q$5-1)*MAX(0,MIN(1,Q$4*1-Inputs!$E$29+1))/1</f>
        <v>4.5</v>
      </c>
      <c r="R8" s="114" t="n">
        <f aca="false">Inputs!$E$26*(1+Inputs!$E$28)^(R$5-1)*MAX(0,MIN(1,R$4*1-Inputs!$E$29+1))/1</f>
        <v>4.5</v>
      </c>
      <c r="S8" s="114" t="n">
        <f aca="false">Inputs!$E$26*(1+Inputs!$E$28)^(S$5-1)*MAX(0,MIN(1,S$4*1-Inputs!$E$29+1))/1</f>
        <v>4.5</v>
      </c>
      <c r="T8" s="114" t="n">
        <f aca="false">Inputs!$E$26*(1+Inputs!$E$28)^(T$5-1)*MAX(0,MIN(1,T$4*1-Inputs!$E$29+1))/1</f>
        <v>4.5</v>
      </c>
      <c r="U8" s="114" t="n">
        <f aca="false">Inputs!$E$26*(1+Inputs!$E$28)^(U$5-1)*MAX(0,MIN(1,U$4*1-Inputs!$E$29+1))/1</f>
        <v>4.5</v>
      </c>
      <c r="V8" s="114" t="n">
        <f aca="false">Inputs!$E$26*(1+Inputs!$E$28)^(V$5-1)*MAX(0,MIN(1,V$4*1-Inputs!$E$29+1))/1</f>
        <v>4.5</v>
      </c>
      <c r="W8" s="114" t="n">
        <f aca="false">Inputs!$E$26*(1+Inputs!$E$28)^(W$5-1)*MAX(0,MIN(1,W$4*1-Inputs!$E$29+1))/1</f>
        <v>4.5</v>
      </c>
      <c r="X8" s="114" t="n">
        <f aca="false">Inputs!$E$26*(1+Inputs!$E$28)^(X$5-1)*MAX(0,MIN(1,X$4*1-Inputs!$E$29+1))/1</f>
        <v>4.5</v>
      </c>
      <c r="Y8" s="114" t="n">
        <f aca="false">Inputs!$E$26*(1+Inputs!$E$28)^(Y$5-1)*MAX(0,MIN(1,Y$4*1-Inputs!$E$29+1))/1</f>
        <v>4.5</v>
      </c>
      <c r="Z8" s="114" t="n">
        <f aca="false">Inputs!$E$26*(1+Inputs!$E$28)^(Z$5-1)*MAX(0,MIN(1,Z$4*1-Inputs!$E$29+1))/1</f>
        <v>4.5</v>
      </c>
      <c r="AA8" s="114" t="n">
        <f aca="false">Inputs!$E$26*(1+Inputs!$E$28)^(AA$5-1)*MAX(0,MIN(1,AA$4*1-Inputs!$E$29+1))/1</f>
        <v>6.75</v>
      </c>
      <c r="AB8" s="114" t="n">
        <f aca="false">Inputs!$E$26*(1+Inputs!$E$28)^(AB$5-1)*MAX(0,MIN(1,AB$4*1-Inputs!$E$29+1))/1</f>
        <v>6.75</v>
      </c>
      <c r="AC8" s="114" t="n">
        <f aca="false">Inputs!$E$26*(1+Inputs!$E$28)^(AC$5-1)*MAX(0,MIN(1,AC$4*1-Inputs!$E$29+1))/1</f>
        <v>6.75</v>
      </c>
      <c r="AD8" s="114" t="n">
        <f aca="false">Inputs!$E$26*(1+Inputs!$E$28)^(AD$5-1)*MAX(0,MIN(1,AD$4*1-Inputs!$E$29+1))/1</f>
        <v>6.75</v>
      </c>
      <c r="AE8" s="114" t="n">
        <f aca="false">Inputs!$E$26*(1+Inputs!$E$28)^(AE$5-1)*MAX(0,MIN(1,AE$4*1-Inputs!$E$29+1))/1</f>
        <v>6.75</v>
      </c>
      <c r="AF8" s="114" t="n">
        <f aca="false">Inputs!$E$26*(1+Inputs!$E$28)^(AF$5-1)*MAX(0,MIN(1,AF$4*1-Inputs!$E$29+1))/1</f>
        <v>6.75</v>
      </c>
      <c r="AG8" s="114" t="n">
        <f aca="false">Inputs!$E$26*(1+Inputs!$E$28)^(AG$5-1)*MAX(0,MIN(1,AG$4*1-Inputs!$E$29+1))/1</f>
        <v>6.75</v>
      </c>
      <c r="AH8" s="114" t="n">
        <f aca="false">Inputs!$E$26*(1+Inputs!$E$28)^(AH$5-1)*MAX(0,MIN(1,AH$4*1-Inputs!$E$29+1))/1</f>
        <v>6.75</v>
      </c>
      <c r="AI8" s="114" t="n">
        <f aca="false">Inputs!$E$26*(1+Inputs!$E$28)^(AI$5-1)*MAX(0,MIN(1,AI$4*1-Inputs!$E$29+1))/1</f>
        <v>6.75</v>
      </c>
      <c r="AJ8" s="114" t="n">
        <f aca="false">Inputs!$E$26*(1+Inputs!$E$28)^(AJ$5-1)*MAX(0,MIN(1,AJ$4*1-Inputs!$E$29+1))/1</f>
        <v>6.75</v>
      </c>
      <c r="AK8" s="114" t="n">
        <f aca="false">Inputs!$E$26*(1+Inputs!$E$28)^(AK$5-1)*MAX(0,MIN(1,AK$4*1-Inputs!$E$29+1))/1</f>
        <v>6.75</v>
      </c>
      <c r="AL8" s="114" t="n">
        <f aca="false">Inputs!$E$26*(1+Inputs!$E$28)^(AL$5-1)*MAX(0,MIN(1,AL$4*1-Inputs!$E$29+1))/1</f>
        <v>6.75</v>
      </c>
    </row>
    <row r="9" customFormat="false" ht="15" hidden="false" customHeight="false" outlineLevel="0" collapsed="false">
      <c r="A9" s="6" t="s">
        <v>412</v>
      </c>
      <c r="C9" s="114" t="n">
        <f aca="false">Inputs!$E$30*(1+Inputs!$E$32)^(C$5-1)*MAX(0,MIN(1,C$4*1-Inputs!$E$33+1))/1</f>
        <v>1.5</v>
      </c>
      <c r="D9" s="114" t="n">
        <f aca="false">Inputs!$E$30*(1+Inputs!$E$32)^(D$5-1)*MAX(0,MIN(1,D$4*1-Inputs!$E$33+1))/1</f>
        <v>1.5</v>
      </c>
      <c r="E9" s="114" t="n">
        <f aca="false">Inputs!$E$30*(1+Inputs!$E$32)^(E$5-1)*MAX(0,MIN(1,E$4*1-Inputs!$E$33+1))/1</f>
        <v>1.5</v>
      </c>
      <c r="F9" s="114" t="n">
        <f aca="false">Inputs!$E$30*(1+Inputs!$E$32)^(F$5-1)*MAX(0,MIN(1,F$4*1-Inputs!$E$33+1))/1</f>
        <v>1.5</v>
      </c>
      <c r="G9" s="114" t="n">
        <f aca="false">Inputs!$E$30*(1+Inputs!$E$32)^(G$5-1)*MAX(0,MIN(1,G$4*1-Inputs!$E$33+1))/1</f>
        <v>1.5</v>
      </c>
      <c r="H9" s="114" t="n">
        <f aca="false">Inputs!$E$30*(1+Inputs!$E$32)^(H$5-1)*MAX(0,MIN(1,H$4*1-Inputs!$E$33+1))/1</f>
        <v>1.5</v>
      </c>
      <c r="I9" s="114" t="n">
        <f aca="false">Inputs!$E$30*(1+Inputs!$E$32)^(I$5-1)*MAX(0,MIN(1,I$4*1-Inputs!$E$33+1))/1</f>
        <v>1.5</v>
      </c>
      <c r="J9" s="114" t="n">
        <f aca="false">Inputs!$E$30*(1+Inputs!$E$32)^(J$5-1)*MAX(0,MIN(1,J$4*1-Inputs!$E$33+1))/1</f>
        <v>1.5</v>
      </c>
      <c r="K9" s="114" t="n">
        <f aca="false">Inputs!$E$30*(1+Inputs!$E$32)^(K$5-1)*MAX(0,MIN(1,K$4*1-Inputs!$E$33+1))/1</f>
        <v>1.5</v>
      </c>
      <c r="L9" s="114" t="n">
        <f aca="false">Inputs!$E$30*(1+Inputs!$E$32)^(L$5-1)*MAX(0,MIN(1,L$4*1-Inputs!$E$33+1))/1</f>
        <v>1.5</v>
      </c>
      <c r="M9" s="114" t="n">
        <f aca="false">Inputs!$E$30*(1+Inputs!$E$32)^(M$5-1)*MAX(0,MIN(1,M$4*1-Inputs!$E$33+1))/1</f>
        <v>1.5</v>
      </c>
      <c r="N9" s="114" t="n">
        <f aca="false">Inputs!$E$30*(1+Inputs!$E$32)^(N$5-1)*MAX(0,MIN(1,N$4*1-Inputs!$E$33+1))/1</f>
        <v>1.5</v>
      </c>
      <c r="O9" s="114" t="n">
        <f aca="false">Inputs!$E$30*(1+Inputs!$E$32)^(O$5-1)*MAX(0,MIN(1,O$4*1-Inputs!$E$33+1))/1</f>
        <v>2.25</v>
      </c>
      <c r="P9" s="114" t="n">
        <f aca="false">Inputs!$E$30*(1+Inputs!$E$32)^(P$5-1)*MAX(0,MIN(1,P$4*1-Inputs!$E$33+1))/1</f>
        <v>2.25</v>
      </c>
      <c r="Q9" s="114" t="n">
        <f aca="false">Inputs!$E$30*(1+Inputs!$E$32)^(Q$5-1)*MAX(0,MIN(1,Q$4*1-Inputs!$E$33+1))/1</f>
        <v>2.25</v>
      </c>
      <c r="R9" s="114" t="n">
        <f aca="false">Inputs!$E$30*(1+Inputs!$E$32)^(R$5-1)*MAX(0,MIN(1,R$4*1-Inputs!$E$33+1))/1</f>
        <v>2.25</v>
      </c>
      <c r="S9" s="114" t="n">
        <f aca="false">Inputs!$E$30*(1+Inputs!$E$32)^(S$5-1)*MAX(0,MIN(1,S$4*1-Inputs!$E$33+1))/1</f>
        <v>2.25</v>
      </c>
      <c r="T9" s="114" t="n">
        <f aca="false">Inputs!$E$30*(1+Inputs!$E$32)^(T$5-1)*MAX(0,MIN(1,T$4*1-Inputs!$E$33+1))/1</f>
        <v>2.25</v>
      </c>
      <c r="U9" s="114" t="n">
        <f aca="false">Inputs!$E$30*(1+Inputs!$E$32)^(U$5-1)*MAX(0,MIN(1,U$4*1-Inputs!$E$33+1))/1</f>
        <v>2.25</v>
      </c>
      <c r="V9" s="114" t="n">
        <f aca="false">Inputs!$E$30*(1+Inputs!$E$32)^(V$5-1)*MAX(0,MIN(1,V$4*1-Inputs!$E$33+1))/1</f>
        <v>2.25</v>
      </c>
      <c r="W9" s="114" t="n">
        <f aca="false">Inputs!$E$30*(1+Inputs!$E$32)^(W$5-1)*MAX(0,MIN(1,W$4*1-Inputs!$E$33+1))/1</f>
        <v>2.25</v>
      </c>
      <c r="X9" s="114" t="n">
        <f aca="false">Inputs!$E$30*(1+Inputs!$E$32)^(X$5-1)*MAX(0,MIN(1,X$4*1-Inputs!$E$33+1))/1</f>
        <v>2.25</v>
      </c>
      <c r="Y9" s="114" t="n">
        <f aca="false">Inputs!$E$30*(1+Inputs!$E$32)^(Y$5-1)*MAX(0,MIN(1,Y$4*1-Inputs!$E$33+1))/1</f>
        <v>2.25</v>
      </c>
      <c r="Z9" s="114" t="n">
        <f aca="false">Inputs!$E$30*(1+Inputs!$E$32)^(Z$5-1)*MAX(0,MIN(1,Z$4*1-Inputs!$E$33+1))/1</f>
        <v>2.25</v>
      </c>
      <c r="AA9" s="114" t="n">
        <f aca="false">Inputs!$E$30*(1+Inputs!$E$32)^(AA$5-1)*MAX(0,MIN(1,AA$4*1-Inputs!$E$33+1))/1</f>
        <v>3.375</v>
      </c>
      <c r="AB9" s="114" t="n">
        <f aca="false">Inputs!$E$30*(1+Inputs!$E$32)^(AB$5-1)*MAX(0,MIN(1,AB$4*1-Inputs!$E$33+1))/1</f>
        <v>3.375</v>
      </c>
      <c r="AC9" s="114" t="n">
        <f aca="false">Inputs!$E$30*(1+Inputs!$E$32)^(AC$5-1)*MAX(0,MIN(1,AC$4*1-Inputs!$E$33+1))/1</f>
        <v>3.375</v>
      </c>
      <c r="AD9" s="114" t="n">
        <f aca="false">Inputs!$E$30*(1+Inputs!$E$32)^(AD$5-1)*MAX(0,MIN(1,AD$4*1-Inputs!$E$33+1))/1</f>
        <v>3.375</v>
      </c>
      <c r="AE9" s="114" t="n">
        <f aca="false">Inputs!$E$30*(1+Inputs!$E$32)^(AE$5-1)*MAX(0,MIN(1,AE$4*1-Inputs!$E$33+1))/1</f>
        <v>3.375</v>
      </c>
      <c r="AF9" s="114" t="n">
        <f aca="false">Inputs!$E$30*(1+Inputs!$E$32)^(AF$5-1)*MAX(0,MIN(1,AF$4*1-Inputs!$E$33+1))/1</f>
        <v>3.375</v>
      </c>
      <c r="AG9" s="114" t="n">
        <f aca="false">Inputs!$E$30*(1+Inputs!$E$32)^(AG$5-1)*MAX(0,MIN(1,AG$4*1-Inputs!$E$33+1))/1</f>
        <v>3.375</v>
      </c>
      <c r="AH9" s="114" t="n">
        <f aca="false">Inputs!$E$30*(1+Inputs!$E$32)^(AH$5-1)*MAX(0,MIN(1,AH$4*1-Inputs!$E$33+1))/1</f>
        <v>3.375</v>
      </c>
      <c r="AI9" s="114" t="n">
        <f aca="false">Inputs!$E$30*(1+Inputs!$E$32)^(AI$5-1)*MAX(0,MIN(1,AI$4*1-Inputs!$E$33+1))/1</f>
        <v>3.375</v>
      </c>
      <c r="AJ9" s="114" t="n">
        <f aca="false">Inputs!$E$30*(1+Inputs!$E$32)^(AJ$5-1)*MAX(0,MIN(1,AJ$4*1-Inputs!$E$33+1))/1</f>
        <v>3.375</v>
      </c>
      <c r="AK9" s="114" t="n">
        <f aca="false">Inputs!$E$30*(1+Inputs!$E$32)^(AK$5-1)*MAX(0,MIN(1,AK$4*1-Inputs!$E$33+1))/1</f>
        <v>3.375</v>
      </c>
      <c r="AL9" s="114" t="n">
        <f aca="false">Inputs!$E$30*(1+Inputs!$E$32)^(AL$5-1)*MAX(0,MIN(1,AL$4*1-Inputs!$E$33+1))/1</f>
        <v>3.375</v>
      </c>
    </row>
    <row r="10" customFormat="false" ht="15" hidden="false" customHeight="false" outlineLevel="0" collapsed="false">
      <c r="A10" s="6" t="s">
        <v>413</v>
      </c>
      <c r="C10" s="114" t="n">
        <f aca="false">Inputs!$E$34*(1+Inputs!$E$36)^(C$5-1)*MAX(0,MIN(1,C$4*1-Inputs!$E$37+1))/1</f>
        <v>1</v>
      </c>
      <c r="D10" s="114" t="n">
        <f aca="false">Inputs!$E$34*(1+Inputs!$E$36)^(D$5-1)*MAX(0,MIN(1,D$4*1-Inputs!$E$37+1))/1</f>
        <v>1</v>
      </c>
      <c r="E10" s="114" t="n">
        <f aca="false">Inputs!$E$34*(1+Inputs!$E$36)^(E$5-1)*MAX(0,MIN(1,E$4*1-Inputs!$E$37+1))/1</f>
        <v>1</v>
      </c>
      <c r="F10" s="114" t="n">
        <f aca="false">Inputs!$E$34*(1+Inputs!$E$36)^(F$5-1)*MAX(0,MIN(1,F$4*1-Inputs!$E$37+1))/1</f>
        <v>1</v>
      </c>
      <c r="G10" s="114" t="n">
        <f aca="false">Inputs!$E$34*(1+Inputs!$E$36)^(G$5-1)*MAX(0,MIN(1,G$4*1-Inputs!$E$37+1))/1</f>
        <v>1</v>
      </c>
      <c r="H10" s="114" t="n">
        <f aca="false">Inputs!$E$34*(1+Inputs!$E$36)^(H$5-1)*MAX(0,MIN(1,H$4*1-Inputs!$E$37+1))/1</f>
        <v>1</v>
      </c>
      <c r="I10" s="114" t="n">
        <f aca="false">Inputs!$E$34*(1+Inputs!$E$36)^(I$5-1)*MAX(0,MIN(1,I$4*1-Inputs!$E$37+1))/1</f>
        <v>1</v>
      </c>
      <c r="J10" s="114" t="n">
        <f aca="false">Inputs!$E$34*(1+Inputs!$E$36)^(J$5-1)*MAX(0,MIN(1,J$4*1-Inputs!$E$37+1))/1</f>
        <v>1</v>
      </c>
      <c r="K10" s="114" t="n">
        <f aca="false">Inputs!$E$34*(1+Inputs!$E$36)^(K$5-1)*MAX(0,MIN(1,K$4*1-Inputs!$E$37+1))/1</f>
        <v>1</v>
      </c>
      <c r="L10" s="114" t="n">
        <f aca="false">Inputs!$E$34*(1+Inputs!$E$36)^(L$5-1)*MAX(0,MIN(1,L$4*1-Inputs!$E$37+1))/1</f>
        <v>1</v>
      </c>
      <c r="M10" s="114" t="n">
        <f aca="false">Inputs!$E$34*(1+Inputs!$E$36)^(M$5-1)*MAX(0,MIN(1,M$4*1-Inputs!$E$37+1))/1</f>
        <v>1</v>
      </c>
      <c r="N10" s="114" t="n">
        <f aca="false">Inputs!$E$34*(1+Inputs!$E$36)^(N$5-1)*MAX(0,MIN(1,N$4*1-Inputs!$E$37+1))/1</f>
        <v>1</v>
      </c>
      <c r="O10" s="114" t="n">
        <f aca="false">Inputs!$E$34*(1+Inputs!$E$36)^(O$5-1)*MAX(0,MIN(1,O$4*1-Inputs!$E$37+1))/1</f>
        <v>1.5</v>
      </c>
      <c r="P10" s="114" t="n">
        <f aca="false">Inputs!$E$34*(1+Inputs!$E$36)^(P$5-1)*MAX(0,MIN(1,P$4*1-Inputs!$E$37+1))/1</f>
        <v>1.5</v>
      </c>
      <c r="Q10" s="114" t="n">
        <f aca="false">Inputs!$E$34*(1+Inputs!$E$36)^(Q$5-1)*MAX(0,MIN(1,Q$4*1-Inputs!$E$37+1))/1</f>
        <v>1.5</v>
      </c>
      <c r="R10" s="114" t="n">
        <f aca="false">Inputs!$E$34*(1+Inputs!$E$36)^(R$5-1)*MAX(0,MIN(1,R$4*1-Inputs!$E$37+1))/1</f>
        <v>1.5</v>
      </c>
      <c r="S10" s="114" t="n">
        <f aca="false">Inputs!$E$34*(1+Inputs!$E$36)^(S$5-1)*MAX(0,MIN(1,S$4*1-Inputs!$E$37+1))/1</f>
        <v>1.5</v>
      </c>
      <c r="T10" s="114" t="n">
        <f aca="false">Inputs!$E$34*(1+Inputs!$E$36)^(T$5-1)*MAX(0,MIN(1,T$4*1-Inputs!$E$37+1))/1</f>
        <v>1.5</v>
      </c>
      <c r="U10" s="114" t="n">
        <f aca="false">Inputs!$E$34*(1+Inputs!$E$36)^(U$5-1)*MAX(0,MIN(1,U$4*1-Inputs!$E$37+1))/1</f>
        <v>1.5</v>
      </c>
      <c r="V10" s="114" t="n">
        <f aca="false">Inputs!$E$34*(1+Inputs!$E$36)^(V$5-1)*MAX(0,MIN(1,V$4*1-Inputs!$E$37+1))/1</f>
        <v>1.5</v>
      </c>
      <c r="W10" s="114" t="n">
        <f aca="false">Inputs!$E$34*(1+Inputs!$E$36)^(W$5-1)*MAX(0,MIN(1,W$4*1-Inputs!$E$37+1))/1</f>
        <v>1.5</v>
      </c>
      <c r="X10" s="114" t="n">
        <f aca="false">Inputs!$E$34*(1+Inputs!$E$36)^(X$5-1)*MAX(0,MIN(1,X$4*1-Inputs!$E$37+1))/1</f>
        <v>1.5</v>
      </c>
      <c r="Y10" s="114" t="n">
        <f aca="false">Inputs!$E$34*(1+Inputs!$E$36)^(Y$5-1)*MAX(0,MIN(1,Y$4*1-Inputs!$E$37+1))/1</f>
        <v>1.5</v>
      </c>
      <c r="Z10" s="114" t="n">
        <f aca="false">Inputs!$E$34*(1+Inputs!$E$36)^(Z$5-1)*MAX(0,MIN(1,Z$4*1-Inputs!$E$37+1))/1</f>
        <v>1.5</v>
      </c>
      <c r="AA10" s="114" t="n">
        <f aca="false">Inputs!$E$34*(1+Inputs!$E$36)^(AA$5-1)*MAX(0,MIN(1,AA$4*1-Inputs!$E$37+1))/1</f>
        <v>2.25</v>
      </c>
      <c r="AB10" s="114" t="n">
        <f aca="false">Inputs!$E$34*(1+Inputs!$E$36)^(AB$5-1)*MAX(0,MIN(1,AB$4*1-Inputs!$E$37+1))/1</f>
        <v>2.25</v>
      </c>
      <c r="AC10" s="114" t="n">
        <f aca="false">Inputs!$E$34*(1+Inputs!$E$36)^(AC$5-1)*MAX(0,MIN(1,AC$4*1-Inputs!$E$37+1))/1</f>
        <v>2.25</v>
      </c>
      <c r="AD10" s="114" t="n">
        <f aca="false">Inputs!$E$34*(1+Inputs!$E$36)^(AD$5-1)*MAX(0,MIN(1,AD$4*1-Inputs!$E$37+1))/1</f>
        <v>2.25</v>
      </c>
      <c r="AE10" s="114" t="n">
        <f aca="false">Inputs!$E$34*(1+Inputs!$E$36)^(AE$5-1)*MAX(0,MIN(1,AE$4*1-Inputs!$E$37+1))/1</f>
        <v>2.25</v>
      </c>
      <c r="AF10" s="114" t="n">
        <f aca="false">Inputs!$E$34*(1+Inputs!$E$36)^(AF$5-1)*MAX(0,MIN(1,AF$4*1-Inputs!$E$37+1))/1</f>
        <v>2.25</v>
      </c>
      <c r="AG10" s="114" t="n">
        <f aca="false">Inputs!$E$34*(1+Inputs!$E$36)^(AG$5-1)*MAX(0,MIN(1,AG$4*1-Inputs!$E$37+1))/1</f>
        <v>2.25</v>
      </c>
      <c r="AH10" s="114" t="n">
        <f aca="false">Inputs!$E$34*(1+Inputs!$E$36)^(AH$5-1)*MAX(0,MIN(1,AH$4*1-Inputs!$E$37+1))/1</f>
        <v>2.25</v>
      </c>
      <c r="AI10" s="114" t="n">
        <f aca="false">Inputs!$E$34*(1+Inputs!$E$36)^(AI$5-1)*MAX(0,MIN(1,AI$4*1-Inputs!$E$37+1))/1</f>
        <v>2.25</v>
      </c>
      <c r="AJ10" s="114" t="n">
        <f aca="false">Inputs!$E$34*(1+Inputs!$E$36)^(AJ$5-1)*MAX(0,MIN(1,AJ$4*1-Inputs!$E$37+1))/1</f>
        <v>2.25</v>
      </c>
      <c r="AK10" s="114" t="n">
        <f aca="false">Inputs!$E$34*(1+Inputs!$E$36)^(AK$5-1)*MAX(0,MIN(1,AK$4*1-Inputs!$E$37+1))/1</f>
        <v>2.25</v>
      </c>
      <c r="AL10" s="114" t="n">
        <f aca="false">Inputs!$E$34*(1+Inputs!$E$36)^(AL$5-1)*MAX(0,MIN(1,AL$4*1-Inputs!$E$37+1))/1</f>
        <v>2.25</v>
      </c>
    </row>
    <row r="11" customFormat="false" ht="15" hidden="false" customHeight="false" outlineLevel="0" collapsed="false">
      <c r="A11" s="6" t="s">
        <v>414</v>
      </c>
      <c r="C11" s="114" t="n">
        <f aca="false">Inputs!$E$38*(1+Inputs!$E$40)^(C$5-1)*MAX(0,MIN(1,C$4*1-Inputs!$E$41+1))/1</f>
        <v>0.5</v>
      </c>
      <c r="D11" s="114" t="n">
        <f aca="false">Inputs!$E$38*(1+Inputs!$E$40)^(D$5-1)*MAX(0,MIN(1,D$4*1-Inputs!$E$41+1))/1</f>
        <v>0.5</v>
      </c>
      <c r="E11" s="114" t="n">
        <f aca="false">Inputs!$E$38*(1+Inputs!$E$40)^(E$5-1)*MAX(0,MIN(1,E$4*1-Inputs!$E$41+1))/1</f>
        <v>0.5</v>
      </c>
      <c r="F11" s="114" t="n">
        <f aca="false">Inputs!$E$38*(1+Inputs!$E$40)^(F$5-1)*MAX(0,MIN(1,F$4*1-Inputs!$E$41+1))/1</f>
        <v>0.5</v>
      </c>
      <c r="G11" s="114" t="n">
        <f aca="false">Inputs!$E$38*(1+Inputs!$E$40)^(G$5-1)*MAX(0,MIN(1,G$4*1-Inputs!$E$41+1))/1</f>
        <v>0.5</v>
      </c>
      <c r="H11" s="114" t="n">
        <f aca="false">Inputs!$E$38*(1+Inputs!$E$40)^(H$5-1)*MAX(0,MIN(1,H$4*1-Inputs!$E$41+1))/1</f>
        <v>0.5</v>
      </c>
      <c r="I11" s="114" t="n">
        <f aca="false">Inputs!$E$38*(1+Inputs!$E$40)^(I$5-1)*MAX(0,MIN(1,I$4*1-Inputs!$E$41+1))/1</f>
        <v>0.5</v>
      </c>
      <c r="J11" s="114" t="n">
        <f aca="false">Inputs!$E$38*(1+Inputs!$E$40)^(J$5-1)*MAX(0,MIN(1,J$4*1-Inputs!$E$41+1))/1</f>
        <v>0.5</v>
      </c>
      <c r="K11" s="114" t="n">
        <f aca="false">Inputs!$E$38*(1+Inputs!$E$40)^(K$5-1)*MAX(0,MIN(1,K$4*1-Inputs!$E$41+1))/1</f>
        <v>0.5</v>
      </c>
      <c r="L11" s="114" t="n">
        <f aca="false">Inputs!$E$38*(1+Inputs!$E$40)^(L$5-1)*MAX(0,MIN(1,L$4*1-Inputs!$E$41+1))/1</f>
        <v>0.5</v>
      </c>
      <c r="M11" s="114" t="n">
        <f aca="false">Inputs!$E$38*(1+Inputs!$E$40)^(M$5-1)*MAX(0,MIN(1,M$4*1-Inputs!$E$41+1))/1</f>
        <v>0.5</v>
      </c>
      <c r="N11" s="114" t="n">
        <f aca="false">Inputs!$E$38*(1+Inputs!$E$40)^(N$5-1)*MAX(0,MIN(1,N$4*1-Inputs!$E$41+1))/1</f>
        <v>0.5</v>
      </c>
      <c r="O11" s="114" t="n">
        <f aca="false">Inputs!$E$38*(1+Inputs!$E$40)^(O$5-1)*MAX(0,MIN(1,O$4*1-Inputs!$E$41+1))/1</f>
        <v>0.75</v>
      </c>
      <c r="P11" s="114" t="n">
        <f aca="false">Inputs!$E$38*(1+Inputs!$E$40)^(P$5-1)*MAX(0,MIN(1,P$4*1-Inputs!$E$41+1))/1</f>
        <v>0.75</v>
      </c>
      <c r="Q11" s="114" t="n">
        <f aca="false">Inputs!$E$38*(1+Inputs!$E$40)^(Q$5-1)*MAX(0,MIN(1,Q$4*1-Inputs!$E$41+1))/1</f>
        <v>0.75</v>
      </c>
      <c r="R11" s="114" t="n">
        <f aca="false">Inputs!$E$38*(1+Inputs!$E$40)^(R$5-1)*MAX(0,MIN(1,R$4*1-Inputs!$E$41+1))/1</f>
        <v>0.75</v>
      </c>
      <c r="S11" s="114" t="n">
        <f aca="false">Inputs!$E$38*(1+Inputs!$E$40)^(S$5-1)*MAX(0,MIN(1,S$4*1-Inputs!$E$41+1))/1</f>
        <v>0.75</v>
      </c>
      <c r="T11" s="114" t="n">
        <f aca="false">Inputs!$E$38*(1+Inputs!$E$40)^(T$5-1)*MAX(0,MIN(1,T$4*1-Inputs!$E$41+1))/1</f>
        <v>0.75</v>
      </c>
      <c r="U11" s="114" t="n">
        <f aca="false">Inputs!$E$38*(1+Inputs!$E$40)^(U$5-1)*MAX(0,MIN(1,U$4*1-Inputs!$E$41+1))/1</f>
        <v>0.75</v>
      </c>
      <c r="V11" s="114" t="n">
        <f aca="false">Inputs!$E$38*(1+Inputs!$E$40)^(V$5-1)*MAX(0,MIN(1,V$4*1-Inputs!$E$41+1))/1</f>
        <v>0.75</v>
      </c>
      <c r="W11" s="114" t="n">
        <f aca="false">Inputs!$E$38*(1+Inputs!$E$40)^(W$5-1)*MAX(0,MIN(1,W$4*1-Inputs!$E$41+1))/1</f>
        <v>0.75</v>
      </c>
      <c r="X11" s="114" t="n">
        <f aca="false">Inputs!$E$38*(1+Inputs!$E$40)^(X$5-1)*MAX(0,MIN(1,X$4*1-Inputs!$E$41+1))/1</f>
        <v>0.75</v>
      </c>
      <c r="Y11" s="114" t="n">
        <f aca="false">Inputs!$E$38*(1+Inputs!$E$40)^(Y$5-1)*MAX(0,MIN(1,Y$4*1-Inputs!$E$41+1))/1</f>
        <v>0.75</v>
      </c>
      <c r="Z11" s="114" t="n">
        <f aca="false">Inputs!$E$38*(1+Inputs!$E$40)^(Z$5-1)*MAX(0,MIN(1,Z$4*1-Inputs!$E$41+1))/1</f>
        <v>0.75</v>
      </c>
      <c r="AA11" s="114" t="n">
        <f aca="false">Inputs!$E$38*(1+Inputs!$E$40)^(AA$5-1)*MAX(0,MIN(1,AA$4*1-Inputs!$E$41+1))/1</f>
        <v>1.125</v>
      </c>
      <c r="AB11" s="114" t="n">
        <f aca="false">Inputs!$E$38*(1+Inputs!$E$40)^(AB$5-1)*MAX(0,MIN(1,AB$4*1-Inputs!$E$41+1))/1</f>
        <v>1.125</v>
      </c>
      <c r="AC11" s="114" t="n">
        <f aca="false">Inputs!$E$38*(1+Inputs!$E$40)^(AC$5-1)*MAX(0,MIN(1,AC$4*1-Inputs!$E$41+1))/1</f>
        <v>1.125</v>
      </c>
      <c r="AD11" s="114" t="n">
        <f aca="false">Inputs!$E$38*(1+Inputs!$E$40)^(AD$5-1)*MAX(0,MIN(1,AD$4*1-Inputs!$E$41+1))/1</f>
        <v>1.125</v>
      </c>
      <c r="AE11" s="114" t="n">
        <f aca="false">Inputs!$E$38*(1+Inputs!$E$40)^(AE$5-1)*MAX(0,MIN(1,AE$4*1-Inputs!$E$41+1))/1</f>
        <v>1.125</v>
      </c>
      <c r="AF11" s="114" t="n">
        <f aca="false">Inputs!$E$38*(1+Inputs!$E$40)^(AF$5-1)*MAX(0,MIN(1,AF$4*1-Inputs!$E$41+1))/1</f>
        <v>1.125</v>
      </c>
      <c r="AG11" s="114" t="n">
        <f aca="false">Inputs!$E$38*(1+Inputs!$E$40)^(AG$5-1)*MAX(0,MIN(1,AG$4*1-Inputs!$E$41+1))/1</f>
        <v>1.125</v>
      </c>
      <c r="AH11" s="114" t="n">
        <f aca="false">Inputs!$E$38*(1+Inputs!$E$40)^(AH$5-1)*MAX(0,MIN(1,AH$4*1-Inputs!$E$41+1))/1</f>
        <v>1.125</v>
      </c>
      <c r="AI11" s="114" t="n">
        <f aca="false">Inputs!$E$38*(1+Inputs!$E$40)^(AI$5-1)*MAX(0,MIN(1,AI$4*1-Inputs!$E$41+1))/1</f>
        <v>1.125</v>
      </c>
      <c r="AJ11" s="114" t="n">
        <f aca="false">Inputs!$E$38*(1+Inputs!$E$40)^(AJ$5-1)*MAX(0,MIN(1,AJ$4*1-Inputs!$E$41+1))/1</f>
        <v>1.125</v>
      </c>
      <c r="AK11" s="114" t="n">
        <f aca="false">Inputs!$E$38*(1+Inputs!$E$40)^(AK$5-1)*MAX(0,MIN(1,AK$4*1-Inputs!$E$41+1))/1</f>
        <v>1.125</v>
      </c>
      <c r="AL11" s="114" t="n">
        <f aca="false">Inputs!$E$38*(1+Inputs!$E$40)^(AL$5-1)*MAX(0,MIN(1,AL$4*1-Inputs!$E$41+1))/1</f>
        <v>1.125</v>
      </c>
    </row>
    <row r="12" customFormat="false" ht="15" hidden="false" customHeight="false" outlineLevel="0" collapsed="false">
      <c r="A12" s="111" t="s">
        <v>415</v>
      </c>
      <c r="C12" s="117" t="n">
        <f aca="false">C8+C9+C10+C11</f>
        <v>6</v>
      </c>
      <c r="D12" s="117" t="n">
        <f aca="false">D8+D9+D10+D11</f>
        <v>6</v>
      </c>
      <c r="E12" s="117" t="n">
        <f aca="false">E8+E9+E10+E11</f>
        <v>6</v>
      </c>
      <c r="F12" s="117" t="n">
        <f aca="false">F8+F9+F10+F11</f>
        <v>6</v>
      </c>
      <c r="G12" s="117" t="n">
        <f aca="false">G8+G9+G10+G11</f>
        <v>6</v>
      </c>
      <c r="H12" s="117" t="n">
        <f aca="false">H8+H9+H10+H11</f>
        <v>6</v>
      </c>
      <c r="I12" s="117" t="n">
        <f aca="false">I8+I9+I10+I11</f>
        <v>6</v>
      </c>
      <c r="J12" s="117" t="n">
        <f aca="false">J8+J9+J10+J11</f>
        <v>6</v>
      </c>
      <c r="K12" s="117" t="n">
        <f aca="false">K8+K9+K10+K11</f>
        <v>6</v>
      </c>
      <c r="L12" s="117" t="n">
        <f aca="false">L8+L9+L10+L11</f>
        <v>6</v>
      </c>
      <c r="M12" s="117" t="n">
        <f aca="false">M8+M9+M10+M11</f>
        <v>6</v>
      </c>
      <c r="N12" s="117" t="n">
        <f aca="false">N8+N9+N10+N11</f>
        <v>6</v>
      </c>
      <c r="O12" s="117" t="n">
        <f aca="false">O8+O9+O10+O11</f>
        <v>9</v>
      </c>
      <c r="P12" s="117" t="n">
        <f aca="false">P8+P9+P10+P11</f>
        <v>9</v>
      </c>
      <c r="Q12" s="117" t="n">
        <f aca="false">Q8+Q9+Q10+Q11</f>
        <v>9</v>
      </c>
      <c r="R12" s="117" t="n">
        <f aca="false">R8+R9+R10+R11</f>
        <v>9</v>
      </c>
      <c r="S12" s="117" t="n">
        <f aca="false">S8+S9+S10+S11</f>
        <v>9</v>
      </c>
      <c r="T12" s="117" t="n">
        <f aca="false">T8+T9+T10+T11</f>
        <v>9</v>
      </c>
      <c r="U12" s="117" t="n">
        <f aca="false">U8+U9+U10+U11</f>
        <v>9</v>
      </c>
      <c r="V12" s="117" t="n">
        <f aca="false">V8+V9+V10+V11</f>
        <v>9</v>
      </c>
      <c r="W12" s="117" t="n">
        <f aca="false">W8+W9+W10+W11</f>
        <v>9</v>
      </c>
      <c r="X12" s="117" t="n">
        <f aca="false">X8+X9+X10+X11</f>
        <v>9</v>
      </c>
      <c r="Y12" s="117" t="n">
        <f aca="false">Y8+Y9+Y10+Y11</f>
        <v>9</v>
      </c>
      <c r="Z12" s="117" t="n">
        <f aca="false">Z8+Z9+Z10+Z11</f>
        <v>9</v>
      </c>
      <c r="AA12" s="117" t="n">
        <f aca="false">AA8+AA9+AA10+AA11</f>
        <v>13.5</v>
      </c>
      <c r="AB12" s="117" t="n">
        <f aca="false">AB8+AB9+AB10+AB11</f>
        <v>13.5</v>
      </c>
      <c r="AC12" s="117" t="n">
        <f aca="false">AC8+AC9+AC10+AC11</f>
        <v>13.5</v>
      </c>
      <c r="AD12" s="117" t="n">
        <f aca="false">AD8+AD9+AD10+AD11</f>
        <v>13.5</v>
      </c>
      <c r="AE12" s="117" t="n">
        <f aca="false">AE8+AE9+AE10+AE11</f>
        <v>13.5</v>
      </c>
      <c r="AF12" s="117" t="n">
        <f aca="false">AF8+AF9+AF10+AF11</f>
        <v>13.5</v>
      </c>
      <c r="AG12" s="117" t="n">
        <f aca="false">AG8+AG9+AG10+AG11</f>
        <v>13.5</v>
      </c>
      <c r="AH12" s="117" t="n">
        <f aca="false">AH8+AH9+AH10+AH11</f>
        <v>13.5</v>
      </c>
      <c r="AI12" s="117" t="n">
        <f aca="false">AI8+AI9+AI10+AI11</f>
        <v>13.5</v>
      </c>
      <c r="AJ12" s="117" t="n">
        <f aca="false">AJ8+AJ9+AJ10+AJ11</f>
        <v>13.5</v>
      </c>
      <c r="AK12" s="117" t="n">
        <f aca="false">AK8+AK9+AK10+AK11</f>
        <v>13.5</v>
      </c>
      <c r="AL12" s="117" t="n">
        <f aca="false">AL8+AL9+AL10+AL11</f>
        <v>13.5</v>
      </c>
    </row>
    <row r="14" customFormat="false" ht="15.75" hidden="false" customHeight="true" outlineLevel="0" collapsed="false">
      <c r="A14" s="7" t="s">
        <v>416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417</v>
      </c>
      <c r="C15" s="66" t="n">
        <f aca="false">-C8*Inputs!$E$27/12*1*(1+Inputs!$E$42)*(1+Inputs!$E$43)^(C$5-1)</f>
        <v>-37500</v>
      </c>
      <c r="D15" s="66" t="n">
        <f aca="false">-D8*Inputs!$E$27/12*1*(1+Inputs!$E$42)*(1+Inputs!$E$43)^(D$5-1)</f>
        <v>-37500</v>
      </c>
      <c r="E15" s="66" t="n">
        <f aca="false">-E8*Inputs!$E$27/12*1*(1+Inputs!$E$42)*(1+Inputs!$E$43)^(E$5-1)</f>
        <v>-37500</v>
      </c>
      <c r="F15" s="66" t="n">
        <f aca="false">-F8*Inputs!$E$27/12*1*(1+Inputs!$E$42)*(1+Inputs!$E$43)^(F$5-1)</f>
        <v>-37500</v>
      </c>
      <c r="G15" s="66" t="n">
        <f aca="false">-G8*Inputs!$E$27/12*1*(1+Inputs!$E$42)*(1+Inputs!$E$43)^(G$5-1)</f>
        <v>-37500</v>
      </c>
      <c r="H15" s="66" t="n">
        <f aca="false">-H8*Inputs!$E$27/12*1*(1+Inputs!$E$42)*(1+Inputs!$E$43)^(H$5-1)</f>
        <v>-37500</v>
      </c>
      <c r="I15" s="66" t="n">
        <f aca="false">-I8*Inputs!$E$27/12*1*(1+Inputs!$E$42)*(1+Inputs!$E$43)^(I$5-1)</f>
        <v>-37500</v>
      </c>
      <c r="J15" s="66" t="n">
        <f aca="false">-J8*Inputs!$E$27/12*1*(1+Inputs!$E$42)*(1+Inputs!$E$43)^(J$5-1)</f>
        <v>-37500</v>
      </c>
      <c r="K15" s="66" t="n">
        <f aca="false">-K8*Inputs!$E$27/12*1*(1+Inputs!$E$42)*(1+Inputs!$E$43)^(K$5-1)</f>
        <v>-37500</v>
      </c>
      <c r="L15" s="66" t="n">
        <f aca="false">-L8*Inputs!$E$27/12*1*(1+Inputs!$E$42)*(1+Inputs!$E$43)^(L$5-1)</f>
        <v>-37500</v>
      </c>
      <c r="M15" s="66" t="n">
        <f aca="false">-M8*Inputs!$E$27/12*1*(1+Inputs!$E$42)*(1+Inputs!$E$43)^(M$5-1)</f>
        <v>-37500</v>
      </c>
      <c r="N15" s="66" t="n">
        <f aca="false">-N8*Inputs!$E$27/12*1*(1+Inputs!$E$42)*(1+Inputs!$E$43)^(N$5-1)</f>
        <v>-37500</v>
      </c>
      <c r="O15" s="66" t="n">
        <f aca="false">-O8*Inputs!$E$27/12*1*(1+Inputs!$E$42)*(1+Inputs!$E$43)^(O$5-1)</f>
        <v>-58500</v>
      </c>
      <c r="P15" s="66" t="n">
        <f aca="false">-P8*Inputs!$E$27/12*1*(1+Inputs!$E$42)*(1+Inputs!$E$43)^(P$5-1)</f>
        <v>-58500</v>
      </c>
      <c r="Q15" s="66" t="n">
        <f aca="false">-Q8*Inputs!$E$27/12*1*(1+Inputs!$E$42)*(1+Inputs!$E$43)^(Q$5-1)</f>
        <v>-58500</v>
      </c>
      <c r="R15" s="66" t="n">
        <f aca="false">-R8*Inputs!$E$27/12*1*(1+Inputs!$E$42)*(1+Inputs!$E$43)^(R$5-1)</f>
        <v>-58500</v>
      </c>
      <c r="S15" s="66" t="n">
        <f aca="false">-S8*Inputs!$E$27/12*1*(1+Inputs!$E$42)*(1+Inputs!$E$43)^(S$5-1)</f>
        <v>-58500</v>
      </c>
      <c r="T15" s="66" t="n">
        <f aca="false">-T8*Inputs!$E$27/12*1*(1+Inputs!$E$42)*(1+Inputs!$E$43)^(T$5-1)</f>
        <v>-58500</v>
      </c>
      <c r="U15" s="66" t="n">
        <f aca="false">-U8*Inputs!$E$27/12*1*(1+Inputs!$E$42)*(1+Inputs!$E$43)^(U$5-1)</f>
        <v>-58500</v>
      </c>
      <c r="V15" s="66" t="n">
        <f aca="false">-V8*Inputs!$E$27/12*1*(1+Inputs!$E$42)*(1+Inputs!$E$43)^(V$5-1)</f>
        <v>-58500</v>
      </c>
      <c r="W15" s="66" t="n">
        <f aca="false">-W8*Inputs!$E$27/12*1*(1+Inputs!$E$42)*(1+Inputs!$E$43)^(W$5-1)</f>
        <v>-58500</v>
      </c>
      <c r="X15" s="66" t="n">
        <f aca="false">-X8*Inputs!$E$27/12*1*(1+Inputs!$E$42)*(1+Inputs!$E$43)^(X$5-1)</f>
        <v>-58500</v>
      </c>
      <c r="Y15" s="66" t="n">
        <f aca="false">-Y8*Inputs!$E$27/12*1*(1+Inputs!$E$42)*(1+Inputs!$E$43)^(Y$5-1)</f>
        <v>-58500</v>
      </c>
      <c r="Z15" s="66" t="n">
        <f aca="false">-Z8*Inputs!$E$27/12*1*(1+Inputs!$E$42)*(1+Inputs!$E$43)^(Z$5-1)</f>
        <v>-58500</v>
      </c>
      <c r="AA15" s="66" t="n">
        <f aca="false">-AA8*Inputs!$E$27/12*1*(1+Inputs!$E$42)*(1+Inputs!$E$43)^(AA$5-1)</f>
        <v>-91260</v>
      </c>
      <c r="AB15" s="66" t="n">
        <f aca="false">-AB8*Inputs!$E$27/12*1*(1+Inputs!$E$42)*(1+Inputs!$E$43)^(AB$5-1)</f>
        <v>-91260</v>
      </c>
      <c r="AC15" s="66" t="n">
        <f aca="false">-AC8*Inputs!$E$27/12*1*(1+Inputs!$E$42)*(1+Inputs!$E$43)^(AC$5-1)</f>
        <v>-91260</v>
      </c>
      <c r="AD15" s="66" t="n">
        <f aca="false">-AD8*Inputs!$E$27/12*1*(1+Inputs!$E$42)*(1+Inputs!$E$43)^(AD$5-1)</f>
        <v>-91260</v>
      </c>
      <c r="AE15" s="66" t="n">
        <f aca="false">-AE8*Inputs!$E$27/12*1*(1+Inputs!$E$42)*(1+Inputs!$E$43)^(AE$5-1)</f>
        <v>-91260</v>
      </c>
      <c r="AF15" s="66" t="n">
        <f aca="false">-AF8*Inputs!$E$27/12*1*(1+Inputs!$E$42)*(1+Inputs!$E$43)^(AF$5-1)</f>
        <v>-91260</v>
      </c>
      <c r="AG15" s="66" t="n">
        <f aca="false">-AG8*Inputs!$E$27/12*1*(1+Inputs!$E$42)*(1+Inputs!$E$43)^(AG$5-1)</f>
        <v>-91260</v>
      </c>
      <c r="AH15" s="66" t="n">
        <f aca="false">-AH8*Inputs!$E$27/12*1*(1+Inputs!$E$42)*(1+Inputs!$E$43)^(AH$5-1)</f>
        <v>-91260</v>
      </c>
      <c r="AI15" s="66" t="n">
        <f aca="false">-AI8*Inputs!$E$27/12*1*(1+Inputs!$E$42)*(1+Inputs!$E$43)^(AI$5-1)</f>
        <v>-91260</v>
      </c>
      <c r="AJ15" s="66" t="n">
        <f aca="false">-AJ8*Inputs!$E$27/12*1*(1+Inputs!$E$42)*(1+Inputs!$E$43)^(AJ$5-1)</f>
        <v>-91260</v>
      </c>
      <c r="AK15" s="66" t="n">
        <f aca="false">-AK8*Inputs!$E$27/12*1*(1+Inputs!$E$42)*(1+Inputs!$E$43)^(AK$5-1)</f>
        <v>-91260</v>
      </c>
      <c r="AL15" s="66" t="n">
        <f aca="false">-AL8*Inputs!$E$27/12*1*(1+Inputs!$E$42)*(1+Inputs!$E$43)^(AL$5-1)</f>
        <v>-91260</v>
      </c>
    </row>
    <row r="16" customFormat="false" ht="15" hidden="false" customHeight="false" outlineLevel="0" collapsed="false">
      <c r="A16" s="6" t="s">
        <v>418</v>
      </c>
      <c r="C16" s="66" t="n">
        <f aca="false">-C9*Inputs!$E$31/12*1*(1+Inputs!$E$42)*(1+Inputs!$E$43)^(C$5-1)</f>
        <v>-14250</v>
      </c>
      <c r="D16" s="66" t="n">
        <f aca="false">-D9*Inputs!$E$31/12*1*(1+Inputs!$E$42)*(1+Inputs!$E$43)^(D$5-1)</f>
        <v>-14250</v>
      </c>
      <c r="E16" s="66" t="n">
        <f aca="false">-E9*Inputs!$E$31/12*1*(1+Inputs!$E$42)*(1+Inputs!$E$43)^(E$5-1)</f>
        <v>-14250</v>
      </c>
      <c r="F16" s="66" t="n">
        <f aca="false">-F9*Inputs!$E$31/12*1*(1+Inputs!$E$42)*(1+Inputs!$E$43)^(F$5-1)</f>
        <v>-14250</v>
      </c>
      <c r="G16" s="66" t="n">
        <f aca="false">-G9*Inputs!$E$31/12*1*(1+Inputs!$E$42)*(1+Inputs!$E$43)^(G$5-1)</f>
        <v>-14250</v>
      </c>
      <c r="H16" s="66" t="n">
        <f aca="false">-H9*Inputs!$E$31/12*1*(1+Inputs!$E$42)*(1+Inputs!$E$43)^(H$5-1)</f>
        <v>-14250</v>
      </c>
      <c r="I16" s="66" t="n">
        <f aca="false">-I9*Inputs!$E$31/12*1*(1+Inputs!$E$42)*(1+Inputs!$E$43)^(I$5-1)</f>
        <v>-14250</v>
      </c>
      <c r="J16" s="66" t="n">
        <f aca="false">-J9*Inputs!$E$31/12*1*(1+Inputs!$E$42)*(1+Inputs!$E$43)^(J$5-1)</f>
        <v>-14250</v>
      </c>
      <c r="K16" s="66" t="n">
        <f aca="false">-K9*Inputs!$E$31/12*1*(1+Inputs!$E$42)*(1+Inputs!$E$43)^(K$5-1)</f>
        <v>-14250</v>
      </c>
      <c r="L16" s="66" t="n">
        <f aca="false">-L9*Inputs!$E$31/12*1*(1+Inputs!$E$42)*(1+Inputs!$E$43)^(L$5-1)</f>
        <v>-14250</v>
      </c>
      <c r="M16" s="66" t="n">
        <f aca="false">-M9*Inputs!$E$31/12*1*(1+Inputs!$E$42)*(1+Inputs!$E$43)^(M$5-1)</f>
        <v>-14250</v>
      </c>
      <c r="N16" s="66" t="n">
        <f aca="false">-N9*Inputs!$E$31/12*1*(1+Inputs!$E$42)*(1+Inputs!$E$43)^(N$5-1)</f>
        <v>-14250</v>
      </c>
      <c r="O16" s="66" t="n">
        <f aca="false">-O9*Inputs!$E$31/12*1*(1+Inputs!$E$42)*(1+Inputs!$E$43)^(O$5-1)</f>
        <v>-22230</v>
      </c>
      <c r="P16" s="66" t="n">
        <f aca="false">-P9*Inputs!$E$31/12*1*(1+Inputs!$E$42)*(1+Inputs!$E$43)^(P$5-1)</f>
        <v>-22230</v>
      </c>
      <c r="Q16" s="66" t="n">
        <f aca="false">-Q9*Inputs!$E$31/12*1*(1+Inputs!$E$42)*(1+Inputs!$E$43)^(Q$5-1)</f>
        <v>-22230</v>
      </c>
      <c r="R16" s="66" t="n">
        <f aca="false">-R9*Inputs!$E$31/12*1*(1+Inputs!$E$42)*(1+Inputs!$E$43)^(R$5-1)</f>
        <v>-22230</v>
      </c>
      <c r="S16" s="66" t="n">
        <f aca="false">-S9*Inputs!$E$31/12*1*(1+Inputs!$E$42)*(1+Inputs!$E$43)^(S$5-1)</f>
        <v>-22230</v>
      </c>
      <c r="T16" s="66" t="n">
        <f aca="false">-T9*Inputs!$E$31/12*1*(1+Inputs!$E$42)*(1+Inputs!$E$43)^(T$5-1)</f>
        <v>-22230</v>
      </c>
      <c r="U16" s="66" t="n">
        <f aca="false">-U9*Inputs!$E$31/12*1*(1+Inputs!$E$42)*(1+Inputs!$E$43)^(U$5-1)</f>
        <v>-22230</v>
      </c>
      <c r="V16" s="66" t="n">
        <f aca="false">-V9*Inputs!$E$31/12*1*(1+Inputs!$E$42)*(1+Inputs!$E$43)^(V$5-1)</f>
        <v>-22230</v>
      </c>
      <c r="W16" s="66" t="n">
        <f aca="false">-W9*Inputs!$E$31/12*1*(1+Inputs!$E$42)*(1+Inputs!$E$43)^(W$5-1)</f>
        <v>-22230</v>
      </c>
      <c r="X16" s="66" t="n">
        <f aca="false">-X9*Inputs!$E$31/12*1*(1+Inputs!$E$42)*(1+Inputs!$E$43)^(X$5-1)</f>
        <v>-22230</v>
      </c>
      <c r="Y16" s="66" t="n">
        <f aca="false">-Y9*Inputs!$E$31/12*1*(1+Inputs!$E$42)*(1+Inputs!$E$43)^(Y$5-1)</f>
        <v>-22230</v>
      </c>
      <c r="Z16" s="66" t="n">
        <f aca="false">-Z9*Inputs!$E$31/12*1*(1+Inputs!$E$42)*(1+Inputs!$E$43)^(Z$5-1)</f>
        <v>-22230</v>
      </c>
      <c r="AA16" s="66" t="n">
        <f aca="false">-AA9*Inputs!$E$31/12*1*(1+Inputs!$E$42)*(1+Inputs!$E$43)^(AA$5-1)</f>
        <v>-34678.8</v>
      </c>
      <c r="AB16" s="66" t="n">
        <f aca="false">-AB9*Inputs!$E$31/12*1*(1+Inputs!$E$42)*(1+Inputs!$E$43)^(AB$5-1)</f>
        <v>-34678.8</v>
      </c>
      <c r="AC16" s="66" t="n">
        <f aca="false">-AC9*Inputs!$E$31/12*1*(1+Inputs!$E$42)*(1+Inputs!$E$43)^(AC$5-1)</f>
        <v>-34678.8</v>
      </c>
      <c r="AD16" s="66" t="n">
        <f aca="false">-AD9*Inputs!$E$31/12*1*(1+Inputs!$E$42)*(1+Inputs!$E$43)^(AD$5-1)</f>
        <v>-34678.8</v>
      </c>
      <c r="AE16" s="66" t="n">
        <f aca="false">-AE9*Inputs!$E$31/12*1*(1+Inputs!$E$42)*(1+Inputs!$E$43)^(AE$5-1)</f>
        <v>-34678.8</v>
      </c>
      <c r="AF16" s="66" t="n">
        <f aca="false">-AF9*Inputs!$E$31/12*1*(1+Inputs!$E$42)*(1+Inputs!$E$43)^(AF$5-1)</f>
        <v>-34678.8</v>
      </c>
      <c r="AG16" s="66" t="n">
        <f aca="false">-AG9*Inputs!$E$31/12*1*(1+Inputs!$E$42)*(1+Inputs!$E$43)^(AG$5-1)</f>
        <v>-34678.8</v>
      </c>
      <c r="AH16" s="66" t="n">
        <f aca="false">-AH9*Inputs!$E$31/12*1*(1+Inputs!$E$42)*(1+Inputs!$E$43)^(AH$5-1)</f>
        <v>-34678.8</v>
      </c>
      <c r="AI16" s="66" t="n">
        <f aca="false">-AI9*Inputs!$E$31/12*1*(1+Inputs!$E$42)*(1+Inputs!$E$43)^(AI$5-1)</f>
        <v>-34678.8</v>
      </c>
      <c r="AJ16" s="66" t="n">
        <f aca="false">-AJ9*Inputs!$E$31/12*1*(1+Inputs!$E$42)*(1+Inputs!$E$43)^(AJ$5-1)</f>
        <v>-34678.8</v>
      </c>
      <c r="AK16" s="66" t="n">
        <f aca="false">-AK9*Inputs!$E$31/12*1*(1+Inputs!$E$42)*(1+Inputs!$E$43)^(AK$5-1)</f>
        <v>-34678.8</v>
      </c>
      <c r="AL16" s="66" t="n">
        <f aca="false">-AL9*Inputs!$E$31/12*1*(1+Inputs!$E$42)*(1+Inputs!$E$43)^(AL$5-1)</f>
        <v>-34678.8</v>
      </c>
    </row>
    <row r="17" customFormat="false" ht="15" hidden="false" customHeight="false" outlineLevel="0" collapsed="false">
      <c r="A17" s="6" t="s">
        <v>419</v>
      </c>
      <c r="C17" s="66" t="n">
        <f aca="false">-C10*Inputs!$E$35/12*1*(1+Inputs!$E$42)*(1+Inputs!$E$43)^(C$5-1)</f>
        <v>-6000</v>
      </c>
      <c r="D17" s="66" t="n">
        <f aca="false">-D10*Inputs!$E$35/12*1*(1+Inputs!$E$42)*(1+Inputs!$E$43)^(D$5-1)</f>
        <v>-6000</v>
      </c>
      <c r="E17" s="66" t="n">
        <f aca="false">-E10*Inputs!$E$35/12*1*(1+Inputs!$E$42)*(1+Inputs!$E$43)^(E$5-1)</f>
        <v>-6000</v>
      </c>
      <c r="F17" s="66" t="n">
        <f aca="false">-F10*Inputs!$E$35/12*1*(1+Inputs!$E$42)*(1+Inputs!$E$43)^(F$5-1)</f>
        <v>-6000</v>
      </c>
      <c r="G17" s="66" t="n">
        <f aca="false">-G10*Inputs!$E$35/12*1*(1+Inputs!$E$42)*(1+Inputs!$E$43)^(G$5-1)</f>
        <v>-6000</v>
      </c>
      <c r="H17" s="66" t="n">
        <f aca="false">-H10*Inputs!$E$35/12*1*(1+Inputs!$E$42)*(1+Inputs!$E$43)^(H$5-1)</f>
        <v>-6000</v>
      </c>
      <c r="I17" s="66" t="n">
        <f aca="false">-I10*Inputs!$E$35/12*1*(1+Inputs!$E$42)*(1+Inputs!$E$43)^(I$5-1)</f>
        <v>-6000</v>
      </c>
      <c r="J17" s="66" t="n">
        <f aca="false">-J10*Inputs!$E$35/12*1*(1+Inputs!$E$42)*(1+Inputs!$E$43)^(J$5-1)</f>
        <v>-6000</v>
      </c>
      <c r="K17" s="66" t="n">
        <f aca="false">-K10*Inputs!$E$35/12*1*(1+Inputs!$E$42)*(1+Inputs!$E$43)^(K$5-1)</f>
        <v>-6000</v>
      </c>
      <c r="L17" s="66" t="n">
        <f aca="false">-L10*Inputs!$E$35/12*1*(1+Inputs!$E$42)*(1+Inputs!$E$43)^(L$5-1)</f>
        <v>-6000</v>
      </c>
      <c r="M17" s="66" t="n">
        <f aca="false">-M10*Inputs!$E$35/12*1*(1+Inputs!$E$42)*(1+Inputs!$E$43)^(M$5-1)</f>
        <v>-6000</v>
      </c>
      <c r="N17" s="66" t="n">
        <f aca="false">-N10*Inputs!$E$35/12*1*(1+Inputs!$E$42)*(1+Inputs!$E$43)^(N$5-1)</f>
        <v>-6000</v>
      </c>
      <c r="O17" s="66" t="n">
        <f aca="false">-O10*Inputs!$E$35/12*1*(1+Inputs!$E$42)*(1+Inputs!$E$43)^(O$5-1)</f>
        <v>-9360</v>
      </c>
      <c r="P17" s="66" t="n">
        <f aca="false">-P10*Inputs!$E$35/12*1*(1+Inputs!$E$42)*(1+Inputs!$E$43)^(P$5-1)</f>
        <v>-9360</v>
      </c>
      <c r="Q17" s="66" t="n">
        <f aca="false">-Q10*Inputs!$E$35/12*1*(1+Inputs!$E$42)*(1+Inputs!$E$43)^(Q$5-1)</f>
        <v>-9360</v>
      </c>
      <c r="R17" s="66" t="n">
        <f aca="false">-R10*Inputs!$E$35/12*1*(1+Inputs!$E$42)*(1+Inputs!$E$43)^(R$5-1)</f>
        <v>-9360</v>
      </c>
      <c r="S17" s="66" t="n">
        <f aca="false">-S10*Inputs!$E$35/12*1*(1+Inputs!$E$42)*(1+Inputs!$E$43)^(S$5-1)</f>
        <v>-9360</v>
      </c>
      <c r="T17" s="66" t="n">
        <f aca="false">-T10*Inputs!$E$35/12*1*(1+Inputs!$E$42)*(1+Inputs!$E$43)^(T$5-1)</f>
        <v>-9360</v>
      </c>
      <c r="U17" s="66" t="n">
        <f aca="false">-U10*Inputs!$E$35/12*1*(1+Inputs!$E$42)*(1+Inputs!$E$43)^(U$5-1)</f>
        <v>-9360</v>
      </c>
      <c r="V17" s="66" t="n">
        <f aca="false">-V10*Inputs!$E$35/12*1*(1+Inputs!$E$42)*(1+Inputs!$E$43)^(V$5-1)</f>
        <v>-9360</v>
      </c>
      <c r="W17" s="66" t="n">
        <f aca="false">-W10*Inputs!$E$35/12*1*(1+Inputs!$E$42)*(1+Inputs!$E$43)^(W$5-1)</f>
        <v>-9360</v>
      </c>
      <c r="X17" s="66" t="n">
        <f aca="false">-X10*Inputs!$E$35/12*1*(1+Inputs!$E$42)*(1+Inputs!$E$43)^(X$5-1)</f>
        <v>-9360</v>
      </c>
      <c r="Y17" s="66" t="n">
        <f aca="false">-Y10*Inputs!$E$35/12*1*(1+Inputs!$E$42)*(1+Inputs!$E$43)^(Y$5-1)</f>
        <v>-9360</v>
      </c>
      <c r="Z17" s="66" t="n">
        <f aca="false">-Z10*Inputs!$E$35/12*1*(1+Inputs!$E$42)*(1+Inputs!$E$43)^(Z$5-1)</f>
        <v>-9360</v>
      </c>
      <c r="AA17" s="66" t="n">
        <f aca="false">-AA10*Inputs!$E$35/12*1*(1+Inputs!$E$42)*(1+Inputs!$E$43)^(AA$5-1)</f>
        <v>-14601.6</v>
      </c>
      <c r="AB17" s="66" t="n">
        <f aca="false">-AB10*Inputs!$E$35/12*1*(1+Inputs!$E$42)*(1+Inputs!$E$43)^(AB$5-1)</f>
        <v>-14601.6</v>
      </c>
      <c r="AC17" s="66" t="n">
        <f aca="false">-AC10*Inputs!$E$35/12*1*(1+Inputs!$E$42)*(1+Inputs!$E$43)^(AC$5-1)</f>
        <v>-14601.6</v>
      </c>
      <c r="AD17" s="66" t="n">
        <f aca="false">-AD10*Inputs!$E$35/12*1*(1+Inputs!$E$42)*(1+Inputs!$E$43)^(AD$5-1)</f>
        <v>-14601.6</v>
      </c>
      <c r="AE17" s="66" t="n">
        <f aca="false">-AE10*Inputs!$E$35/12*1*(1+Inputs!$E$42)*(1+Inputs!$E$43)^(AE$5-1)</f>
        <v>-14601.6</v>
      </c>
      <c r="AF17" s="66" t="n">
        <f aca="false">-AF10*Inputs!$E$35/12*1*(1+Inputs!$E$42)*(1+Inputs!$E$43)^(AF$5-1)</f>
        <v>-14601.6</v>
      </c>
      <c r="AG17" s="66" t="n">
        <f aca="false">-AG10*Inputs!$E$35/12*1*(1+Inputs!$E$42)*(1+Inputs!$E$43)^(AG$5-1)</f>
        <v>-14601.6</v>
      </c>
      <c r="AH17" s="66" t="n">
        <f aca="false">-AH10*Inputs!$E$35/12*1*(1+Inputs!$E$42)*(1+Inputs!$E$43)^(AH$5-1)</f>
        <v>-14601.6</v>
      </c>
      <c r="AI17" s="66" t="n">
        <f aca="false">-AI10*Inputs!$E$35/12*1*(1+Inputs!$E$42)*(1+Inputs!$E$43)^(AI$5-1)</f>
        <v>-14601.6</v>
      </c>
      <c r="AJ17" s="66" t="n">
        <f aca="false">-AJ10*Inputs!$E$35/12*1*(1+Inputs!$E$42)*(1+Inputs!$E$43)^(AJ$5-1)</f>
        <v>-14601.6</v>
      </c>
      <c r="AK17" s="66" t="n">
        <f aca="false">-AK10*Inputs!$E$35/12*1*(1+Inputs!$E$42)*(1+Inputs!$E$43)^(AK$5-1)</f>
        <v>-14601.6</v>
      </c>
      <c r="AL17" s="66" t="n">
        <f aca="false">-AL10*Inputs!$E$35/12*1*(1+Inputs!$E$42)*(1+Inputs!$E$43)^(AL$5-1)</f>
        <v>-14601.6</v>
      </c>
    </row>
    <row r="18" customFormat="false" ht="15" hidden="false" customHeight="false" outlineLevel="0" collapsed="false">
      <c r="A18" s="6" t="s">
        <v>420</v>
      </c>
      <c r="C18" s="66" t="n">
        <f aca="false">-C11*Inputs!$E$39/12*1*(1+Inputs!$E$42)*(1+Inputs!$E$43)^(C$5-1)</f>
        <v>-4000</v>
      </c>
      <c r="D18" s="66" t="n">
        <f aca="false">-D11*Inputs!$E$39/12*1*(1+Inputs!$E$42)*(1+Inputs!$E$43)^(D$5-1)</f>
        <v>-4000</v>
      </c>
      <c r="E18" s="66" t="n">
        <f aca="false">-E11*Inputs!$E$39/12*1*(1+Inputs!$E$42)*(1+Inputs!$E$43)^(E$5-1)</f>
        <v>-4000</v>
      </c>
      <c r="F18" s="66" t="n">
        <f aca="false">-F11*Inputs!$E$39/12*1*(1+Inputs!$E$42)*(1+Inputs!$E$43)^(F$5-1)</f>
        <v>-4000</v>
      </c>
      <c r="G18" s="66" t="n">
        <f aca="false">-G11*Inputs!$E$39/12*1*(1+Inputs!$E$42)*(1+Inputs!$E$43)^(G$5-1)</f>
        <v>-4000</v>
      </c>
      <c r="H18" s="66" t="n">
        <f aca="false">-H11*Inputs!$E$39/12*1*(1+Inputs!$E$42)*(1+Inputs!$E$43)^(H$5-1)</f>
        <v>-4000</v>
      </c>
      <c r="I18" s="66" t="n">
        <f aca="false">-I11*Inputs!$E$39/12*1*(1+Inputs!$E$42)*(1+Inputs!$E$43)^(I$5-1)</f>
        <v>-4000</v>
      </c>
      <c r="J18" s="66" t="n">
        <f aca="false">-J11*Inputs!$E$39/12*1*(1+Inputs!$E$42)*(1+Inputs!$E$43)^(J$5-1)</f>
        <v>-4000</v>
      </c>
      <c r="K18" s="66" t="n">
        <f aca="false">-K11*Inputs!$E$39/12*1*(1+Inputs!$E$42)*(1+Inputs!$E$43)^(K$5-1)</f>
        <v>-4000</v>
      </c>
      <c r="L18" s="66" t="n">
        <f aca="false">-L11*Inputs!$E$39/12*1*(1+Inputs!$E$42)*(1+Inputs!$E$43)^(L$5-1)</f>
        <v>-4000</v>
      </c>
      <c r="M18" s="66" t="n">
        <f aca="false">-M11*Inputs!$E$39/12*1*(1+Inputs!$E$42)*(1+Inputs!$E$43)^(M$5-1)</f>
        <v>-4000</v>
      </c>
      <c r="N18" s="66" t="n">
        <f aca="false">-N11*Inputs!$E$39/12*1*(1+Inputs!$E$42)*(1+Inputs!$E$43)^(N$5-1)</f>
        <v>-4000</v>
      </c>
      <c r="O18" s="66" t="n">
        <f aca="false">-O11*Inputs!$E$39/12*1*(1+Inputs!$E$42)*(1+Inputs!$E$43)^(O$5-1)</f>
        <v>-6240</v>
      </c>
      <c r="P18" s="66" t="n">
        <f aca="false">-P11*Inputs!$E$39/12*1*(1+Inputs!$E$42)*(1+Inputs!$E$43)^(P$5-1)</f>
        <v>-6240</v>
      </c>
      <c r="Q18" s="66" t="n">
        <f aca="false">-Q11*Inputs!$E$39/12*1*(1+Inputs!$E$42)*(1+Inputs!$E$43)^(Q$5-1)</f>
        <v>-6240</v>
      </c>
      <c r="R18" s="66" t="n">
        <f aca="false">-R11*Inputs!$E$39/12*1*(1+Inputs!$E$42)*(1+Inputs!$E$43)^(R$5-1)</f>
        <v>-6240</v>
      </c>
      <c r="S18" s="66" t="n">
        <f aca="false">-S11*Inputs!$E$39/12*1*(1+Inputs!$E$42)*(1+Inputs!$E$43)^(S$5-1)</f>
        <v>-6240</v>
      </c>
      <c r="T18" s="66" t="n">
        <f aca="false">-T11*Inputs!$E$39/12*1*(1+Inputs!$E$42)*(1+Inputs!$E$43)^(T$5-1)</f>
        <v>-6240</v>
      </c>
      <c r="U18" s="66" t="n">
        <f aca="false">-U11*Inputs!$E$39/12*1*(1+Inputs!$E$42)*(1+Inputs!$E$43)^(U$5-1)</f>
        <v>-6240</v>
      </c>
      <c r="V18" s="66" t="n">
        <f aca="false">-V11*Inputs!$E$39/12*1*(1+Inputs!$E$42)*(1+Inputs!$E$43)^(V$5-1)</f>
        <v>-6240</v>
      </c>
      <c r="W18" s="66" t="n">
        <f aca="false">-W11*Inputs!$E$39/12*1*(1+Inputs!$E$42)*(1+Inputs!$E$43)^(W$5-1)</f>
        <v>-6240</v>
      </c>
      <c r="X18" s="66" t="n">
        <f aca="false">-X11*Inputs!$E$39/12*1*(1+Inputs!$E$42)*(1+Inputs!$E$43)^(X$5-1)</f>
        <v>-6240</v>
      </c>
      <c r="Y18" s="66" t="n">
        <f aca="false">-Y11*Inputs!$E$39/12*1*(1+Inputs!$E$42)*(1+Inputs!$E$43)^(Y$5-1)</f>
        <v>-6240</v>
      </c>
      <c r="Z18" s="66" t="n">
        <f aca="false">-Z11*Inputs!$E$39/12*1*(1+Inputs!$E$42)*(1+Inputs!$E$43)^(Z$5-1)</f>
        <v>-6240</v>
      </c>
      <c r="AA18" s="66" t="n">
        <f aca="false">-AA11*Inputs!$E$39/12*1*(1+Inputs!$E$42)*(1+Inputs!$E$43)^(AA$5-1)</f>
        <v>-9734.4</v>
      </c>
      <c r="AB18" s="66" t="n">
        <f aca="false">-AB11*Inputs!$E$39/12*1*(1+Inputs!$E$42)*(1+Inputs!$E$43)^(AB$5-1)</f>
        <v>-9734.4</v>
      </c>
      <c r="AC18" s="66" t="n">
        <f aca="false">-AC11*Inputs!$E$39/12*1*(1+Inputs!$E$42)*(1+Inputs!$E$43)^(AC$5-1)</f>
        <v>-9734.4</v>
      </c>
      <c r="AD18" s="66" t="n">
        <f aca="false">-AD11*Inputs!$E$39/12*1*(1+Inputs!$E$42)*(1+Inputs!$E$43)^(AD$5-1)</f>
        <v>-9734.4</v>
      </c>
      <c r="AE18" s="66" t="n">
        <f aca="false">-AE11*Inputs!$E$39/12*1*(1+Inputs!$E$42)*(1+Inputs!$E$43)^(AE$5-1)</f>
        <v>-9734.4</v>
      </c>
      <c r="AF18" s="66" t="n">
        <f aca="false">-AF11*Inputs!$E$39/12*1*(1+Inputs!$E$42)*(1+Inputs!$E$43)^(AF$5-1)</f>
        <v>-9734.4</v>
      </c>
      <c r="AG18" s="66" t="n">
        <f aca="false">-AG11*Inputs!$E$39/12*1*(1+Inputs!$E$42)*(1+Inputs!$E$43)^(AG$5-1)</f>
        <v>-9734.4</v>
      </c>
      <c r="AH18" s="66" t="n">
        <f aca="false">-AH11*Inputs!$E$39/12*1*(1+Inputs!$E$42)*(1+Inputs!$E$43)^(AH$5-1)</f>
        <v>-9734.4</v>
      </c>
      <c r="AI18" s="66" t="n">
        <f aca="false">-AI11*Inputs!$E$39/12*1*(1+Inputs!$E$42)*(1+Inputs!$E$43)^(AI$5-1)</f>
        <v>-9734.4</v>
      </c>
      <c r="AJ18" s="66" t="n">
        <f aca="false">-AJ11*Inputs!$E$39/12*1*(1+Inputs!$E$42)*(1+Inputs!$E$43)^(AJ$5-1)</f>
        <v>-9734.4</v>
      </c>
      <c r="AK18" s="66" t="n">
        <f aca="false">-AK11*Inputs!$E$39/12*1*(1+Inputs!$E$42)*(1+Inputs!$E$43)^(AK$5-1)</f>
        <v>-9734.4</v>
      </c>
      <c r="AL18" s="66" t="n">
        <f aca="false">-AL11*Inputs!$E$39/12*1*(1+Inputs!$E$42)*(1+Inputs!$E$43)^(AL$5-1)</f>
        <v>-9734.4</v>
      </c>
    </row>
    <row r="19" customFormat="false" ht="15" hidden="false" customHeight="false" outlineLevel="0" collapsed="false">
      <c r="A19" s="111" t="s">
        <v>421</v>
      </c>
      <c r="C19" s="67" t="n">
        <f aca="false">C15+C16+C17+C18</f>
        <v>-61750</v>
      </c>
      <c r="D19" s="67" t="n">
        <f aca="false">D15+D16+D17+D18</f>
        <v>-61750</v>
      </c>
      <c r="E19" s="67" t="n">
        <f aca="false">E15+E16+E17+E18</f>
        <v>-61750</v>
      </c>
      <c r="F19" s="67" t="n">
        <f aca="false">F15+F16+F17+F18</f>
        <v>-61750</v>
      </c>
      <c r="G19" s="67" t="n">
        <f aca="false">G15+G16+G17+G18</f>
        <v>-61750</v>
      </c>
      <c r="H19" s="67" t="n">
        <f aca="false">H15+H16+H17+H18</f>
        <v>-61750</v>
      </c>
      <c r="I19" s="67" t="n">
        <f aca="false">I15+I16+I17+I18</f>
        <v>-61750</v>
      </c>
      <c r="J19" s="67" t="n">
        <f aca="false">J15+J16+J17+J18</f>
        <v>-61750</v>
      </c>
      <c r="K19" s="67" t="n">
        <f aca="false">K15+K16+K17+K18</f>
        <v>-61750</v>
      </c>
      <c r="L19" s="67" t="n">
        <f aca="false">L15+L16+L17+L18</f>
        <v>-61750</v>
      </c>
      <c r="M19" s="67" t="n">
        <f aca="false">M15+M16+M17+M18</f>
        <v>-61750</v>
      </c>
      <c r="N19" s="67" t="n">
        <f aca="false">N15+N16+N17+N18</f>
        <v>-61750</v>
      </c>
      <c r="O19" s="67" t="n">
        <f aca="false">O15+O16+O17+O18</f>
        <v>-96330</v>
      </c>
      <c r="P19" s="67" t="n">
        <f aca="false">P15+P16+P17+P18</f>
        <v>-96330</v>
      </c>
      <c r="Q19" s="67" t="n">
        <f aca="false">Q15+Q16+Q17+Q18</f>
        <v>-96330</v>
      </c>
      <c r="R19" s="67" t="n">
        <f aca="false">R15+R16+R17+R18</f>
        <v>-96330</v>
      </c>
      <c r="S19" s="67" t="n">
        <f aca="false">S15+S16+S17+S18</f>
        <v>-96330</v>
      </c>
      <c r="T19" s="67" t="n">
        <f aca="false">T15+T16+T17+T18</f>
        <v>-96330</v>
      </c>
      <c r="U19" s="67" t="n">
        <f aca="false">U15+U16+U17+U18</f>
        <v>-96330</v>
      </c>
      <c r="V19" s="67" t="n">
        <f aca="false">V15+V16+V17+V18</f>
        <v>-96330</v>
      </c>
      <c r="W19" s="67" t="n">
        <f aca="false">W15+W16+W17+W18</f>
        <v>-96330</v>
      </c>
      <c r="X19" s="67" t="n">
        <f aca="false">X15+X16+X17+X18</f>
        <v>-96330</v>
      </c>
      <c r="Y19" s="67" t="n">
        <f aca="false">Y15+Y16+Y17+Y18</f>
        <v>-96330</v>
      </c>
      <c r="Z19" s="67" t="n">
        <f aca="false">Z15+Z16+Z17+Z18</f>
        <v>-96330</v>
      </c>
      <c r="AA19" s="67" t="n">
        <f aca="false">AA15+AA16+AA17+AA18</f>
        <v>-150274.8</v>
      </c>
      <c r="AB19" s="67" t="n">
        <f aca="false">AB15+AB16+AB17+AB18</f>
        <v>-150274.8</v>
      </c>
      <c r="AC19" s="67" t="n">
        <f aca="false">AC15+AC16+AC17+AC18</f>
        <v>-150274.8</v>
      </c>
      <c r="AD19" s="67" t="n">
        <f aca="false">AD15+AD16+AD17+AD18</f>
        <v>-150274.8</v>
      </c>
      <c r="AE19" s="67" t="n">
        <f aca="false">AE15+AE16+AE17+AE18</f>
        <v>-150274.8</v>
      </c>
      <c r="AF19" s="67" t="n">
        <f aca="false">AF15+AF16+AF17+AF18</f>
        <v>-150274.8</v>
      </c>
      <c r="AG19" s="67" t="n">
        <f aca="false">AG15+AG16+AG17+AG18</f>
        <v>-150274.8</v>
      </c>
      <c r="AH19" s="67" t="n">
        <f aca="false">AH15+AH16+AH17+AH18</f>
        <v>-150274.8</v>
      </c>
      <c r="AI19" s="67" t="n">
        <f aca="false">AI15+AI16+AI17+AI18</f>
        <v>-150274.8</v>
      </c>
      <c r="AJ19" s="67" t="n">
        <f aca="false">AJ15+AJ16+AJ17+AJ18</f>
        <v>-150274.8</v>
      </c>
      <c r="AK19" s="67" t="n">
        <f aca="false">AK15+AK16+AK17+AK18</f>
        <v>-150274.8</v>
      </c>
      <c r="AL19" s="67" t="n">
        <f aca="false">AL15+AL16+AL17+AL18</f>
        <v>-150274.8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4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422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423</v>
      </c>
    </row>
    <row r="4" customFormat="false" ht="15.75" hidden="false" customHeight="true" outlineLevel="0" collapsed="false">
      <c r="A4" s="7" t="s">
        <v>424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330</v>
      </c>
      <c r="C5" s="35" t="s">
        <v>331</v>
      </c>
      <c r="D5" s="35" t="s">
        <v>332</v>
      </c>
      <c r="E5" s="35" t="s">
        <v>333</v>
      </c>
      <c r="F5" s="35" t="s">
        <v>334</v>
      </c>
      <c r="G5" s="35" t="s">
        <v>335</v>
      </c>
      <c r="H5" s="35" t="s">
        <v>336</v>
      </c>
      <c r="I5" s="35" t="s">
        <v>337</v>
      </c>
      <c r="J5" s="35" t="s">
        <v>338</v>
      </c>
      <c r="K5" s="35" t="s">
        <v>339</v>
      </c>
      <c r="L5" s="35" t="s">
        <v>340</v>
      </c>
      <c r="M5" s="35" t="s">
        <v>341</v>
      </c>
      <c r="N5" s="35" t="s">
        <v>342</v>
      </c>
      <c r="O5" s="35" t="s">
        <v>343</v>
      </c>
      <c r="P5" s="35" t="s">
        <v>344</v>
      </c>
      <c r="Q5" s="35" t="s">
        <v>345</v>
      </c>
      <c r="R5" s="35" t="s">
        <v>346</v>
      </c>
      <c r="S5" s="35" t="s">
        <v>347</v>
      </c>
      <c r="T5" s="35" t="s">
        <v>348</v>
      </c>
      <c r="U5" s="35" t="s">
        <v>349</v>
      </c>
      <c r="V5" s="35" t="s">
        <v>350</v>
      </c>
      <c r="W5" s="35" t="s">
        <v>351</v>
      </c>
      <c r="X5" s="35" t="s">
        <v>352</v>
      </c>
      <c r="Y5" s="35" t="s">
        <v>353</v>
      </c>
      <c r="Z5" s="35" t="s">
        <v>354</v>
      </c>
      <c r="AA5" s="35" t="s">
        <v>355</v>
      </c>
      <c r="AB5" s="35" t="s">
        <v>356</v>
      </c>
      <c r="AC5" s="35" t="s">
        <v>357</v>
      </c>
      <c r="AD5" s="35" t="s">
        <v>358</v>
      </c>
      <c r="AE5" s="35" t="s">
        <v>359</v>
      </c>
      <c r="AF5" s="35" t="s">
        <v>360</v>
      </c>
      <c r="AG5" s="35" t="s">
        <v>361</v>
      </c>
      <c r="AH5" s="35" t="s">
        <v>362</v>
      </c>
      <c r="AI5" s="35" t="s">
        <v>363</v>
      </c>
      <c r="AJ5" s="35" t="s">
        <v>364</v>
      </c>
      <c r="AK5" s="35" t="s">
        <v>365</v>
      </c>
      <c r="AL5" s="35" t="s">
        <v>366</v>
      </c>
    </row>
    <row r="6" customFormat="false" ht="15" hidden="false" customHeight="false" outlineLevel="0" collapsed="false">
      <c r="A6" s="71" t="s">
        <v>367</v>
      </c>
      <c r="C6" s="71" t="n">
        <v>1</v>
      </c>
      <c r="D6" s="71" t="n">
        <v>2</v>
      </c>
      <c r="E6" s="71" t="n">
        <v>3</v>
      </c>
      <c r="F6" s="71" t="n">
        <v>4</v>
      </c>
      <c r="G6" s="71" t="n">
        <v>5</v>
      </c>
      <c r="H6" s="71" t="n">
        <v>6</v>
      </c>
      <c r="I6" s="71" t="n">
        <v>7</v>
      </c>
      <c r="J6" s="71" t="n">
        <v>8</v>
      </c>
      <c r="K6" s="71" t="n">
        <v>9</v>
      </c>
      <c r="L6" s="71" t="n">
        <v>10</v>
      </c>
      <c r="M6" s="71" t="n">
        <v>11</v>
      </c>
      <c r="N6" s="71" t="n">
        <v>12</v>
      </c>
      <c r="O6" s="71" t="n">
        <v>13</v>
      </c>
      <c r="P6" s="71" t="n">
        <v>14</v>
      </c>
      <c r="Q6" s="71" t="n">
        <v>15</v>
      </c>
      <c r="R6" s="71" t="n">
        <v>16</v>
      </c>
      <c r="S6" s="71" t="n">
        <v>17</v>
      </c>
      <c r="T6" s="71" t="n">
        <v>18</v>
      </c>
      <c r="U6" s="71" t="n">
        <v>19</v>
      </c>
      <c r="V6" s="71" t="n">
        <v>20</v>
      </c>
      <c r="W6" s="71" t="n">
        <v>21</v>
      </c>
      <c r="X6" s="71" t="n">
        <v>22</v>
      </c>
      <c r="Y6" s="71" t="n">
        <v>23</v>
      </c>
      <c r="Z6" s="71" t="n">
        <v>24</v>
      </c>
      <c r="AA6" s="71" t="n">
        <v>25</v>
      </c>
      <c r="AB6" s="71" t="n">
        <v>26</v>
      </c>
      <c r="AC6" s="71" t="n">
        <v>27</v>
      </c>
      <c r="AD6" s="71" t="n">
        <v>28</v>
      </c>
      <c r="AE6" s="71" t="n">
        <v>29</v>
      </c>
      <c r="AF6" s="71" t="n">
        <v>30</v>
      </c>
      <c r="AG6" s="71" t="n">
        <v>31</v>
      </c>
      <c r="AH6" s="71" t="n">
        <v>32</v>
      </c>
      <c r="AI6" s="71" t="n">
        <v>33</v>
      </c>
      <c r="AJ6" s="71" t="n">
        <v>34</v>
      </c>
      <c r="AK6" s="71" t="n">
        <v>35</v>
      </c>
      <c r="AL6" s="71" t="n">
        <v>36</v>
      </c>
    </row>
    <row r="7" customFormat="false" ht="15" hidden="false" customHeight="false" outlineLevel="0" collapsed="false">
      <c r="A7" s="71" t="s">
        <v>154</v>
      </c>
      <c r="C7" s="71" t="n">
        <f aca="false">ROUNDUP(C6*1/12,0)</f>
        <v>1</v>
      </c>
      <c r="D7" s="71" t="n">
        <f aca="false">ROUNDUP(D6*1/12,0)</f>
        <v>1</v>
      </c>
      <c r="E7" s="71" t="n">
        <f aca="false">ROUNDUP(E6*1/12,0)</f>
        <v>1</v>
      </c>
      <c r="F7" s="71" t="n">
        <f aca="false">ROUNDUP(F6*1/12,0)</f>
        <v>1</v>
      </c>
      <c r="G7" s="71" t="n">
        <f aca="false">ROUNDUP(G6*1/12,0)</f>
        <v>1</v>
      </c>
      <c r="H7" s="71" t="n">
        <f aca="false">ROUNDUP(H6*1/12,0)</f>
        <v>1</v>
      </c>
      <c r="I7" s="71" t="n">
        <f aca="false">ROUNDUP(I6*1/12,0)</f>
        <v>1</v>
      </c>
      <c r="J7" s="71" t="n">
        <f aca="false">ROUNDUP(J6*1/12,0)</f>
        <v>1</v>
      </c>
      <c r="K7" s="71" t="n">
        <f aca="false">ROUNDUP(K6*1/12,0)</f>
        <v>1</v>
      </c>
      <c r="L7" s="71" t="n">
        <f aca="false">ROUNDUP(L6*1/12,0)</f>
        <v>1</v>
      </c>
      <c r="M7" s="71" t="n">
        <f aca="false">ROUNDUP(M6*1/12,0)</f>
        <v>1</v>
      </c>
      <c r="N7" s="71" t="n">
        <f aca="false">ROUNDUP(N6*1/12,0)</f>
        <v>1</v>
      </c>
      <c r="O7" s="71" t="n">
        <f aca="false">ROUNDUP(O6*1/12,0)</f>
        <v>2</v>
      </c>
      <c r="P7" s="71" t="n">
        <f aca="false">ROUNDUP(P6*1/12,0)</f>
        <v>2</v>
      </c>
      <c r="Q7" s="71" t="n">
        <f aca="false">ROUNDUP(Q6*1/12,0)</f>
        <v>2</v>
      </c>
      <c r="R7" s="71" t="n">
        <f aca="false">ROUNDUP(R6*1/12,0)</f>
        <v>2</v>
      </c>
      <c r="S7" s="71" t="n">
        <f aca="false">ROUNDUP(S6*1/12,0)</f>
        <v>2</v>
      </c>
      <c r="T7" s="71" t="n">
        <f aca="false">ROUNDUP(T6*1/12,0)</f>
        <v>2</v>
      </c>
      <c r="U7" s="71" t="n">
        <f aca="false">ROUNDUP(U6*1/12,0)</f>
        <v>2</v>
      </c>
      <c r="V7" s="71" t="n">
        <f aca="false">ROUNDUP(V6*1/12,0)</f>
        <v>2</v>
      </c>
      <c r="W7" s="71" t="n">
        <f aca="false">ROUNDUP(W6*1/12,0)</f>
        <v>2</v>
      </c>
      <c r="X7" s="71" t="n">
        <f aca="false">ROUNDUP(X6*1/12,0)</f>
        <v>2</v>
      </c>
      <c r="Y7" s="71" t="n">
        <f aca="false">ROUNDUP(Y6*1/12,0)</f>
        <v>2</v>
      </c>
      <c r="Z7" s="71" t="n">
        <f aca="false">ROUNDUP(Z6*1/12,0)</f>
        <v>2</v>
      </c>
      <c r="AA7" s="71" t="n">
        <f aca="false">ROUNDUP(AA6*1/12,0)</f>
        <v>3</v>
      </c>
      <c r="AB7" s="71" t="n">
        <f aca="false">ROUNDUP(AB6*1/12,0)</f>
        <v>3</v>
      </c>
      <c r="AC7" s="71" t="n">
        <f aca="false">ROUNDUP(AC6*1/12,0)</f>
        <v>3</v>
      </c>
      <c r="AD7" s="71" t="n">
        <f aca="false">ROUNDUP(AD6*1/12,0)</f>
        <v>3</v>
      </c>
      <c r="AE7" s="71" t="n">
        <f aca="false">ROUNDUP(AE6*1/12,0)</f>
        <v>3</v>
      </c>
      <c r="AF7" s="71" t="n">
        <f aca="false">ROUNDUP(AF6*1/12,0)</f>
        <v>3</v>
      </c>
      <c r="AG7" s="71" t="n">
        <f aca="false">ROUNDUP(AG6*1/12,0)</f>
        <v>3</v>
      </c>
      <c r="AH7" s="71" t="n">
        <f aca="false">ROUNDUP(AH6*1/12,0)</f>
        <v>3</v>
      </c>
      <c r="AI7" s="71" t="n">
        <f aca="false">ROUNDUP(AI6*1/12,0)</f>
        <v>3</v>
      </c>
      <c r="AJ7" s="71" t="n">
        <f aca="false">ROUNDUP(AJ6*1/12,0)</f>
        <v>3</v>
      </c>
      <c r="AK7" s="71" t="n">
        <f aca="false">ROUNDUP(AK6*1/12,0)</f>
        <v>3</v>
      </c>
      <c r="AL7" s="71" t="n">
        <f aca="false">ROUNDUP(AL6*1/12,0)</f>
        <v>3</v>
      </c>
    </row>
    <row r="9" customFormat="false" ht="15.75" hidden="false" customHeight="true" outlineLevel="0" collapsed="false">
      <c r="A9" s="7" t="s">
        <v>368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369</v>
      </c>
      <c r="C10" s="114" t="n">
        <f aca="false">Inputs!$B$12*(1+Inputs!$B$13)^(C$7-1)*1</f>
        <v>8</v>
      </c>
      <c r="D10" s="114" t="n">
        <f aca="false">Inputs!$B$12*(1+Inputs!$B$13)^(D$7-1)*1</f>
        <v>8</v>
      </c>
      <c r="E10" s="114" t="n">
        <f aca="false">Inputs!$B$12*(1+Inputs!$B$13)^(E$7-1)*1</f>
        <v>8</v>
      </c>
      <c r="F10" s="114" t="n">
        <f aca="false">Inputs!$B$12*(1+Inputs!$B$13)^(F$7-1)*1</f>
        <v>8</v>
      </c>
      <c r="G10" s="114" t="n">
        <f aca="false">Inputs!$B$12*(1+Inputs!$B$13)^(G$7-1)*1</f>
        <v>8</v>
      </c>
      <c r="H10" s="114" t="n">
        <f aca="false">Inputs!$B$12*(1+Inputs!$B$13)^(H$7-1)*1</f>
        <v>8</v>
      </c>
      <c r="I10" s="114" t="n">
        <f aca="false">Inputs!$B$12*(1+Inputs!$B$13)^(I$7-1)*1</f>
        <v>8</v>
      </c>
      <c r="J10" s="114" t="n">
        <f aca="false">Inputs!$B$12*(1+Inputs!$B$13)^(J$7-1)*1</f>
        <v>8</v>
      </c>
      <c r="K10" s="114" t="n">
        <f aca="false">Inputs!$B$12*(1+Inputs!$B$13)^(K$7-1)*1</f>
        <v>8</v>
      </c>
      <c r="L10" s="114" t="n">
        <f aca="false">Inputs!$B$12*(1+Inputs!$B$13)^(L$7-1)*1</f>
        <v>8</v>
      </c>
      <c r="M10" s="114" t="n">
        <f aca="false">Inputs!$B$12*(1+Inputs!$B$13)^(M$7-1)*1</f>
        <v>8</v>
      </c>
      <c r="N10" s="114" t="n">
        <f aca="false">Inputs!$B$12*(1+Inputs!$B$13)^(N$7-1)*1</f>
        <v>8</v>
      </c>
      <c r="O10" s="114" t="n">
        <f aca="false">Inputs!$B$12*(1+Inputs!$B$13)^(O$7-1)*1</f>
        <v>8.8</v>
      </c>
      <c r="P10" s="114" t="n">
        <f aca="false">Inputs!$B$12*(1+Inputs!$B$13)^(P$7-1)*1</f>
        <v>8.8</v>
      </c>
      <c r="Q10" s="114" t="n">
        <f aca="false">Inputs!$B$12*(1+Inputs!$B$13)^(Q$7-1)*1</f>
        <v>8.8</v>
      </c>
      <c r="R10" s="114" t="n">
        <f aca="false">Inputs!$B$12*(1+Inputs!$B$13)^(R$7-1)*1</f>
        <v>8.8</v>
      </c>
      <c r="S10" s="114" t="n">
        <f aca="false">Inputs!$B$12*(1+Inputs!$B$13)^(S$7-1)*1</f>
        <v>8.8</v>
      </c>
      <c r="T10" s="114" t="n">
        <f aca="false">Inputs!$B$12*(1+Inputs!$B$13)^(T$7-1)*1</f>
        <v>8.8</v>
      </c>
      <c r="U10" s="114" t="n">
        <f aca="false">Inputs!$B$12*(1+Inputs!$B$13)^(U$7-1)*1</f>
        <v>8.8</v>
      </c>
      <c r="V10" s="114" t="n">
        <f aca="false">Inputs!$B$12*(1+Inputs!$B$13)^(V$7-1)*1</f>
        <v>8.8</v>
      </c>
      <c r="W10" s="114" t="n">
        <f aca="false">Inputs!$B$12*(1+Inputs!$B$13)^(W$7-1)*1</f>
        <v>8.8</v>
      </c>
      <c r="X10" s="114" t="n">
        <f aca="false">Inputs!$B$12*(1+Inputs!$B$13)^(X$7-1)*1</f>
        <v>8.8</v>
      </c>
      <c r="Y10" s="114" t="n">
        <f aca="false">Inputs!$B$12*(1+Inputs!$B$13)^(Y$7-1)*1</f>
        <v>8.8</v>
      </c>
      <c r="Z10" s="114" t="n">
        <f aca="false">Inputs!$B$12*(1+Inputs!$B$13)^(Z$7-1)*1</f>
        <v>8.8</v>
      </c>
      <c r="AA10" s="114" t="n">
        <f aca="false">Inputs!$B$12*(1+Inputs!$B$13)^(AA$7-1)*1</f>
        <v>9.68</v>
      </c>
      <c r="AB10" s="114" t="n">
        <f aca="false">Inputs!$B$12*(1+Inputs!$B$13)^(AB$7-1)*1</f>
        <v>9.68</v>
      </c>
      <c r="AC10" s="114" t="n">
        <f aca="false">Inputs!$B$12*(1+Inputs!$B$13)^(AC$7-1)*1</f>
        <v>9.68</v>
      </c>
      <c r="AD10" s="114" t="n">
        <f aca="false">Inputs!$B$12*(1+Inputs!$B$13)^(AD$7-1)*1</f>
        <v>9.68</v>
      </c>
      <c r="AE10" s="114" t="n">
        <f aca="false">Inputs!$B$12*(1+Inputs!$B$13)^(AE$7-1)*1</f>
        <v>9.68</v>
      </c>
      <c r="AF10" s="114" t="n">
        <f aca="false">Inputs!$B$12*(1+Inputs!$B$13)^(AF$7-1)*1</f>
        <v>9.68</v>
      </c>
      <c r="AG10" s="114" t="n">
        <f aca="false">Inputs!$B$12*(1+Inputs!$B$13)^(AG$7-1)*1</f>
        <v>9.68</v>
      </c>
      <c r="AH10" s="114" t="n">
        <f aca="false">Inputs!$B$12*(1+Inputs!$B$13)^(AH$7-1)*1</f>
        <v>9.68</v>
      </c>
      <c r="AI10" s="114" t="n">
        <f aca="false">Inputs!$B$12*(1+Inputs!$B$13)^(AI$7-1)*1</f>
        <v>9.68</v>
      </c>
      <c r="AJ10" s="114" t="n">
        <f aca="false">Inputs!$B$12*(1+Inputs!$B$13)^(AJ$7-1)*1</f>
        <v>9.68</v>
      </c>
      <c r="AK10" s="114" t="n">
        <f aca="false">Inputs!$B$12*(1+Inputs!$B$13)^(AK$7-1)*1</f>
        <v>9.68</v>
      </c>
      <c r="AL10" s="114" t="n">
        <f aca="false">Inputs!$B$12*(1+Inputs!$B$13)^(AL$7-1)*1</f>
        <v>9.68</v>
      </c>
    </row>
    <row r="11" customFormat="false" ht="15" hidden="false" customHeight="false" outlineLevel="0" collapsed="false">
      <c r="A11" s="6" t="s">
        <v>370</v>
      </c>
      <c r="C11" s="114" t="n">
        <f aca="false">-C32/MAX(1,Inputs!$B$16)</f>
        <v>13.3333333333333</v>
      </c>
      <c r="D11" s="114" t="n">
        <f aca="false">-D32/MAX(1,Inputs!$B$16)</f>
        <v>13.3333333333333</v>
      </c>
      <c r="E11" s="114" t="n">
        <f aca="false">-E32/MAX(1,Inputs!$B$16)</f>
        <v>13.3333333333333</v>
      </c>
      <c r="F11" s="114" t="n">
        <f aca="false">-F32/MAX(1,Inputs!$B$16)</f>
        <v>13.3333333333333</v>
      </c>
      <c r="G11" s="114" t="n">
        <f aca="false">-G32/MAX(1,Inputs!$B$16)</f>
        <v>13.3333333333333</v>
      </c>
      <c r="H11" s="114" t="n">
        <f aca="false">-H32/MAX(1,Inputs!$B$16)</f>
        <v>13.3333333333333</v>
      </c>
      <c r="I11" s="114" t="n">
        <f aca="false">-I32/MAX(1,Inputs!$B$16)</f>
        <v>13.3333333333333</v>
      </c>
      <c r="J11" s="114" t="n">
        <f aca="false">-J32/MAX(1,Inputs!$B$16)</f>
        <v>13.3333333333333</v>
      </c>
      <c r="K11" s="114" t="n">
        <f aca="false">-K32/MAX(1,Inputs!$B$16)</f>
        <v>13.3333333333333</v>
      </c>
      <c r="L11" s="114" t="n">
        <f aca="false">-L32/MAX(1,Inputs!$B$16)</f>
        <v>13.3333333333333</v>
      </c>
      <c r="M11" s="114" t="n">
        <f aca="false">-M32/MAX(1,Inputs!$B$16)</f>
        <v>13.3333333333333</v>
      </c>
      <c r="N11" s="114" t="n">
        <f aca="false">-N32/MAX(1,Inputs!$B$16)</f>
        <v>13.3333333333333</v>
      </c>
      <c r="O11" s="114" t="n">
        <f aca="false">-O32/MAX(1,Inputs!$B$16)</f>
        <v>16</v>
      </c>
      <c r="P11" s="114" t="n">
        <f aca="false">-P32/MAX(1,Inputs!$B$16)</f>
        <v>16</v>
      </c>
      <c r="Q11" s="114" t="n">
        <f aca="false">-Q32/MAX(1,Inputs!$B$16)</f>
        <v>16</v>
      </c>
      <c r="R11" s="114" t="n">
        <f aca="false">-R32/MAX(1,Inputs!$B$16)</f>
        <v>16</v>
      </c>
      <c r="S11" s="114" t="n">
        <f aca="false">-S32/MAX(1,Inputs!$B$16)</f>
        <v>16</v>
      </c>
      <c r="T11" s="114" t="n">
        <f aca="false">-T32/MAX(1,Inputs!$B$16)</f>
        <v>16</v>
      </c>
      <c r="U11" s="114" t="n">
        <f aca="false">-U32/MAX(1,Inputs!$B$16)</f>
        <v>16</v>
      </c>
      <c r="V11" s="114" t="n">
        <f aca="false">-V32/MAX(1,Inputs!$B$16)</f>
        <v>16</v>
      </c>
      <c r="W11" s="114" t="n">
        <f aca="false">-W32/MAX(1,Inputs!$B$16)</f>
        <v>16</v>
      </c>
      <c r="X11" s="114" t="n">
        <f aca="false">-X32/MAX(1,Inputs!$B$16)</f>
        <v>16</v>
      </c>
      <c r="Y11" s="114" t="n">
        <f aca="false">-Y32/MAX(1,Inputs!$B$16)</f>
        <v>16</v>
      </c>
      <c r="Z11" s="114" t="n">
        <f aca="false">-Z32/MAX(1,Inputs!$B$16)</f>
        <v>16</v>
      </c>
      <c r="AA11" s="114" t="n">
        <f aca="false">-AA32/MAX(1,Inputs!$B$16)</f>
        <v>19.2</v>
      </c>
      <c r="AB11" s="114" t="n">
        <f aca="false">-AB32/MAX(1,Inputs!$B$16)</f>
        <v>19.2</v>
      </c>
      <c r="AC11" s="114" t="n">
        <f aca="false">-AC32/MAX(1,Inputs!$B$16)</f>
        <v>19.2</v>
      </c>
      <c r="AD11" s="114" t="n">
        <f aca="false">-AD32/MAX(1,Inputs!$B$16)</f>
        <v>19.2</v>
      </c>
      <c r="AE11" s="114" t="n">
        <f aca="false">-AE32/MAX(1,Inputs!$B$16)</f>
        <v>19.2</v>
      </c>
      <c r="AF11" s="114" t="n">
        <f aca="false">-AF32/MAX(1,Inputs!$B$16)</f>
        <v>19.2</v>
      </c>
      <c r="AG11" s="114" t="n">
        <f aca="false">-AG32/MAX(1,Inputs!$B$16)</f>
        <v>19.2</v>
      </c>
      <c r="AH11" s="114" t="n">
        <f aca="false">-AH32/MAX(1,Inputs!$B$16)</f>
        <v>19.2</v>
      </c>
      <c r="AI11" s="114" t="n">
        <f aca="false">-AI32/MAX(1,Inputs!$B$16)</f>
        <v>19.2</v>
      </c>
      <c r="AJ11" s="114" t="n">
        <f aca="false">-AJ32/MAX(1,Inputs!$B$16)</f>
        <v>19.2</v>
      </c>
      <c r="AK11" s="114" t="n">
        <f aca="false">-AK32/MAX(1,Inputs!$B$16)</f>
        <v>19.2</v>
      </c>
      <c r="AL11" s="114" t="n">
        <f aca="false">-AL32/MAX(1,Inputs!$B$16)</f>
        <v>19.2</v>
      </c>
    </row>
    <row r="12" customFormat="false" ht="15" hidden="false" customHeight="false" outlineLevel="0" collapsed="false">
      <c r="A12" s="4" t="s">
        <v>371</v>
      </c>
      <c r="C12" s="115" t="n">
        <f aca="false">C10+C11</f>
        <v>21.3333333333333</v>
      </c>
      <c r="D12" s="115" t="n">
        <f aca="false">D10+D11</f>
        <v>21.3333333333333</v>
      </c>
      <c r="E12" s="115" t="n">
        <f aca="false">E10+E11</f>
        <v>21.3333333333333</v>
      </c>
      <c r="F12" s="115" t="n">
        <f aca="false">F10+F11</f>
        <v>21.3333333333333</v>
      </c>
      <c r="G12" s="115" t="n">
        <f aca="false">G10+G11</f>
        <v>21.3333333333333</v>
      </c>
      <c r="H12" s="115" t="n">
        <f aca="false">H10+H11</f>
        <v>21.3333333333333</v>
      </c>
      <c r="I12" s="115" t="n">
        <f aca="false">I10+I11</f>
        <v>21.3333333333333</v>
      </c>
      <c r="J12" s="115" t="n">
        <f aca="false">J10+J11</f>
        <v>21.3333333333333</v>
      </c>
      <c r="K12" s="115" t="n">
        <f aca="false">K10+K11</f>
        <v>21.3333333333333</v>
      </c>
      <c r="L12" s="115" t="n">
        <f aca="false">L10+L11</f>
        <v>21.3333333333333</v>
      </c>
      <c r="M12" s="115" t="n">
        <f aca="false">M10+M11</f>
        <v>21.3333333333333</v>
      </c>
      <c r="N12" s="115" t="n">
        <f aca="false">N10+N11</f>
        <v>21.3333333333333</v>
      </c>
      <c r="O12" s="115" t="n">
        <f aca="false">O10+O11</f>
        <v>24.8</v>
      </c>
      <c r="P12" s="115" t="n">
        <f aca="false">P10+P11</f>
        <v>24.8</v>
      </c>
      <c r="Q12" s="115" t="n">
        <f aca="false">Q10+Q11</f>
        <v>24.8</v>
      </c>
      <c r="R12" s="115" t="n">
        <f aca="false">R10+R11</f>
        <v>24.8</v>
      </c>
      <c r="S12" s="115" t="n">
        <f aca="false">S10+S11</f>
        <v>24.8</v>
      </c>
      <c r="T12" s="115" t="n">
        <f aca="false">T10+T11</f>
        <v>24.8</v>
      </c>
      <c r="U12" s="115" t="n">
        <f aca="false">U10+U11</f>
        <v>24.8</v>
      </c>
      <c r="V12" s="115" t="n">
        <f aca="false">V10+V11</f>
        <v>24.8</v>
      </c>
      <c r="W12" s="115" t="n">
        <f aca="false">W10+W11</f>
        <v>24.8</v>
      </c>
      <c r="X12" s="115" t="n">
        <f aca="false">X10+X11</f>
        <v>24.8</v>
      </c>
      <c r="Y12" s="115" t="n">
        <f aca="false">Y10+Y11</f>
        <v>24.8</v>
      </c>
      <c r="Z12" s="115" t="n">
        <f aca="false">Z10+Z11</f>
        <v>24.8</v>
      </c>
      <c r="AA12" s="115" t="n">
        <f aca="false">AA10+AA11</f>
        <v>28.88</v>
      </c>
      <c r="AB12" s="115" t="n">
        <f aca="false">AB10+AB11</f>
        <v>28.88</v>
      </c>
      <c r="AC12" s="115" t="n">
        <f aca="false">AC10+AC11</f>
        <v>28.88</v>
      </c>
      <c r="AD12" s="115" t="n">
        <f aca="false">AD10+AD11</f>
        <v>28.88</v>
      </c>
      <c r="AE12" s="115" t="n">
        <f aca="false">AE10+AE11</f>
        <v>28.88</v>
      </c>
      <c r="AF12" s="115" t="n">
        <f aca="false">AF10+AF11</f>
        <v>28.88</v>
      </c>
      <c r="AG12" s="115" t="n">
        <f aca="false">AG10+AG11</f>
        <v>28.88</v>
      </c>
      <c r="AH12" s="115" t="n">
        <f aca="false">AH10+AH11</f>
        <v>28.88</v>
      </c>
      <c r="AI12" s="115" t="n">
        <f aca="false">AI10+AI11</f>
        <v>28.88</v>
      </c>
      <c r="AJ12" s="115" t="n">
        <f aca="false">AJ10+AJ11</f>
        <v>28.88</v>
      </c>
      <c r="AK12" s="115" t="n">
        <f aca="false">AK10+AK11</f>
        <v>28.88</v>
      </c>
      <c r="AL12" s="115" t="n">
        <f aca="false">AL10+AL11</f>
        <v>28.88</v>
      </c>
    </row>
    <row r="13" customFormat="false" ht="15" hidden="false" customHeight="false" outlineLevel="0" collapsed="false">
      <c r="A13" s="6" t="s">
        <v>372</v>
      </c>
      <c r="C13" s="116" t="n">
        <f aca="false">Inputs!$B$7</f>
        <v>30</v>
      </c>
      <c r="D13" s="114" t="n">
        <f aca="false">C15</f>
        <v>49.9833333333333</v>
      </c>
      <c r="E13" s="114" t="n">
        <f aca="false">D15</f>
        <v>69.0674166666667</v>
      </c>
      <c r="F13" s="114" t="n">
        <f aca="false">E15</f>
        <v>87.29271625</v>
      </c>
      <c r="G13" s="114" t="n">
        <f aca="false">F15</f>
        <v>104.697877352083</v>
      </c>
      <c r="H13" s="114" t="n">
        <f aca="false">G15</f>
        <v>121.319806204573</v>
      </c>
      <c r="I13" s="114" t="n">
        <f aca="false">H15</f>
        <v>137.1937482587</v>
      </c>
      <c r="J13" s="114" t="n">
        <f aca="false">I15</f>
        <v>152.353362920392</v>
      </c>
      <c r="K13" s="114" t="n">
        <f aca="false">J15</f>
        <v>166.830794922308</v>
      </c>
      <c r="L13" s="114" t="n">
        <f aca="false">K15</f>
        <v>180.656742484137</v>
      </c>
      <c r="M13" s="114" t="n">
        <f aca="false">L15</f>
        <v>193.860522405685</v>
      </c>
      <c r="N13" s="114" t="n">
        <f aca="false">M15</f>
        <v>206.470132230762</v>
      </c>
      <c r="O13" s="114" t="n">
        <f aca="false">N15</f>
        <v>218.512309613711</v>
      </c>
      <c r="P13" s="114" t="n">
        <f aca="false">O15</f>
        <v>233.479255681094</v>
      </c>
      <c r="Q13" s="114" t="n">
        <f aca="false">P15</f>
        <v>247.772689175445</v>
      </c>
      <c r="R13" s="114" t="n">
        <f aca="false">Q15</f>
        <v>261.42291816255</v>
      </c>
      <c r="S13" s="114" t="n">
        <f aca="false">R15</f>
        <v>274.458886845235</v>
      </c>
      <c r="T13" s="114" t="n">
        <f aca="false">S15</f>
        <v>286.9082369372</v>
      </c>
      <c r="U13" s="114" t="n">
        <f aca="false">T15</f>
        <v>298.797366275026</v>
      </c>
      <c r="V13" s="114" t="n">
        <f aca="false">U15</f>
        <v>310.15148479265</v>
      </c>
      <c r="W13" s="114" t="n">
        <f aca="false">V15</f>
        <v>320.99466797698</v>
      </c>
      <c r="X13" s="114" t="n">
        <f aca="false">W15</f>
        <v>331.349907918016</v>
      </c>
      <c r="Y13" s="114" t="n">
        <f aca="false">X15</f>
        <v>341.239162061706</v>
      </c>
      <c r="Z13" s="114" t="n">
        <f aca="false">Y15</f>
        <v>350.683399768929</v>
      </c>
      <c r="AA13" s="114" t="n">
        <f aca="false">Z15</f>
        <v>359.702646779327</v>
      </c>
      <c r="AB13" s="114" t="n">
        <f aca="false">AA15</f>
        <v>372.396027674257</v>
      </c>
      <c r="AC13" s="114" t="n">
        <f aca="false">AB15</f>
        <v>384.518206428916</v>
      </c>
      <c r="AD13" s="114" t="n">
        <f aca="false">AC15</f>
        <v>396.094887139614</v>
      </c>
      <c r="AE13" s="114" t="n">
        <f aca="false">AD15</f>
        <v>407.150617218332</v>
      </c>
      <c r="AF13" s="114" t="n">
        <f aca="false">AE15</f>
        <v>417.708839443507</v>
      </c>
      <c r="AG13" s="114" t="n">
        <f aca="false">AF15</f>
        <v>427.791941668549</v>
      </c>
      <c r="AH13" s="114" t="n">
        <f aca="false">AG15</f>
        <v>437.421304293464</v>
      </c>
      <c r="AI13" s="114" t="n">
        <f aca="false">AH15</f>
        <v>446.617345600259</v>
      </c>
      <c r="AJ13" s="114" t="n">
        <f aca="false">AI15</f>
        <v>455.399565048247</v>
      </c>
      <c r="AK13" s="114" t="n">
        <f aca="false">AJ15</f>
        <v>463.786584621076</v>
      </c>
      <c r="AL13" s="114" t="n">
        <f aca="false">AK15</f>
        <v>471.796188313127</v>
      </c>
    </row>
    <row r="14" customFormat="false" ht="15" hidden="false" customHeight="false" outlineLevel="0" collapsed="false">
      <c r="A14" s="6" t="s">
        <v>373</v>
      </c>
      <c r="C14" s="114" t="n">
        <f aca="false">-C13*Inputs!$B$10</f>
        <v>-1.35</v>
      </c>
      <c r="D14" s="114" t="n">
        <f aca="false">-D13*Inputs!$B$10</f>
        <v>-2.24925</v>
      </c>
      <c r="E14" s="114" t="n">
        <f aca="false">-E13*Inputs!$B$10</f>
        <v>-3.10803375</v>
      </c>
      <c r="F14" s="114" t="n">
        <f aca="false">-F13*Inputs!$B$10</f>
        <v>-3.92817223125</v>
      </c>
      <c r="G14" s="114" t="n">
        <f aca="false">-G13*Inputs!$B$10</f>
        <v>-4.71140448084375</v>
      </c>
      <c r="H14" s="114" t="n">
        <f aca="false">-H13*Inputs!$B$10</f>
        <v>-5.45939127920578</v>
      </c>
      <c r="I14" s="114" t="n">
        <f aca="false">-I13*Inputs!$B$10</f>
        <v>-6.17371867164152</v>
      </c>
      <c r="J14" s="114" t="n">
        <f aca="false">-J13*Inputs!$B$10</f>
        <v>-6.85590133141765</v>
      </c>
      <c r="K14" s="114" t="n">
        <f aca="false">-K13*Inputs!$B$10</f>
        <v>-7.50738577150386</v>
      </c>
      <c r="L14" s="114" t="n">
        <f aca="false">-L13*Inputs!$B$10</f>
        <v>-8.12955341178619</v>
      </c>
      <c r="M14" s="114" t="n">
        <f aca="false">-M13*Inputs!$B$10</f>
        <v>-8.72372350825581</v>
      </c>
      <c r="N14" s="114" t="n">
        <f aca="false">-N13*Inputs!$B$10</f>
        <v>-9.2911559503843</v>
      </c>
      <c r="O14" s="114" t="n">
        <f aca="false">-O13*Inputs!$B$10</f>
        <v>-9.833053932617</v>
      </c>
      <c r="P14" s="114" t="n">
        <f aca="false">-P13*Inputs!$B$10</f>
        <v>-10.5065665056492</v>
      </c>
      <c r="Q14" s="114" t="n">
        <f aca="false">-Q13*Inputs!$B$10</f>
        <v>-11.149771012895</v>
      </c>
      <c r="R14" s="114" t="n">
        <f aca="false">-R13*Inputs!$B$10</f>
        <v>-11.7640313173147</v>
      </c>
      <c r="S14" s="114" t="n">
        <f aca="false">-S13*Inputs!$B$10</f>
        <v>-12.3506499080356</v>
      </c>
      <c r="T14" s="114" t="n">
        <f aca="false">-T13*Inputs!$B$10</f>
        <v>-12.910870662174</v>
      </c>
      <c r="U14" s="114" t="n">
        <f aca="false">-U13*Inputs!$B$10</f>
        <v>-13.4458814823762</v>
      </c>
      <c r="V14" s="114" t="n">
        <f aca="false">-V13*Inputs!$B$10</f>
        <v>-13.9568168156692</v>
      </c>
      <c r="W14" s="114" t="n">
        <f aca="false">-W13*Inputs!$B$10</f>
        <v>-14.4447600589641</v>
      </c>
      <c r="X14" s="114" t="n">
        <f aca="false">-X13*Inputs!$B$10</f>
        <v>-14.9107458563107</v>
      </c>
      <c r="Y14" s="114" t="n">
        <f aca="false">-Y13*Inputs!$B$10</f>
        <v>-15.3557622927767</v>
      </c>
      <c r="Z14" s="114" t="n">
        <f aca="false">-Z13*Inputs!$B$10</f>
        <v>-15.7807529896018</v>
      </c>
      <c r="AA14" s="114" t="n">
        <f aca="false">-AA13*Inputs!$B$10</f>
        <v>-16.1866191050697</v>
      </c>
      <c r="AB14" s="114" t="n">
        <f aca="false">-AB13*Inputs!$B$10</f>
        <v>-16.7578212453416</v>
      </c>
      <c r="AC14" s="114" t="n">
        <f aca="false">-AC13*Inputs!$B$10</f>
        <v>-17.3033192893012</v>
      </c>
      <c r="AD14" s="114" t="n">
        <f aca="false">-AD13*Inputs!$B$10</f>
        <v>-17.8242699212827</v>
      </c>
      <c r="AE14" s="114" t="n">
        <f aca="false">-AE13*Inputs!$B$10</f>
        <v>-18.3217777748249</v>
      </c>
      <c r="AF14" s="114" t="n">
        <f aca="false">-AF13*Inputs!$B$10</f>
        <v>-18.7968977749578</v>
      </c>
      <c r="AG14" s="114" t="n">
        <f aca="false">-AG13*Inputs!$B$10</f>
        <v>-19.2506373750847</v>
      </c>
      <c r="AH14" s="114" t="n">
        <f aca="false">-AH13*Inputs!$B$10</f>
        <v>-19.6839586932059</v>
      </c>
      <c r="AI14" s="114" t="n">
        <f aca="false">-AI13*Inputs!$B$10</f>
        <v>-20.0977805520116</v>
      </c>
      <c r="AJ14" s="114" t="n">
        <f aca="false">-AJ13*Inputs!$B$10</f>
        <v>-20.4929804271711</v>
      </c>
      <c r="AK14" s="114" t="n">
        <f aca="false">-AK13*Inputs!$B$10</f>
        <v>-20.8703963079484</v>
      </c>
      <c r="AL14" s="114" t="n">
        <f aca="false">-AL13*Inputs!$B$10</f>
        <v>-21.2308284740907</v>
      </c>
    </row>
    <row r="15" customFormat="false" ht="15" hidden="false" customHeight="false" outlineLevel="0" collapsed="false">
      <c r="A15" s="111" t="s">
        <v>374</v>
      </c>
      <c r="C15" s="117" t="n">
        <f aca="false">C13+C12+C14</f>
        <v>49.9833333333333</v>
      </c>
      <c r="D15" s="117" t="n">
        <f aca="false">D13+D12+D14</f>
        <v>69.0674166666667</v>
      </c>
      <c r="E15" s="117" t="n">
        <f aca="false">E13+E12+E14</f>
        <v>87.29271625</v>
      </c>
      <c r="F15" s="117" t="n">
        <f aca="false">F13+F12+F14</f>
        <v>104.697877352083</v>
      </c>
      <c r="G15" s="117" t="n">
        <f aca="false">G13+G12+G14</f>
        <v>121.319806204573</v>
      </c>
      <c r="H15" s="117" t="n">
        <f aca="false">H13+H12+H14</f>
        <v>137.1937482587</v>
      </c>
      <c r="I15" s="117" t="n">
        <f aca="false">I13+I12+I14</f>
        <v>152.353362920392</v>
      </c>
      <c r="J15" s="117" t="n">
        <f aca="false">J13+J12+J14</f>
        <v>166.830794922308</v>
      </c>
      <c r="K15" s="117" t="n">
        <f aca="false">K13+K12+K14</f>
        <v>180.656742484137</v>
      </c>
      <c r="L15" s="117" t="n">
        <f aca="false">L13+L12+L14</f>
        <v>193.860522405685</v>
      </c>
      <c r="M15" s="117" t="n">
        <f aca="false">M13+M12+M14</f>
        <v>206.470132230762</v>
      </c>
      <c r="N15" s="117" t="n">
        <f aca="false">N13+N12+N14</f>
        <v>218.512309613711</v>
      </c>
      <c r="O15" s="117" t="n">
        <f aca="false">O13+O12+O14</f>
        <v>233.479255681094</v>
      </c>
      <c r="P15" s="117" t="n">
        <f aca="false">P13+P12+P14</f>
        <v>247.772689175445</v>
      </c>
      <c r="Q15" s="117" t="n">
        <f aca="false">Q13+Q12+Q14</f>
        <v>261.42291816255</v>
      </c>
      <c r="R15" s="117" t="n">
        <f aca="false">R13+R12+R14</f>
        <v>274.458886845235</v>
      </c>
      <c r="S15" s="117" t="n">
        <f aca="false">S13+S12+S14</f>
        <v>286.9082369372</v>
      </c>
      <c r="T15" s="117" t="n">
        <f aca="false">T13+T12+T14</f>
        <v>298.797366275026</v>
      </c>
      <c r="U15" s="117" t="n">
        <f aca="false">U13+U12+U14</f>
        <v>310.15148479265</v>
      </c>
      <c r="V15" s="117" t="n">
        <f aca="false">V13+V12+V14</f>
        <v>320.99466797698</v>
      </c>
      <c r="W15" s="117" t="n">
        <f aca="false">W13+W12+W14</f>
        <v>331.349907918016</v>
      </c>
      <c r="X15" s="117" t="n">
        <f aca="false">X13+X12+X14</f>
        <v>341.239162061706</v>
      </c>
      <c r="Y15" s="117" t="n">
        <f aca="false">Y13+Y12+Y14</f>
        <v>350.683399768929</v>
      </c>
      <c r="Z15" s="117" t="n">
        <f aca="false">Z13+Z12+Z14</f>
        <v>359.702646779327</v>
      </c>
      <c r="AA15" s="117" t="n">
        <f aca="false">AA13+AA12+AA14</f>
        <v>372.396027674257</v>
      </c>
      <c r="AB15" s="117" t="n">
        <f aca="false">AB13+AB12+AB14</f>
        <v>384.518206428916</v>
      </c>
      <c r="AC15" s="117" t="n">
        <f aca="false">AC13+AC12+AC14</f>
        <v>396.094887139614</v>
      </c>
      <c r="AD15" s="117" t="n">
        <f aca="false">AD13+AD12+AD14</f>
        <v>407.150617218332</v>
      </c>
      <c r="AE15" s="117" t="n">
        <f aca="false">AE13+AE12+AE14</f>
        <v>417.708839443507</v>
      </c>
      <c r="AF15" s="117" t="n">
        <f aca="false">AF13+AF12+AF14</f>
        <v>427.791941668549</v>
      </c>
      <c r="AG15" s="117" t="n">
        <f aca="false">AG13+AG12+AG14</f>
        <v>437.421304293464</v>
      </c>
      <c r="AH15" s="117" t="n">
        <f aca="false">AH13+AH12+AH14</f>
        <v>446.617345600259</v>
      </c>
      <c r="AI15" s="117" t="n">
        <f aca="false">AI13+AI12+AI14</f>
        <v>455.399565048247</v>
      </c>
      <c r="AJ15" s="117" t="n">
        <f aca="false">AJ13+AJ12+AJ14</f>
        <v>463.786584621076</v>
      </c>
      <c r="AK15" s="117" t="n">
        <f aca="false">AK13+AK12+AK14</f>
        <v>471.796188313127</v>
      </c>
      <c r="AL15" s="117" t="n">
        <f aca="false">AL13+AL12+AL14</f>
        <v>479.445359839037</v>
      </c>
    </row>
    <row r="16" customFormat="false" ht="15" hidden="false" customHeight="false" outlineLevel="0" collapsed="false">
      <c r="A16" s="6" t="s">
        <v>375</v>
      </c>
      <c r="C16" s="118" t="n">
        <f aca="false">Inputs!$B$8*(1+Inputs!$B$9)^(C$7-1)</f>
        <v>79</v>
      </c>
      <c r="D16" s="118" t="n">
        <f aca="false">Inputs!$B$8*(1+Inputs!$B$9)^(D$7-1)</f>
        <v>79</v>
      </c>
      <c r="E16" s="118" t="n">
        <f aca="false">Inputs!$B$8*(1+Inputs!$B$9)^(E$7-1)</f>
        <v>79</v>
      </c>
      <c r="F16" s="118" t="n">
        <f aca="false">Inputs!$B$8*(1+Inputs!$B$9)^(F$7-1)</f>
        <v>79</v>
      </c>
      <c r="G16" s="118" t="n">
        <f aca="false">Inputs!$B$8*(1+Inputs!$B$9)^(G$7-1)</f>
        <v>79</v>
      </c>
      <c r="H16" s="118" t="n">
        <f aca="false">Inputs!$B$8*(1+Inputs!$B$9)^(H$7-1)</f>
        <v>79</v>
      </c>
      <c r="I16" s="118" t="n">
        <f aca="false">Inputs!$B$8*(1+Inputs!$B$9)^(I$7-1)</f>
        <v>79</v>
      </c>
      <c r="J16" s="118" t="n">
        <f aca="false">Inputs!$B$8*(1+Inputs!$B$9)^(J$7-1)</f>
        <v>79</v>
      </c>
      <c r="K16" s="118" t="n">
        <f aca="false">Inputs!$B$8*(1+Inputs!$B$9)^(K$7-1)</f>
        <v>79</v>
      </c>
      <c r="L16" s="118" t="n">
        <f aca="false">Inputs!$B$8*(1+Inputs!$B$9)^(L$7-1)</f>
        <v>79</v>
      </c>
      <c r="M16" s="118" t="n">
        <f aca="false">Inputs!$B$8*(1+Inputs!$B$9)^(M$7-1)</f>
        <v>79</v>
      </c>
      <c r="N16" s="118" t="n">
        <f aca="false">Inputs!$B$8*(1+Inputs!$B$9)^(N$7-1)</f>
        <v>79</v>
      </c>
      <c r="O16" s="118" t="n">
        <f aca="false">Inputs!$B$8*(1+Inputs!$B$9)^(O$7-1)</f>
        <v>79</v>
      </c>
      <c r="P16" s="118" t="n">
        <f aca="false">Inputs!$B$8*(1+Inputs!$B$9)^(P$7-1)</f>
        <v>79</v>
      </c>
      <c r="Q16" s="118" t="n">
        <f aca="false">Inputs!$B$8*(1+Inputs!$B$9)^(Q$7-1)</f>
        <v>79</v>
      </c>
      <c r="R16" s="118" t="n">
        <f aca="false">Inputs!$B$8*(1+Inputs!$B$9)^(R$7-1)</f>
        <v>79</v>
      </c>
      <c r="S16" s="118" t="n">
        <f aca="false">Inputs!$B$8*(1+Inputs!$B$9)^(S$7-1)</f>
        <v>79</v>
      </c>
      <c r="T16" s="118" t="n">
        <f aca="false">Inputs!$B$8*(1+Inputs!$B$9)^(T$7-1)</f>
        <v>79</v>
      </c>
      <c r="U16" s="118" t="n">
        <f aca="false">Inputs!$B$8*(1+Inputs!$B$9)^(U$7-1)</f>
        <v>79</v>
      </c>
      <c r="V16" s="118" t="n">
        <f aca="false">Inputs!$B$8*(1+Inputs!$B$9)^(V$7-1)</f>
        <v>79</v>
      </c>
      <c r="W16" s="118" t="n">
        <f aca="false">Inputs!$B$8*(1+Inputs!$B$9)^(W$7-1)</f>
        <v>79</v>
      </c>
      <c r="X16" s="118" t="n">
        <f aca="false">Inputs!$B$8*(1+Inputs!$B$9)^(X$7-1)</f>
        <v>79</v>
      </c>
      <c r="Y16" s="118" t="n">
        <f aca="false">Inputs!$B$8*(1+Inputs!$B$9)^(Y$7-1)</f>
        <v>79</v>
      </c>
      <c r="Z16" s="118" t="n">
        <f aca="false">Inputs!$B$8*(1+Inputs!$B$9)^(Z$7-1)</f>
        <v>79</v>
      </c>
      <c r="AA16" s="118" t="n">
        <f aca="false">Inputs!$B$8*(1+Inputs!$B$9)^(AA$7-1)</f>
        <v>79</v>
      </c>
      <c r="AB16" s="118" t="n">
        <f aca="false">Inputs!$B$8*(1+Inputs!$B$9)^(AB$7-1)</f>
        <v>79</v>
      </c>
      <c r="AC16" s="118" t="n">
        <f aca="false">Inputs!$B$8*(1+Inputs!$B$9)^(AC$7-1)</f>
        <v>79</v>
      </c>
      <c r="AD16" s="118" t="n">
        <f aca="false">Inputs!$B$8*(1+Inputs!$B$9)^(AD$7-1)</f>
        <v>79</v>
      </c>
      <c r="AE16" s="118" t="n">
        <f aca="false">Inputs!$B$8*(1+Inputs!$B$9)^(AE$7-1)</f>
        <v>79</v>
      </c>
      <c r="AF16" s="118" t="n">
        <f aca="false">Inputs!$B$8*(1+Inputs!$B$9)^(AF$7-1)</f>
        <v>79</v>
      </c>
      <c r="AG16" s="118" t="n">
        <f aca="false">Inputs!$B$8*(1+Inputs!$B$9)^(AG$7-1)</f>
        <v>79</v>
      </c>
      <c r="AH16" s="118" t="n">
        <f aca="false">Inputs!$B$8*(1+Inputs!$B$9)^(AH$7-1)</f>
        <v>79</v>
      </c>
      <c r="AI16" s="118" t="n">
        <f aca="false">Inputs!$B$8*(1+Inputs!$B$9)^(AI$7-1)</f>
        <v>79</v>
      </c>
      <c r="AJ16" s="118" t="n">
        <f aca="false">Inputs!$B$8*(1+Inputs!$B$9)^(AJ$7-1)</f>
        <v>79</v>
      </c>
      <c r="AK16" s="118" t="n">
        <f aca="false">Inputs!$B$8*(1+Inputs!$B$9)^(AK$7-1)</f>
        <v>79</v>
      </c>
      <c r="AL16" s="118" t="n">
        <f aca="false">Inputs!$B$8*(1+Inputs!$B$9)^(AL$7-1)</f>
        <v>79</v>
      </c>
    </row>
    <row r="18" customFormat="false" ht="15.75" hidden="false" customHeight="true" outlineLevel="0" collapsed="false">
      <c r="A18" s="7" t="s">
        <v>376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377</v>
      </c>
      <c r="C19" s="66" t="n">
        <f aca="false">Inputs!$B$7*Inputs!$B$8</f>
        <v>2370</v>
      </c>
      <c r="D19" s="66" t="n">
        <f aca="false">C23</f>
        <v>3948.68333333333</v>
      </c>
      <c r="E19" s="66" t="n">
        <f aca="false">D23</f>
        <v>5456.32591666667</v>
      </c>
      <c r="F19" s="66" t="n">
        <f aca="false">E23</f>
        <v>6896.12458375</v>
      </c>
      <c r="G19" s="66" t="n">
        <f aca="false">F23</f>
        <v>8271.13231081458</v>
      </c>
      <c r="H19" s="66" t="n">
        <f aca="false">G23</f>
        <v>9584.26469016126</v>
      </c>
      <c r="I19" s="66" t="n">
        <f aca="false">H23</f>
        <v>10838.3061124373</v>
      </c>
      <c r="J19" s="66" t="n">
        <f aca="false">I23</f>
        <v>12035.915670711</v>
      </c>
      <c r="K19" s="66" t="n">
        <f aca="false">J23</f>
        <v>13179.6327988623</v>
      </c>
      <c r="L19" s="66" t="n">
        <f aca="false">K23</f>
        <v>14271.8826562469</v>
      </c>
      <c r="M19" s="66" t="n">
        <f aca="false">L23</f>
        <v>15314.9812700491</v>
      </c>
      <c r="N19" s="66" t="n">
        <f aca="false">M23</f>
        <v>16311.1404462302</v>
      </c>
      <c r="O19" s="66" t="n">
        <f aca="false">N23</f>
        <v>17262.4724594832</v>
      </c>
      <c r="P19" s="66" t="n">
        <f aca="false">O23</f>
        <v>18444.8611988064</v>
      </c>
      <c r="Q19" s="66" t="n">
        <f aca="false">P23</f>
        <v>19574.0424448602</v>
      </c>
      <c r="R19" s="66" t="n">
        <f aca="false">Q23</f>
        <v>20652.4105348415</v>
      </c>
      <c r="S19" s="66" t="n">
        <f aca="false">R23</f>
        <v>21682.2520607736</v>
      </c>
      <c r="T19" s="66" t="n">
        <f aca="false">S23</f>
        <v>22665.7507180388</v>
      </c>
      <c r="U19" s="66" t="n">
        <f aca="false">T23</f>
        <v>23604.991935727</v>
      </c>
      <c r="V19" s="66" t="n">
        <f aca="false">U23</f>
        <v>24501.9672986193</v>
      </c>
      <c r="W19" s="66" t="n">
        <f aca="false">V23</f>
        <v>25358.5787701814</v>
      </c>
      <c r="X19" s="66" t="n">
        <f aca="false">W23</f>
        <v>26176.6427255233</v>
      </c>
      <c r="Y19" s="66" t="n">
        <f aca="false">X23</f>
        <v>26957.8938028747</v>
      </c>
      <c r="Z19" s="66" t="n">
        <f aca="false">Y23</f>
        <v>27703.9885817454</v>
      </c>
      <c r="AA19" s="66" t="n">
        <f aca="false">Z23</f>
        <v>28416.5090955668</v>
      </c>
      <c r="AB19" s="66" t="n">
        <f aca="false">AA23</f>
        <v>29419.2861862663</v>
      </c>
      <c r="AC19" s="66" t="n">
        <f aca="false">AB23</f>
        <v>30376.9383078843</v>
      </c>
      <c r="AD19" s="66" t="n">
        <f aca="false">AC23</f>
        <v>31291.4960840295</v>
      </c>
      <c r="AE19" s="66" t="n">
        <f aca="false">AD23</f>
        <v>32164.8987602482</v>
      </c>
      <c r="AF19" s="66" t="n">
        <f aca="false">AE23</f>
        <v>32998.9983160371</v>
      </c>
      <c r="AG19" s="66" t="n">
        <f aca="false">AF23</f>
        <v>33795.5633918154</v>
      </c>
      <c r="AH19" s="66" t="n">
        <f aca="false">AG23</f>
        <v>34556.2830391837</v>
      </c>
      <c r="AI19" s="66" t="n">
        <f aca="false">AH23</f>
        <v>35282.7703024204</v>
      </c>
      <c r="AJ19" s="66" t="n">
        <f aca="false">AI23</f>
        <v>35976.5656388115</v>
      </c>
      <c r="AK19" s="66" t="n">
        <f aca="false">AJ23</f>
        <v>36639.140185065</v>
      </c>
      <c r="AL19" s="66" t="n">
        <f aca="false">AK23</f>
        <v>37271.8988767371</v>
      </c>
    </row>
    <row r="20" customFormat="false" ht="15" hidden="false" customHeight="false" outlineLevel="0" collapsed="false">
      <c r="A20" s="6" t="s">
        <v>378</v>
      </c>
      <c r="C20" s="66" t="n">
        <f aca="false">C12*C16</f>
        <v>1685.33333333333</v>
      </c>
      <c r="D20" s="66" t="n">
        <f aca="false">D12*D16</f>
        <v>1685.33333333333</v>
      </c>
      <c r="E20" s="66" t="n">
        <f aca="false">E12*E16</f>
        <v>1685.33333333333</v>
      </c>
      <c r="F20" s="66" t="n">
        <f aca="false">F12*F16</f>
        <v>1685.33333333333</v>
      </c>
      <c r="G20" s="66" t="n">
        <f aca="false">G12*G16</f>
        <v>1685.33333333333</v>
      </c>
      <c r="H20" s="66" t="n">
        <f aca="false">H12*H16</f>
        <v>1685.33333333333</v>
      </c>
      <c r="I20" s="66" t="n">
        <f aca="false">I12*I16</f>
        <v>1685.33333333333</v>
      </c>
      <c r="J20" s="66" t="n">
        <f aca="false">J12*J16</f>
        <v>1685.33333333333</v>
      </c>
      <c r="K20" s="66" t="n">
        <f aca="false">K12*K16</f>
        <v>1685.33333333333</v>
      </c>
      <c r="L20" s="66" t="n">
        <f aca="false">L12*L16</f>
        <v>1685.33333333333</v>
      </c>
      <c r="M20" s="66" t="n">
        <f aca="false">M12*M16</f>
        <v>1685.33333333333</v>
      </c>
      <c r="N20" s="66" t="n">
        <f aca="false">N12*N16</f>
        <v>1685.33333333333</v>
      </c>
      <c r="O20" s="66" t="n">
        <f aca="false">O12*O16</f>
        <v>1959.2</v>
      </c>
      <c r="P20" s="66" t="n">
        <f aca="false">P12*P16</f>
        <v>1959.2</v>
      </c>
      <c r="Q20" s="66" t="n">
        <f aca="false">Q12*Q16</f>
        <v>1959.2</v>
      </c>
      <c r="R20" s="66" t="n">
        <f aca="false">R12*R16</f>
        <v>1959.2</v>
      </c>
      <c r="S20" s="66" t="n">
        <f aca="false">S12*S16</f>
        <v>1959.2</v>
      </c>
      <c r="T20" s="66" t="n">
        <f aca="false">T12*T16</f>
        <v>1959.2</v>
      </c>
      <c r="U20" s="66" t="n">
        <f aca="false">U12*U16</f>
        <v>1959.2</v>
      </c>
      <c r="V20" s="66" t="n">
        <f aca="false">V12*V16</f>
        <v>1959.2</v>
      </c>
      <c r="W20" s="66" t="n">
        <f aca="false">W12*W16</f>
        <v>1959.2</v>
      </c>
      <c r="X20" s="66" t="n">
        <f aca="false">X12*X16</f>
        <v>1959.2</v>
      </c>
      <c r="Y20" s="66" t="n">
        <f aca="false">Y12*Y16</f>
        <v>1959.2</v>
      </c>
      <c r="Z20" s="66" t="n">
        <f aca="false">Z12*Z16</f>
        <v>1959.2</v>
      </c>
      <c r="AA20" s="66" t="n">
        <f aca="false">AA12*AA16</f>
        <v>2281.52</v>
      </c>
      <c r="AB20" s="66" t="n">
        <f aca="false">AB12*AB16</f>
        <v>2281.52</v>
      </c>
      <c r="AC20" s="66" t="n">
        <f aca="false">AC12*AC16</f>
        <v>2281.52</v>
      </c>
      <c r="AD20" s="66" t="n">
        <f aca="false">AD12*AD16</f>
        <v>2281.52</v>
      </c>
      <c r="AE20" s="66" t="n">
        <f aca="false">AE12*AE16</f>
        <v>2281.52</v>
      </c>
      <c r="AF20" s="66" t="n">
        <f aca="false">AF12*AF16</f>
        <v>2281.52</v>
      </c>
      <c r="AG20" s="66" t="n">
        <f aca="false">AG12*AG16</f>
        <v>2281.52</v>
      </c>
      <c r="AH20" s="66" t="n">
        <f aca="false">AH12*AH16</f>
        <v>2281.52</v>
      </c>
      <c r="AI20" s="66" t="n">
        <f aca="false">AI12*AI16</f>
        <v>2281.52</v>
      </c>
      <c r="AJ20" s="66" t="n">
        <f aca="false">AJ12*AJ16</f>
        <v>2281.52</v>
      </c>
      <c r="AK20" s="66" t="n">
        <f aca="false">AK12*AK16</f>
        <v>2281.52</v>
      </c>
      <c r="AL20" s="66" t="n">
        <f aca="false">AL12*AL16</f>
        <v>2281.52</v>
      </c>
    </row>
    <row r="21" customFormat="false" ht="15" hidden="false" customHeight="false" outlineLevel="0" collapsed="false">
      <c r="A21" s="6" t="s">
        <v>379</v>
      </c>
      <c r="C21" s="66" t="n">
        <f aca="false">C19*Inputs!$B$11</f>
        <v>0</v>
      </c>
      <c r="D21" s="66" t="n">
        <f aca="false">D19*Inputs!$B$11</f>
        <v>0</v>
      </c>
      <c r="E21" s="66" t="n">
        <f aca="false">E19*Inputs!$B$11</f>
        <v>0</v>
      </c>
      <c r="F21" s="66" t="n">
        <f aca="false">F19*Inputs!$B$11</f>
        <v>0</v>
      </c>
      <c r="G21" s="66" t="n">
        <f aca="false">G19*Inputs!$B$11</f>
        <v>0</v>
      </c>
      <c r="H21" s="66" t="n">
        <f aca="false">H19*Inputs!$B$11</f>
        <v>0</v>
      </c>
      <c r="I21" s="66" t="n">
        <f aca="false">I19*Inputs!$B$11</f>
        <v>0</v>
      </c>
      <c r="J21" s="66" t="n">
        <f aca="false">J19*Inputs!$B$11</f>
        <v>0</v>
      </c>
      <c r="K21" s="66" t="n">
        <f aca="false">K19*Inputs!$B$11</f>
        <v>0</v>
      </c>
      <c r="L21" s="66" t="n">
        <f aca="false">L19*Inputs!$B$11</f>
        <v>0</v>
      </c>
      <c r="M21" s="66" t="n">
        <f aca="false">M19*Inputs!$B$11</f>
        <v>0</v>
      </c>
      <c r="N21" s="66" t="n">
        <f aca="false">N19*Inputs!$B$11</f>
        <v>0</v>
      </c>
      <c r="O21" s="66" t="n">
        <f aca="false">O19*Inputs!$B$11</f>
        <v>0</v>
      </c>
      <c r="P21" s="66" t="n">
        <f aca="false">P19*Inputs!$B$11</f>
        <v>0</v>
      </c>
      <c r="Q21" s="66" t="n">
        <f aca="false">Q19*Inputs!$B$11</f>
        <v>0</v>
      </c>
      <c r="R21" s="66" t="n">
        <f aca="false">R19*Inputs!$B$11</f>
        <v>0</v>
      </c>
      <c r="S21" s="66" t="n">
        <f aca="false">S19*Inputs!$B$11</f>
        <v>0</v>
      </c>
      <c r="T21" s="66" t="n">
        <f aca="false">T19*Inputs!$B$11</f>
        <v>0</v>
      </c>
      <c r="U21" s="66" t="n">
        <f aca="false">U19*Inputs!$B$11</f>
        <v>0</v>
      </c>
      <c r="V21" s="66" t="n">
        <f aca="false">V19*Inputs!$B$11</f>
        <v>0</v>
      </c>
      <c r="W21" s="66" t="n">
        <f aca="false">W19*Inputs!$B$11</f>
        <v>0</v>
      </c>
      <c r="X21" s="66" t="n">
        <f aca="false">X19*Inputs!$B$11</f>
        <v>0</v>
      </c>
      <c r="Y21" s="66" t="n">
        <f aca="false">Y19*Inputs!$B$11</f>
        <v>0</v>
      </c>
      <c r="Z21" s="66" t="n">
        <f aca="false">Z19*Inputs!$B$11</f>
        <v>0</v>
      </c>
      <c r="AA21" s="66" t="n">
        <f aca="false">AA19*Inputs!$B$11</f>
        <v>0</v>
      </c>
      <c r="AB21" s="66" t="n">
        <f aca="false">AB19*Inputs!$B$11</f>
        <v>0</v>
      </c>
      <c r="AC21" s="66" t="n">
        <f aca="false">AC19*Inputs!$B$11</f>
        <v>0</v>
      </c>
      <c r="AD21" s="66" t="n">
        <f aca="false">AD19*Inputs!$B$11</f>
        <v>0</v>
      </c>
      <c r="AE21" s="66" t="n">
        <f aca="false">AE19*Inputs!$B$11</f>
        <v>0</v>
      </c>
      <c r="AF21" s="66" t="n">
        <f aca="false">AF19*Inputs!$B$11</f>
        <v>0</v>
      </c>
      <c r="AG21" s="66" t="n">
        <f aca="false">AG19*Inputs!$B$11</f>
        <v>0</v>
      </c>
      <c r="AH21" s="66" t="n">
        <f aca="false">AH19*Inputs!$B$11</f>
        <v>0</v>
      </c>
      <c r="AI21" s="66" t="n">
        <f aca="false">AI19*Inputs!$B$11</f>
        <v>0</v>
      </c>
      <c r="AJ21" s="66" t="n">
        <f aca="false">AJ19*Inputs!$B$11</f>
        <v>0</v>
      </c>
      <c r="AK21" s="66" t="n">
        <f aca="false">AK19*Inputs!$B$11</f>
        <v>0</v>
      </c>
      <c r="AL21" s="66" t="n">
        <f aca="false">AL19*Inputs!$B$11</f>
        <v>0</v>
      </c>
    </row>
    <row r="22" customFormat="false" ht="15" hidden="false" customHeight="false" outlineLevel="0" collapsed="false">
      <c r="A22" s="6" t="s">
        <v>380</v>
      </c>
      <c r="C22" s="66" t="n">
        <f aca="false">-C19*Inputs!$B$10</f>
        <v>-106.65</v>
      </c>
      <c r="D22" s="66" t="n">
        <f aca="false">-D19*Inputs!$B$10</f>
        <v>-177.69075</v>
      </c>
      <c r="E22" s="66" t="n">
        <f aca="false">-E19*Inputs!$B$10</f>
        <v>-245.53466625</v>
      </c>
      <c r="F22" s="66" t="n">
        <f aca="false">-F19*Inputs!$B$10</f>
        <v>-310.32560626875</v>
      </c>
      <c r="G22" s="66" t="n">
        <f aca="false">-G19*Inputs!$B$10</f>
        <v>-372.200953986656</v>
      </c>
      <c r="H22" s="66" t="n">
        <f aca="false">-H19*Inputs!$B$10</f>
        <v>-431.291911057257</v>
      </c>
      <c r="I22" s="66" t="n">
        <f aca="false">-I19*Inputs!$B$10</f>
        <v>-487.72377505968</v>
      </c>
      <c r="J22" s="66" t="n">
        <f aca="false">-J19*Inputs!$B$10</f>
        <v>-541.616205181995</v>
      </c>
      <c r="K22" s="66" t="n">
        <f aca="false">-K19*Inputs!$B$10</f>
        <v>-593.083475948805</v>
      </c>
      <c r="L22" s="66" t="n">
        <f aca="false">-L19*Inputs!$B$10</f>
        <v>-642.234719531109</v>
      </c>
      <c r="M22" s="66" t="n">
        <f aca="false">-M19*Inputs!$B$10</f>
        <v>-689.174157152209</v>
      </c>
      <c r="N22" s="66" t="n">
        <f aca="false">-N19*Inputs!$B$10</f>
        <v>-734.00132008036</v>
      </c>
      <c r="O22" s="66" t="n">
        <f aca="false">-O19*Inputs!$B$10</f>
        <v>-776.811260676744</v>
      </c>
      <c r="P22" s="66" t="n">
        <f aca="false">-P19*Inputs!$B$10</f>
        <v>-830.01875394629</v>
      </c>
      <c r="Q22" s="66" t="n">
        <f aca="false">-Q19*Inputs!$B$10</f>
        <v>-880.831910018707</v>
      </c>
      <c r="R22" s="66" t="n">
        <f aca="false">-R19*Inputs!$B$10</f>
        <v>-929.358474067865</v>
      </c>
      <c r="S22" s="66" t="n">
        <f aca="false">-S19*Inputs!$B$10</f>
        <v>-975.701342734811</v>
      </c>
      <c r="T22" s="66" t="n">
        <f aca="false">-T19*Inputs!$B$10</f>
        <v>-1019.95878231174</v>
      </c>
      <c r="U22" s="66" t="n">
        <f aca="false">-U19*Inputs!$B$10</f>
        <v>-1062.22463710772</v>
      </c>
      <c r="V22" s="66" t="n">
        <f aca="false">-V19*Inputs!$B$10</f>
        <v>-1102.58852843787</v>
      </c>
      <c r="W22" s="66" t="n">
        <f aca="false">-W19*Inputs!$B$10</f>
        <v>-1141.13604465817</v>
      </c>
      <c r="X22" s="66" t="n">
        <f aca="false">-X19*Inputs!$B$10</f>
        <v>-1177.94892264855</v>
      </c>
      <c r="Y22" s="66" t="n">
        <f aca="false">-Y19*Inputs!$B$10</f>
        <v>-1213.10522112936</v>
      </c>
      <c r="Z22" s="66" t="n">
        <f aca="false">-Z19*Inputs!$B$10</f>
        <v>-1246.67948617854</v>
      </c>
      <c r="AA22" s="66" t="n">
        <f aca="false">-AA19*Inputs!$B$10</f>
        <v>-1278.74290930051</v>
      </c>
      <c r="AB22" s="66" t="n">
        <f aca="false">-AB19*Inputs!$B$10</f>
        <v>-1323.86787838198</v>
      </c>
      <c r="AC22" s="66" t="n">
        <f aca="false">-AC19*Inputs!$B$10</f>
        <v>-1366.9622238548</v>
      </c>
      <c r="AD22" s="66" t="n">
        <f aca="false">-AD19*Inputs!$B$10</f>
        <v>-1408.11732378133</v>
      </c>
      <c r="AE22" s="66" t="n">
        <f aca="false">-AE19*Inputs!$B$10</f>
        <v>-1447.42044421117</v>
      </c>
      <c r="AF22" s="66" t="n">
        <f aca="false">-AF19*Inputs!$B$10</f>
        <v>-1484.95492422167</v>
      </c>
      <c r="AG22" s="66" t="n">
        <f aca="false">-AG19*Inputs!$B$10</f>
        <v>-1520.80035263169</v>
      </c>
      <c r="AH22" s="66" t="n">
        <f aca="false">-AH19*Inputs!$B$10</f>
        <v>-1555.03273676327</v>
      </c>
      <c r="AI22" s="66" t="n">
        <f aca="false">-AI19*Inputs!$B$10</f>
        <v>-1587.72466360892</v>
      </c>
      <c r="AJ22" s="66" t="n">
        <f aca="false">-AJ19*Inputs!$B$10</f>
        <v>-1618.94545374652</v>
      </c>
      <c r="AK22" s="66" t="n">
        <f aca="false">-AK19*Inputs!$B$10</f>
        <v>-1648.76130832792</v>
      </c>
      <c r="AL22" s="66" t="n">
        <f aca="false">-AL19*Inputs!$B$10</f>
        <v>-1677.23544945317</v>
      </c>
    </row>
    <row r="23" customFormat="false" ht="15" hidden="false" customHeight="false" outlineLevel="0" collapsed="false">
      <c r="A23" s="111" t="s">
        <v>381</v>
      </c>
      <c r="C23" s="67" t="n">
        <f aca="false">C19+C20+C21+C22</f>
        <v>3948.68333333333</v>
      </c>
      <c r="D23" s="67" t="n">
        <f aca="false">D19+D20+D21+D22</f>
        <v>5456.32591666667</v>
      </c>
      <c r="E23" s="67" t="n">
        <f aca="false">E19+E20+E21+E22</f>
        <v>6896.12458375</v>
      </c>
      <c r="F23" s="67" t="n">
        <f aca="false">F19+F20+F21+F22</f>
        <v>8271.13231081458</v>
      </c>
      <c r="G23" s="67" t="n">
        <f aca="false">G19+G20+G21+G22</f>
        <v>9584.26469016126</v>
      </c>
      <c r="H23" s="67" t="n">
        <f aca="false">H19+H20+H21+H22</f>
        <v>10838.3061124373</v>
      </c>
      <c r="I23" s="67" t="n">
        <f aca="false">I19+I20+I21+I22</f>
        <v>12035.915670711</v>
      </c>
      <c r="J23" s="67" t="n">
        <f aca="false">J19+J20+J21+J22</f>
        <v>13179.6327988623</v>
      </c>
      <c r="K23" s="67" t="n">
        <f aca="false">K19+K20+K21+K22</f>
        <v>14271.8826562469</v>
      </c>
      <c r="L23" s="67" t="n">
        <f aca="false">L19+L20+L21+L22</f>
        <v>15314.9812700491</v>
      </c>
      <c r="M23" s="67" t="n">
        <f aca="false">M19+M20+M21+M22</f>
        <v>16311.1404462302</v>
      </c>
      <c r="N23" s="67" t="n">
        <f aca="false">N19+N20+N21+N22</f>
        <v>17262.4724594832</v>
      </c>
      <c r="O23" s="67" t="n">
        <f aca="false">O19+O20+O21+O22</f>
        <v>18444.8611988064</v>
      </c>
      <c r="P23" s="67" t="n">
        <f aca="false">P19+P20+P21+P22</f>
        <v>19574.0424448602</v>
      </c>
      <c r="Q23" s="67" t="n">
        <f aca="false">Q19+Q20+Q21+Q22</f>
        <v>20652.4105348415</v>
      </c>
      <c r="R23" s="67" t="n">
        <f aca="false">R19+R20+R21+R22</f>
        <v>21682.2520607736</v>
      </c>
      <c r="S23" s="67" t="n">
        <f aca="false">S19+S20+S21+S22</f>
        <v>22665.7507180388</v>
      </c>
      <c r="T23" s="67" t="n">
        <f aca="false">T19+T20+T21+T22</f>
        <v>23604.991935727</v>
      </c>
      <c r="U23" s="67" t="n">
        <f aca="false">U19+U20+U21+U22</f>
        <v>24501.9672986193</v>
      </c>
      <c r="V23" s="67" t="n">
        <f aca="false">V19+V20+V21+V22</f>
        <v>25358.5787701814</v>
      </c>
      <c r="W23" s="67" t="n">
        <f aca="false">W19+W20+W21+W22</f>
        <v>26176.6427255233</v>
      </c>
      <c r="X23" s="67" t="n">
        <f aca="false">X19+X20+X21+X22</f>
        <v>26957.8938028747</v>
      </c>
      <c r="Y23" s="67" t="n">
        <f aca="false">Y19+Y20+Y21+Y22</f>
        <v>27703.9885817454</v>
      </c>
      <c r="Z23" s="67" t="n">
        <f aca="false">Z19+Z20+Z21+Z22</f>
        <v>28416.5090955668</v>
      </c>
      <c r="AA23" s="67" t="n">
        <f aca="false">AA19+AA20+AA21+AA22</f>
        <v>29419.2861862663</v>
      </c>
      <c r="AB23" s="67" t="n">
        <f aca="false">AB19+AB20+AB21+AB22</f>
        <v>30376.9383078843</v>
      </c>
      <c r="AC23" s="67" t="n">
        <f aca="false">AC19+AC20+AC21+AC22</f>
        <v>31291.4960840295</v>
      </c>
      <c r="AD23" s="67" t="n">
        <f aca="false">AD19+AD20+AD21+AD22</f>
        <v>32164.8987602482</v>
      </c>
      <c r="AE23" s="67" t="n">
        <f aca="false">AE19+AE20+AE21+AE22</f>
        <v>32998.9983160371</v>
      </c>
      <c r="AF23" s="67" t="n">
        <f aca="false">AF19+AF20+AF21+AF22</f>
        <v>33795.5633918154</v>
      </c>
      <c r="AG23" s="67" t="n">
        <f aca="false">AG19+AG20+AG21+AG22</f>
        <v>34556.2830391837</v>
      </c>
      <c r="AH23" s="67" t="n">
        <f aca="false">AH19+AH20+AH21+AH22</f>
        <v>35282.7703024204</v>
      </c>
      <c r="AI23" s="67" t="n">
        <f aca="false">AI19+AI20+AI21+AI22</f>
        <v>35976.5656388115</v>
      </c>
      <c r="AJ23" s="67" t="n">
        <f aca="false">AJ19+AJ20+AJ21+AJ22</f>
        <v>36639.140185065</v>
      </c>
      <c r="AK23" s="67" t="n">
        <f aca="false">AK19+AK20+AK21+AK22</f>
        <v>37271.8988767371</v>
      </c>
      <c r="AL23" s="67" t="n">
        <f aca="false">AL19+AL20+AL21+AL22</f>
        <v>37876.1834272839</v>
      </c>
    </row>
    <row r="25" customFormat="false" ht="15.75" hidden="false" customHeight="true" outlineLevel="0" collapsed="false">
      <c r="A25" s="7" t="s">
        <v>382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111" t="s">
        <v>383</v>
      </c>
      <c r="C26" s="67" t="n">
        <f aca="false">(C19+C23)/2*1</f>
        <v>3159.34166666667</v>
      </c>
      <c r="D26" s="67" t="n">
        <f aca="false">(D19+D23)/2*1</f>
        <v>4702.504625</v>
      </c>
      <c r="E26" s="67" t="n">
        <f aca="false">(E19+E23)/2*1</f>
        <v>6176.22525020833</v>
      </c>
      <c r="F26" s="67" t="n">
        <f aca="false">(F19+F23)/2*1</f>
        <v>7583.62844728229</v>
      </c>
      <c r="G26" s="67" t="n">
        <f aca="false">(G19+G23)/2*1</f>
        <v>8927.69850048792</v>
      </c>
      <c r="H26" s="67" t="n">
        <f aca="false">(H19+H23)/2*1</f>
        <v>10211.2854012993</v>
      </c>
      <c r="I26" s="67" t="n">
        <f aca="false">(I19+I23)/2*1</f>
        <v>11437.1108915742</v>
      </c>
      <c r="J26" s="67" t="n">
        <f aca="false">(J19+J23)/2*1</f>
        <v>12607.7742347867</v>
      </c>
      <c r="K26" s="67" t="n">
        <f aca="false">(K19+K23)/2*1</f>
        <v>13725.7577275546</v>
      </c>
      <c r="L26" s="67" t="n">
        <f aca="false">(L19+L23)/2*1</f>
        <v>14793.431963148</v>
      </c>
      <c r="M26" s="67" t="n">
        <f aca="false">(M19+M23)/2*1</f>
        <v>15813.0608581397</v>
      </c>
      <c r="N26" s="67" t="n">
        <f aca="false">(N19+N23)/2*1</f>
        <v>16786.8064528567</v>
      </c>
      <c r="O26" s="67" t="n">
        <f aca="false">(O19+O23)/2*1</f>
        <v>17853.6668291448</v>
      </c>
      <c r="P26" s="67" t="n">
        <f aca="false">(P19+P23)/2*1</f>
        <v>19009.4518218333</v>
      </c>
      <c r="Q26" s="67" t="n">
        <f aca="false">(Q19+Q23)/2*1</f>
        <v>20113.2264898508</v>
      </c>
      <c r="R26" s="67" t="n">
        <f aca="false">(R19+R23)/2*1</f>
        <v>21167.3312978075</v>
      </c>
      <c r="S26" s="67" t="n">
        <f aca="false">(S19+S23)/2*1</f>
        <v>22174.0013894062</v>
      </c>
      <c r="T26" s="67" t="n">
        <f aca="false">(T19+T23)/2*1</f>
        <v>23135.3713268829</v>
      </c>
      <c r="U26" s="67" t="n">
        <f aca="false">(U19+U23)/2*1</f>
        <v>24053.4796171732</v>
      </c>
      <c r="V26" s="67" t="n">
        <f aca="false">(V19+V23)/2*1</f>
        <v>24930.2730344004</v>
      </c>
      <c r="W26" s="67" t="n">
        <f aca="false">(W19+W23)/2*1</f>
        <v>25767.6107478524</v>
      </c>
      <c r="X26" s="67" t="n">
        <f aca="false">(X19+X23)/2*1</f>
        <v>26567.268264199</v>
      </c>
      <c r="Y26" s="67" t="n">
        <f aca="false">(Y19+Y23)/2*1</f>
        <v>27330.9411923101</v>
      </c>
      <c r="Z26" s="67" t="n">
        <f aca="false">(Z19+Z23)/2*1</f>
        <v>28060.2488386561</v>
      </c>
      <c r="AA26" s="67" t="n">
        <f aca="false">(AA19+AA23)/2*1</f>
        <v>28917.8976409166</v>
      </c>
      <c r="AB26" s="67" t="n">
        <f aca="false">(AB19+AB23)/2*1</f>
        <v>29898.1122470753</v>
      </c>
      <c r="AC26" s="67" t="n">
        <f aca="false">(AC19+AC23)/2*1</f>
        <v>30834.2171959569</v>
      </c>
      <c r="AD26" s="67" t="n">
        <f aca="false">(AD19+AD23)/2*1</f>
        <v>31728.1974221389</v>
      </c>
      <c r="AE26" s="67" t="n">
        <f aca="false">(AE19+AE23)/2*1</f>
        <v>32581.9485381426</v>
      </c>
      <c r="AF26" s="67" t="n">
        <f aca="false">(AF19+AF23)/2*1</f>
        <v>33397.2808539262</v>
      </c>
      <c r="AG26" s="67" t="n">
        <f aca="false">(AG19+AG23)/2*1</f>
        <v>34175.9232154995</v>
      </c>
      <c r="AH26" s="67" t="n">
        <f aca="false">(AH19+AH23)/2*1</f>
        <v>34919.5266708021</v>
      </c>
      <c r="AI26" s="67" t="n">
        <f aca="false">(AI19+AI23)/2*1</f>
        <v>35629.667970616</v>
      </c>
      <c r="AJ26" s="67" t="n">
        <f aca="false">(AJ19+AJ23)/2*1</f>
        <v>36307.8529119382</v>
      </c>
      <c r="AK26" s="67" t="n">
        <f aca="false">(AK19+AK23)/2*1</f>
        <v>36955.519530901</v>
      </c>
      <c r="AL26" s="67" t="n">
        <f aca="false">(AL19+AL23)/2*1</f>
        <v>37574.0411520105</v>
      </c>
    </row>
    <row r="27" customFormat="false" ht="15" hidden="false" customHeight="false" outlineLevel="0" collapsed="false">
      <c r="A27" s="6" t="s">
        <v>75</v>
      </c>
      <c r="C27" s="66" t="n">
        <f aca="false">-(C26*Inputs!$B$18+(C13+C15)/2*Inputs!$B$19*1)</f>
        <v>-499.096</v>
      </c>
      <c r="D27" s="66" t="n">
        <f aca="false">-(D26*Inputs!$B$18+(D13+D15)/2*Inputs!$B$19*1)</f>
        <v>-742.87668</v>
      </c>
      <c r="E27" s="66" t="n">
        <f aca="false">-(E26*Inputs!$B$18+(E13+E15)/2*Inputs!$B$19*1)</f>
        <v>-975.6872294</v>
      </c>
      <c r="F27" s="66" t="n">
        <f aca="false">-(F26*Inputs!$B$18+(F13+F15)/2*Inputs!$B$19*1)</f>
        <v>-1198.021304077</v>
      </c>
      <c r="G27" s="66" t="n">
        <f aca="false">-(G26*Inputs!$B$18+(G13+G15)/2*Inputs!$B$19*1)</f>
        <v>-1410.35034539354</v>
      </c>
      <c r="H27" s="66" t="n">
        <f aca="false">-(H26*Inputs!$B$18+(H13+H15)/2*Inputs!$B$19*1)</f>
        <v>-1613.12457985083</v>
      </c>
      <c r="I27" s="66" t="n">
        <f aca="false">-(I26*Inputs!$B$18+(I13+I15)/2*Inputs!$B$19*1)</f>
        <v>-1806.77397375754</v>
      </c>
      <c r="J27" s="66" t="n">
        <f aca="false">-(J26*Inputs!$B$18+(J13+J15)/2*Inputs!$B$19*1)</f>
        <v>-1991.70914493845</v>
      </c>
      <c r="K27" s="66" t="n">
        <f aca="false">-(K26*Inputs!$B$18+(K13+K15)/2*Inputs!$B$19*1)</f>
        <v>-2168.32223341622</v>
      </c>
      <c r="L27" s="66" t="n">
        <f aca="false">-(L26*Inputs!$B$18+(L13+L15)/2*Inputs!$B$19*1)</f>
        <v>-2336.98773291249</v>
      </c>
      <c r="M27" s="66" t="n">
        <f aca="false">-(M26*Inputs!$B$18+(M13+M15)/2*Inputs!$B$19*1)</f>
        <v>-2498.06328493143</v>
      </c>
      <c r="N27" s="66" t="n">
        <f aca="false">-(N26*Inputs!$B$18+(N13+N15)/2*Inputs!$B$19*1)</f>
        <v>-2651.89043710951</v>
      </c>
      <c r="O27" s="66" t="n">
        <f aca="false">-(O26*Inputs!$B$18+(O13+O15)/2*Inputs!$B$19*1)</f>
        <v>-2820.42736743959</v>
      </c>
      <c r="P27" s="66" t="n">
        <f aca="false">-(P26*Inputs!$B$18+(P13+P15)/2*Inputs!$B$19*1)</f>
        <v>-3003.01213590481</v>
      </c>
      <c r="Q27" s="66" t="n">
        <f aca="false">-(Q26*Inputs!$B$18+(Q13+Q15)/2*Inputs!$B$19*1)</f>
        <v>-3177.38058978909</v>
      </c>
      <c r="R27" s="66" t="n">
        <f aca="false">-(R26*Inputs!$B$18+(R13+R15)/2*Inputs!$B$19*1)</f>
        <v>-3343.90246324858</v>
      </c>
      <c r="S27" s="66" t="n">
        <f aca="false">-(S26*Inputs!$B$18+(S13+S15)/2*Inputs!$B$19*1)</f>
        <v>-3502.93085240239</v>
      </c>
      <c r="T27" s="66" t="n">
        <f aca="false">-(T26*Inputs!$B$18+(T13+T15)/2*Inputs!$B$19*1)</f>
        <v>-3654.80296404429</v>
      </c>
      <c r="U27" s="66" t="n">
        <f aca="false">-(U26*Inputs!$B$18+(U13+U15)/2*Inputs!$B$19*1)</f>
        <v>-3799.84083066229</v>
      </c>
      <c r="V27" s="66" t="n">
        <f aca="false">-(V26*Inputs!$B$18+(V13+V15)/2*Inputs!$B$19*1)</f>
        <v>-3938.35199328249</v>
      </c>
      <c r="W27" s="66" t="n">
        <f aca="false">-(W26*Inputs!$B$18+(W13+W15)/2*Inputs!$B$19*1)</f>
        <v>-4070.63015358478</v>
      </c>
      <c r="X27" s="66" t="n">
        <f aca="false">-(X26*Inputs!$B$18+(X13+X15)/2*Inputs!$B$19*1)</f>
        <v>-4196.95579667346</v>
      </c>
      <c r="Y27" s="66" t="n">
        <f aca="false">-(Y26*Inputs!$B$18+(Y13+Y15)/2*Inputs!$B$19*1)</f>
        <v>-4317.59678582316</v>
      </c>
      <c r="Z27" s="66" t="n">
        <f aca="false">-(Z26*Inputs!$B$18+(Z13+Z15)/2*Inputs!$B$19*1)</f>
        <v>-4432.80893046112</v>
      </c>
      <c r="AA27" s="66" t="n">
        <f aca="false">-(AA26*Inputs!$B$18+(AA13+AA15)/2*Inputs!$B$19*1)</f>
        <v>-4568.29572859037</v>
      </c>
      <c r="AB27" s="66" t="n">
        <f aca="false">-(AB26*Inputs!$B$18+(AB13+AB15)/2*Inputs!$B$19*1)</f>
        <v>-4723.1448208038</v>
      </c>
      <c r="AC27" s="66" t="n">
        <f aca="false">-(AC26*Inputs!$B$18+(AC13+AC15)/2*Inputs!$B$19*1)</f>
        <v>-4871.02570386763</v>
      </c>
      <c r="AD27" s="66" t="n">
        <f aca="false">-(AD26*Inputs!$B$18+(AD13+AD15)/2*Inputs!$B$19*1)</f>
        <v>-5012.25194719359</v>
      </c>
      <c r="AE27" s="66" t="n">
        <f aca="false">-(AE26*Inputs!$B$18+(AE13+AE15)/2*Inputs!$B$19*1)</f>
        <v>-5147.12300956987</v>
      </c>
      <c r="AF27" s="66" t="n">
        <f aca="false">-(AF26*Inputs!$B$18+(AF13+AF15)/2*Inputs!$B$19*1)</f>
        <v>-5275.92487413923</v>
      </c>
      <c r="AG27" s="66" t="n">
        <f aca="false">-(AG26*Inputs!$B$18+(AG13+AG15)/2*Inputs!$B$19*1)</f>
        <v>-5398.93065480296</v>
      </c>
      <c r="AH27" s="66" t="n">
        <f aca="false">-(AH26*Inputs!$B$18+(AH13+AH15)/2*Inputs!$B$19*1)</f>
        <v>-5516.40117533683</v>
      </c>
      <c r="AI27" s="66" t="n">
        <f aca="false">-(AI26*Inputs!$B$18+(AI13+AI15)/2*Inputs!$B$19*1)</f>
        <v>-5628.58552244667</v>
      </c>
      <c r="AJ27" s="66" t="n">
        <f aca="false">-(AJ26*Inputs!$B$18+(AJ13+AJ15)/2*Inputs!$B$19*1)</f>
        <v>-5735.72157393657</v>
      </c>
      <c r="AK27" s="66" t="n">
        <f aca="false">-(AK26*Inputs!$B$18+(AK13+AK15)/2*Inputs!$B$19*1)</f>
        <v>-5838.03650310943</v>
      </c>
      <c r="AL27" s="66" t="n">
        <f aca="false">-(AL26*Inputs!$B$18+(AL13+AL15)/2*Inputs!$B$19*1)</f>
        <v>-5935.7472604695</v>
      </c>
    </row>
    <row r="28" customFormat="false" ht="15" hidden="false" customHeight="false" outlineLevel="0" collapsed="false">
      <c r="A28" s="111" t="s">
        <v>45</v>
      </c>
      <c r="C28" s="67" t="n">
        <f aca="false">C26+C27</f>
        <v>2660.24566666667</v>
      </c>
      <c r="D28" s="67" t="n">
        <f aca="false">D26+D27</f>
        <v>3959.627945</v>
      </c>
      <c r="E28" s="67" t="n">
        <f aca="false">E26+E27</f>
        <v>5200.53802080833</v>
      </c>
      <c r="F28" s="67" t="n">
        <f aca="false">F26+F27</f>
        <v>6385.60714320529</v>
      </c>
      <c r="G28" s="67" t="n">
        <f aca="false">G26+G27</f>
        <v>7517.34815509439</v>
      </c>
      <c r="H28" s="67" t="n">
        <f aca="false">H26+H27</f>
        <v>8598.16082144848</v>
      </c>
      <c r="I28" s="67" t="n">
        <f aca="false">I26+I27</f>
        <v>9630.33691781663</v>
      </c>
      <c r="J28" s="67" t="n">
        <f aca="false">J26+J27</f>
        <v>10616.0650898482</v>
      </c>
      <c r="K28" s="67" t="n">
        <f aca="false">K26+K27</f>
        <v>11557.4354941384</v>
      </c>
      <c r="L28" s="67" t="n">
        <f aca="false">L26+L27</f>
        <v>12456.4442302355</v>
      </c>
      <c r="M28" s="67" t="n">
        <f aca="false">M26+M27</f>
        <v>13314.9975732082</v>
      </c>
      <c r="N28" s="67" t="n">
        <f aca="false">N26+N27</f>
        <v>14134.9160157472</v>
      </c>
      <c r="O28" s="67" t="n">
        <f aca="false">O26+O27</f>
        <v>15033.2394617052</v>
      </c>
      <c r="P28" s="67" t="n">
        <f aca="false">P26+P27</f>
        <v>16006.4396859285</v>
      </c>
      <c r="Q28" s="67" t="n">
        <f aca="false">Q26+Q27</f>
        <v>16935.8459000617</v>
      </c>
      <c r="R28" s="67" t="n">
        <f aca="false">R26+R27</f>
        <v>17823.4288345589</v>
      </c>
      <c r="S28" s="67" t="n">
        <f aca="false">S26+S27</f>
        <v>18671.0705370038</v>
      </c>
      <c r="T28" s="67" t="n">
        <f aca="false">T26+T27</f>
        <v>19480.5683628386</v>
      </c>
      <c r="U28" s="67" t="n">
        <f aca="false">U26+U27</f>
        <v>20253.6387865109</v>
      </c>
      <c r="V28" s="67" t="n">
        <f aca="false">V26+V27</f>
        <v>20991.9210411179</v>
      </c>
      <c r="W28" s="67" t="n">
        <f aca="false">W26+W27</f>
        <v>21696.9805942676</v>
      </c>
      <c r="X28" s="67" t="n">
        <f aca="false">X26+X27</f>
        <v>22370.3124675255</v>
      </c>
      <c r="Y28" s="67" t="n">
        <f aca="false">Y26+Y27</f>
        <v>23013.3444064869</v>
      </c>
      <c r="Z28" s="67" t="n">
        <f aca="false">Z26+Z27</f>
        <v>23627.439908195</v>
      </c>
      <c r="AA28" s="67" t="n">
        <f aca="false">AA26+AA27</f>
        <v>24349.6019123262</v>
      </c>
      <c r="AB28" s="67" t="n">
        <f aca="false">AB26+AB27</f>
        <v>25174.9674262715</v>
      </c>
      <c r="AC28" s="67" t="n">
        <f aca="false">AC26+AC27</f>
        <v>25963.1914920893</v>
      </c>
      <c r="AD28" s="67" t="n">
        <f aca="false">AD26+AD27</f>
        <v>26715.9454749453</v>
      </c>
      <c r="AE28" s="67" t="n">
        <f aca="false">AE26+AE27</f>
        <v>27434.8255285728</v>
      </c>
      <c r="AF28" s="67" t="n">
        <f aca="false">AF26+AF27</f>
        <v>28121.355979787</v>
      </c>
      <c r="AG28" s="67" t="n">
        <f aca="false">AG26+AG27</f>
        <v>28776.9925606966</v>
      </c>
      <c r="AH28" s="67" t="n">
        <f aca="false">AH26+AH27</f>
        <v>29403.1254954652</v>
      </c>
      <c r="AI28" s="67" t="n">
        <f aca="false">AI26+AI27</f>
        <v>30001.0824481693</v>
      </c>
      <c r="AJ28" s="67" t="n">
        <f aca="false">AJ26+AJ27</f>
        <v>30572.1313380017</v>
      </c>
      <c r="AK28" s="67" t="n">
        <f aca="false">AK26+AK27</f>
        <v>31117.4830277916</v>
      </c>
      <c r="AL28" s="67" t="n">
        <f aca="false">AL26+AL27</f>
        <v>31638.293891541</v>
      </c>
    </row>
    <row r="30" customFormat="false" ht="15.75" hidden="false" customHeight="true" outlineLevel="0" collapsed="false">
      <c r="A30" s="7" t="s">
        <v>47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customFormat="false" ht="15" hidden="false" customHeight="false" outlineLevel="0" collapsed="false">
      <c r="A31" s="6" t="s">
        <v>316</v>
      </c>
      <c r="C31" s="66" t="n">
        <f aca="false">C114</f>
        <v>-61750</v>
      </c>
      <c r="D31" s="66" t="n">
        <f aca="false">D114</f>
        <v>-61750</v>
      </c>
      <c r="E31" s="66" t="n">
        <f aca="false">E114</f>
        <v>-61750</v>
      </c>
      <c r="F31" s="66" t="n">
        <f aca="false">F114</f>
        <v>-61750</v>
      </c>
      <c r="G31" s="66" t="n">
        <f aca="false">G114</f>
        <v>-61750</v>
      </c>
      <c r="H31" s="66" t="n">
        <f aca="false">H114</f>
        <v>-61750</v>
      </c>
      <c r="I31" s="66" t="n">
        <f aca="false">I114</f>
        <v>-61750</v>
      </c>
      <c r="J31" s="66" t="n">
        <f aca="false">J114</f>
        <v>-61750</v>
      </c>
      <c r="K31" s="66" t="n">
        <f aca="false">K114</f>
        <v>-61750</v>
      </c>
      <c r="L31" s="66" t="n">
        <f aca="false">L114</f>
        <v>-61750</v>
      </c>
      <c r="M31" s="66" t="n">
        <f aca="false">M114</f>
        <v>-61750</v>
      </c>
      <c r="N31" s="66" t="n">
        <f aca="false">N114</f>
        <v>-61750</v>
      </c>
      <c r="O31" s="66" t="n">
        <f aca="false">O114</f>
        <v>-96330</v>
      </c>
      <c r="P31" s="66" t="n">
        <f aca="false">P114</f>
        <v>-96330</v>
      </c>
      <c r="Q31" s="66" t="n">
        <f aca="false">Q114</f>
        <v>-96330</v>
      </c>
      <c r="R31" s="66" t="n">
        <f aca="false">R114</f>
        <v>-96330</v>
      </c>
      <c r="S31" s="66" t="n">
        <f aca="false">S114</f>
        <v>-96330</v>
      </c>
      <c r="T31" s="66" t="n">
        <f aca="false">T114</f>
        <v>-96330</v>
      </c>
      <c r="U31" s="66" t="n">
        <f aca="false">U114</f>
        <v>-96330</v>
      </c>
      <c r="V31" s="66" t="n">
        <f aca="false">V114</f>
        <v>-96330</v>
      </c>
      <c r="W31" s="66" t="n">
        <f aca="false">W114</f>
        <v>-96330</v>
      </c>
      <c r="X31" s="66" t="n">
        <f aca="false">X114</f>
        <v>-96330</v>
      </c>
      <c r="Y31" s="66" t="n">
        <f aca="false">Y114</f>
        <v>-96330</v>
      </c>
      <c r="Z31" s="66" t="n">
        <f aca="false">Z114</f>
        <v>-96330</v>
      </c>
      <c r="AA31" s="66" t="n">
        <f aca="false">AA114</f>
        <v>-150274.8</v>
      </c>
      <c r="AB31" s="66" t="n">
        <f aca="false">AB114</f>
        <v>-150274.8</v>
      </c>
      <c r="AC31" s="66" t="n">
        <f aca="false">AC114</f>
        <v>-150274.8</v>
      </c>
      <c r="AD31" s="66" t="n">
        <f aca="false">AD114</f>
        <v>-150274.8</v>
      </c>
      <c r="AE31" s="66" t="n">
        <f aca="false">AE114</f>
        <v>-150274.8</v>
      </c>
      <c r="AF31" s="66" t="n">
        <f aca="false">AF114</f>
        <v>-150274.8</v>
      </c>
      <c r="AG31" s="66" t="n">
        <f aca="false">AG114</f>
        <v>-150274.8</v>
      </c>
      <c r="AH31" s="66" t="n">
        <f aca="false">AH114</f>
        <v>-150274.8</v>
      </c>
      <c r="AI31" s="66" t="n">
        <f aca="false">AI114</f>
        <v>-150274.8</v>
      </c>
      <c r="AJ31" s="66" t="n">
        <f aca="false">AJ114</f>
        <v>-150274.8</v>
      </c>
      <c r="AK31" s="66" t="n">
        <f aca="false">AK114</f>
        <v>-150274.8</v>
      </c>
      <c r="AL31" s="66" t="n">
        <f aca="false">AL114</f>
        <v>-150274.8</v>
      </c>
    </row>
    <row r="32" customFormat="false" ht="15" hidden="false" customHeight="false" outlineLevel="0" collapsed="false">
      <c r="A32" s="6" t="s">
        <v>317</v>
      </c>
      <c r="C32" s="66" t="n">
        <f aca="false">-Inputs!$B$14*(1+Inputs!$B$15)^(C$7-1)*1</f>
        <v>-8000</v>
      </c>
      <c r="D32" s="66" t="n">
        <f aca="false">-Inputs!$B$14*(1+Inputs!$B$15)^(D$7-1)*1</f>
        <v>-8000</v>
      </c>
      <c r="E32" s="66" t="n">
        <f aca="false">-Inputs!$B$14*(1+Inputs!$B$15)^(E$7-1)*1</f>
        <v>-8000</v>
      </c>
      <c r="F32" s="66" t="n">
        <f aca="false">-Inputs!$B$14*(1+Inputs!$B$15)^(F$7-1)*1</f>
        <v>-8000</v>
      </c>
      <c r="G32" s="66" t="n">
        <f aca="false">-Inputs!$B$14*(1+Inputs!$B$15)^(G$7-1)*1</f>
        <v>-8000</v>
      </c>
      <c r="H32" s="66" t="n">
        <f aca="false">-Inputs!$B$14*(1+Inputs!$B$15)^(H$7-1)*1</f>
        <v>-8000</v>
      </c>
      <c r="I32" s="66" t="n">
        <f aca="false">-Inputs!$B$14*(1+Inputs!$B$15)^(I$7-1)*1</f>
        <v>-8000</v>
      </c>
      <c r="J32" s="66" t="n">
        <f aca="false">-Inputs!$B$14*(1+Inputs!$B$15)^(J$7-1)*1</f>
        <v>-8000</v>
      </c>
      <c r="K32" s="66" t="n">
        <f aca="false">-Inputs!$B$14*(1+Inputs!$B$15)^(K$7-1)*1</f>
        <v>-8000</v>
      </c>
      <c r="L32" s="66" t="n">
        <f aca="false">-Inputs!$B$14*(1+Inputs!$B$15)^(L$7-1)*1</f>
        <v>-8000</v>
      </c>
      <c r="M32" s="66" t="n">
        <f aca="false">-Inputs!$B$14*(1+Inputs!$B$15)^(M$7-1)*1</f>
        <v>-8000</v>
      </c>
      <c r="N32" s="66" t="n">
        <f aca="false">-Inputs!$B$14*(1+Inputs!$B$15)^(N$7-1)*1</f>
        <v>-8000</v>
      </c>
      <c r="O32" s="66" t="n">
        <f aca="false">-Inputs!$B$14*(1+Inputs!$B$15)^(O$7-1)*1</f>
        <v>-9600</v>
      </c>
      <c r="P32" s="66" t="n">
        <f aca="false">-Inputs!$B$14*(1+Inputs!$B$15)^(P$7-1)*1</f>
        <v>-9600</v>
      </c>
      <c r="Q32" s="66" t="n">
        <f aca="false">-Inputs!$B$14*(1+Inputs!$B$15)^(Q$7-1)*1</f>
        <v>-9600</v>
      </c>
      <c r="R32" s="66" t="n">
        <f aca="false">-Inputs!$B$14*(1+Inputs!$B$15)^(R$7-1)*1</f>
        <v>-9600</v>
      </c>
      <c r="S32" s="66" t="n">
        <f aca="false">-Inputs!$B$14*(1+Inputs!$B$15)^(S$7-1)*1</f>
        <v>-9600</v>
      </c>
      <c r="T32" s="66" t="n">
        <f aca="false">-Inputs!$B$14*(1+Inputs!$B$15)^(T$7-1)*1</f>
        <v>-9600</v>
      </c>
      <c r="U32" s="66" t="n">
        <f aca="false">-Inputs!$B$14*(1+Inputs!$B$15)^(U$7-1)*1</f>
        <v>-9600</v>
      </c>
      <c r="V32" s="66" t="n">
        <f aca="false">-Inputs!$B$14*(1+Inputs!$B$15)^(V$7-1)*1</f>
        <v>-9600</v>
      </c>
      <c r="W32" s="66" t="n">
        <f aca="false">-Inputs!$B$14*(1+Inputs!$B$15)^(W$7-1)*1</f>
        <v>-9600</v>
      </c>
      <c r="X32" s="66" t="n">
        <f aca="false">-Inputs!$B$14*(1+Inputs!$B$15)^(X$7-1)*1</f>
        <v>-9600</v>
      </c>
      <c r="Y32" s="66" t="n">
        <f aca="false">-Inputs!$B$14*(1+Inputs!$B$15)^(Y$7-1)*1</f>
        <v>-9600</v>
      </c>
      <c r="Z32" s="66" t="n">
        <f aca="false">-Inputs!$B$14*(1+Inputs!$B$15)^(Z$7-1)*1</f>
        <v>-9600</v>
      </c>
      <c r="AA32" s="66" t="n">
        <f aca="false">-Inputs!$B$14*(1+Inputs!$B$15)^(AA$7-1)*1</f>
        <v>-11520</v>
      </c>
      <c r="AB32" s="66" t="n">
        <f aca="false">-Inputs!$B$14*(1+Inputs!$B$15)^(AB$7-1)*1</f>
        <v>-11520</v>
      </c>
      <c r="AC32" s="66" t="n">
        <f aca="false">-Inputs!$B$14*(1+Inputs!$B$15)^(AC$7-1)*1</f>
        <v>-11520</v>
      </c>
      <c r="AD32" s="66" t="n">
        <f aca="false">-Inputs!$B$14*(1+Inputs!$B$15)^(AD$7-1)*1</f>
        <v>-11520</v>
      </c>
      <c r="AE32" s="66" t="n">
        <f aca="false">-Inputs!$B$14*(1+Inputs!$B$15)^(AE$7-1)*1</f>
        <v>-11520</v>
      </c>
      <c r="AF32" s="66" t="n">
        <f aca="false">-Inputs!$B$14*(1+Inputs!$B$15)^(AF$7-1)*1</f>
        <v>-11520</v>
      </c>
      <c r="AG32" s="66" t="n">
        <f aca="false">-Inputs!$B$14*(1+Inputs!$B$15)^(AG$7-1)*1</f>
        <v>-11520</v>
      </c>
      <c r="AH32" s="66" t="n">
        <f aca="false">-Inputs!$B$14*(1+Inputs!$B$15)^(AH$7-1)*1</f>
        <v>-11520</v>
      </c>
      <c r="AI32" s="66" t="n">
        <f aca="false">-Inputs!$B$14*(1+Inputs!$B$15)^(AI$7-1)*1</f>
        <v>-11520</v>
      </c>
      <c r="AJ32" s="66" t="n">
        <f aca="false">-Inputs!$B$14*(1+Inputs!$B$15)^(AJ$7-1)*1</f>
        <v>-11520</v>
      </c>
      <c r="AK32" s="66" t="n">
        <f aca="false">-Inputs!$B$14*(1+Inputs!$B$15)^(AK$7-1)*1</f>
        <v>-11520</v>
      </c>
      <c r="AL32" s="66" t="n">
        <f aca="false">-Inputs!$B$14*(1+Inputs!$B$15)^(AL$7-1)*1</f>
        <v>-11520</v>
      </c>
    </row>
    <row r="33" customFormat="false" ht="15" hidden="false" customHeight="false" outlineLevel="0" collapsed="false">
      <c r="A33" s="6" t="s">
        <v>318</v>
      </c>
      <c r="C33" s="66" t="n">
        <f aca="false">-C107*Inputs!$B$20*1</f>
        <v>-900</v>
      </c>
      <c r="D33" s="66" t="n">
        <f aca="false">-D107*Inputs!$B$20*1</f>
        <v>-900</v>
      </c>
      <c r="E33" s="66" t="n">
        <f aca="false">-E107*Inputs!$B$20*1</f>
        <v>-900</v>
      </c>
      <c r="F33" s="66" t="n">
        <f aca="false">-F107*Inputs!$B$20*1</f>
        <v>-900</v>
      </c>
      <c r="G33" s="66" t="n">
        <f aca="false">-G107*Inputs!$B$20*1</f>
        <v>-900</v>
      </c>
      <c r="H33" s="66" t="n">
        <f aca="false">-H107*Inputs!$B$20*1</f>
        <v>-900</v>
      </c>
      <c r="I33" s="66" t="n">
        <f aca="false">-I107*Inputs!$B$20*1</f>
        <v>-900</v>
      </c>
      <c r="J33" s="66" t="n">
        <f aca="false">-J107*Inputs!$B$20*1</f>
        <v>-900</v>
      </c>
      <c r="K33" s="66" t="n">
        <f aca="false">-K107*Inputs!$B$20*1</f>
        <v>-900</v>
      </c>
      <c r="L33" s="66" t="n">
        <f aca="false">-L107*Inputs!$B$20*1</f>
        <v>-900</v>
      </c>
      <c r="M33" s="66" t="n">
        <f aca="false">-M107*Inputs!$B$20*1</f>
        <v>-900</v>
      </c>
      <c r="N33" s="66" t="n">
        <f aca="false">-N107*Inputs!$B$20*1</f>
        <v>-900</v>
      </c>
      <c r="O33" s="66" t="n">
        <f aca="false">-O107*Inputs!$B$20*1</f>
        <v>-1350</v>
      </c>
      <c r="P33" s="66" t="n">
        <f aca="false">-P107*Inputs!$B$20*1</f>
        <v>-1350</v>
      </c>
      <c r="Q33" s="66" t="n">
        <f aca="false">-Q107*Inputs!$B$20*1</f>
        <v>-1350</v>
      </c>
      <c r="R33" s="66" t="n">
        <f aca="false">-R107*Inputs!$B$20*1</f>
        <v>-1350</v>
      </c>
      <c r="S33" s="66" t="n">
        <f aca="false">-S107*Inputs!$B$20*1</f>
        <v>-1350</v>
      </c>
      <c r="T33" s="66" t="n">
        <f aca="false">-T107*Inputs!$B$20*1</f>
        <v>-1350</v>
      </c>
      <c r="U33" s="66" t="n">
        <f aca="false">-U107*Inputs!$B$20*1</f>
        <v>-1350</v>
      </c>
      <c r="V33" s="66" t="n">
        <f aca="false">-V107*Inputs!$B$20*1</f>
        <v>-1350</v>
      </c>
      <c r="W33" s="66" t="n">
        <f aca="false">-W107*Inputs!$B$20*1</f>
        <v>-1350</v>
      </c>
      <c r="X33" s="66" t="n">
        <f aca="false">-X107*Inputs!$B$20*1</f>
        <v>-1350</v>
      </c>
      <c r="Y33" s="66" t="n">
        <f aca="false">-Y107*Inputs!$B$20*1</f>
        <v>-1350</v>
      </c>
      <c r="Z33" s="66" t="n">
        <f aca="false">-Z107*Inputs!$B$20*1</f>
        <v>-1350</v>
      </c>
      <c r="AA33" s="66" t="n">
        <f aca="false">-AA107*Inputs!$B$20*1</f>
        <v>-2025</v>
      </c>
      <c r="AB33" s="66" t="n">
        <f aca="false">-AB107*Inputs!$B$20*1</f>
        <v>-2025</v>
      </c>
      <c r="AC33" s="66" t="n">
        <f aca="false">-AC107*Inputs!$B$20*1</f>
        <v>-2025</v>
      </c>
      <c r="AD33" s="66" t="n">
        <f aca="false">-AD107*Inputs!$B$20*1</f>
        <v>-2025</v>
      </c>
      <c r="AE33" s="66" t="n">
        <f aca="false">-AE107*Inputs!$B$20*1</f>
        <v>-2025</v>
      </c>
      <c r="AF33" s="66" t="n">
        <f aca="false">-AF107*Inputs!$B$20*1</f>
        <v>-2025</v>
      </c>
      <c r="AG33" s="66" t="n">
        <f aca="false">-AG107*Inputs!$B$20*1</f>
        <v>-2025</v>
      </c>
      <c r="AH33" s="66" t="n">
        <f aca="false">-AH107*Inputs!$B$20*1</f>
        <v>-2025</v>
      </c>
      <c r="AI33" s="66" t="n">
        <f aca="false">-AI107*Inputs!$B$20*1</f>
        <v>-2025</v>
      </c>
      <c r="AJ33" s="66" t="n">
        <f aca="false">-AJ107*Inputs!$B$20*1</f>
        <v>-2025</v>
      </c>
      <c r="AK33" s="66" t="n">
        <f aca="false">-AK107*Inputs!$B$20*1</f>
        <v>-2025</v>
      </c>
      <c r="AL33" s="66" t="n">
        <f aca="false">-AL107*Inputs!$B$20*1</f>
        <v>-2025</v>
      </c>
    </row>
    <row r="34" customFormat="false" ht="15" hidden="false" customHeight="false" outlineLevel="0" collapsed="false">
      <c r="A34" s="6" t="s">
        <v>319</v>
      </c>
      <c r="C34" s="66" t="n">
        <f aca="false">-Inputs!$B$21*1</f>
        <v>-1500</v>
      </c>
      <c r="D34" s="66" t="n">
        <f aca="false">-Inputs!$B$21*1</f>
        <v>-1500</v>
      </c>
      <c r="E34" s="66" t="n">
        <f aca="false">-Inputs!$B$21*1</f>
        <v>-1500</v>
      </c>
      <c r="F34" s="66" t="n">
        <f aca="false">-Inputs!$B$21*1</f>
        <v>-1500</v>
      </c>
      <c r="G34" s="66" t="n">
        <f aca="false">-Inputs!$B$21*1</f>
        <v>-1500</v>
      </c>
      <c r="H34" s="66" t="n">
        <f aca="false">-Inputs!$B$21*1</f>
        <v>-1500</v>
      </c>
      <c r="I34" s="66" t="n">
        <f aca="false">-Inputs!$B$21*1</f>
        <v>-1500</v>
      </c>
      <c r="J34" s="66" t="n">
        <f aca="false">-Inputs!$B$21*1</f>
        <v>-1500</v>
      </c>
      <c r="K34" s="66" t="n">
        <f aca="false">-Inputs!$B$21*1</f>
        <v>-1500</v>
      </c>
      <c r="L34" s="66" t="n">
        <f aca="false">-Inputs!$B$21*1</f>
        <v>-1500</v>
      </c>
      <c r="M34" s="66" t="n">
        <f aca="false">-Inputs!$B$21*1</f>
        <v>-1500</v>
      </c>
      <c r="N34" s="66" t="n">
        <f aca="false">-Inputs!$B$21*1</f>
        <v>-1500</v>
      </c>
      <c r="O34" s="66" t="n">
        <f aca="false">-Inputs!$B$21*1</f>
        <v>-1500</v>
      </c>
      <c r="P34" s="66" t="n">
        <f aca="false">-Inputs!$B$21*1</f>
        <v>-1500</v>
      </c>
      <c r="Q34" s="66" t="n">
        <f aca="false">-Inputs!$B$21*1</f>
        <v>-1500</v>
      </c>
      <c r="R34" s="66" t="n">
        <f aca="false">-Inputs!$B$21*1</f>
        <v>-1500</v>
      </c>
      <c r="S34" s="66" t="n">
        <f aca="false">-Inputs!$B$21*1</f>
        <v>-1500</v>
      </c>
      <c r="T34" s="66" t="n">
        <f aca="false">-Inputs!$B$21*1</f>
        <v>-1500</v>
      </c>
      <c r="U34" s="66" t="n">
        <f aca="false">-Inputs!$B$21*1</f>
        <v>-1500</v>
      </c>
      <c r="V34" s="66" t="n">
        <f aca="false">-Inputs!$B$21*1</f>
        <v>-1500</v>
      </c>
      <c r="W34" s="66" t="n">
        <f aca="false">-Inputs!$B$21*1</f>
        <v>-1500</v>
      </c>
      <c r="X34" s="66" t="n">
        <f aca="false">-Inputs!$B$21*1</f>
        <v>-1500</v>
      </c>
      <c r="Y34" s="66" t="n">
        <f aca="false">-Inputs!$B$21*1</f>
        <v>-1500</v>
      </c>
      <c r="Z34" s="66" t="n">
        <f aca="false">-Inputs!$B$21*1</f>
        <v>-1500</v>
      </c>
      <c r="AA34" s="66" t="n">
        <f aca="false">-Inputs!$B$21*1</f>
        <v>-1500</v>
      </c>
      <c r="AB34" s="66" t="n">
        <f aca="false">-Inputs!$B$21*1</f>
        <v>-1500</v>
      </c>
      <c r="AC34" s="66" t="n">
        <f aca="false">-Inputs!$B$21*1</f>
        <v>-1500</v>
      </c>
      <c r="AD34" s="66" t="n">
        <f aca="false">-Inputs!$B$21*1</f>
        <v>-1500</v>
      </c>
      <c r="AE34" s="66" t="n">
        <f aca="false">-Inputs!$B$21*1</f>
        <v>-1500</v>
      </c>
      <c r="AF34" s="66" t="n">
        <f aca="false">-Inputs!$B$21*1</f>
        <v>-1500</v>
      </c>
      <c r="AG34" s="66" t="n">
        <f aca="false">-Inputs!$B$21*1</f>
        <v>-1500</v>
      </c>
      <c r="AH34" s="66" t="n">
        <f aca="false">-Inputs!$B$21*1</f>
        <v>-1500</v>
      </c>
      <c r="AI34" s="66" t="n">
        <f aca="false">-Inputs!$B$21*1</f>
        <v>-1500</v>
      </c>
      <c r="AJ34" s="66" t="n">
        <f aca="false">-Inputs!$B$21*1</f>
        <v>-1500</v>
      </c>
      <c r="AK34" s="66" t="n">
        <f aca="false">-Inputs!$B$21*1</f>
        <v>-1500</v>
      </c>
      <c r="AL34" s="66" t="n">
        <f aca="false">-Inputs!$B$21*1</f>
        <v>-1500</v>
      </c>
    </row>
    <row r="35" customFormat="false" ht="15" hidden="false" customHeight="false" outlineLevel="0" collapsed="false">
      <c r="A35" s="6" t="s">
        <v>320</v>
      </c>
      <c r="C35" s="66" t="n">
        <f aca="false">-Inputs!$B$22*1</f>
        <v>-3000</v>
      </c>
      <c r="D35" s="66" t="n">
        <f aca="false">-Inputs!$B$22*1</f>
        <v>-3000</v>
      </c>
      <c r="E35" s="66" t="n">
        <f aca="false">-Inputs!$B$22*1</f>
        <v>-3000</v>
      </c>
      <c r="F35" s="66" t="n">
        <f aca="false">-Inputs!$B$22*1</f>
        <v>-3000</v>
      </c>
      <c r="G35" s="66" t="n">
        <f aca="false">-Inputs!$B$22*1</f>
        <v>-3000</v>
      </c>
      <c r="H35" s="66" t="n">
        <f aca="false">-Inputs!$B$22*1</f>
        <v>-3000</v>
      </c>
      <c r="I35" s="66" t="n">
        <f aca="false">-Inputs!$B$22*1</f>
        <v>-3000</v>
      </c>
      <c r="J35" s="66" t="n">
        <f aca="false">-Inputs!$B$22*1</f>
        <v>-3000</v>
      </c>
      <c r="K35" s="66" t="n">
        <f aca="false">-Inputs!$B$22*1</f>
        <v>-3000</v>
      </c>
      <c r="L35" s="66" t="n">
        <f aca="false">-Inputs!$B$22*1</f>
        <v>-3000</v>
      </c>
      <c r="M35" s="66" t="n">
        <f aca="false">-Inputs!$B$22*1</f>
        <v>-3000</v>
      </c>
      <c r="N35" s="66" t="n">
        <f aca="false">-Inputs!$B$22*1</f>
        <v>-3000</v>
      </c>
      <c r="O35" s="66" t="n">
        <f aca="false">-Inputs!$B$22*1</f>
        <v>-3000</v>
      </c>
      <c r="P35" s="66" t="n">
        <f aca="false">-Inputs!$B$22*1</f>
        <v>-3000</v>
      </c>
      <c r="Q35" s="66" t="n">
        <f aca="false">-Inputs!$B$22*1</f>
        <v>-3000</v>
      </c>
      <c r="R35" s="66" t="n">
        <f aca="false">-Inputs!$B$22*1</f>
        <v>-3000</v>
      </c>
      <c r="S35" s="66" t="n">
        <f aca="false">-Inputs!$B$22*1</f>
        <v>-3000</v>
      </c>
      <c r="T35" s="66" t="n">
        <f aca="false">-Inputs!$B$22*1</f>
        <v>-3000</v>
      </c>
      <c r="U35" s="66" t="n">
        <f aca="false">-Inputs!$B$22*1</f>
        <v>-3000</v>
      </c>
      <c r="V35" s="66" t="n">
        <f aca="false">-Inputs!$B$22*1</f>
        <v>-3000</v>
      </c>
      <c r="W35" s="66" t="n">
        <f aca="false">-Inputs!$B$22*1</f>
        <v>-3000</v>
      </c>
      <c r="X35" s="66" t="n">
        <f aca="false">-Inputs!$B$22*1</f>
        <v>-3000</v>
      </c>
      <c r="Y35" s="66" t="n">
        <f aca="false">-Inputs!$B$22*1</f>
        <v>-3000</v>
      </c>
      <c r="Z35" s="66" t="n">
        <f aca="false">-Inputs!$B$22*1</f>
        <v>-3000</v>
      </c>
      <c r="AA35" s="66" t="n">
        <f aca="false">-Inputs!$B$22*1</f>
        <v>-3000</v>
      </c>
      <c r="AB35" s="66" t="n">
        <f aca="false">-Inputs!$B$22*1</f>
        <v>-3000</v>
      </c>
      <c r="AC35" s="66" t="n">
        <f aca="false">-Inputs!$B$22*1</f>
        <v>-3000</v>
      </c>
      <c r="AD35" s="66" t="n">
        <f aca="false">-Inputs!$B$22*1</f>
        <v>-3000</v>
      </c>
      <c r="AE35" s="66" t="n">
        <f aca="false">-Inputs!$B$22*1</f>
        <v>-3000</v>
      </c>
      <c r="AF35" s="66" t="n">
        <f aca="false">-Inputs!$B$22*1</f>
        <v>-3000</v>
      </c>
      <c r="AG35" s="66" t="n">
        <f aca="false">-Inputs!$B$22*1</f>
        <v>-3000</v>
      </c>
      <c r="AH35" s="66" t="n">
        <f aca="false">-Inputs!$B$22*1</f>
        <v>-3000</v>
      </c>
      <c r="AI35" s="66" t="n">
        <f aca="false">-Inputs!$B$22*1</f>
        <v>-3000</v>
      </c>
      <c r="AJ35" s="66" t="n">
        <f aca="false">-Inputs!$B$22*1</f>
        <v>-3000</v>
      </c>
      <c r="AK35" s="66" t="n">
        <f aca="false">-Inputs!$B$22*1</f>
        <v>-3000</v>
      </c>
      <c r="AL35" s="66" t="n">
        <f aca="false">-Inputs!$B$22*1</f>
        <v>-3000</v>
      </c>
    </row>
    <row r="36" customFormat="false" ht="15" hidden="false" customHeight="false" outlineLevel="0" collapsed="false">
      <c r="A36" s="111" t="s">
        <v>76</v>
      </c>
      <c r="C36" s="67" t="n">
        <f aca="false">C31+C32+C33+C34+C35</f>
        <v>-75150</v>
      </c>
      <c r="D36" s="67" t="n">
        <f aca="false">D31+D32+D33+D34+D35</f>
        <v>-75150</v>
      </c>
      <c r="E36" s="67" t="n">
        <f aca="false">E31+E32+E33+E34+E35</f>
        <v>-75150</v>
      </c>
      <c r="F36" s="67" t="n">
        <f aca="false">F31+F32+F33+F34+F35</f>
        <v>-75150</v>
      </c>
      <c r="G36" s="67" t="n">
        <f aca="false">G31+G32+G33+G34+G35</f>
        <v>-75150</v>
      </c>
      <c r="H36" s="67" t="n">
        <f aca="false">H31+H32+H33+H34+H35</f>
        <v>-75150</v>
      </c>
      <c r="I36" s="67" t="n">
        <f aca="false">I31+I32+I33+I34+I35</f>
        <v>-75150</v>
      </c>
      <c r="J36" s="67" t="n">
        <f aca="false">J31+J32+J33+J34+J35</f>
        <v>-75150</v>
      </c>
      <c r="K36" s="67" t="n">
        <f aca="false">K31+K32+K33+K34+K35</f>
        <v>-75150</v>
      </c>
      <c r="L36" s="67" t="n">
        <f aca="false">L31+L32+L33+L34+L35</f>
        <v>-75150</v>
      </c>
      <c r="M36" s="67" t="n">
        <f aca="false">M31+M32+M33+M34+M35</f>
        <v>-75150</v>
      </c>
      <c r="N36" s="67" t="n">
        <f aca="false">N31+N32+N33+N34+N35</f>
        <v>-75150</v>
      </c>
      <c r="O36" s="67" t="n">
        <f aca="false">O31+O32+O33+O34+O35</f>
        <v>-111780</v>
      </c>
      <c r="P36" s="67" t="n">
        <f aca="false">P31+P32+P33+P34+P35</f>
        <v>-111780</v>
      </c>
      <c r="Q36" s="67" t="n">
        <f aca="false">Q31+Q32+Q33+Q34+Q35</f>
        <v>-111780</v>
      </c>
      <c r="R36" s="67" t="n">
        <f aca="false">R31+R32+R33+R34+R35</f>
        <v>-111780</v>
      </c>
      <c r="S36" s="67" t="n">
        <f aca="false">S31+S32+S33+S34+S35</f>
        <v>-111780</v>
      </c>
      <c r="T36" s="67" t="n">
        <f aca="false">T31+T32+T33+T34+T35</f>
        <v>-111780</v>
      </c>
      <c r="U36" s="67" t="n">
        <f aca="false">U31+U32+U33+U34+U35</f>
        <v>-111780</v>
      </c>
      <c r="V36" s="67" t="n">
        <f aca="false">V31+V32+V33+V34+V35</f>
        <v>-111780</v>
      </c>
      <c r="W36" s="67" t="n">
        <f aca="false">W31+W32+W33+W34+W35</f>
        <v>-111780</v>
      </c>
      <c r="X36" s="67" t="n">
        <f aca="false">X31+X32+X33+X34+X35</f>
        <v>-111780</v>
      </c>
      <c r="Y36" s="67" t="n">
        <f aca="false">Y31+Y32+Y33+Y34+Y35</f>
        <v>-111780</v>
      </c>
      <c r="Z36" s="67" t="n">
        <f aca="false">Z31+Z32+Z33+Z34+Z35</f>
        <v>-111780</v>
      </c>
      <c r="AA36" s="67" t="n">
        <f aca="false">AA31+AA32+AA33+AA34+AA35</f>
        <v>-168319.8</v>
      </c>
      <c r="AB36" s="67" t="n">
        <f aca="false">AB31+AB32+AB33+AB34+AB35</f>
        <v>-168319.8</v>
      </c>
      <c r="AC36" s="67" t="n">
        <f aca="false">AC31+AC32+AC33+AC34+AC35</f>
        <v>-168319.8</v>
      </c>
      <c r="AD36" s="67" t="n">
        <f aca="false">AD31+AD32+AD33+AD34+AD35</f>
        <v>-168319.8</v>
      </c>
      <c r="AE36" s="67" t="n">
        <f aca="false">AE31+AE32+AE33+AE34+AE35</f>
        <v>-168319.8</v>
      </c>
      <c r="AF36" s="67" t="n">
        <f aca="false">AF31+AF32+AF33+AF34+AF35</f>
        <v>-168319.8</v>
      </c>
      <c r="AG36" s="67" t="n">
        <f aca="false">AG31+AG32+AG33+AG34+AG35</f>
        <v>-168319.8</v>
      </c>
      <c r="AH36" s="67" t="n">
        <f aca="false">AH31+AH32+AH33+AH34+AH35</f>
        <v>-168319.8</v>
      </c>
      <c r="AI36" s="67" t="n">
        <f aca="false">AI31+AI32+AI33+AI34+AI35</f>
        <v>-168319.8</v>
      </c>
      <c r="AJ36" s="67" t="n">
        <f aca="false">AJ31+AJ32+AJ33+AJ34+AJ35</f>
        <v>-168319.8</v>
      </c>
      <c r="AK36" s="67" t="n">
        <f aca="false">AK31+AK32+AK33+AK34+AK35</f>
        <v>-168319.8</v>
      </c>
      <c r="AL36" s="67" t="n">
        <f aca="false">AL31+AL32+AL33+AL34+AL35</f>
        <v>-168319.8</v>
      </c>
    </row>
    <row r="37" customFormat="false" ht="15" hidden="false" customHeight="false" outlineLevel="0" collapsed="false">
      <c r="A37" s="111" t="s">
        <v>48</v>
      </c>
      <c r="C37" s="67" t="n">
        <f aca="false">C28+C36</f>
        <v>-72489.7543333333</v>
      </c>
      <c r="D37" s="67" t="n">
        <f aca="false">D28+D36</f>
        <v>-71190.372055</v>
      </c>
      <c r="E37" s="67" t="n">
        <f aca="false">E28+E36</f>
        <v>-69949.4619791917</v>
      </c>
      <c r="F37" s="67" t="n">
        <f aca="false">F28+F36</f>
        <v>-68764.3928567947</v>
      </c>
      <c r="G37" s="67" t="n">
        <f aca="false">G28+G36</f>
        <v>-67632.6518449056</v>
      </c>
      <c r="H37" s="67" t="n">
        <f aca="false">H28+H36</f>
        <v>-66551.8391785515</v>
      </c>
      <c r="I37" s="67" t="n">
        <f aca="false">I28+I36</f>
        <v>-65519.6630821834</v>
      </c>
      <c r="J37" s="67" t="n">
        <f aca="false">J28+J36</f>
        <v>-64533.9349101518</v>
      </c>
      <c r="K37" s="67" t="n">
        <f aca="false">K28+K36</f>
        <v>-63592.5645058616</v>
      </c>
      <c r="L37" s="67" t="n">
        <f aca="false">L28+L36</f>
        <v>-62693.5557697645</v>
      </c>
      <c r="M37" s="67" t="n">
        <f aca="false">M28+M36</f>
        <v>-61835.0024267918</v>
      </c>
      <c r="N37" s="67" t="n">
        <f aca="false">N28+N36</f>
        <v>-61015.0839842528</v>
      </c>
      <c r="O37" s="67" t="n">
        <f aca="false">O28+O36</f>
        <v>-96746.7605382948</v>
      </c>
      <c r="P37" s="67" t="n">
        <f aca="false">P28+P36</f>
        <v>-95773.5603140715</v>
      </c>
      <c r="Q37" s="67" t="n">
        <f aca="false">Q28+Q36</f>
        <v>-94844.1540999383</v>
      </c>
      <c r="R37" s="67" t="n">
        <f aca="false">R28+R36</f>
        <v>-93956.5711654411</v>
      </c>
      <c r="S37" s="67" t="n">
        <f aca="false">S28+S36</f>
        <v>-93108.9294629962</v>
      </c>
      <c r="T37" s="67" t="n">
        <f aca="false">T28+T36</f>
        <v>-92299.4316371614</v>
      </c>
      <c r="U37" s="67" t="n">
        <f aca="false">U28+U36</f>
        <v>-91526.3612134891</v>
      </c>
      <c r="V37" s="67" t="n">
        <f aca="false">V28+V36</f>
        <v>-90788.0789588821</v>
      </c>
      <c r="W37" s="67" t="n">
        <f aca="false">W28+W36</f>
        <v>-90083.0194057324</v>
      </c>
      <c r="X37" s="67" t="n">
        <f aca="false">X28+X36</f>
        <v>-89409.6875324745</v>
      </c>
      <c r="Y37" s="67" t="n">
        <f aca="false">Y28+Y36</f>
        <v>-88766.6555935131</v>
      </c>
      <c r="Z37" s="67" t="n">
        <f aca="false">Z28+Z36</f>
        <v>-88152.560091805</v>
      </c>
      <c r="AA37" s="67" t="n">
        <f aca="false">AA28+AA36</f>
        <v>-143970.198087674</v>
      </c>
      <c r="AB37" s="67" t="n">
        <f aca="false">AB28+AB36</f>
        <v>-143144.832573729</v>
      </c>
      <c r="AC37" s="67" t="n">
        <f aca="false">AC28+AC36</f>
        <v>-142356.608507911</v>
      </c>
      <c r="AD37" s="67" t="n">
        <f aca="false">AD28+AD36</f>
        <v>-141603.854525055</v>
      </c>
      <c r="AE37" s="67" t="n">
        <f aca="false">AE28+AE36</f>
        <v>-140884.974471427</v>
      </c>
      <c r="AF37" s="67" t="n">
        <f aca="false">AF28+AF36</f>
        <v>-140198.444020213</v>
      </c>
      <c r="AG37" s="67" t="n">
        <f aca="false">AG28+AG36</f>
        <v>-139542.807439303</v>
      </c>
      <c r="AH37" s="67" t="n">
        <f aca="false">AH28+AH36</f>
        <v>-138916.674504535</v>
      </c>
      <c r="AI37" s="67" t="n">
        <f aca="false">AI28+AI36</f>
        <v>-138318.717551831</v>
      </c>
      <c r="AJ37" s="67" t="n">
        <f aca="false">AJ28+AJ36</f>
        <v>-137747.668661998</v>
      </c>
      <c r="AK37" s="67" t="n">
        <f aca="false">AK28+AK36</f>
        <v>-137202.316972208</v>
      </c>
      <c r="AL37" s="67" t="n">
        <f aca="false">AL28+AL36</f>
        <v>-136681.506108459</v>
      </c>
    </row>
    <row r="39" customFormat="false" ht="15.75" hidden="false" customHeight="true" outlineLevel="0" collapsed="false">
      <c r="A39" s="7" t="s">
        <v>384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4" t="s">
        <v>78</v>
      </c>
      <c r="C40" s="72" t="n">
        <f aca="false">C37+C51</f>
        <v>-73045.3098888889</v>
      </c>
      <c r="D40" s="72" t="n">
        <f aca="false">D37+D51</f>
        <v>-71745.9276105556</v>
      </c>
      <c r="E40" s="72" t="n">
        <f aca="false">E37+E51</f>
        <v>-70505.0175347472</v>
      </c>
      <c r="F40" s="72" t="n">
        <f aca="false">F37+F51</f>
        <v>-69319.9484123503</v>
      </c>
      <c r="G40" s="72" t="n">
        <f aca="false">G37+G51</f>
        <v>-68188.2074004612</v>
      </c>
      <c r="H40" s="72" t="n">
        <f aca="false">H37+H51</f>
        <v>-67107.3947341071</v>
      </c>
      <c r="I40" s="72" t="n">
        <f aca="false">I37+I51</f>
        <v>-66075.2186377389</v>
      </c>
      <c r="J40" s="72" t="n">
        <f aca="false">J37+J51</f>
        <v>-65089.4904657073</v>
      </c>
      <c r="K40" s="72" t="n">
        <f aca="false">K37+K51</f>
        <v>-64148.1200614172</v>
      </c>
      <c r="L40" s="72" t="n">
        <f aca="false">L37+L51</f>
        <v>-63249.1113253201</v>
      </c>
      <c r="M40" s="72" t="n">
        <f aca="false">M37+M51</f>
        <v>-62390.5579823473</v>
      </c>
      <c r="N40" s="72" t="n">
        <f aca="false">N37+N51</f>
        <v>-61570.6395398084</v>
      </c>
      <c r="O40" s="72" t="n">
        <f aca="false">O37+O51</f>
        <v>-97302.3160938503</v>
      </c>
      <c r="P40" s="72" t="n">
        <f aca="false">P37+P51</f>
        <v>-96329.1158696271</v>
      </c>
      <c r="Q40" s="72" t="n">
        <f aca="false">Q37+Q51</f>
        <v>-95399.7096554939</v>
      </c>
      <c r="R40" s="72" t="n">
        <f aca="false">R37+R51</f>
        <v>-94512.1267209966</v>
      </c>
      <c r="S40" s="72" t="n">
        <f aca="false">S37+S51</f>
        <v>-93664.4850185518</v>
      </c>
      <c r="T40" s="72" t="n">
        <f aca="false">T37+T51</f>
        <v>-92854.9871927169</v>
      </c>
      <c r="U40" s="72" t="n">
        <f aca="false">U37+U51</f>
        <v>-92081.9167690447</v>
      </c>
      <c r="V40" s="72" t="n">
        <f aca="false">V37+V51</f>
        <v>-91343.6345144377</v>
      </c>
      <c r="W40" s="72" t="n">
        <f aca="false">W37+W51</f>
        <v>-90638.574961288</v>
      </c>
      <c r="X40" s="72" t="n">
        <f aca="false">X37+X51</f>
        <v>-89965.24308803</v>
      </c>
      <c r="Y40" s="72" t="n">
        <f aca="false">Y37+Y51</f>
        <v>-89322.2111490687</v>
      </c>
      <c r="Z40" s="72" t="n">
        <f aca="false">Z37+Z51</f>
        <v>-88708.1156473606</v>
      </c>
      <c r="AA40" s="72" t="n">
        <f aca="false">AA37+AA51</f>
        <v>-144525.753643229</v>
      </c>
      <c r="AB40" s="72" t="n">
        <f aca="false">AB37+AB51</f>
        <v>-143700.388129284</v>
      </c>
      <c r="AC40" s="72" t="n">
        <f aca="false">AC37+AC51</f>
        <v>-142912.164063466</v>
      </c>
      <c r="AD40" s="72" t="n">
        <f aca="false">AD37+AD51</f>
        <v>-142159.41008061</v>
      </c>
      <c r="AE40" s="72" t="n">
        <f aca="false">AE37+AE51</f>
        <v>-141440.530026983</v>
      </c>
      <c r="AF40" s="72" t="n">
        <f aca="false">AF37+AF51</f>
        <v>-140753.999575769</v>
      </c>
      <c r="AG40" s="72" t="n">
        <f aca="false">AG37+AG51</f>
        <v>-140098.362994859</v>
      </c>
      <c r="AH40" s="72" t="n">
        <f aca="false">AH37+AH51</f>
        <v>-139472.23006009</v>
      </c>
      <c r="AI40" s="72" t="n">
        <f aca="false">AI37+AI51</f>
        <v>-138874.273107386</v>
      </c>
      <c r="AJ40" s="72" t="n">
        <f aca="false">AJ37+AJ51</f>
        <v>-138303.224217554</v>
      </c>
      <c r="AK40" s="72" t="n">
        <f aca="false">AK37+AK51</f>
        <v>-137757.872527764</v>
      </c>
      <c r="AL40" s="72" t="n">
        <f aca="false">AL37+AL51</f>
        <v>-137237.061664015</v>
      </c>
    </row>
    <row r="41" customFormat="false" ht="15" hidden="false" customHeight="false" outlineLevel="0" collapsed="false">
      <c r="A41" s="6" t="s">
        <v>385</v>
      </c>
      <c r="C41" s="66" t="n">
        <f aca="false">-(C56+C57+C59)/2*Inputs!$B$48/12</f>
        <v>-0</v>
      </c>
      <c r="D41" s="66" t="n">
        <f aca="false">-(D56+D57+D59)/2*Inputs!$B$48/12</f>
        <v>-0</v>
      </c>
      <c r="E41" s="66" t="n">
        <f aca="false">-(E56+E57+E59)/2*Inputs!$B$48/12</f>
        <v>-0</v>
      </c>
      <c r="F41" s="66" t="n">
        <f aca="false">-(F56+F57+F59)/2*Inputs!$B$48/12</f>
        <v>-0</v>
      </c>
      <c r="G41" s="66" t="n">
        <f aca="false">-(G56+G57+G59)/2*Inputs!$B$48/12</f>
        <v>-0</v>
      </c>
      <c r="H41" s="66" t="n">
        <f aca="false">-(H56+H57+H59)/2*Inputs!$B$48/12</f>
        <v>-0</v>
      </c>
      <c r="I41" s="66" t="n">
        <f aca="false">-(I56+I57+I59)/2*Inputs!$B$48/12</f>
        <v>-0</v>
      </c>
      <c r="J41" s="66" t="n">
        <f aca="false">-(J56+J57+J59)/2*Inputs!$B$48/12</f>
        <v>-0</v>
      </c>
      <c r="K41" s="66" t="n">
        <f aca="false">-(K56+K57+K59)/2*Inputs!$B$48/12</f>
        <v>-0</v>
      </c>
      <c r="L41" s="66" t="n">
        <f aca="false">-(L56+L57+L59)/2*Inputs!$B$48/12</f>
        <v>-0</v>
      </c>
      <c r="M41" s="66" t="n">
        <f aca="false">-(M56+M57+M59)/2*Inputs!$B$48/12</f>
        <v>-0</v>
      </c>
      <c r="N41" s="66" t="n">
        <f aca="false">-(N56+N57+N59)/2*Inputs!$B$48/12</f>
        <v>-0</v>
      </c>
      <c r="O41" s="66" t="n">
        <f aca="false">-(O56+O57+O59)/2*Inputs!$B$48/12</f>
        <v>-0</v>
      </c>
      <c r="P41" s="66" t="n">
        <f aca="false">-(P56+P57+P59)/2*Inputs!$B$48/12</f>
        <v>-0</v>
      </c>
      <c r="Q41" s="66" t="n">
        <f aca="false">-(Q56+Q57+Q59)/2*Inputs!$B$48/12</f>
        <v>-0</v>
      </c>
      <c r="R41" s="66" t="n">
        <f aca="false">-(R56+R57+R59)/2*Inputs!$B$48/12</f>
        <v>-0</v>
      </c>
      <c r="S41" s="66" t="n">
        <f aca="false">-(S56+S57+S59)/2*Inputs!$B$48/12</f>
        <v>-0</v>
      </c>
      <c r="T41" s="66" t="n">
        <f aca="false">-(T56+T57+T59)/2*Inputs!$B$48/12</f>
        <v>-0</v>
      </c>
      <c r="U41" s="66" t="n">
        <f aca="false">-(U56+U57+U59)/2*Inputs!$B$48/12</f>
        <v>-0</v>
      </c>
      <c r="V41" s="66" t="n">
        <f aca="false">-(V56+V57+V59)/2*Inputs!$B$48/12</f>
        <v>-0</v>
      </c>
      <c r="W41" s="66" t="n">
        <f aca="false">-(W56+W57+W59)/2*Inputs!$B$48/12</f>
        <v>-0</v>
      </c>
      <c r="X41" s="66" t="n">
        <f aca="false">-(X56+X57+X59)/2*Inputs!$B$48/12</f>
        <v>-0</v>
      </c>
      <c r="Y41" s="66" t="n">
        <f aca="false">-(Y56+Y57+Y59)/2*Inputs!$B$48/12</f>
        <v>-0</v>
      </c>
      <c r="Z41" s="66" t="n">
        <f aca="false">-(Z56+Z57+Z59)/2*Inputs!$B$48/12</f>
        <v>-0</v>
      </c>
      <c r="AA41" s="66" t="n">
        <f aca="false">-(AA56+AA57+AA59)/2*Inputs!$B$48/12</f>
        <v>-0</v>
      </c>
      <c r="AB41" s="66" t="n">
        <f aca="false">-(AB56+AB57+AB59)/2*Inputs!$B$48/12</f>
        <v>-0</v>
      </c>
      <c r="AC41" s="66" t="n">
        <f aca="false">-(AC56+AC57+AC59)/2*Inputs!$B$48/12</f>
        <v>-0</v>
      </c>
      <c r="AD41" s="66" t="n">
        <f aca="false">-(AD56+AD57+AD59)/2*Inputs!$B$48/12</f>
        <v>-0</v>
      </c>
      <c r="AE41" s="66" t="n">
        <f aca="false">-(AE56+AE57+AE59)/2*Inputs!$B$48/12</f>
        <v>-0</v>
      </c>
      <c r="AF41" s="66" t="n">
        <f aca="false">-(AF56+AF57+AF59)/2*Inputs!$B$48/12</f>
        <v>-0</v>
      </c>
      <c r="AG41" s="66" t="n">
        <f aca="false">-(AG56+AG57+AG59)/2*Inputs!$B$48/12</f>
        <v>-0</v>
      </c>
      <c r="AH41" s="66" t="n">
        <f aca="false">-(AH56+AH57+AH59)/2*Inputs!$B$48/12</f>
        <v>-0</v>
      </c>
      <c r="AI41" s="66" t="n">
        <f aca="false">-(AI56+AI57+AI59)/2*Inputs!$B$48/12</f>
        <v>-0</v>
      </c>
      <c r="AJ41" s="66" t="n">
        <f aca="false">-(AJ56+AJ57+AJ59)/2*Inputs!$B$48/12</f>
        <v>-0</v>
      </c>
      <c r="AK41" s="66" t="n">
        <f aca="false">-(AK56+AK57+AK59)/2*Inputs!$B$48/12</f>
        <v>-0</v>
      </c>
      <c r="AL41" s="66" t="n">
        <f aca="false">-(AL56+AL57+AL59)/2*Inputs!$B$48/12</f>
        <v>-0</v>
      </c>
    </row>
    <row r="42" customFormat="false" ht="15" hidden="false" customHeight="false" outlineLevel="0" collapsed="false">
      <c r="A42" s="111" t="s">
        <v>80</v>
      </c>
      <c r="C42" s="67" t="n">
        <f aca="false">C40+C41</f>
        <v>-73045.3098888889</v>
      </c>
      <c r="D42" s="67" t="n">
        <f aca="false">D40+D41</f>
        <v>-71745.9276105556</v>
      </c>
      <c r="E42" s="67" t="n">
        <f aca="false">E40+E41</f>
        <v>-70505.0175347472</v>
      </c>
      <c r="F42" s="67" t="n">
        <f aca="false">F40+F41</f>
        <v>-69319.9484123503</v>
      </c>
      <c r="G42" s="67" t="n">
        <f aca="false">G40+G41</f>
        <v>-68188.2074004612</v>
      </c>
      <c r="H42" s="67" t="n">
        <f aca="false">H40+H41</f>
        <v>-67107.3947341071</v>
      </c>
      <c r="I42" s="67" t="n">
        <f aca="false">I40+I41</f>
        <v>-66075.2186377389</v>
      </c>
      <c r="J42" s="67" t="n">
        <f aca="false">J40+J41</f>
        <v>-65089.4904657073</v>
      </c>
      <c r="K42" s="67" t="n">
        <f aca="false">K40+K41</f>
        <v>-64148.1200614172</v>
      </c>
      <c r="L42" s="67" t="n">
        <f aca="false">L40+L41</f>
        <v>-63249.1113253201</v>
      </c>
      <c r="M42" s="67" t="n">
        <f aca="false">M40+M41</f>
        <v>-62390.5579823473</v>
      </c>
      <c r="N42" s="67" t="n">
        <f aca="false">N40+N41</f>
        <v>-61570.6395398084</v>
      </c>
      <c r="O42" s="67" t="n">
        <f aca="false">O40+O41</f>
        <v>-97302.3160938503</v>
      </c>
      <c r="P42" s="67" t="n">
        <f aca="false">P40+P41</f>
        <v>-96329.1158696271</v>
      </c>
      <c r="Q42" s="67" t="n">
        <f aca="false">Q40+Q41</f>
        <v>-95399.7096554939</v>
      </c>
      <c r="R42" s="67" t="n">
        <f aca="false">R40+R41</f>
        <v>-94512.1267209966</v>
      </c>
      <c r="S42" s="67" t="n">
        <f aca="false">S40+S41</f>
        <v>-93664.4850185518</v>
      </c>
      <c r="T42" s="67" t="n">
        <f aca="false">T40+T41</f>
        <v>-92854.9871927169</v>
      </c>
      <c r="U42" s="67" t="n">
        <f aca="false">U40+U41</f>
        <v>-92081.9167690447</v>
      </c>
      <c r="V42" s="67" t="n">
        <f aca="false">V40+V41</f>
        <v>-91343.6345144377</v>
      </c>
      <c r="W42" s="67" t="n">
        <f aca="false">W40+W41</f>
        <v>-90638.574961288</v>
      </c>
      <c r="X42" s="67" t="n">
        <f aca="false">X40+X41</f>
        <v>-89965.24308803</v>
      </c>
      <c r="Y42" s="67" t="n">
        <f aca="false">Y40+Y41</f>
        <v>-89322.2111490687</v>
      </c>
      <c r="Z42" s="67" t="n">
        <f aca="false">Z40+Z41</f>
        <v>-88708.1156473606</v>
      </c>
      <c r="AA42" s="67" t="n">
        <f aca="false">AA40+AA41</f>
        <v>-144525.753643229</v>
      </c>
      <c r="AB42" s="67" t="n">
        <f aca="false">AB40+AB41</f>
        <v>-143700.388129284</v>
      </c>
      <c r="AC42" s="67" t="n">
        <f aca="false">AC40+AC41</f>
        <v>-142912.164063466</v>
      </c>
      <c r="AD42" s="67" t="n">
        <f aca="false">AD40+AD41</f>
        <v>-142159.41008061</v>
      </c>
      <c r="AE42" s="67" t="n">
        <f aca="false">AE40+AE41</f>
        <v>-141440.530026983</v>
      </c>
      <c r="AF42" s="67" t="n">
        <f aca="false">AF40+AF41</f>
        <v>-140753.999575769</v>
      </c>
      <c r="AG42" s="67" t="n">
        <f aca="false">AG40+AG41</f>
        <v>-140098.362994859</v>
      </c>
      <c r="AH42" s="67" t="n">
        <f aca="false">AH40+AH41</f>
        <v>-139472.23006009</v>
      </c>
      <c r="AI42" s="67" t="n">
        <f aca="false">AI40+AI41</f>
        <v>-138874.273107386</v>
      </c>
      <c r="AJ42" s="67" t="n">
        <f aca="false">AJ40+AJ41</f>
        <v>-138303.224217554</v>
      </c>
      <c r="AK42" s="67" t="n">
        <f aca="false">AK40+AK41</f>
        <v>-137757.872527764</v>
      </c>
      <c r="AL42" s="67" t="n">
        <f aca="false">AL40+AL41</f>
        <v>-137237.061664015</v>
      </c>
    </row>
    <row r="43" customFormat="false" ht="15" hidden="false" customHeight="false" outlineLevel="0" collapsed="false">
      <c r="A43" s="119" t="s">
        <v>386</v>
      </c>
      <c r="C43" s="66" t="n">
        <f aca="false">C42</f>
        <v>-73045.3098888889</v>
      </c>
      <c r="D43" s="66" t="n">
        <f aca="false">C43+D42</f>
        <v>-144791.237499444</v>
      </c>
      <c r="E43" s="66" t="n">
        <f aca="false">D43+E42</f>
        <v>-215296.255034192</v>
      </c>
      <c r="F43" s="66" t="n">
        <f aca="false">E43+F42</f>
        <v>-284616.203446542</v>
      </c>
      <c r="G43" s="66" t="n">
        <f aca="false">F43+G42</f>
        <v>-352804.410847003</v>
      </c>
      <c r="H43" s="66" t="n">
        <f aca="false">G43+H42</f>
        <v>-419911.80558111</v>
      </c>
      <c r="I43" s="66" t="n">
        <f aca="false">H43+I42</f>
        <v>-485987.024218849</v>
      </c>
      <c r="J43" s="66" t="n">
        <f aca="false">I43+J42</f>
        <v>-551076.514684557</v>
      </c>
      <c r="K43" s="66" t="n">
        <f aca="false">J43+K42</f>
        <v>-615224.634745974</v>
      </c>
      <c r="L43" s="66" t="n">
        <f aca="false">K43+L42</f>
        <v>-678473.746071294</v>
      </c>
      <c r="M43" s="66" t="n">
        <f aca="false">L43+M42</f>
        <v>-740864.304053641</v>
      </c>
      <c r="N43" s="66" t="n">
        <f aca="false">M43+N42</f>
        <v>-802434.94359345</v>
      </c>
      <c r="O43" s="66" t="n">
        <f aca="false">N43+O42</f>
        <v>-899737.2596873</v>
      </c>
      <c r="P43" s="66" t="n">
        <f aca="false">O43+P42</f>
        <v>-996066.375556927</v>
      </c>
      <c r="Q43" s="66" t="n">
        <f aca="false">P43+Q42</f>
        <v>-1091466.08521242</v>
      </c>
      <c r="R43" s="66" t="n">
        <f aca="false">Q43+R42</f>
        <v>-1185978.21193342</v>
      </c>
      <c r="S43" s="66" t="n">
        <f aca="false">R43+S42</f>
        <v>-1279642.69695197</v>
      </c>
      <c r="T43" s="66" t="n">
        <f aca="false">S43+T42</f>
        <v>-1372497.68414469</v>
      </c>
      <c r="U43" s="66" t="n">
        <f aca="false">T43+U42</f>
        <v>-1464579.60091373</v>
      </c>
      <c r="V43" s="66" t="n">
        <f aca="false">U43+V42</f>
        <v>-1555923.23542817</v>
      </c>
      <c r="W43" s="66" t="n">
        <f aca="false">V43+W42</f>
        <v>-1646561.81038946</v>
      </c>
      <c r="X43" s="66" t="n">
        <f aca="false">W43+X42</f>
        <v>-1736527.05347749</v>
      </c>
      <c r="Y43" s="66" t="n">
        <f aca="false">X43+Y42</f>
        <v>-1825849.26462656</v>
      </c>
      <c r="Z43" s="66" t="n">
        <f aca="false">Y43+Z42</f>
        <v>-1914557.38027392</v>
      </c>
      <c r="AA43" s="66" t="n">
        <f aca="false">Z43+AA42</f>
        <v>-2059083.13391715</v>
      </c>
      <c r="AB43" s="66" t="n">
        <f aca="false">AA43+AB42</f>
        <v>-2202783.52204643</v>
      </c>
      <c r="AC43" s="66" t="n">
        <f aca="false">AB43+AC42</f>
        <v>-2345695.6861099</v>
      </c>
      <c r="AD43" s="66" t="n">
        <f aca="false">AC43+AD42</f>
        <v>-2487855.09619051</v>
      </c>
      <c r="AE43" s="66" t="n">
        <f aca="false">AD43+AE42</f>
        <v>-2629295.62621749</v>
      </c>
      <c r="AF43" s="66" t="n">
        <f aca="false">AE43+AF42</f>
        <v>-2770049.62579326</v>
      </c>
      <c r="AG43" s="66" t="n">
        <f aca="false">AF43+AG42</f>
        <v>-2910147.98878812</v>
      </c>
      <c r="AH43" s="66" t="n">
        <f aca="false">AG43+AH42</f>
        <v>-3049620.21884821</v>
      </c>
      <c r="AI43" s="66" t="n">
        <f aca="false">AH43+AI42</f>
        <v>-3188494.49195559</v>
      </c>
      <c r="AJ43" s="66" t="n">
        <f aca="false">AI43+AJ42</f>
        <v>-3326797.71617315</v>
      </c>
      <c r="AK43" s="66" t="n">
        <f aca="false">AJ43+AK42</f>
        <v>-3464555.58870091</v>
      </c>
      <c r="AL43" s="66" t="n">
        <f aca="false">AK43+AL42</f>
        <v>-3601792.65036493</v>
      </c>
    </row>
    <row r="44" customFormat="false" ht="15" hidden="false" customHeight="false" outlineLevel="0" collapsed="false">
      <c r="A44" s="119" t="s">
        <v>387</v>
      </c>
      <c r="C44" s="66" t="n">
        <f aca="false">MAX(0,C43)</f>
        <v>0</v>
      </c>
      <c r="D44" s="66" t="n">
        <f aca="false">MAX(C44,D43)</f>
        <v>0</v>
      </c>
      <c r="E44" s="66" t="n">
        <f aca="false">MAX(D44,E43)</f>
        <v>0</v>
      </c>
      <c r="F44" s="66" t="n">
        <f aca="false">MAX(E44,F43)</f>
        <v>0</v>
      </c>
      <c r="G44" s="66" t="n">
        <f aca="false">MAX(F44,G43)</f>
        <v>0</v>
      </c>
      <c r="H44" s="66" t="n">
        <f aca="false">MAX(G44,H43)</f>
        <v>0</v>
      </c>
      <c r="I44" s="66" t="n">
        <f aca="false">MAX(H44,I43)</f>
        <v>0</v>
      </c>
      <c r="J44" s="66" t="n">
        <f aca="false">MAX(I44,J43)</f>
        <v>0</v>
      </c>
      <c r="K44" s="66" t="n">
        <f aca="false">MAX(J44,K43)</f>
        <v>0</v>
      </c>
      <c r="L44" s="66" t="n">
        <f aca="false">MAX(K44,L43)</f>
        <v>0</v>
      </c>
      <c r="M44" s="66" t="n">
        <f aca="false">MAX(L44,M43)</f>
        <v>0</v>
      </c>
      <c r="N44" s="66" t="n">
        <f aca="false">MAX(M44,N43)</f>
        <v>0</v>
      </c>
      <c r="O44" s="66" t="n">
        <f aca="false">MAX(N44,O43)</f>
        <v>0</v>
      </c>
      <c r="P44" s="66" t="n">
        <f aca="false">MAX(O44,P43)</f>
        <v>0</v>
      </c>
      <c r="Q44" s="66" t="n">
        <f aca="false">MAX(P44,Q43)</f>
        <v>0</v>
      </c>
      <c r="R44" s="66" t="n">
        <f aca="false">MAX(Q44,R43)</f>
        <v>0</v>
      </c>
      <c r="S44" s="66" t="n">
        <f aca="false">MAX(R44,S43)</f>
        <v>0</v>
      </c>
      <c r="T44" s="66" t="n">
        <f aca="false">MAX(S44,T43)</f>
        <v>0</v>
      </c>
      <c r="U44" s="66" t="n">
        <f aca="false">MAX(T44,U43)</f>
        <v>0</v>
      </c>
      <c r="V44" s="66" t="n">
        <f aca="false">MAX(U44,V43)</f>
        <v>0</v>
      </c>
      <c r="W44" s="66" t="n">
        <f aca="false">MAX(V44,W43)</f>
        <v>0</v>
      </c>
      <c r="X44" s="66" t="n">
        <f aca="false">MAX(W44,X43)</f>
        <v>0</v>
      </c>
      <c r="Y44" s="66" t="n">
        <f aca="false">MAX(X44,Y43)</f>
        <v>0</v>
      </c>
      <c r="Z44" s="66" t="n">
        <f aca="false">MAX(Y44,Z43)</f>
        <v>0</v>
      </c>
      <c r="AA44" s="66" t="n">
        <f aca="false">MAX(Z44,AA43)</f>
        <v>0</v>
      </c>
      <c r="AB44" s="66" t="n">
        <f aca="false">MAX(AA44,AB43)</f>
        <v>0</v>
      </c>
      <c r="AC44" s="66" t="n">
        <f aca="false">MAX(AB44,AC43)</f>
        <v>0</v>
      </c>
      <c r="AD44" s="66" t="n">
        <f aca="false">MAX(AC44,AD43)</f>
        <v>0</v>
      </c>
      <c r="AE44" s="66" t="n">
        <f aca="false">MAX(AD44,AE43)</f>
        <v>0</v>
      </c>
      <c r="AF44" s="66" t="n">
        <f aca="false">MAX(AE44,AF43)</f>
        <v>0</v>
      </c>
      <c r="AG44" s="66" t="n">
        <f aca="false">MAX(AF44,AG43)</f>
        <v>0</v>
      </c>
      <c r="AH44" s="66" t="n">
        <f aca="false">MAX(AG44,AH43)</f>
        <v>0</v>
      </c>
      <c r="AI44" s="66" t="n">
        <f aca="false">MAX(AH44,AI43)</f>
        <v>0</v>
      </c>
      <c r="AJ44" s="66" t="n">
        <f aca="false">MAX(AI44,AJ43)</f>
        <v>0</v>
      </c>
      <c r="AK44" s="66" t="n">
        <f aca="false">MAX(AJ44,AK43)</f>
        <v>0</v>
      </c>
      <c r="AL44" s="66" t="n">
        <f aca="false">MAX(AK44,AL43)</f>
        <v>0</v>
      </c>
    </row>
    <row r="45" customFormat="false" ht="15" hidden="false" customHeight="false" outlineLevel="0" collapsed="false">
      <c r="A45" s="6" t="s">
        <v>81</v>
      </c>
      <c r="C45" s="66" t="n">
        <f aca="false">-C44*Inputs!$B$58</f>
        <v>-0</v>
      </c>
      <c r="D45" s="66" t="n">
        <f aca="false">-(D44-C44)*Inputs!$B$58</f>
        <v>-0</v>
      </c>
      <c r="E45" s="66" t="n">
        <f aca="false">-(E44-D44)*Inputs!$B$58</f>
        <v>-0</v>
      </c>
      <c r="F45" s="66" t="n">
        <f aca="false">-(F44-E44)*Inputs!$B$58</f>
        <v>-0</v>
      </c>
      <c r="G45" s="66" t="n">
        <f aca="false">-(G44-F44)*Inputs!$B$58</f>
        <v>-0</v>
      </c>
      <c r="H45" s="66" t="n">
        <f aca="false">-(H44-G44)*Inputs!$B$58</f>
        <v>-0</v>
      </c>
      <c r="I45" s="66" t="n">
        <f aca="false">-(I44-H44)*Inputs!$B$58</f>
        <v>-0</v>
      </c>
      <c r="J45" s="66" t="n">
        <f aca="false">-(J44-I44)*Inputs!$B$58</f>
        <v>-0</v>
      </c>
      <c r="K45" s="66" t="n">
        <f aca="false">-(K44-J44)*Inputs!$B$58</f>
        <v>-0</v>
      </c>
      <c r="L45" s="66" t="n">
        <f aca="false">-(L44-K44)*Inputs!$B$58</f>
        <v>-0</v>
      </c>
      <c r="M45" s="66" t="n">
        <f aca="false">-(M44-L44)*Inputs!$B$58</f>
        <v>-0</v>
      </c>
      <c r="N45" s="66" t="n">
        <f aca="false">-(N44-M44)*Inputs!$B$58</f>
        <v>-0</v>
      </c>
      <c r="O45" s="66" t="n">
        <f aca="false">-(O44-N44)*Inputs!$B$58</f>
        <v>-0</v>
      </c>
      <c r="P45" s="66" t="n">
        <f aca="false">-(P44-O44)*Inputs!$B$58</f>
        <v>-0</v>
      </c>
      <c r="Q45" s="66" t="n">
        <f aca="false">-(Q44-P44)*Inputs!$B$58</f>
        <v>-0</v>
      </c>
      <c r="R45" s="66" t="n">
        <f aca="false">-(R44-Q44)*Inputs!$B$58</f>
        <v>-0</v>
      </c>
      <c r="S45" s="66" t="n">
        <f aca="false">-(S44-R44)*Inputs!$B$58</f>
        <v>-0</v>
      </c>
      <c r="T45" s="66" t="n">
        <f aca="false">-(T44-S44)*Inputs!$B$58</f>
        <v>-0</v>
      </c>
      <c r="U45" s="66" t="n">
        <f aca="false">-(U44-T44)*Inputs!$B$58</f>
        <v>-0</v>
      </c>
      <c r="V45" s="66" t="n">
        <f aca="false">-(V44-U44)*Inputs!$B$58</f>
        <v>-0</v>
      </c>
      <c r="W45" s="66" t="n">
        <f aca="false">-(W44-V44)*Inputs!$B$58</f>
        <v>-0</v>
      </c>
      <c r="X45" s="66" t="n">
        <f aca="false">-(X44-W44)*Inputs!$B$58</f>
        <v>-0</v>
      </c>
      <c r="Y45" s="66" t="n">
        <f aca="false">-(Y44-X44)*Inputs!$B$58</f>
        <v>-0</v>
      </c>
      <c r="Z45" s="66" t="n">
        <f aca="false">-(Z44-Y44)*Inputs!$B$58</f>
        <v>-0</v>
      </c>
      <c r="AA45" s="66" t="n">
        <f aca="false">-(AA44-Z44)*Inputs!$B$58</f>
        <v>-0</v>
      </c>
      <c r="AB45" s="66" t="n">
        <f aca="false">-(AB44-AA44)*Inputs!$B$58</f>
        <v>-0</v>
      </c>
      <c r="AC45" s="66" t="n">
        <f aca="false">-(AC44-AB44)*Inputs!$B$58</f>
        <v>-0</v>
      </c>
      <c r="AD45" s="66" t="n">
        <f aca="false">-(AD44-AC44)*Inputs!$B$58</f>
        <v>-0</v>
      </c>
      <c r="AE45" s="66" t="n">
        <f aca="false">-(AE44-AD44)*Inputs!$B$58</f>
        <v>-0</v>
      </c>
      <c r="AF45" s="66" t="n">
        <f aca="false">-(AF44-AE44)*Inputs!$B$58</f>
        <v>-0</v>
      </c>
      <c r="AG45" s="66" t="n">
        <f aca="false">-(AG44-AF44)*Inputs!$B$58</f>
        <v>-0</v>
      </c>
      <c r="AH45" s="66" t="n">
        <f aca="false">-(AH44-AG44)*Inputs!$B$58</f>
        <v>-0</v>
      </c>
      <c r="AI45" s="66" t="n">
        <f aca="false">-(AI44-AH44)*Inputs!$B$58</f>
        <v>-0</v>
      </c>
      <c r="AJ45" s="66" t="n">
        <f aca="false">-(AJ44-AI44)*Inputs!$B$58</f>
        <v>-0</v>
      </c>
      <c r="AK45" s="66" t="n">
        <f aca="false">-(AK44-AJ44)*Inputs!$B$58</f>
        <v>-0</v>
      </c>
      <c r="AL45" s="66" t="n">
        <f aca="false">-(AL44-AK44)*Inputs!$B$58</f>
        <v>-0</v>
      </c>
    </row>
    <row r="46" customFormat="false" ht="15" hidden="false" customHeight="false" outlineLevel="0" collapsed="false">
      <c r="A46" s="111" t="s">
        <v>50</v>
      </c>
      <c r="C46" s="67" t="n">
        <f aca="false">C42+C45</f>
        <v>-73045.3098888889</v>
      </c>
      <c r="D46" s="67" t="n">
        <f aca="false">D42+D45</f>
        <v>-71745.9276105556</v>
      </c>
      <c r="E46" s="67" t="n">
        <f aca="false">E42+E45</f>
        <v>-70505.0175347472</v>
      </c>
      <c r="F46" s="67" t="n">
        <f aca="false">F42+F45</f>
        <v>-69319.9484123503</v>
      </c>
      <c r="G46" s="67" t="n">
        <f aca="false">G42+G45</f>
        <v>-68188.2074004612</v>
      </c>
      <c r="H46" s="67" t="n">
        <f aca="false">H42+H45</f>
        <v>-67107.3947341071</v>
      </c>
      <c r="I46" s="67" t="n">
        <f aca="false">I42+I45</f>
        <v>-66075.2186377389</v>
      </c>
      <c r="J46" s="67" t="n">
        <f aca="false">J42+J45</f>
        <v>-65089.4904657073</v>
      </c>
      <c r="K46" s="67" t="n">
        <f aca="false">K42+K45</f>
        <v>-64148.1200614172</v>
      </c>
      <c r="L46" s="67" t="n">
        <f aca="false">L42+L45</f>
        <v>-63249.1113253201</v>
      </c>
      <c r="M46" s="67" t="n">
        <f aca="false">M42+M45</f>
        <v>-62390.5579823473</v>
      </c>
      <c r="N46" s="67" t="n">
        <f aca="false">N42+N45</f>
        <v>-61570.6395398084</v>
      </c>
      <c r="O46" s="67" t="n">
        <f aca="false">O42+O45</f>
        <v>-97302.3160938503</v>
      </c>
      <c r="P46" s="67" t="n">
        <f aca="false">P42+P45</f>
        <v>-96329.1158696271</v>
      </c>
      <c r="Q46" s="67" t="n">
        <f aca="false">Q42+Q45</f>
        <v>-95399.7096554939</v>
      </c>
      <c r="R46" s="67" t="n">
        <f aca="false">R42+R45</f>
        <v>-94512.1267209966</v>
      </c>
      <c r="S46" s="67" t="n">
        <f aca="false">S42+S45</f>
        <v>-93664.4850185518</v>
      </c>
      <c r="T46" s="67" t="n">
        <f aca="false">T42+T45</f>
        <v>-92854.9871927169</v>
      </c>
      <c r="U46" s="67" t="n">
        <f aca="false">U42+U45</f>
        <v>-92081.9167690447</v>
      </c>
      <c r="V46" s="67" t="n">
        <f aca="false">V42+V45</f>
        <v>-91343.6345144377</v>
      </c>
      <c r="W46" s="67" t="n">
        <f aca="false">W42+W45</f>
        <v>-90638.574961288</v>
      </c>
      <c r="X46" s="67" t="n">
        <f aca="false">X42+X45</f>
        <v>-89965.24308803</v>
      </c>
      <c r="Y46" s="67" t="n">
        <f aca="false">Y42+Y45</f>
        <v>-89322.2111490687</v>
      </c>
      <c r="Z46" s="67" t="n">
        <f aca="false">Z42+Z45</f>
        <v>-88708.1156473606</v>
      </c>
      <c r="AA46" s="67" t="n">
        <f aca="false">AA42+AA45</f>
        <v>-144525.753643229</v>
      </c>
      <c r="AB46" s="67" t="n">
        <f aca="false">AB42+AB45</f>
        <v>-143700.388129284</v>
      </c>
      <c r="AC46" s="67" t="n">
        <f aca="false">AC42+AC45</f>
        <v>-142912.164063466</v>
      </c>
      <c r="AD46" s="67" t="n">
        <f aca="false">AD42+AD45</f>
        <v>-142159.41008061</v>
      </c>
      <c r="AE46" s="67" t="n">
        <f aca="false">AE42+AE45</f>
        <v>-141440.530026983</v>
      </c>
      <c r="AF46" s="67" t="n">
        <f aca="false">AF42+AF45</f>
        <v>-140753.999575769</v>
      </c>
      <c r="AG46" s="67" t="n">
        <f aca="false">AG42+AG45</f>
        <v>-140098.362994859</v>
      </c>
      <c r="AH46" s="67" t="n">
        <f aca="false">AH42+AH45</f>
        <v>-139472.23006009</v>
      </c>
      <c r="AI46" s="67" t="n">
        <f aca="false">AI42+AI45</f>
        <v>-138874.273107386</v>
      </c>
      <c r="AJ46" s="67" t="n">
        <f aca="false">AJ42+AJ45</f>
        <v>-138303.224217554</v>
      </c>
      <c r="AK46" s="67" t="n">
        <f aca="false">AK42+AK45</f>
        <v>-137757.872527764</v>
      </c>
      <c r="AL46" s="67" t="n">
        <f aca="false">AL42+AL45</f>
        <v>-137237.061664015</v>
      </c>
    </row>
    <row r="48" customFormat="false" ht="15.75" hidden="false" customHeight="true" outlineLevel="0" collapsed="false">
      <c r="A48" s="7" t="s">
        <v>388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83</v>
      </c>
      <c r="C49" s="66" t="n">
        <f aca="false">IF(C$6=1,Inputs!$B$23,0)</f>
        <v>20000</v>
      </c>
      <c r="D49" s="66" t="n">
        <f aca="false">IF(D$6=1,Inputs!$B$23,0)</f>
        <v>0</v>
      </c>
      <c r="E49" s="66" t="n">
        <f aca="false">IF(E$6=1,Inputs!$B$23,0)</f>
        <v>0</v>
      </c>
      <c r="F49" s="66" t="n">
        <f aca="false">IF(F$6=1,Inputs!$B$23,0)</f>
        <v>0</v>
      </c>
      <c r="G49" s="66" t="n">
        <f aca="false">IF(G$6=1,Inputs!$B$23,0)</f>
        <v>0</v>
      </c>
      <c r="H49" s="66" t="n">
        <f aca="false">IF(H$6=1,Inputs!$B$23,0)</f>
        <v>0</v>
      </c>
      <c r="I49" s="66" t="n">
        <f aca="false">IF(I$6=1,Inputs!$B$23,0)</f>
        <v>0</v>
      </c>
      <c r="J49" s="66" t="n">
        <f aca="false">IF(J$6=1,Inputs!$B$23,0)</f>
        <v>0</v>
      </c>
      <c r="K49" s="66" t="n">
        <f aca="false">IF(K$6=1,Inputs!$B$23,0)</f>
        <v>0</v>
      </c>
      <c r="L49" s="66" t="n">
        <f aca="false">IF(L$6=1,Inputs!$B$23,0)</f>
        <v>0</v>
      </c>
      <c r="M49" s="66" t="n">
        <f aca="false">IF(M$6=1,Inputs!$B$23,0)</f>
        <v>0</v>
      </c>
      <c r="N49" s="66" t="n">
        <f aca="false">IF(N$6=1,Inputs!$B$23,0)</f>
        <v>0</v>
      </c>
      <c r="O49" s="66" t="n">
        <f aca="false">IF(O$6=1,Inputs!$B$23,0)</f>
        <v>0</v>
      </c>
      <c r="P49" s="66" t="n">
        <f aca="false">IF(P$6=1,Inputs!$B$23,0)</f>
        <v>0</v>
      </c>
      <c r="Q49" s="66" t="n">
        <f aca="false">IF(Q$6=1,Inputs!$B$23,0)</f>
        <v>0</v>
      </c>
      <c r="R49" s="66" t="n">
        <f aca="false">IF(R$6=1,Inputs!$B$23,0)</f>
        <v>0</v>
      </c>
      <c r="S49" s="66" t="n">
        <f aca="false">IF(S$6=1,Inputs!$B$23,0)</f>
        <v>0</v>
      </c>
      <c r="T49" s="66" t="n">
        <f aca="false">IF(T$6=1,Inputs!$B$23,0)</f>
        <v>0</v>
      </c>
      <c r="U49" s="66" t="n">
        <f aca="false">IF(U$6=1,Inputs!$B$23,0)</f>
        <v>0</v>
      </c>
      <c r="V49" s="66" t="n">
        <f aca="false">IF(V$6=1,Inputs!$B$23,0)</f>
        <v>0</v>
      </c>
      <c r="W49" s="66" t="n">
        <f aca="false">IF(W$6=1,Inputs!$B$23,0)</f>
        <v>0</v>
      </c>
      <c r="X49" s="66" t="n">
        <f aca="false">IF(X$6=1,Inputs!$B$23,0)</f>
        <v>0</v>
      </c>
      <c r="Y49" s="66" t="n">
        <f aca="false">IF(Y$6=1,Inputs!$B$23,0)</f>
        <v>0</v>
      </c>
      <c r="Z49" s="66" t="n">
        <f aca="false">IF(Z$6=1,Inputs!$B$23,0)</f>
        <v>0</v>
      </c>
      <c r="AA49" s="66" t="n">
        <f aca="false">IF(AA$6=1,Inputs!$B$23,0)</f>
        <v>0</v>
      </c>
      <c r="AB49" s="66" t="n">
        <f aca="false">IF(AB$6=1,Inputs!$B$23,0)</f>
        <v>0</v>
      </c>
      <c r="AC49" s="66" t="n">
        <f aca="false">IF(AC$6=1,Inputs!$B$23,0)</f>
        <v>0</v>
      </c>
      <c r="AD49" s="66" t="n">
        <f aca="false">IF(AD$6=1,Inputs!$B$23,0)</f>
        <v>0</v>
      </c>
      <c r="AE49" s="66" t="n">
        <f aca="false">IF(AE$6=1,Inputs!$B$23,0)</f>
        <v>0</v>
      </c>
      <c r="AF49" s="66" t="n">
        <f aca="false">IF(AF$6=1,Inputs!$B$23,0)</f>
        <v>0</v>
      </c>
      <c r="AG49" s="66" t="n">
        <f aca="false">IF(AG$6=1,Inputs!$B$23,0)</f>
        <v>0</v>
      </c>
      <c r="AH49" s="66" t="n">
        <f aca="false">IF(AH$6=1,Inputs!$B$23,0)</f>
        <v>0</v>
      </c>
      <c r="AI49" s="66" t="n">
        <f aca="false">IF(AI$6=1,Inputs!$B$23,0)</f>
        <v>0</v>
      </c>
      <c r="AJ49" s="66" t="n">
        <f aca="false">IF(AJ$6=1,Inputs!$B$23,0)</f>
        <v>0</v>
      </c>
      <c r="AK49" s="66" t="n">
        <f aca="false">IF(AK$6=1,Inputs!$B$23,0)</f>
        <v>0</v>
      </c>
      <c r="AL49" s="66" t="n">
        <f aca="false">IF(AL$6=1,Inputs!$B$23,0)</f>
        <v>0</v>
      </c>
    </row>
    <row r="50" customFormat="false" ht="15" hidden="false" customHeight="false" outlineLevel="0" collapsed="false">
      <c r="A50" s="6" t="s">
        <v>389</v>
      </c>
      <c r="C50" s="66" t="n">
        <f aca="false">C49</f>
        <v>20000</v>
      </c>
      <c r="D50" s="66" t="n">
        <f aca="false">C50+D49</f>
        <v>20000</v>
      </c>
      <c r="E50" s="66" t="n">
        <f aca="false">D50+E49</f>
        <v>20000</v>
      </c>
      <c r="F50" s="66" t="n">
        <f aca="false">E50+F49</f>
        <v>20000</v>
      </c>
      <c r="G50" s="66" t="n">
        <f aca="false">F50+G49</f>
        <v>20000</v>
      </c>
      <c r="H50" s="66" t="n">
        <f aca="false">G50+H49</f>
        <v>20000</v>
      </c>
      <c r="I50" s="66" t="n">
        <f aca="false">H50+I49</f>
        <v>20000</v>
      </c>
      <c r="J50" s="66" t="n">
        <f aca="false">I50+J49</f>
        <v>20000</v>
      </c>
      <c r="K50" s="66" t="n">
        <f aca="false">J50+K49</f>
        <v>20000</v>
      </c>
      <c r="L50" s="66" t="n">
        <f aca="false">K50+L49</f>
        <v>20000</v>
      </c>
      <c r="M50" s="66" t="n">
        <f aca="false">L50+M49</f>
        <v>20000</v>
      </c>
      <c r="N50" s="66" t="n">
        <f aca="false">M50+N49</f>
        <v>20000</v>
      </c>
      <c r="O50" s="66" t="n">
        <f aca="false">N50+O49</f>
        <v>20000</v>
      </c>
      <c r="P50" s="66" t="n">
        <f aca="false">O50+P49</f>
        <v>20000</v>
      </c>
      <c r="Q50" s="66" t="n">
        <f aca="false">P50+Q49</f>
        <v>20000</v>
      </c>
      <c r="R50" s="66" t="n">
        <f aca="false">Q50+R49</f>
        <v>20000</v>
      </c>
      <c r="S50" s="66" t="n">
        <f aca="false">R50+S49</f>
        <v>20000</v>
      </c>
      <c r="T50" s="66" t="n">
        <f aca="false">S50+T49</f>
        <v>20000</v>
      </c>
      <c r="U50" s="66" t="n">
        <f aca="false">T50+U49</f>
        <v>20000</v>
      </c>
      <c r="V50" s="66" t="n">
        <f aca="false">U50+V49</f>
        <v>20000</v>
      </c>
      <c r="W50" s="66" t="n">
        <f aca="false">V50+W49</f>
        <v>20000</v>
      </c>
      <c r="X50" s="66" t="n">
        <f aca="false">W50+X49</f>
        <v>20000</v>
      </c>
      <c r="Y50" s="66" t="n">
        <f aca="false">X50+Y49</f>
        <v>20000</v>
      </c>
      <c r="Z50" s="66" t="n">
        <f aca="false">Y50+Z49</f>
        <v>20000</v>
      </c>
      <c r="AA50" s="66" t="n">
        <f aca="false">Z50+AA49</f>
        <v>20000</v>
      </c>
      <c r="AB50" s="66" t="n">
        <f aca="false">AA50+AB49</f>
        <v>20000</v>
      </c>
      <c r="AC50" s="66" t="n">
        <f aca="false">AB50+AC49</f>
        <v>20000</v>
      </c>
      <c r="AD50" s="66" t="n">
        <f aca="false">AC50+AD49</f>
        <v>20000</v>
      </c>
      <c r="AE50" s="66" t="n">
        <f aca="false">AD50+AE49</f>
        <v>20000</v>
      </c>
      <c r="AF50" s="66" t="n">
        <f aca="false">AE50+AF49</f>
        <v>20000</v>
      </c>
      <c r="AG50" s="66" t="n">
        <f aca="false">AF50+AG49</f>
        <v>20000</v>
      </c>
      <c r="AH50" s="66" t="n">
        <f aca="false">AG50+AH49</f>
        <v>20000</v>
      </c>
      <c r="AI50" s="66" t="n">
        <f aca="false">AH50+AI49</f>
        <v>20000</v>
      </c>
      <c r="AJ50" s="66" t="n">
        <f aca="false">AI50+AJ49</f>
        <v>20000</v>
      </c>
      <c r="AK50" s="66" t="n">
        <f aca="false">AJ50+AK49</f>
        <v>20000</v>
      </c>
      <c r="AL50" s="66" t="n">
        <f aca="false">AK50+AL49</f>
        <v>20000</v>
      </c>
    </row>
    <row r="51" customFormat="false" ht="15" hidden="false" customHeight="false" outlineLevel="0" collapsed="false">
      <c r="A51" s="6" t="s">
        <v>77</v>
      </c>
      <c r="C51" s="66" t="n">
        <f aca="false">-MIN(C50/MAX(1,Inputs!$B$57*12),C49)</f>
        <v>-555.555555555556</v>
      </c>
      <c r="D51" s="66" t="n">
        <f aca="false">-MIN(D50/MAX(1,Inputs!$B$57*12),C53+D49)</f>
        <v>-555.555555555556</v>
      </c>
      <c r="E51" s="66" t="n">
        <f aca="false">-MIN(E50/MAX(1,Inputs!$B$57*12),D53+E49)</f>
        <v>-555.555555555556</v>
      </c>
      <c r="F51" s="66" t="n">
        <f aca="false">-MIN(F50/MAX(1,Inputs!$B$57*12),E53+F49)</f>
        <v>-555.555555555556</v>
      </c>
      <c r="G51" s="66" t="n">
        <f aca="false">-MIN(G50/MAX(1,Inputs!$B$57*12),F53+G49)</f>
        <v>-555.555555555556</v>
      </c>
      <c r="H51" s="66" t="n">
        <f aca="false">-MIN(H50/MAX(1,Inputs!$B$57*12),G53+H49)</f>
        <v>-555.555555555556</v>
      </c>
      <c r="I51" s="66" t="n">
        <f aca="false">-MIN(I50/MAX(1,Inputs!$B$57*12),H53+I49)</f>
        <v>-555.555555555556</v>
      </c>
      <c r="J51" s="66" t="n">
        <f aca="false">-MIN(J50/MAX(1,Inputs!$B$57*12),I53+J49)</f>
        <v>-555.555555555556</v>
      </c>
      <c r="K51" s="66" t="n">
        <f aca="false">-MIN(K50/MAX(1,Inputs!$B$57*12),J53+K49)</f>
        <v>-555.555555555556</v>
      </c>
      <c r="L51" s="66" t="n">
        <f aca="false">-MIN(L50/MAX(1,Inputs!$B$57*12),K53+L49)</f>
        <v>-555.555555555556</v>
      </c>
      <c r="M51" s="66" t="n">
        <f aca="false">-MIN(M50/MAX(1,Inputs!$B$57*12),L53+M49)</f>
        <v>-555.555555555556</v>
      </c>
      <c r="N51" s="66" t="n">
        <f aca="false">-MIN(N50/MAX(1,Inputs!$B$57*12),M53+N49)</f>
        <v>-555.555555555556</v>
      </c>
      <c r="O51" s="66" t="n">
        <f aca="false">-MIN(O50/MAX(1,Inputs!$B$57*12),N53+O49)</f>
        <v>-555.555555555556</v>
      </c>
      <c r="P51" s="66" t="n">
        <f aca="false">-MIN(P50/MAX(1,Inputs!$B$57*12),O53+P49)</f>
        <v>-555.555555555556</v>
      </c>
      <c r="Q51" s="66" t="n">
        <f aca="false">-MIN(Q50/MAX(1,Inputs!$B$57*12),P53+Q49)</f>
        <v>-555.555555555556</v>
      </c>
      <c r="R51" s="66" t="n">
        <f aca="false">-MIN(R50/MAX(1,Inputs!$B$57*12),Q53+R49)</f>
        <v>-555.555555555556</v>
      </c>
      <c r="S51" s="66" t="n">
        <f aca="false">-MIN(S50/MAX(1,Inputs!$B$57*12),R53+S49)</f>
        <v>-555.555555555556</v>
      </c>
      <c r="T51" s="66" t="n">
        <f aca="false">-MIN(T50/MAX(1,Inputs!$B$57*12),S53+T49)</f>
        <v>-555.555555555556</v>
      </c>
      <c r="U51" s="66" t="n">
        <f aca="false">-MIN(U50/MAX(1,Inputs!$B$57*12),T53+U49)</f>
        <v>-555.555555555556</v>
      </c>
      <c r="V51" s="66" t="n">
        <f aca="false">-MIN(V50/MAX(1,Inputs!$B$57*12),U53+V49)</f>
        <v>-555.555555555556</v>
      </c>
      <c r="W51" s="66" t="n">
        <f aca="false">-MIN(W50/MAX(1,Inputs!$B$57*12),V53+W49)</f>
        <v>-555.555555555556</v>
      </c>
      <c r="X51" s="66" t="n">
        <f aca="false">-MIN(X50/MAX(1,Inputs!$B$57*12),W53+X49)</f>
        <v>-555.555555555556</v>
      </c>
      <c r="Y51" s="66" t="n">
        <f aca="false">-MIN(Y50/MAX(1,Inputs!$B$57*12),X53+Y49)</f>
        <v>-555.555555555556</v>
      </c>
      <c r="Z51" s="66" t="n">
        <f aca="false">-MIN(Z50/MAX(1,Inputs!$B$57*12),Y53+Z49)</f>
        <v>-555.555555555556</v>
      </c>
      <c r="AA51" s="66" t="n">
        <f aca="false">-MIN(AA50/MAX(1,Inputs!$B$57*12),Z53+AA49)</f>
        <v>-555.555555555556</v>
      </c>
      <c r="AB51" s="66" t="n">
        <f aca="false">-MIN(AB50/MAX(1,Inputs!$B$57*12),AA53+AB49)</f>
        <v>-555.555555555556</v>
      </c>
      <c r="AC51" s="66" t="n">
        <f aca="false">-MIN(AC50/MAX(1,Inputs!$B$57*12),AB53+AC49)</f>
        <v>-555.555555555556</v>
      </c>
      <c r="AD51" s="66" t="n">
        <f aca="false">-MIN(AD50/MAX(1,Inputs!$B$57*12),AC53+AD49)</f>
        <v>-555.555555555556</v>
      </c>
      <c r="AE51" s="66" t="n">
        <f aca="false">-MIN(AE50/MAX(1,Inputs!$B$57*12),AD53+AE49)</f>
        <v>-555.555555555556</v>
      </c>
      <c r="AF51" s="66" t="n">
        <f aca="false">-MIN(AF50/MAX(1,Inputs!$B$57*12),AE53+AF49)</f>
        <v>-555.555555555556</v>
      </c>
      <c r="AG51" s="66" t="n">
        <f aca="false">-MIN(AG50/MAX(1,Inputs!$B$57*12),AF53+AG49)</f>
        <v>-555.555555555556</v>
      </c>
      <c r="AH51" s="66" t="n">
        <f aca="false">-MIN(AH50/MAX(1,Inputs!$B$57*12),AG53+AH49)</f>
        <v>-555.555555555556</v>
      </c>
      <c r="AI51" s="66" t="n">
        <f aca="false">-MIN(AI50/MAX(1,Inputs!$B$57*12),AH53+AI49)</f>
        <v>-555.555555555556</v>
      </c>
      <c r="AJ51" s="66" t="n">
        <f aca="false">-MIN(AJ50/MAX(1,Inputs!$B$57*12),AI53+AJ49)</f>
        <v>-555.555555555556</v>
      </c>
      <c r="AK51" s="66" t="n">
        <f aca="false">-MIN(AK50/MAX(1,Inputs!$B$57*12),AJ53+AK49)</f>
        <v>-555.555555555556</v>
      </c>
      <c r="AL51" s="66" t="n">
        <f aca="false">-MIN(AL50/MAX(1,Inputs!$B$57*12),AK53+AL49)</f>
        <v>-555.555555555556</v>
      </c>
    </row>
    <row r="52" customFormat="false" ht="15" hidden="false" customHeight="false" outlineLevel="0" collapsed="false">
      <c r="A52" s="6" t="s">
        <v>390</v>
      </c>
      <c r="C52" s="66" t="n">
        <f aca="false">C51</f>
        <v>-555.555555555556</v>
      </c>
      <c r="D52" s="66" t="n">
        <f aca="false">C52+D51</f>
        <v>-1111.11111111111</v>
      </c>
      <c r="E52" s="66" t="n">
        <f aca="false">D52+E51</f>
        <v>-1666.66666666667</v>
      </c>
      <c r="F52" s="66" t="n">
        <f aca="false">E52+F51</f>
        <v>-2222.22222222222</v>
      </c>
      <c r="G52" s="66" t="n">
        <f aca="false">F52+G51</f>
        <v>-2777.77777777778</v>
      </c>
      <c r="H52" s="66" t="n">
        <f aca="false">G52+H51</f>
        <v>-3333.33333333333</v>
      </c>
      <c r="I52" s="66" t="n">
        <f aca="false">H52+I51</f>
        <v>-3888.88888888889</v>
      </c>
      <c r="J52" s="66" t="n">
        <f aca="false">I52+J51</f>
        <v>-4444.44444444444</v>
      </c>
      <c r="K52" s="66" t="n">
        <f aca="false">J52+K51</f>
        <v>-5000</v>
      </c>
      <c r="L52" s="66" t="n">
        <f aca="false">K52+L51</f>
        <v>-5555.55555555556</v>
      </c>
      <c r="M52" s="66" t="n">
        <f aca="false">L52+M51</f>
        <v>-6111.11111111111</v>
      </c>
      <c r="N52" s="66" t="n">
        <f aca="false">M52+N51</f>
        <v>-6666.66666666667</v>
      </c>
      <c r="O52" s="66" t="n">
        <f aca="false">N52+O51</f>
        <v>-7222.22222222222</v>
      </c>
      <c r="P52" s="66" t="n">
        <f aca="false">O52+P51</f>
        <v>-7777.77777777778</v>
      </c>
      <c r="Q52" s="66" t="n">
        <f aca="false">P52+Q51</f>
        <v>-8333.33333333333</v>
      </c>
      <c r="R52" s="66" t="n">
        <f aca="false">Q52+R51</f>
        <v>-8888.88888888889</v>
      </c>
      <c r="S52" s="66" t="n">
        <f aca="false">R52+S51</f>
        <v>-9444.44444444444</v>
      </c>
      <c r="T52" s="66" t="n">
        <f aca="false">S52+T51</f>
        <v>-10000</v>
      </c>
      <c r="U52" s="66" t="n">
        <f aca="false">T52+U51</f>
        <v>-10555.5555555556</v>
      </c>
      <c r="V52" s="66" t="n">
        <f aca="false">U52+V51</f>
        <v>-11111.1111111111</v>
      </c>
      <c r="W52" s="66" t="n">
        <f aca="false">V52+W51</f>
        <v>-11666.6666666667</v>
      </c>
      <c r="X52" s="66" t="n">
        <f aca="false">W52+X51</f>
        <v>-12222.2222222222</v>
      </c>
      <c r="Y52" s="66" t="n">
        <f aca="false">X52+Y51</f>
        <v>-12777.7777777778</v>
      </c>
      <c r="Z52" s="66" t="n">
        <f aca="false">Y52+Z51</f>
        <v>-13333.3333333333</v>
      </c>
      <c r="AA52" s="66" t="n">
        <f aca="false">Z52+AA51</f>
        <v>-13888.8888888889</v>
      </c>
      <c r="AB52" s="66" t="n">
        <f aca="false">AA52+AB51</f>
        <v>-14444.4444444444</v>
      </c>
      <c r="AC52" s="66" t="n">
        <f aca="false">AB52+AC51</f>
        <v>-15000</v>
      </c>
      <c r="AD52" s="66" t="n">
        <f aca="false">AC52+AD51</f>
        <v>-15555.5555555555</v>
      </c>
      <c r="AE52" s="66" t="n">
        <f aca="false">AD52+AE51</f>
        <v>-16111.1111111111</v>
      </c>
      <c r="AF52" s="66" t="n">
        <f aca="false">AE52+AF51</f>
        <v>-16666.6666666667</v>
      </c>
      <c r="AG52" s="66" t="n">
        <f aca="false">AF52+AG51</f>
        <v>-17222.2222222222</v>
      </c>
      <c r="AH52" s="66" t="n">
        <f aca="false">AG52+AH51</f>
        <v>-17777.7777777778</v>
      </c>
      <c r="AI52" s="66" t="n">
        <f aca="false">AH52+AI51</f>
        <v>-18333.3333333333</v>
      </c>
      <c r="AJ52" s="66" t="n">
        <f aca="false">AI52+AJ51</f>
        <v>-18888.8888888889</v>
      </c>
      <c r="AK52" s="66" t="n">
        <f aca="false">AJ52+AK51</f>
        <v>-19444.4444444444</v>
      </c>
      <c r="AL52" s="66" t="n">
        <f aca="false">AK52+AL51</f>
        <v>-20000</v>
      </c>
    </row>
    <row r="53" customFormat="false" ht="15" hidden="false" customHeight="false" outlineLevel="0" collapsed="false">
      <c r="A53" s="4" t="s">
        <v>91</v>
      </c>
      <c r="C53" s="72" t="n">
        <f aca="false">C50+C52</f>
        <v>19444.4444444444</v>
      </c>
      <c r="D53" s="72" t="n">
        <f aca="false">D50+D52</f>
        <v>18888.8888888889</v>
      </c>
      <c r="E53" s="72" t="n">
        <f aca="false">E50+E52</f>
        <v>18333.3333333333</v>
      </c>
      <c r="F53" s="72" t="n">
        <f aca="false">F50+F52</f>
        <v>17777.7777777778</v>
      </c>
      <c r="G53" s="72" t="n">
        <f aca="false">G50+G52</f>
        <v>17222.2222222222</v>
      </c>
      <c r="H53" s="72" t="n">
        <f aca="false">H50+H52</f>
        <v>16666.6666666667</v>
      </c>
      <c r="I53" s="72" t="n">
        <f aca="false">I50+I52</f>
        <v>16111.1111111111</v>
      </c>
      <c r="J53" s="72" t="n">
        <f aca="false">J50+J52</f>
        <v>15555.5555555556</v>
      </c>
      <c r="K53" s="72" t="n">
        <f aca="false">K50+K52</f>
        <v>15000</v>
      </c>
      <c r="L53" s="72" t="n">
        <f aca="false">L50+L52</f>
        <v>14444.4444444444</v>
      </c>
      <c r="M53" s="72" t="n">
        <f aca="false">M50+M52</f>
        <v>13888.8888888889</v>
      </c>
      <c r="N53" s="72" t="n">
        <f aca="false">N50+N52</f>
        <v>13333.3333333333</v>
      </c>
      <c r="O53" s="72" t="n">
        <f aca="false">O50+O52</f>
        <v>12777.7777777778</v>
      </c>
      <c r="P53" s="72" t="n">
        <f aca="false">P50+P52</f>
        <v>12222.2222222222</v>
      </c>
      <c r="Q53" s="72" t="n">
        <f aca="false">Q50+Q52</f>
        <v>11666.6666666667</v>
      </c>
      <c r="R53" s="72" t="n">
        <f aca="false">R50+R52</f>
        <v>11111.1111111111</v>
      </c>
      <c r="S53" s="72" t="n">
        <f aca="false">S50+S52</f>
        <v>10555.5555555556</v>
      </c>
      <c r="T53" s="72" t="n">
        <f aca="false">T50+T52</f>
        <v>10000</v>
      </c>
      <c r="U53" s="72" t="n">
        <f aca="false">U50+U52</f>
        <v>9444.44444444445</v>
      </c>
      <c r="V53" s="72" t="n">
        <f aca="false">V50+V52</f>
        <v>8888.88888888889</v>
      </c>
      <c r="W53" s="72" t="n">
        <f aca="false">W50+W52</f>
        <v>8333.33333333334</v>
      </c>
      <c r="X53" s="72" t="n">
        <f aca="false">X50+X52</f>
        <v>7777.77777777778</v>
      </c>
      <c r="Y53" s="72" t="n">
        <f aca="false">Y50+Y52</f>
        <v>7222.22222222223</v>
      </c>
      <c r="Z53" s="72" t="n">
        <f aca="false">Z50+Z52</f>
        <v>6666.66666666667</v>
      </c>
      <c r="AA53" s="72" t="n">
        <f aca="false">AA50+AA52</f>
        <v>6111.11111111112</v>
      </c>
      <c r="AB53" s="72" t="n">
        <f aca="false">AB50+AB52</f>
        <v>5555.55555555556</v>
      </c>
      <c r="AC53" s="72" t="n">
        <f aca="false">AC50+AC52</f>
        <v>5000.00000000001</v>
      </c>
      <c r="AD53" s="72" t="n">
        <f aca="false">AD50+AD52</f>
        <v>4444.44444444445</v>
      </c>
      <c r="AE53" s="72" t="n">
        <f aca="false">AE50+AE52</f>
        <v>3888.8888888889</v>
      </c>
      <c r="AF53" s="72" t="n">
        <f aca="false">AF50+AF52</f>
        <v>3333.33333333334</v>
      </c>
      <c r="AG53" s="72" t="n">
        <f aca="false">AG50+AG52</f>
        <v>2777.77777777779</v>
      </c>
      <c r="AH53" s="72" t="n">
        <f aca="false">AH50+AH52</f>
        <v>2222.22222222223</v>
      </c>
      <c r="AI53" s="72" t="n">
        <f aca="false">AI50+AI52</f>
        <v>1666.66666666668</v>
      </c>
      <c r="AJ53" s="72" t="n">
        <f aca="false">AJ50+AJ52</f>
        <v>1111.11111111112</v>
      </c>
      <c r="AK53" s="72" t="n">
        <f aca="false">AK50+AK52</f>
        <v>555.555555555569</v>
      </c>
      <c r="AL53" s="72" t="n">
        <f aca="false">AL50+AL52</f>
        <v>0</v>
      </c>
    </row>
    <row r="55" customFormat="false" ht="15.75" hidden="false" customHeight="true" outlineLevel="0" collapsed="false">
      <c r="A55" s="7" t="s">
        <v>391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392</v>
      </c>
      <c r="C56" s="66" t="n">
        <f aca="false">0</f>
        <v>0</v>
      </c>
      <c r="D56" s="66" t="n">
        <f aca="false">C59</f>
        <v>0</v>
      </c>
      <c r="E56" s="66" t="n">
        <f aca="false">D59</f>
        <v>0</v>
      </c>
      <c r="F56" s="66" t="n">
        <f aca="false">E59</f>
        <v>0</v>
      </c>
      <c r="G56" s="66" t="n">
        <f aca="false">F59</f>
        <v>0</v>
      </c>
      <c r="H56" s="66" t="n">
        <f aca="false">G59</f>
        <v>0</v>
      </c>
      <c r="I56" s="66" t="n">
        <f aca="false">H59</f>
        <v>0</v>
      </c>
      <c r="J56" s="66" t="n">
        <f aca="false">I59</f>
        <v>0</v>
      </c>
      <c r="K56" s="66" t="n">
        <f aca="false">J59</f>
        <v>0</v>
      </c>
      <c r="L56" s="66" t="n">
        <f aca="false">K59</f>
        <v>0</v>
      </c>
      <c r="M56" s="66" t="n">
        <f aca="false">L59</f>
        <v>0</v>
      </c>
      <c r="N56" s="66" t="n">
        <f aca="false">M59</f>
        <v>0</v>
      </c>
      <c r="O56" s="66" t="n">
        <f aca="false">N59</f>
        <v>0</v>
      </c>
      <c r="P56" s="66" t="n">
        <f aca="false">O59</f>
        <v>0</v>
      </c>
      <c r="Q56" s="66" t="n">
        <f aca="false">P59</f>
        <v>0</v>
      </c>
      <c r="R56" s="66" t="n">
        <f aca="false">Q59</f>
        <v>0</v>
      </c>
      <c r="S56" s="66" t="n">
        <f aca="false">R59</f>
        <v>0</v>
      </c>
      <c r="T56" s="66" t="n">
        <f aca="false">S59</f>
        <v>0</v>
      </c>
      <c r="U56" s="66" t="n">
        <f aca="false">T59</f>
        <v>0</v>
      </c>
      <c r="V56" s="66" t="n">
        <f aca="false">U59</f>
        <v>0</v>
      </c>
      <c r="W56" s="66" t="n">
        <f aca="false">V59</f>
        <v>0</v>
      </c>
      <c r="X56" s="66" t="n">
        <f aca="false">W59</f>
        <v>0</v>
      </c>
      <c r="Y56" s="66" t="n">
        <f aca="false">X59</f>
        <v>0</v>
      </c>
      <c r="Z56" s="66" t="n">
        <f aca="false">Y59</f>
        <v>0</v>
      </c>
      <c r="AA56" s="66" t="n">
        <f aca="false">Z59</f>
        <v>0</v>
      </c>
      <c r="AB56" s="66" t="n">
        <f aca="false">AA59</f>
        <v>0</v>
      </c>
      <c r="AC56" s="66" t="n">
        <f aca="false">AB59</f>
        <v>0</v>
      </c>
      <c r="AD56" s="66" t="n">
        <f aca="false">AC59</f>
        <v>0</v>
      </c>
      <c r="AE56" s="66" t="n">
        <f aca="false">AD59</f>
        <v>0</v>
      </c>
      <c r="AF56" s="66" t="n">
        <f aca="false">AE59</f>
        <v>0</v>
      </c>
      <c r="AG56" s="66" t="n">
        <f aca="false">AF59</f>
        <v>0</v>
      </c>
      <c r="AH56" s="66" t="n">
        <f aca="false">AG59</f>
        <v>0</v>
      </c>
      <c r="AI56" s="66" t="n">
        <f aca="false">AH59</f>
        <v>0</v>
      </c>
      <c r="AJ56" s="66" t="n">
        <f aca="false">AI59</f>
        <v>0</v>
      </c>
      <c r="AK56" s="66" t="n">
        <f aca="false">AJ59</f>
        <v>0</v>
      </c>
      <c r="AL56" s="66" t="n">
        <f aca="false">AK59</f>
        <v>0</v>
      </c>
    </row>
    <row r="57" customFormat="false" ht="15" hidden="false" customHeight="false" outlineLevel="0" collapsed="false">
      <c r="A57" s="6" t="s">
        <v>84</v>
      </c>
      <c r="C57" s="66" t="n">
        <f aca="false">IF(C$6=1,Inputs!$B$47,0)</f>
        <v>0</v>
      </c>
      <c r="D57" s="66" t="n">
        <f aca="false">IF(D$6=1,Inputs!$B$47,0)</f>
        <v>0</v>
      </c>
      <c r="E57" s="66" t="n">
        <f aca="false">IF(E$6=1,Inputs!$B$47,0)</f>
        <v>0</v>
      </c>
      <c r="F57" s="66" t="n">
        <f aca="false">IF(F$6=1,Inputs!$B$47,0)</f>
        <v>0</v>
      </c>
      <c r="G57" s="66" t="n">
        <f aca="false">IF(G$6=1,Inputs!$B$47,0)</f>
        <v>0</v>
      </c>
      <c r="H57" s="66" t="n">
        <f aca="false">IF(H$6=1,Inputs!$B$47,0)</f>
        <v>0</v>
      </c>
      <c r="I57" s="66" t="n">
        <f aca="false">IF(I$6=1,Inputs!$B$47,0)</f>
        <v>0</v>
      </c>
      <c r="J57" s="66" t="n">
        <f aca="false">IF(J$6=1,Inputs!$B$47,0)</f>
        <v>0</v>
      </c>
      <c r="K57" s="66" t="n">
        <f aca="false">IF(K$6=1,Inputs!$B$47,0)</f>
        <v>0</v>
      </c>
      <c r="L57" s="66" t="n">
        <f aca="false">IF(L$6=1,Inputs!$B$47,0)</f>
        <v>0</v>
      </c>
      <c r="M57" s="66" t="n">
        <f aca="false">IF(M$6=1,Inputs!$B$47,0)</f>
        <v>0</v>
      </c>
      <c r="N57" s="66" t="n">
        <f aca="false">IF(N$6=1,Inputs!$B$47,0)</f>
        <v>0</v>
      </c>
      <c r="O57" s="66" t="n">
        <f aca="false">IF(O$6=1,Inputs!$B$47,0)</f>
        <v>0</v>
      </c>
      <c r="P57" s="66" t="n">
        <f aca="false">IF(P$6=1,Inputs!$B$47,0)</f>
        <v>0</v>
      </c>
      <c r="Q57" s="66" t="n">
        <f aca="false">IF(Q$6=1,Inputs!$B$47,0)</f>
        <v>0</v>
      </c>
      <c r="R57" s="66" t="n">
        <f aca="false">IF(R$6=1,Inputs!$B$47,0)</f>
        <v>0</v>
      </c>
      <c r="S57" s="66" t="n">
        <f aca="false">IF(S$6=1,Inputs!$B$47,0)</f>
        <v>0</v>
      </c>
      <c r="T57" s="66" t="n">
        <f aca="false">IF(T$6=1,Inputs!$B$47,0)</f>
        <v>0</v>
      </c>
      <c r="U57" s="66" t="n">
        <f aca="false">IF(U$6=1,Inputs!$B$47,0)</f>
        <v>0</v>
      </c>
      <c r="V57" s="66" t="n">
        <f aca="false">IF(V$6=1,Inputs!$B$47,0)</f>
        <v>0</v>
      </c>
      <c r="W57" s="66" t="n">
        <f aca="false">IF(W$6=1,Inputs!$B$47,0)</f>
        <v>0</v>
      </c>
      <c r="X57" s="66" t="n">
        <f aca="false">IF(X$6=1,Inputs!$B$47,0)</f>
        <v>0</v>
      </c>
      <c r="Y57" s="66" t="n">
        <f aca="false">IF(Y$6=1,Inputs!$B$47,0)</f>
        <v>0</v>
      </c>
      <c r="Z57" s="66" t="n">
        <f aca="false">IF(Z$6=1,Inputs!$B$47,0)</f>
        <v>0</v>
      </c>
      <c r="AA57" s="66" t="n">
        <f aca="false">IF(AA$6=1,Inputs!$B$47,0)</f>
        <v>0</v>
      </c>
      <c r="AB57" s="66" t="n">
        <f aca="false">IF(AB$6=1,Inputs!$B$47,0)</f>
        <v>0</v>
      </c>
      <c r="AC57" s="66" t="n">
        <f aca="false">IF(AC$6=1,Inputs!$B$47,0)</f>
        <v>0</v>
      </c>
      <c r="AD57" s="66" t="n">
        <f aca="false">IF(AD$6=1,Inputs!$B$47,0)</f>
        <v>0</v>
      </c>
      <c r="AE57" s="66" t="n">
        <f aca="false">IF(AE$6=1,Inputs!$B$47,0)</f>
        <v>0</v>
      </c>
      <c r="AF57" s="66" t="n">
        <f aca="false">IF(AF$6=1,Inputs!$B$47,0)</f>
        <v>0</v>
      </c>
      <c r="AG57" s="66" t="n">
        <f aca="false">IF(AG$6=1,Inputs!$B$47,0)</f>
        <v>0</v>
      </c>
      <c r="AH57" s="66" t="n">
        <f aca="false">IF(AH$6=1,Inputs!$B$47,0)</f>
        <v>0</v>
      </c>
      <c r="AI57" s="66" t="n">
        <f aca="false">IF(AI$6=1,Inputs!$B$47,0)</f>
        <v>0</v>
      </c>
      <c r="AJ57" s="66" t="n">
        <f aca="false">IF(AJ$6=1,Inputs!$B$47,0)</f>
        <v>0</v>
      </c>
      <c r="AK57" s="66" t="n">
        <f aca="false">IF(AK$6=1,Inputs!$B$47,0)</f>
        <v>0</v>
      </c>
      <c r="AL57" s="66" t="n">
        <f aca="false">IF(AL$6=1,Inputs!$B$47,0)</f>
        <v>0</v>
      </c>
    </row>
    <row r="58" customFormat="false" ht="15" hidden="false" customHeight="false" outlineLevel="0" collapsed="false">
      <c r="A58" s="6" t="s">
        <v>85</v>
      </c>
      <c r="C58" s="66" t="n">
        <f aca="false">-MIN(C56,Inputs!$B$47/MAX(1,Inputs!$B$49*12))</f>
        <v>-0</v>
      </c>
      <c r="D58" s="66" t="n">
        <f aca="false">-MIN(D56,Inputs!$B$47/MAX(1,Inputs!$B$49*12))</f>
        <v>-0</v>
      </c>
      <c r="E58" s="66" t="n">
        <f aca="false">-MIN(E56,Inputs!$B$47/MAX(1,Inputs!$B$49*12))</f>
        <v>-0</v>
      </c>
      <c r="F58" s="66" t="n">
        <f aca="false">-MIN(F56,Inputs!$B$47/MAX(1,Inputs!$B$49*12))</f>
        <v>-0</v>
      </c>
      <c r="G58" s="66" t="n">
        <f aca="false">-MIN(G56,Inputs!$B$47/MAX(1,Inputs!$B$49*12))</f>
        <v>-0</v>
      </c>
      <c r="H58" s="66" t="n">
        <f aca="false">-MIN(H56,Inputs!$B$47/MAX(1,Inputs!$B$49*12))</f>
        <v>-0</v>
      </c>
      <c r="I58" s="66" t="n">
        <f aca="false">-MIN(I56,Inputs!$B$47/MAX(1,Inputs!$B$49*12))</f>
        <v>-0</v>
      </c>
      <c r="J58" s="66" t="n">
        <f aca="false">-MIN(J56,Inputs!$B$47/MAX(1,Inputs!$B$49*12))</f>
        <v>-0</v>
      </c>
      <c r="K58" s="66" t="n">
        <f aca="false">-MIN(K56,Inputs!$B$47/MAX(1,Inputs!$B$49*12))</f>
        <v>-0</v>
      </c>
      <c r="L58" s="66" t="n">
        <f aca="false">-MIN(L56,Inputs!$B$47/MAX(1,Inputs!$B$49*12))</f>
        <v>-0</v>
      </c>
      <c r="M58" s="66" t="n">
        <f aca="false">-MIN(M56,Inputs!$B$47/MAX(1,Inputs!$B$49*12))</f>
        <v>-0</v>
      </c>
      <c r="N58" s="66" t="n">
        <f aca="false">-MIN(N56,Inputs!$B$47/MAX(1,Inputs!$B$49*12))</f>
        <v>-0</v>
      </c>
      <c r="O58" s="66" t="n">
        <f aca="false">-MIN(O56,Inputs!$B$47/MAX(1,Inputs!$B$49*12))</f>
        <v>-0</v>
      </c>
      <c r="P58" s="66" t="n">
        <f aca="false">-MIN(P56,Inputs!$B$47/MAX(1,Inputs!$B$49*12))</f>
        <v>-0</v>
      </c>
      <c r="Q58" s="66" t="n">
        <f aca="false">-MIN(Q56,Inputs!$B$47/MAX(1,Inputs!$B$49*12))</f>
        <v>-0</v>
      </c>
      <c r="R58" s="66" t="n">
        <f aca="false">-MIN(R56,Inputs!$B$47/MAX(1,Inputs!$B$49*12))</f>
        <v>-0</v>
      </c>
      <c r="S58" s="66" t="n">
        <f aca="false">-MIN(S56,Inputs!$B$47/MAX(1,Inputs!$B$49*12))</f>
        <v>-0</v>
      </c>
      <c r="T58" s="66" t="n">
        <f aca="false">-MIN(T56,Inputs!$B$47/MAX(1,Inputs!$B$49*12))</f>
        <v>-0</v>
      </c>
      <c r="U58" s="66" t="n">
        <f aca="false">-MIN(U56,Inputs!$B$47/MAX(1,Inputs!$B$49*12))</f>
        <v>-0</v>
      </c>
      <c r="V58" s="66" t="n">
        <f aca="false">-MIN(V56,Inputs!$B$47/MAX(1,Inputs!$B$49*12))</f>
        <v>-0</v>
      </c>
      <c r="W58" s="66" t="n">
        <f aca="false">-MIN(W56,Inputs!$B$47/MAX(1,Inputs!$B$49*12))</f>
        <v>-0</v>
      </c>
      <c r="X58" s="66" t="n">
        <f aca="false">-MIN(X56,Inputs!$B$47/MAX(1,Inputs!$B$49*12))</f>
        <v>-0</v>
      </c>
      <c r="Y58" s="66" t="n">
        <f aca="false">-MIN(Y56,Inputs!$B$47/MAX(1,Inputs!$B$49*12))</f>
        <v>-0</v>
      </c>
      <c r="Z58" s="66" t="n">
        <f aca="false">-MIN(Z56,Inputs!$B$47/MAX(1,Inputs!$B$49*12))</f>
        <v>-0</v>
      </c>
      <c r="AA58" s="66" t="n">
        <f aca="false">-MIN(AA56,Inputs!$B$47/MAX(1,Inputs!$B$49*12))</f>
        <v>-0</v>
      </c>
      <c r="AB58" s="66" t="n">
        <f aca="false">-MIN(AB56,Inputs!$B$47/MAX(1,Inputs!$B$49*12))</f>
        <v>-0</v>
      </c>
      <c r="AC58" s="66" t="n">
        <f aca="false">-MIN(AC56,Inputs!$B$47/MAX(1,Inputs!$B$49*12))</f>
        <v>-0</v>
      </c>
      <c r="AD58" s="66" t="n">
        <f aca="false">-MIN(AD56,Inputs!$B$47/MAX(1,Inputs!$B$49*12))</f>
        <v>-0</v>
      </c>
      <c r="AE58" s="66" t="n">
        <f aca="false">-MIN(AE56,Inputs!$B$47/MAX(1,Inputs!$B$49*12))</f>
        <v>-0</v>
      </c>
      <c r="AF58" s="66" t="n">
        <f aca="false">-MIN(AF56,Inputs!$B$47/MAX(1,Inputs!$B$49*12))</f>
        <v>-0</v>
      </c>
      <c r="AG58" s="66" t="n">
        <f aca="false">-MIN(AG56,Inputs!$B$47/MAX(1,Inputs!$B$49*12))</f>
        <v>-0</v>
      </c>
      <c r="AH58" s="66" t="n">
        <f aca="false">-MIN(AH56,Inputs!$B$47/MAX(1,Inputs!$B$49*12))</f>
        <v>-0</v>
      </c>
      <c r="AI58" s="66" t="n">
        <f aca="false">-MIN(AI56,Inputs!$B$47/MAX(1,Inputs!$B$49*12))</f>
        <v>-0</v>
      </c>
      <c r="AJ58" s="66" t="n">
        <f aca="false">-MIN(AJ56,Inputs!$B$47/MAX(1,Inputs!$B$49*12))</f>
        <v>-0</v>
      </c>
      <c r="AK58" s="66" t="n">
        <f aca="false">-MIN(AK56,Inputs!$B$47/MAX(1,Inputs!$B$49*12))</f>
        <v>-0</v>
      </c>
      <c r="AL58" s="66" t="n">
        <f aca="false">-MIN(AL56,Inputs!$B$47/MAX(1,Inputs!$B$49*12))</f>
        <v>-0</v>
      </c>
    </row>
    <row r="59" customFormat="false" ht="15" hidden="false" customHeight="false" outlineLevel="0" collapsed="false">
      <c r="A59" s="4" t="s">
        <v>393</v>
      </c>
      <c r="C59" s="72" t="n">
        <f aca="false">C56+C57+C58</f>
        <v>0</v>
      </c>
      <c r="D59" s="72" t="n">
        <f aca="false">D56+D57+D58</f>
        <v>0</v>
      </c>
      <c r="E59" s="72" t="n">
        <f aca="false">E56+E57+E58</f>
        <v>0</v>
      </c>
      <c r="F59" s="72" t="n">
        <f aca="false">F56+F57+F58</f>
        <v>0</v>
      </c>
      <c r="G59" s="72" t="n">
        <f aca="false">G56+G57+G58</f>
        <v>0</v>
      </c>
      <c r="H59" s="72" t="n">
        <f aca="false">H56+H57+H58</f>
        <v>0</v>
      </c>
      <c r="I59" s="72" t="n">
        <f aca="false">I56+I57+I58</f>
        <v>0</v>
      </c>
      <c r="J59" s="72" t="n">
        <f aca="false">J56+J57+J58</f>
        <v>0</v>
      </c>
      <c r="K59" s="72" t="n">
        <f aca="false">K56+K57+K58</f>
        <v>0</v>
      </c>
      <c r="L59" s="72" t="n">
        <f aca="false">L56+L57+L58</f>
        <v>0</v>
      </c>
      <c r="M59" s="72" t="n">
        <f aca="false">M56+M57+M58</f>
        <v>0</v>
      </c>
      <c r="N59" s="72" t="n">
        <f aca="false">N56+N57+N58</f>
        <v>0</v>
      </c>
      <c r="O59" s="72" t="n">
        <f aca="false">O56+O57+O58</f>
        <v>0</v>
      </c>
      <c r="P59" s="72" t="n">
        <f aca="false">P56+P57+P58</f>
        <v>0</v>
      </c>
      <c r="Q59" s="72" t="n">
        <f aca="false">Q56+Q57+Q58</f>
        <v>0</v>
      </c>
      <c r="R59" s="72" t="n">
        <f aca="false">R56+R57+R58</f>
        <v>0</v>
      </c>
      <c r="S59" s="72" t="n">
        <f aca="false">S56+S57+S58</f>
        <v>0</v>
      </c>
      <c r="T59" s="72" t="n">
        <f aca="false">T56+T57+T58</f>
        <v>0</v>
      </c>
      <c r="U59" s="72" t="n">
        <f aca="false">U56+U57+U58</f>
        <v>0</v>
      </c>
      <c r="V59" s="72" t="n">
        <f aca="false">V56+V57+V58</f>
        <v>0</v>
      </c>
      <c r="W59" s="72" t="n">
        <f aca="false">W56+W57+W58</f>
        <v>0</v>
      </c>
      <c r="X59" s="72" t="n">
        <f aca="false">X56+X57+X58</f>
        <v>0</v>
      </c>
      <c r="Y59" s="72" t="n">
        <f aca="false">Y56+Y57+Y58</f>
        <v>0</v>
      </c>
      <c r="Z59" s="72" t="n">
        <f aca="false">Z56+Z57+Z58</f>
        <v>0</v>
      </c>
      <c r="AA59" s="72" t="n">
        <f aca="false">AA56+AA57+AA58</f>
        <v>0</v>
      </c>
      <c r="AB59" s="72" t="n">
        <f aca="false">AB56+AB57+AB58</f>
        <v>0</v>
      </c>
      <c r="AC59" s="72" t="n">
        <f aca="false">AC56+AC57+AC58</f>
        <v>0</v>
      </c>
      <c r="AD59" s="72" t="n">
        <f aca="false">AD56+AD57+AD58</f>
        <v>0</v>
      </c>
      <c r="AE59" s="72" t="n">
        <f aca="false">AE56+AE57+AE58</f>
        <v>0</v>
      </c>
      <c r="AF59" s="72" t="n">
        <f aca="false">AF56+AF57+AF58</f>
        <v>0</v>
      </c>
      <c r="AG59" s="72" t="n">
        <f aca="false">AG56+AG57+AG58</f>
        <v>0</v>
      </c>
      <c r="AH59" s="72" t="n">
        <f aca="false">AH56+AH57+AH58</f>
        <v>0</v>
      </c>
      <c r="AI59" s="72" t="n">
        <f aca="false">AI56+AI57+AI58</f>
        <v>0</v>
      </c>
      <c r="AJ59" s="72" t="n">
        <f aca="false">AJ56+AJ57+AJ58</f>
        <v>0</v>
      </c>
      <c r="AK59" s="72" t="n">
        <f aca="false">AK56+AK57+AK58</f>
        <v>0</v>
      </c>
      <c r="AL59" s="72" t="n">
        <f aca="false">AL56+AL57+AL58</f>
        <v>0</v>
      </c>
    </row>
    <row r="61" customFormat="false" ht="15.75" hidden="false" customHeight="true" outlineLevel="0" collapsed="false">
      <c r="A61" s="7" t="s">
        <v>299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89</v>
      </c>
      <c r="C62" s="66" t="n">
        <f aca="false">C26*Inputs!$B$52/30</f>
        <v>526.556944444444</v>
      </c>
      <c r="D62" s="66" t="n">
        <f aca="false">D26*Inputs!$B$52/30</f>
        <v>783.750770833333</v>
      </c>
      <c r="E62" s="66" t="n">
        <f aca="false">E26*Inputs!$B$52/30</f>
        <v>1029.37087503472</v>
      </c>
      <c r="F62" s="66" t="n">
        <f aca="false">F26*Inputs!$B$52/30</f>
        <v>1263.93807454705</v>
      </c>
      <c r="G62" s="66" t="n">
        <f aca="false">G26*Inputs!$B$52/30</f>
        <v>1487.94975008132</v>
      </c>
      <c r="H62" s="66" t="n">
        <f aca="false">H26*Inputs!$B$52/30</f>
        <v>1701.88090021655</v>
      </c>
      <c r="I62" s="66" t="n">
        <f aca="false">I26*Inputs!$B$52/30</f>
        <v>1906.18514859569</v>
      </c>
      <c r="J62" s="66" t="n">
        <f aca="false">J26*Inputs!$B$52/30</f>
        <v>2101.29570579778</v>
      </c>
      <c r="K62" s="66" t="n">
        <f aca="false">K26*Inputs!$B$52/30</f>
        <v>2287.62628792577</v>
      </c>
      <c r="L62" s="66" t="n">
        <f aca="false">L26*Inputs!$B$52/30</f>
        <v>2465.571993858</v>
      </c>
      <c r="M62" s="66" t="n">
        <f aca="false">M26*Inputs!$B$52/30</f>
        <v>2635.51014302328</v>
      </c>
      <c r="N62" s="66" t="n">
        <f aca="false">N26*Inputs!$B$52/30</f>
        <v>2797.80107547612</v>
      </c>
      <c r="O62" s="66" t="n">
        <f aca="false">O26*Inputs!$B$52/30</f>
        <v>2975.6111381908</v>
      </c>
      <c r="P62" s="66" t="n">
        <f aca="false">P26*Inputs!$B$52/30</f>
        <v>3168.24197030555</v>
      </c>
      <c r="Q62" s="66" t="n">
        <f aca="false">Q26*Inputs!$B$52/30</f>
        <v>3352.20441497514</v>
      </c>
      <c r="R62" s="66" t="n">
        <f aca="false">R26*Inputs!$B$52/30</f>
        <v>3527.88854963459</v>
      </c>
      <c r="S62" s="66" t="n">
        <f aca="false">S26*Inputs!$B$52/30</f>
        <v>3695.66689823436</v>
      </c>
      <c r="T62" s="66" t="n">
        <f aca="false">T26*Inputs!$B$52/30</f>
        <v>3855.89522114715</v>
      </c>
      <c r="U62" s="66" t="n">
        <f aca="false">U26*Inputs!$B$52/30</f>
        <v>4008.91326952886</v>
      </c>
      <c r="V62" s="66" t="n">
        <f aca="false">V26*Inputs!$B$52/30</f>
        <v>4155.0455057334</v>
      </c>
      <c r="W62" s="66" t="n">
        <f aca="false">W26*Inputs!$B$52/30</f>
        <v>4294.60179130873</v>
      </c>
      <c r="X62" s="66" t="n">
        <f aca="false">X26*Inputs!$B$52/30</f>
        <v>4427.87804403317</v>
      </c>
      <c r="Y62" s="66" t="n">
        <f aca="false">Y26*Inputs!$B$52/30</f>
        <v>4555.15686538501</v>
      </c>
      <c r="Z62" s="66" t="n">
        <f aca="false">Z26*Inputs!$B$52/30</f>
        <v>4676.70813977602</v>
      </c>
      <c r="AA62" s="66" t="n">
        <f aca="false">AA26*Inputs!$B$52/30</f>
        <v>4819.64960681943</v>
      </c>
      <c r="AB62" s="66" t="n">
        <f aca="false">AB26*Inputs!$B$52/30</f>
        <v>4983.01870784589</v>
      </c>
      <c r="AC62" s="66" t="n">
        <f aca="false">AC26*Inputs!$B$52/30</f>
        <v>5139.03619932616</v>
      </c>
      <c r="AD62" s="66" t="n">
        <f aca="false">AD26*Inputs!$B$52/30</f>
        <v>5288.03290368981</v>
      </c>
      <c r="AE62" s="66" t="n">
        <f aca="false">AE26*Inputs!$B$52/30</f>
        <v>5430.32475635711</v>
      </c>
      <c r="AF62" s="66" t="n">
        <f aca="false">AF26*Inputs!$B$52/30</f>
        <v>5566.21347565437</v>
      </c>
      <c r="AG62" s="66" t="n">
        <f aca="false">AG26*Inputs!$B$52/30</f>
        <v>5695.98720258326</v>
      </c>
      <c r="AH62" s="66" t="n">
        <f aca="false">AH26*Inputs!$B$52/30</f>
        <v>5819.92111180034</v>
      </c>
      <c r="AI62" s="66" t="n">
        <f aca="false">AI26*Inputs!$B$52/30</f>
        <v>5938.27799510266</v>
      </c>
      <c r="AJ62" s="66" t="n">
        <f aca="false">AJ26*Inputs!$B$52/30</f>
        <v>6051.30881865637</v>
      </c>
      <c r="AK62" s="66" t="n">
        <f aca="false">AK26*Inputs!$B$52/30</f>
        <v>6159.25325515017</v>
      </c>
      <c r="AL62" s="66" t="n">
        <f aca="false">AL26*Inputs!$B$52/30</f>
        <v>6262.34019200174</v>
      </c>
    </row>
    <row r="63" customFormat="false" ht="15" hidden="false" customHeight="false" outlineLevel="0" collapsed="false">
      <c r="A63" s="6" t="s">
        <v>90</v>
      </c>
      <c r="C63" s="66" t="n">
        <f aca="false">-C27*Inputs!$B$53/30</f>
        <v>0</v>
      </c>
      <c r="D63" s="66" t="n">
        <f aca="false">-D27*Inputs!$B$53/30</f>
        <v>0</v>
      </c>
      <c r="E63" s="66" t="n">
        <f aca="false">-E27*Inputs!$B$53/30</f>
        <v>0</v>
      </c>
      <c r="F63" s="66" t="n">
        <f aca="false">-F27*Inputs!$B$53/30</f>
        <v>0</v>
      </c>
      <c r="G63" s="66" t="n">
        <f aca="false">-G27*Inputs!$B$53/30</f>
        <v>0</v>
      </c>
      <c r="H63" s="66" t="n">
        <f aca="false">-H27*Inputs!$B$53/30</f>
        <v>0</v>
      </c>
      <c r="I63" s="66" t="n">
        <f aca="false">-I27*Inputs!$B$53/30</f>
        <v>0</v>
      </c>
      <c r="J63" s="66" t="n">
        <f aca="false">-J27*Inputs!$B$53/30</f>
        <v>0</v>
      </c>
      <c r="K63" s="66" t="n">
        <f aca="false">-K27*Inputs!$B$53/30</f>
        <v>0</v>
      </c>
      <c r="L63" s="66" t="n">
        <f aca="false">-L27*Inputs!$B$53/30</f>
        <v>0</v>
      </c>
      <c r="M63" s="66" t="n">
        <f aca="false">-M27*Inputs!$B$53/30</f>
        <v>0</v>
      </c>
      <c r="N63" s="66" t="n">
        <f aca="false">-N27*Inputs!$B$53/30</f>
        <v>0</v>
      </c>
      <c r="O63" s="66" t="n">
        <f aca="false">-O27*Inputs!$B$53/30</f>
        <v>0</v>
      </c>
      <c r="P63" s="66" t="n">
        <f aca="false">-P27*Inputs!$B$53/30</f>
        <v>0</v>
      </c>
      <c r="Q63" s="66" t="n">
        <f aca="false">-Q27*Inputs!$B$53/30</f>
        <v>0</v>
      </c>
      <c r="R63" s="66" t="n">
        <f aca="false">-R27*Inputs!$B$53/30</f>
        <v>0</v>
      </c>
      <c r="S63" s="66" t="n">
        <f aca="false">-S27*Inputs!$B$53/30</f>
        <v>0</v>
      </c>
      <c r="T63" s="66" t="n">
        <f aca="false">-T27*Inputs!$B$53/30</f>
        <v>0</v>
      </c>
      <c r="U63" s="66" t="n">
        <f aca="false">-U27*Inputs!$B$53/30</f>
        <v>0</v>
      </c>
      <c r="V63" s="66" t="n">
        <f aca="false">-V27*Inputs!$B$53/30</f>
        <v>0</v>
      </c>
      <c r="W63" s="66" t="n">
        <f aca="false">-W27*Inputs!$B$53/30</f>
        <v>0</v>
      </c>
      <c r="X63" s="66" t="n">
        <f aca="false">-X27*Inputs!$B$53/30</f>
        <v>0</v>
      </c>
      <c r="Y63" s="66" t="n">
        <f aca="false">-Y27*Inputs!$B$53/30</f>
        <v>0</v>
      </c>
      <c r="Z63" s="66" t="n">
        <f aca="false">-Z27*Inputs!$B$53/30</f>
        <v>0</v>
      </c>
      <c r="AA63" s="66" t="n">
        <f aca="false">-AA27*Inputs!$B$53/30</f>
        <v>0</v>
      </c>
      <c r="AB63" s="66" t="n">
        <f aca="false">-AB27*Inputs!$B$53/30</f>
        <v>0</v>
      </c>
      <c r="AC63" s="66" t="n">
        <f aca="false">-AC27*Inputs!$B$53/30</f>
        <v>0</v>
      </c>
      <c r="AD63" s="66" t="n">
        <f aca="false">-AD27*Inputs!$B$53/30</f>
        <v>0</v>
      </c>
      <c r="AE63" s="66" t="n">
        <f aca="false">-AE27*Inputs!$B$53/30</f>
        <v>0</v>
      </c>
      <c r="AF63" s="66" t="n">
        <f aca="false">-AF27*Inputs!$B$53/30</f>
        <v>0</v>
      </c>
      <c r="AG63" s="66" t="n">
        <f aca="false">-AG27*Inputs!$B$53/30</f>
        <v>0</v>
      </c>
      <c r="AH63" s="66" t="n">
        <f aca="false">-AH27*Inputs!$B$53/30</f>
        <v>0</v>
      </c>
      <c r="AI63" s="66" t="n">
        <f aca="false">-AI27*Inputs!$B$53/30</f>
        <v>0</v>
      </c>
      <c r="AJ63" s="66" t="n">
        <f aca="false">-AJ27*Inputs!$B$53/30</f>
        <v>0</v>
      </c>
      <c r="AK63" s="66" t="n">
        <f aca="false">-AK27*Inputs!$B$53/30</f>
        <v>0</v>
      </c>
      <c r="AL63" s="66" t="n">
        <f aca="false">-AL27*Inputs!$B$53/30</f>
        <v>0</v>
      </c>
    </row>
    <row r="64" customFormat="false" ht="15" hidden="false" customHeight="false" outlineLevel="0" collapsed="false">
      <c r="A64" s="6" t="s">
        <v>93</v>
      </c>
      <c r="C64" s="66" t="n">
        <f aca="false">-C27*Inputs!$B$54/30</f>
        <v>499.096</v>
      </c>
      <c r="D64" s="66" t="n">
        <f aca="false">-D27*Inputs!$B$54/30</f>
        <v>742.87668</v>
      </c>
      <c r="E64" s="66" t="n">
        <f aca="false">-E27*Inputs!$B$54/30</f>
        <v>975.6872294</v>
      </c>
      <c r="F64" s="66" t="n">
        <f aca="false">-F27*Inputs!$B$54/30</f>
        <v>1198.021304077</v>
      </c>
      <c r="G64" s="66" t="n">
        <f aca="false">-G27*Inputs!$B$54/30</f>
        <v>1410.35034539354</v>
      </c>
      <c r="H64" s="66" t="n">
        <f aca="false">-H27*Inputs!$B$54/30</f>
        <v>1613.12457985083</v>
      </c>
      <c r="I64" s="66" t="n">
        <f aca="false">-I27*Inputs!$B$54/30</f>
        <v>1806.77397375754</v>
      </c>
      <c r="J64" s="66" t="n">
        <f aca="false">-J27*Inputs!$B$54/30</f>
        <v>1991.70914493845</v>
      </c>
      <c r="K64" s="66" t="n">
        <f aca="false">-K27*Inputs!$B$54/30</f>
        <v>2168.32223341622</v>
      </c>
      <c r="L64" s="66" t="n">
        <f aca="false">-L27*Inputs!$B$54/30</f>
        <v>2336.98773291249</v>
      </c>
      <c r="M64" s="66" t="n">
        <f aca="false">-M27*Inputs!$B$54/30</f>
        <v>2498.06328493143</v>
      </c>
      <c r="N64" s="66" t="n">
        <f aca="false">-N27*Inputs!$B$54/30</f>
        <v>2651.89043710951</v>
      </c>
      <c r="O64" s="66" t="n">
        <f aca="false">-O27*Inputs!$B$54/30</f>
        <v>2820.42736743959</v>
      </c>
      <c r="P64" s="66" t="n">
        <f aca="false">-P27*Inputs!$B$54/30</f>
        <v>3003.01213590481</v>
      </c>
      <c r="Q64" s="66" t="n">
        <f aca="false">-Q27*Inputs!$B$54/30</f>
        <v>3177.38058978909</v>
      </c>
      <c r="R64" s="66" t="n">
        <f aca="false">-R27*Inputs!$B$54/30</f>
        <v>3343.90246324858</v>
      </c>
      <c r="S64" s="66" t="n">
        <f aca="false">-S27*Inputs!$B$54/30</f>
        <v>3502.93085240239</v>
      </c>
      <c r="T64" s="66" t="n">
        <f aca="false">-T27*Inputs!$B$54/30</f>
        <v>3654.80296404429</v>
      </c>
      <c r="U64" s="66" t="n">
        <f aca="false">-U27*Inputs!$B$54/30</f>
        <v>3799.84083066229</v>
      </c>
      <c r="V64" s="66" t="n">
        <f aca="false">-V27*Inputs!$B$54/30</f>
        <v>3938.35199328249</v>
      </c>
      <c r="W64" s="66" t="n">
        <f aca="false">-W27*Inputs!$B$54/30</f>
        <v>4070.63015358478</v>
      </c>
      <c r="X64" s="66" t="n">
        <f aca="false">-X27*Inputs!$B$54/30</f>
        <v>4196.95579667346</v>
      </c>
      <c r="Y64" s="66" t="n">
        <f aca="false">-Y27*Inputs!$B$54/30</f>
        <v>4317.59678582316</v>
      </c>
      <c r="Z64" s="66" t="n">
        <f aca="false">-Z27*Inputs!$B$54/30</f>
        <v>4432.80893046112</v>
      </c>
      <c r="AA64" s="66" t="n">
        <f aca="false">-AA27*Inputs!$B$54/30</f>
        <v>4568.29572859037</v>
      </c>
      <c r="AB64" s="66" t="n">
        <f aca="false">-AB27*Inputs!$B$54/30</f>
        <v>4723.1448208038</v>
      </c>
      <c r="AC64" s="66" t="n">
        <f aca="false">-AC27*Inputs!$B$54/30</f>
        <v>4871.02570386763</v>
      </c>
      <c r="AD64" s="66" t="n">
        <f aca="false">-AD27*Inputs!$B$54/30</f>
        <v>5012.25194719359</v>
      </c>
      <c r="AE64" s="66" t="n">
        <f aca="false">-AE27*Inputs!$B$54/30</f>
        <v>5147.12300956987</v>
      </c>
      <c r="AF64" s="66" t="n">
        <f aca="false">-AF27*Inputs!$B$54/30</f>
        <v>5275.92487413923</v>
      </c>
      <c r="AG64" s="66" t="n">
        <f aca="false">-AG27*Inputs!$B$54/30</f>
        <v>5398.93065480296</v>
      </c>
      <c r="AH64" s="66" t="n">
        <f aca="false">-AH27*Inputs!$B$54/30</f>
        <v>5516.40117533683</v>
      </c>
      <c r="AI64" s="66" t="n">
        <f aca="false">-AI27*Inputs!$B$54/30</f>
        <v>5628.58552244667</v>
      </c>
      <c r="AJ64" s="66" t="n">
        <f aca="false">-AJ27*Inputs!$B$54/30</f>
        <v>5735.72157393657</v>
      </c>
      <c r="AK64" s="66" t="n">
        <f aca="false">-AK27*Inputs!$B$54/30</f>
        <v>5838.03650310943</v>
      </c>
      <c r="AL64" s="66" t="n">
        <f aca="false">-AL27*Inputs!$B$54/30</f>
        <v>5935.7472604695</v>
      </c>
    </row>
    <row r="65" customFormat="false" ht="15" hidden="false" customHeight="false" outlineLevel="0" collapsed="false">
      <c r="A65" s="6" t="s">
        <v>322</v>
      </c>
      <c r="C65" s="66" t="n">
        <f aca="false">-C62</f>
        <v>-526.556944444444</v>
      </c>
      <c r="D65" s="66" t="n">
        <f aca="false">C62-D62</f>
        <v>-257.193826388889</v>
      </c>
      <c r="E65" s="66" t="n">
        <f aca="false">D62-E62</f>
        <v>-245.620104201389</v>
      </c>
      <c r="F65" s="66" t="n">
        <f aca="false">E62-F62</f>
        <v>-234.567199512326</v>
      </c>
      <c r="G65" s="66" t="n">
        <f aca="false">F62-G62</f>
        <v>-224.011675534272</v>
      </c>
      <c r="H65" s="66" t="n">
        <f aca="false">G62-H62</f>
        <v>-213.93115013523</v>
      </c>
      <c r="I65" s="66" t="n">
        <f aca="false">H62-I62</f>
        <v>-204.304248379144</v>
      </c>
      <c r="J65" s="66" t="n">
        <f aca="false">I62-J62</f>
        <v>-195.110557202083</v>
      </c>
      <c r="K65" s="66" t="n">
        <f aca="false">J62-K62</f>
        <v>-186.330582127989</v>
      </c>
      <c r="L65" s="66" t="n">
        <f aca="false">K62-L62</f>
        <v>-177.94570593223</v>
      </c>
      <c r="M65" s="66" t="n">
        <f aca="false">L62-M62</f>
        <v>-169.938149165279</v>
      </c>
      <c r="N65" s="66" t="n">
        <f aca="false">M62-N62</f>
        <v>-162.290932452842</v>
      </c>
      <c r="O65" s="66" t="n">
        <f aca="false">N62-O62</f>
        <v>-177.810062714686</v>
      </c>
      <c r="P65" s="66" t="n">
        <f aca="false">O62-P62</f>
        <v>-192.630832114747</v>
      </c>
      <c r="Q65" s="66" t="n">
        <f aca="false">P62-Q62</f>
        <v>-183.962444669585</v>
      </c>
      <c r="R65" s="66" t="n">
        <f aca="false">Q62-R62</f>
        <v>-175.684134659451</v>
      </c>
      <c r="S65" s="66" t="n">
        <f aca="false">R62-S62</f>
        <v>-167.778348599777</v>
      </c>
      <c r="T65" s="66" t="n">
        <f aca="false">S62-T62</f>
        <v>-160.228322912787</v>
      </c>
      <c r="U65" s="66" t="n">
        <f aca="false">T62-U62</f>
        <v>-153.018048381712</v>
      </c>
      <c r="V65" s="66" t="n">
        <f aca="false">U62-V62</f>
        <v>-146.132236204535</v>
      </c>
      <c r="W65" s="66" t="n">
        <f aca="false">V62-W62</f>
        <v>-139.556285575331</v>
      </c>
      <c r="X65" s="66" t="n">
        <f aca="false">W62-X62</f>
        <v>-133.276252724441</v>
      </c>
      <c r="Y65" s="66" t="n">
        <f aca="false">X62-Y62</f>
        <v>-127.278821351841</v>
      </c>
      <c r="Z65" s="66" t="n">
        <f aca="false">Y62-Z62</f>
        <v>-121.551274391008</v>
      </c>
      <c r="AA65" s="66" t="n">
        <f aca="false">Z62-AA62</f>
        <v>-142.941467043412</v>
      </c>
      <c r="AB65" s="66" t="n">
        <f aca="false">AA62-AB62</f>
        <v>-163.369101026459</v>
      </c>
      <c r="AC65" s="66" t="n">
        <f aca="false">AB62-AC62</f>
        <v>-156.017491480268</v>
      </c>
      <c r="AD65" s="66" t="n">
        <f aca="false">AC62-AD62</f>
        <v>-148.996704363656</v>
      </c>
      <c r="AE65" s="66" t="n">
        <f aca="false">AD62-AE62</f>
        <v>-142.291852667292</v>
      </c>
      <c r="AF65" s="66" t="n">
        <f aca="false">AE62-AF62</f>
        <v>-135.888719297263</v>
      </c>
      <c r="AG65" s="66" t="n">
        <f aca="false">AF62-AG62</f>
        <v>-129.773726928886</v>
      </c>
      <c r="AH65" s="66" t="n">
        <f aca="false">AG62-AH62</f>
        <v>-123.933909217087</v>
      </c>
      <c r="AI65" s="66" t="n">
        <f aca="false">AH62-AI62</f>
        <v>-118.356883302318</v>
      </c>
      <c r="AJ65" s="66" t="n">
        <f aca="false">AI62-AJ62</f>
        <v>-113.030823553711</v>
      </c>
      <c r="AK65" s="66" t="n">
        <f aca="false">AJ62-AK62</f>
        <v>-107.944436493797</v>
      </c>
      <c r="AL65" s="66" t="n">
        <f aca="false">AK62-AL62</f>
        <v>-103.086936851576</v>
      </c>
    </row>
    <row r="66" customFormat="false" ht="15" hidden="false" customHeight="false" outlineLevel="0" collapsed="false">
      <c r="A66" s="6" t="s">
        <v>323</v>
      </c>
      <c r="C66" s="66" t="n">
        <f aca="false">-C63</f>
        <v>-0</v>
      </c>
      <c r="D66" s="66" t="n">
        <f aca="false">C63-D63</f>
        <v>0</v>
      </c>
      <c r="E66" s="66" t="n">
        <f aca="false">D63-E63</f>
        <v>0</v>
      </c>
      <c r="F66" s="66" t="n">
        <f aca="false">E63-F63</f>
        <v>0</v>
      </c>
      <c r="G66" s="66" t="n">
        <f aca="false">F63-G63</f>
        <v>0</v>
      </c>
      <c r="H66" s="66" t="n">
        <f aca="false">G63-H63</f>
        <v>0</v>
      </c>
      <c r="I66" s="66" t="n">
        <f aca="false">H63-I63</f>
        <v>0</v>
      </c>
      <c r="J66" s="66" t="n">
        <f aca="false">I63-J63</f>
        <v>0</v>
      </c>
      <c r="K66" s="66" t="n">
        <f aca="false">J63-K63</f>
        <v>0</v>
      </c>
      <c r="L66" s="66" t="n">
        <f aca="false">K63-L63</f>
        <v>0</v>
      </c>
      <c r="M66" s="66" t="n">
        <f aca="false">L63-M63</f>
        <v>0</v>
      </c>
      <c r="N66" s="66" t="n">
        <f aca="false">M63-N63</f>
        <v>0</v>
      </c>
      <c r="O66" s="66" t="n">
        <f aca="false">N63-O63</f>
        <v>0</v>
      </c>
      <c r="P66" s="66" t="n">
        <f aca="false">O63-P63</f>
        <v>0</v>
      </c>
      <c r="Q66" s="66" t="n">
        <f aca="false">P63-Q63</f>
        <v>0</v>
      </c>
      <c r="R66" s="66" t="n">
        <f aca="false">Q63-R63</f>
        <v>0</v>
      </c>
      <c r="S66" s="66" t="n">
        <f aca="false">R63-S63</f>
        <v>0</v>
      </c>
      <c r="T66" s="66" t="n">
        <f aca="false">S63-T63</f>
        <v>0</v>
      </c>
      <c r="U66" s="66" t="n">
        <f aca="false">T63-U63</f>
        <v>0</v>
      </c>
      <c r="V66" s="66" t="n">
        <f aca="false">U63-V63</f>
        <v>0</v>
      </c>
      <c r="W66" s="66" t="n">
        <f aca="false">V63-W63</f>
        <v>0</v>
      </c>
      <c r="X66" s="66" t="n">
        <f aca="false">W63-X63</f>
        <v>0</v>
      </c>
      <c r="Y66" s="66" t="n">
        <f aca="false">X63-Y63</f>
        <v>0</v>
      </c>
      <c r="Z66" s="66" t="n">
        <f aca="false">Y63-Z63</f>
        <v>0</v>
      </c>
      <c r="AA66" s="66" t="n">
        <f aca="false">Z63-AA63</f>
        <v>0</v>
      </c>
      <c r="AB66" s="66" t="n">
        <f aca="false">AA63-AB63</f>
        <v>0</v>
      </c>
      <c r="AC66" s="66" t="n">
        <f aca="false">AB63-AC63</f>
        <v>0</v>
      </c>
      <c r="AD66" s="66" t="n">
        <f aca="false">AC63-AD63</f>
        <v>0</v>
      </c>
      <c r="AE66" s="66" t="n">
        <f aca="false">AD63-AE63</f>
        <v>0</v>
      </c>
      <c r="AF66" s="66" t="n">
        <f aca="false">AE63-AF63</f>
        <v>0</v>
      </c>
      <c r="AG66" s="66" t="n">
        <f aca="false">AF63-AG63</f>
        <v>0</v>
      </c>
      <c r="AH66" s="66" t="n">
        <f aca="false">AG63-AH63</f>
        <v>0</v>
      </c>
      <c r="AI66" s="66" t="n">
        <f aca="false">AH63-AI63</f>
        <v>0</v>
      </c>
      <c r="AJ66" s="66" t="n">
        <f aca="false">AI63-AJ63</f>
        <v>0</v>
      </c>
      <c r="AK66" s="66" t="n">
        <f aca="false">AJ63-AK63</f>
        <v>0</v>
      </c>
      <c r="AL66" s="66" t="n">
        <f aca="false">AK63-AL63</f>
        <v>0</v>
      </c>
    </row>
    <row r="67" customFormat="false" ht="15" hidden="false" customHeight="false" outlineLevel="0" collapsed="false">
      <c r="A67" s="6" t="s">
        <v>324</v>
      </c>
      <c r="C67" s="66" t="n">
        <f aca="false">C64</f>
        <v>499.096</v>
      </c>
      <c r="D67" s="66" t="n">
        <f aca="false">D64-C64</f>
        <v>243.78068</v>
      </c>
      <c r="E67" s="66" t="n">
        <f aca="false">E64-D64</f>
        <v>232.8105494</v>
      </c>
      <c r="F67" s="66" t="n">
        <f aca="false">F64-E64</f>
        <v>222.334074677</v>
      </c>
      <c r="G67" s="66" t="n">
        <f aca="false">G64-F64</f>
        <v>212.329041316535</v>
      </c>
      <c r="H67" s="66" t="n">
        <f aca="false">H64-G64</f>
        <v>202.774234457291</v>
      </c>
      <c r="I67" s="66" t="n">
        <f aca="false">I64-H64</f>
        <v>193.649393906713</v>
      </c>
      <c r="J67" s="66" t="n">
        <f aca="false">J64-I64</f>
        <v>184.935171180911</v>
      </c>
      <c r="K67" s="66" t="n">
        <f aca="false">K64-J64</f>
        <v>176.61308847777</v>
      </c>
      <c r="L67" s="66" t="n">
        <f aca="false">L64-K64</f>
        <v>168.665499496271</v>
      </c>
      <c r="M67" s="66" t="n">
        <f aca="false">M64-L64</f>
        <v>161.075552018938</v>
      </c>
      <c r="N67" s="66" t="n">
        <f aca="false">N64-M64</f>
        <v>153.827152178086</v>
      </c>
      <c r="O67" s="66" t="n">
        <f aca="false">O64-N64</f>
        <v>168.536930330072</v>
      </c>
      <c r="P67" s="66" t="n">
        <f aca="false">P64-O64</f>
        <v>182.584768465219</v>
      </c>
      <c r="Q67" s="66" t="n">
        <f aca="false">Q64-P64</f>
        <v>174.368453884284</v>
      </c>
      <c r="R67" s="66" t="n">
        <f aca="false">R64-Q64</f>
        <v>166.521873459491</v>
      </c>
      <c r="S67" s="66" t="n">
        <f aca="false">S64-R64</f>
        <v>159.028389153814</v>
      </c>
      <c r="T67" s="66" t="n">
        <f aca="false">T64-S64</f>
        <v>151.872111641892</v>
      </c>
      <c r="U67" s="66" t="n">
        <f aca="false">U64-T64</f>
        <v>145.037866618008</v>
      </c>
      <c r="V67" s="66" t="n">
        <f aca="false">V64-U64</f>
        <v>138.511162620197</v>
      </c>
      <c r="W67" s="66" t="n">
        <f aca="false">W64-V64</f>
        <v>132.278160302288</v>
      </c>
      <c r="X67" s="66" t="n">
        <f aca="false">X64-W64</f>
        <v>126.325643088685</v>
      </c>
      <c r="Y67" s="66" t="n">
        <f aca="false">Y64-X64</f>
        <v>120.640989149694</v>
      </c>
      <c r="Z67" s="66" t="n">
        <f aca="false">Z64-Y64</f>
        <v>115.212144637958</v>
      </c>
      <c r="AA67" s="66" t="n">
        <f aca="false">AA64-Z64</f>
        <v>135.486798129249</v>
      </c>
      <c r="AB67" s="66" t="n">
        <f aca="false">AB64-AA64</f>
        <v>154.849092213434</v>
      </c>
      <c r="AC67" s="66" t="n">
        <f aca="false">AC64-AB64</f>
        <v>147.880883063828</v>
      </c>
      <c r="AD67" s="66" t="n">
        <f aca="false">AD64-AC64</f>
        <v>141.226243325958</v>
      </c>
      <c r="AE67" s="66" t="n">
        <f aca="false">AE64-AD64</f>
        <v>134.871062376289</v>
      </c>
      <c r="AF67" s="66" t="n">
        <f aca="false">AF64-AE64</f>
        <v>128.801864569356</v>
      </c>
      <c r="AG67" s="66" t="n">
        <f aca="false">AG64-AF64</f>
        <v>123.005780663732</v>
      </c>
      <c r="AH67" s="66" t="n">
        <f aca="false">AH64-AG64</f>
        <v>117.470520533868</v>
      </c>
      <c r="AI67" s="66" t="n">
        <f aca="false">AI64-AH64</f>
        <v>112.184347109843</v>
      </c>
      <c r="AJ67" s="66" t="n">
        <f aca="false">AJ64-AI64</f>
        <v>107.136051489897</v>
      </c>
      <c r="AK67" s="66" t="n">
        <f aca="false">AK64-AJ64</f>
        <v>102.314929172855</v>
      </c>
      <c r="AL67" s="66" t="n">
        <f aca="false">AL64-AK64</f>
        <v>97.7107573600761</v>
      </c>
    </row>
    <row r="68" customFormat="false" ht="15" hidden="false" customHeight="false" outlineLevel="0" collapsed="false">
      <c r="A68" s="6" t="s">
        <v>94</v>
      </c>
      <c r="C68" s="66" t="n">
        <f aca="false">C23*Inputs!$B$17*6</f>
        <v>4738.42</v>
      </c>
      <c r="D68" s="66" t="n">
        <f aca="false">D23*Inputs!$B$17*6</f>
        <v>6547.5911</v>
      </c>
      <c r="E68" s="66" t="n">
        <f aca="false">E23*Inputs!$B$17*6</f>
        <v>8275.3495005</v>
      </c>
      <c r="F68" s="66" t="n">
        <f aca="false">F23*Inputs!$B$17*6</f>
        <v>9925.3587729775</v>
      </c>
      <c r="G68" s="66" t="n">
        <f aca="false">G23*Inputs!$B$17*6</f>
        <v>11501.1176281935</v>
      </c>
      <c r="H68" s="66" t="n">
        <f aca="false">H23*Inputs!$B$17*6</f>
        <v>13005.9673349248</v>
      </c>
      <c r="I68" s="66" t="n">
        <f aca="false">I23*Inputs!$B$17*6</f>
        <v>14443.0988048532</v>
      </c>
      <c r="J68" s="66" t="n">
        <f aca="false">J23*Inputs!$B$17*6</f>
        <v>15815.5593586348</v>
      </c>
      <c r="K68" s="66" t="n">
        <f aca="false">K23*Inputs!$B$17*6</f>
        <v>17126.2591874962</v>
      </c>
      <c r="L68" s="66" t="n">
        <f aca="false">L23*Inputs!$B$17*6</f>
        <v>18377.9775240589</v>
      </c>
      <c r="M68" s="66" t="n">
        <f aca="false">M23*Inputs!$B$17*6</f>
        <v>19573.3685354763</v>
      </c>
      <c r="N68" s="66" t="n">
        <f aca="false">N23*Inputs!$B$17*6</f>
        <v>20714.9669513798</v>
      </c>
      <c r="O68" s="66" t="n">
        <f aca="false">O23*Inputs!$B$17*6</f>
        <v>22133.8334385677</v>
      </c>
      <c r="P68" s="66" t="n">
        <f aca="false">P23*Inputs!$B$17*6</f>
        <v>23488.8509338322</v>
      </c>
      <c r="Q68" s="66" t="n">
        <f aca="false">Q23*Inputs!$B$17*6</f>
        <v>24782.8926418097</v>
      </c>
      <c r="R68" s="66" t="n">
        <f aca="false">R23*Inputs!$B$17*6</f>
        <v>26018.7024729283</v>
      </c>
      <c r="S68" s="66" t="n">
        <f aca="false">S23*Inputs!$B$17*6</f>
        <v>27198.9008616465</v>
      </c>
      <c r="T68" s="66" t="n">
        <f aca="false">T23*Inputs!$B$17*6</f>
        <v>28325.9903228724</v>
      </c>
      <c r="U68" s="66" t="n">
        <f aca="false">U23*Inputs!$B$17*6</f>
        <v>29402.3607583432</v>
      </c>
      <c r="V68" s="66" t="n">
        <f aca="false">V23*Inputs!$B$17*6</f>
        <v>30430.2945242177</v>
      </c>
      <c r="W68" s="66" t="n">
        <f aca="false">W23*Inputs!$B$17*6</f>
        <v>31411.9712706279</v>
      </c>
      <c r="X68" s="66" t="n">
        <f aca="false">X23*Inputs!$B$17*6</f>
        <v>32349.4725634497</v>
      </c>
      <c r="Y68" s="66" t="n">
        <f aca="false">Y23*Inputs!$B$17*6</f>
        <v>33244.7862980945</v>
      </c>
      <c r="Z68" s="66" t="n">
        <f aca="false">Z23*Inputs!$B$17*6</f>
        <v>34099.8109146802</v>
      </c>
      <c r="AA68" s="66" t="n">
        <f aca="false">AA23*Inputs!$B$17*6</f>
        <v>35303.1434235196</v>
      </c>
      <c r="AB68" s="66" t="n">
        <f aca="false">AB23*Inputs!$B$17*6</f>
        <v>36452.3259694612</v>
      </c>
      <c r="AC68" s="66" t="n">
        <f aca="false">AC23*Inputs!$B$17*6</f>
        <v>37549.7953008355</v>
      </c>
      <c r="AD68" s="66" t="n">
        <f aca="false">AD23*Inputs!$B$17*6</f>
        <v>38597.8785122979</v>
      </c>
      <c r="AE68" s="66" t="n">
        <f aca="false">AE23*Inputs!$B$17*6</f>
        <v>39598.7979792445</v>
      </c>
      <c r="AF68" s="66" t="n">
        <f aca="false">AF23*Inputs!$B$17*6</f>
        <v>40554.6760701785</v>
      </c>
      <c r="AG68" s="66" t="n">
        <f aca="false">AG23*Inputs!$B$17*6</f>
        <v>41467.5396470204</v>
      </c>
      <c r="AH68" s="66" t="n">
        <f aca="false">AH23*Inputs!$B$17*6</f>
        <v>42339.3243629045</v>
      </c>
      <c r="AI68" s="66" t="n">
        <f aca="false">AI23*Inputs!$B$17*6</f>
        <v>43171.8787665738</v>
      </c>
      <c r="AJ68" s="66" t="n">
        <f aca="false">AJ23*Inputs!$B$17*6</f>
        <v>43966.968222078</v>
      </c>
      <c r="AK68" s="66" t="n">
        <f aca="false">AK23*Inputs!$B$17*6</f>
        <v>44726.2786520845</v>
      </c>
      <c r="AL68" s="66" t="n">
        <f aca="false">AL23*Inputs!$B$17*6</f>
        <v>45451.4201127407</v>
      </c>
    </row>
    <row r="69" customFormat="false" ht="15" hidden="false" customHeight="false" outlineLevel="0" collapsed="false">
      <c r="A69" s="6" t="s">
        <v>325</v>
      </c>
      <c r="C69" s="66" t="n">
        <f aca="false">C68</f>
        <v>4738.42</v>
      </c>
      <c r="D69" s="66" t="n">
        <f aca="false">D68-C68</f>
        <v>1809.1711</v>
      </c>
      <c r="E69" s="66" t="n">
        <f aca="false">E68-D68</f>
        <v>1727.7584005</v>
      </c>
      <c r="F69" s="66" t="n">
        <f aca="false">F68-E68</f>
        <v>1650.0092724775</v>
      </c>
      <c r="G69" s="66" t="n">
        <f aca="false">G68-F68</f>
        <v>1575.75885521601</v>
      </c>
      <c r="H69" s="66" t="n">
        <f aca="false">H68-G68</f>
        <v>1504.84970673129</v>
      </c>
      <c r="I69" s="66" t="n">
        <f aca="false">I68-H68</f>
        <v>1437.13146992839</v>
      </c>
      <c r="J69" s="66" t="n">
        <f aca="false">J68-I68</f>
        <v>1372.46055378161</v>
      </c>
      <c r="K69" s="66" t="n">
        <f aca="false">K68-J68</f>
        <v>1310.69982886144</v>
      </c>
      <c r="L69" s="66" t="n">
        <f aca="false">L68-K68</f>
        <v>1251.71833656267</v>
      </c>
      <c r="M69" s="66" t="n">
        <f aca="false">M68-L68</f>
        <v>1195.39101141735</v>
      </c>
      <c r="N69" s="66" t="n">
        <f aca="false">N68-M68</f>
        <v>1141.59841590357</v>
      </c>
      <c r="O69" s="66" t="n">
        <f aca="false">O68-N68</f>
        <v>1418.86648718791</v>
      </c>
      <c r="P69" s="66" t="n">
        <f aca="false">P68-O68</f>
        <v>1355.01749526446</v>
      </c>
      <c r="Q69" s="66" t="n">
        <f aca="false">Q68-P68</f>
        <v>1294.04170797755</v>
      </c>
      <c r="R69" s="66" t="n">
        <f aca="false">R68-Q68</f>
        <v>1235.80983111856</v>
      </c>
      <c r="S69" s="66" t="n">
        <f aca="false">S68-R68</f>
        <v>1180.19838871823</v>
      </c>
      <c r="T69" s="66" t="n">
        <f aca="false">T68-S68</f>
        <v>1127.08946122591</v>
      </c>
      <c r="U69" s="66" t="n">
        <f aca="false">U68-T68</f>
        <v>1076.37043547074</v>
      </c>
      <c r="V69" s="66" t="n">
        <f aca="false">V68-U68</f>
        <v>1027.93376587455</v>
      </c>
      <c r="W69" s="66" t="n">
        <f aca="false">W68-V68</f>
        <v>981.676746410209</v>
      </c>
      <c r="X69" s="66" t="n">
        <f aca="false">X68-W68</f>
        <v>937.50129282174</v>
      </c>
      <c r="Y69" s="66" t="n">
        <f aca="false">Y68-X68</f>
        <v>895.313734644762</v>
      </c>
      <c r="Z69" s="66" t="n">
        <f aca="false">Z68-Y68</f>
        <v>855.024616585753</v>
      </c>
      <c r="AA69" s="66" t="n">
        <f aca="false">AA68-Z68</f>
        <v>1203.33250883939</v>
      </c>
      <c r="AB69" s="66" t="n">
        <f aca="false">AB68-AA68</f>
        <v>1149.18254594161</v>
      </c>
      <c r="AC69" s="66" t="n">
        <f aca="false">AC68-AB68</f>
        <v>1097.46933137425</v>
      </c>
      <c r="AD69" s="66" t="n">
        <f aca="false">AD68-AC68</f>
        <v>1048.08321146241</v>
      </c>
      <c r="AE69" s="66" t="n">
        <f aca="false">AE68-AD68</f>
        <v>1000.9194669466</v>
      </c>
      <c r="AF69" s="66" t="n">
        <f aca="false">AF68-AE68</f>
        <v>955.878090933991</v>
      </c>
      <c r="AG69" s="66" t="n">
        <f aca="false">AG68-AF68</f>
        <v>912.86357684197</v>
      </c>
      <c r="AH69" s="66" t="n">
        <f aca="false">AH68-AG68</f>
        <v>871.784715884081</v>
      </c>
      <c r="AI69" s="66" t="n">
        <f aca="false">AI68-AH68</f>
        <v>832.554403669295</v>
      </c>
      <c r="AJ69" s="66" t="n">
        <f aca="false">AJ68-AI68</f>
        <v>795.089455504167</v>
      </c>
      <c r="AK69" s="66" t="n">
        <f aca="false">AK68-AJ68</f>
        <v>759.310430006495</v>
      </c>
      <c r="AL69" s="66" t="n">
        <f aca="false">AL68-AK68</f>
        <v>725.141460656196</v>
      </c>
    </row>
    <row r="71" customFormat="false" ht="15.75" hidden="false" customHeight="true" outlineLevel="0" collapsed="false">
      <c r="A71" s="7" t="s">
        <v>394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customFormat="false" ht="15" hidden="false" customHeight="false" outlineLevel="0" collapsed="false">
      <c r="A72" s="4" t="s">
        <v>52</v>
      </c>
      <c r="C72" s="72" t="n">
        <f aca="false">C46-C51+C65+C66+C67+C69</f>
        <v>-67778.7952777778</v>
      </c>
      <c r="D72" s="72" t="n">
        <f aca="false">D46-D51+D65+D66+D67+D69</f>
        <v>-69394.6141013889</v>
      </c>
      <c r="E72" s="72" t="n">
        <f aca="false">E46-E51+E65+E66+E67+E69</f>
        <v>-68234.5131334931</v>
      </c>
      <c r="F72" s="72" t="n">
        <f aca="false">F46-F51+F65+F66+F67+F69</f>
        <v>-67126.6167091525</v>
      </c>
      <c r="G72" s="72" t="n">
        <f aca="false">G46-G51+G65+G66+G67+G69</f>
        <v>-66068.5756239073</v>
      </c>
      <c r="H72" s="72" t="n">
        <f aca="false">H46-H51+H65+H66+H67+H69</f>
        <v>-65058.1463874982</v>
      </c>
      <c r="I72" s="72" t="n">
        <f aca="false">I46-I51+I65+I66+I67+I69</f>
        <v>-64093.1864667274</v>
      </c>
      <c r="J72" s="72" t="n">
        <f aca="false">J46-J51+J65+J66+J67+J69</f>
        <v>-63171.6497423913</v>
      </c>
      <c r="K72" s="72" t="n">
        <f aca="false">K46-K51+K65+K66+K67+K69</f>
        <v>-62291.5821706504</v>
      </c>
      <c r="L72" s="72" t="n">
        <f aca="false">L46-L51+L65+L66+L67+L69</f>
        <v>-61451.1176396378</v>
      </c>
      <c r="M72" s="72" t="n">
        <f aca="false">M46-M51+M65+M66+M67+M69</f>
        <v>-60648.4740125208</v>
      </c>
      <c r="N72" s="72" t="n">
        <f aca="false">N46-N51+N65+N66+N67+N69</f>
        <v>-59881.949348624</v>
      </c>
      <c r="O72" s="72" t="n">
        <f aca="false">O46-O51+O65+O66+O67+O69</f>
        <v>-95337.1671834915</v>
      </c>
      <c r="P72" s="72" t="n">
        <f aca="false">P46-P51+P65+P66+P67+P69</f>
        <v>-94428.5888824566</v>
      </c>
      <c r="Q72" s="72" t="n">
        <f aca="false">Q46-Q51+Q65+Q66+Q67+Q69</f>
        <v>-93559.706382746</v>
      </c>
      <c r="R72" s="72" t="n">
        <f aca="false">R46-R51+R65+R66+R67+R69</f>
        <v>-92729.9235955225</v>
      </c>
      <c r="S72" s="72" t="n">
        <f aca="false">S46-S51+S65+S66+S67+S69</f>
        <v>-91937.481033724</v>
      </c>
      <c r="T72" s="72" t="n">
        <f aca="false">T46-T51+T65+T66+T67+T69</f>
        <v>-91180.6983872064</v>
      </c>
      <c r="U72" s="72" t="n">
        <f aca="false">U46-U51+U65+U66+U67+U69</f>
        <v>-90457.9709597821</v>
      </c>
      <c r="V72" s="72" t="n">
        <f aca="false">V46-V51+V65+V66+V67+V69</f>
        <v>-89767.7662665919</v>
      </c>
      <c r="W72" s="72" t="n">
        <f aca="false">W46-W51+W65+W66+W67+W69</f>
        <v>-89108.6207845953</v>
      </c>
      <c r="X72" s="72" t="n">
        <f aca="false">X46-X51+X65+X66+X67+X69</f>
        <v>-88479.1368492885</v>
      </c>
      <c r="Y72" s="72" t="n">
        <f aca="false">Y46-Y51+Y65+Y66+Y67+Y69</f>
        <v>-87877.9796910705</v>
      </c>
      <c r="Z72" s="72" t="n">
        <f aca="false">Z46-Z51+Z65+Z66+Z67+Z69</f>
        <v>-87303.8746049723</v>
      </c>
      <c r="AA72" s="72" t="n">
        <f aca="false">AA46-AA51+AA65+AA66+AA67+AA69</f>
        <v>-142774.320247749</v>
      </c>
      <c r="AB72" s="72" t="n">
        <f aca="false">AB46-AB51+AB65+AB66+AB67+AB69</f>
        <v>-142004.1700366</v>
      </c>
      <c r="AC72" s="72" t="n">
        <f aca="false">AC46-AC51+AC65+AC66+AC67+AC69</f>
        <v>-141267.275784953</v>
      </c>
      <c r="AD72" s="72" t="n">
        <f aca="false">AD46-AD51+AD65+AD66+AD67+AD69</f>
        <v>-140563.54177463</v>
      </c>
      <c r="AE72" s="72" t="n">
        <f aca="false">AE46-AE51+AE65+AE66+AE67+AE69</f>
        <v>-139891.475794772</v>
      </c>
      <c r="AF72" s="72" t="n">
        <f aca="false">AF46-AF51+AF65+AF66+AF67+AF69</f>
        <v>-139249.652784007</v>
      </c>
      <c r="AG72" s="72" t="n">
        <f aca="false">AG46-AG51+AG65+AG66+AG67+AG69</f>
        <v>-138636.711808727</v>
      </c>
      <c r="AH72" s="72" t="n">
        <f aca="false">AH46-AH51+AH65+AH66+AH67+AH69</f>
        <v>-138051.353177334</v>
      </c>
      <c r="AI72" s="72" t="n">
        <f aca="false">AI46-AI51+AI65+AI66+AI67+AI69</f>
        <v>-137492.335684354</v>
      </c>
      <c r="AJ72" s="72" t="n">
        <f aca="false">AJ46-AJ51+AJ65+AJ66+AJ67+AJ69</f>
        <v>-136958.473978558</v>
      </c>
      <c r="AK72" s="72" t="n">
        <f aca="false">AK46-AK51+AK65+AK66+AK67+AK69</f>
        <v>-136448.636049523</v>
      </c>
      <c r="AL72" s="72" t="n">
        <f aca="false">AL46-AL51+AL65+AL66+AL67+AL69</f>
        <v>-135961.740827294</v>
      </c>
    </row>
    <row r="73" customFormat="false" ht="15" hidden="false" customHeight="false" outlineLevel="0" collapsed="false">
      <c r="A73" s="6" t="s">
        <v>395</v>
      </c>
      <c r="C73" s="66" t="n">
        <f aca="false">-C49</f>
        <v>-20000</v>
      </c>
      <c r="D73" s="66" t="n">
        <f aca="false">-D49</f>
        <v>-0</v>
      </c>
      <c r="E73" s="66" t="n">
        <f aca="false">-E49</f>
        <v>-0</v>
      </c>
      <c r="F73" s="66" t="n">
        <f aca="false">-F49</f>
        <v>-0</v>
      </c>
      <c r="G73" s="66" t="n">
        <f aca="false">-G49</f>
        <v>-0</v>
      </c>
      <c r="H73" s="66" t="n">
        <f aca="false">-H49</f>
        <v>-0</v>
      </c>
      <c r="I73" s="66" t="n">
        <f aca="false">-I49</f>
        <v>-0</v>
      </c>
      <c r="J73" s="66" t="n">
        <f aca="false">-J49</f>
        <v>-0</v>
      </c>
      <c r="K73" s="66" t="n">
        <f aca="false">-K49</f>
        <v>-0</v>
      </c>
      <c r="L73" s="66" t="n">
        <f aca="false">-L49</f>
        <v>-0</v>
      </c>
      <c r="M73" s="66" t="n">
        <f aca="false">-M49</f>
        <v>-0</v>
      </c>
      <c r="N73" s="66" t="n">
        <f aca="false">-N49</f>
        <v>-0</v>
      </c>
      <c r="O73" s="66" t="n">
        <f aca="false">-O49</f>
        <v>-0</v>
      </c>
      <c r="P73" s="66" t="n">
        <f aca="false">-P49</f>
        <v>-0</v>
      </c>
      <c r="Q73" s="66" t="n">
        <f aca="false">-Q49</f>
        <v>-0</v>
      </c>
      <c r="R73" s="66" t="n">
        <f aca="false">-R49</f>
        <v>-0</v>
      </c>
      <c r="S73" s="66" t="n">
        <f aca="false">-S49</f>
        <v>-0</v>
      </c>
      <c r="T73" s="66" t="n">
        <f aca="false">-T49</f>
        <v>-0</v>
      </c>
      <c r="U73" s="66" t="n">
        <f aca="false">-U49</f>
        <v>-0</v>
      </c>
      <c r="V73" s="66" t="n">
        <f aca="false">-V49</f>
        <v>-0</v>
      </c>
      <c r="W73" s="66" t="n">
        <f aca="false">-W49</f>
        <v>-0</v>
      </c>
      <c r="X73" s="66" t="n">
        <f aca="false">-X49</f>
        <v>-0</v>
      </c>
      <c r="Y73" s="66" t="n">
        <f aca="false">-Y49</f>
        <v>-0</v>
      </c>
      <c r="Z73" s="66" t="n">
        <f aca="false">-Z49</f>
        <v>-0</v>
      </c>
      <c r="AA73" s="66" t="n">
        <f aca="false">-AA49</f>
        <v>-0</v>
      </c>
      <c r="AB73" s="66" t="n">
        <f aca="false">-AB49</f>
        <v>-0</v>
      </c>
      <c r="AC73" s="66" t="n">
        <f aca="false">-AC49</f>
        <v>-0</v>
      </c>
      <c r="AD73" s="66" t="n">
        <f aca="false">-AD49</f>
        <v>-0</v>
      </c>
      <c r="AE73" s="66" t="n">
        <f aca="false">-AE49</f>
        <v>-0</v>
      </c>
      <c r="AF73" s="66" t="n">
        <f aca="false">-AF49</f>
        <v>-0</v>
      </c>
      <c r="AG73" s="66" t="n">
        <f aca="false">-AG49</f>
        <v>-0</v>
      </c>
      <c r="AH73" s="66" t="n">
        <f aca="false">-AH49</f>
        <v>-0</v>
      </c>
      <c r="AI73" s="66" t="n">
        <f aca="false">-AI49</f>
        <v>-0</v>
      </c>
      <c r="AJ73" s="66" t="n">
        <f aca="false">-AJ49</f>
        <v>-0</v>
      </c>
      <c r="AK73" s="66" t="n">
        <f aca="false">-AK49</f>
        <v>-0</v>
      </c>
      <c r="AL73" s="66" t="n">
        <f aca="false">-AL49</f>
        <v>-0</v>
      </c>
    </row>
    <row r="74" customFormat="false" ht="15" hidden="false" customHeight="false" outlineLevel="0" collapsed="false">
      <c r="A74" s="6" t="s">
        <v>63</v>
      </c>
      <c r="C74" s="66" t="n">
        <f aca="false">IF(C$6=1,Inputs!$B$46,0)</f>
        <v>3000000</v>
      </c>
      <c r="D74" s="66" t="n">
        <f aca="false">IF(D$6=1,Inputs!$B$46,0)</f>
        <v>0</v>
      </c>
      <c r="E74" s="66" t="n">
        <f aca="false">IF(E$6=1,Inputs!$B$46,0)</f>
        <v>0</v>
      </c>
      <c r="F74" s="66" t="n">
        <f aca="false">IF(F$6=1,Inputs!$B$46,0)</f>
        <v>0</v>
      </c>
      <c r="G74" s="66" t="n">
        <f aca="false">IF(G$6=1,Inputs!$B$46,0)</f>
        <v>0</v>
      </c>
      <c r="H74" s="66" t="n">
        <f aca="false">IF(H$6=1,Inputs!$B$46,0)</f>
        <v>0</v>
      </c>
      <c r="I74" s="66" t="n">
        <f aca="false">IF(I$6=1,Inputs!$B$46,0)</f>
        <v>0</v>
      </c>
      <c r="J74" s="66" t="n">
        <f aca="false">IF(J$6=1,Inputs!$B$46,0)</f>
        <v>0</v>
      </c>
      <c r="K74" s="66" t="n">
        <f aca="false">IF(K$6=1,Inputs!$B$46,0)</f>
        <v>0</v>
      </c>
      <c r="L74" s="66" t="n">
        <f aca="false">IF(L$6=1,Inputs!$B$46,0)</f>
        <v>0</v>
      </c>
      <c r="M74" s="66" t="n">
        <f aca="false">IF(M$6=1,Inputs!$B$46,0)</f>
        <v>0</v>
      </c>
      <c r="N74" s="66" t="n">
        <f aca="false">IF(N$6=1,Inputs!$B$46,0)</f>
        <v>0</v>
      </c>
      <c r="O74" s="66" t="n">
        <f aca="false">IF(O$6=1,Inputs!$B$46,0)</f>
        <v>0</v>
      </c>
      <c r="P74" s="66" t="n">
        <f aca="false">IF(P$6=1,Inputs!$B$46,0)</f>
        <v>0</v>
      </c>
      <c r="Q74" s="66" t="n">
        <f aca="false">IF(Q$6=1,Inputs!$B$46,0)</f>
        <v>0</v>
      </c>
      <c r="R74" s="66" t="n">
        <f aca="false">IF(R$6=1,Inputs!$B$46,0)</f>
        <v>0</v>
      </c>
      <c r="S74" s="66" t="n">
        <f aca="false">IF(S$6=1,Inputs!$B$46,0)</f>
        <v>0</v>
      </c>
      <c r="T74" s="66" t="n">
        <f aca="false">IF(T$6=1,Inputs!$B$46,0)</f>
        <v>0</v>
      </c>
      <c r="U74" s="66" t="n">
        <f aca="false">IF(U$6=1,Inputs!$B$46,0)</f>
        <v>0</v>
      </c>
      <c r="V74" s="66" t="n">
        <f aca="false">IF(V$6=1,Inputs!$B$46,0)</f>
        <v>0</v>
      </c>
      <c r="W74" s="66" t="n">
        <f aca="false">IF(W$6=1,Inputs!$B$46,0)</f>
        <v>0</v>
      </c>
      <c r="X74" s="66" t="n">
        <f aca="false">IF(X$6=1,Inputs!$B$46,0)</f>
        <v>0</v>
      </c>
      <c r="Y74" s="66" t="n">
        <f aca="false">IF(Y$6=1,Inputs!$B$46,0)</f>
        <v>0</v>
      </c>
      <c r="Z74" s="66" t="n">
        <f aca="false">IF(Z$6=1,Inputs!$B$46,0)</f>
        <v>0</v>
      </c>
      <c r="AA74" s="66" t="n">
        <f aca="false">IF(AA$6=1,Inputs!$B$46,0)</f>
        <v>0</v>
      </c>
      <c r="AB74" s="66" t="n">
        <f aca="false">IF(AB$6=1,Inputs!$B$46,0)</f>
        <v>0</v>
      </c>
      <c r="AC74" s="66" t="n">
        <f aca="false">IF(AC$6=1,Inputs!$B$46,0)</f>
        <v>0</v>
      </c>
      <c r="AD74" s="66" t="n">
        <f aca="false">IF(AD$6=1,Inputs!$B$46,0)</f>
        <v>0</v>
      </c>
      <c r="AE74" s="66" t="n">
        <f aca="false">IF(AE$6=1,Inputs!$B$46,0)</f>
        <v>0</v>
      </c>
      <c r="AF74" s="66" t="n">
        <f aca="false">IF(AF$6=1,Inputs!$B$46,0)</f>
        <v>0</v>
      </c>
      <c r="AG74" s="66" t="n">
        <f aca="false">IF(AG$6=1,Inputs!$B$46,0)</f>
        <v>0</v>
      </c>
      <c r="AH74" s="66" t="n">
        <f aca="false">IF(AH$6=1,Inputs!$B$46,0)</f>
        <v>0</v>
      </c>
      <c r="AI74" s="66" t="n">
        <f aca="false">IF(AI$6=1,Inputs!$B$46,0)</f>
        <v>0</v>
      </c>
      <c r="AJ74" s="66" t="n">
        <f aca="false">IF(AJ$6=1,Inputs!$B$46,0)</f>
        <v>0</v>
      </c>
      <c r="AK74" s="66" t="n">
        <f aca="false">IF(AK$6=1,Inputs!$B$46,0)</f>
        <v>0</v>
      </c>
      <c r="AL74" s="66" t="n">
        <f aca="false">IF(AL$6=1,Inputs!$B$46,0)</f>
        <v>0</v>
      </c>
    </row>
    <row r="75" customFormat="false" ht="15" hidden="false" customHeight="false" outlineLevel="0" collapsed="false">
      <c r="A75" s="6" t="s">
        <v>54</v>
      </c>
      <c r="C75" s="66" t="n">
        <f aca="false">C74+C57+C58</f>
        <v>3000000</v>
      </c>
      <c r="D75" s="66" t="n">
        <f aca="false">D74+D57+D58</f>
        <v>0</v>
      </c>
      <c r="E75" s="66" t="n">
        <f aca="false">E74+E57+E58</f>
        <v>0</v>
      </c>
      <c r="F75" s="66" t="n">
        <f aca="false">F74+F57+F58</f>
        <v>0</v>
      </c>
      <c r="G75" s="66" t="n">
        <f aca="false">G74+G57+G58</f>
        <v>0</v>
      </c>
      <c r="H75" s="66" t="n">
        <f aca="false">H74+H57+H58</f>
        <v>0</v>
      </c>
      <c r="I75" s="66" t="n">
        <f aca="false">I74+I57+I58</f>
        <v>0</v>
      </c>
      <c r="J75" s="66" t="n">
        <f aca="false">J74+J57+J58</f>
        <v>0</v>
      </c>
      <c r="K75" s="66" t="n">
        <f aca="false">K74+K57+K58</f>
        <v>0</v>
      </c>
      <c r="L75" s="66" t="n">
        <f aca="false">L74+L57+L58</f>
        <v>0</v>
      </c>
      <c r="M75" s="66" t="n">
        <f aca="false">M74+M57+M58</f>
        <v>0</v>
      </c>
      <c r="N75" s="66" t="n">
        <f aca="false">N74+N57+N58</f>
        <v>0</v>
      </c>
      <c r="O75" s="66" t="n">
        <f aca="false">O74+O57+O58</f>
        <v>0</v>
      </c>
      <c r="P75" s="66" t="n">
        <f aca="false">P74+P57+P58</f>
        <v>0</v>
      </c>
      <c r="Q75" s="66" t="n">
        <f aca="false">Q74+Q57+Q58</f>
        <v>0</v>
      </c>
      <c r="R75" s="66" t="n">
        <f aca="false">R74+R57+R58</f>
        <v>0</v>
      </c>
      <c r="S75" s="66" t="n">
        <f aca="false">S74+S57+S58</f>
        <v>0</v>
      </c>
      <c r="T75" s="66" t="n">
        <f aca="false">T74+T57+T58</f>
        <v>0</v>
      </c>
      <c r="U75" s="66" t="n">
        <f aca="false">U74+U57+U58</f>
        <v>0</v>
      </c>
      <c r="V75" s="66" t="n">
        <f aca="false">V74+V57+V58</f>
        <v>0</v>
      </c>
      <c r="W75" s="66" t="n">
        <f aca="false">W74+W57+W58</f>
        <v>0</v>
      </c>
      <c r="X75" s="66" t="n">
        <f aca="false">X74+X57+X58</f>
        <v>0</v>
      </c>
      <c r="Y75" s="66" t="n">
        <f aca="false">Y74+Y57+Y58</f>
        <v>0</v>
      </c>
      <c r="Z75" s="66" t="n">
        <f aca="false">Z74+Z57+Z58</f>
        <v>0</v>
      </c>
      <c r="AA75" s="66" t="n">
        <f aca="false">AA74+AA57+AA58</f>
        <v>0</v>
      </c>
      <c r="AB75" s="66" t="n">
        <f aca="false">AB74+AB57+AB58</f>
        <v>0</v>
      </c>
      <c r="AC75" s="66" t="n">
        <f aca="false">AC74+AC57+AC58</f>
        <v>0</v>
      </c>
      <c r="AD75" s="66" t="n">
        <f aca="false">AD74+AD57+AD58</f>
        <v>0</v>
      </c>
      <c r="AE75" s="66" t="n">
        <f aca="false">AE74+AE57+AE58</f>
        <v>0</v>
      </c>
      <c r="AF75" s="66" t="n">
        <f aca="false">AF74+AF57+AF58</f>
        <v>0</v>
      </c>
      <c r="AG75" s="66" t="n">
        <f aca="false">AG74+AG57+AG58</f>
        <v>0</v>
      </c>
      <c r="AH75" s="66" t="n">
        <f aca="false">AH74+AH57+AH58</f>
        <v>0</v>
      </c>
      <c r="AI75" s="66" t="n">
        <f aca="false">AI74+AI57+AI58</f>
        <v>0</v>
      </c>
      <c r="AJ75" s="66" t="n">
        <f aca="false">AJ74+AJ57+AJ58</f>
        <v>0</v>
      </c>
      <c r="AK75" s="66" t="n">
        <f aca="false">AK74+AK57+AK58</f>
        <v>0</v>
      </c>
      <c r="AL75" s="66" t="n">
        <f aca="false">AL74+AL57+AL58</f>
        <v>0</v>
      </c>
    </row>
    <row r="76" customFormat="false" ht="15" hidden="false" customHeight="false" outlineLevel="0" collapsed="false">
      <c r="A76" s="111" t="s">
        <v>396</v>
      </c>
      <c r="C76" s="67" t="n">
        <f aca="false">C72+C73+C75</f>
        <v>2912221.20472222</v>
      </c>
      <c r="D76" s="67" t="n">
        <f aca="false">D72+D73+D75</f>
        <v>-69394.6141013889</v>
      </c>
      <c r="E76" s="67" t="n">
        <f aca="false">E72+E73+E75</f>
        <v>-68234.5131334931</v>
      </c>
      <c r="F76" s="67" t="n">
        <f aca="false">F72+F73+F75</f>
        <v>-67126.6167091525</v>
      </c>
      <c r="G76" s="67" t="n">
        <f aca="false">G72+G73+G75</f>
        <v>-66068.5756239073</v>
      </c>
      <c r="H76" s="67" t="n">
        <f aca="false">H72+H73+H75</f>
        <v>-65058.1463874982</v>
      </c>
      <c r="I76" s="67" t="n">
        <f aca="false">I72+I73+I75</f>
        <v>-64093.1864667274</v>
      </c>
      <c r="J76" s="67" t="n">
        <f aca="false">J72+J73+J75</f>
        <v>-63171.6497423913</v>
      </c>
      <c r="K76" s="67" t="n">
        <f aca="false">K72+K73+K75</f>
        <v>-62291.5821706504</v>
      </c>
      <c r="L76" s="67" t="n">
        <f aca="false">L72+L73+L75</f>
        <v>-61451.1176396378</v>
      </c>
      <c r="M76" s="67" t="n">
        <f aca="false">M72+M73+M75</f>
        <v>-60648.4740125208</v>
      </c>
      <c r="N76" s="67" t="n">
        <f aca="false">N72+N73+N75</f>
        <v>-59881.949348624</v>
      </c>
      <c r="O76" s="67" t="n">
        <f aca="false">O72+O73+O75</f>
        <v>-95337.1671834915</v>
      </c>
      <c r="P76" s="67" t="n">
        <f aca="false">P72+P73+P75</f>
        <v>-94428.5888824566</v>
      </c>
      <c r="Q76" s="67" t="n">
        <f aca="false">Q72+Q73+Q75</f>
        <v>-93559.706382746</v>
      </c>
      <c r="R76" s="67" t="n">
        <f aca="false">R72+R73+R75</f>
        <v>-92729.9235955225</v>
      </c>
      <c r="S76" s="67" t="n">
        <f aca="false">S72+S73+S75</f>
        <v>-91937.481033724</v>
      </c>
      <c r="T76" s="67" t="n">
        <f aca="false">T72+T73+T75</f>
        <v>-91180.6983872064</v>
      </c>
      <c r="U76" s="67" t="n">
        <f aca="false">U72+U73+U75</f>
        <v>-90457.9709597821</v>
      </c>
      <c r="V76" s="67" t="n">
        <f aca="false">V72+V73+V75</f>
        <v>-89767.7662665919</v>
      </c>
      <c r="W76" s="67" t="n">
        <f aca="false">W72+W73+W75</f>
        <v>-89108.6207845953</v>
      </c>
      <c r="X76" s="67" t="n">
        <f aca="false">X72+X73+X75</f>
        <v>-88479.1368492885</v>
      </c>
      <c r="Y76" s="67" t="n">
        <f aca="false">Y72+Y73+Y75</f>
        <v>-87877.9796910705</v>
      </c>
      <c r="Z76" s="67" t="n">
        <f aca="false">Z72+Z73+Z75</f>
        <v>-87303.8746049723</v>
      </c>
      <c r="AA76" s="67" t="n">
        <f aca="false">AA72+AA73+AA75</f>
        <v>-142774.320247749</v>
      </c>
      <c r="AB76" s="67" t="n">
        <f aca="false">AB72+AB73+AB75</f>
        <v>-142004.1700366</v>
      </c>
      <c r="AC76" s="67" t="n">
        <f aca="false">AC72+AC73+AC75</f>
        <v>-141267.275784953</v>
      </c>
      <c r="AD76" s="67" t="n">
        <f aca="false">AD72+AD73+AD75</f>
        <v>-140563.54177463</v>
      </c>
      <c r="AE76" s="67" t="n">
        <f aca="false">AE72+AE73+AE75</f>
        <v>-139891.475794772</v>
      </c>
      <c r="AF76" s="67" t="n">
        <f aca="false">AF72+AF73+AF75</f>
        <v>-139249.652784007</v>
      </c>
      <c r="AG76" s="67" t="n">
        <f aca="false">AG72+AG73+AG75</f>
        <v>-138636.711808727</v>
      </c>
      <c r="AH76" s="67" t="n">
        <f aca="false">AH72+AH73+AH75</f>
        <v>-138051.353177334</v>
      </c>
      <c r="AI76" s="67" t="n">
        <f aca="false">AI72+AI73+AI75</f>
        <v>-137492.335684354</v>
      </c>
      <c r="AJ76" s="67" t="n">
        <f aca="false">AJ72+AJ73+AJ75</f>
        <v>-136958.473978558</v>
      </c>
      <c r="AK76" s="67" t="n">
        <f aca="false">AK72+AK73+AK75</f>
        <v>-136448.636049523</v>
      </c>
      <c r="AL76" s="67" t="n">
        <f aca="false">AL72+AL73+AL75</f>
        <v>-135961.740827294</v>
      </c>
    </row>
    <row r="77" customFormat="false" ht="15" hidden="false" customHeight="false" outlineLevel="0" collapsed="false">
      <c r="A77" s="6" t="s">
        <v>326</v>
      </c>
      <c r="C77" s="66" t="n">
        <f aca="false">0</f>
        <v>0</v>
      </c>
      <c r="D77" s="66" t="n">
        <f aca="false">C78</f>
        <v>2912221.20472222</v>
      </c>
      <c r="E77" s="66" t="n">
        <f aca="false">D78</f>
        <v>2842826.59062083</v>
      </c>
      <c r="F77" s="66" t="n">
        <f aca="false">E78</f>
        <v>2774592.07748734</v>
      </c>
      <c r="G77" s="66" t="n">
        <f aca="false">F78</f>
        <v>2707465.46077819</v>
      </c>
      <c r="H77" s="66" t="n">
        <f aca="false">G78</f>
        <v>2641396.88515428</v>
      </c>
      <c r="I77" s="66" t="n">
        <f aca="false">H78</f>
        <v>2576338.73876678</v>
      </c>
      <c r="J77" s="66" t="n">
        <f aca="false">I78</f>
        <v>2512245.55230005</v>
      </c>
      <c r="K77" s="66" t="n">
        <f aca="false">J78</f>
        <v>2449073.90255766</v>
      </c>
      <c r="L77" s="66" t="n">
        <f aca="false">K78</f>
        <v>2386782.32038701</v>
      </c>
      <c r="M77" s="66" t="n">
        <f aca="false">L78</f>
        <v>2325331.20274738</v>
      </c>
      <c r="N77" s="66" t="n">
        <f aca="false">M78</f>
        <v>2264682.72873485</v>
      </c>
      <c r="O77" s="66" t="n">
        <f aca="false">N78</f>
        <v>2204800.77938623</v>
      </c>
      <c r="P77" s="66" t="n">
        <f aca="false">O78</f>
        <v>2109463.61220274</v>
      </c>
      <c r="Q77" s="66" t="n">
        <f aca="false">P78</f>
        <v>2015035.02332028</v>
      </c>
      <c r="R77" s="66" t="n">
        <f aca="false">Q78</f>
        <v>1921475.31693754</v>
      </c>
      <c r="S77" s="66" t="n">
        <f aca="false">R78</f>
        <v>1828745.39334201</v>
      </c>
      <c r="T77" s="66" t="n">
        <f aca="false">S78</f>
        <v>1736807.91230829</v>
      </c>
      <c r="U77" s="66" t="n">
        <f aca="false">T78</f>
        <v>1645627.21392108</v>
      </c>
      <c r="V77" s="66" t="n">
        <f aca="false">U78</f>
        <v>1555169.2429613</v>
      </c>
      <c r="W77" s="66" t="n">
        <f aca="false">V78</f>
        <v>1465401.47669471</v>
      </c>
      <c r="X77" s="66" t="n">
        <f aca="false">W78</f>
        <v>1376292.85591011</v>
      </c>
      <c r="Y77" s="66" t="n">
        <f aca="false">X78</f>
        <v>1287813.71906083</v>
      </c>
      <c r="Z77" s="66" t="n">
        <f aca="false">Y78</f>
        <v>1199935.73936976</v>
      </c>
      <c r="AA77" s="66" t="n">
        <f aca="false">Z78</f>
        <v>1112631.86476478</v>
      </c>
      <c r="AB77" s="66" t="n">
        <f aca="false">AA78</f>
        <v>969857.544517034</v>
      </c>
      <c r="AC77" s="66" t="n">
        <f aca="false">AB78</f>
        <v>827853.374480434</v>
      </c>
      <c r="AD77" s="66" t="n">
        <f aca="false">AC78</f>
        <v>686586.098695481</v>
      </c>
      <c r="AE77" s="66" t="n">
        <f aca="false">AD78</f>
        <v>546022.556920851</v>
      </c>
      <c r="AF77" s="66" t="n">
        <f aca="false">AE78</f>
        <v>406131.08112608</v>
      </c>
      <c r="AG77" s="66" t="n">
        <f aca="false">AF78</f>
        <v>266881.428342073</v>
      </c>
      <c r="AH77" s="66" t="n">
        <f aca="false">AG78</f>
        <v>128244.716533346</v>
      </c>
      <c r="AI77" s="66" t="n">
        <f aca="false">AH78</f>
        <v>-9806.63664398794</v>
      </c>
      <c r="AJ77" s="66" t="n">
        <f aca="false">AI78</f>
        <v>-147298.972328342</v>
      </c>
      <c r="AK77" s="66" t="n">
        <f aca="false">AJ78</f>
        <v>-284257.4463069</v>
      </c>
      <c r="AL77" s="66" t="n">
        <f aca="false">AK78</f>
        <v>-420706.082356423</v>
      </c>
    </row>
    <row r="78" customFormat="false" ht="15" hidden="false" customHeight="false" outlineLevel="0" collapsed="false">
      <c r="A78" s="111" t="s">
        <v>86</v>
      </c>
      <c r="C78" s="67" t="n">
        <f aca="false">C77+C76</f>
        <v>2912221.20472222</v>
      </c>
      <c r="D78" s="67" t="n">
        <f aca="false">D77+D76</f>
        <v>2842826.59062083</v>
      </c>
      <c r="E78" s="67" t="n">
        <f aca="false">E77+E76</f>
        <v>2774592.07748734</v>
      </c>
      <c r="F78" s="67" t="n">
        <f aca="false">F77+F76</f>
        <v>2707465.46077819</v>
      </c>
      <c r="G78" s="67" t="n">
        <f aca="false">G77+G76</f>
        <v>2641396.88515428</v>
      </c>
      <c r="H78" s="67" t="n">
        <f aca="false">H77+H76</f>
        <v>2576338.73876678</v>
      </c>
      <c r="I78" s="67" t="n">
        <f aca="false">I77+I76</f>
        <v>2512245.55230005</v>
      </c>
      <c r="J78" s="67" t="n">
        <f aca="false">J77+J76</f>
        <v>2449073.90255766</v>
      </c>
      <c r="K78" s="67" t="n">
        <f aca="false">K77+K76</f>
        <v>2386782.32038701</v>
      </c>
      <c r="L78" s="67" t="n">
        <f aca="false">L77+L76</f>
        <v>2325331.20274738</v>
      </c>
      <c r="M78" s="67" t="n">
        <f aca="false">M77+M76</f>
        <v>2264682.72873485</v>
      </c>
      <c r="N78" s="67" t="n">
        <f aca="false">N77+N76</f>
        <v>2204800.77938623</v>
      </c>
      <c r="O78" s="67" t="n">
        <f aca="false">O77+O76</f>
        <v>2109463.61220274</v>
      </c>
      <c r="P78" s="67" t="n">
        <f aca="false">P77+P76</f>
        <v>2015035.02332028</v>
      </c>
      <c r="Q78" s="67" t="n">
        <f aca="false">Q77+Q76</f>
        <v>1921475.31693754</v>
      </c>
      <c r="R78" s="67" t="n">
        <f aca="false">R77+R76</f>
        <v>1828745.39334201</v>
      </c>
      <c r="S78" s="67" t="n">
        <f aca="false">S77+S76</f>
        <v>1736807.91230829</v>
      </c>
      <c r="T78" s="67" t="n">
        <f aca="false">T77+T76</f>
        <v>1645627.21392108</v>
      </c>
      <c r="U78" s="67" t="n">
        <f aca="false">U77+U76</f>
        <v>1555169.2429613</v>
      </c>
      <c r="V78" s="67" t="n">
        <f aca="false">V77+V76</f>
        <v>1465401.47669471</v>
      </c>
      <c r="W78" s="67" t="n">
        <f aca="false">W77+W76</f>
        <v>1376292.85591011</v>
      </c>
      <c r="X78" s="67" t="n">
        <f aca="false">X77+X76</f>
        <v>1287813.71906083</v>
      </c>
      <c r="Y78" s="67" t="n">
        <f aca="false">Y77+Y76</f>
        <v>1199935.73936976</v>
      </c>
      <c r="Z78" s="67" t="n">
        <f aca="false">Z77+Z76</f>
        <v>1112631.86476478</v>
      </c>
      <c r="AA78" s="67" t="n">
        <f aca="false">AA77+AA76</f>
        <v>969857.544517034</v>
      </c>
      <c r="AB78" s="67" t="n">
        <f aca="false">AB77+AB76</f>
        <v>827853.374480434</v>
      </c>
      <c r="AC78" s="67" t="n">
        <f aca="false">AC77+AC76</f>
        <v>686586.098695481</v>
      </c>
      <c r="AD78" s="67" t="n">
        <f aca="false">AD77+AD76</f>
        <v>546022.556920851</v>
      </c>
      <c r="AE78" s="67" t="n">
        <f aca="false">AE77+AE76</f>
        <v>406131.08112608</v>
      </c>
      <c r="AF78" s="67" t="n">
        <f aca="false">AF77+AF76</f>
        <v>266881.428342073</v>
      </c>
      <c r="AG78" s="67" t="n">
        <f aca="false">AG77+AG76</f>
        <v>128244.716533346</v>
      </c>
      <c r="AH78" s="67" t="n">
        <f aca="false">AH77+AH76</f>
        <v>-9806.63664398794</v>
      </c>
      <c r="AI78" s="67" t="n">
        <f aca="false">AI77+AI76</f>
        <v>-147298.972328342</v>
      </c>
      <c r="AJ78" s="67" t="n">
        <f aca="false">AJ77+AJ76</f>
        <v>-284257.4463069</v>
      </c>
      <c r="AK78" s="67" t="n">
        <f aca="false">AK77+AK76</f>
        <v>-420706.082356423</v>
      </c>
      <c r="AL78" s="67" t="n">
        <f aca="false">AL77+AL76</f>
        <v>-556667.823183717</v>
      </c>
    </row>
    <row r="79" customFormat="false" ht="15" hidden="false" customHeight="false" outlineLevel="0" collapsed="false">
      <c r="A79" s="119" t="s">
        <v>397</v>
      </c>
      <c r="C79" s="120" t="n">
        <f aca="false">IF(C37&gt;0,1,0)</f>
        <v>0</v>
      </c>
      <c r="D79" s="120" t="n">
        <f aca="false">IF(D37&gt;0,1,0)</f>
        <v>0</v>
      </c>
      <c r="E79" s="120" t="n">
        <f aca="false">IF(E37&gt;0,1,0)</f>
        <v>0</v>
      </c>
      <c r="F79" s="120" t="n">
        <f aca="false">IF(F37&gt;0,1,0)</f>
        <v>0</v>
      </c>
      <c r="G79" s="120" t="n">
        <f aca="false">IF(G37&gt;0,1,0)</f>
        <v>0</v>
      </c>
      <c r="H79" s="120" t="n">
        <f aca="false">IF(H37&gt;0,1,0)</f>
        <v>0</v>
      </c>
      <c r="I79" s="120" t="n">
        <f aca="false">IF(I37&gt;0,1,0)</f>
        <v>0</v>
      </c>
      <c r="J79" s="120" t="n">
        <f aca="false">IF(J37&gt;0,1,0)</f>
        <v>0</v>
      </c>
      <c r="K79" s="120" t="n">
        <f aca="false">IF(K37&gt;0,1,0)</f>
        <v>0</v>
      </c>
      <c r="L79" s="120" t="n">
        <f aca="false">IF(L37&gt;0,1,0)</f>
        <v>0</v>
      </c>
      <c r="M79" s="120" t="n">
        <f aca="false">IF(M37&gt;0,1,0)</f>
        <v>0</v>
      </c>
      <c r="N79" s="120" t="n">
        <f aca="false">IF(N37&gt;0,1,0)</f>
        <v>0</v>
      </c>
      <c r="O79" s="120" t="n">
        <f aca="false">IF(O37&gt;0,1,0)</f>
        <v>0</v>
      </c>
      <c r="P79" s="120" t="n">
        <f aca="false">IF(P37&gt;0,1,0)</f>
        <v>0</v>
      </c>
      <c r="Q79" s="120" t="n">
        <f aca="false">IF(Q37&gt;0,1,0)</f>
        <v>0</v>
      </c>
      <c r="R79" s="120" t="n">
        <f aca="false">IF(R37&gt;0,1,0)</f>
        <v>0</v>
      </c>
      <c r="S79" s="120" t="n">
        <f aca="false">IF(S37&gt;0,1,0)</f>
        <v>0</v>
      </c>
      <c r="T79" s="120" t="n">
        <f aca="false">IF(T37&gt;0,1,0)</f>
        <v>0</v>
      </c>
      <c r="U79" s="120" t="n">
        <f aca="false">IF(U37&gt;0,1,0)</f>
        <v>0</v>
      </c>
      <c r="V79" s="120" t="n">
        <f aca="false">IF(V37&gt;0,1,0)</f>
        <v>0</v>
      </c>
      <c r="W79" s="120" t="n">
        <f aca="false">IF(W37&gt;0,1,0)</f>
        <v>0</v>
      </c>
      <c r="X79" s="120" t="n">
        <f aca="false">IF(X37&gt;0,1,0)</f>
        <v>0</v>
      </c>
      <c r="Y79" s="120" t="n">
        <f aca="false">IF(Y37&gt;0,1,0)</f>
        <v>0</v>
      </c>
      <c r="Z79" s="120" t="n">
        <f aca="false">IF(Z37&gt;0,1,0)</f>
        <v>0</v>
      </c>
      <c r="AA79" s="120" t="n">
        <f aca="false">IF(AA37&gt;0,1,0)</f>
        <v>0</v>
      </c>
      <c r="AB79" s="120" t="n">
        <f aca="false">IF(AB37&gt;0,1,0)</f>
        <v>0</v>
      </c>
      <c r="AC79" s="120" t="n">
        <f aca="false">IF(AC37&gt;0,1,0)</f>
        <v>0</v>
      </c>
      <c r="AD79" s="120" t="n">
        <f aca="false">IF(AD37&gt;0,1,0)</f>
        <v>0</v>
      </c>
      <c r="AE79" s="120" t="n">
        <f aca="false">IF(AE37&gt;0,1,0)</f>
        <v>0</v>
      </c>
      <c r="AF79" s="120" t="n">
        <f aca="false">IF(AF37&gt;0,1,0)</f>
        <v>0</v>
      </c>
      <c r="AG79" s="120" t="n">
        <f aca="false">IF(AG37&gt;0,1,0)</f>
        <v>0</v>
      </c>
      <c r="AH79" s="120" t="n">
        <f aca="false">IF(AH37&gt;0,1,0)</f>
        <v>0</v>
      </c>
      <c r="AI79" s="120" t="n">
        <f aca="false">IF(AI37&gt;0,1,0)</f>
        <v>0</v>
      </c>
      <c r="AJ79" s="120" t="n">
        <f aca="false">IF(AJ37&gt;0,1,0)</f>
        <v>0</v>
      </c>
      <c r="AK79" s="120" t="n">
        <f aca="false">IF(AK37&gt;0,1,0)</f>
        <v>0</v>
      </c>
      <c r="AL79" s="120" t="n">
        <f aca="false">IF(AL37&gt;0,1,0)</f>
        <v>0</v>
      </c>
    </row>
    <row r="81" customFormat="false" ht="15.75" hidden="false" customHeight="true" outlineLevel="0" collapsed="false">
      <c r="A81" s="7" t="s">
        <v>398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customFormat="false" ht="15" hidden="false" customHeight="false" outlineLevel="0" collapsed="false">
      <c r="A82" s="6" t="s">
        <v>399</v>
      </c>
      <c r="C82" s="66" t="n">
        <f aca="false">-(C72+C73)/1</f>
        <v>87778.7952777778</v>
      </c>
      <c r="D82" s="66" t="n">
        <f aca="false">-(D72+D73)/1</f>
        <v>69394.6141013889</v>
      </c>
      <c r="E82" s="66" t="n">
        <f aca="false">-(E72+E73)/1</f>
        <v>68234.5131334931</v>
      </c>
      <c r="F82" s="66" t="n">
        <f aca="false">-(F72+F73)/1</f>
        <v>67126.6167091525</v>
      </c>
      <c r="G82" s="66" t="n">
        <f aca="false">-(G72+G73)/1</f>
        <v>66068.5756239073</v>
      </c>
      <c r="H82" s="66" t="n">
        <f aca="false">-(H72+H73)/1</f>
        <v>65058.1463874982</v>
      </c>
      <c r="I82" s="66" t="n">
        <f aca="false">-(I72+I73)/1</f>
        <v>64093.1864667274</v>
      </c>
      <c r="J82" s="66" t="n">
        <f aca="false">-(J72+J73)/1</f>
        <v>63171.6497423913</v>
      </c>
      <c r="K82" s="66" t="n">
        <f aca="false">-(K72+K73)/1</f>
        <v>62291.5821706504</v>
      </c>
      <c r="L82" s="66" t="n">
        <f aca="false">-(L72+L73)/1</f>
        <v>61451.1176396378</v>
      </c>
      <c r="M82" s="66" t="n">
        <f aca="false">-(M72+M73)/1</f>
        <v>60648.4740125208</v>
      </c>
      <c r="N82" s="66" t="n">
        <f aca="false">-(N72+N73)/1</f>
        <v>59881.949348624</v>
      </c>
      <c r="O82" s="66" t="n">
        <f aca="false">-(O72+O73)/1</f>
        <v>95337.1671834915</v>
      </c>
      <c r="P82" s="66" t="n">
        <f aca="false">-(P72+P73)/1</f>
        <v>94428.5888824566</v>
      </c>
      <c r="Q82" s="66" t="n">
        <f aca="false">-(Q72+Q73)/1</f>
        <v>93559.706382746</v>
      </c>
      <c r="R82" s="66" t="n">
        <f aca="false">-(R72+R73)/1</f>
        <v>92729.9235955225</v>
      </c>
      <c r="S82" s="66" t="n">
        <f aca="false">-(S72+S73)/1</f>
        <v>91937.481033724</v>
      </c>
      <c r="T82" s="66" t="n">
        <f aca="false">-(T72+T73)/1</f>
        <v>91180.6983872064</v>
      </c>
      <c r="U82" s="66" t="n">
        <f aca="false">-(U72+U73)/1</f>
        <v>90457.9709597821</v>
      </c>
      <c r="V82" s="66" t="n">
        <f aca="false">-(V72+V73)/1</f>
        <v>89767.7662665919</v>
      </c>
      <c r="W82" s="66" t="n">
        <f aca="false">-(W72+W73)/1</f>
        <v>89108.6207845953</v>
      </c>
      <c r="X82" s="66" t="n">
        <f aca="false">-(X72+X73)/1</f>
        <v>88479.1368492885</v>
      </c>
      <c r="Y82" s="66" t="n">
        <f aca="false">-(Y72+Y73)/1</f>
        <v>87877.9796910705</v>
      </c>
      <c r="Z82" s="66" t="n">
        <f aca="false">-(Z72+Z73)/1</f>
        <v>87303.8746049723</v>
      </c>
      <c r="AA82" s="66" t="n">
        <f aca="false">-(AA72+AA73)/1</f>
        <v>142774.320247749</v>
      </c>
      <c r="AB82" s="66" t="n">
        <f aca="false">-(AB72+AB73)/1</f>
        <v>142004.1700366</v>
      </c>
      <c r="AC82" s="66" t="n">
        <f aca="false">-(AC72+AC73)/1</f>
        <v>141267.275784953</v>
      </c>
      <c r="AD82" s="66" t="n">
        <f aca="false">-(AD72+AD73)/1</f>
        <v>140563.54177463</v>
      </c>
      <c r="AE82" s="66" t="n">
        <f aca="false">-(AE72+AE73)/1</f>
        <v>139891.475794772</v>
      </c>
      <c r="AF82" s="66" t="n">
        <f aca="false">-(AF72+AF73)/1</f>
        <v>139249.652784007</v>
      </c>
      <c r="AG82" s="66" t="n">
        <f aca="false">-(AG72+AG73)/1</f>
        <v>138636.711808727</v>
      </c>
      <c r="AH82" s="66" t="n">
        <f aca="false">-(AH72+AH73)/1</f>
        <v>138051.353177334</v>
      </c>
      <c r="AI82" s="66" t="n">
        <f aca="false">-(AI72+AI73)/1</f>
        <v>137492.335684354</v>
      </c>
      <c r="AJ82" s="66" t="n">
        <f aca="false">-(AJ72+AJ73)/1</f>
        <v>136958.473978558</v>
      </c>
      <c r="AK82" s="66" t="n">
        <f aca="false">-(AK72+AK73)/1</f>
        <v>136448.636049523</v>
      </c>
      <c r="AL82" s="66" t="n">
        <f aca="false">-(AL72+AL73)/1</f>
        <v>135961.740827294</v>
      </c>
    </row>
    <row r="83" customFormat="false" ht="15" hidden="false" customHeight="false" outlineLevel="0" collapsed="false">
      <c r="A83" s="39" t="s">
        <v>238</v>
      </c>
      <c r="C83" s="74" t="n">
        <f aca="false">Inputs!$B$10</f>
        <v>0.045</v>
      </c>
      <c r="D83" s="74" t="n">
        <f aca="false">Inputs!$B$10</f>
        <v>0.045</v>
      </c>
      <c r="E83" s="74" t="n">
        <f aca="false">Inputs!$B$10</f>
        <v>0.045</v>
      </c>
      <c r="F83" s="74" t="n">
        <f aca="false">Inputs!$B$10</f>
        <v>0.045</v>
      </c>
      <c r="G83" s="74" t="n">
        <f aca="false">Inputs!$B$10</f>
        <v>0.045</v>
      </c>
      <c r="H83" s="74" t="n">
        <f aca="false">Inputs!$B$10</f>
        <v>0.045</v>
      </c>
      <c r="I83" s="74" t="n">
        <f aca="false">Inputs!$B$10</f>
        <v>0.045</v>
      </c>
      <c r="J83" s="74" t="n">
        <f aca="false">Inputs!$B$10</f>
        <v>0.045</v>
      </c>
      <c r="K83" s="74" t="n">
        <f aca="false">Inputs!$B$10</f>
        <v>0.045</v>
      </c>
      <c r="L83" s="74" t="n">
        <f aca="false">Inputs!$B$10</f>
        <v>0.045</v>
      </c>
      <c r="M83" s="74" t="n">
        <f aca="false">Inputs!$B$10</f>
        <v>0.045</v>
      </c>
      <c r="N83" s="74" t="n">
        <f aca="false">Inputs!$B$10</f>
        <v>0.045</v>
      </c>
      <c r="O83" s="74" t="n">
        <f aca="false">Inputs!$B$10</f>
        <v>0.045</v>
      </c>
      <c r="P83" s="74" t="n">
        <f aca="false">Inputs!$B$10</f>
        <v>0.045</v>
      </c>
      <c r="Q83" s="74" t="n">
        <f aca="false">Inputs!$B$10</f>
        <v>0.045</v>
      </c>
      <c r="R83" s="74" t="n">
        <f aca="false">Inputs!$B$10</f>
        <v>0.045</v>
      </c>
      <c r="S83" s="74" t="n">
        <f aca="false">Inputs!$B$10</f>
        <v>0.045</v>
      </c>
      <c r="T83" s="74" t="n">
        <f aca="false">Inputs!$B$10</f>
        <v>0.045</v>
      </c>
      <c r="U83" s="74" t="n">
        <f aca="false">Inputs!$B$10</f>
        <v>0.045</v>
      </c>
      <c r="V83" s="74" t="n">
        <f aca="false">Inputs!$B$10</f>
        <v>0.045</v>
      </c>
      <c r="W83" s="74" t="n">
        <f aca="false">Inputs!$B$10</f>
        <v>0.045</v>
      </c>
      <c r="X83" s="74" t="n">
        <f aca="false">Inputs!$B$10</f>
        <v>0.045</v>
      </c>
      <c r="Y83" s="74" t="n">
        <f aca="false">Inputs!$B$10</f>
        <v>0.045</v>
      </c>
      <c r="Z83" s="74" t="n">
        <f aca="false">Inputs!$B$10</f>
        <v>0.045</v>
      </c>
      <c r="AA83" s="74" t="n">
        <f aca="false">Inputs!$B$10</f>
        <v>0.045</v>
      </c>
      <c r="AB83" s="74" t="n">
        <f aca="false">Inputs!$B$10</f>
        <v>0.045</v>
      </c>
      <c r="AC83" s="74" t="n">
        <f aca="false">Inputs!$B$10</f>
        <v>0.045</v>
      </c>
      <c r="AD83" s="74" t="n">
        <f aca="false">Inputs!$B$10</f>
        <v>0.045</v>
      </c>
      <c r="AE83" s="74" t="n">
        <f aca="false">Inputs!$B$10</f>
        <v>0.045</v>
      </c>
      <c r="AF83" s="74" t="n">
        <f aca="false">Inputs!$B$10</f>
        <v>0.045</v>
      </c>
      <c r="AG83" s="74" t="n">
        <f aca="false">Inputs!$B$10</f>
        <v>0.045</v>
      </c>
      <c r="AH83" s="74" t="n">
        <f aca="false">Inputs!$B$10</f>
        <v>0.045</v>
      </c>
      <c r="AI83" s="74" t="n">
        <f aca="false">Inputs!$B$10</f>
        <v>0.045</v>
      </c>
      <c r="AJ83" s="74" t="n">
        <f aca="false">Inputs!$B$10</f>
        <v>0.045</v>
      </c>
      <c r="AK83" s="74" t="n">
        <f aca="false">Inputs!$B$10</f>
        <v>0.045</v>
      </c>
      <c r="AL83" s="74" t="n">
        <f aca="false">Inputs!$B$10</f>
        <v>0.045</v>
      </c>
    </row>
    <row r="85" customFormat="false" ht="15.75" hidden="false" customHeight="true" outlineLevel="0" collapsed="false">
      <c r="A85" s="7" t="s">
        <v>400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19" t="s">
        <v>401</v>
      </c>
      <c r="C86" s="120" t="n">
        <f aca="false">IF(C46&gt;0,1,0)</f>
        <v>0</v>
      </c>
      <c r="D86" s="120" t="n">
        <f aca="false">IF(D46&gt;0,1,0)</f>
        <v>0</v>
      </c>
      <c r="E86" s="120" t="n">
        <f aca="false">IF(E46&gt;0,1,0)</f>
        <v>0</v>
      </c>
      <c r="F86" s="120" t="n">
        <f aca="false">IF(F46&gt;0,1,0)</f>
        <v>0</v>
      </c>
      <c r="G86" s="120" t="n">
        <f aca="false">IF(G46&gt;0,1,0)</f>
        <v>0</v>
      </c>
      <c r="H86" s="120" t="n">
        <f aca="false">IF(H46&gt;0,1,0)</f>
        <v>0</v>
      </c>
      <c r="I86" s="120" t="n">
        <f aca="false">IF(I46&gt;0,1,0)</f>
        <v>0</v>
      </c>
      <c r="J86" s="120" t="n">
        <f aca="false">IF(J46&gt;0,1,0)</f>
        <v>0</v>
      </c>
      <c r="K86" s="120" t="n">
        <f aca="false">IF(K46&gt;0,1,0)</f>
        <v>0</v>
      </c>
      <c r="L86" s="120" t="n">
        <f aca="false">IF(L46&gt;0,1,0)</f>
        <v>0</v>
      </c>
      <c r="M86" s="120" t="n">
        <f aca="false">IF(M46&gt;0,1,0)</f>
        <v>0</v>
      </c>
      <c r="N86" s="120" t="n">
        <f aca="false">IF(N46&gt;0,1,0)</f>
        <v>0</v>
      </c>
      <c r="O86" s="120" t="n">
        <f aca="false">IF(O46&gt;0,1,0)</f>
        <v>0</v>
      </c>
      <c r="P86" s="120" t="n">
        <f aca="false">IF(P46&gt;0,1,0)</f>
        <v>0</v>
      </c>
      <c r="Q86" s="120" t="n">
        <f aca="false">IF(Q46&gt;0,1,0)</f>
        <v>0</v>
      </c>
      <c r="R86" s="120" t="n">
        <f aca="false">IF(R46&gt;0,1,0)</f>
        <v>0</v>
      </c>
      <c r="S86" s="120" t="n">
        <f aca="false">IF(S46&gt;0,1,0)</f>
        <v>0</v>
      </c>
      <c r="T86" s="120" t="n">
        <f aca="false">IF(T46&gt;0,1,0)</f>
        <v>0</v>
      </c>
      <c r="U86" s="120" t="n">
        <f aca="false">IF(U46&gt;0,1,0)</f>
        <v>0</v>
      </c>
      <c r="V86" s="120" t="n">
        <f aca="false">IF(V46&gt;0,1,0)</f>
        <v>0</v>
      </c>
      <c r="W86" s="120" t="n">
        <f aca="false">IF(W46&gt;0,1,0)</f>
        <v>0</v>
      </c>
      <c r="X86" s="120" t="n">
        <f aca="false">IF(X46&gt;0,1,0)</f>
        <v>0</v>
      </c>
      <c r="Y86" s="120" t="n">
        <f aca="false">IF(Y46&gt;0,1,0)</f>
        <v>0</v>
      </c>
      <c r="Z86" s="120" t="n">
        <f aca="false">IF(Z46&gt;0,1,0)</f>
        <v>0</v>
      </c>
      <c r="AA86" s="120" t="n">
        <f aca="false">IF(AA46&gt;0,1,0)</f>
        <v>0</v>
      </c>
      <c r="AB86" s="120" t="n">
        <f aca="false">IF(AB46&gt;0,1,0)</f>
        <v>0</v>
      </c>
      <c r="AC86" s="120" t="n">
        <f aca="false">IF(AC46&gt;0,1,0)</f>
        <v>0</v>
      </c>
      <c r="AD86" s="120" t="n">
        <f aca="false">IF(AD46&gt;0,1,0)</f>
        <v>0</v>
      </c>
      <c r="AE86" s="120" t="n">
        <f aca="false">IF(AE46&gt;0,1,0)</f>
        <v>0</v>
      </c>
      <c r="AF86" s="120" t="n">
        <f aca="false">IF(AF46&gt;0,1,0)</f>
        <v>0</v>
      </c>
      <c r="AG86" s="120" t="n">
        <f aca="false">IF(AG46&gt;0,1,0)</f>
        <v>0</v>
      </c>
      <c r="AH86" s="120" t="n">
        <f aca="false">IF(AH46&gt;0,1,0)</f>
        <v>0</v>
      </c>
      <c r="AI86" s="120" t="n">
        <f aca="false">IF(AI46&gt;0,1,0)</f>
        <v>0</v>
      </c>
      <c r="AJ86" s="120" t="n">
        <f aca="false">IF(AJ46&gt;0,1,0)</f>
        <v>0</v>
      </c>
      <c r="AK86" s="120" t="n">
        <f aca="false">IF(AK46&gt;0,1,0)</f>
        <v>0</v>
      </c>
      <c r="AL86" s="120" t="n">
        <f aca="false">IF(AL46&gt;0,1,0)</f>
        <v>0</v>
      </c>
    </row>
    <row r="87" customFormat="false" ht="15" hidden="false" customHeight="false" outlineLevel="0" collapsed="false">
      <c r="A87" s="6" t="s">
        <v>402</v>
      </c>
      <c r="C87" s="66" t="n">
        <f aca="false">C72+C73</f>
        <v>-87778.7952777778</v>
      </c>
      <c r="D87" s="66" t="n">
        <f aca="false">D72+D73</f>
        <v>-69394.6141013889</v>
      </c>
      <c r="E87" s="66" t="n">
        <f aca="false">E72+E73</f>
        <v>-68234.5131334931</v>
      </c>
      <c r="F87" s="66" t="n">
        <f aca="false">F72+F73</f>
        <v>-67126.6167091525</v>
      </c>
      <c r="G87" s="66" t="n">
        <f aca="false">G72+G73</f>
        <v>-66068.5756239073</v>
      </c>
      <c r="H87" s="66" t="n">
        <f aca="false">H72+H73</f>
        <v>-65058.1463874982</v>
      </c>
      <c r="I87" s="66" t="n">
        <f aca="false">I72+I73</f>
        <v>-64093.1864667274</v>
      </c>
      <c r="J87" s="66" t="n">
        <f aca="false">J72+J73</f>
        <v>-63171.6497423913</v>
      </c>
      <c r="K87" s="66" t="n">
        <f aca="false">K72+K73</f>
        <v>-62291.5821706504</v>
      </c>
      <c r="L87" s="66" t="n">
        <f aca="false">L72+L73</f>
        <v>-61451.1176396378</v>
      </c>
      <c r="M87" s="66" t="n">
        <f aca="false">M72+M73</f>
        <v>-60648.4740125208</v>
      </c>
      <c r="N87" s="66" t="n">
        <f aca="false">N72+N73</f>
        <v>-59881.949348624</v>
      </c>
      <c r="O87" s="66" t="n">
        <f aca="false">O72+O73</f>
        <v>-95337.1671834915</v>
      </c>
      <c r="P87" s="66" t="n">
        <f aca="false">P72+P73</f>
        <v>-94428.5888824566</v>
      </c>
      <c r="Q87" s="66" t="n">
        <f aca="false">Q72+Q73</f>
        <v>-93559.706382746</v>
      </c>
      <c r="R87" s="66" t="n">
        <f aca="false">R72+R73</f>
        <v>-92729.9235955225</v>
      </c>
      <c r="S87" s="66" t="n">
        <f aca="false">S72+S73</f>
        <v>-91937.481033724</v>
      </c>
      <c r="T87" s="66" t="n">
        <f aca="false">T72+T73</f>
        <v>-91180.6983872064</v>
      </c>
      <c r="U87" s="66" t="n">
        <f aca="false">U72+U73</f>
        <v>-90457.9709597821</v>
      </c>
      <c r="V87" s="66" t="n">
        <f aca="false">V72+V73</f>
        <v>-89767.7662665919</v>
      </c>
      <c r="W87" s="66" t="n">
        <f aca="false">W72+W73</f>
        <v>-89108.6207845953</v>
      </c>
      <c r="X87" s="66" t="n">
        <f aca="false">X72+X73</f>
        <v>-88479.1368492885</v>
      </c>
      <c r="Y87" s="66" t="n">
        <f aca="false">Y72+Y73</f>
        <v>-87877.9796910705</v>
      </c>
      <c r="Z87" s="66" t="n">
        <f aca="false">Z72+Z73</f>
        <v>-87303.8746049723</v>
      </c>
      <c r="AA87" s="66" t="n">
        <f aca="false">AA72+AA73</f>
        <v>-142774.320247749</v>
      </c>
      <c r="AB87" s="66" t="n">
        <f aca="false">AB72+AB73</f>
        <v>-142004.1700366</v>
      </c>
      <c r="AC87" s="66" t="n">
        <f aca="false">AC72+AC73</f>
        <v>-141267.275784953</v>
      </c>
      <c r="AD87" s="66" t="n">
        <f aca="false">AD72+AD73</f>
        <v>-140563.54177463</v>
      </c>
      <c r="AE87" s="66" t="n">
        <f aca="false">AE72+AE73</f>
        <v>-139891.475794772</v>
      </c>
      <c r="AF87" s="66" t="n">
        <f aca="false">AF72+AF73</f>
        <v>-139249.652784007</v>
      </c>
      <c r="AG87" s="66" t="n">
        <f aca="false">AG72+AG73</f>
        <v>-138636.711808727</v>
      </c>
      <c r="AH87" s="66" t="n">
        <f aca="false">AH72+AH73</f>
        <v>-138051.353177334</v>
      </c>
      <c r="AI87" s="66" t="n">
        <f aca="false">AI72+AI73</f>
        <v>-137492.335684354</v>
      </c>
      <c r="AJ87" s="66" t="n">
        <f aca="false">AJ72+AJ73</f>
        <v>-136958.473978558</v>
      </c>
      <c r="AK87" s="66" t="n">
        <f aca="false">AK72+AK73</f>
        <v>-136448.636049523</v>
      </c>
      <c r="AL87" s="66" t="n">
        <f aca="false">AL72+AL73</f>
        <v>-135961.740827294</v>
      </c>
    </row>
    <row r="88" customFormat="false" ht="15" hidden="false" customHeight="false" outlineLevel="0" collapsed="false">
      <c r="A88" s="6" t="s">
        <v>403</v>
      </c>
      <c r="C88" s="66" t="n">
        <f aca="false">C87</f>
        <v>-87778.7952777778</v>
      </c>
      <c r="D88" s="66" t="n">
        <f aca="false">C88+D87</f>
        <v>-157173.409379167</v>
      </c>
      <c r="E88" s="66" t="n">
        <f aca="false">D88+E87</f>
        <v>-225407.92251266</v>
      </c>
      <c r="F88" s="66" t="n">
        <f aca="false">E88+F87</f>
        <v>-292534.539221812</v>
      </c>
      <c r="G88" s="66" t="n">
        <f aca="false">F88+G87</f>
        <v>-358603.11484572</v>
      </c>
      <c r="H88" s="66" t="n">
        <f aca="false">G88+H87</f>
        <v>-423661.261233218</v>
      </c>
      <c r="I88" s="66" t="n">
        <f aca="false">H88+I87</f>
        <v>-487754.447699945</v>
      </c>
      <c r="J88" s="66" t="n">
        <f aca="false">I88+J87</f>
        <v>-550926.097442337</v>
      </c>
      <c r="K88" s="66" t="n">
        <f aca="false">J88+K87</f>
        <v>-613217.679612987</v>
      </c>
      <c r="L88" s="66" t="n">
        <f aca="false">K88+L87</f>
        <v>-674668.797252625</v>
      </c>
      <c r="M88" s="66" t="n">
        <f aca="false">L88+M87</f>
        <v>-735317.271265145</v>
      </c>
      <c r="N88" s="66" t="n">
        <f aca="false">M88+N87</f>
        <v>-795199.220613769</v>
      </c>
      <c r="O88" s="66" t="n">
        <f aca="false">N88+O87</f>
        <v>-890536.387797261</v>
      </c>
      <c r="P88" s="66" t="n">
        <f aca="false">O88+P87</f>
        <v>-984964.976679717</v>
      </c>
      <c r="Q88" s="66" t="n">
        <f aca="false">P88+Q87</f>
        <v>-1078524.68306246</v>
      </c>
      <c r="R88" s="66" t="n">
        <f aca="false">Q88+R87</f>
        <v>-1171254.60665799</v>
      </c>
      <c r="S88" s="66" t="n">
        <f aca="false">R88+S87</f>
        <v>-1263192.08769171</v>
      </c>
      <c r="T88" s="66" t="n">
        <f aca="false">S88+T87</f>
        <v>-1354372.78607892</v>
      </c>
      <c r="U88" s="66" t="n">
        <f aca="false">T88+U87</f>
        <v>-1444830.7570387</v>
      </c>
      <c r="V88" s="66" t="n">
        <f aca="false">U88+V87</f>
        <v>-1534598.52330529</v>
      </c>
      <c r="W88" s="66" t="n">
        <f aca="false">V88+W87</f>
        <v>-1623707.14408989</v>
      </c>
      <c r="X88" s="66" t="n">
        <f aca="false">W88+X87</f>
        <v>-1712186.28093917</v>
      </c>
      <c r="Y88" s="66" t="n">
        <f aca="false">X88+Y87</f>
        <v>-1800064.26063024</v>
      </c>
      <c r="Z88" s="66" t="n">
        <f aca="false">Y88+Z87</f>
        <v>-1887368.13523522</v>
      </c>
      <c r="AA88" s="66" t="n">
        <f aca="false">Z88+AA87</f>
        <v>-2030142.45548297</v>
      </c>
      <c r="AB88" s="66" t="n">
        <f aca="false">AA88+AB87</f>
        <v>-2172146.62551957</v>
      </c>
      <c r="AC88" s="66" t="n">
        <f aca="false">AB88+AC87</f>
        <v>-2313413.90130452</v>
      </c>
      <c r="AD88" s="66" t="n">
        <f aca="false">AC88+AD87</f>
        <v>-2453977.44307915</v>
      </c>
      <c r="AE88" s="66" t="n">
        <f aca="false">AD88+AE87</f>
        <v>-2593868.91887392</v>
      </c>
      <c r="AF88" s="66" t="n">
        <f aca="false">AE88+AF87</f>
        <v>-2733118.57165793</v>
      </c>
      <c r="AG88" s="66" t="n">
        <f aca="false">AF88+AG87</f>
        <v>-2871755.28346665</v>
      </c>
      <c r="AH88" s="66" t="n">
        <f aca="false">AG88+AH87</f>
        <v>-3009806.63664399</v>
      </c>
      <c r="AI88" s="66" t="n">
        <f aca="false">AH88+AI87</f>
        <v>-3147298.97232834</v>
      </c>
      <c r="AJ88" s="66" t="n">
        <f aca="false">AI88+AJ87</f>
        <v>-3284257.4463069</v>
      </c>
      <c r="AK88" s="66" t="n">
        <f aca="false">AJ88+AK87</f>
        <v>-3420706.08235642</v>
      </c>
      <c r="AL88" s="66" t="n">
        <f aca="false">AK88+AL87</f>
        <v>-3556667.82318372</v>
      </c>
    </row>
    <row r="89" customFormat="false" ht="15" hidden="false" customHeight="false" outlineLevel="0" collapsed="false">
      <c r="A89" s="119" t="s">
        <v>404</v>
      </c>
      <c r="C89" s="66" t="n">
        <f aca="false">C88</f>
        <v>-87778.7952777778</v>
      </c>
      <c r="D89" s="66" t="n">
        <f aca="false">MIN(C89,D88)</f>
        <v>-157173.409379167</v>
      </c>
      <c r="E89" s="66" t="n">
        <f aca="false">MIN(D89,E88)</f>
        <v>-225407.92251266</v>
      </c>
      <c r="F89" s="66" t="n">
        <f aca="false">MIN(E89,F88)</f>
        <v>-292534.539221812</v>
      </c>
      <c r="G89" s="66" t="n">
        <f aca="false">MIN(F89,G88)</f>
        <v>-358603.11484572</v>
      </c>
      <c r="H89" s="66" t="n">
        <f aca="false">MIN(G89,H88)</f>
        <v>-423661.261233218</v>
      </c>
      <c r="I89" s="66" t="n">
        <f aca="false">MIN(H89,I88)</f>
        <v>-487754.447699945</v>
      </c>
      <c r="J89" s="66" t="n">
        <f aca="false">MIN(I89,J88)</f>
        <v>-550926.097442337</v>
      </c>
      <c r="K89" s="66" t="n">
        <f aca="false">MIN(J89,K88)</f>
        <v>-613217.679612987</v>
      </c>
      <c r="L89" s="66" t="n">
        <f aca="false">MIN(K89,L88)</f>
        <v>-674668.797252625</v>
      </c>
      <c r="M89" s="66" t="n">
        <f aca="false">MIN(L89,M88)</f>
        <v>-735317.271265145</v>
      </c>
      <c r="N89" s="66" t="n">
        <f aca="false">MIN(M89,N88)</f>
        <v>-795199.220613769</v>
      </c>
      <c r="O89" s="66" t="n">
        <f aca="false">MIN(N89,O88)</f>
        <v>-890536.387797261</v>
      </c>
      <c r="P89" s="66" t="n">
        <f aca="false">MIN(O89,P88)</f>
        <v>-984964.976679717</v>
      </c>
      <c r="Q89" s="66" t="n">
        <f aca="false">MIN(P89,Q88)</f>
        <v>-1078524.68306246</v>
      </c>
      <c r="R89" s="66" t="n">
        <f aca="false">MIN(Q89,R88)</f>
        <v>-1171254.60665799</v>
      </c>
      <c r="S89" s="66" t="n">
        <f aca="false">MIN(R89,S88)</f>
        <v>-1263192.08769171</v>
      </c>
      <c r="T89" s="66" t="n">
        <f aca="false">MIN(S89,T88)</f>
        <v>-1354372.78607892</v>
      </c>
      <c r="U89" s="66" t="n">
        <f aca="false">MIN(T89,U88)</f>
        <v>-1444830.7570387</v>
      </c>
      <c r="V89" s="66" t="n">
        <f aca="false">MIN(U89,V88)</f>
        <v>-1534598.52330529</v>
      </c>
      <c r="W89" s="66" t="n">
        <f aca="false">MIN(V89,W88)</f>
        <v>-1623707.14408989</v>
      </c>
      <c r="X89" s="66" t="n">
        <f aca="false">MIN(W89,X88)</f>
        <v>-1712186.28093917</v>
      </c>
      <c r="Y89" s="66" t="n">
        <f aca="false">MIN(X89,Y88)</f>
        <v>-1800064.26063024</v>
      </c>
      <c r="Z89" s="66" t="n">
        <f aca="false">MIN(Y89,Z88)</f>
        <v>-1887368.13523522</v>
      </c>
      <c r="AA89" s="66" t="n">
        <f aca="false">MIN(Z89,AA88)</f>
        <v>-2030142.45548297</v>
      </c>
      <c r="AB89" s="66" t="n">
        <f aca="false">MIN(AA89,AB88)</f>
        <v>-2172146.62551957</v>
      </c>
      <c r="AC89" s="66" t="n">
        <f aca="false">MIN(AB89,AC88)</f>
        <v>-2313413.90130452</v>
      </c>
      <c r="AD89" s="66" t="n">
        <f aca="false">MIN(AC89,AD88)</f>
        <v>-2453977.44307915</v>
      </c>
      <c r="AE89" s="66" t="n">
        <f aca="false">MIN(AD89,AE88)</f>
        <v>-2593868.91887392</v>
      </c>
      <c r="AF89" s="66" t="n">
        <f aca="false">MIN(AE89,AF88)</f>
        <v>-2733118.57165793</v>
      </c>
      <c r="AG89" s="66" t="n">
        <f aca="false">MIN(AF89,AG88)</f>
        <v>-2871755.28346665</v>
      </c>
      <c r="AH89" s="66" t="n">
        <f aca="false">MIN(AG89,AH88)</f>
        <v>-3009806.63664399</v>
      </c>
      <c r="AI89" s="66" t="n">
        <f aca="false">MIN(AH89,AI88)</f>
        <v>-3147298.97232834</v>
      </c>
      <c r="AJ89" s="66" t="n">
        <f aca="false">MIN(AI89,AJ88)</f>
        <v>-3284257.4463069</v>
      </c>
      <c r="AK89" s="66" t="n">
        <f aca="false">MIN(AJ89,AK88)</f>
        <v>-3420706.08235642</v>
      </c>
      <c r="AL89" s="66" t="n">
        <f aca="false">MIN(AK89,AL88)</f>
        <v>-3556667.82318372</v>
      </c>
    </row>
    <row r="90" customFormat="false" ht="15" hidden="false" customHeight="false" outlineLevel="0" collapsed="false">
      <c r="A90" s="119" t="s">
        <v>405</v>
      </c>
      <c r="C90" s="120" t="n">
        <f aca="false">IF(AND(C88&gt;=0,C89&lt;0),1,0)</f>
        <v>0</v>
      </c>
      <c r="D90" s="120" t="n">
        <f aca="false">IF(AND(D88&gt;=0,D89&lt;0),1,0)</f>
        <v>0</v>
      </c>
      <c r="E90" s="120" t="n">
        <f aca="false">IF(AND(E88&gt;=0,E89&lt;0),1,0)</f>
        <v>0</v>
      </c>
      <c r="F90" s="120" t="n">
        <f aca="false">IF(AND(F88&gt;=0,F89&lt;0),1,0)</f>
        <v>0</v>
      </c>
      <c r="G90" s="120" t="n">
        <f aca="false">IF(AND(G88&gt;=0,G89&lt;0),1,0)</f>
        <v>0</v>
      </c>
      <c r="H90" s="120" t="n">
        <f aca="false">IF(AND(H88&gt;=0,H89&lt;0),1,0)</f>
        <v>0</v>
      </c>
      <c r="I90" s="120" t="n">
        <f aca="false">IF(AND(I88&gt;=0,I89&lt;0),1,0)</f>
        <v>0</v>
      </c>
      <c r="J90" s="120" t="n">
        <f aca="false">IF(AND(J88&gt;=0,J89&lt;0),1,0)</f>
        <v>0</v>
      </c>
      <c r="K90" s="120" t="n">
        <f aca="false">IF(AND(K88&gt;=0,K89&lt;0),1,0)</f>
        <v>0</v>
      </c>
      <c r="L90" s="120" t="n">
        <f aca="false">IF(AND(L88&gt;=0,L89&lt;0),1,0)</f>
        <v>0</v>
      </c>
      <c r="M90" s="120" t="n">
        <f aca="false">IF(AND(M88&gt;=0,M89&lt;0),1,0)</f>
        <v>0</v>
      </c>
      <c r="N90" s="120" t="n">
        <f aca="false">IF(AND(N88&gt;=0,N89&lt;0),1,0)</f>
        <v>0</v>
      </c>
      <c r="O90" s="120" t="n">
        <f aca="false">IF(AND(O88&gt;=0,O89&lt;0),1,0)</f>
        <v>0</v>
      </c>
      <c r="P90" s="120" t="n">
        <f aca="false">IF(AND(P88&gt;=0,P89&lt;0),1,0)</f>
        <v>0</v>
      </c>
      <c r="Q90" s="120" t="n">
        <f aca="false">IF(AND(Q88&gt;=0,Q89&lt;0),1,0)</f>
        <v>0</v>
      </c>
      <c r="R90" s="120" t="n">
        <f aca="false">IF(AND(R88&gt;=0,R89&lt;0),1,0)</f>
        <v>0</v>
      </c>
      <c r="S90" s="120" t="n">
        <f aca="false">IF(AND(S88&gt;=0,S89&lt;0),1,0)</f>
        <v>0</v>
      </c>
      <c r="T90" s="120" t="n">
        <f aca="false">IF(AND(T88&gt;=0,T89&lt;0),1,0)</f>
        <v>0</v>
      </c>
      <c r="U90" s="120" t="n">
        <f aca="false">IF(AND(U88&gt;=0,U89&lt;0),1,0)</f>
        <v>0</v>
      </c>
      <c r="V90" s="120" t="n">
        <f aca="false">IF(AND(V88&gt;=0,V89&lt;0),1,0)</f>
        <v>0</v>
      </c>
      <c r="W90" s="120" t="n">
        <f aca="false">IF(AND(W88&gt;=0,W89&lt;0),1,0)</f>
        <v>0</v>
      </c>
      <c r="X90" s="120" t="n">
        <f aca="false">IF(AND(X88&gt;=0,X89&lt;0),1,0)</f>
        <v>0</v>
      </c>
      <c r="Y90" s="120" t="n">
        <f aca="false">IF(AND(Y88&gt;=0,Y89&lt;0),1,0)</f>
        <v>0</v>
      </c>
      <c r="Z90" s="120" t="n">
        <f aca="false">IF(AND(Z88&gt;=0,Z89&lt;0),1,0)</f>
        <v>0</v>
      </c>
      <c r="AA90" s="120" t="n">
        <f aca="false">IF(AND(AA88&gt;=0,AA89&lt;0),1,0)</f>
        <v>0</v>
      </c>
      <c r="AB90" s="120" t="n">
        <f aca="false">IF(AND(AB88&gt;=0,AB89&lt;0),1,0)</f>
        <v>0</v>
      </c>
      <c r="AC90" s="120" t="n">
        <f aca="false">IF(AND(AC88&gt;=0,AC89&lt;0),1,0)</f>
        <v>0</v>
      </c>
      <c r="AD90" s="120" t="n">
        <f aca="false">IF(AND(AD88&gt;=0,AD89&lt;0),1,0)</f>
        <v>0</v>
      </c>
      <c r="AE90" s="120" t="n">
        <f aca="false">IF(AND(AE88&gt;=0,AE89&lt;0),1,0)</f>
        <v>0</v>
      </c>
      <c r="AF90" s="120" t="n">
        <f aca="false">IF(AND(AF88&gt;=0,AF89&lt;0),1,0)</f>
        <v>0</v>
      </c>
      <c r="AG90" s="120" t="n">
        <f aca="false">IF(AND(AG88&gt;=0,AG89&lt;0),1,0)</f>
        <v>0</v>
      </c>
      <c r="AH90" s="120" t="n">
        <f aca="false">IF(AND(AH88&gt;=0,AH89&lt;0),1,0)</f>
        <v>0</v>
      </c>
      <c r="AI90" s="120" t="n">
        <f aca="false">IF(AND(AI88&gt;=0,AI89&lt;0),1,0)</f>
        <v>0</v>
      </c>
      <c r="AJ90" s="120" t="n">
        <f aca="false">IF(AND(AJ88&gt;=0,AJ89&lt;0),1,0)</f>
        <v>0</v>
      </c>
      <c r="AK90" s="120" t="n">
        <f aca="false">IF(AND(AK88&gt;=0,AK89&lt;0),1,0)</f>
        <v>0</v>
      </c>
      <c r="AL90" s="120" t="n">
        <f aca="false">IF(AND(AL88&gt;=0,AL89&lt;0),1,0)</f>
        <v>0</v>
      </c>
    </row>
    <row r="91" customFormat="false" ht="15" hidden="false" customHeight="false" outlineLevel="0" collapsed="false">
      <c r="A91" s="6" t="s">
        <v>406</v>
      </c>
      <c r="C91" s="66" t="n">
        <f aca="false">C72-C41*(1-Inputs!$B$58)+C73</f>
        <v>-87778.7952777778</v>
      </c>
      <c r="D91" s="66" t="n">
        <f aca="false">D72-D41*(1-Inputs!$B$58)+D73</f>
        <v>-69394.6141013889</v>
      </c>
      <c r="E91" s="66" t="n">
        <f aca="false">E72-E41*(1-Inputs!$B$58)+E73</f>
        <v>-68234.5131334931</v>
      </c>
      <c r="F91" s="66" t="n">
        <f aca="false">F72-F41*(1-Inputs!$B$58)+F73</f>
        <v>-67126.6167091525</v>
      </c>
      <c r="G91" s="66" t="n">
        <f aca="false">G72-G41*(1-Inputs!$B$58)+G73</f>
        <v>-66068.5756239073</v>
      </c>
      <c r="H91" s="66" t="n">
        <f aca="false">H72-H41*(1-Inputs!$B$58)+H73</f>
        <v>-65058.1463874982</v>
      </c>
      <c r="I91" s="66" t="n">
        <f aca="false">I72-I41*(1-Inputs!$B$58)+I73</f>
        <v>-64093.1864667274</v>
      </c>
      <c r="J91" s="66" t="n">
        <f aca="false">J72-J41*(1-Inputs!$B$58)+J73</f>
        <v>-63171.6497423913</v>
      </c>
      <c r="K91" s="66" t="n">
        <f aca="false">K72-K41*(1-Inputs!$B$58)+K73</f>
        <v>-62291.5821706504</v>
      </c>
      <c r="L91" s="66" t="n">
        <f aca="false">L72-L41*(1-Inputs!$B$58)+L73</f>
        <v>-61451.1176396378</v>
      </c>
      <c r="M91" s="66" t="n">
        <f aca="false">M72-M41*(1-Inputs!$B$58)+M73</f>
        <v>-60648.4740125208</v>
      </c>
      <c r="N91" s="66" t="n">
        <f aca="false">N72-N41*(1-Inputs!$B$58)+N73</f>
        <v>-59881.949348624</v>
      </c>
      <c r="O91" s="66" t="n">
        <f aca="false">O72-O41*(1-Inputs!$B$58)+O73</f>
        <v>-95337.1671834915</v>
      </c>
      <c r="P91" s="66" t="n">
        <f aca="false">P72-P41*(1-Inputs!$B$58)+P73</f>
        <v>-94428.5888824566</v>
      </c>
      <c r="Q91" s="66" t="n">
        <f aca="false">Q72-Q41*(1-Inputs!$B$58)+Q73</f>
        <v>-93559.706382746</v>
      </c>
      <c r="R91" s="66" t="n">
        <f aca="false">R72-R41*(1-Inputs!$B$58)+R73</f>
        <v>-92729.9235955225</v>
      </c>
      <c r="S91" s="66" t="n">
        <f aca="false">S72-S41*(1-Inputs!$B$58)+S73</f>
        <v>-91937.481033724</v>
      </c>
      <c r="T91" s="66" t="n">
        <f aca="false">T72-T41*(1-Inputs!$B$58)+T73</f>
        <v>-91180.6983872064</v>
      </c>
      <c r="U91" s="66" t="n">
        <f aca="false">U72-U41*(1-Inputs!$B$58)+U73</f>
        <v>-90457.9709597821</v>
      </c>
      <c r="V91" s="66" t="n">
        <f aca="false">V72-V41*(1-Inputs!$B$58)+V73</f>
        <v>-89767.7662665919</v>
      </c>
      <c r="W91" s="66" t="n">
        <f aca="false">W72-W41*(1-Inputs!$B$58)+W73</f>
        <v>-89108.6207845953</v>
      </c>
      <c r="X91" s="66" t="n">
        <f aca="false">X72-X41*(1-Inputs!$B$58)+X73</f>
        <v>-88479.1368492885</v>
      </c>
      <c r="Y91" s="66" t="n">
        <f aca="false">Y72-Y41*(1-Inputs!$B$58)+Y73</f>
        <v>-87877.9796910705</v>
      </c>
      <c r="Z91" s="66" t="n">
        <f aca="false">Z72-Z41*(1-Inputs!$B$58)+Z73</f>
        <v>-87303.8746049723</v>
      </c>
      <c r="AA91" s="66" t="n">
        <f aca="false">AA72-AA41*(1-Inputs!$B$58)+AA73</f>
        <v>-142774.320247749</v>
      </c>
      <c r="AB91" s="66" t="n">
        <f aca="false">AB72-AB41*(1-Inputs!$B$58)+AB73</f>
        <v>-142004.1700366</v>
      </c>
      <c r="AC91" s="66" t="n">
        <f aca="false">AC72-AC41*(1-Inputs!$B$58)+AC73</f>
        <v>-141267.275784953</v>
      </c>
      <c r="AD91" s="66" t="n">
        <f aca="false">AD72-AD41*(1-Inputs!$B$58)+AD73</f>
        <v>-140563.54177463</v>
      </c>
      <c r="AE91" s="66" t="n">
        <f aca="false">AE72-AE41*(1-Inputs!$B$58)+AE73</f>
        <v>-139891.475794772</v>
      </c>
      <c r="AF91" s="66" t="n">
        <f aca="false">AF72-AF41*(1-Inputs!$B$58)+AF73</f>
        <v>-139249.652784007</v>
      </c>
      <c r="AG91" s="66" t="n">
        <f aca="false">AG72-AG41*(1-Inputs!$B$58)+AG73</f>
        <v>-138636.711808727</v>
      </c>
      <c r="AH91" s="66" t="n">
        <f aca="false">AH72-AH41*(1-Inputs!$B$58)+AH73</f>
        <v>-138051.353177334</v>
      </c>
      <c r="AI91" s="66" t="n">
        <f aca="false">AI72-AI41*(1-Inputs!$B$58)+AI73</f>
        <v>-137492.335684354</v>
      </c>
      <c r="AJ91" s="66" t="n">
        <f aca="false">AJ72-AJ41*(1-Inputs!$B$58)+AJ73</f>
        <v>-136958.473978558</v>
      </c>
      <c r="AK91" s="66" t="n">
        <f aca="false">AK72-AK41*(1-Inputs!$B$58)+AK73</f>
        <v>-136448.636049523</v>
      </c>
      <c r="AL91" s="66" t="n">
        <f aca="false">AL72-AL41*(1-Inputs!$B$58)+AL73</f>
        <v>-135961.740827294</v>
      </c>
    </row>
    <row r="93" customFormat="false" ht="15.75" hidden="false" customHeight="true" outlineLevel="0" collapsed="false">
      <c r="A93" s="7" t="s">
        <v>407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97</v>
      </c>
      <c r="C94" s="66" t="n">
        <f aca="false">C74</f>
        <v>3000000</v>
      </c>
      <c r="D94" s="66" t="n">
        <f aca="false">C94+D74</f>
        <v>3000000</v>
      </c>
      <c r="E94" s="66" t="n">
        <f aca="false">D94+E74</f>
        <v>3000000</v>
      </c>
      <c r="F94" s="66" t="n">
        <f aca="false">E94+F74</f>
        <v>3000000</v>
      </c>
      <c r="G94" s="66" t="n">
        <f aca="false">F94+G74</f>
        <v>3000000</v>
      </c>
      <c r="H94" s="66" t="n">
        <f aca="false">G94+H74</f>
        <v>3000000</v>
      </c>
      <c r="I94" s="66" t="n">
        <f aca="false">H94+I74</f>
        <v>3000000</v>
      </c>
      <c r="J94" s="66" t="n">
        <f aca="false">I94+J74</f>
        <v>3000000</v>
      </c>
      <c r="K94" s="66" t="n">
        <f aca="false">J94+K74</f>
        <v>3000000</v>
      </c>
      <c r="L94" s="66" t="n">
        <f aca="false">K94+L74</f>
        <v>3000000</v>
      </c>
      <c r="M94" s="66" t="n">
        <f aca="false">L94+M74</f>
        <v>3000000</v>
      </c>
      <c r="N94" s="66" t="n">
        <f aca="false">M94+N74</f>
        <v>3000000</v>
      </c>
      <c r="O94" s="66" t="n">
        <f aca="false">N94+O74</f>
        <v>3000000</v>
      </c>
      <c r="P94" s="66" t="n">
        <f aca="false">O94+P74</f>
        <v>3000000</v>
      </c>
      <c r="Q94" s="66" t="n">
        <f aca="false">P94+Q74</f>
        <v>3000000</v>
      </c>
      <c r="R94" s="66" t="n">
        <f aca="false">Q94+R74</f>
        <v>3000000</v>
      </c>
      <c r="S94" s="66" t="n">
        <f aca="false">R94+S74</f>
        <v>3000000</v>
      </c>
      <c r="T94" s="66" t="n">
        <f aca="false">S94+T74</f>
        <v>3000000</v>
      </c>
      <c r="U94" s="66" t="n">
        <f aca="false">T94+U74</f>
        <v>3000000</v>
      </c>
      <c r="V94" s="66" t="n">
        <f aca="false">U94+V74</f>
        <v>3000000</v>
      </c>
      <c r="W94" s="66" t="n">
        <f aca="false">V94+W74</f>
        <v>3000000</v>
      </c>
      <c r="X94" s="66" t="n">
        <f aca="false">W94+X74</f>
        <v>3000000</v>
      </c>
      <c r="Y94" s="66" t="n">
        <f aca="false">X94+Y74</f>
        <v>3000000</v>
      </c>
      <c r="Z94" s="66" t="n">
        <f aca="false">Y94+Z74</f>
        <v>3000000</v>
      </c>
      <c r="AA94" s="66" t="n">
        <f aca="false">Z94+AA74</f>
        <v>3000000</v>
      </c>
      <c r="AB94" s="66" t="n">
        <f aca="false">AA94+AB74</f>
        <v>3000000</v>
      </c>
      <c r="AC94" s="66" t="n">
        <f aca="false">AB94+AC74</f>
        <v>3000000</v>
      </c>
      <c r="AD94" s="66" t="n">
        <f aca="false">AC94+AD74</f>
        <v>3000000</v>
      </c>
      <c r="AE94" s="66" t="n">
        <f aca="false">AD94+AE74</f>
        <v>3000000</v>
      </c>
      <c r="AF94" s="66" t="n">
        <f aca="false">AE94+AF74</f>
        <v>3000000</v>
      </c>
      <c r="AG94" s="66" t="n">
        <f aca="false">AF94+AG74</f>
        <v>3000000</v>
      </c>
      <c r="AH94" s="66" t="n">
        <f aca="false">AG94+AH74</f>
        <v>3000000</v>
      </c>
      <c r="AI94" s="66" t="n">
        <f aca="false">AH94+AI74</f>
        <v>3000000</v>
      </c>
      <c r="AJ94" s="66" t="n">
        <f aca="false">AI94+AJ74</f>
        <v>3000000</v>
      </c>
      <c r="AK94" s="66" t="n">
        <f aca="false">AJ94+AK74</f>
        <v>3000000</v>
      </c>
      <c r="AL94" s="66" t="n">
        <f aca="false">AK94+AL74</f>
        <v>3000000</v>
      </c>
    </row>
    <row r="95" customFormat="false" ht="15" hidden="false" customHeight="false" outlineLevel="0" collapsed="false">
      <c r="A95" s="6" t="s">
        <v>98</v>
      </c>
      <c r="C95" s="66" t="n">
        <f aca="false">C46</f>
        <v>-73045.3098888889</v>
      </c>
      <c r="D95" s="66" t="n">
        <f aca="false">C95+D46</f>
        <v>-144791.237499444</v>
      </c>
      <c r="E95" s="66" t="n">
        <f aca="false">D95+E46</f>
        <v>-215296.255034192</v>
      </c>
      <c r="F95" s="66" t="n">
        <f aca="false">E95+F46</f>
        <v>-284616.203446542</v>
      </c>
      <c r="G95" s="66" t="n">
        <f aca="false">F95+G46</f>
        <v>-352804.410847003</v>
      </c>
      <c r="H95" s="66" t="n">
        <f aca="false">G95+H46</f>
        <v>-419911.80558111</v>
      </c>
      <c r="I95" s="66" t="n">
        <f aca="false">H95+I46</f>
        <v>-485987.024218849</v>
      </c>
      <c r="J95" s="66" t="n">
        <f aca="false">I95+J46</f>
        <v>-551076.514684557</v>
      </c>
      <c r="K95" s="66" t="n">
        <f aca="false">J95+K46</f>
        <v>-615224.634745974</v>
      </c>
      <c r="L95" s="66" t="n">
        <f aca="false">K95+L46</f>
        <v>-678473.746071294</v>
      </c>
      <c r="M95" s="66" t="n">
        <f aca="false">L95+M46</f>
        <v>-740864.304053641</v>
      </c>
      <c r="N95" s="66" t="n">
        <f aca="false">M95+N46</f>
        <v>-802434.94359345</v>
      </c>
      <c r="O95" s="66" t="n">
        <f aca="false">N95+O46</f>
        <v>-899737.2596873</v>
      </c>
      <c r="P95" s="66" t="n">
        <f aca="false">O95+P46</f>
        <v>-996066.375556927</v>
      </c>
      <c r="Q95" s="66" t="n">
        <f aca="false">P95+Q46</f>
        <v>-1091466.08521242</v>
      </c>
      <c r="R95" s="66" t="n">
        <f aca="false">Q95+R46</f>
        <v>-1185978.21193342</v>
      </c>
      <c r="S95" s="66" t="n">
        <f aca="false">R95+S46</f>
        <v>-1279642.69695197</v>
      </c>
      <c r="T95" s="66" t="n">
        <f aca="false">S95+T46</f>
        <v>-1372497.68414469</v>
      </c>
      <c r="U95" s="66" t="n">
        <f aca="false">T95+U46</f>
        <v>-1464579.60091373</v>
      </c>
      <c r="V95" s="66" t="n">
        <f aca="false">U95+V46</f>
        <v>-1555923.23542817</v>
      </c>
      <c r="W95" s="66" t="n">
        <f aca="false">V95+W46</f>
        <v>-1646561.81038946</v>
      </c>
      <c r="X95" s="66" t="n">
        <f aca="false">W95+X46</f>
        <v>-1736527.05347749</v>
      </c>
      <c r="Y95" s="66" t="n">
        <f aca="false">X95+Y46</f>
        <v>-1825849.26462656</v>
      </c>
      <c r="Z95" s="66" t="n">
        <f aca="false">Y95+Z46</f>
        <v>-1914557.38027392</v>
      </c>
      <c r="AA95" s="66" t="n">
        <f aca="false">Z95+AA46</f>
        <v>-2059083.13391715</v>
      </c>
      <c r="AB95" s="66" t="n">
        <f aca="false">AA95+AB46</f>
        <v>-2202783.52204643</v>
      </c>
      <c r="AC95" s="66" t="n">
        <f aca="false">AB95+AC46</f>
        <v>-2345695.6861099</v>
      </c>
      <c r="AD95" s="66" t="n">
        <f aca="false">AC95+AD46</f>
        <v>-2487855.09619051</v>
      </c>
      <c r="AE95" s="66" t="n">
        <f aca="false">AD95+AE46</f>
        <v>-2629295.62621749</v>
      </c>
      <c r="AF95" s="66" t="n">
        <f aca="false">AE95+AF46</f>
        <v>-2770049.62579326</v>
      </c>
      <c r="AG95" s="66" t="n">
        <f aca="false">AF95+AG46</f>
        <v>-2910147.98878812</v>
      </c>
      <c r="AH95" s="66" t="n">
        <f aca="false">AG95+AH46</f>
        <v>-3049620.21884821</v>
      </c>
      <c r="AI95" s="66" t="n">
        <f aca="false">AH95+AI46</f>
        <v>-3188494.49195559</v>
      </c>
      <c r="AJ95" s="66" t="n">
        <f aca="false">AI95+AJ46</f>
        <v>-3326797.71617315</v>
      </c>
      <c r="AK95" s="66" t="n">
        <f aca="false">AJ95+AK46</f>
        <v>-3464555.58870091</v>
      </c>
      <c r="AL95" s="66" t="n">
        <f aca="false">AK95+AL46</f>
        <v>-3601792.65036493</v>
      </c>
    </row>
    <row r="96" customFormat="false" ht="15" hidden="false" customHeight="false" outlineLevel="0" collapsed="false">
      <c r="A96" s="4" t="s">
        <v>92</v>
      </c>
      <c r="C96" s="72" t="n">
        <f aca="false">C78+C62+C63+C53</f>
        <v>2932192.20611111</v>
      </c>
      <c r="D96" s="72" t="n">
        <f aca="false">D78+D62+D63+D53</f>
        <v>2862499.23028056</v>
      </c>
      <c r="E96" s="72" t="n">
        <f aca="false">E78+E62+E63+E53</f>
        <v>2793954.78169571</v>
      </c>
      <c r="F96" s="72" t="n">
        <f aca="false">F78+F62+F63+F53</f>
        <v>2726507.17663051</v>
      </c>
      <c r="G96" s="72" t="n">
        <f aca="false">G78+G62+G63+G53</f>
        <v>2660107.05712658</v>
      </c>
      <c r="H96" s="72" t="n">
        <f aca="false">H78+H62+H63+H53</f>
        <v>2594707.28633367</v>
      </c>
      <c r="I96" s="72" t="n">
        <f aca="false">I78+I62+I63+I53</f>
        <v>2530262.84855976</v>
      </c>
      <c r="J96" s="72" t="n">
        <f aca="false">J78+J62+J63+J53</f>
        <v>2466730.75381902</v>
      </c>
      <c r="K96" s="72" t="n">
        <f aca="false">K78+K62+K63+K53</f>
        <v>2404069.94667494</v>
      </c>
      <c r="L96" s="72" t="n">
        <f aca="false">L78+L62+L63+L53</f>
        <v>2342241.21918568</v>
      </c>
      <c r="M96" s="72" t="n">
        <f aca="false">M78+M62+M63+M53</f>
        <v>2281207.12776677</v>
      </c>
      <c r="N96" s="72" t="n">
        <f aca="false">N78+N62+N63+N53</f>
        <v>2220931.91379504</v>
      </c>
      <c r="O96" s="72" t="n">
        <f aca="false">O78+O62+O63+O53</f>
        <v>2125217.00111871</v>
      </c>
      <c r="P96" s="72" t="n">
        <f aca="false">P78+P62+P63+P53</f>
        <v>2030425.48751281</v>
      </c>
      <c r="Q96" s="72" t="n">
        <f aca="false">Q78+Q62+Q63+Q53</f>
        <v>1936494.18801918</v>
      </c>
      <c r="R96" s="72" t="n">
        <f aca="false">R78+R62+R63+R53</f>
        <v>1843384.39300276</v>
      </c>
      <c r="S96" s="72" t="n">
        <f aca="false">S78+S62+S63+S53</f>
        <v>1751059.13476208</v>
      </c>
      <c r="T96" s="72" t="n">
        <f aca="false">T78+T62+T63+T53</f>
        <v>1659483.10914223</v>
      </c>
      <c r="U96" s="72" t="n">
        <f aca="false">U78+U62+U63+U53</f>
        <v>1568622.60067527</v>
      </c>
      <c r="V96" s="72" t="n">
        <f aca="false">V78+V62+V63+V53</f>
        <v>1478445.41108933</v>
      </c>
      <c r="W96" s="72" t="n">
        <f aca="false">W78+W62+W63+W53</f>
        <v>1388920.79103476</v>
      </c>
      <c r="X96" s="72" t="n">
        <f aca="false">X78+X62+X63+X53</f>
        <v>1300019.37488264</v>
      </c>
      <c r="Y96" s="72" t="n">
        <f aca="false">Y78+Y62+Y63+Y53</f>
        <v>1211713.11845736</v>
      </c>
      <c r="Z96" s="72" t="n">
        <f aca="false">Z78+Z62+Z63+Z53</f>
        <v>1123975.23957123</v>
      </c>
      <c r="AA96" s="72" t="n">
        <f aca="false">AA78+AA62+AA63+AA53</f>
        <v>980788.305234965</v>
      </c>
      <c r="AB96" s="72" t="n">
        <f aca="false">AB78+AB62+AB63+AB53</f>
        <v>838391.948743836</v>
      </c>
      <c r="AC96" s="72" t="n">
        <f aca="false">AC78+AC62+AC63+AC53</f>
        <v>696725.134894808</v>
      </c>
      <c r="AD96" s="72" t="n">
        <f aca="false">AD78+AD62+AD63+AD53</f>
        <v>555755.034268986</v>
      </c>
      <c r="AE96" s="72" t="n">
        <f aca="false">AE78+AE62+AE63+AE53</f>
        <v>415450.294771326</v>
      </c>
      <c r="AF96" s="72" t="n">
        <f aca="false">AF78+AF62+AF63+AF53</f>
        <v>275780.97515106</v>
      </c>
      <c r="AG96" s="72" t="n">
        <f aca="false">AG78+AG62+AG63+AG53</f>
        <v>136718.481513707</v>
      </c>
      <c r="AH96" s="72" t="n">
        <f aca="false">AH78+AH62+AH63+AH53</f>
        <v>-1764.49330996536</v>
      </c>
      <c r="AI96" s="72" t="n">
        <f aca="false">AI78+AI62+AI63+AI53</f>
        <v>-139694.027666573</v>
      </c>
      <c r="AJ96" s="72" t="n">
        <f aca="false">AJ78+AJ62+AJ63+AJ53</f>
        <v>-277095.026377132</v>
      </c>
      <c r="AK96" s="72" t="n">
        <f aca="false">AK78+AK62+AK63+AK53</f>
        <v>-413991.273545717</v>
      </c>
      <c r="AL96" s="72" t="n">
        <f aca="false">AL78+AL62+AL63+AL53</f>
        <v>-550405.482991715</v>
      </c>
    </row>
    <row r="97" customFormat="false" ht="15" hidden="false" customHeight="false" outlineLevel="0" collapsed="false">
      <c r="A97" s="6" t="s">
        <v>96</v>
      </c>
      <c r="C97" s="66" t="n">
        <f aca="false">C64+C59+C68</f>
        <v>5237.516</v>
      </c>
      <c r="D97" s="66" t="n">
        <f aca="false">D64+D59+D68</f>
        <v>7290.46778</v>
      </c>
      <c r="E97" s="66" t="n">
        <f aca="false">E64+E59+E68</f>
        <v>9251.0367299</v>
      </c>
      <c r="F97" s="66" t="n">
        <f aca="false">F64+F59+F68</f>
        <v>11123.3800770545</v>
      </c>
      <c r="G97" s="66" t="n">
        <f aca="false">G64+G59+G68</f>
        <v>12911.4679735871</v>
      </c>
      <c r="H97" s="66" t="n">
        <f aca="false">H64+H59+H68</f>
        <v>14619.0919147756</v>
      </c>
      <c r="I97" s="66" t="n">
        <f aca="false">I64+I59+I68</f>
        <v>16249.8727786107</v>
      </c>
      <c r="J97" s="66" t="n">
        <f aca="false">J64+J59+J68</f>
        <v>17807.2685035733</v>
      </c>
      <c r="K97" s="66" t="n">
        <f aca="false">K64+K59+K68</f>
        <v>19294.5814209125</v>
      </c>
      <c r="L97" s="66" t="n">
        <f aca="false">L64+L59+L68</f>
        <v>20714.9652569714</v>
      </c>
      <c r="M97" s="66" t="n">
        <f aca="false">M64+M59+M68</f>
        <v>22071.4318204077</v>
      </c>
      <c r="N97" s="66" t="n">
        <f aca="false">N64+N59+N68</f>
        <v>23366.8573884893</v>
      </c>
      <c r="O97" s="66" t="n">
        <f aca="false">O64+O59+O68</f>
        <v>24954.2608060073</v>
      </c>
      <c r="P97" s="66" t="n">
        <f aca="false">P64+P59+P68</f>
        <v>26491.863069737</v>
      </c>
      <c r="Q97" s="66" t="n">
        <f aca="false">Q64+Q59+Q68</f>
        <v>27960.2732315988</v>
      </c>
      <c r="R97" s="66" t="n">
        <f aca="false">R64+R59+R68</f>
        <v>29362.6049361769</v>
      </c>
      <c r="S97" s="66" t="n">
        <f aca="false">S64+S59+S68</f>
        <v>30701.8317140489</v>
      </c>
      <c r="T97" s="66" t="n">
        <f aca="false">T64+T59+T68</f>
        <v>31980.7932869167</v>
      </c>
      <c r="U97" s="66" t="n">
        <f aca="false">U64+U59+U68</f>
        <v>33202.2015890055</v>
      </c>
      <c r="V97" s="66" t="n">
        <f aca="false">V64+V59+V68</f>
        <v>34368.6465175002</v>
      </c>
      <c r="W97" s="66" t="n">
        <f aca="false">W64+W59+W68</f>
        <v>35482.6014242127</v>
      </c>
      <c r="X97" s="66" t="n">
        <f aca="false">X64+X59+X68</f>
        <v>36546.4283601232</v>
      </c>
      <c r="Y97" s="66" t="n">
        <f aca="false">Y64+Y59+Y68</f>
        <v>37562.3830839176</v>
      </c>
      <c r="Z97" s="66" t="n">
        <f aca="false">Z64+Z59+Z68</f>
        <v>38532.6198451413</v>
      </c>
      <c r="AA97" s="66" t="n">
        <f aca="false">AA64+AA59+AA68</f>
        <v>39871.43915211</v>
      </c>
      <c r="AB97" s="66" t="n">
        <f aca="false">AB64+AB59+AB68</f>
        <v>41175.470790265</v>
      </c>
      <c r="AC97" s="66" t="n">
        <f aca="false">AC64+AC59+AC68</f>
        <v>42420.8210047031</v>
      </c>
      <c r="AD97" s="66" t="n">
        <f aca="false">AD64+AD59+AD68</f>
        <v>43610.1304594914</v>
      </c>
      <c r="AE97" s="66" t="n">
        <f aca="false">AE64+AE59+AE68</f>
        <v>44745.9209888143</v>
      </c>
      <c r="AF97" s="66" t="n">
        <f aca="false">AF64+AF59+AF68</f>
        <v>45830.6009443177</v>
      </c>
      <c r="AG97" s="66" t="n">
        <f aca="false">AG64+AG59+AG68</f>
        <v>46866.4703018234</v>
      </c>
      <c r="AH97" s="66" t="n">
        <f aca="false">AH64+AH59+AH68</f>
        <v>47855.7255382413</v>
      </c>
      <c r="AI97" s="66" t="n">
        <f aca="false">AI64+AI59+AI68</f>
        <v>48800.4642890205</v>
      </c>
      <c r="AJ97" s="66" t="n">
        <f aca="false">AJ64+AJ59+AJ68</f>
        <v>49702.6897960145</v>
      </c>
      <c r="AK97" s="66" t="n">
        <f aca="false">AK64+AK59+AK68</f>
        <v>50564.3151551939</v>
      </c>
      <c r="AL97" s="66" t="n">
        <f aca="false">AL64+AL59+AL68</f>
        <v>51387.1673732102</v>
      </c>
    </row>
    <row r="98" customFormat="false" ht="15" hidden="false" customHeight="false" outlineLevel="0" collapsed="false">
      <c r="A98" s="6" t="s">
        <v>99</v>
      </c>
      <c r="C98" s="66" t="n">
        <f aca="false">C94+C95</f>
        <v>2926954.69011111</v>
      </c>
      <c r="D98" s="66" t="n">
        <f aca="false">D94+D95</f>
        <v>2855208.76250056</v>
      </c>
      <c r="E98" s="66" t="n">
        <f aca="false">E94+E95</f>
        <v>2784703.74496581</v>
      </c>
      <c r="F98" s="66" t="n">
        <f aca="false">F94+F95</f>
        <v>2715383.79655346</v>
      </c>
      <c r="G98" s="66" t="n">
        <f aca="false">G94+G95</f>
        <v>2647195.589153</v>
      </c>
      <c r="H98" s="66" t="n">
        <f aca="false">H94+H95</f>
        <v>2580088.19441889</v>
      </c>
      <c r="I98" s="66" t="n">
        <f aca="false">I94+I95</f>
        <v>2514012.97578115</v>
      </c>
      <c r="J98" s="66" t="n">
        <f aca="false">J94+J95</f>
        <v>2448923.48531544</v>
      </c>
      <c r="K98" s="66" t="n">
        <f aca="false">K94+K95</f>
        <v>2384775.36525403</v>
      </c>
      <c r="L98" s="66" t="n">
        <f aca="false">L94+L95</f>
        <v>2321526.25392871</v>
      </c>
      <c r="M98" s="66" t="n">
        <f aca="false">M94+M95</f>
        <v>2259135.69594636</v>
      </c>
      <c r="N98" s="66" t="n">
        <f aca="false">N94+N95</f>
        <v>2197565.05640655</v>
      </c>
      <c r="O98" s="66" t="n">
        <f aca="false">O94+O95</f>
        <v>2100262.7403127</v>
      </c>
      <c r="P98" s="66" t="n">
        <f aca="false">P94+P95</f>
        <v>2003933.62444307</v>
      </c>
      <c r="Q98" s="66" t="n">
        <f aca="false">Q94+Q95</f>
        <v>1908533.91478758</v>
      </c>
      <c r="R98" s="66" t="n">
        <f aca="false">R94+R95</f>
        <v>1814021.78806658</v>
      </c>
      <c r="S98" s="66" t="n">
        <f aca="false">S94+S95</f>
        <v>1720357.30304803</v>
      </c>
      <c r="T98" s="66" t="n">
        <f aca="false">T94+T95</f>
        <v>1627502.31585531</v>
      </c>
      <c r="U98" s="66" t="n">
        <f aca="false">U94+U95</f>
        <v>1535420.39908627</v>
      </c>
      <c r="V98" s="66" t="n">
        <f aca="false">V94+V95</f>
        <v>1444076.76457183</v>
      </c>
      <c r="W98" s="66" t="n">
        <f aca="false">W94+W95</f>
        <v>1353438.18961054</v>
      </c>
      <c r="X98" s="66" t="n">
        <f aca="false">X94+X95</f>
        <v>1263472.94652251</v>
      </c>
      <c r="Y98" s="66" t="n">
        <f aca="false">Y94+Y95</f>
        <v>1174150.73537344</v>
      </c>
      <c r="Z98" s="66" t="n">
        <f aca="false">Z94+Z95</f>
        <v>1085442.61972608</v>
      </c>
      <c r="AA98" s="66" t="n">
        <f aca="false">AA94+AA95</f>
        <v>940916.866082855</v>
      </c>
      <c r="AB98" s="66" t="n">
        <f aca="false">AB94+AB95</f>
        <v>797216.477953571</v>
      </c>
      <c r="AC98" s="66" t="n">
        <f aca="false">AC94+AC95</f>
        <v>654304.313890105</v>
      </c>
      <c r="AD98" s="66" t="n">
        <f aca="false">AD94+AD95</f>
        <v>512144.903809494</v>
      </c>
      <c r="AE98" s="66" t="n">
        <f aca="false">AE94+AE95</f>
        <v>370704.373782511</v>
      </c>
      <c r="AF98" s="66" t="n">
        <f aca="false">AF94+AF95</f>
        <v>229950.374206743</v>
      </c>
      <c r="AG98" s="66" t="n">
        <f aca="false">AG94+AG95</f>
        <v>89852.0112118837</v>
      </c>
      <c r="AH98" s="66" t="n">
        <f aca="false">AH94+AH95</f>
        <v>-49620.2188482066</v>
      </c>
      <c r="AI98" s="66" t="n">
        <f aca="false">AI94+AI95</f>
        <v>-188494.491955593</v>
      </c>
      <c r="AJ98" s="66" t="n">
        <f aca="false">AJ94+AJ95</f>
        <v>-326797.716173147</v>
      </c>
      <c r="AK98" s="66" t="n">
        <f aca="false">AK94+AK95</f>
        <v>-464555.588700911</v>
      </c>
      <c r="AL98" s="66" t="n">
        <f aca="false">AL94+AL95</f>
        <v>-601792.650364926</v>
      </c>
    </row>
    <row r="99" customFormat="false" ht="15" hidden="false" customHeight="false" outlineLevel="0" collapsed="false">
      <c r="A99" s="4" t="s">
        <v>100</v>
      </c>
      <c r="C99" s="72" t="n">
        <f aca="false">C97+C98</f>
        <v>2932192.20611111</v>
      </c>
      <c r="D99" s="72" t="n">
        <f aca="false">D97+D98</f>
        <v>2862499.23028056</v>
      </c>
      <c r="E99" s="72" t="n">
        <f aca="false">E97+E98</f>
        <v>2793954.78169571</v>
      </c>
      <c r="F99" s="72" t="n">
        <f aca="false">F97+F98</f>
        <v>2726507.17663051</v>
      </c>
      <c r="G99" s="72" t="n">
        <f aca="false">G97+G98</f>
        <v>2660107.05712658</v>
      </c>
      <c r="H99" s="72" t="n">
        <f aca="false">H97+H98</f>
        <v>2594707.28633367</v>
      </c>
      <c r="I99" s="72" t="n">
        <f aca="false">I97+I98</f>
        <v>2530262.84855976</v>
      </c>
      <c r="J99" s="72" t="n">
        <f aca="false">J97+J98</f>
        <v>2466730.75381902</v>
      </c>
      <c r="K99" s="72" t="n">
        <f aca="false">K97+K98</f>
        <v>2404069.94667494</v>
      </c>
      <c r="L99" s="72" t="n">
        <f aca="false">L97+L98</f>
        <v>2342241.21918568</v>
      </c>
      <c r="M99" s="72" t="n">
        <f aca="false">M97+M98</f>
        <v>2281207.12776677</v>
      </c>
      <c r="N99" s="72" t="n">
        <f aca="false">N97+N98</f>
        <v>2220931.91379504</v>
      </c>
      <c r="O99" s="72" t="n">
        <f aca="false">O97+O98</f>
        <v>2125217.00111871</v>
      </c>
      <c r="P99" s="72" t="n">
        <f aca="false">P97+P98</f>
        <v>2030425.48751281</v>
      </c>
      <c r="Q99" s="72" t="n">
        <f aca="false">Q97+Q98</f>
        <v>1936494.18801918</v>
      </c>
      <c r="R99" s="72" t="n">
        <f aca="false">R97+R98</f>
        <v>1843384.39300276</v>
      </c>
      <c r="S99" s="72" t="n">
        <f aca="false">S97+S98</f>
        <v>1751059.13476208</v>
      </c>
      <c r="T99" s="72" t="n">
        <f aca="false">T97+T98</f>
        <v>1659483.10914223</v>
      </c>
      <c r="U99" s="72" t="n">
        <f aca="false">U97+U98</f>
        <v>1568622.60067527</v>
      </c>
      <c r="V99" s="72" t="n">
        <f aca="false">V97+V98</f>
        <v>1478445.41108933</v>
      </c>
      <c r="W99" s="72" t="n">
        <f aca="false">W97+W98</f>
        <v>1388920.79103476</v>
      </c>
      <c r="X99" s="72" t="n">
        <f aca="false">X97+X98</f>
        <v>1300019.37488264</v>
      </c>
      <c r="Y99" s="72" t="n">
        <f aca="false">Y97+Y98</f>
        <v>1211713.11845736</v>
      </c>
      <c r="Z99" s="72" t="n">
        <f aca="false">Z97+Z98</f>
        <v>1123975.23957123</v>
      </c>
      <c r="AA99" s="72" t="n">
        <f aca="false">AA97+AA98</f>
        <v>980788.305234965</v>
      </c>
      <c r="AB99" s="72" t="n">
        <f aca="false">AB97+AB98</f>
        <v>838391.948743836</v>
      </c>
      <c r="AC99" s="72" t="n">
        <f aca="false">AC97+AC98</f>
        <v>696725.134894808</v>
      </c>
      <c r="AD99" s="72" t="n">
        <f aca="false">AD97+AD98</f>
        <v>555755.034268986</v>
      </c>
      <c r="AE99" s="72" t="n">
        <f aca="false">AE97+AE98</f>
        <v>415450.294771326</v>
      </c>
      <c r="AF99" s="72" t="n">
        <f aca="false">AF97+AF98</f>
        <v>275780.97515106</v>
      </c>
      <c r="AG99" s="72" t="n">
        <f aca="false">AG97+AG98</f>
        <v>136718.481513707</v>
      </c>
      <c r="AH99" s="72" t="n">
        <f aca="false">AH97+AH98</f>
        <v>-1764.49330996523</v>
      </c>
      <c r="AI99" s="72" t="n">
        <f aca="false">AI97+AI98</f>
        <v>-139694.027666572</v>
      </c>
      <c r="AJ99" s="72" t="n">
        <f aca="false">AJ97+AJ98</f>
        <v>-277095.026377132</v>
      </c>
      <c r="AK99" s="72" t="n">
        <f aca="false">AK97+AK98</f>
        <v>-413991.273545717</v>
      </c>
      <c r="AL99" s="72" t="n">
        <f aca="false">AL97+AL98</f>
        <v>-550405.482991715</v>
      </c>
    </row>
    <row r="100" customFormat="false" ht="15" hidden="false" customHeight="false" outlineLevel="0" collapsed="false">
      <c r="A100" s="6" t="s">
        <v>408</v>
      </c>
      <c r="C100" s="66" t="n">
        <f aca="false">C96-C99</f>
        <v>0</v>
      </c>
      <c r="D100" s="66" t="n">
        <f aca="false">D96-D99</f>
        <v>0</v>
      </c>
      <c r="E100" s="66" t="n">
        <f aca="false">E96-E99</f>
        <v>0</v>
      </c>
      <c r="F100" s="66" t="n">
        <f aca="false">F96-F99</f>
        <v>0</v>
      </c>
      <c r="G100" s="66" t="n">
        <f aca="false">G96-G99</f>
        <v>0</v>
      </c>
      <c r="H100" s="66" t="n">
        <f aca="false">H96-H99</f>
        <v>0</v>
      </c>
      <c r="I100" s="66" t="n">
        <f aca="false">I96-I99</f>
        <v>0</v>
      </c>
      <c r="J100" s="66" t="n">
        <f aca="false">J96-J99</f>
        <v>0</v>
      </c>
      <c r="K100" s="66" t="n">
        <f aca="false">K96-K99</f>
        <v>0</v>
      </c>
      <c r="L100" s="66" t="n">
        <f aca="false">L96-L99</f>
        <v>0</v>
      </c>
      <c r="M100" s="66" t="n">
        <f aca="false">M96-M99</f>
        <v>0</v>
      </c>
      <c r="N100" s="66" t="n">
        <f aca="false">N96-N99</f>
        <v>0</v>
      </c>
      <c r="O100" s="66" t="n">
        <f aca="false">O96-O99</f>
        <v>0</v>
      </c>
      <c r="P100" s="66" t="n">
        <f aca="false">P96-P99</f>
        <v>0</v>
      </c>
      <c r="Q100" s="66" t="n">
        <f aca="false">Q96-Q99</f>
        <v>0</v>
      </c>
      <c r="R100" s="66" t="n">
        <f aca="false">R96-R99</f>
        <v>0</v>
      </c>
      <c r="S100" s="66" t="n">
        <f aca="false">S96-S99</f>
        <v>0</v>
      </c>
      <c r="T100" s="66" t="n">
        <f aca="false">T96-T99</f>
        <v>0</v>
      </c>
      <c r="U100" s="66" t="n">
        <f aca="false">U96-U99</f>
        <v>0</v>
      </c>
      <c r="V100" s="66" t="n">
        <f aca="false">V96-V99</f>
        <v>0</v>
      </c>
      <c r="W100" s="66" t="n">
        <f aca="false">W96-W99</f>
        <v>0</v>
      </c>
      <c r="X100" s="66" t="n">
        <f aca="false">X96-X99</f>
        <v>0</v>
      </c>
      <c r="Y100" s="66" t="n">
        <f aca="false">Y96-Y99</f>
        <v>0</v>
      </c>
      <c r="Z100" s="66" t="n">
        <f aca="false">Z96-Z99</f>
        <v>0</v>
      </c>
      <c r="AA100" s="66" t="n">
        <f aca="false">AA96-AA99</f>
        <v>0</v>
      </c>
      <c r="AB100" s="66" t="n">
        <f aca="false">AB96-AB99</f>
        <v>0</v>
      </c>
      <c r="AC100" s="66" t="n">
        <f aca="false">AC96-AC99</f>
        <v>0</v>
      </c>
      <c r="AD100" s="66" t="n">
        <f aca="false">AD96-AD99</f>
        <v>0</v>
      </c>
      <c r="AE100" s="66" t="n">
        <f aca="false">AE96-AE99</f>
        <v>0</v>
      </c>
      <c r="AF100" s="66" t="n">
        <f aca="false">AF96-AF99</f>
        <v>0</v>
      </c>
      <c r="AG100" s="66" t="n">
        <f aca="false">AG96-AG99</f>
        <v>0</v>
      </c>
      <c r="AH100" s="66" t="n">
        <f aca="false">AH96-AH99</f>
        <v>-1.26419763546437E-010</v>
      </c>
      <c r="AI100" s="66" t="n">
        <f aca="false">AI96-AI99</f>
        <v>0</v>
      </c>
      <c r="AJ100" s="66" t="n">
        <f aca="false">AJ96-AJ99</f>
        <v>0</v>
      </c>
      <c r="AK100" s="66" t="n">
        <f aca="false">AK96-AK99</f>
        <v>0</v>
      </c>
      <c r="AL100" s="66" t="n">
        <f aca="false">AL96-AL99</f>
        <v>0</v>
      </c>
    </row>
    <row r="102" customFormat="false" ht="15.75" hidden="false" customHeight="true" outlineLevel="0" collapsed="false">
      <c r="A102" s="7" t="s">
        <v>410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411</v>
      </c>
      <c r="C103" s="114" t="n">
        <f aca="false">Inputs!$B$26*(1+Inputs!$B$28)^(C$7-1)*MAX(0,MIN(1,C$6*1-Inputs!$B$29+1))/1</f>
        <v>3</v>
      </c>
      <c r="D103" s="114" t="n">
        <f aca="false">Inputs!$B$26*(1+Inputs!$B$28)^(D$7-1)*MAX(0,MIN(1,D$6*1-Inputs!$B$29+1))/1</f>
        <v>3</v>
      </c>
      <c r="E103" s="114" t="n">
        <f aca="false">Inputs!$B$26*(1+Inputs!$B$28)^(E$7-1)*MAX(0,MIN(1,E$6*1-Inputs!$B$29+1))/1</f>
        <v>3</v>
      </c>
      <c r="F103" s="114" t="n">
        <f aca="false">Inputs!$B$26*(1+Inputs!$B$28)^(F$7-1)*MAX(0,MIN(1,F$6*1-Inputs!$B$29+1))/1</f>
        <v>3</v>
      </c>
      <c r="G103" s="114" t="n">
        <f aca="false">Inputs!$B$26*(1+Inputs!$B$28)^(G$7-1)*MAX(0,MIN(1,G$6*1-Inputs!$B$29+1))/1</f>
        <v>3</v>
      </c>
      <c r="H103" s="114" t="n">
        <f aca="false">Inputs!$B$26*(1+Inputs!$B$28)^(H$7-1)*MAX(0,MIN(1,H$6*1-Inputs!$B$29+1))/1</f>
        <v>3</v>
      </c>
      <c r="I103" s="114" t="n">
        <f aca="false">Inputs!$B$26*(1+Inputs!$B$28)^(I$7-1)*MAX(0,MIN(1,I$6*1-Inputs!$B$29+1))/1</f>
        <v>3</v>
      </c>
      <c r="J103" s="114" t="n">
        <f aca="false">Inputs!$B$26*(1+Inputs!$B$28)^(J$7-1)*MAX(0,MIN(1,J$6*1-Inputs!$B$29+1))/1</f>
        <v>3</v>
      </c>
      <c r="K103" s="114" t="n">
        <f aca="false">Inputs!$B$26*(1+Inputs!$B$28)^(K$7-1)*MAX(0,MIN(1,K$6*1-Inputs!$B$29+1))/1</f>
        <v>3</v>
      </c>
      <c r="L103" s="114" t="n">
        <f aca="false">Inputs!$B$26*(1+Inputs!$B$28)^(L$7-1)*MAX(0,MIN(1,L$6*1-Inputs!$B$29+1))/1</f>
        <v>3</v>
      </c>
      <c r="M103" s="114" t="n">
        <f aca="false">Inputs!$B$26*(1+Inputs!$B$28)^(M$7-1)*MAX(0,MIN(1,M$6*1-Inputs!$B$29+1))/1</f>
        <v>3</v>
      </c>
      <c r="N103" s="114" t="n">
        <f aca="false">Inputs!$B$26*(1+Inputs!$B$28)^(N$7-1)*MAX(0,MIN(1,N$6*1-Inputs!$B$29+1))/1</f>
        <v>3</v>
      </c>
      <c r="O103" s="114" t="n">
        <f aca="false">Inputs!$B$26*(1+Inputs!$B$28)^(O$7-1)*MAX(0,MIN(1,O$6*1-Inputs!$B$29+1))/1</f>
        <v>4.5</v>
      </c>
      <c r="P103" s="114" t="n">
        <f aca="false">Inputs!$B$26*(1+Inputs!$B$28)^(P$7-1)*MAX(0,MIN(1,P$6*1-Inputs!$B$29+1))/1</f>
        <v>4.5</v>
      </c>
      <c r="Q103" s="114" t="n">
        <f aca="false">Inputs!$B$26*(1+Inputs!$B$28)^(Q$7-1)*MAX(0,MIN(1,Q$6*1-Inputs!$B$29+1))/1</f>
        <v>4.5</v>
      </c>
      <c r="R103" s="114" t="n">
        <f aca="false">Inputs!$B$26*(1+Inputs!$B$28)^(R$7-1)*MAX(0,MIN(1,R$6*1-Inputs!$B$29+1))/1</f>
        <v>4.5</v>
      </c>
      <c r="S103" s="114" t="n">
        <f aca="false">Inputs!$B$26*(1+Inputs!$B$28)^(S$7-1)*MAX(0,MIN(1,S$6*1-Inputs!$B$29+1))/1</f>
        <v>4.5</v>
      </c>
      <c r="T103" s="114" t="n">
        <f aca="false">Inputs!$B$26*(1+Inputs!$B$28)^(T$7-1)*MAX(0,MIN(1,T$6*1-Inputs!$B$29+1))/1</f>
        <v>4.5</v>
      </c>
      <c r="U103" s="114" t="n">
        <f aca="false">Inputs!$B$26*(1+Inputs!$B$28)^(U$7-1)*MAX(0,MIN(1,U$6*1-Inputs!$B$29+1))/1</f>
        <v>4.5</v>
      </c>
      <c r="V103" s="114" t="n">
        <f aca="false">Inputs!$B$26*(1+Inputs!$B$28)^(V$7-1)*MAX(0,MIN(1,V$6*1-Inputs!$B$29+1))/1</f>
        <v>4.5</v>
      </c>
      <c r="W103" s="114" t="n">
        <f aca="false">Inputs!$B$26*(1+Inputs!$B$28)^(W$7-1)*MAX(0,MIN(1,W$6*1-Inputs!$B$29+1))/1</f>
        <v>4.5</v>
      </c>
      <c r="X103" s="114" t="n">
        <f aca="false">Inputs!$B$26*(1+Inputs!$B$28)^(X$7-1)*MAX(0,MIN(1,X$6*1-Inputs!$B$29+1))/1</f>
        <v>4.5</v>
      </c>
      <c r="Y103" s="114" t="n">
        <f aca="false">Inputs!$B$26*(1+Inputs!$B$28)^(Y$7-1)*MAX(0,MIN(1,Y$6*1-Inputs!$B$29+1))/1</f>
        <v>4.5</v>
      </c>
      <c r="Z103" s="114" t="n">
        <f aca="false">Inputs!$B$26*(1+Inputs!$B$28)^(Z$7-1)*MAX(0,MIN(1,Z$6*1-Inputs!$B$29+1))/1</f>
        <v>4.5</v>
      </c>
      <c r="AA103" s="114" t="n">
        <f aca="false">Inputs!$B$26*(1+Inputs!$B$28)^(AA$7-1)*MAX(0,MIN(1,AA$6*1-Inputs!$B$29+1))/1</f>
        <v>6.75</v>
      </c>
      <c r="AB103" s="114" t="n">
        <f aca="false">Inputs!$B$26*(1+Inputs!$B$28)^(AB$7-1)*MAX(0,MIN(1,AB$6*1-Inputs!$B$29+1))/1</f>
        <v>6.75</v>
      </c>
      <c r="AC103" s="114" t="n">
        <f aca="false">Inputs!$B$26*(1+Inputs!$B$28)^(AC$7-1)*MAX(0,MIN(1,AC$6*1-Inputs!$B$29+1))/1</f>
        <v>6.75</v>
      </c>
      <c r="AD103" s="114" t="n">
        <f aca="false">Inputs!$B$26*(1+Inputs!$B$28)^(AD$7-1)*MAX(0,MIN(1,AD$6*1-Inputs!$B$29+1))/1</f>
        <v>6.75</v>
      </c>
      <c r="AE103" s="114" t="n">
        <f aca="false">Inputs!$B$26*(1+Inputs!$B$28)^(AE$7-1)*MAX(0,MIN(1,AE$6*1-Inputs!$B$29+1))/1</f>
        <v>6.75</v>
      </c>
      <c r="AF103" s="114" t="n">
        <f aca="false">Inputs!$B$26*(1+Inputs!$B$28)^(AF$7-1)*MAX(0,MIN(1,AF$6*1-Inputs!$B$29+1))/1</f>
        <v>6.75</v>
      </c>
      <c r="AG103" s="114" t="n">
        <f aca="false">Inputs!$B$26*(1+Inputs!$B$28)^(AG$7-1)*MAX(0,MIN(1,AG$6*1-Inputs!$B$29+1))/1</f>
        <v>6.75</v>
      </c>
      <c r="AH103" s="114" t="n">
        <f aca="false">Inputs!$B$26*(1+Inputs!$B$28)^(AH$7-1)*MAX(0,MIN(1,AH$6*1-Inputs!$B$29+1))/1</f>
        <v>6.75</v>
      </c>
      <c r="AI103" s="114" t="n">
        <f aca="false">Inputs!$B$26*(1+Inputs!$B$28)^(AI$7-1)*MAX(0,MIN(1,AI$6*1-Inputs!$B$29+1))/1</f>
        <v>6.75</v>
      </c>
      <c r="AJ103" s="114" t="n">
        <f aca="false">Inputs!$B$26*(1+Inputs!$B$28)^(AJ$7-1)*MAX(0,MIN(1,AJ$6*1-Inputs!$B$29+1))/1</f>
        <v>6.75</v>
      </c>
      <c r="AK103" s="114" t="n">
        <f aca="false">Inputs!$B$26*(1+Inputs!$B$28)^(AK$7-1)*MAX(0,MIN(1,AK$6*1-Inputs!$B$29+1))/1</f>
        <v>6.75</v>
      </c>
      <c r="AL103" s="114" t="n">
        <f aca="false">Inputs!$B$26*(1+Inputs!$B$28)^(AL$7-1)*MAX(0,MIN(1,AL$6*1-Inputs!$B$29+1))/1</f>
        <v>6.75</v>
      </c>
    </row>
    <row r="104" customFormat="false" ht="15" hidden="false" customHeight="false" outlineLevel="0" collapsed="false">
      <c r="A104" s="6" t="s">
        <v>412</v>
      </c>
      <c r="C104" s="114" t="n">
        <f aca="false">Inputs!$B$30*(1+Inputs!$B$32)^(C$7-1)*MAX(0,MIN(1,C$6*1-Inputs!$B$33+1))/1</f>
        <v>1.5</v>
      </c>
      <c r="D104" s="114" t="n">
        <f aca="false">Inputs!$B$30*(1+Inputs!$B$32)^(D$7-1)*MAX(0,MIN(1,D$6*1-Inputs!$B$33+1))/1</f>
        <v>1.5</v>
      </c>
      <c r="E104" s="114" t="n">
        <f aca="false">Inputs!$B$30*(1+Inputs!$B$32)^(E$7-1)*MAX(0,MIN(1,E$6*1-Inputs!$B$33+1))/1</f>
        <v>1.5</v>
      </c>
      <c r="F104" s="114" t="n">
        <f aca="false">Inputs!$B$30*(1+Inputs!$B$32)^(F$7-1)*MAX(0,MIN(1,F$6*1-Inputs!$B$33+1))/1</f>
        <v>1.5</v>
      </c>
      <c r="G104" s="114" t="n">
        <f aca="false">Inputs!$B$30*(1+Inputs!$B$32)^(G$7-1)*MAX(0,MIN(1,G$6*1-Inputs!$B$33+1))/1</f>
        <v>1.5</v>
      </c>
      <c r="H104" s="114" t="n">
        <f aca="false">Inputs!$B$30*(1+Inputs!$B$32)^(H$7-1)*MAX(0,MIN(1,H$6*1-Inputs!$B$33+1))/1</f>
        <v>1.5</v>
      </c>
      <c r="I104" s="114" t="n">
        <f aca="false">Inputs!$B$30*(1+Inputs!$B$32)^(I$7-1)*MAX(0,MIN(1,I$6*1-Inputs!$B$33+1))/1</f>
        <v>1.5</v>
      </c>
      <c r="J104" s="114" t="n">
        <f aca="false">Inputs!$B$30*(1+Inputs!$B$32)^(J$7-1)*MAX(0,MIN(1,J$6*1-Inputs!$B$33+1))/1</f>
        <v>1.5</v>
      </c>
      <c r="K104" s="114" t="n">
        <f aca="false">Inputs!$B$30*(1+Inputs!$B$32)^(K$7-1)*MAX(0,MIN(1,K$6*1-Inputs!$B$33+1))/1</f>
        <v>1.5</v>
      </c>
      <c r="L104" s="114" t="n">
        <f aca="false">Inputs!$B$30*(1+Inputs!$B$32)^(L$7-1)*MAX(0,MIN(1,L$6*1-Inputs!$B$33+1))/1</f>
        <v>1.5</v>
      </c>
      <c r="M104" s="114" t="n">
        <f aca="false">Inputs!$B$30*(1+Inputs!$B$32)^(M$7-1)*MAX(0,MIN(1,M$6*1-Inputs!$B$33+1))/1</f>
        <v>1.5</v>
      </c>
      <c r="N104" s="114" t="n">
        <f aca="false">Inputs!$B$30*(1+Inputs!$B$32)^(N$7-1)*MAX(0,MIN(1,N$6*1-Inputs!$B$33+1))/1</f>
        <v>1.5</v>
      </c>
      <c r="O104" s="114" t="n">
        <f aca="false">Inputs!$B$30*(1+Inputs!$B$32)^(O$7-1)*MAX(0,MIN(1,O$6*1-Inputs!$B$33+1))/1</f>
        <v>2.25</v>
      </c>
      <c r="P104" s="114" t="n">
        <f aca="false">Inputs!$B$30*(1+Inputs!$B$32)^(P$7-1)*MAX(0,MIN(1,P$6*1-Inputs!$B$33+1))/1</f>
        <v>2.25</v>
      </c>
      <c r="Q104" s="114" t="n">
        <f aca="false">Inputs!$B$30*(1+Inputs!$B$32)^(Q$7-1)*MAX(0,MIN(1,Q$6*1-Inputs!$B$33+1))/1</f>
        <v>2.25</v>
      </c>
      <c r="R104" s="114" t="n">
        <f aca="false">Inputs!$B$30*(1+Inputs!$B$32)^(R$7-1)*MAX(0,MIN(1,R$6*1-Inputs!$B$33+1))/1</f>
        <v>2.25</v>
      </c>
      <c r="S104" s="114" t="n">
        <f aca="false">Inputs!$B$30*(1+Inputs!$B$32)^(S$7-1)*MAX(0,MIN(1,S$6*1-Inputs!$B$33+1))/1</f>
        <v>2.25</v>
      </c>
      <c r="T104" s="114" t="n">
        <f aca="false">Inputs!$B$30*(1+Inputs!$B$32)^(T$7-1)*MAX(0,MIN(1,T$6*1-Inputs!$B$33+1))/1</f>
        <v>2.25</v>
      </c>
      <c r="U104" s="114" t="n">
        <f aca="false">Inputs!$B$30*(1+Inputs!$B$32)^(U$7-1)*MAX(0,MIN(1,U$6*1-Inputs!$B$33+1))/1</f>
        <v>2.25</v>
      </c>
      <c r="V104" s="114" t="n">
        <f aca="false">Inputs!$B$30*(1+Inputs!$B$32)^(V$7-1)*MAX(0,MIN(1,V$6*1-Inputs!$B$33+1))/1</f>
        <v>2.25</v>
      </c>
      <c r="W104" s="114" t="n">
        <f aca="false">Inputs!$B$30*(1+Inputs!$B$32)^(W$7-1)*MAX(0,MIN(1,W$6*1-Inputs!$B$33+1))/1</f>
        <v>2.25</v>
      </c>
      <c r="X104" s="114" t="n">
        <f aca="false">Inputs!$B$30*(1+Inputs!$B$32)^(X$7-1)*MAX(0,MIN(1,X$6*1-Inputs!$B$33+1))/1</f>
        <v>2.25</v>
      </c>
      <c r="Y104" s="114" t="n">
        <f aca="false">Inputs!$B$30*(1+Inputs!$B$32)^(Y$7-1)*MAX(0,MIN(1,Y$6*1-Inputs!$B$33+1))/1</f>
        <v>2.25</v>
      </c>
      <c r="Z104" s="114" t="n">
        <f aca="false">Inputs!$B$30*(1+Inputs!$B$32)^(Z$7-1)*MAX(0,MIN(1,Z$6*1-Inputs!$B$33+1))/1</f>
        <v>2.25</v>
      </c>
      <c r="AA104" s="114" t="n">
        <f aca="false">Inputs!$B$30*(1+Inputs!$B$32)^(AA$7-1)*MAX(0,MIN(1,AA$6*1-Inputs!$B$33+1))/1</f>
        <v>3.375</v>
      </c>
      <c r="AB104" s="114" t="n">
        <f aca="false">Inputs!$B$30*(1+Inputs!$B$32)^(AB$7-1)*MAX(0,MIN(1,AB$6*1-Inputs!$B$33+1))/1</f>
        <v>3.375</v>
      </c>
      <c r="AC104" s="114" t="n">
        <f aca="false">Inputs!$B$30*(1+Inputs!$B$32)^(AC$7-1)*MAX(0,MIN(1,AC$6*1-Inputs!$B$33+1))/1</f>
        <v>3.375</v>
      </c>
      <c r="AD104" s="114" t="n">
        <f aca="false">Inputs!$B$30*(1+Inputs!$B$32)^(AD$7-1)*MAX(0,MIN(1,AD$6*1-Inputs!$B$33+1))/1</f>
        <v>3.375</v>
      </c>
      <c r="AE104" s="114" t="n">
        <f aca="false">Inputs!$B$30*(1+Inputs!$B$32)^(AE$7-1)*MAX(0,MIN(1,AE$6*1-Inputs!$B$33+1))/1</f>
        <v>3.375</v>
      </c>
      <c r="AF104" s="114" t="n">
        <f aca="false">Inputs!$B$30*(1+Inputs!$B$32)^(AF$7-1)*MAX(0,MIN(1,AF$6*1-Inputs!$B$33+1))/1</f>
        <v>3.375</v>
      </c>
      <c r="AG104" s="114" t="n">
        <f aca="false">Inputs!$B$30*(1+Inputs!$B$32)^(AG$7-1)*MAX(0,MIN(1,AG$6*1-Inputs!$B$33+1))/1</f>
        <v>3.375</v>
      </c>
      <c r="AH104" s="114" t="n">
        <f aca="false">Inputs!$B$30*(1+Inputs!$B$32)^(AH$7-1)*MAX(0,MIN(1,AH$6*1-Inputs!$B$33+1))/1</f>
        <v>3.375</v>
      </c>
      <c r="AI104" s="114" t="n">
        <f aca="false">Inputs!$B$30*(1+Inputs!$B$32)^(AI$7-1)*MAX(0,MIN(1,AI$6*1-Inputs!$B$33+1))/1</f>
        <v>3.375</v>
      </c>
      <c r="AJ104" s="114" t="n">
        <f aca="false">Inputs!$B$30*(1+Inputs!$B$32)^(AJ$7-1)*MAX(0,MIN(1,AJ$6*1-Inputs!$B$33+1))/1</f>
        <v>3.375</v>
      </c>
      <c r="AK104" s="114" t="n">
        <f aca="false">Inputs!$B$30*(1+Inputs!$B$32)^(AK$7-1)*MAX(0,MIN(1,AK$6*1-Inputs!$B$33+1))/1</f>
        <v>3.375</v>
      </c>
      <c r="AL104" s="114" t="n">
        <f aca="false">Inputs!$B$30*(1+Inputs!$B$32)^(AL$7-1)*MAX(0,MIN(1,AL$6*1-Inputs!$B$33+1))/1</f>
        <v>3.375</v>
      </c>
    </row>
    <row r="105" customFormat="false" ht="15" hidden="false" customHeight="false" outlineLevel="0" collapsed="false">
      <c r="A105" s="6" t="s">
        <v>413</v>
      </c>
      <c r="C105" s="114" t="n">
        <f aca="false">Inputs!$B$34*(1+Inputs!$B$36)^(C$7-1)*MAX(0,MIN(1,C$6*1-Inputs!$B$37+1))/1</f>
        <v>1</v>
      </c>
      <c r="D105" s="114" t="n">
        <f aca="false">Inputs!$B$34*(1+Inputs!$B$36)^(D$7-1)*MAX(0,MIN(1,D$6*1-Inputs!$B$37+1))/1</f>
        <v>1</v>
      </c>
      <c r="E105" s="114" t="n">
        <f aca="false">Inputs!$B$34*(1+Inputs!$B$36)^(E$7-1)*MAX(0,MIN(1,E$6*1-Inputs!$B$37+1))/1</f>
        <v>1</v>
      </c>
      <c r="F105" s="114" t="n">
        <f aca="false">Inputs!$B$34*(1+Inputs!$B$36)^(F$7-1)*MAX(0,MIN(1,F$6*1-Inputs!$B$37+1))/1</f>
        <v>1</v>
      </c>
      <c r="G105" s="114" t="n">
        <f aca="false">Inputs!$B$34*(1+Inputs!$B$36)^(G$7-1)*MAX(0,MIN(1,G$6*1-Inputs!$B$37+1))/1</f>
        <v>1</v>
      </c>
      <c r="H105" s="114" t="n">
        <f aca="false">Inputs!$B$34*(1+Inputs!$B$36)^(H$7-1)*MAX(0,MIN(1,H$6*1-Inputs!$B$37+1))/1</f>
        <v>1</v>
      </c>
      <c r="I105" s="114" t="n">
        <f aca="false">Inputs!$B$34*(1+Inputs!$B$36)^(I$7-1)*MAX(0,MIN(1,I$6*1-Inputs!$B$37+1))/1</f>
        <v>1</v>
      </c>
      <c r="J105" s="114" t="n">
        <f aca="false">Inputs!$B$34*(1+Inputs!$B$36)^(J$7-1)*MAX(0,MIN(1,J$6*1-Inputs!$B$37+1))/1</f>
        <v>1</v>
      </c>
      <c r="K105" s="114" t="n">
        <f aca="false">Inputs!$B$34*(1+Inputs!$B$36)^(K$7-1)*MAX(0,MIN(1,K$6*1-Inputs!$B$37+1))/1</f>
        <v>1</v>
      </c>
      <c r="L105" s="114" t="n">
        <f aca="false">Inputs!$B$34*(1+Inputs!$B$36)^(L$7-1)*MAX(0,MIN(1,L$6*1-Inputs!$B$37+1))/1</f>
        <v>1</v>
      </c>
      <c r="M105" s="114" t="n">
        <f aca="false">Inputs!$B$34*(1+Inputs!$B$36)^(M$7-1)*MAX(0,MIN(1,M$6*1-Inputs!$B$37+1))/1</f>
        <v>1</v>
      </c>
      <c r="N105" s="114" t="n">
        <f aca="false">Inputs!$B$34*(1+Inputs!$B$36)^(N$7-1)*MAX(0,MIN(1,N$6*1-Inputs!$B$37+1))/1</f>
        <v>1</v>
      </c>
      <c r="O105" s="114" t="n">
        <f aca="false">Inputs!$B$34*(1+Inputs!$B$36)^(O$7-1)*MAX(0,MIN(1,O$6*1-Inputs!$B$37+1))/1</f>
        <v>1.5</v>
      </c>
      <c r="P105" s="114" t="n">
        <f aca="false">Inputs!$B$34*(1+Inputs!$B$36)^(P$7-1)*MAX(0,MIN(1,P$6*1-Inputs!$B$37+1))/1</f>
        <v>1.5</v>
      </c>
      <c r="Q105" s="114" t="n">
        <f aca="false">Inputs!$B$34*(1+Inputs!$B$36)^(Q$7-1)*MAX(0,MIN(1,Q$6*1-Inputs!$B$37+1))/1</f>
        <v>1.5</v>
      </c>
      <c r="R105" s="114" t="n">
        <f aca="false">Inputs!$B$34*(1+Inputs!$B$36)^(R$7-1)*MAX(0,MIN(1,R$6*1-Inputs!$B$37+1))/1</f>
        <v>1.5</v>
      </c>
      <c r="S105" s="114" t="n">
        <f aca="false">Inputs!$B$34*(1+Inputs!$B$36)^(S$7-1)*MAX(0,MIN(1,S$6*1-Inputs!$B$37+1))/1</f>
        <v>1.5</v>
      </c>
      <c r="T105" s="114" t="n">
        <f aca="false">Inputs!$B$34*(1+Inputs!$B$36)^(T$7-1)*MAX(0,MIN(1,T$6*1-Inputs!$B$37+1))/1</f>
        <v>1.5</v>
      </c>
      <c r="U105" s="114" t="n">
        <f aca="false">Inputs!$B$34*(1+Inputs!$B$36)^(U$7-1)*MAX(0,MIN(1,U$6*1-Inputs!$B$37+1))/1</f>
        <v>1.5</v>
      </c>
      <c r="V105" s="114" t="n">
        <f aca="false">Inputs!$B$34*(1+Inputs!$B$36)^(V$7-1)*MAX(0,MIN(1,V$6*1-Inputs!$B$37+1))/1</f>
        <v>1.5</v>
      </c>
      <c r="W105" s="114" t="n">
        <f aca="false">Inputs!$B$34*(1+Inputs!$B$36)^(W$7-1)*MAX(0,MIN(1,W$6*1-Inputs!$B$37+1))/1</f>
        <v>1.5</v>
      </c>
      <c r="X105" s="114" t="n">
        <f aca="false">Inputs!$B$34*(1+Inputs!$B$36)^(X$7-1)*MAX(0,MIN(1,X$6*1-Inputs!$B$37+1))/1</f>
        <v>1.5</v>
      </c>
      <c r="Y105" s="114" t="n">
        <f aca="false">Inputs!$B$34*(1+Inputs!$B$36)^(Y$7-1)*MAX(0,MIN(1,Y$6*1-Inputs!$B$37+1))/1</f>
        <v>1.5</v>
      </c>
      <c r="Z105" s="114" t="n">
        <f aca="false">Inputs!$B$34*(1+Inputs!$B$36)^(Z$7-1)*MAX(0,MIN(1,Z$6*1-Inputs!$B$37+1))/1</f>
        <v>1.5</v>
      </c>
      <c r="AA105" s="114" t="n">
        <f aca="false">Inputs!$B$34*(1+Inputs!$B$36)^(AA$7-1)*MAX(0,MIN(1,AA$6*1-Inputs!$B$37+1))/1</f>
        <v>2.25</v>
      </c>
      <c r="AB105" s="114" t="n">
        <f aca="false">Inputs!$B$34*(1+Inputs!$B$36)^(AB$7-1)*MAX(0,MIN(1,AB$6*1-Inputs!$B$37+1))/1</f>
        <v>2.25</v>
      </c>
      <c r="AC105" s="114" t="n">
        <f aca="false">Inputs!$B$34*(1+Inputs!$B$36)^(AC$7-1)*MAX(0,MIN(1,AC$6*1-Inputs!$B$37+1))/1</f>
        <v>2.25</v>
      </c>
      <c r="AD105" s="114" t="n">
        <f aca="false">Inputs!$B$34*(1+Inputs!$B$36)^(AD$7-1)*MAX(0,MIN(1,AD$6*1-Inputs!$B$37+1))/1</f>
        <v>2.25</v>
      </c>
      <c r="AE105" s="114" t="n">
        <f aca="false">Inputs!$B$34*(1+Inputs!$B$36)^(AE$7-1)*MAX(0,MIN(1,AE$6*1-Inputs!$B$37+1))/1</f>
        <v>2.25</v>
      </c>
      <c r="AF105" s="114" t="n">
        <f aca="false">Inputs!$B$34*(1+Inputs!$B$36)^(AF$7-1)*MAX(0,MIN(1,AF$6*1-Inputs!$B$37+1))/1</f>
        <v>2.25</v>
      </c>
      <c r="AG105" s="114" t="n">
        <f aca="false">Inputs!$B$34*(1+Inputs!$B$36)^(AG$7-1)*MAX(0,MIN(1,AG$6*1-Inputs!$B$37+1))/1</f>
        <v>2.25</v>
      </c>
      <c r="AH105" s="114" t="n">
        <f aca="false">Inputs!$B$34*(1+Inputs!$B$36)^(AH$7-1)*MAX(0,MIN(1,AH$6*1-Inputs!$B$37+1))/1</f>
        <v>2.25</v>
      </c>
      <c r="AI105" s="114" t="n">
        <f aca="false">Inputs!$B$34*(1+Inputs!$B$36)^(AI$7-1)*MAX(0,MIN(1,AI$6*1-Inputs!$B$37+1))/1</f>
        <v>2.25</v>
      </c>
      <c r="AJ105" s="114" t="n">
        <f aca="false">Inputs!$B$34*(1+Inputs!$B$36)^(AJ$7-1)*MAX(0,MIN(1,AJ$6*1-Inputs!$B$37+1))/1</f>
        <v>2.25</v>
      </c>
      <c r="AK105" s="114" t="n">
        <f aca="false">Inputs!$B$34*(1+Inputs!$B$36)^(AK$7-1)*MAX(0,MIN(1,AK$6*1-Inputs!$B$37+1))/1</f>
        <v>2.25</v>
      </c>
      <c r="AL105" s="114" t="n">
        <f aca="false">Inputs!$B$34*(1+Inputs!$B$36)^(AL$7-1)*MAX(0,MIN(1,AL$6*1-Inputs!$B$37+1))/1</f>
        <v>2.25</v>
      </c>
    </row>
    <row r="106" customFormat="false" ht="15" hidden="false" customHeight="false" outlineLevel="0" collapsed="false">
      <c r="A106" s="6" t="s">
        <v>414</v>
      </c>
      <c r="C106" s="114" t="n">
        <f aca="false">Inputs!$B$38*(1+Inputs!$B$40)^(C$7-1)*MAX(0,MIN(1,C$6*1-Inputs!$B$41+1))/1</f>
        <v>0.5</v>
      </c>
      <c r="D106" s="114" t="n">
        <f aca="false">Inputs!$B$38*(1+Inputs!$B$40)^(D$7-1)*MAX(0,MIN(1,D$6*1-Inputs!$B$41+1))/1</f>
        <v>0.5</v>
      </c>
      <c r="E106" s="114" t="n">
        <f aca="false">Inputs!$B$38*(1+Inputs!$B$40)^(E$7-1)*MAX(0,MIN(1,E$6*1-Inputs!$B$41+1))/1</f>
        <v>0.5</v>
      </c>
      <c r="F106" s="114" t="n">
        <f aca="false">Inputs!$B$38*(1+Inputs!$B$40)^(F$7-1)*MAX(0,MIN(1,F$6*1-Inputs!$B$41+1))/1</f>
        <v>0.5</v>
      </c>
      <c r="G106" s="114" t="n">
        <f aca="false">Inputs!$B$38*(1+Inputs!$B$40)^(G$7-1)*MAX(0,MIN(1,G$6*1-Inputs!$B$41+1))/1</f>
        <v>0.5</v>
      </c>
      <c r="H106" s="114" t="n">
        <f aca="false">Inputs!$B$38*(1+Inputs!$B$40)^(H$7-1)*MAX(0,MIN(1,H$6*1-Inputs!$B$41+1))/1</f>
        <v>0.5</v>
      </c>
      <c r="I106" s="114" t="n">
        <f aca="false">Inputs!$B$38*(1+Inputs!$B$40)^(I$7-1)*MAX(0,MIN(1,I$6*1-Inputs!$B$41+1))/1</f>
        <v>0.5</v>
      </c>
      <c r="J106" s="114" t="n">
        <f aca="false">Inputs!$B$38*(1+Inputs!$B$40)^(J$7-1)*MAX(0,MIN(1,J$6*1-Inputs!$B$41+1))/1</f>
        <v>0.5</v>
      </c>
      <c r="K106" s="114" t="n">
        <f aca="false">Inputs!$B$38*(1+Inputs!$B$40)^(K$7-1)*MAX(0,MIN(1,K$6*1-Inputs!$B$41+1))/1</f>
        <v>0.5</v>
      </c>
      <c r="L106" s="114" t="n">
        <f aca="false">Inputs!$B$38*(1+Inputs!$B$40)^(L$7-1)*MAX(0,MIN(1,L$6*1-Inputs!$B$41+1))/1</f>
        <v>0.5</v>
      </c>
      <c r="M106" s="114" t="n">
        <f aca="false">Inputs!$B$38*(1+Inputs!$B$40)^(M$7-1)*MAX(0,MIN(1,M$6*1-Inputs!$B$41+1))/1</f>
        <v>0.5</v>
      </c>
      <c r="N106" s="114" t="n">
        <f aca="false">Inputs!$B$38*(1+Inputs!$B$40)^(N$7-1)*MAX(0,MIN(1,N$6*1-Inputs!$B$41+1))/1</f>
        <v>0.5</v>
      </c>
      <c r="O106" s="114" t="n">
        <f aca="false">Inputs!$B$38*(1+Inputs!$B$40)^(O$7-1)*MAX(0,MIN(1,O$6*1-Inputs!$B$41+1))/1</f>
        <v>0.75</v>
      </c>
      <c r="P106" s="114" t="n">
        <f aca="false">Inputs!$B$38*(1+Inputs!$B$40)^(P$7-1)*MAX(0,MIN(1,P$6*1-Inputs!$B$41+1))/1</f>
        <v>0.75</v>
      </c>
      <c r="Q106" s="114" t="n">
        <f aca="false">Inputs!$B$38*(1+Inputs!$B$40)^(Q$7-1)*MAX(0,MIN(1,Q$6*1-Inputs!$B$41+1))/1</f>
        <v>0.75</v>
      </c>
      <c r="R106" s="114" t="n">
        <f aca="false">Inputs!$B$38*(1+Inputs!$B$40)^(R$7-1)*MAX(0,MIN(1,R$6*1-Inputs!$B$41+1))/1</f>
        <v>0.75</v>
      </c>
      <c r="S106" s="114" t="n">
        <f aca="false">Inputs!$B$38*(1+Inputs!$B$40)^(S$7-1)*MAX(0,MIN(1,S$6*1-Inputs!$B$41+1))/1</f>
        <v>0.75</v>
      </c>
      <c r="T106" s="114" t="n">
        <f aca="false">Inputs!$B$38*(1+Inputs!$B$40)^(T$7-1)*MAX(0,MIN(1,T$6*1-Inputs!$B$41+1))/1</f>
        <v>0.75</v>
      </c>
      <c r="U106" s="114" t="n">
        <f aca="false">Inputs!$B$38*(1+Inputs!$B$40)^(U$7-1)*MAX(0,MIN(1,U$6*1-Inputs!$B$41+1))/1</f>
        <v>0.75</v>
      </c>
      <c r="V106" s="114" t="n">
        <f aca="false">Inputs!$B$38*(1+Inputs!$B$40)^(V$7-1)*MAX(0,MIN(1,V$6*1-Inputs!$B$41+1))/1</f>
        <v>0.75</v>
      </c>
      <c r="W106" s="114" t="n">
        <f aca="false">Inputs!$B$38*(1+Inputs!$B$40)^(W$7-1)*MAX(0,MIN(1,W$6*1-Inputs!$B$41+1))/1</f>
        <v>0.75</v>
      </c>
      <c r="X106" s="114" t="n">
        <f aca="false">Inputs!$B$38*(1+Inputs!$B$40)^(X$7-1)*MAX(0,MIN(1,X$6*1-Inputs!$B$41+1))/1</f>
        <v>0.75</v>
      </c>
      <c r="Y106" s="114" t="n">
        <f aca="false">Inputs!$B$38*(1+Inputs!$B$40)^(Y$7-1)*MAX(0,MIN(1,Y$6*1-Inputs!$B$41+1))/1</f>
        <v>0.75</v>
      </c>
      <c r="Z106" s="114" t="n">
        <f aca="false">Inputs!$B$38*(1+Inputs!$B$40)^(Z$7-1)*MAX(0,MIN(1,Z$6*1-Inputs!$B$41+1))/1</f>
        <v>0.75</v>
      </c>
      <c r="AA106" s="114" t="n">
        <f aca="false">Inputs!$B$38*(1+Inputs!$B$40)^(AA$7-1)*MAX(0,MIN(1,AA$6*1-Inputs!$B$41+1))/1</f>
        <v>1.125</v>
      </c>
      <c r="AB106" s="114" t="n">
        <f aca="false">Inputs!$B$38*(1+Inputs!$B$40)^(AB$7-1)*MAX(0,MIN(1,AB$6*1-Inputs!$B$41+1))/1</f>
        <v>1.125</v>
      </c>
      <c r="AC106" s="114" t="n">
        <f aca="false">Inputs!$B$38*(1+Inputs!$B$40)^(AC$7-1)*MAX(0,MIN(1,AC$6*1-Inputs!$B$41+1))/1</f>
        <v>1.125</v>
      </c>
      <c r="AD106" s="114" t="n">
        <f aca="false">Inputs!$B$38*(1+Inputs!$B$40)^(AD$7-1)*MAX(0,MIN(1,AD$6*1-Inputs!$B$41+1))/1</f>
        <v>1.125</v>
      </c>
      <c r="AE106" s="114" t="n">
        <f aca="false">Inputs!$B$38*(1+Inputs!$B$40)^(AE$7-1)*MAX(0,MIN(1,AE$6*1-Inputs!$B$41+1))/1</f>
        <v>1.125</v>
      </c>
      <c r="AF106" s="114" t="n">
        <f aca="false">Inputs!$B$38*(1+Inputs!$B$40)^(AF$7-1)*MAX(0,MIN(1,AF$6*1-Inputs!$B$41+1))/1</f>
        <v>1.125</v>
      </c>
      <c r="AG106" s="114" t="n">
        <f aca="false">Inputs!$B$38*(1+Inputs!$B$40)^(AG$7-1)*MAX(0,MIN(1,AG$6*1-Inputs!$B$41+1))/1</f>
        <v>1.125</v>
      </c>
      <c r="AH106" s="114" t="n">
        <f aca="false">Inputs!$B$38*(1+Inputs!$B$40)^(AH$7-1)*MAX(0,MIN(1,AH$6*1-Inputs!$B$41+1))/1</f>
        <v>1.125</v>
      </c>
      <c r="AI106" s="114" t="n">
        <f aca="false">Inputs!$B$38*(1+Inputs!$B$40)^(AI$7-1)*MAX(0,MIN(1,AI$6*1-Inputs!$B$41+1))/1</f>
        <v>1.125</v>
      </c>
      <c r="AJ106" s="114" t="n">
        <f aca="false">Inputs!$B$38*(1+Inputs!$B$40)^(AJ$7-1)*MAX(0,MIN(1,AJ$6*1-Inputs!$B$41+1))/1</f>
        <v>1.125</v>
      </c>
      <c r="AK106" s="114" t="n">
        <f aca="false">Inputs!$B$38*(1+Inputs!$B$40)^(AK$7-1)*MAX(0,MIN(1,AK$6*1-Inputs!$B$41+1))/1</f>
        <v>1.125</v>
      </c>
      <c r="AL106" s="114" t="n">
        <f aca="false">Inputs!$B$38*(1+Inputs!$B$40)^(AL$7-1)*MAX(0,MIN(1,AL$6*1-Inputs!$B$41+1))/1</f>
        <v>1.125</v>
      </c>
    </row>
    <row r="107" customFormat="false" ht="15" hidden="false" customHeight="false" outlineLevel="0" collapsed="false">
      <c r="A107" s="111" t="s">
        <v>415</v>
      </c>
      <c r="C107" s="117" t="n">
        <f aca="false">C103+C104+C105+C106</f>
        <v>6</v>
      </c>
      <c r="D107" s="117" t="n">
        <f aca="false">D103+D104+D105+D106</f>
        <v>6</v>
      </c>
      <c r="E107" s="117" t="n">
        <f aca="false">E103+E104+E105+E106</f>
        <v>6</v>
      </c>
      <c r="F107" s="117" t="n">
        <f aca="false">F103+F104+F105+F106</f>
        <v>6</v>
      </c>
      <c r="G107" s="117" t="n">
        <f aca="false">G103+G104+G105+G106</f>
        <v>6</v>
      </c>
      <c r="H107" s="117" t="n">
        <f aca="false">H103+H104+H105+H106</f>
        <v>6</v>
      </c>
      <c r="I107" s="117" t="n">
        <f aca="false">I103+I104+I105+I106</f>
        <v>6</v>
      </c>
      <c r="J107" s="117" t="n">
        <f aca="false">J103+J104+J105+J106</f>
        <v>6</v>
      </c>
      <c r="K107" s="117" t="n">
        <f aca="false">K103+K104+K105+K106</f>
        <v>6</v>
      </c>
      <c r="L107" s="117" t="n">
        <f aca="false">L103+L104+L105+L106</f>
        <v>6</v>
      </c>
      <c r="M107" s="117" t="n">
        <f aca="false">M103+M104+M105+M106</f>
        <v>6</v>
      </c>
      <c r="N107" s="117" t="n">
        <f aca="false">N103+N104+N105+N106</f>
        <v>6</v>
      </c>
      <c r="O107" s="117" t="n">
        <f aca="false">O103+O104+O105+O106</f>
        <v>9</v>
      </c>
      <c r="P107" s="117" t="n">
        <f aca="false">P103+P104+P105+P106</f>
        <v>9</v>
      </c>
      <c r="Q107" s="117" t="n">
        <f aca="false">Q103+Q104+Q105+Q106</f>
        <v>9</v>
      </c>
      <c r="R107" s="117" t="n">
        <f aca="false">R103+R104+R105+R106</f>
        <v>9</v>
      </c>
      <c r="S107" s="117" t="n">
        <f aca="false">S103+S104+S105+S106</f>
        <v>9</v>
      </c>
      <c r="T107" s="117" t="n">
        <f aca="false">T103+T104+T105+T106</f>
        <v>9</v>
      </c>
      <c r="U107" s="117" t="n">
        <f aca="false">U103+U104+U105+U106</f>
        <v>9</v>
      </c>
      <c r="V107" s="117" t="n">
        <f aca="false">V103+V104+V105+V106</f>
        <v>9</v>
      </c>
      <c r="W107" s="117" t="n">
        <f aca="false">W103+W104+W105+W106</f>
        <v>9</v>
      </c>
      <c r="X107" s="117" t="n">
        <f aca="false">X103+X104+X105+X106</f>
        <v>9</v>
      </c>
      <c r="Y107" s="117" t="n">
        <f aca="false">Y103+Y104+Y105+Y106</f>
        <v>9</v>
      </c>
      <c r="Z107" s="117" t="n">
        <f aca="false">Z103+Z104+Z105+Z106</f>
        <v>9</v>
      </c>
      <c r="AA107" s="117" t="n">
        <f aca="false">AA103+AA104+AA105+AA106</f>
        <v>13.5</v>
      </c>
      <c r="AB107" s="117" t="n">
        <f aca="false">AB103+AB104+AB105+AB106</f>
        <v>13.5</v>
      </c>
      <c r="AC107" s="117" t="n">
        <f aca="false">AC103+AC104+AC105+AC106</f>
        <v>13.5</v>
      </c>
      <c r="AD107" s="117" t="n">
        <f aca="false">AD103+AD104+AD105+AD106</f>
        <v>13.5</v>
      </c>
      <c r="AE107" s="117" t="n">
        <f aca="false">AE103+AE104+AE105+AE106</f>
        <v>13.5</v>
      </c>
      <c r="AF107" s="117" t="n">
        <f aca="false">AF103+AF104+AF105+AF106</f>
        <v>13.5</v>
      </c>
      <c r="AG107" s="117" t="n">
        <f aca="false">AG103+AG104+AG105+AG106</f>
        <v>13.5</v>
      </c>
      <c r="AH107" s="117" t="n">
        <f aca="false">AH103+AH104+AH105+AH106</f>
        <v>13.5</v>
      </c>
      <c r="AI107" s="117" t="n">
        <f aca="false">AI103+AI104+AI105+AI106</f>
        <v>13.5</v>
      </c>
      <c r="AJ107" s="117" t="n">
        <f aca="false">AJ103+AJ104+AJ105+AJ106</f>
        <v>13.5</v>
      </c>
      <c r="AK107" s="117" t="n">
        <f aca="false">AK103+AK104+AK105+AK106</f>
        <v>13.5</v>
      </c>
      <c r="AL107" s="117" t="n">
        <f aca="false">AL103+AL104+AL105+AL106</f>
        <v>13.5</v>
      </c>
    </row>
    <row r="109" customFormat="false" ht="15.75" hidden="false" customHeight="true" outlineLevel="0" collapsed="false">
      <c r="A109" s="7" t="s">
        <v>416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customFormat="false" ht="15" hidden="false" customHeight="false" outlineLevel="0" collapsed="false">
      <c r="A110" s="6" t="s">
        <v>417</v>
      </c>
      <c r="C110" s="66" t="n">
        <f aca="false">-C103*Inputs!$B$27/12*1*(1+Inputs!$B$42)*(1+Inputs!$B$43)^(C$7-1)</f>
        <v>-37500</v>
      </c>
      <c r="D110" s="66" t="n">
        <f aca="false">-D103*Inputs!$B$27/12*1*(1+Inputs!$B$42)*(1+Inputs!$B$43)^(D$7-1)</f>
        <v>-37500</v>
      </c>
      <c r="E110" s="66" t="n">
        <f aca="false">-E103*Inputs!$B$27/12*1*(1+Inputs!$B$42)*(1+Inputs!$B$43)^(E$7-1)</f>
        <v>-37500</v>
      </c>
      <c r="F110" s="66" t="n">
        <f aca="false">-F103*Inputs!$B$27/12*1*(1+Inputs!$B$42)*(1+Inputs!$B$43)^(F$7-1)</f>
        <v>-37500</v>
      </c>
      <c r="G110" s="66" t="n">
        <f aca="false">-G103*Inputs!$B$27/12*1*(1+Inputs!$B$42)*(1+Inputs!$B$43)^(G$7-1)</f>
        <v>-37500</v>
      </c>
      <c r="H110" s="66" t="n">
        <f aca="false">-H103*Inputs!$B$27/12*1*(1+Inputs!$B$42)*(1+Inputs!$B$43)^(H$7-1)</f>
        <v>-37500</v>
      </c>
      <c r="I110" s="66" t="n">
        <f aca="false">-I103*Inputs!$B$27/12*1*(1+Inputs!$B$42)*(1+Inputs!$B$43)^(I$7-1)</f>
        <v>-37500</v>
      </c>
      <c r="J110" s="66" t="n">
        <f aca="false">-J103*Inputs!$B$27/12*1*(1+Inputs!$B$42)*(1+Inputs!$B$43)^(J$7-1)</f>
        <v>-37500</v>
      </c>
      <c r="K110" s="66" t="n">
        <f aca="false">-K103*Inputs!$B$27/12*1*(1+Inputs!$B$42)*(1+Inputs!$B$43)^(K$7-1)</f>
        <v>-37500</v>
      </c>
      <c r="L110" s="66" t="n">
        <f aca="false">-L103*Inputs!$B$27/12*1*(1+Inputs!$B$42)*(1+Inputs!$B$43)^(L$7-1)</f>
        <v>-37500</v>
      </c>
      <c r="M110" s="66" t="n">
        <f aca="false">-M103*Inputs!$B$27/12*1*(1+Inputs!$B$42)*(1+Inputs!$B$43)^(M$7-1)</f>
        <v>-37500</v>
      </c>
      <c r="N110" s="66" t="n">
        <f aca="false">-N103*Inputs!$B$27/12*1*(1+Inputs!$B$42)*(1+Inputs!$B$43)^(N$7-1)</f>
        <v>-37500</v>
      </c>
      <c r="O110" s="66" t="n">
        <f aca="false">-O103*Inputs!$B$27/12*1*(1+Inputs!$B$42)*(1+Inputs!$B$43)^(O$7-1)</f>
        <v>-58500</v>
      </c>
      <c r="P110" s="66" t="n">
        <f aca="false">-P103*Inputs!$B$27/12*1*(1+Inputs!$B$42)*(1+Inputs!$B$43)^(P$7-1)</f>
        <v>-58500</v>
      </c>
      <c r="Q110" s="66" t="n">
        <f aca="false">-Q103*Inputs!$B$27/12*1*(1+Inputs!$B$42)*(1+Inputs!$B$43)^(Q$7-1)</f>
        <v>-58500</v>
      </c>
      <c r="R110" s="66" t="n">
        <f aca="false">-R103*Inputs!$B$27/12*1*(1+Inputs!$B$42)*(1+Inputs!$B$43)^(R$7-1)</f>
        <v>-58500</v>
      </c>
      <c r="S110" s="66" t="n">
        <f aca="false">-S103*Inputs!$B$27/12*1*(1+Inputs!$B$42)*(1+Inputs!$B$43)^(S$7-1)</f>
        <v>-58500</v>
      </c>
      <c r="T110" s="66" t="n">
        <f aca="false">-T103*Inputs!$B$27/12*1*(1+Inputs!$B$42)*(1+Inputs!$B$43)^(T$7-1)</f>
        <v>-58500</v>
      </c>
      <c r="U110" s="66" t="n">
        <f aca="false">-U103*Inputs!$B$27/12*1*(1+Inputs!$B$42)*(1+Inputs!$B$43)^(U$7-1)</f>
        <v>-58500</v>
      </c>
      <c r="V110" s="66" t="n">
        <f aca="false">-V103*Inputs!$B$27/12*1*(1+Inputs!$B$42)*(1+Inputs!$B$43)^(V$7-1)</f>
        <v>-58500</v>
      </c>
      <c r="W110" s="66" t="n">
        <f aca="false">-W103*Inputs!$B$27/12*1*(1+Inputs!$B$42)*(1+Inputs!$B$43)^(W$7-1)</f>
        <v>-58500</v>
      </c>
      <c r="X110" s="66" t="n">
        <f aca="false">-X103*Inputs!$B$27/12*1*(1+Inputs!$B$42)*(1+Inputs!$B$43)^(X$7-1)</f>
        <v>-58500</v>
      </c>
      <c r="Y110" s="66" t="n">
        <f aca="false">-Y103*Inputs!$B$27/12*1*(1+Inputs!$B$42)*(1+Inputs!$B$43)^(Y$7-1)</f>
        <v>-58500</v>
      </c>
      <c r="Z110" s="66" t="n">
        <f aca="false">-Z103*Inputs!$B$27/12*1*(1+Inputs!$B$42)*(1+Inputs!$B$43)^(Z$7-1)</f>
        <v>-58500</v>
      </c>
      <c r="AA110" s="66" t="n">
        <f aca="false">-AA103*Inputs!$B$27/12*1*(1+Inputs!$B$42)*(1+Inputs!$B$43)^(AA$7-1)</f>
        <v>-91260</v>
      </c>
      <c r="AB110" s="66" t="n">
        <f aca="false">-AB103*Inputs!$B$27/12*1*(1+Inputs!$B$42)*(1+Inputs!$B$43)^(AB$7-1)</f>
        <v>-91260</v>
      </c>
      <c r="AC110" s="66" t="n">
        <f aca="false">-AC103*Inputs!$B$27/12*1*(1+Inputs!$B$42)*(1+Inputs!$B$43)^(AC$7-1)</f>
        <v>-91260</v>
      </c>
      <c r="AD110" s="66" t="n">
        <f aca="false">-AD103*Inputs!$B$27/12*1*(1+Inputs!$B$42)*(1+Inputs!$B$43)^(AD$7-1)</f>
        <v>-91260</v>
      </c>
      <c r="AE110" s="66" t="n">
        <f aca="false">-AE103*Inputs!$B$27/12*1*(1+Inputs!$B$42)*(1+Inputs!$B$43)^(AE$7-1)</f>
        <v>-91260</v>
      </c>
      <c r="AF110" s="66" t="n">
        <f aca="false">-AF103*Inputs!$B$27/12*1*(1+Inputs!$B$42)*(1+Inputs!$B$43)^(AF$7-1)</f>
        <v>-91260</v>
      </c>
      <c r="AG110" s="66" t="n">
        <f aca="false">-AG103*Inputs!$B$27/12*1*(1+Inputs!$B$42)*(1+Inputs!$B$43)^(AG$7-1)</f>
        <v>-91260</v>
      </c>
      <c r="AH110" s="66" t="n">
        <f aca="false">-AH103*Inputs!$B$27/12*1*(1+Inputs!$B$42)*(1+Inputs!$B$43)^(AH$7-1)</f>
        <v>-91260</v>
      </c>
      <c r="AI110" s="66" t="n">
        <f aca="false">-AI103*Inputs!$B$27/12*1*(1+Inputs!$B$42)*(1+Inputs!$B$43)^(AI$7-1)</f>
        <v>-91260</v>
      </c>
      <c r="AJ110" s="66" t="n">
        <f aca="false">-AJ103*Inputs!$B$27/12*1*(1+Inputs!$B$42)*(1+Inputs!$B$43)^(AJ$7-1)</f>
        <v>-91260</v>
      </c>
      <c r="AK110" s="66" t="n">
        <f aca="false">-AK103*Inputs!$B$27/12*1*(1+Inputs!$B$42)*(1+Inputs!$B$43)^(AK$7-1)</f>
        <v>-91260</v>
      </c>
      <c r="AL110" s="66" t="n">
        <f aca="false">-AL103*Inputs!$B$27/12*1*(1+Inputs!$B$42)*(1+Inputs!$B$43)^(AL$7-1)</f>
        <v>-91260</v>
      </c>
    </row>
    <row r="111" customFormat="false" ht="15" hidden="false" customHeight="false" outlineLevel="0" collapsed="false">
      <c r="A111" s="6" t="s">
        <v>418</v>
      </c>
      <c r="C111" s="66" t="n">
        <f aca="false">-C104*Inputs!$B$31/12*1*(1+Inputs!$B$42)*(1+Inputs!$B$43)^(C$7-1)</f>
        <v>-14250</v>
      </c>
      <c r="D111" s="66" t="n">
        <f aca="false">-D104*Inputs!$B$31/12*1*(1+Inputs!$B$42)*(1+Inputs!$B$43)^(D$7-1)</f>
        <v>-14250</v>
      </c>
      <c r="E111" s="66" t="n">
        <f aca="false">-E104*Inputs!$B$31/12*1*(1+Inputs!$B$42)*(1+Inputs!$B$43)^(E$7-1)</f>
        <v>-14250</v>
      </c>
      <c r="F111" s="66" t="n">
        <f aca="false">-F104*Inputs!$B$31/12*1*(1+Inputs!$B$42)*(1+Inputs!$B$43)^(F$7-1)</f>
        <v>-14250</v>
      </c>
      <c r="G111" s="66" t="n">
        <f aca="false">-G104*Inputs!$B$31/12*1*(1+Inputs!$B$42)*(1+Inputs!$B$43)^(G$7-1)</f>
        <v>-14250</v>
      </c>
      <c r="H111" s="66" t="n">
        <f aca="false">-H104*Inputs!$B$31/12*1*(1+Inputs!$B$42)*(1+Inputs!$B$43)^(H$7-1)</f>
        <v>-14250</v>
      </c>
      <c r="I111" s="66" t="n">
        <f aca="false">-I104*Inputs!$B$31/12*1*(1+Inputs!$B$42)*(1+Inputs!$B$43)^(I$7-1)</f>
        <v>-14250</v>
      </c>
      <c r="J111" s="66" t="n">
        <f aca="false">-J104*Inputs!$B$31/12*1*(1+Inputs!$B$42)*(1+Inputs!$B$43)^(J$7-1)</f>
        <v>-14250</v>
      </c>
      <c r="K111" s="66" t="n">
        <f aca="false">-K104*Inputs!$B$31/12*1*(1+Inputs!$B$42)*(1+Inputs!$B$43)^(K$7-1)</f>
        <v>-14250</v>
      </c>
      <c r="L111" s="66" t="n">
        <f aca="false">-L104*Inputs!$B$31/12*1*(1+Inputs!$B$42)*(1+Inputs!$B$43)^(L$7-1)</f>
        <v>-14250</v>
      </c>
      <c r="M111" s="66" t="n">
        <f aca="false">-M104*Inputs!$B$31/12*1*(1+Inputs!$B$42)*(1+Inputs!$B$43)^(M$7-1)</f>
        <v>-14250</v>
      </c>
      <c r="N111" s="66" t="n">
        <f aca="false">-N104*Inputs!$B$31/12*1*(1+Inputs!$B$42)*(1+Inputs!$B$43)^(N$7-1)</f>
        <v>-14250</v>
      </c>
      <c r="O111" s="66" t="n">
        <f aca="false">-O104*Inputs!$B$31/12*1*(1+Inputs!$B$42)*(1+Inputs!$B$43)^(O$7-1)</f>
        <v>-22230</v>
      </c>
      <c r="P111" s="66" t="n">
        <f aca="false">-P104*Inputs!$B$31/12*1*(1+Inputs!$B$42)*(1+Inputs!$B$43)^(P$7-1)</f>
        <v>-22230</v>
      </c>
      <c r="Q111" s="66" t="n">
        <f aca="false">-Q104*Inputs!$B$31/12*1*(1+Inputs!$B$42)*(1+Inputs!$B$43)^(Q$7-1)</f>
        <v>-22230</v>
      </c>
      <c r="R111" s="66" t="n">
        <f aca="false">-R104*Inputs!$B$31/12*1*(1+Inputs!$B$42)*(1+Inputs!$B$43)^(R$7-1)</f>
        <v>-22230</v>
      </c>
      <c r="S111" s="66" t="n">
        <f aca="false">-S104*Inputs!$B$31/12*1*(1+Inputs!$B$42)*(1+Inputs!$B$43)^(S$7-1)</f>
        <v>-22230</v>
      </c>
      <c r="T111" s="66" t="n">
        <f aca="false">-T104*Inputs!$B$31/12*1*(1+Inputs!$B$42)*(1+Inputs!$B$43)^(T$7-1)</f>
        <v>-22230</v>
      </c>
      <c r="U111" s="66" t="n">
        <f aca="false">-U104*Inputs!$B$31/12*1*(1+Inputs!$B$42)*(1+Inputs!$B$43)^(U$7-1)</f>
        <v>-22230</v>
      </c>
      <c r="V111" s="66" t="n">
        <f aca="false">-V104*Inputs!$B$31/12*1*(1+Inputs!$B$42)*(1+Inputs!$B$43)^(V$7-1)</f>
        <v>-22230</v>
      </c>
      <c r="W111" s="66" t="n">
        <f aca="false">-W104*Inputs!$B$31/12*1*(1+Inputs!$B$42)*(1+Inputs!$B$43)^(W$7-1)</f>
        <v>-22230</v>
      </c>
      <c r="X111" s="66" t="n">
        <f aca="false">-X104*Inputs!$B$31/12*1*(1+Inputs!$B$42)*(1+Inputs!$B$43)^(X$7-1)</f>
        <v>-22230</v>
      </c>
      <c r="Y111" s="66" t="n">
        <f aca="false">-Y104*Inputs!$B$31/12*1*(1+Inputs!$B$42)*(1+Inputs!$B$43)^(Y$7-1)</f>
        <v>-22230</v>
      </c>
      <c r="Z111" s="66" t="n">
        <f aca="false">-Z104*Inputs!$B$31/12*1*(1+Inputs!$B$42)*(1+Inputs!$B$43)^(Z$7-1)</f>
        <v>-22230</v>
      </c>
      <c r="AA111" s="66" t="n">
        <f aca="false">-AA104*Inputs!$B$31/12*1*(1+Inputs!$B$42)*(1+Inputs!$B$43)^(AA$7-1)</f>
        <v>-34678.8</v>
      </c>
      <c r="AB111" s="66" t="n">
        <f aca="false">-AB104*Inputs!$B$31/12*1*(1+Inputs!$B$42)*(1+Inputs!$B$43)^(AB$7-1)</f>
        <v>-34678.8</v>
      </c>
      <c r="AC111" s="66" t="n">
        <f aca="false">-AC104*Inputs!$B$31/12*1*(1+Inputs!$B$42)*(1+Inputs!$B$43)^(AC$7-1)</f>
        <v>-34678.8</v>
      </c>
      <c r="AD111" s="66" t="n">
        <f aca="false">-AD104*Inputs!$B$31/12*1*(1+Inputs!$B$42)*(1+Inputs!$B$43)^(AD$7-1)</f>
        <v>-34678.8</v>
      </c>
      <c r="AE111" s="66" t="n">
        <f aca="false">-AE104*Inputs!$B$31/12*1*(1+Inputs!$B$42)*(1+Inputs!$B$43)^(AE$7-1)</f>
        <v>-34678.8</v>
      </c>
      <c r="AF111" s="66" t="n">
        <f aca="false">-AF104*Inputs!$B$31/12*1*(1+Inputs!$B$42)*(1+Inputs!$B$43)^(AF$7-1)</f>
        <v>-34678.8</v>
      </c>
      <c r="AG111" s="66" t="n">
        <f aca="false">-AG104*Inputs!$B$31/12*1*(1+Inputs!$B$42)*(1+Inputs!$B$43)^(AG$7-1)</f>
        <v>-34678.8</v>
      </c>
      <c r="AH111" s="66" t="n">
        <f aca="false">-AH104*Inputs!$B$31/12*1*(1+Inputs!$B$42)*(1+Inputs!$B$43)^(AH$7-1)</f>
        <v>-34678.8</v>
      </c>
      <c r="AI111" s="66" t="n">
        <f aca="false">-AI104*Inputs!$B$31/12*1*(1+Inputs!$B$42)*(1+Inputs!$B$43)^(AI$7-1)</f>
        <v>-34678.8</v>
      </c>
      <c r="AJ111" s="66" t="n">
        <f aca="false">-AJ104*Inputs!$B$31/12*1*(1+Inputs!$B$42)*(1+Inputs!$B$43)^(AJ$7-1)</f>
        <v>-34678.8</v>
      </c>
      <c r="AK111" s="66" t="n">
        <f aca="false">-AK104*Inputs!$B$31/12*1*(1+Inputs!$B$42)*(1+Inputs!$B$43)^(AK$7-1)</f>
        <v>-34678.8</v>
      </c>
      <c r="AL111" s="66" t="n">
        <f aca="false">-AL104*Inputs!$B$31/12*1*(1+Inputs!$B$42)*(1+Inputs!$B$43)^(AL$7-1)</f>
        <v>-34678.8</v>
      </c>
    </row>
    <row r="112" customFormat="false" ht="15" hidden="false" customHeight="false" outlineLevel="0" collapsed="false">
      <c r="A112" s="6" t="s">
        <v>419</v>
      </c>
      <c r="C112" s="66" t="n">
        <f aca="false">-C105*Inputs!$B$35/12*1*(1+Inputs!$B$42)*(1+Inputs!$B$43)^(C$7-1)</f>
        <v>-6000</v>
      </c>
      <c r="D112" s="66" t="n">
        <f aca="false">-D105*Inputs!$B$35/12*1*(1+Inputs!$B$42)*(1+Inputs!$B$43)^(D$7-1)</f>
        <v>-6000</v>
      </c>
      <c r="E112" s="66" t="n">
        <f aca="false">-E105*Inputs!$B$35/12*1*(1+Inputs!$B$42)*(1+Inputs!$B$43)^(E$7-1)</f>
        <v>-6000</v>
      </c>
      <c r="F112" s="66" t="n">
        <f aca="false">-F105*Inputs!$B$35/12*1*(1+Inputs!$B$42)*(1+Inputs!$B$43)^(F$7-1)</f>
        <v>-6000</v>
      </c>
      <c r="G112" s="66" t="n">
        <f aca="false">-G105*Inputs!$B$35/12*1*(1+Inputs!$B$42)*(1+Inputs!$B$43)^(G$7-1)</f>
        <v>-6000</v>
      </c>
      <c r="H112" s="66" t="n">
        <f aca="false">-H105*Inputs!$B$35/12*1*(1+Inputs!$B$42)*(1+Inputs!$B$43)^(H$7-1)</f>
        <v>-6000</v>
      </c>
      <c r="I112" s="66" t="n">
        <f aca="false">-I105*Inputs!$B$35/12*1*(1+Inputs!$B$42)*(1+Inputs!$B$43)^(I$7-1)</f>
        <v>-6000</v>
      </c>
      <c r="J112" s="66" t="n">
        <f aca="false">-J105*Inputs!$B$35/12*1*(1+Inputs!$B$42)*(1+Inputs!$B$43)^(J$7-1)</f>
        <v>-6000</v>
      </c>
      <c r="K112" s="66" t="n">
        <f aca="false">-K105*Inputs!$B$35/12*1*(1+Inputs!$B$42)*(1+Inputs!$B$43)^(K$7-1)</f>
        <v>-6000</v>
      </c>
      <c r="L112" s="66" t="n">
        <f aca="false">-L105*Inputs!$B$35/12*1*(1+Inputs!$B$42)*(1+Inputs!$B$43)^(L$7-1)</f>
        <v>-6000</v>
      </c>
      <c r="M112" s="66" t="n">
        <f aca="false">-M105*Inputs!$B$35/12*1*(1+Inputs!$B$42)*(1+Inputs!$B$43)^(M$7-1)</f>
        <v>-6000</v>
      </c>
      <c r="N112" s="66" t="n">
        <f aca="false">-N105*Inputs!$B$35/12*1*(1+Inputs!$B$42)*(1+Inputs!$B$43)^(N$7-1)</f>
        <v>-6000</v>
      </c>
      <c r="O112" s="66" t="n">
        <f aca="false">-O105*Inputs!$B$35/12*1*(1+Inputs!$B$42)*(1+Inputs!$B$43)^(O$7-1)</f>
        <v>-9360</v>
      </c>
      <c r="P112" s="66" t="n">
        <f aca="false">-P105*Inputs!$B$35/12*1*(1+Inputs!$B$42)*(1+Inputs!$B$43)^(P$7-1)</f>
        <v>-9360</v>
      </c>
      <c r="Q112" s="66" t="n">
        <f aca="false">-Q105*Inputs!$B$35/12*1*(1+Inputs!$B$42)*(1+Inputs!$B$43)^(Q$7-1)</f>
        <v>-9360</v>
      </c>
      <c r="R112" s="66" t="n">
        <f aca="false">-R105*Inputs!$B$35/12*1*(1+Inputs!$B$42)*(1+Inputs!$B$43)^(R$7-1)</f>
        <v>-9360</v>
      </c>
      <c r="S112" s="66" t="n">
        <f aca="false">-S105*Inputs!$B$35/12*1*(1+Inputs!$B$42)*(1+Inputs!$B$43)^(S$7-1)</f>
        <v>-9360</v>
      </c>
      <c r="T112" s="66" t="n">
        <f aca="false">-T105*Inputs!$B$35/12*1*(1+Inputs!$B$42)*(1+Inputs!$B$43)^(T$7-1)</f>
        <v>-9360</v>
      </c>
      <c r="U112" s="66" t="n">
        <f aca="false">-U105*Inputs!$B$35/12*1*(1+Inputs!$B$42)*(1+Inputs!$B$43)^(U$7-1)</f>
        <v>-9360</v>
      </c>
      <c r="V112" s="66" t="n">
        <f aca="false">-V105*Inputs!$B$35/12*1*(1+Inputs!$B$42)*(1+Inputs!$B$43)^(V$7-1)</f>
        <v>-9360</v>
      </c>
      <c r="W112" s="66" t="n">
        <f aca="false">-W105*Inputs!$B$35/12*1*(1+Inputs!$B$42)*(1+Inputs!$B$43)^(W$7-1)</f>
        <v>-9360</v>
      </c>
      <c r="X112" s="66" t="n">
        <f aca="false">-X105*Inputs!$B$35/12*1*(1+Inputs!$B$42)*(1+Inputs!$B$43)^(X$7-1)</f>
        <v>-9360</v>
      </c>
      <c r="Y112" s="66" t="n">
        <f aca="false">-Y105*Inputs!$B$35/12*1*(1+Inputs!$B$42)*(1+Inputs!$B$43)^(Y$7-1)</f>
        <v>-9360</v>
      </c>
      <c r="Z112" s="66" t="n">
        <f aca="false">-Z105*Inputs!$B$35/12*1*(1+Inputs!$B$42)*(1+Inputs!$B$43)^(Z$7-1)</f>
        <v>-9360</v>
      </c>
      <c r="AA112" s="66" t="n">
        <f aca="false">-AA105*Inputs!$B$35/12*1*(1+Inputs!$B$42)*(1+Inputs!$B$43)^(AA$7-1)</f>
        <v>-14601.6</v>
      </c>
      <c r="AB112" s="66" t="n">
        <f aca="false">-AB105*Inputs!$B$35/12*1*(1+Inputs!$B$42)*(1+Inputs!$B$43)^(AB$7-1)</f>
        <v>-14601.6</v>
      </c>
      <c r="AC112" s="66" t="n">
        <f aca="false">-AC105*Inputs!$B$35/12*1*(1+Inputs!$B$42)*(1+Inputs!$B$43)^(AC$7-1)</f>
        <v>-14601.6</v>
      </c>
      <c r="AD112" s="66" t="n">
        <f aca="false">-AD105*Inputs!$B$35/12*1*(1+Inputs!$B$42)*(1+Inputs!$B$43)^(AD$7-1)</f>
        <v>-14601.6</v>
      </c>
      <c r="AE112" s="66" t="n">
        <f aca="false">-AE105*Inputs!$B$35/12*1*(1+Inputs!$B$42)*(1+Inputs!$B$43)^(AE$7-1)</f>
        <v>-14601.6</v>
      </c>
      <c r="AF112" s="66" t="n">
        <f aca="false">-AF105*Inputs!$B$35/12*1*(1+Inputs!$B$42)*(1+Inputs!$B$43)^(AF$7-1)</f>
        <v>-14601.6</v>
      </c>
      <c r="AG112" s="66" t="n">
        <f aca="false">-AG105*Inputs!$B$35/12*1*(1+Inputs!$B$42)*(1+Inputs!$B$43)^(AG$7-1)</f>
        <v>-14601.6</v>
      </c>
      <c r="AH112" s="66" t="n">
        <f aca="false">-AH105*Inputs!$B$35/12*1*(1+Inputs!$B$42)*(1+Inputs!$B$43)^(AH$7-1)</f>
        <v>-14601.6</v>
      </c>
      <c r="AI112" s="66" t="n">
        <f aca="false">-AI105*Inputs!$B$35/12*1*(1+Inputs!$B$42)*(1+Inputs!$B$43)^(AI$7-1)</f>
        <v>-14601.6</v>
      </c>
      <c r="AJ112" s="66" t="n">
        <f aca="false">-AJ105*Inputs!$B$35/12*1*(1+Inputs!$B$42)*(1+Inputs!$B$43)^(AJ$7-1)</f>
        <v>-14601.6</v>
      </c>
      <c r="AK112" s="66" t="n">
        <f aca="false">-AK105*Inputs!$B$35/12*1*(1+Inputs!$B$42)*(1+Inputs!$B$43)^(AK$7-1)</f>
        <v>-14601.6</v>
      </c>
      <c r="AL112" s="66" t="n">
        <f aca="false">-AL105*Inputs!$B$35/12*1*(1+Inputs!$B$42)*(1+Inputs!$B$43)^(AL$7-1)</f>
        <v>-14601.6</v>
      </c>
    </row>
    <row r="113" customFormat="false" ht="15" hidden="false" customHeight="false" outlineLevel="0" collapsed="false">
      <c r="A113" s="6" t="s">
        <v>420</v>
      </c>
      <c r="C113" s="66" t="n">
        <f aca="false">-C106*Inputs!$B$39/12*1*(1+Inputs!$B$42)*(1+Inputs!$B$43)^(C$7-1)</f>
        <v>-4000</v>
      </c>
      <c r="D113" s="66" t="n">
        <f aca="false">-D106*Inputs!$B$39/12*1*(1+Inputs!$B$42)*(1+Inputs!$B$43)^(D$7-1)</f>
        <v>-4000</v>
      </c>
      <c r="E113" s="66" t="n">
        <f aca="false">-E106*Inputs!$B$39/12*1*(1+Inputs!$B$42)*(1+Inputs!$B$43)^(E$7-1)</f>
        <v>-4000</v>
      </c>
      <c r="F113" s="66" t="n">
        <f aca="false">-F106*Inputs!$B$39/12*1*(1+Inputs!$B$42)*(1+Inputs!$B$43)^(F$7-1)</f>
        <v>-4000</v>
      </c>
      <c r="G113" s="66" t="n">
        <f aca="false">-G106*Inputs!$B$39/12*1*(1+Inputs!$B$42)*(1+Inputs!$B$43)^(G$7-1)</f>
        <v>-4000</v>
      </c>
      <c r="H113" s="66" t="n">
        <f aca="false">-H106*Inputs!$B$39/12*1*(1+Inputs!$B$42)*(1+Inputs!$B$43)^(H$7-1)</f>
        <v>-4000</v>
      </c>
      <c r="I113" s="66" t="n">
        <f aca="false">-I106*Inputs!$B$39/12*1*(1+Inputs!$B$42)*(1+Inputs!$B$43)^(I$7-1)</f>
        <v>-4000</v>
      </c>
      <c r="J113" s="66" t="n">
        <f aca="false">-J106*Inputs!$B$39/12*1*(1+Inputs!$B$42)*(1+Inputs!$B$43)^(J$7-1)</f>
        <v>-4000</v>
      </c>
      <c r="K113" s="66" t="n">
        <f aca="false">-K106*Inputs!$B$39/12*1*(1+Inputs!$B$42)*(1+Inputs!$B$43)^(K$7-1)</f>
        <v>-4000</v>
      </c>
      <c r="L113" s="66" t="n">
        <f aca="false">-L106*Inputs!$B$39/12*1*(1+Inputs!$B$42)*(1+Inputs!$B$43)^(L$7-1)</f>
        <v>-4000</v>
      </c>
      <c r="M113" s="66" t="n">
        <f aca="false">-M106*Inputs!$B$39/12*1*(1+Inputs!$B$42)*(1+Inputs!$B$43)^(M$7-1)</f>
        <v>-4000</v>
      </c>
      <c r="N113" s="66" t="n">
        <f aca="false">-N106*Inputs!$B$39/12*1*(1+Inputs!$B$42)*(1+Inputs!$B$43)^(N$7-1)</f>
        <v>-4000</v>
      </c>
      <c r="O113" s="66" t="n">
        <f aca="false">-O106*Inputs!$B$39/12*1*(1+Inputs!$B$42)*(1+Inputs!$B$43)^(O$7-1)</f>
        <v>-6240</v>
      </c>
      <c r="P113" s="66" t="n">
        <f aca="false">-P106*Inputs!$B$39/12*1*(1+Inputs!$B$42)*(1+Inputs!$B$43)^(P$7-1)</f>
        <v>-6240</v>
      </c>
      <c r="Q113" s="66" t="n">
        <f aca="false">-Q106*Inputs!$B$39/12*1*(1+Inputs!$B$42)*(1+Inputs!$B$43)^(Q$7-1)</f>
        <v>-6240</v>
      </c>
      <c r="R113" s="66" t="n">
        <f aca="false">-R106*Inputs!$B$39/12*1*(1+Inputs!$B$42)*(1+Inputs!$B$43)^(R$7-1)</f>
        <v>-6240</v>
      </c>
      <c r="S113" s="66" t="n">
        <f aca="false">-S106*Inputs!$B$39/12*1*(1+Inputs!$B$42)*(1+Inputs!$B$43)^(S$7-1)</f>
        <v>-6240</v>
      </c>
      <c r="T113" s="66" t="n">
        <f aca="false">-T106*Inputs!$B$39/12*1*(1+Inputs!$B$42)*(1+Inputs!$B$43)^(T$7-1)</f>
        <v>-6240</v>
      </c>
      <c r="U113" s="66" t="n">
        <f aca="false">-U106*Inputs!$B$39/12*1*(1+Inputs!$B$42)*(1+Inputs!$B$43)^(U$7-1)</f>
        <v>-6240</v>
      </c>
      <c r="V113" s="66" t="n">
        <f aca="false">-V106*Inputs!$B$39/12*1*(1+Inputs!$B$42)*(1+Inputs!$B$43)^(V$7-1)</f>
        <v>-6240</v>
      </c>
      <c r="W113" s="66" t="n">
        <f aca="false">-W106*Inputs!$B$39/12*1*(1+Inputs!$B$42)*(1+Inputs!$B$43)^(W$7-1)</f>
        <v>-6240</v>
      </c>
      <c r="X113" s="66" t="n">
        <f aca="false">-X106*Inputs!$B$39/12*1*(1+Inputs!$B$42)*(1+Inputs!$B$43)^(X$7-1)</f>
        <v>-6240</v>
      </c>
      <c r="Y113" s="66" t="n">
        <f aca="false">-Y106*Inputs!$B$39/12*1*(1+Inputs!$B$42)*(1+Inputs!$B$43)^(Y$7-1)</f>
        <v>-6240</v>
      </c>
      <c r="Z113" s="66" t="n">
        <f aca="false">-Z106*Inputs!$B$39/12*1*(1+Inputs!$B$42)*(1+Inputs!$B$43)^(Z$7-1)</f>
        <v>-6240</v>
      </c>
      <c r="AA113" s="66" t="n">
        <f aca="false">-AA106*Inputs!$B$39/12*1*(1+Inputs!$B$42)*(1+Inputs!$B$43)^(AA$7-1)</f>
        <v>-9734.4</v>
      </c>
      <c r="AB113" s="66" t="n">
        <f aca="false">-AB106*Inputs!$B$39/12*1*(1+Inputs!$B$42)*(1+Inputs!$B$43)^(AB$7-1)</f>
        <v>-9734.4</v>
      </c>
      <c r="AC113" s="66" t="n">
        <f aca="false">-AC106*Inputs!$B$39/12*1*(1+Inputs!$B$42)*(1+Inputs!$B$43)^(AC$7-1)</f>
        <v>-9734.4</v>
      </c>
      <c r="AD113" s="66" t="n">
        <f aca="false">-AD106*Inputs!$B$39/12*1*(1+Inputs!$B$42)*(1+Inputs!$B$43)^(AD$7-1)</f>
        <v>-9734.4</v>
      </c>
      <c r="AE113" s="66" t="n">
        <f aca="false">-AE106*Inputs!$B$39/12*1*(1+Inputs!$B$42)*(1+Inputs!$B$43)^(AE$7-1)</f>
        <v>-9734.4</v>
      </c>
      <c r="AF113" s="66" t="n">
        <f aca="false">-AF106*Inputs!$B$39/12*1*(1+Inputs!$B$42)*(1+Inputs!$B$43)^(AF$7-1)</f>
        <v>-9734.4</v>
      </c>
      <c r="AG113" s="66" t="n">
        <f aca="false">-AG106*Inputs!$B$39/12*1*(1+Inputs!$B$42)*(1+Inputs!$B$43)^(AG$7-1)</f>
        <v>-9734.4</v>
      </c>
      <c r="AH113" s="66" t="n">
        <f aca="false">-AH106*Inputs!$B$39/12*1*(1+Inputs!$B$42)*(1+Inputs!$B$43)^(AH$7-1)</f>
        <v>-9734.4</v>
      </c>
      <c r="AI113" s="66" t="n">
        <f aca="false">-AI106*Inputs!$B$39/12*1*(1+Inputs!$B$42)*(1+Inputs!$B$43)^(AI$7-1)</f>
        <v>-9734.4</v>
      </c>
      <c r="AJ113" s="66" t="n">
        <f aca="false">-AJ106*Inputs!$B$39/12*1*(1+Inputs!$B$42)*(1+Inputs!$B$43)^(AJ$7-1)</f>
        <v>-9734.4</v>
      </c>
      <c r="AK113" s="66" t="n">
        <f aca="false">-AK106*Inputs!$B$39/12*1*(1+Inputs!$B$42)*(1+Inputs!$B$43)^(AK$7-1)</f>
        <v>-9734.4</v>
      </c>
      <c r="AL113" s="66" t="n">
        <f aca="false">-AL106*Inputs!$B$39/12*1*(1+Inputs!$B$42)*(1+Inputs!$B$43)^(AL$7-1)</f>
        <v>-9734.4</v>
      </c>
    </row>
    <row r="114" customFormat="false" ht="15" hidden="false" customHeight="false" outlineLevel="0" collapsed="false">
      <c r="A114" s="111" t="s">
        <v>421</v>
      </c>
      <c r="C114" s="67" t="n">
        <f aca="false">C110+C111+C112+C113</f>
        <v>-61750</v>
      </c>
      <c r="D114" s="67" t="n">
        <f aca="false">D110+D111+D112+D113</f>
        <v>-61750</v>
      </c>
      <c r="E114" s="67" t="n">
        <f aca="false">E110+E111+E112+E113</f>
        <v>-61750</v>
      </c>
      <c r="F114" s="67" t="n">
        <f aca="false">F110+F111+F112+F113</f>
        <v>-61750</v>
      </c>
      <c r="G114" s="67" t="n">
        <f aca="false">G110+G111+G112+G113</f>
        <v>-61750</v>
      </c>
      <c r="H114" s="67" t="n">
        <f aca="false">H110+H111+H112+H113</f>
        <v>-61750</v>
      </c>
      <c r="I114" s="67" t="n">
        <f aca="false">I110+I111+I112+I113</f>
        <v>-61750</v>
      </c>
      <c r="J114" s="67" t="n">
        <f aca="false">J110+J111+J112+J113</f>
        <v>-61750</v>
      </c>
      <c r="K114" s="67" t="n">
        <f aca="false">K110+K111+K112+K113</f>
        <v>-61750</v>
      </c>
      <c r="L114" s="67" t="n">
        <f aca="false">L110+L111+L112+L113</f>
        <v>-61750</v>
      </c>
      <c r="M114" s="67" t="n">
        <f aca="false">M110+M111+M112+M113</f>
        <v>-61750</v>
      </c>
      <c r="N114" s="67" t="n">
        <f aca="false">N110+N111+N112+N113</f>
        <v>-61750</v>
      </c>
      <c r="O114" s="67" t="n">
        <f aca="false">O110+O111+O112+O113</f>
        <v>-96330</v>
      </c>
      <c r="P114" s="67" t="n">
        <f aca="false">P110+P111+P112+P113</f>
        <v>-96330</v>
      </c>
      <c r="Q114" s="67" t="n">
        <f aca="false">Q110+Q111+Q112+Q113</f>
        <v>-96330</v>
      </c>
      <c r="R114" s="67" t="n">
        <f aca="false">R110+R111+R112+R113</f>
        <v>-96330</v>
      </c>
      <c r="S114" s="67" t="n">
        <f aca="false">S110+S111+S112+S113</f>
        <v>-96330</v>
      </c>
      <c r="T114" s="67" t="n">
        <f aca="false">T110+T111+T112+T113</f>
        <v>-96330</v>
      </c>
      <c r="U114" s="67" t="n">
        <f aca="false">U110+U111+U112+U113</f>
        <v>-96330</v>
      </c>
      <c r="V114" s="67" t="n">
        <f aca="false">V110+V111+V112+V113</f>
        <v>-96330</v>
      </c>
      <c r="W114" s="67" t="n">
        <f aca="false">W110+W111+W112+W113</f>
        <v>-96330</v>
      </c>
      <c r="X114" s="67" t="n">
        <f aca="false">X110+X111+X112+X113</f>
        <v>-96330</v>
      </c>
      <c r="Y114" s="67" t="n">
        <f aca="false">Y110+Y111+Y112+Y113</f>
        <v>-96330</v>
      </c>
      <c r="Z114" s="67" t="n">
        <f aca="false">Z110+Z111+Z112+Z113</f>
        <v>-96330</v>
      </c>
      <c r="AA114" s="67" t="n">
        <f aca="false">AA110+AA111+AA112+AA113</f>
        <v>-150274.8</v>
      </c>
      <c r="AB114" s="67" t="n">
        <f aca="false">AB110+AB111+AB112+AB113</f>
        <v>-150274.8</v>
      </c>
      <c r="AC114" s="67" t="n">
        <f aca="false">AC110+AC111+AC112+AC113</f>
        <v>-150274.8</v>
      </c>
      <c r="AD114" s="67" t="n">
        <f aca="false">AD110+AD111+AD112+AD113</f>
        <v>-150274.8</v>
      </c>
      <c r="AE114" s="67" t="n">
        <f aca="false">AE110+AE111+AE112+AE113</f>
        <v>-150274.8</v>
      </c>
      <c r="AF114" s="67" t="n">
        <f aca="false">AF110+AF111+AF112+AF113</f>
        <v>-150274.8</v>
      </c>
      <c r="AG114" s="67" t="n">
        <f aca="false">AG110+AG111+AG112+AG113</f>
        <v>-150274.8</v>
      </c>
      <c r="AH114" s="67" t="n">
        <f aca="false">AH110+AH111+AH112+AH113</f>
        <v>-150274.8</v>
      </c>
      <c r="AI114" s="67" t="n">
        <f aca="false">AI110+AI111+AI112+AI113</f>
        <v>-150274.8</v>
      </c>
      <c r="AJ114" s="67" t="n">
        <f aca="false">AJ110+AJ111+AJ112+AJ113</f>
        <v>-150274.8</v>
      </c>
      <c r="AK114" s="67" t="n">
        <f aca="false">AK110+AK111+AK112+AK113</f>
        <v>-150274.8</v>
      </c>
      <c r="AL114" s="67" t="n">
        <f aca="false">AL110+AL111+AL112+AL113</f>
        <v>-150274.8</v>
      </c>
    </row>
    <row r="117" customFormat="false" ht="15.75" hidden="false" customHeight="true" outlineLevel="0" collapsed="false">
      <c r="A117" s="7" t="s">
        <v>425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33" t="s">
        <v>330</v>
      </c>
      <c r="C118" s="35" t="s">
        <v>331</v>
      </c>
      <c r="D118" s="35" t="s">
        <v>332</v>
      </c>
      <c r="E118" s="35" t="s">
        <v>333</v>
      </c>
      <c r="F118" s="35" t="s">
        <v>334</v>
      </c>
      <c r="G118" s="35" t="s">
        <v>335</v>
      </c>
      <c r="H118" s="35" t="s">
        <v>336</v>
      </c>
      <c r="I118" s="35" t="s">
        <v>337</v>
      </c>
      <c r="J118" s="35" t="s">
        <v>338</v>
      </c>
      <c r="K118" s="35" t="s">
        <v>339</v>
      </c>
      <c r="L118" s="35" t="s">
        <v>340</v>
      </c>
      <c r="M118" s="35" t="s">
        <v>341</v>
      </c>
      <c r="N118" s="35" t="s">
        <v>342</v>
      </c>
      <c r="O118" s="35" t="s">
        <v>343</v>
      </c>
      <c r="P118" s="35" t="s">
        <v>344</v>
      </c>
      <c r="Q118" s="35" t="s">
        <v>345</v>
      </c>
      <c r="R118" s="35" t="s">
        <v>346</v>
      </c>
      <c r="S118" s="35" t="s">
        <v>347</v>
      </c>
      <c r="T118" s="35" t="s">
        <v>348</v>
      </c>
      <c r="U118" s="35" t="s">
        <v>349</v>
      </c>
      <c r="V118" s="35" t="s">
        <v>350</v>
      </c>
      <c r="W118" s="35" t="s">
        <v>351</v>
      </c>
      <c r="X118" s="35" t="s">
        <v>352</v>
      </c>
      <c r="Y118" s="35" t="s">
        <v>353</v>
      </c>
      <c r="Z118" s="35" t="s">
        <v>354</v>
      </c>
      <c r="AA118" s="35" t="s">
        <v>355</v>
      </c>
      <c r="AB118" s="35" t="s">
        <v>356</v>
      </c>
      <c r="AC118" s="35" t="s">
        <v>357</v>
      </c>
      <c r="AD118" s="35" t="s">
        <v>358</v>
      </c>
      <c r="AE118" s="35" t="s">
        <v>359</v>
      </c>
      <c r="AF118" s="35" t="s">
        <v>360</v>
      </c>
      <c r="AG118" s="35" t="s">
        <v>361</v>
      </c>
      <c r="AH118" s="35" t="s">
        <v>362</v>
      </c>
      <c r="AI118" s="35" t="s">
        <v>363</v>
      </c>
      <c r="AJ118" s="35" t="s">
        <v>364</v>
      </c>
      <c r="AK118" s="35" t="s">
        <v>365</v>
      </c>
      <c r="AL118" s="35" t="s">
        <v>366</v>
      </c>
    </row>
    <row r="119" customFormat="false" ht="15" hidden="false" customHeight="false" outlineLevel="0" collapsed="false">
      <c r="A119" s="71" t="s">
        <v>367</v>
      </c>
      <c r="C119" s="71" t="n">
        <v>1</v>
      </c>
      <c r="D119" s="71" t="n">
        <v>2</v>
      </c>
      <c r="E119" s="71" t="n">
        <v>3</v>
      </c>
      <c r="F119" s="71" t="n">
        <v>4</v>
      </c>
      <c r="G119" s="71" t="n">
        <v>5</v>
      </c>
      <c r="H119" s="71" t="n">
        <v>6</v>
      </c>
      <c r="I119" s="71" t="n">
        <v>7</v>
      </c>
      <c r="J119" s="71" t="n">
        <v>8</v>
      </c>
      <c r="K119" s="71" t="n">
        <v>9</v>
      </c>
      <c r="L119" s="71" t="n">
        <v>10</v>
      </c>
      <c r="M119" s="71" t="n">
        <v>11</v>
      </c>
      <c r="N119" s="71" t="n">
        <v>12</v>
      </c>
      <c r="O119" s="71" t="n">
        <v>13</v>
      </c>
      <c r="P119" s="71" t="n">
        <v>14</v>
      </c>
      <c r="Q119" s="71" t="n">
        <v>15</v>
      </c>
      <c r="R119" s="71" t="n">
        <v>16</v>
      </c>
      <c r="S119" s="71" t="n">
        <v>17</v>
      </c>
      <c r="T119" s="71" t="n">
        <v>18</v>
      </c>
      <c r="U119" s="71" t="n">
        <v>19</v>
      </c>
      <c r="V119" s="71" t="n">
        <v>20</v>
      </c>
      <c r="W119" s="71" t="n">
        <v>21</v>
      </c>
      <c r="X119" s="71" t="n">
        <v>22</v>
      </c>
      <c r="Y119" s="71" t="n">
        <v>23</v>
      </c>
      <c r="Z119" s="71" t="n">
        <v>24</v>
      </c>
      <c r="AA119" s="71" t="n">
        <v>25</v>
      </c>
      <c r="AB119" s="71" t="n">
        <v>26</v>
      </c>
      <c r="AC119" s="71" t="n">
        <v>27</v>
      </c>
      <c r="AD119" s="71" t="n">
        <v>28</v>
      </c>
      <c r="AE119" s="71" t="n">
        <v>29</v>
      </c>
      <c r="AF119" s="71" t="n">
        <v>30</v>
      </c>
      <c r="AG119" s="71" t="n">
        <v>31</v>
      </c>
      <c r="AH119" s="71" t="n">
        <v>32</v>
      </c>
      <c r="AI119" s="71" t="n">
        <v>33</v>
      </c>
      <c r="AJ119" s="71" t="n">
        <v>34</v>
      </c>
      <c r="AK119" s="71" t="n">
        <v>35</v>
      </c>
      <c r="AL119" s="71" t="n">
        <v>36</v>
      </c>
    </row>
    <row r="120" customFormat="false" ht="15" hidden="false" customHeight="false" outlineLevel="0" collapsed="false">
      <c r="A120" s="71" t="s">
        <v>154</v>
      </c>
      <c r="C120" s="71" t="n">
        <f aca="false">ROUNDUP(C119*1/12,0)</f>
        <v>1</v>
      </c>
      <c r="D120" s="71" t="n">
        <f aca="false">ROUNDUP(D119*1/12,0)</f>
        <v>1</v>
      </c>
      <c r="E120" s="71" t="n">
        <f aca="false">ROUNDUP(E119*1/12,0)</f>
        <v>1</v>
      </c>
      <c r="F120" s="71" t="n">
        <f aca="false">ROUNDUP(F119*1/12,0)</f>
        <v>1</v>
      </c>
      <c r="G120" s="71" t="n">
        <f aca="false">ROUNDUP(G119*1/12,0)</f>
        <v>1</v>
      </c>
      <c r="H120" s="71" t="n">
        <f aca="false">ROUNDUP(H119*1/12,0)</f>
        <v>1</v>
      </c>
      <c r="I120" s="71" t="n">
        <f aca="false">ROUNDUP(I119*1/12,0)</f>
        <v>1</v>
      </c>
      <c r="J120" s="71" t="n">
        <f aca="false">ROUNDUP(J119*1/12,0)</f>
        <v>1</v>
      </c>
      <c r="K120" s="71" t="n">
        <f aca="false">ROUNDUP(K119*1/12,0)</f>
        <v>1</v>
      </c>
      <c r="L120" s="71" t="n">
        <f aca="false">ROUNDUP(L119*1/12,0)</f>
        <v>1</v>
      </c>
      <c r="M120" s="71" t="n">
        <f aca="false">ROUNDUP(M119*1/12,0)</f>
        <v>1</v>
      </c>
      <c r="N120" s="71" t="n">
        <f aca="false">ROUNDUP(N119*1/12,0)</f>
        <v>1</v>
      </c>
      <c r="O120" s="71" t="n">
        <f aca="false">ROUNDUP(O119*1/12,0)</f>
        <v>2</v>
      </c>
      <c r="P120" s="71" t="n">
        <f aca="false">ROUNDUP(P119*1/12,0)</f>
        <v>2</v>
      </c>
      <c r="Q120" s="71" t="n">
        <f aca="false">ROUNDUP(Q119*1/12,0)</f>
        <v>2</v>
      </c>
      <c r="R120" s="71" t="n">
        <f aca="false">ROUNDUP(R119*1/12,0)</f>
        <v>2</v>
      </c>
      <c r="S120" s="71" t="n">
        <f aca="false">ROUNDUP(S119*1/12,0)</f>
        <v>2</v>
      </c>
      <c r="T120" s="71" t="n">
        <f aca="false">ROUNDUP(T119*1/12,0)</f>
        <v>2</v>
      </c>
      <c r="U120" s="71" t="n">
        <f aca="false">ROUNDUP(U119*1/12,0)</f>
        <v>2</v>
      </c>
      <c r="V120" s="71" t="n">
        <f aca="false">ROUNDUP(V119*1/12,0)</f>
        <v>2</v>
      </c>
      <c r="W120" s="71" t="n">
        <f aca="false">ROUNDUP(W119*1/12,0)</f>
        <v>2</v>
      </c>
      <c r="X120" s="71" t="n">
        <f aca="false">ROUNDUP(X119*1/12,0)</f>
        <v>2</v>
      </c>
      <c r="Y120" s="71" t="n">
        <f aca="false">ROUNDUP(Y119*1/12,0)</f>
        <v>2</v>
      </c>
      <c r="Z120" s="71" t="n">
        <f aca="false">ROUNDUP(Z119*1/12,0)</f>
        <v>2</v>
      </c>
      <c r="AA120" s="71" t="n">
        <f aca="false">ROUNDUP(AA119*1/12,0)</f>
        <v>3</v>
      </c>
      <c r="AB120" s="71" t="n">
        <f aca="false">ROUNDUP(AB119*1/12,0)</f>
        <v>3</v>
      </c>
      <c r="AC120" s="71" t="n">
        <f aca="false">ROUNDUP(AC119*1/12,0)</f>
        <v>3</v>
      </c>
      <c r="AD120" s="71" t="n">
        <f aca="false">ROUNDUP(AD119*1/12,0)</f>
        <v>3</v>
      </c>
      <c r="AE120" s="71" t="n">
        <f aca="false">ROUNDUP(AE119*1/12,0)</f>
        <v>3</v>
      </c>
      <c r="AF120" s="71" t="n">
        <f aca="false">ROUNDUP(AF119*1/12,0)</f>
        <v>3</v>
      </c>
      <c r="AG120" s="71" t="n">
        <f aca="false">ROUNDUP(AG119*1/12,0)</f>
        <v>3</v>
      </c>
      <c r="AH120" s="71" t="n">
        <f aca="false">ROUNDUP(AH119*1/12,0)</f>
        <v>3</v>
      </c>
      <c r="AI120" s="71" t="n">
        <f aca="false">ROUNDUP(AI119*1/12,0)</f>
        <v>3</v>
      </c>
      <c r="AJ120" s="71" t="n">
        <f aca="false">ROUNDUP(AJ119*1/12,0)</f>
        <v>3</v>
      </c>
      <c r="AK120" s="71" t="n">
        <f aca="false">ROUNDUP(AK119*1/12,0)</f>
        <v>3</v>
      </c>
      <c r="AL120" s="71" t="n">
        <f aca="false">ROUNDUP(AL119*1/12,0)</f>
        <v>3</v>
      </c>
    </row>
    <row r="122" customFormat="false" ht="15.75" hidden="false" customHeight="true" outlineLevel="0" collapsed="false">
      <c r="A122" s="7" t="s">
        <v>368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customFormat="false" ht="15" hidden="false" customHeight="false" outlineLevel="0" collapsed="false">
      <c r="A123" s="6" t="s">
        <v>369</v>
      </c>
      <c r="C123" s="114" t="n">
        <f aca="false">Inputs!$C$12*(1+Inputs!$C$13)^(C$120-1)*1</f>
        <v>12</v>
      </c>
      <c r="D123" s="114" t="n">
        <f aca="false">Inputs!$C$12*(1+Inputs!$C$13)^(D$120-1)*1</f>
        <v>12</v>
      </c>
      <c r="E123" s="114" t="n">
        <f aca="false">Inputs!$C$12*(1+Inputs!$C$13)^(E$120-1)*1</f>
        <v>12</v>
      </c>
      <c r="F123" s="114" t="n">
        <f aca="false">Inputs!$C$12*(1+Inputs!$C$13)^(F$120-1)*1</f>
        <v>12</v>
      </c>
      <c r="G123" s="114" t="n">
        <f aca="false">Inputs!$C$12*(1+Inputs!$C$13)^(G$120-1)*1</f>
        <v>12</v>
      </c>
      <c r="H123" s="114" t="n">
        <f aca="false">Inputs!$C$12*(1+Inputs!$C$13)^(H$120-1)*1</f>
        <v>12</v>
      </c>
      <c r="I123" s="114" t="n">
        <f aca="false">Inputs!$C$12*(1+Inputs!$C$13)^(I$120-1)*1</f>
        <v>12</v>
      </c>
      <c r="J123" s="114" t="n">
        <f aca="false">Inputs!$C$12*(1+Inputs!$C$13)^(J$120-1)*1</f>
        <v>12</v>
      </c>
      <c r="K123" s="114" t="n">
        <f aca="false">Inputs!$C$12*(1+Inputs!$C$13)^(K$120-1)*1</f>
        <v>12</v>
      </c>
      <c r="L123" s="114" t="n">
        <f aca="false">Inputs!$C$12*(1+Inputs!$C$13)^(L$120-1)*1</f>
        <v>12</v>
      </c>
      <c r="M123" s="114" t="n">
        <f aca="false">Inputs!$C$12*(1+Inputs!$C$13)^(M$120-1)*1</f>
        <v>12</v>
      </c>
      <c r="N123" s="114" t="n">
        <f aca="false">Inputs!$C$12*(1+Inputs!$C$13)^(N$120-1)*1</f>
        <v>12</v>
      </c>
      <c r="O123" s="114" t="n">
        <f aca="false">Inputs!$C$12*(1+Inputs!$C$13)^(O$120-1)*1</f>
        <v>15.6</v>
      </c>
      <c r="P123" s="114" t="n">
        <f aca="false">Inputs!$C$12*(1+Inputs!$C$13)^(P$120-1)*1</f>
        <v>15.6</v>
      </c>
      <c r="Q123" s="114" t="n">
        <f aca="false">Inputs!$C$12*(1+Inputs!$C$13)^(Q$120-1)*1</f>
        <v>15.6</v>
      </c>
      <c r="R123" s="114" t="n">
        <f aca="false">Inputs!$C$12*(1+Inputs!$C$13)^(R$120-1)*1</f>
        <v>15.6</v>
      </c>
      <c r="S123" s="114" t="n">
        <f aca="false">Inputs!$C$12*(1+Inputs!$C$13)^(S$120-1)*1</f>
        <v>15.6</v>
      </c>
      <c r="T123" s="114" t="n">
        <f aca="false">Inputs!$C$12*(1+Inputs!$C$13)^(T$120-1)*1</f>
        <v>15.6</v>
      </c>
      <c r="U123" s="114" t="n">
        <f aca="false">Inputs!$C$12*(1+Inputs!$C$13)^(U$120-1)*1</f>
        <v>15.6</v>
      </c>
      <c r="V123" s="114" t="n">
        <f aca="false">Inputs!$C$12*(1+Inputs!$C$13)^(V$120-1)*1</f>
        <v>15.6</v>
      </c>
      <c r="W123" s="114" t="n">
        <f aca="false">Inputs!$C$12*(1+Inputs!$C$13)^(W$120-1)*1</f>
        <v>15.6</v>
      </c>
      <c r="X123" s="114" t="n">
        <f aca="false">Inputs!$C$12*(1+Inputs!$C$13)^(X$120-1)*1</f>
        <v>15.6</v>
      </c>
      <c r="Y123" s="114" t="n">
        <f aca="false">Inputs!$C$12*(1+Inputs!$C$13)^(Y$120-1)*1</f>
        <v>15.6</v>
      </c>
      <c r="Z123" s="114" t="n">
        <f aca="false">Inputs!$C$12*(1+Inputs!$C$13)^(Z$120-1)*1</f>
        <v>15.6</v>
      </c>
      <c r="AA123" s="114" t="n">
        <f aca="false">Inputs!$C$12*(1+Inputs!$C$13)^(AA$120-1)*1</f>
        <v>20.28</v>
      </c>
      <c r="AB123" s="114" t="n">
        <f aca="false">Inputs!$C$12*(1+Inputs!$C$13)^(AB$120-1)*1</f>
        <v>20.28</v>
      </c>
      <c r="AC123" s="114" t="n">
        <f aca="false">Inputs!$C$12*(1+Inputs!$C$13)^(AC$120-1)*1</f>
        <v>20.28</v>
      </c>
      <c r="AD123" s="114" t="n">
        <f aca="false">Inputs!$C$12*(1+Inputs!$C$13)^(AD$120-1)*1</f>
        <v>20.28</v>
      </c>
      <c r="AE123" s="114" t="n">
        <f aca="false">Inputs!$C$12*(1+Inputs!$C$13)^(AE$120-1)*1</f>
        <v>20.28</v>
      </c>
      <c r="AF123" s="114" t="n">
        <f aca="false">Inputs!$C$12*(1+Inputs!$C$13)^(AF$120-1)*1</f>
        <v>20.28</v>
      </c>
      <c r="AG123" s="114" t="n">
        <f aca="false">Inputs!$C$12*(1+Inputs!$C$13)^(AG$120-1)*1</f>
        <v>20.28</v>
      </c>
      <c r="AH123" s="114" t="n">
        <f aca="false">Inputs!$C$12*(1+Inputs!$C$13)^(AH$120-1)*1</f>
        <v>20.28</v>
      </c>
      <c r="AI123" s="114" t="n">
        <f aca="false">Inputs!$C$12*(1+Inputs!$C$13)^(AI$120-1)*1</f>
        <v>20.28</v>
      </c>
      <c r="AJ123" s="114" t="n">
        <f aca="false">Inputs!$C$12*(1+Inputs!$C$13)^(AJ$120-1)*1</f>
        <v>20.28</v>
      </c>
      <c r="AK123" s="114" t="n">
        <f aca="false">Inputs!$C$12*(1+Inputs!$C$13)^(AK$120-1)*1</f>
        <v>20.28</v>
      </c>
      <c r="AL123" s="114" t="n">
        <f aca="false">Inputs!$C$12*(1+Inputs!$C$13)^(AL$120-1)*1</f>
        <v>20.28</v>
      </c>
    </row>
    <row r="124" customFormat="false" ht="15" hidden="false" customHeight="false" outlineLevel="0" collapsed="false">
      <c r="A124" s="6" t="s">
        <v>370</v>
      </c>
      <c r="C124" s="114" t="n">
        <f aca="false">-C145/MAX(1,Inputs!$C$16)</f>
        <v>17.7777777777778</v>
      </c>
      <c r="D124" s="114" t="n">
        <f aca="false">-D145/MAX(1,Inputs!$C$16)</f>
        <v>17.7777777777778</v>
      </c>
      <c r="E124" s="114" t="n">
        <f aca="false">-E145/MAX(1,Inputs!$C$16)</f>
        <v>17.7777777777778</v>
      </c>
      <c r="F124" s="114" t="n">
        <f aca="false">-F145/MAX(1,Inputs!$C$16)</f>
        <v>17.7777777777778</v>
      </c>
      <c r="G124" s="114" t="n">
        <f aca="false">-G145/MAX(1,Inputs!$C$16)</f>
        <v>17.7777777777778</v>
      </c>
      <c r="H124" s="114" t="n">
        <f aca="false">-H145/MAX(1,Inputs!$C$16)</f>
        <v>17.7777777777778</v>
      </c>
      <c r="I124" s="114" t="n">
        <f aca="false">-I145/MAX(1,Inputs!$C$16)</f>
        <v>17.7777777777778</v>
      </c>
      <c r="J124" s="114" t="n">
        <f aca="false">-J145/MAX(1,Inputs!$C$16)</f>
        <v>17.7777777777778</v>
      </c>
      <c r="K124" s="114" t="n">
        <f aca="false">-K145/MAX(1,Inputs!$C$16)</f>
        <v>17.7777777777778</v>
      </c>
      <c r="L124" s="114" t="n">
        <f aca="false">-L145/MAX(1,Inputs!$C$16)</f>
        <v>17.7777777777778</v>
      </c>
      <c r="M124" s="114" t="n">
        <f aca="false">-M145/MAX(1,Inputs!$C$16)</f>
        <v>17.7777777777778</v>
      </c>
      <c r="N124" s="114" t="n">
        <f aca="false">-N145/MAX(1,Inputs!$C$16)</f>
        <v>17.7777777777778</v>
      </c>
      <c r="O124" s="114" t="n">
        <f aca="false">-O145/MAX(1,Inputs!$C$16)</f>
        <v>21.3333333333333</v>
      </c>
      <c r="P124" s="114" t="n">
        <f aca="false">-P145/MAX(1,Inputs!$C$16)</f>
        <v>21.3333333333333</v>
      </c>
      <c r="Q124" s="114" t="n">
        <f aca="false">-Q145/MAX(1,Inputs!$C$16)</f>
        <v>21.3333333333333</v>
      </c>
      <c r="R124" s="114" t="n">
        <f aca="false">-R145/MAX(1,Inputs!$C$16)</f>
        <v>21.3333333333333</v>
      </c>
      <c r="S124" s="114" t="n">
        <f aca="false">-S145/MAX(1,Inputs!$C$16)</f>
        <v>21.3333333333333</v>
      </c>
      <c r="T124" s="114" t="n">
        <f aca="false">-T145/MAX(1,Inputs!$C$16)</f>
        <v>21.3333333333333</v>
      </c>
      <c r="U124" s="114" t="n">
        <f aca="false">-U145/MAX(1,Inputs!$C$16)</f>
        <v>21.3333333333333</v>
      </c>
      <c r="V124" s="114" t="n">
        <f aca="false">-V145/MAX(1,Inputs!$C$16)</f>
        <v>21.3333333333333</v>
      </c>
      <c r="W124" s="114" t="n">
        <f aca="false">-W145/MAX(1,Inputs!$C$16)</f>
        <v>21.3333333333333</v>
      </c>
      <c r="X124" s="114" t="n">
        <f aca="false">-X145/MAX(1,Inputs!$C$16)</f>
        <v>21.3333333333333</v>
      </c>
      <c r="Y124" s="114" t="n">
        <f aca="false">-Y145/MAX(1,Inputs!$C$16)</f>
        <v>21.3333333333333</v>
      </c>
      <c r="Z124" s="114" t="n">
        <f aca="false">-Z145/MAX(1,Inputs!$C$16)</f>
        <v>21.3333333333333</v>
      </c>
      <c r="AA124" s="114" t="n">
        <f aca="false">-AA145/MAX(1,Inputs!$C$16)</f>
        <v>25.6</v>
      </c>
      <c r="AB124" s="114" t="n">
        <f aca="false">-AB145/MAX(1,Inputs!$C$16)</f>
        <v>25.6</v>
      </c>
      <c r="AC124" s="114" t="n">
        <f aca="false">-AC145/MAX(1,Inputs!$C$16)</f>
        <v>25.6</v>
      </c>
      <c r="AD124" s="114" t="n">
        <f aca="false">-AD145/MAX(1,Inputs!$C$16)</f>
        <v>25.6</v>
      </c>
      <c r="AE124" s="114" t="n">
        <f aca="false">-AE145/MAX(1,Inputs!$C$16)</f>
        <v>25.6</v>
      </c>
      <c r="AF124" s="114" t="n">
        <f aca="false">-AF145/MAX(1,Inputs!$C$16)</f>
        <v>25.6</v>
      </c>
      <c r="AG124" s="114" t="n">
        <f aca="false">-AG145/MAX(1,Inputs!$C$16)</f>
        <v>25.6</v>
      </c>
      <c r="AH124" s="114" t="n">
        <f aca="false">-AH145/MAX(1,Inputs!$C$16)</f>
        <v>25.6</v>
      </c>
      <c r="AI124" s="114" t="n">
        <f aca="false">-AI145/MAX(1,Inputs!$C$16)</f>
        <v>25.6</v>
      </c>
      <c r="AJ124" s="114" t="n">
        <f aca="false">-AJ145/MAX(1,Inputs!$C$16)</f>
        <v>25.6</v>
      </c>
      <c r="AK124" s="114" t="n">
        <f aca="false">-AK145/MAX(1,Inputs!$C$16)</f>
        <v>25.6</v>
      </c>
      <c r="AL124" s="114" t="n">
        <f aca="false">-AL145/MAX(1,Inputs!$C$16)</f>
        <v>25.6</v>
      </c>
    </row>
    <row r="125" customFormat="false" ht="15" hidden="false" customHeight="false" outlineLevel="0" collapsed="false">
      <c r="A125" s="4" t="s">
        <v>371</v>
      </c>
      <c r="C125" s="115" t="n">
        <f aca="false">C123+C124</f>
        <v>29.7777777777778</v>
      </c>
      <c r="D125" s="115" t="n">
        <f aca="false">D123+D124</f>
        <v>29.7777777777778</v>
      </c>
      <c r="E125" s="115" t="n">
        <f aca="false">E123+E124</f>
        <v>29.7777777777778</v>
      </c>
      <c r="F125" s="115" t="n">
        <f aca="false">F123+F124</f>
        <v>29.7777777777778</v>
      </c>
      <c r="G125" s="115" t="n">
        <f aca="false">G123+G124</f>
        <v>29.7777777777778</v>
      </c>
      <c r="H125" s="115" t="n">
        <f aca="false">H123+H124</f>
        <v>29.7777777777778</v>
      </c>
      <c r="I125" s="115" t="n">
        <f aca="false">I123+I124</f>
        <v>29.7777777777778</v>
      </c>
      <c r="J125" s="115" t="n">
        <f aca="false">J123+J124</f>
        <v>29.7777777777778</v>
      </c>
      <c r="K125" s="115" t="n">
        <f aca="false">K123+K124</f>
        <v>29.7777777777778</v>
      </c>
      <c r="L125" s="115" t="n">
        <f aca="false">L123+L124</f>
        <v>29.7777777777778</v>
      </c>
      <c r="M125" s="115" t="n">
        <f aca="false">M123+M124</f>
        <v>29.7777777777778</v>
      </c>
      <c r="N125" s="115" t="n">
        <f aca="false">N123+N124</f>
        <v>29.7777777777778</v>
      </c>
      <c r="O125" s="115" t="n">
        <f aca="false">O123+O124</f>
        <v>36.9333333333333</v>
      </c>
      <c r="P125" s="115" t="n">
        <f aca="false">P123+P124</f>
        <v>36.9333333333333</v>
      </c>
      <c r="Q125" s="115" t="n">
        <f aca="false">Q123+Q124</f>
        <v>36.9333333333333</v>
      </c>
      <c r="R125" s="115" t="n">
        <f aca="false">R123+R124</f>
        <v>36.9333333333333</v>
      </c>
      <c r="S125" s="115" t="n">
        <f aca="false">S123+S124</f>
        <v>36.9333333333333</v>
      </c>
      <c r="T125" s="115" t="n">
        <f aca="false">T123+T124</f>
        <v>36.9333333333333</v>
      </c>
      <c r="U125" s="115" t="n">
        <f aca="false">U123+U124</f>
        <v>36.9333333333333</v>
      </c>
      <c r="V125" s="115" t="n">
        <f aca="false">V123+V124</f>
        <v>36.9333333333333</v>
      </c>
      <c r="W125" s="115" t="n">
        <f aca="false">W123+W124</f>
        <v>36.9333333333333</v>
      </c>
      <c r="X125" s="115" t="n">
        <f aca="false">X123+X124</f>
        <v>36.9333333333333</v>
      </c>
      <c r="Y125" s="115" t="n">
        <f aca="false">Y123+Y124</f>
        <v>36.9333333333333</v>
      </c>
      <c r="Z125" s="115" t="n">
        <f aca="false">Z123+Z124</f>
        <v>36.9333333333333</v>
      </c>
      <c r="AA125" s="115" t="n">
        <f aca="false">AA123+AA124</f>
        <v>45.88</v>
      </c>
      <c r="AB125" s="115" t="n">
        <f aca="false">AB123+AB124</f>
        <v>45.88</v>
      </c>
      <c r="AC125" s="115" t="n">
        <f aca="false">AC123+AC124</f>
        <v>45.88</v>
      </c>
      <c r="AD125" s="115" t="n">
        <f aca="false">AD123+AD124</f>
        <v>45.88</v>
      </c>
      <c r="AE125" s="115" t="n">
        <f aca="false">AE123+AE124</f>
        <v>45.88</v>
      </c>
      <c r="AF125" s="115" t="n">
        <f aca="false">AF123+AF124</f>
        <v>45.88</v>
      </c>
      <c r="AG125" s="115" t="n">
        <f aca="false">AG123+AG124</f>
        <v>45.88</v>
      </c>
      <c r="AH125" s="115" t="n">
        <f aca="false">AH123+AH124</f>
        <v>45.88</v>
      </c>
      <c r="AI125" s="115" t="n">
        <f aca="false">AI123+AI124</f>
        <v>45.88</v>
      </c>
      <c r="AJ125" s="115" t="n">
        <f aca="false">AJ123+AJ124</f>
        <v>45.88</v>
      </c>
      <c r="AK125" s="115" t="n">
        <f aca="false">AK123+AK124</f>
        <v>45.88</v>
      </c>
      <c r="AL125" s="115" t="n">
        <f aca="false">AL123+AL124</f>
        <v>45.88</v>
      </c>
    </row>
    <row r="126" customFormat="false" ht="15" hidden="false" customHeight="false" outlineLevel="0" collapsed="false">
      <c r="A126" s="6" t="s">
        <v>372</v>
      </c>
      <c r="C126" s="116" t="n">
        <f aca="false">Inputs!$C$7</f>
        <v>30</v>
      </c>
      <c r="D126" s="114" t="n">
        <f aca="false">C128</f>
        <v>58.8777777777778</v>
      </c>
      <c r="E126" s="114" t="n">
        <f aca="false">D128</f>
        <v>86.8892222222222</v>
      </c>
      <c r="F126" s="114" t="n">
        <f aca="false">E128</f>
        <v>114.060323333333</v>
      </c>
      <c r="G126" s="114" t="n">
        <f aca="false">F128</f>
        <v>140.416291411111</v>
      </c>
      <c r="H126" s="114" t="n">
        <f aca="false">G128</f>
        <v>165.981580446556</v>
      </c>
      <c r="I126" s="114" t="n">
        <f aca="false">H128</f>
        <v>190.779910810937</v>
      </c>
      <c r="J126" s="114" t="n">
        <f aca="false">I128</f>
        <v>214.834291264386</v>
      </c>
      <c r="K126" s="114" t="n">
        <f aca="false">J128</f>
        <v>238.167040304233</v>
      </c>
      <c r="L126" s="114" t="n">
        <f aca="false">K128</f>
        <v>260.799806872883</v>
      </c>
      <c r="M126" s="114" t="n">
        <f aca="false">L128</f>
        <v>282.753590444475</v>
      </c>
      <c r="N126" s="114" t="n">
        <f aca="false">M128</f>
        <v>304.048760508918</v>
      </c>
      <c r="O126" s="114" t="n">
        <f aca="false">N128</f>
        <v>324.705075471428</v>
      </c>
      <c r="P126" s="114" t="n">
        <f aca="false">O128</f>
        <v>351.897256540619</v>
      </c>
      <c r="Q126" s="114" t="n">
        <f aca="false">P128</f>
        <v>378.273672177734</v>
      </c>
      <c r="R126" s="114" t="n">
        <f aca="false">Q128</f>
        <v>403.858795345735</v>
      </c>
      <c r="S126" s="114" t="n">
        <f aca="false">R128</f>
        <v>428.676364818696</v>
      </c>
      <c r="T126" s="114" t="n">
        <f aca="false">S128</f>
        <v>452.749407207469</v>
      </c>
      <c r="U126" s="114" t="n">
        <f aca="false">T128</f>
        <v>476.100258324578</v>
      </c>
      <c r="V126" s="114" t="n">
        <f aca="false">U128</f>
        <v>498.750583908174</v>
      </c>
      <c r="W126" s="114" t="n">
        <f aca="false">V128</f>
        <v>520.721399724262</v>
      </c>
      <c r="X126" s="114" t="n">
        <f aca="false">W128</f>
        <v>542.033091065868</v>
      </c>
      <c r="Y126" s="114" t="n">
        <f aca="false">X128</f>
        <v>562.705431667225</v>
      </c>
      <c r="Z126" s="114" t="n">
        <f aca="false">Y128</f>
        <v>582.757602050541</v>
      </c>
      <c r="AA126" s="114" t="n">
        <f aca="false">Z128</f>
        <v>602.208207322359</v>
      </c>
      <c r="AB126" s="114" t="n">
        <f aca="false">AA128</f>
        <v>630.021961102688</v>
      </c>
      <c r="AC126" s="114" t="n">
        <f aca="false">AB128</f>
        <v>657.001302269607</v>
      </c>
      <c r="AD126" s="114" t="n">
        <f aca="false">AC128</f>
        <v>683.171263201519</v>
      </c>
      <c r="AE126" s="114" t="n">
        <f aca="false">AD128</f>
        <v>708.556125305473</v>
      </c>
      <c r="AF126" s="114" t="n">
        <f aca="false">AE128</f>
        <v>733.179441546309</v>
      </c>
      <c r="AG126" s="114" t="n">
        <f aca="false">AF128</f>
        <v>757.06405829992</v>
      </c>
      <c r="AH126" s="114" t="n">
        <f aca="false">AG128</f>
        <v>780.232136550922</v>
      </c>
      <c r="AI126" s="114" t="n">
        <f aca="false">AH128</f>
        <v>802.705172454395</v>
      </c>
      <c r="AJ126" s="114" t="n">
        <f aca="false">AI128</f>
        <v>824.504017280763</v>
      </c>
      <c r="AK126" s="114" t="n">
        <f aca="false">AJ128</f>
        <v>845.64889676234</v>
      </c>
      <c r="AL126" s="114" t="n">
        <f aca="false">AK128</f>
        <v>866.15942985947</v>
      </c>
    </row>
    <row r="127" customFormat="false" ht="15" hidden="false" customHeight="false" outlineLevel="0" collapsed="false">
      <c r="A127" s="6" t="s">
        <v>373</v>
      </c>
      <c r="C127" s="114" t="n">
        <f aca="false">-C126*Inputs!$C$10</f>
        <v>-0.9</v>
      </c>
      <c r="D127" s="114" t="n">
        <f aca="false">-D126*Inputs!$C$10</f>
        <v>-1.76633333333333</v>
      </c>
      <c r="E127" s="114" t="n">
        <f aca="false">-E126*Inputs!$C$10</f>
        <v>-2.60667666666667</v>
      </c>
      <c r="F127" s="114" t="n">
        <f aca="false">-F126*Inputs!$C$10</f>
        <v>-3.4218097</v>
      </c>
      <c r="G127" s="114" t="n">
        <f aca="false">-G126*Inputs!$C$10</f>
        <v>-4.21248874233333</v>
      </c>
      <c r="H127" s="114" t="n">
        <f aca="false">-H126*Inputs!$C$10</f>
        <v>-4.97944741339667</v>
      </c>
      <c r="I127" s="114" t="n">
        <f aca="false">-I126*Inputs!$C$10</f>
        <v>-5.7233973243281</v>
      </c>
      <c r="J127" s="114" t="n">
        <f aca="false">-J126*Inputs!$C$10</f>
        <v>-6.44502873793159</v>
      </c>
      <c r="K127" s="114" t="n">
        <f aca="false">-K126*Inputs!$C$10</f>
        <v>-7.14501120912698</v>
      </c>
      <c r="L127" s="114" t="n">
        <f aca="false">-L126*Inputs!$C$10</f>
        <v>-7.8239942061865</v>
      </c>
      <c r="M127" s="114" t="n">
        <f aca="false">-M126*Inputs!$C$10</f>
        <v>-8.48260771333424</v>
      </c>
      <c r="N127" s="114" t="n">
        <f aca="false">-N126*Inputs!$C$10</f>
        <v>-9.12146281526755</v>
      </c>
      <c r="O127" s="114" t="n">
        <f aca="false">-O126*Inputs!$C$10</f>
        <v>-9.74115226414285</v>
      </c>
      <c r="P127" s="114" t="n">
        <f aca="false">-P126*Inputs!$C$10</f>
        <v>-10.5569176962186</v>
      </c>
      <c r="Q127" s="114" t="n">
        <f aca="false">-Q126*Inputs!$C$10</f>
        <v>-11.348210165332</v>
      </c>
      <c r="R127" s="114" t="n">
        <f aca="false">-R126*Inputs!$C$10</f>
        <v>-12.115763860372</v>
      </c>
      <c r="S127" s="114" t="n">
        <f aca="false">-S126*Inputs!$C$10</f>
        <v>-12.8602909445609</v>
      </c>
      <c r="T127" s="114" t="n">
        <f aca="false">-T126*Inputs!$C$10</f>
        <v>-13.5824822162241</v>
      </c>
      <c r="U127" s="114" t="n">
        <f aca="false">-U126*Inputs!$C$10</f>
        <v>-14.2830077497373</v>
      </c>
      <c r="V127" s="114" t="n">
        <f aca="false">-V126*Inputs!$C$10</f>
        <v>-14.9625175172452</v>
      </c>
      <c r="W127" s="114" t="n">
        <f aca="false">-W126*Inputs!$C$10</f>
        <v>-15.6216419917279</v>
      </c>
      <c r="X127" s="114" t="n">
        <f aca="false">-X126*Inputs!$C$10</f>
        <v>-16.260992731976</v>
      </c>
      <c r="Y127" s="114" t="n">
        <f aca="false">-Y126*Inputs!$C$10</f>
        <v>-16.8811629500167</v>
      </c>
      <c r="Z127" s="114" t="n">
        <f aca="false">-Z126*Inputs!$C$10</f>
        <v>-17.4827280615162</v>
      </c>
      <c r="AA127" s="114" t="n">
        <f aca="false">-AA126*Inputs!$C$10</f>
        <v>-18.0662462196708</v>
      </c>
      <c r="AB127" s="114" t="n">
        <f aca="false">-AB126*Inputs!$C$10</f>
        <v>-18.9006588330806</v>
      </c>
      <c r="AC127" s="114" t="n">
        <f aca="false">-AC126*Inputs!$C$10</f>
        <v>-19.7100390680882</v>
      </c>
      <c r="AD127" s="114" t="n">
        <f aca="false">-AD126*Inputs!$C$10</f>
        <v>-20.4951378960456</v>
      </c>
      <c r="AE127" s="114" t="n">
        <f aca="false">-AE126*Inputs!$C$10</f>
        <v>-21.2566837591642</v>
      </c>
      <c r="AF127" s="114" t="n">
        <f aca="false">-AF126*Inputs!$C$10</f>
        <v>-21.9953832463893</v>
      </c>
      <c r="AG127" s="114" t="n">
        <f aca="false">-AG126*Inputs!$C$10</f>
        <v>-22.7119217489976</v>
      </c>
      <c r="AH127" s="114" t="n">
        <f aca="false">-AH126*Inputs!$C$10</f>
        <v>-23.4069640965277</v>
      </c>
      <c r="AI127" s="114" t="n">
        <f aca="false">-AI126*Inputs!$C$10</f>
        <v>-24.0811551736318</v>
      </c>
      <c r="AJ127" s="114" t="n">
        <f aca="false">-AJ126*Inputs!$C$10</f>
        <v>-24.7351205184229</v>
      </c>
      <c r="AK127" s="114" t="n">
        <f aca="false">-AK126*Inputs!$C$10</f>
        <v>-25.3694669028702</v>
      </c>
      <c r="AL127" s="114" t="n">
        <f aca="false">-AL126*Inputs!$C$10</f>
        <v>-25.9847828957841</v>
      </c>
    </row>
    <row r="128" customFormat="false" ht="15" hidden="false" customHeight="false" outlineLevel="0" collapsed="false">
      <c r="A128" s="111" t="s">
        <v>374</v>
      </c>
      <c r="C128" s="117" t="n">
        <f aca="false">C126+C125+C127</f>
        <v>58.8777777777778</v>
      </c>
      <c r="D128" s="117" t="n">
        <f aca="false">D126+D125+D127</f>
        <v>86.8892222222222</v>
      </c>
      <c r="E128" s="117" t="n">
        <f aca="false">E126+E125+E127</f>
        <v>114.060323333333</v>
      </c>
      <c r="F128" s="117" t="n">
        <f aca="false">F126+F125+F127</f>
        <v>140.416291411111</v>
      </c>
      <c r="G128" s="117" t="n">
        <f aca="false">G126+G125+G127</f>
        <v>165.981580446556</v>
      </c>
      <c r="H128" s="117" t="n">
        <f aca="false">H126+H125+H127</f>
        <v>190.779910810937</v>
      </c>
      <c r="I128" s="117" t="n">
        <f aca="false">I126+I125+I127</f>
        <v>214.834291264386</v>
      </c>
      <c r="J128" s="117" t="n">
        <f aca="false">J126+J125+J127</f>
        <v>238.167040304233</v>
      </c>
      <c r="K128" s="117" t="n">
        <f aca="false">K126+K125+K127</f>
        <v>260.799806872883</v>
      </c>
      <c r="L128" s="117" t="n">
        <f aca="false">L126+L125+L127</f>
        <v>282.753590444475</v>
      </c>
      <c r="M128" s="117" t="n">
        <f aca="false">M126+M125+M127</f>
        <v>304.048760508918</v>
      </c>
      <c r="N128" s="117" t="n">
        <f aca="false">N126+N125+N127</f>
        <v>324.705075471428</v>
      </c>
      <c r="O128" s="117" t="n">
        <f aca="false">O126+O125+O127</f>
        <v>351.897256540619</v>
      </c>
      <c r="P128" s="117" t="n">
        <f aca="false">P126+P125+P127</f>
        <v>378.273672177734</v>
      </c>
      <c r="Q128" s="117" t="n">
        <f aca="false">Q126+Q125+Q127</f>
        <v>403.858795345735</v>
      </c>
      <c r="R128" s="117" t="n">
        <f aca="false">R126+R125+R127</f>
        <v>428.676364818696</v>
      </c>
      <c r="S128" s="117" t="n">
        <f aca="false">S126+S125+S127</f>
        <v>452.749407207469</v>
      </c>
      <c r="T128" s="117" t="n">
        <f aca="false">T126+T125+T127</f>
        <v>476.100258324578</v>
      </c>
      <c r="U128" s="117" t="n">
        <f aca="false">U126+U125+U127</f>
        <v>498.750583908174</v>
      </c>
      <c r="V128" s="117" t="n">
        <f aca="false">V126+V125+V127</f>
        <v>520.721399724262</v>
      </c>
      <c r="W128" s="117" t="n">
        <f aca="false">W126+W125+W127</f>
        <v>542.033091065868</v>
      </c>
      <c r="X128" s="117" t="n">
        <f aca="false">X126+X125+X127</f>
        <v>562.705431667225</v>
      </c>
      <c r="Y128" s="117" t="n">
        <f aca="false">Y126+Y125+Y127</f>
        <v>582.757602050541</v>
      </c>
      <c r="Z128" s="117" t="n">
        <f aca="false">Z126+Z125+Z127</f>
        <v>602.208207322359</v>
      </c>
      <c r="AA128" s="117" t="n">
        <f aca="false">AA126+AA125+AA127</f>
        <v>630.021961102688</v>
      </c>
      <c r="AB128" s="117" t="n">
        <f aca="false">AB126+AB125+AB127</f>
        <v>657.001302269607</v>
      </c>
      <c r="AC128" s="117" t="n">
        <f aca="false">AC126+AC125+AC127</f>
        <v>683.171263201519</v>
      </c>
      <c r="AD128" s="117" t="n">
        <f aca="false">AD126+AD125+AD127</f>
        <v>708.556125305473</v>
      </c>
      <c r="AE128" s="117" t="n">
        <f aca="false">AE126+AE125+AE127</f>
        <v>733.179441546309</v>
      </c>
      <c r="AF128" s="117" t="n">
        <f aca="false">AF126+AF125+AF127</f>
        <v>757.06405829992</v>
      </c>
      <c r="AG128" s="117" t="n">
        <f aca="false">AG126+AG125+AG127</f>
        <v>780.232136550922</v>
      </c>
      <c r="AH128" s="117" t="n">
        <f aca="false">AH126+AH125+AH127</f>
        <v>802.705172454395</v>
      </c>
      <c r="AI128" s="117" t="n">
        <f aca="false">AI126+AI125+AI127</f>
        <v>824.504017280763</v>
      </c>
      <c r="AJ128" s="117" t="n">
        <f aca="false">AJ126+AJ125+AJ127</f>
        <v>845.64889676234</v>
      </c>
      <c r="AK128" s="117" t="n">
        <f aca="false">AK126+AK125+AK127</f>
        <v>866.15942985947</v>
      </c>
      <c r="AL128" s="117" t="n">
        <f aca="false">AL126+AL125+AL127</f>
        <v>886.054646963686</v>
      </c>
    </row>
    <row r="129" customFormat="false" ht="15" hidden="false" customHeight="false" outlineLevel="0" collapsed="false">
      <c r="A129" s="6" t="s">
        <v>375</v>
      </c>
      <c r="C129" s="118" t="n">
        <f aca="false">Inputs!$C$8*(1+Inputs!$C$9)^(C$120-1)</f>
        <v>99</v>
      </c>
      <c r="D129" s="118" t="n">
        <f aca="false">Inputs!$C$8*(1+Inputs!$C$9)^(D$120-1)</f>
        <v>99</v>
      </c>
      <c r="E129" s="118" t="n">
        <f aca="false">Inputs!$C$8*(1+Inputs!$C$9)^(E$120-1)</f>
        <v>99</v>
      </c>
      <c r="F129" s="118" t="n">
        <f aca="false">Inputs!$C$8*(1+Inputs!$C$9)^(F$120-1)</f>
        <v>99</v>
      </c>
      <c r="G129" s="118" t="n">
        <f aca="false">Inputs!$C$8*(1+Inputs!$C$9)^(G$120-1)</f>
        <v>99</v>
      </c>
      <c r="H129" s="118" t="n">
        <f aca="false">Inputs!$C$8*(1+Inputs!$C$9)^(H$120-1)</f>
        <v>99</v>
      </c>
      <c r="I129" s="118" t="n">
        <f aca="false">Inputs!$C$8*(1+Inputs!$C$9)^(I$120-1)</f>
        <v>99</v>
      </c>
      <c r="J129" s="118" t="n">
        <f aca="false">Inputs!$C$8*(1+Inputs!$C$9)^(J$120-1)</f>
        <v>99</v>
      </c>
      <c r="K129" s="118" t="n">
        <f aca="false">Inputs!$C$8*(1+Inputs!$C$9)^(K$120-1)</f>
        <v>99</v>
      </c>
      <c r="L129" s="118" t="n">
        <f aca="false">Inputs!$C$8*(1+Inputs!$C$9)^(L$120-1)</f>
        <v>99</v>
      </c>
      <c r="M129" s="118" t="n">
        <f aca="false">Inputs!$C$8*(1+Inputs!$C$9)^(M$120-1)</f>
        <v>99</v>
      </c>
      <c r="N129" s="118" t="n">
        <f aca="false">Inputs!$C$8*(1+Inputs!$C$9)^(N$120-1)</f>
        <v>99</v>
      </c>
      <c r="O129" s="118" t="n">
        <f aca="false">Inputs!$C$8*(1+Inputs!$C$9)^(O$120-1)</f>
        <v>101.97</v>
      </c>
      <c r="P129" s="118" t="n">
        <f aca="false">Inputs!$C$8*(1+Inputs!$C$9)^(P$120-1)</f>
        <v>101.97</v>
      </c>
      <c r="Q129" s="118" t="n">
        <f aca="false">Inputs!$C$8*(1+Inputs!$C$9)^(Q$120-1)</f>
        <v>101.97</v>
      </c>
      <c r="R129" s="118" t="n">
        <f aca="false">Inputs!$C$8*(1+Inputs!$C$9)^(R$120-1)</f>
        <v>101.97</v>
      </c>
      <c r="S129" s="118" t="n">
        <f aca="false">Inputs!$C$8*(1+Inputs!$C$9)^(S$120-1)</f>
        <v>101.97</v>
      </c>
      <c r="T129" s="118" t="n">
        <f aca="false">Inputs!$C$8*(1+Inputs!$C$9)^(T$120-1)</f>
        <v>101.97</v>
      </c>
      <c r="U129" s="118" t="n">
        <f aca="false">Inputs!$C$8*(1+Inputs!$C$9)^(U$120-1)</f>
        <v>101.97</v>
      </c>
      <c r="V129" s="118" t="n">
        <f aca="false">Inputs!$C$8*(1+Inputs!$C$9)^(V$120-1)</f>
        <v>101.97</v>
      </c>
      <c r="W129" s="118" t="n">
        <f aca="false">Inputs!$C$8*(1+Inputs!$C$9)^(W$120-1)</f>
        <v>101.97</v>
      </c>
      <c r="X129" s="118" t="n">
        <f aca="false">Inputs!$C$8*(1+Inputs!$C$9)^(X$120-1)</f>
        <v>101.97</v>
      </c>
      <c r="Y129" s="118" t="n">
        <f aca="false">Inputs!$C$8*(1+Inputs!$C$9)^(Y$120-1)</f>
        <v>101.97</v>
      </c>
      <c r="Z129" s="118" t="n">
        <f aca="false">Inputs!$C$8*(1+Inputs!$C$9)^(Z$120-1)</f>
        <v>101.97</v>
      </c>
      <c r="AA129" s="118" t="n">
        <f aca="false">Inputs!$C$8*(1+Inputs!$C$9)^(AA$120-1)</f>
        <v>105.0291</v>
      </c>
      <c r="AB129" s="118" t="n">
        <f aca="false">Inputs!$C$8*(1+Inputs!$C$9)^(AB$120-1)</f>
        <v>105.0291</v>
      </c>
      <c r="AC129" s="118" t="n">
        <f aca="false">Inputs!$C$8*(1+Inputs!$C$9)^(AC$120-1)</f>
        <v>105.0291</v>
      </c>
      <c r="AD129" s="118" t="n">
        <f aca="false">Inputs!$C$8*(1+Inputs!$C$9)^(AD$120-1)</f>
        <v>105.0291</v>
      </c>
      <c r="AE129" s="118" t="n">
        <f aca="false">Inputs!$C$8*(1+Inputs!$C$9)^(AE$120-1)</f>
        <v>105.0291</v>
      </c>
      <c r="AF129" s="118" t="n">
        <f aca="false">Inputs!$C$8*(1+Inputs!$C$9)^(AF$120-1)</f>
        <v>105.0291</v>
      </c>
      <c r="AG129" s="118" t="n">
        <f aca="false">Inputs!$C$8*(1+Inputs!$C$9)^(AG$120-1)</f>
        <v>105.0291</v>
      </c>
      <c r="AH129" s="118" t="n">
        <f aca="false">Inputs!$C$8*(1+Inputs!$C$9)^(AH$120-1)</f>
        <v>105.0291</v>
      </c>
      <c r="AI129" s="118" t="n">
        <f aca="false">Inputs!$C$8*(1+Inputs!$C$9)^(AI$120-1)</f>
        <v>105.0291</v>
      </c>
      <c r="AJ129" s="118" t="n">
        <f aca="false">Inputs!$C$8*(1+Inputs!$C$9)^(AJ$120-1)</f>
        <v>105.0291</v>
      </c>
      <c r="AK129" s="118" t="n">
        <f aca="false">Inputs!$C$8*(1+Inputs!$C$9)^(AK$120-1)</f>
        <v>105.0291</v>
      </c>
      <c r="AL129" s="118" t="n">
        <f aca="false">Inputs!$C$8*(1+Inputs!$C$9)^(AL$120-1)</f>
        <v>105.0291</v>
      </c>
    </row>
    <row r="131" customFormat="false" ht="15.75" hidden="false" customHeight="true" outlineLevel="0" collapsed="false">
      <c r="A131" s="7" t="s">
        <v>376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customFormat="false" ht="15" hidden="false" customHeight="false" outlineLevel="0" collapsed="false">
      <c r="A132" s="6" t="s">
        <v>377</v>
      </c>
      <c r="C132" s="66" t="n">
        <f aca="false">Inputs!$C$7*Inputs!$C$8</f>
        <v>2970</v>
      </c>
      <c r="D132" s="66" t="n">
        <f aca="false">C136</f>
        <v>5843.75</v>
      </c>
      <c r="E132" s="66" t="n">
        <f aca="false">D136</f>
        <v>8645.65625</v>
      </c>
      <c r="F132" s="66" t="n">
        <f aca="false">E136</f>
        <v>11377.51484375</v>
      </c>
      <c r="G132" s="66" t="n">
        <f aca="false">F136</f>
        <v>14041.0769726563</v>
      </c>
      <c r="H132" s="66" t="n">
        <f aca="false">G136</f>
        <v>16638.0500483398</v>
      </c>
      <c r="I132" s="66" t="n">
        <f aca="false">H136</f>
        <v>19170.0987971314</v>
      </c>
      <c r="J132" s="66" t="n">
        <f aca="false">I136</f>
        <v>21638.8463272031</v>
      </c>
      <c r="K132" s="66" t="n">
        <f aca="false">J136</f>
        <v>24045.875169023</v>
      </c>
      <c r="L132" s="66" t="n">
        <f aca="false">K136</f>
        <v>26392.7282897974</v>
      </c>
      <c r="M132" s="66" t="n">
        <f aca="false">L136</f>
        <v>28680.9100825525</v>
      </c>
      <c r="N132" s="66" t="n">
        <f aca="false">M136</f>
        <v>30911.8873304887</v>
      </c>
      <c r="O132" s="66" t="n">
        <f aca="false">N136</f>
        <v>33087.0901472265</v>
      </c>
      <c r="P132" s="66" t="n">
        <f aca="false">O136</f>
        <v>36026.0048935458</v>
      </c>
      <c r="Q132" s="66" t="n">
        <f aca="false">P136</f>
        <v>38891.4467712071</v>
      </c>
      <c r="R132" s="66" t="n">
        <f aca="false">Q136</f>
        <v>41685.252601927</v>
      </c>
      <c r="S132" s="66" t="n">
        <f aca="false">R136</f>
        <v>44409.2132868788</v>
      </c>
      <c r="T132" s="66" t="n">
        <f aca="false">S136</f>
        <v>47065.0749547068</v>
      </c>
      <c r="U132" s="66" t="n">
        <f aca="false">T136</f>
        <v>49654.5400808392</v>
      </c>
      <c r="V132" s="66" t="n">
        <f aca="false">U136</f>
        <v>52179.2685788182</v>
      </c>
      <c r="W132" s="66" t="n">
        <f aca="false">V136</f>
        <v>54640.8788643477</v>
      </c>
      <c r="X132" s="66" t="n">
        <f aca="false">W136</f>
        <v>57040.948892739</v>
      </c>
      <c r="Y132" s="66" t="n">
        <f aca="false">X136</f>
        <v>59381.0171704205</v>
      </c>
      <c r="Z132" s="66" t="n">
        <f aca="false">Y136</f>
        <v>61662.58374116</v>
      </c>
      <c r="AA132" s="66" t="n">
        <f aca="false">Z136</f>
        <v>63887.111147631</v>
      </c>
      <c r="AB132" s="66" t="n">
        <f aca="false">AA136</f>
        <v>67108.6684769402</v>
      </c>
      <c r="AC132" s="66" t="n">
        <f aca="false">AB136</f>
        <v>70249.6868730167</v>
      </c>
      <c r="AD132" s="66" t="n">
        <f aca="false">AC136</f>
        <v>73312.1798091913</v>
      </c>
      <c r="AE132" s="66" t="n">
        <f aca="false">AD136</f>
        <v>76298.1104219615</v>
      </c>
      <c r="AF132" s="66" t="n">
        <f aca="false">AE136</f>
        <v>79209.3927694125</v>
      </c>
      <c r="AG132" s="66" t="n">
        <f aca="false">AF136</f>
        <v>82047.8930581772</v>
      </c>
      <c r="AH132" s="66" t="n">
        <f aca="false">AG136</f>
        <v>84815.4308397227</v>
      </c>
      <c r="AI132" s="66" t="n">
        <f aca="false">AH136</f>
        <v>87513.7801767297</v>
      </c>
      <c r="AJ132" s="66" t="n">
        <f aca="false">AI136</f>
        <v>90144.6707803114</v>
      </c>
      <c r="AK132" s="66" t="n">
        <f aca="false">AJ136</f>
        <v>92709.7891188036</v>
      </c>
      <c r="AL132" s="66" t="n">
        <f aca="false">AK136</f>
        <v>95210.7794988335</v>
      </c>
    </row>
    <row r="133" customFormat="false" ht="15" hidden="false" customHeight="false" outlineLevel="0" collapsed="false">
      <c r="A133" s="6" t="s">
        <v>378</v>
      </c>
      <c r="C133" s="66" t="n">
        <f aca="false">C125*C129</f>
        <v>2948</v>
      </c>
      <c r="D133" s="66" t="n">
        <f aca="false">D125*D129</f>
        <v>2948</v>
      </c>
      <c r="E133" s="66" t="n">
        <f aca="false">E125*E129</f>
        <v>2948</v>
      </c>
      <c r="F133" s="66" t="n">
        <f aca="false">F125*F129</f>
        <v>2948</v>
      </c>
      <c r="G133" s="66" t="n">
        <f aca="false">G125*G129</f>
        <v>2948</v>
      </c>
      <c r="H133" s="66" t="n">
        <f aca="false">H125*H129</f>
        <v>2948</v>
      </c>
      <c r="I133" s="66" t="n">
        <f aca="false">I125*I129</f>
        <v>2948</v>
      </c>
      <c r="J133" s="66" t="n">
        <f aca="false">J125*J129</f>
        <v>2948</v>
      </c>
      <c r="K133" s="66" t="n">
        <f aca="false">K125*K129</f>
        <v>2948</v>
      </c>
      <c r="L133" s="66" t="n">
        <f aca="false">L125*L129</f>
        <v>2948</v>
      </c>
      <c r="M133" s="66" t="n">
        <f aca="false">M125*M129</f>
        <v>2948</v>
      </c>
      <c r="N133" s="66" t="n">
        <f aca="false">N125*N129</f>
        <v>2948</v>
      </c>
      <c r="O133" s="66" t="n">
        <f aca="false">O125*O129</f>
        <v>3766.092</v>
      </c>
      <c r="P133" s="66" t="n">
        <f aca="false">P125*P129</f>
        <v>3766.092</v>
      </c>
      <c r="Q133" s="66" t="n">
        <f aca="false">Q125*Q129</f>
        <v>3766.092</v>
      </c>
      <c r="R133" s="66" t="n">
        <f aca="false">R125*R129</f>
        <v>3766.092</v>
      </c>
      <c r="S133" s="66" t="n">
        <f aca="false">S125*S129</f>
        <v>3766.092</v>
      </c>
      <c r="T133" s="66" t="n">
        <f aca="false">T125*T129</f>
        <v>3766.092</v>
      </c>
      <c r="U133" s="66" t="n">
        <f aca="false">U125*U129</f>
        <v>3766.092</v>
      </c>
      <c r="V133" s="66" t="n">
        <f aca="false">V125*V129</f>
        <v>3766.092</v>
      </c>
      <c r="W133" s="66" t="n">
        <f aca="false">W125*W129</f>
        <v>3766.092</v>
      </c>
      <c r="X133" s="66" t="n">
        <f aca="false">X125*X129</f>
        <v>3766.092</v>
      </c>
      <c r="Y133" s="66" t="n">
        <f aca="false">Y125*Y129</f>
        <v>3766.092</v>
      </c>
      <c r="Z133" s="66" t="n">
        <f aca="false">Z125*Z129</f>
        <v>3766.092</v>
      </c>
      <c r="AA133" s="66" t="n">
        <f aca="false">AA125*AA129</f>
        <v>4818.735108</v>
      </c>
      <c r="AB133" s="66" t="n">
        <f aca="false">AB125*AB129</f>
        <v>4818.735108</v>
      </c>
      <c r="AC133" s="66" t="n">
        <f aca="false">AC125*AC129</f>
        <v>4818.735108</v>
      </c>
      <c r="AD133" s="66" t="n">
        <f aca="false">AD125*AD129</f>
        <v>4818.735108</v>
      </c>
      <c r="AE133" s="66" t="n">
        <f aca="false">AE125*AE129</f>
        <v>4818.735108</v>
      </c>
      <c r="AF133" s="66" t="n">
        <f aca="false">AF125*AF129</f>
        <v>4818.735108</v>
      </c>
      <c r="AG133" s="66" t="n">
        <f aca="false">AG125*AG129</f>
        <v>4818.735108</v>
      </c>
      <c r="AH133" s="66" t="n">
        <f aca="false">AH125*AH129</f>
        <v>4818.735108</v>
      </c>
      <c r="AI133" s="66" t="n">
        <f aca="false">AI125*AI129</f>
        <v>4818.735108</v>
      </c>
      <c r="AJ133" s="66" t="n">
        <f aca="false">AJ125*AJ129</f>
        <v>4818.735108</v>
      </c>
      <c r="AK133" s="66" t="n">
        <f aca="false">AK125*AK129</f>
        <v>4818.735108</v>
      </c>
      <c r="AL133" s="66" t="n">
        <f aca="false">AL125*AL129</f>
        <v>4818.735108</v>
      </c>
    </row>
    <row r="134" customFormat="false" ht="15" hidden="false" customHeight="false" outlineLevel="0" collapsed="false">
      <c r="A134" s="6" t="s">
        <v>379</v>
      </c>
      <c r="C134" s="66" t="n">
        <f aca="false">C132*Inputs!$C$11</f>
        <v>14.85</v>
      </c>
      <c r="D134" s="66" t="n">
        <f aca="false">D132*Inputs!$C$11</f>
        <v>29.21875</v>
      </c>
      <c r="E134" s="66" t="n">
        <f aca="false">E132*Inputs!$C$11</f>
        <v>43.22828125</v>
      </c>
      <c r="F134" s="66" t="n">
        <f aca="false">F132*Inputs!$C$11</f>
        <v>56.88757421875</v>
      </c>
      <c r="G134" s="66" t="n">
        <f aca="false">G132*Inputs!$C$11</f>
        <v>70.2053848632813</v>
      </c>
      <c r="H134" s="66" t="n">
        <f aca="false">H132*Inputs!$C$11</f>
        <v>83.1902502416992</v>
      </c>
      <c r="I134" s="66" t="n">
        <f aca="false">I132*Inputs!$C$11</f>
        <v>95.8504939856568</v>
      </c>
      <c r="J134" s="66" t="n">
        <f aca="false">J132*Inputs!$C$11</f>
        <v>108.194231636015</v>
      </c>
      <c r="K134" s="66" t="n">
        <f aca="false">K132*Inputs!$C$11</f>
        <v>120.229375845115</v>
      </c>
      <c r="L134" s="66" t="n">
        <f aca="false">L132*Inputs!$C$11</f>
        <v>131.963641448987</v>
      </c>
      <c r="M134" s="66" t="n">
        <f aca="false">M132*Inputs!$C$11</f>
        <v>143.404550412762</v>
      </c>
      <c r="N134" s="66" t="n">
        <f aca="false">N132*Inputs!$C$11</f>
        <v>154.559436652443</v>
      </c>
      <c r="O134" s="66" t="n">
        <f aca="false">O132*Inputs!$C$11</f>
        <v>165.435450736132</v>
      </c>
      <c r="P134" s="66" t="n">
        <f aca="false">P132*Inputs!$C$11</f>
        <v>180.130024467729</v>
      </c>
      <c r="Q134" s="66" t="n">
        <f aca="false">Q132*Inputs!$C$11</f>
        <v>194.457233856036</v>
      </c>
      <c r="R134" s="66" t="n">
        <f aca="false">R132*Inputs!$C$11</f>
        <v>208.426263009635</v>
      </c>
      <c r="S134" s="66" t="n">
        <f aca="false">S132*Inputs!$C$11</f>
        <v>222.046066434394</v>
      </c>
      <c r="T134" s="66" t="n">
        <f aca="false">T132*Inputs!$C$11</f>
        <v>235.325374773534</v>
      </c>
      <c r="U134" s="66" t="n">
        <f aca="false">U132*Inputs!$C$11</f>
        <v>248.272700404196</v>
      </c>
      <c r="V134" s="66" t="n">
        <f aca="false">V132*Inputs!$C$11</f>
        <v>260.896342894091</v>
      </c>
      <c r="W134" s="66" t="n">
        <f aca="false">W132*Inputs!$C$11</f>
        <v>273.204394321739</v>
      </c>
      <c r="X134" s="66" t="n">
        <f aca="false">X132*Inputs!$C$11</f>
        <v>285.204744463695</v>
      </c>
      <c r="Y134" s="66" t="n">
        <f aca="false">Y132*Inputs!$C$11</f>
        <v>296.905085852103</v>
      </c>
      <c r="Z134" s="66" t="n">
        <f aca="false">Z132*Inputs!$C$11</f>
        <v>308.3129187058</v>
      </c>
      <c r="AA134" s="66" t="n">
        <f aca="false">AA132*Inputs!$C$11</f>
        <v>319.435555738155</v>
      </c>
      <c r="AB134" s="66" t="n">
        <f aca="false">AB132*Inputs!$C$11</f>
        <v>335.543342384701</v>
      </c>
      <c r="AC134" s="66" t="n">
        <f aca="false">AC132*Inputs!$C$11</f>
        <v>351.248434365084</v>
      </c>
      <c r="AD134" s="66" t="n">
        <f aca="false">AD132*Inputs!$C$11</f>
        <v>366.560899045957</v>
      </c>
      <c r="AE134" s="66" t="n">
        <f aca="false">AE132*Inputs!$C$11</f>
        <v>381.490552109808</v>
      </c>
      <c r="AF134" s="66" t="n">
        <f aca="false">AF132*Inputs!$C$11</f>
        <v>396.046963847062</v>
      </c>
      <c r="AG134" s="66" t="n">
        <f aca="false">AG132*Inputs!$C$11</f>
        <v>410.239465290886</v>
      </c>
      <c r="AH134" s="66" t="n">
        <f aca="false">AH132*Inputs!$C$11</f>
        <v>424.077154198614</v>
      </c>
      <c r="AI134" s="66" t="n">
        <f aca="false">AI132*Inputs!$C$11</f>
        <v>437.568900883648</v>
      </c>
      <c r="AJ134" s="66" t="n">
        <f aca="false">AJ132*Inputs!$C$11</f>
        <v>450.723353901557</v>
      </c>
      <c r="AK134" s="66" t="n">
        <f aca="false">AK132*Inputs!$C$11</f>
        <v>463.548945594018</v>
      </c>
      <c r="AL134" s="66" t="n">
        <f aca="false">AL132*Inputs!$C$11</f>
        <v>476.053897494168</v>
      </c>
    </row>
    <row r="135" customFormat="false" ht="15" hidden="false" customHeight="false" outlineLevel="0" collapsed="false">
      <c r="A135" s="6" t="s">
        <v>380</v>
      </c>
      <c r="C135" s="66" t="n">
        <f aca="false">-C132*Inputs!$C$10</f>
        <v>-89.1</v>
      </c>
      <c r="D135" s="66" t="n">
        <f aca="false">-D132*Inputs!$C$10</f>
        <v>-175.3125</v>
      </c>
      <c r="E135" s="66" t="n">
        <f aca="false">-E132*Inputs!$C$10</f>
        <v>-259.3696875</v>
      </c>
      <c r="F135" s="66" t="n">
        <f aca="false">-F132*Inputs!$C$10</f>
        <v>-341.3254453125</v>
      </c>
      <c r="G135" s="66" t="n">
        <f aca="false">-G132*Inputs!$C$10</f>
        <v>-421.232309179688</v>
      </c>
      <c r="H135" s="66" t="n">
        <f aca="false">-H132*Inputs!$C$10</f>
        <v>-499.141501450195</v>
      </c>
      <c r="I135" s="66" t="n">
        <f aca="false">-I132*Inputs!$C$10</f>
        <v>-575.102963913941</v>
      </c>
      <c r="J135" s="66" t="n">
        <f aca="false">-J132*Inputs!$C$10</f>
        <v>-649.165389816092</v>
      </c>
      <c r="K135" s="66" t="n">
        <f aca="false">-K132*Inputs!$C$10</f>
        <v>-721.37625507069</v>
      </c>
      <c r="L135" s="66" t="n">
        <f aca="false">-L132*Inputs!$C$10</f>
        <v>-791.781848693923</v>
      </c>
      <c r="M135" s="66" t="n">
        <f aca="false">-M132*Inputs!$C$10</f>
        <v>-860.427302476575</v>
      </c>
      <c r="N135" s="66" t="n">
        <f aca="false">-N132*Inputs!$C$10</f>
        <v>-927.35661991466</v>
      </c>
      <c r="O135" s="66" t="n">
        <f aca="false">-O132*Inputs!$C$10</f>
        <v>-992.612704416794</v>
      </c>
      <c r="P135" s="66" t="n">
        <f aca="false">-P132*Inputs!$C$10</f>
        <v>-1080.78014680637</v>
      </c>
      <c r="Q135" s="66" t="n">
        <f aca="false">-Q132*Inputs!$C$10</f>
        <v>-1166.74340313621</v>
      </c>
      <c r="R135" s="66" t="n">
        <f aca="false">-R132*Inputs!$C$10</f>
        <v>-1250.55757805781</v>
      </c>
      <c r="S135" s="66" t="n">
        <f aca="false">-S132*Inputs!$C$10</f>
        <v>-1332.27639860636</v>
      </c>
      <c r="T135" s="66" t="n">
        <f aca="false">-T132*Inputs!$C$10</f>
        <v>-1411.9522486412</v>
      </c>
      <c r="U135" s="66" t="n">
        <f aca="false">-U132*Inputs!$C$10</f>
        <v>-1489.63620242517</v>
      </c>
      <c r="V135" s="66" t="n">
        <f aca="false">-V132*Inputs!$C$10</f>
        <v>-1565.37805736455</v>
      </c>
      <c r="W135" s="66" t="n">
        <f aca="false">-W132*Inputs!$C$10</f>
        <v>-1639.22636593043</v>
      </c>
      <c r="X135" s="66" t="n">
        <f aca="false">-X132*Inputs!$C$10</f>
        <v>-1711.22846678217</v>
      </c>
      <c r="Y135" s="66" t="n">
        <f aca="false">-Y132*Inputs!$C$10</f>
        <v>-1781.43051511262</v>
      </c>
      <c r="Z135" s="66" t="n">
        <f aca="false">-Z132*Inputs!$C$10</f>
        <v>-1849.8775122348</v>
      </c>
      <c r="AA135" s="66" t="n">
        <f aca="false">-AA132*Inputs!$C$10</f>
        <v>-1916.61333442893</v>
      </c>
      <c r="AB135" s="66" t="n">
        <f aca="false">-AB132*Inputs!$C$10</f>
        <v>-2013.26005430821</v>
      </c>
      <c r="AC135" s="66" t="n">
        <f aca="false">-AC132*Inputs!$C$10</f>
        <v>-2107.4906061905</v>
      </c>
      <c r="AD135" s="66" t="n">
        <f aca="false">-AD132*Inputs!$C$10</f>
        <v>-2199.36539427574</v>
      </c>
      <c r="AE135" s="66" t="n">
        <f aca="false">-AE132*Inputs!$C$10</f>
        <v>-2288.94331265885</v>
      </c>
      <c r="AF135" s="66" t="n">
        <f aca="false">-AF132*Inputs!$C$10</f>
        <v>-2376.28178308237</v>
      </c>
      <c r="AG135" s="66" t="n">
        <f aca="false">-AG132*Inputs!$C$10</f>
        <v>-2461.43679174531</v>
      </c>
      <c r="AH135" s="66" t="n">
        <f aca="false">-AH132*Inputs!$C$10</f>
        <v>-2544.46292519168</v>
      </c>
      <c r="AI135" s="66" t="n">
        <f aca="false">-AI132*Inputs!$C$10</f>
        <v>-2625.41340530189</v>
      </c>
      <c r="AJ135" s="66" t="n">
        <f aca="false">-AJ132*Inputs!$C$10</f>
        <v>-2704.34012340934</v>
      </c>
      <c r="AK135" s="66" t="n">
        <f aca="false">-AK132*Inputs!$C$10</f>
        <v>-2781.29367356411</v>
      </c>
      <c r="AL135" s="66" t="n">
        <f aca="false">-AL132*Inputs!$C$10</f>
        <v>-2856.323384965</v>
      </c>
    </row>
    <row r="136" customFormat="false" ht="15" hidden="false" customHeight="false" outlineLevel="0" collapsed="false">
      <c r="A136" s="111" t="s">
        <v>381</v>
      </c>
      <c r="C136" s="67" t="n">
        <f aca="false">C132+C133+C134+C135</f>
        <v>5843.75</v>
      </c>
      <c r="D136" s="67" t="n">
        <f aca="false">D132+D133+D134+D135</f>
        <v>8645.65625</v>
      </c>
      <c r="E136" s="67" t="n">
        <f aca="false">E132+E133+E134+E135</f>
        <v>11377.51484375</v>
      </c>
      <c r="F136" s="67" t="n">
        <f aca="false">F132+F133+F134+F135</f>
        <v>14041.0769726563</v>
      </c>
      <c r="G136" s="67" t="n">
        <f aca="false">G132+G133+G134+G135</f>
        <v>16638.0500483398</v>
      </c>
      <c r="H136" s="67" t="n">
        <f aca="false">H132+H133+H134+H135</f>
        <v>19170.0987971314</v>
      </c>
      <c r="I136" s="67" t="n">
        <f aca="false">I132+I133+I134+I135</f>
        <v>21638.8463272031</v>
      </c>
      <c r="J136" s="67" t="n">
        <f aca="false">J132+J133+J134+J135</f>
        <v>24045.875169023</v>
      </c>
      <c r="K136" s="67" t="n">
        <f aca="false">K132+K133+K134+K135</f>
        <v>26392.7282897974</v>
      </c>
      <c r="L136" s="67" t="n">
        <f aca="false">L132+L133+L134+L135</f>
        <v>28680.9100825525</v>
      </c>
      <c r="M136" s="67" t="n">
        <f aca="false">M132+M133+M134+M135</f>
        <v>30911.8873304887</v>
      </c>
      <c r="N136" s="67" t="n">
        <f aca="false">N132+N133+N134+N135</f>
        <v>33087.0901472265</v>
      </c>
      <c r="O136" s="67" t="n">
        <f aca="false">O132+O133+O134+O135</f>
        <v>36026.0048935458</v>
      </c>
      <c r="P136" s="67" t="n">
        <f aca="false">P132+P133+P134+P135</f>
        <v>38891.4467712071</v>
      </c>
      <c r="Q136" s="67" t="n">
        <f aca="false">Q132+Q133+Q134+Q135</f>
        <v>41685.252601927</v>
      </c>
      <c r="R136" s="67" t="n">
        <f aca="false">R132+R133+R134+R135</f>
        <v>44409.2132868788</v>
      </c>
      <c r="S136" s="67" t="n">
        <f aca="false">S132+S133+S134+S135</f>
        <v>47065.0749547068</v>
      </c>
      <c r="T136" s="67" t="n">
        <f aca="false">T132+T133+T134+T135</f>
        <v>49654.5400808392</v>
      </c>
      <c r="U136" s="67" t="n">
        <f aca="false">U132+U133+U134+U135</f>
        <v>52179.2685788182</v>
      </c>
      <c r="V136" s="67" t="n">
        <f aca="false">V132+V133+V134+V135</f>
        <v>54640.8788643477</v>
      </c>
      <c r="W136" s="67" t="n">
        <f aca="false">W132+W133+W134+W135</f>
        <v>57040.948892739</v>
      </c>
      <c r="X136" s="67" t="n">
        <f aca="false">X132+X133+X134+X135</f>
        <v>59381.0171704205</v>
      </c>
      <c r="Y136" s="67" t="n">
        <f aca="false">Y132+Y133+Y134+Y135</f>
        <v>61662.58374116</v>
      </c>
      <c r="Z136" s="67" t="n">
        <f aca="false">Z132+Z133+Z134+Z135</f>
        <v>63887.111147631</v>
      </c>
      <c r="AA136" s="67" t="n">
        <f aca="false">AA132+AA133+AA134+AA135</f>
        <v>67108.6684769402</v>
      </c>
      <c r="AB136" s="67" t="n">
        <f aca="false">AB132+AB133+AB134+AB135</f>
        <v>70249.6868730167</v>
      </c>
      <c r="AC136" s="67" t="n">
        <f aca="false">AC132+AC133+AC134+AC135</f>
        <v>73312.1798091913</v>
      </c>
      <c r="AD136" s="67" t="n">
        <f aca="false">AD132+AD133+AD134+AD135</f>
        <v>76298.1104219615</v>
      </c>
      <c r="AE136" s="67" t="n">
        <f aca="false">AE132+AE133+AE134+AE135</f>
        <v>79209.3927694125</v>
      </c>
      <c r="AF136" s="67" t="n">
        <f aca="false">AF132+AF133+AF134+AF135</f>
        <v>82047.8930581772</v>
      </c>
      <c r="AG136" s="67" t="n">
        <f aca="false">AG132+AG133+AG134+AG135</f>
        <v>84815.4308397227</v>
      </c>
      <c r="AH136" s="67" t="n">
        <f aca="false">AH132+AH133+AH134+AH135</f>
        <v>87513.7801767297</v>
      </c>
      <c r="AI136" s="67" t="n">
        <f aca="false">AI132+AI133+AI134+AI135</f>
        <v>90144.6707803114</v>
      </c>
      <c r="AJ136" s="67" t="n">
        <f aca="false">AJ132+AJ133+AJ134+AJ135</f>
        <v>92709.7891188036</v>
      </c>
      <c r="AK136" s="67" t="n">
        <f aca="false">AK132+AK133+AK134+AK135</f>
        <v>95210.7794988335</v>
      </c>
      <c r="AL136" s="67" t="n">
        <f aca="false">AL132+AL133+AL134+AL135</f>
        <v>97649.2451193627</v>
      </c>
    </row>
    <row r="138" customFormat="false" ht="15.75" hidden="false" customHeight="true" outlineLevel="0" collapsed="false">
      <c r="A138" s="7" t="s">
        <v>382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111" t="s">
        <v>383</v>
      </c>
      <c r="C139" s="67" t="n">
        <f aca="false">(C132+C136)/2*1</f>
        <v>4406.875</v>
      </c>
      <c r="D139" s="67" t="n">
        <f aca="false">(D132+D136)/2*1</f>
        <v>7244.703125</v>
      </c>
      <c r="E139" s="67" t="n">
        <f aca="false">(E132+E136)/2*1</f>
        <v>10011.585546875</v>
      </c>
      <c r="F139" s="67" t="n">
        <f aca="false">(F132+F136)/2*1</f>
        <v>12709.2959082031</v>
      </c>
      <c r="G139" s="67" t="n">
        <f aca="false">(G132+G136)/2*1</f>
        <v>15339.563510498</v>
      </c>
      <c r="H139" s="67" t="n">
        <f aca="false">(H132+H136)/2*1</f>
        <v>17904.0744227356</v>
      </c>
      <c r="I139" s="67" t="n">
        <f aca="false">(I132+I136)/2*1</f>
        <v>20404.4725621672</v>
      </c>
      <c r="J139" s="67" t="n">
        <f aca="false">(J132+J136)/2*1</f>
        <v>22842.360748113</v>
      </c>
      <c r="K139" s="67" t="n">
        <f aca="false">(K132+K136)/2*1</f>
        <v>25219.3017294102</v>
      </c>
      <c r="L139" s="67" t="n">
        <f aca="false">(L132+L136)/2*1</f>
        <v>27536.819186175</v>
      </c>
      <c r="M139" s="67" t="n">
        <f aca="false">(M132+M136)/2*1</f>
        <v>29796.3987065206</v>
      </c>
      <c r="N139" s="67" t="n">
        <f aca="false">(N132+N136)/2*1</f>
        <v>31999.4887388576</v>
      </c>
      <c r="O139" s="67" t="n">
        <f aca="false">(O132+O136)/2*1</f>
        <v>34556.5475203861</v>
      </c>
      <c r="P139" s="67" t="n">
        <f aca="false">(P132+P136)/2*1</f>
        <v>37458.7258323765</v>
      </c>
      <c r="Q139" s="67" t="n">
        <f aca="false">(Q132+Q136)/2*1</f>
        <v>40288.3496865671</v>
      </c>
      <c r="R139" s="67" t="n">
        <f aca="false">(R132+R136)/2*1</f>
        <v>43047.2329444029</v>
      </c>
      <c r="S139" s="67" t="n">
        <f aca="false">(S132+S136)/2*1</f>
        <v>45737.1441207928</v>
      </c>
      <c r="T139" s="67" t="n">
        <f aca="false">(T132+T136)/2*1</f>
        <v>48359.807517773</v>
      </c>
      <c r="U139" s="67" t="n">
        <f aca="false">(U132+U136)/2*1</f>
        <v>50916.9043298287</v>
      </c>
      <c r="V139" s="67" t="n">
        <f aca="false">(V132+V136)/2*1</f>
        <v>53410.0737215829</v>
      </c>
      <c r="W139" s="67" t="n">
        <f aca="false">(W132+W136)/2*1</f>
        <v>55840.9138785434</v>
      </c>
      <c r="X139" s="67" t="n">
        <f aca="false">(X132+X136)/2*1</f>
        <v>58210.9830315798</v>
      </c>
      <c r="Y139" s="67" t="n">
        <f aca="false">(Y132+Y136)/2*1</f>
        <v>60521.8004557903</v>
      </c>
      <c r="Z139" s="67" t="n">
        <f aca="false">(Z132+Z136)/2*1</f>
        <v>62774.8474443955</v>
      </c>
      <c r="AA139" s="67" t="n">
        <f aca="false">(AA132+AA136)/2*1</f>
        <v>65497.8898122856</v>
      </c>
      <c r="AB139" s="67" t="n">
        <f aca="false">(AB132+AB136)/2*1</f>
        <v>68679.1776749785</v>
      </c>
      <c r="AC139" s="67" t="n">
        <f aca="false">(AC132+AC136)/2*1</f>
        <v>71780.933341104</v>
      </c>
      <c r="AD139" s="67" t="n">
        <f aca="false">(AD132+AD136)/2*1</f>
        <v>74805.1451155764</v>
      </c>
      <c r="AE139" s="67" t="n">
        <f aca="false">(AE132+AE136)/2*1</f>
        <v>77753.751595687</v>
      </c>
      <c r="AF139" s="67" t="n">
        <f aca="false">(AF132+AF136)/2*1</f>
        <v>80628.6429137948</v>
      </c>
      <c r="AG139" s="67" t="n">
        <f aca="false">(AG132+AG136)/2*1</f>
        <v>83431.6619489499</v>
      </c>
      <c r="AH139" s="67" t="n">
        <f aca="false">(AH132+AH136)/2*1</f>
        <v>86164.6055082262</v>
      </c>
      <c r="AI139" s="67" t="n">
        <f aca="false">(AI132+AI136)/2*1</f>
        <v>88829.2254785205</v>
      </c>
      <c r="AJ139" s="67" t="n">
        <f aca="false">(AJ132+AJ136)/2*1</f>
        <v>91427.2299495575</v>
      </c>
      <c r="AK139" s="67" t="n">
        <f aca="false">(AK132+AK136)/2*1</f>
        <v>93960.2843088186</v>
      </c>
      <c r="AL139" s="67" t="n">
        <f aca="false">(AL132+AL136)/2*1</f>
        <v>96430.0123090981</v>
      </c>
    </row>
    <row r="140" customFormat="false" ht="15" hidden="false" customHeight="false" outlineLevel="0" collapsed="false">
      <c r="A140" s="6" t="s">
        <v>75</v>
      </c>
      <c r="C140" s="66" t="n">
        <f aca="false">-(C139*Inputs!$C$18+(C126+C128)/2*Inputs!$C$19*1)</f>
        <v>-529.565277777778</v>
      </c>
      <c r="D140" s="66" t="n">
        <f aca="false">-(D139*Inputs!$C$18+(D126+D128)/2*Inputs!$C$19*1)</f>
        <v>-870.2373125</v>
      </c>
      <c r="E140" s="66" t="n">
        <f aca="false">-(E139*Inputs!$C$18+(E126+E128)/2*Inputs!$C$19*1)</f>
        <v>-1202.10810024306</v>
      </c>
      <c r="F140" s="66" t="n">
        <f aca="false">-(F139*Inputs!$C$18+(F126+F128)/2*Inputs!$C$19*1)</f>
        <v>-1525.40620556476</v>
      </c>
      <c r="G140" s="66" t="n">
        <f aca="false">-(G139*Inputs!$C$18+(G126+G128)/2*Inputs!$C$19*1)</f>
        <v>-1840.35422290747</v>
      </c>
      <c r="H140" s="66" t="n">
        <f aca="false">-(H139*Inputs!$C$18+(H126+H128)/2*Inputs!$C$19*1)</f>
        <v>-2147.16893353105</v>
      </c>
      <c r="I140" s="66" t="n">
        <f aca="false">-(I139*Inputs!$C$18+(I126+I128)/2*Inputs!$C$19*1)</f>
        <v>-2446.06145829204</v>
      </c>
      <c r="J140" s="66" t="n">
        <f aca="false">-(J139*Inputs!$C$18+(J126+J128)/2*Inputs!$C$19*1)</f>
        <v>-2737.23740637992</v>
      </c>
      <c r="K140" s="66" t="n">
        <f aca="false">-(K139*Inputs!$C$18+(K126+K128)/2*Inputs!$C$19*1)</f>
        <v>-3020.89702011814</v>
      </c>
      <c r="L140" s="66" t="n">
        <f aca="false">-(L139*Inputs!$C$18+(L126+L128)/2*Inputs!$C$19*1)</f>
        <v>-3297.23531593485</v>
      </c>
      <c r="M140" s="66" t="n">
        <f aca="false">-(M139*Inputs!$C$18+(M126+M128)/2*Inputs!$C$19*1)</f>
        <v>-3566.44222160545</v>
      </c>
      <c r="N140" s="66" t="n">
        <f aca="false">-(N139*Inputs!$C$18+(N126+N128)/2*Inputs!$C$19*1)</f>
        <v>-3828.7027098661</v>
      </c>
      <c r="O140" s="66" t="n">
        <f aca="false">-(O139*Inputs!$C$18+(O126+O128)/2*Inputs!$C$19*1)</f>
        <v>-4132.25708405066</v>
      </c>
      <c r="P140" s="66" t="n">
        <f aca="false">-(P139*Inputs!$C$18+(P126+P128)/2*Inputs!$C$19*1)</f>
        <v>-4476.043511956</v>
      </c>
      <c r="Q140" s="66" t="n">
        <f aca="false">-(Q139*Inputs!$C$18+(Q126+Q128)/2*Inputs!$C$19*1)</f>
        <v>-4810.96743618017</v>
      </c>
      <c r="R140" s="66" t="n">
        <f aca="false">-(R139*Inputs!$C$18+(R126+R128)/2*Inputs!$C$19*1)</f>
        <v>-5137.25845460472</v>
      </c>
      <c r="S140" s="66" t="n">
        <f aca="false">-(S139*Inputs!$C$18+(S126+S128)/2*Inputs!$C$19*1)</f>
        <v>-5455.14018410545</v>
      </c>
      <c r="T140" s="66" t="n">
        <f aca="false">-(T139*Inputs!$C$18+(T126+T128)/2*Inputs!$C$19*1)</f>
        <v>-5764.83041730935</v>
      </c>
      <c r="U140" s="66" t="n">
        <f aca="false">-(U139*Inputs!$C$18+(U126+U128)/2*Inputs!$C$19*1)</f>
        <v>-6066.54127521562</v>
      </c>
      <c r="V140" s="66" t="n">
        <f aca="false">-(V139*Inputs!$C$18+(V126+V128)/2*Inputs!$C$19*1)</f>
        <v>-6360.47935579073</v>
      </c>
      <c r="W140" s="66" t="n">
        <f aca="false">-(W139*Inputs!$C$18+(W126+W128)/2*Inputs!$C$19*1)</f>
        <v>-6646.84587864447</v>
      </c>
      <c r="X140" s="66" t="n">
        <f aca="false">-(X139*Inputs!$C$18+(X126+X128)/2*Inputs!$C$19*1)</f>
        <v>-6925.83682589107</v>
      </c>
      <c r="Y140" s="66" t="n">
        <f aca="false">-(Y139*Inputs!$C$18+(Y126+Y128)/2*Inputs!$C$19*1)</f>
        <v>-7197.6430792968</v>
      </c>
      <c r="Z140" s="66" t="n">
        <f aca="false">-(Z139*Inputs!$C$18+(Z126+Z128)/2*Inputs!$C$19*1)</f>
        <v>-7462.45055381245</v>
      </c>
      <c r="AA140" s="66" t="n">
        <f aca="false">-(AA139*Inputs!$C$18+(AA126+AA128)/2*Inputs!$C$19*1)</f>
        <v>-7782.01914965361</v>
      </c>
      <c r="AB140" s="66" t="n">
        <f aca="false">-(AB139*Inputs!$C$18+(AB126+AB128)/2*Inputs!$C$19*1)</f>
        <v>-8154.94103087014</v>
      </c>
      <c r="AC140" s="66" t="n">
        <f aca="false">-(AC139*Inputs!$C$18+(AC126+AC128)/2*Inputs!$C$19*1)</f>
        <v>-8518.26589958153</v>
      </c>
      <c r="AD140" s="66" t="n">
        <f aca="false">-(AD139*Inputs!$C$18+(AD126+AD128)/2*Inputs!$C$19*1)</f>
        <v>-8872.24190006463</v>
      </c>
      <c r="AE140" s="66" t="n">
        <f aca="false">-(AE139*Inputs!$C$18+(AE126+AE128)/2*Inputs!$C$19*1)</f>
        <v>-9217.11072642048</v>
      </c>
      <c r="AF140" s="66" t="n">
        <f aca="false">-(AF139*Inputs!$C$18+(AF126+AF128)/2*Inputs!$C$19*1)</f>
        <v>-9553.10779122571</v>
      </c>
      <c r="AG140" s="66" t="n">
        <f aca="false">-(AG139*Inputs!$C$18+(AG126+AG128)/2*Inputs!$C$19*1)</f>
        <v>-9880.46238974584</v>
      </c>
      <c r="AH140" s="66" t="n">
        <f aca="false">-(AH139*Inputs!$C$18+(AH126+AH128)/2*Inputs!$C$19*1)</f>
        <v>-10199.3978598279</v>
      </c>
      <c r="AI140" s="66" t="n">
        <f aca="false">-(AI139*Inputs!$C$18+(AI126+AI128)/2*Inputs!$C$19*1)</f>
        <v>-10510.1317375872</v>
      </c>
      <c r="AJ140" s="66" t="n">
        <f aca="false">-(AJ139*Inputs!$C$18+(AJ126+AJ128)/2*Inputs!$C$19*1)</f>
        <v>-10812.8759089989</v>
      </c>
      <c r="AK140" s="66" t="n">
        <f aca="false">-(AK139*Inputs!$C$18+(AK126+AK128)/2*Inputs!$C$19*1)</f>
        <v>-11107.8367575037</v>
      </c>
      <c r="AL140" s="66" t="n">
        <f aca="false">-(AL139*Inputs!$C$18+(AL126+AL128)/2*Inputs!$C$19*1)</f>
        <v>-11395.215307733</v>
      </c>
    </row>
    <row r="141" customFormat="false" ht="15" hidden="false" customHeight="false" outlineLevel="0" collapsed="false">
      <c r="A141" s="111" t="s">
        <v>45</v>
      </c>
      <c r="C141" s="67" t="n">
        <f aca="false">C139+C140</f>
        <v>3877.30972222222</v>
      </c>
      <c r="D141" s="67" t="n">
        <f aca="false">D139+D140</f>
        <v>6374.4658125</v>
      </c>
      <c r="E141" s="67" t="n">
        <f aca="false">E139+E140</f>
        <v>8809.47744663194</v>
      </c>
      <c r="F141" s="67" t="n">
        <f aca="false">F139+F140</f>
        <v>11183.8897026384</v>
      </c>
      <c r="G141" s="67" t="n">
        <f aca="false">G139+G140</f>
        <v>13499.2092875906</v>
      </c>
      <c r="H141" s="67" t="n">
        <f aca="false">H139+H140</f>
        <v>15756.9054892045</v>
      </c>
      <c r="I141" s="67" t="n">
        <f aca="false">I139+I140</f>
        <v>17958.4111038752</v>
      </c>
      <c r="J141" s="67" t="n">
        <f aca="false">J139+J140</f>
        <v>20105.1233417331</v>
      </c>
      <c r="K141" s="67" t="n">
        <f aca="false">K139+K140</f>
        <v>22198.4047092921</v>
      </c>
      <c r="L141" s="67" t="n">
        <f aca="false">L139+L140</f>
        <v>24239.5838702401</v>
      </c>
      <c r="M141" s="67" t="n">
        <f aca="false">M139+M140</f>
        <v>26229.9564849151</v>
      </c>
      <c r="N141" s="67" t="n">
        <f aca="false">N139+N140</f>
        <v>28170.7860289915</v>
      </c>
      <c r="O141" s="67" t="n">
        <f aca="false">O139+O140</f>
        <v>30424.2904363355</v>
      </c>
      <c r="P141" s="67" t="n">
        <f aca="false">P139+P140</f>
        <v>32982.6823204205</v>
      </c>
      <c r="Q141" s="67" t="n">
        <f aca="false">Q139+Q140</f>
        <v>35477.3822503869</v>
      </c>
      <c r="R141" s="67" t="n">
        <f aca="false">R139+R140</f>
        <v>37909.9744897982</v>
      </c>
      <c r="S141" s="67" t="n">
        <f aca="false">S139+S140</f>
        <v>40282.0039366874</v>
      </c>
      <c r="T141" s="67" t="n">
        <f aca="false">T139+T140</f>
        <v>42594.9771004636</v>
      </c>
      <c r="U141" s="67" t="n">
        <f aca="false">U139+U140</f>
        <v>44850.363054613</v>
      </c>
      <c r="V141" s="67" t="n">
        <f aca="false">V139+V140</f>
        <v>47049.5943657922</v>
      </c>
      <c r="W141" s="67" t="n">
        <f aca="false">W139+W140</f>
        <v>49194.0679998989</v>
      </c>
      <c r="X141" s="67" t="n">
        <f aca="false">X139+X140</f>
        <v>51285.1462056887</v>
      </c>
      <c r="Y141" s="67" t="n">
        <f aca="false">Y139+Y140</f>
        <v>53324.1573764935</v>
      </c>
      <c r="Z141" s="67" t="n">
        <f aca="false">Z139+Z140</f>
        <v>55312.3968905831</v>
      </c>
      <c r="AA141" s="67" t="n">
        <f aca="false">AA139+AA140</f>
        <v>57715.870662632</v>
      </c>
      <c r="AB141" s="67" t="n">
        <f aca="false">AB139+AB140</f>
        <v>60524.2366441083</v>
      </c>
      <c r="AC141" s="67" t="n">
        <f aca="false">AC139+AC140</f>
        <v>63262.6674415225</v>
      </c>
      <c r="AD141" s="67" t="n">
        <f aca="false">AD139+AD140</f>
        <v>65932.9032155118</v>
      </c>
      <c r="AE141" s="67" t="n">
        <f aca="false">AE139+AE140</f>
        <v>68536.6408692665</v>
      </c>
      <c r="AF141" s="67" t="n">
        <f aca="false">AF139+AF140</f>
        <v>71075.5351225691</v>
      </c>
      <c r="AG141" s="67" t="n">
        <f aca="false">AG139+AG140</f>
        <v>73551.1995592041</v>
      </c>
      <c r="AH141" s="67" t="n">
        <f aca="false">AH139+AH140</f>
        <v>75965.2076483982</v>
      </c>
      <c r="AI141" s="67" t="n">
        <f aca="false">AI139+AI140</f>
        <v>78319.0937409333</v>
      </c>
      <c r="AJ141" s="67" t="n">
        <f aca="false">AJ139+AJ140</f>
        <v>80614.3540405587</v>
      </c>
      <c r="AK141" s="67" t="n">
        <f aca="false">AK139+AK140</f>
        <v>82852.4475513149</v>
      </c>
      <c r="AL141" s="67" t="n">
        <f aca="false">AL139+AL140</f>
        <v>85034.7970013651</v>
      </c>
    </row>
    <row r="143" customFormat="false" ht="15.75" hidden="false" customHeight="true" outlineLevel="0" collapsed="false">
      <c r="A143" s="7" t="s">
        <v>47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customFormat="false" ht="15" hidden="false" customHeight="false" outlineLevel="0" collapsed="false">
      <c r="A144" s="6" t="s">
        <v>316</v>
      </c>
      <c r="C144" s="66" t="n">
        <f aca="false">C227</f>
        <v>-61750</v>
      </c>
      <c r="D144" s="66" t="n">
        <f aca="false">D227</f>
        <v>-61750</v>
      </c>
      <c r="E144" s="66" t="n">
        <f aca="false">E227</f>
        <v>-61750</v>
      </c>
      <c r="F144" s="66" t="n">
        <f aca="false">F227</f>
        <v>-61750</v>
      </c>
      <c r="G144" s="66" t="n">
        <f aca="false">G227</f>
        <v>-61750</v>
      </c>
      <c r="H144" s="66" t="n">
        <f aca="false">H227</f>
        <v>-61750</v>
      </c>
      <c r="I144" s="66" t="n">
        <f aca="false">I227</f>
        <v>-61750</v>
      </c>
      <c r="J144" s="66" t="n">
        <f aca="false">J227</f>
        <v>-61750</v>
      </c>
      <c r="K144" s="66" t="n">
        <f aca="false">K227</f>
        <v>-61750</v>
      </c>
      <c r="L144" s="66" t="n">
        <f aca="false">L227</f>
        <v>-61750</v>
      </c>
      <c r="M144" s="66" t="n">
        <f aca="false">M227</f>
        <v>-61750</v>
      </c>
      <c r="N144" s="66" t="n">
        <f aca="false">N227</f>
        <v>-61750</v>
      </c>
      <c r="O144" s="66" t="n">
        <f aca="false">O227</f>
        <v>-96330</v>
      </c>
      <c r="P144" s="66" t="n">
        <f aca="false">P227</f>
        <v>-96330</v>
      </c>
      <c r="Q144" s="66" t="n">
        <f aca="false">Q227</f>
        <v>-96330</v>
      </c>
      <c r="R144" s="66" t="n">
        <f aca="false">R227</f>
        <v>-96330</v>
      </c>
      <c r="S144" s="66" t="n">
        <f aca="false">S227</f>
        <v>-96330</v>
      </c>
      <c r="T144" s="66" t="n">
        <f aca="false">T227</f>
        <v>-96330</v>
      </c>
      <c r="U144" s="66" t="n">
        <f aca="false">U227</f>
        <v>-96330</v>
      </c>
      <c r="V144" s="66" t="n">
        <f aca="false">V227</f>
        <v>-96330</v>
      </c>
      <c r="W144" s="66" t="n">
        <f aca="false">W227</f>
        <v>-96330</v>
      </c>
      <c r="X144" s="66" t="n">
        <f aca="false">X227</f>
        <v>-96330</v>
      </c>
      <c r="Y144" s="66" t="n">
        <f aca="false">Y227</f>
        <v>-96330</v>
      </c>
      <c r="Z144" s="66" t="n">
        <f aca="false">Z227</f>
        <v>-96330</v>
      </c>
      <c r="AA144" s="66" t="n">
        <f aca="false">AA227</f>
        <v>-150274.8</v>
      </c>
      <c r="AB144" s="66" t="n">
        <f aca="false">AB227</f>
        <v>-150274.8</v>
      </c>
      <c r="AC144" s="66" t="n">
        <f aca="false">AC227</f>
        <v>-150274.8</v>
      </c>
      <c r="AD144" s="66" t="n">
        <f aca="false">AD227</f>
        <v>-150274.8</v>
      </c>
      <c r="AE144" s="66" t="n">
        <f aca="false">AE227</f>
        <v>-150274.8</v>
      </c>
      <c r="AF144" s="66" t="n">
        <f aca="false">AF227</f>
        <v>-150274.8</v>
      </c>
      <c r="AG144" s="66" t="n">
        <f aca="false">AG227</f>
        <v>-150274.8</v>
      </c>
      <c r="AH144" s="66" t="n">
        <f aca="false">AH227</f>
        <v>-150274.8</v>
      </c>
      <c r="AI144" s="66" t="n">
        <f aca="false">AI227</f>
        <v>-150274.8</v>
      </c>
      <c r="AJ144" s="66" t="n">
        <f aca="false">AJ227</f>
        <v>-150274.8</v>
      </c>
      <c r="AK144" s="66" t="n">
        <f aca="false">AK227</f>
        <v>-150274.8</v>
      </c>
      <c r="AL144" s="66" t="n">
        <f aca="false">AL227</f>
        <v>-150274.8</v>
      </c>
    </row>
    <row r="145" customFormat="false" ht="15" hidden="false" customHeight="false" outlineLevel="0" collapsed="false">
      <c r="A145" s="6" t="s">
        <v>317</v>
      </c>
      <c r="C145" s="66" t="n">
        <f aca="false">-Inputs!$C$14*(1+Inputs!$C$15)^(C$120-1)*1</f>
        <v>-8000</v>
      </c>
      <c r="D145" s="66" t="n">
        <f aca="false">-Inputs!$C$14*(1+Inputs!$C$15)^(D$120-1)*1</f>
        <v>-8000</v>
      </c>
      <c r="E145" s="66" t="n">
        <f aca="false">-Inputs!$C$14*(1+Inputs!$C$15)^(E$120-1)*1</f>
        <v>-8000</v>
      </c>
      <c r="F145" s="66" t="n">
        <f aca="false">-Inputs!$C$14*(1+Inputs!$C$15)^(F$120-1)*1</f>
        <v>-8000</v>
      </c>
      <c r="G145" s="66" t="n">
        <f aca="false">-Inputs!$C$14*(1+Inputs!$C$15)^(G$120-1)*1</f>
        <v>-8000</v>
      </c>
      <c r="H145" s="66" t="n">
        <f aca="false">-Inputs!$C$14*(1+Inputs!$C$15)^(H$120-1)*1</f>
        <v>-8000</v>
      </c>
      <c r="I145" s="66" t="n">
        <f aca="false">-Inputs!$C$14*(1+Inputs!$C$15)^(I$120-1)*1</f>
        <v>-8000</v>
      </c>
      <c r="J145" s="66" t="n">
        <f aca="false">-Inputs!$C$14*(1+Inputs!$C$15)^(J$120-1)*1</f>
        <v>-8000</v>
      </c>
      <c r="K145" s="66" t="n">
        <f aca="false">-Inputs!$C$14*(1+Inputs!$C$15)^(K$120-1)*1</f>
        <v>-8000</v>
      </c>
      <c r="L145" s="66" t="n">
        <f aca="false">-Inputs!$C$14*(1+Inputs!$C$15)^(L$120-1)*1</f>
        <v>-8000</v>
      </c>
      <c r="M145" s="66" t="n">
        <f aca="false">-Inputs!$C$14*(1+Inputs!$C$15)^(M$120-1)*1</f>
        <v>-8000</v>
      </c>
      <c r="N145" s="66" t="n">
        <f aca="false">-Inputs!$C$14*(1+Inputs!$C$15)^(N$120-1)*1</f>
        <v>-8000</v>
      </c>
      <c r="O145" s="66" t="n">
        <f aca="false">-Inputs!$C$14*(1+Inputs!$C$15)^(O$120-1)*1</f>
        <v>-9600</v>
      </c>
      <c r="P145" s="66" t="n">
        <f aca="false">-Inputs!$C$14*(1+Inputs!$C$15)^(P$120-1)*1</f>
        <v>-9600</v>
      </c>
      <c r="Q145" s="66" t="n">
        <f aca="false">-Inputs!$C$14*(1+Inputs!$C$15)^(Q$120-1)*1</f>
        <v>-9600</v>
      </c>
      <c r="R145" s="66" t="n">
        <f aca="false">-Inputs!$C$14*(1+Inputs!$C$15)^(R$120-1)*1</f>
        <v>-9600</v>
      </c>
      <c r="S145" s="66" t="n">
        <f aca="false">-Inputs!$C$14*(1+Inputs!$C$15)^(S$120-1)*1</f>
        <v>-9600</v>
      </c>
      <c r="T145" s="66" t="n">
        <f aca="false">-Inputs!$C$14*(1+Inputs!$C$15)^(T$120-1)*1</f>
        <v>-9600</v>
      </c>
      <c r="U145" s="66" t="n">
        <f aca="false">-Inputs!$C$14*(1+Inputs!$C$15)^(U$120-1)*1</f>
        <v>-9600</v>
      </c>
      <c r="V145" s="66" t="n">
        <f aca="false">-Inputs!$C$14*(1+Inputs!$C$15)^(V$120-1)*1</f>
        <v>-9600</v>
      </c>
      <c r="W145" s="66" t="n">
        <f aca="false">-Inputs!$C$14*(1+Inputs!$C$15)^(W$120-1)*1</f>
        <v>-9600</v>
      </c>
      <c r="X145" s="66" t="n">
        <f aca="false">-Inputs!$C$14*(1+Inputs!$C$15)^(X$120-1)*1</f>
        <v>-9600</v>
      </c>
      <c r="Y145" s="66" t="n">
        <f aca="false">-Inputs!$C$14*(1+Inputs!$C$15)^(Y$120-1)*1</f>
        <v>-9600</v>
      </c>
      <c r="Z145" s="66" t="n">
        <f aca="false">-Inputs!$C$14*(1+Inputs!$C$15)^(Z$120-1)*1</f>
        <v>-9600</v>
      </c>
      <c r="AA145" s="66" t="n">
        <f aca="false">-Inputs!$C$14*(1+Inputs!$C$15)^(AA$120-1)*1</f>
        <v>-11520</v>
      </c>
      <c r="AB145" s="66" t="n">
        <f aca="false">-Inputs!$C$14*(1+Inputs!$C$15)^(AB$120-1)*1</f>
        <v>-11520</v>
      </c>
      <c r="AC145" s="66" t="n">
        <f aca="false">-Inputs!$C$14*(1+Inputs!$C$15)^(AC$120-1)*1</f>
        <v>-11520</v>
      </c>
      <c r="AD145" s="66" t="n">
        <f aca="false">-Inputs!$C$14*(1+Inputs!$C$15)^(AD$120-1)*1</f>
        <v>-11520</v>
      </c>
      <c r="AE145" s="66" t="n">
        <f aca="false">-Inputs!$C$14*(1+Inputs!$C$15)^(AE$120-1)*1</f>
        <v>-11520</v>
      </c>
      <c r="AF145" s="66" t="n">
        <f aca="false">-Inputs!$C$14*(1+Inputs!$C$15)^(AF$120-1)*1</f>
        <v>-11520</v>
      </c>
      <c r="AG145" s="66" t="n">
        <f aca="false">-Inputs!$C$14*(1+Inputs!$C$15)^(AG$120-1)*1</f>
        <v>-11520</v>
      </c>
      <c r="AH145" s="66" t="n">
        <f aca="false">-Inputs!$C$14*(1+Inputs!$C$15)^(AH$120-1)*1</f>
        <v>-11520</v>
      </c>
      <c r="AI145" s="66" t="n">
        <f aca="false">-Inputs!$C$14*(1+Inputs!$C$15)^(AI$120-1)*1</f>
        <v>-11520</v>
      </c>
      <c r="AJ145" s="66" t="n">
        <f aca="false">-Inputs!$C$14*(1+Inputs!$C$15)^(AJ$120-1)*1</f>
        <v>-11520</v>
      </c>
      <c r="AK145" s="66" t="n">
        <f aca="false">-Inputs!$C$14*(1+Inputs!$C$15)^(AK$120-1)*1</f>
        <v>-11520</v>
      </c>
      <c r="AL145" s="66" t="n">
        <f aca="false">-Inputs!$C$14*(1+Inputs!$C$15)^(AL$120-1)*1</f>
        <v>-11520</v>
      </c>
    </row>
    <row r="146" customFormat="false" ht="15" hidden="false" customHeight="false" outlineLevel="0" collapsed="false">
      <c r="A146" s="6" t="s">
        <v>318</v>
      </c>
      <c r="C146" s="66" t="n">
        <f aca="false">-C220*Inputs!$C$20*1</f>
        <v>-900</v>
      </c>
      <c r="D146" s="66" t="n">
        <f aca="false">-D220*Inputs!$C$20*1</f>
        <v>-900</v>
      </c>
      <c r="E146" s="66" t="n">
        <f aca="false">-E220*Inputs!$C$20*1</f>
        <v>-900</v>
      </c>
      <c r="F146" s="66" t="n">
        <f aca="false">-F220*Inputs!$C$20*1</f>
        <v>-900</v>
      </c>
      <c r="G146" s="66" t="n">
        <f aca="false">-G220*Inputs!$C$20*1</f>
        <v>-900</v>
      </c>
      <c r="H146" s="66" t="n">
        <f aca="false">-H220*Inputs!$C$20*1</f>
        <v>-900</v>
      </c>
      <c r="I146" s="66" t="n">
        <f aca="false">-I220*Inputs!$C$20*1</f>
        <v>-900</v>
      </c>
      <c r="J146" s="66" t="n">
        <f aca="false">-J220*Inputs!$C$20*1</f>
        <v>-900</v>
      </c>
      <c r="K146" s="66" t="n">
        <f aca="false">-K220*Inputs!$C$20*1</f>
        <v>-900</v>
      </c>
      <c r="L146" s="66" t="n">
        <f aca="false">-L220*Inputs!$C$20*1</f>
        <v>-900</v>
      </c>
      <c r="M146" s="66" t="n">
        <f aca="false">-M220*Inputs!$C$20*1</f>
        <v>-900</v>
      </c>
      <c r="N146" s="66" t="n">
        <f aca="false">-N220*Inputs!$C$20*1</f>
        <v>-900</v>
      </c>
      <c r="O146" s="66" t="n">
        <f aca="false">-O220*Inputs!$C$20*1</f>
        <v>-1350</v>
      </c>
      <c r="P146" s="66" t="n">
        <f aca="false">-P220*Inputs!$C$20*1</f>
        <v>-1350</v>
      </c>
      <c r="Q146" s="66" t="n">
        <f aca="false">-Q220*Inputs!$C$20*1</f>
        <v>-1350</v>
      </c>
      <c r="R146" s="66" t="n">
        <f aca="false">-R220*Inputs!$C$20*1</f>
        <v>-1350</v>
      </c>
      <c r="S146" s="66" t="n">
        <f aca="false">-S220*Inputs!$C$20*1</f>
        <v>-1350</v>
      </c>
      <c r="T146" s="66" t="n">
        <f aca="false">-T220*Inputs!$C$20*1</f>
        <v>-1350</v>
      </c>
      <c r="U146" s="66" t="n">
        <f aca="false">-U220*Inputs!$C$20*1</f>
        <v>-1350</v>
      </c>
      <c r="V146" s="66" t="n">
        <f aca="false">-V220*Inputs!$C$20*1</f>
        <v>-1350</v>
      </c>
      <c r="W146" s="66" t="n">
        <f aca="false">-W220*Inputs!$C$20*1</f>
        <v>-1350</v>
      </c>
      <c r="X146" s="66" t="n">
        <f aca="false">-X220*Inputs!$C$20*1</f>
        <v>-1350</v>
      </c>
      <c r="Y146" s="66" t="n">
        <f aca="false">-Y220*Inputs!$C$20*1</f>
        <v>-1350</v>
      </c>
      <c r="Z146" s="66" t="n">
        <f aca="false">-Z220*Inputs!$C$20*1</f>
        <v>-1350</v>
      </c>
      <c r="AA146" s="66" t="n">
        <f aca="false">-AA220*Inputs!$C$20*1</f>
        <v>-2025</v>
      </c>
      <c r="AB146" s="66" t="n">
        <f aca="false">-AB220*Inputs!$C$20*1</f>
        <v>-2025</v>
      </c>
      <c r="AC146" s="66" t="n">
        <f aca="false">-AC220*Inputs!$C$20*1</f>
        <v>-2025</v>
      </c>
      <c r="AD146" s="66" t="n">
        <f aca="false">-AD220*Inputs!$C$20*1</f>
        <v>-2025</v>
      </c>
      <c r="AE146" s="66" t="n">
        <f aca="false">-AE220*Inputs!$C$20*1</f>
        <v>-2025</v>
      </c>
      <c r="AF146" s="66" t="n">
        <f aca="false">-AF220*Inputs!$C$20*1</f>
        <v>-2025</v>
      </c>
      <c r="AG146" s="66" t="n">
        <f aca="false">-AG220*Inputs!$C$20*1</f>
        <v>-2025</v>
      </c>
      <c r="AH146" s="66" t="n">
        <f aca="false">-AH220*Inputs!$C$20*1</f>
        <v>-2025</v>
      </c>
      <c r="AI146" s="66" t="n">
        <f aca="false">-AI220*Inputs!$C$20*1</f>
        <v>-2025</v>
      </c>
      <c r="AJ146" s="66" t="n">
        <f aca="false">-AJ220*Inputs!$C$20*1</f>
        <v>-2025</v>
      </c>
      <c r="AK146" s="66" t="n">
        <f aca="false">-AK220*Inputs!$C$20*1</f>
        <v>-2025</v>
      </c>
      <c r="AL146" s="66" t="n">
        <f aca="false">-AL220*Inputs!$C$20*1</f>
        <v>-2025</v>
      </c>
    </row>
    <row r="147" customFormat="false" ht="15" hidden="false" customHeight="false" outlineLevel="0" collapsed="false">
      <c r="A147" s="6" t="s">
        <v>319</v>
      </c>
      <c r="C147" s="66" t="n">
        <f aca="false">-Inputs!$C$21*1</f>
        <v>-1500</v>
      </c>
      <c r="D147" s="66" t="n">
        <f aca="false">-Inputs!$C$21*1</f>
        <v>-1500</v>
      </c>
      <c r="E147" s="66" t="n">
        <f aca="false">-Inputs!$C$21*1</f>
        <v>-1500</v>
      </c>
      <c r="F147" s="66" t="n">
        <f aca="false">-Inputs!$C$21*1</f>
        <v>-1500</v>
      </c>
      <c r="G147" s="66" t="n">
        <f aca="false">-Inputs!$C$21*1</f>
        <v>-1500</v>
      </c>
      <c r="H147" s="66" t="n">
        <f aca="false">-Inputs!$C$21*1</f>
        <v>-1500</v>
      </c>
      <c r="I147" s="66" t="n">
        <f aca="false">-Inputs!$C$21*1</f>
        <v>-1500</v>
      </c>
      <c r="J147" s="66" t="n">
        <f aca="false">-Inputs!$C$21*1</f>
        <v>-1500</v>
      </c>
      <c r="K147" s="66" t="n">
        <f aca="false">-Inputs!$C$21*1</f>
        <v>-1500</v>
      </c>
      <c r="L147" s="66" t="n">
        <f aca="false">-Inputs!$C$21*1</f>
        <v>-1500</v>
      </c>
      <c r="M147" s="66" t="n">
        <f aca="false">-Inputs!$C$21*1</f>
        <v>-1500</v>
      </c>
      <c r="N147" s="66" t="n">
        <f aca="false">-Inputs!$C$21*1</f>
        <v>-1500</v>
      </c>
      <c r="O147" s="66" t="n">
        <f aca="false">-Inputs!$C$21*1</f>
        <v>-1500</v>
      </c>
      <c r="P147" s="66" t="n">
        <f aca="false">-Inputs!$C$21*1</f>
        <v>-1500</v>
      </c>
      <c r="Q147" s="66" t="n">
        <f aca="false">-Inputs!$C$21*1</f>
        <v>-1500</v>
      </c>
      <c r="R147" s="66" t="n">
        <f aca="false">-Inputs!$C$21*1</f>
        <v>-1500</v>
      </c>
      <c r="S147" s="66" t="n">
        <f aca="false">-Inputs!$C$21*1</f>
        <v>-1500</v>
      </c>
      <c r="T147" s="66" t="n">
        <f aca="false">-Inputs!$C$21*1</f>
        <v>-1500</v>
      </c>
      <c r="U147" s="66" t="n">
        <f aca="false">-Inputs!$C$21*1</f>
        <v>-1500</v>
      </c>
      <c r="V147" s="66" t="n">
        <f aca="false">-Inputs!$C$21*1</f>
        <v>-1500</v>
      </c>
      <c r="W147" s="66" t="n">
        <f aca="false">-Inputs!$C$21*1</f>
        <v>-1500</v>
      </c>
      <c r="X147" s="66" t="n">
        <f aca="false">-Inputs!$C$21*1</f>
        <v>-1500</v>
      </c>
      <c r="Y147" s="66" t="n">
        <f aca="false">-Inputs!$C$21*1</f>
        <v>-1500</v>
      </c>
      <c r="Z147" s="66" t="n">
        <f aca="false">-Inputs!$C$21*1</f>
        <v>-1500</v>
      </c>
      <c r="AA147" s="66" t="n">
        <f aca="false">-Inputs!$C$21*1</f>
        <v>-1500</v>
      </c>
      <c r="AB147" s="66" t="n">
        <f aca="false">-Inputs!$C$21*1</f>
        <v>-1500</v>
      </c>
      <c r="AC147" s="66" t="n">
        <f aca="false">-Inputs!$C$21*1</f>
        <v>-1500</v>
      </c>
      <c r="AD147" s="66" t="n">
        <f aca="false">-Inputs!$C$21*1</f>
        <v>-1500</v>
      </c>
      <c r="AE147" s="66" t="n">
        <f aca="false">-Inputs!$C$21*1</f>
        <v>-1500</v>
      </c>
      <c r="AF147" s="66" t="n">
        <f aca="false">-Inputs!$C$21*1</f>
        <v>-1500</v>
      </c>
      <c r="AG147" s="66" t="n">
        <f aca="false">-Inputs!$C$21*1</f>
        <v>-1500</v>
      </c>
      <c r="AH147" s="66" t="n">
        <f aca="false">-Inputs!$C$21*1</f>
        <v>-1500</v>
      </c>
      <c r="AI147" s="66" t="n">
        <f aca="false">-Inputs!$C$21*1</f>
        <v>-1500</v>
      </c>
      <c r="AJ147" s="66" t="n">
        <f aca="false">-Inputs!$C$21*1</f>
        <v>-1500</v>
      </c>
      <c r="AK147" s="66" t="n">
        <f aca="false">-Inputs!$C$21*1</f>
        <v>-1500</v>
      </c>
      <c r="AL147" s="66" t="n">
        <f aca="false">-Inputs!$C$21*1</f>
        <v>-1500</v>
      </c>
    </row>
    <row r="148" customFormat="false" ht="15" hidden="false" customHeight="false" outlineLevel="0" collapsed="false">
      <c r="A148" s="6" t="s">
        <v>320</v>
      </c>
      <c r="C148" s="66" t="n">
        <f aca="false">-Inputs!$C$22*1</f>
        <v>-3000</v>
      </c>
      <c r="D148" s="66" t="n">
        <f aca="false">-Inputs!$C$22*1</f>
        <v>-3000</v>
      </c>
      <c r="E148" s="66" t="n">
        <f aca="false">-Inputs!$C$22*1</f>
        <v>-3000</v>
      </c>
      <c r="F148" s="66" t="n">
        <f aca="false">-Inputs!$C$22*1</f>
        <v>-3000</v>
      </c>
      <c r="G148" s="66" t="n">
        <f aca="false">-Inputs!$C$22*1</f>
        <v>-3000</v>
      </c>
      <c r="H148" s="66" t="n">
        <f aca="false">-Inputs!$C$22*1</f>
        <v>-3000</v>
      </c>
      <c r="I148" s="66" t="n">
        <f aca="false">-Inputs!$C$22*1</f>
        <v>-3000</v>
      </c>
      <c r="J148" s="66" t="n">
        <f aca="false">-Inputs!$C$22*1</f>
        <v>-3000</v>
      </c>
      <c r="K148" s="66" t="n">
        <f aca="false">-Inputs!$C$22*1</f>
        <v>-3000</v>
      </c>
      <c r="L148" s="66" t="n">
        <f aca="false">-Inputs!$C$22*1</f>
        <v>-3000</v>
      </c>
      <c r="M148" s="66" t="n">
        <f aca="false">-Inputs!$C$22*1</f>
        <v>-3000</v>
      </c>
      <c r="N148" s="66" t="n">
        <f aca="false">-Inputs!$C$22*1</f>
        <v>-3000</v>
      </c>
      <c r="O148" s="66" t="n">
        <f aca="false">-Inputs!$C$22*1</f>
        <v>-3000</v>
      </c>
      <c r="P148" s="66" t="n">
        <f aca="false">-Inputs!$C$22*1</f>
        <v>-3000</v>
      </c>
      <c r="Q148" s="66" t="n">
        <f aca="false">-Inputs!$C$22*1</f>
        <v>-3000</v>
      </c>
      <c r="R148" s="66" t="n">
        <f aca="false">-Inputs!$C$22*1</f>
        <v>-3000</v>
      </c>
      <c r="S148" s="66" t="n">
        <f aca="false">-Inputs!$C$22*1</f>
        <v>-3000</v>
      </c>
      <c r="T148" s="66" t="n">
        <f aca="false">-Inputs!$C$22*1</f>
        <v>-3000</v>
      </c>
      <c r="U148" s="66" t="n">
        <f aca="false">-Inputs!$C$22*1</f>
        <v>-3000</v>
      </c>
      <c r="V148" s="66" t="n">
        <f aca="false">-Inputs!$C$22*1</f>
        <v>-3000</v>
      </c>
      <c r="W148" s="66" t="n">
        <f aca="false">-Inputs!$C$22*1</f>
        <v>-3000</v>
      </c>
      <c r="X148" s="66" t="n">
        <f aca="false">-Inputs!$C$22*1</f>
        <v>-3000</v>
      </c>
      <c r="Y148" s="66" t="n">
        <f aca="false">-Inputs!$C$22*1</f>
        <v>-3000</v>
      </c>
      <c r="Z148" s="66" t="n">
        <f aca="false">-Inputs!$C$22*1</f>
        <v>-3000</v>
      </c>
      <c r="AA148" s="66" t="n">
        <f aca="false">-Inputs!$C$22*1</f>
        <v>-3000</v>
      </c>
      <c r="AB148" s="66" t="n">
        <f aca="false">-Inputs!$C$22*1</f>
        <v>-3000</v>
      </c>
      <c r="AC148" s="66" t="n">
        <f aca="false">-Inputs!$C$22*1</f>
        <v>-3000</v>
      </c>
      <c r="AD148" s="66" t="n">
        <f aca="false">-Inputs!$C$22*1</f>
        <v>-3000</v>
      </c>
      <c r="AE148" s="66" t="n">
        <f aca="false">-Inputs!$C$22*1</f>
        <v>-3000</v>
      </c>
      <c r="AF148" s="66" t="n">
        <f aca="false">-Inputs!$C$22*1</f>
        <v>-3000</v>
      </c>
      <c r="AG148" s="66" t="n">
        <f aca="false">-Inputs!$C$22*1</f>
        <v>-3000</v>
      </c>
      <c r="AH148" s="66" t="n">
        <f aca="false">-Inputs!$C$22*1</f>
        <v>-3000</v>
      </c>
      <c r="AI148" s="66" t="n">
        <f aca="false">-Inputs!$C$22*1</f>
        <v>-3000</v>
      </c>
      <c r="AJ148" s="66" t="n">
        <f aca="false">-Inputs!$C$22*1</f>
        <v>-3000</v>
      </c>
      <c r="AK148" s="66" t="n">
        <f aca="false">-Inputs!$C$22*1</f>
        <v>-3000</v>
      </c>
      <c r="AL148" s="66" t="n">
        <f aca="false">-Inputs!$C$22*1</f>
        <v>-3000</v>
      </c>
    </row>
    <row r="149" customFormat="false" ht="15" hidden="false" customHeight="false" outlineLevel="0" collapsed="false">
      <c r="A149" s="111" t="s">
        <v>76</v>
      </c>
      <c r="C149" s="67" t="n">
        <f aca="false">C144+C145+C146+C147+C148</f>
        <v>-75150</v>
      </c>
      <c r="D149" s="67" t="n">
        <f aca="false">D144+D145+D146+D147+D148</f>
        <v>-75150</v>
      </c>
      <c r="E149" s="67" t="n">
        <f aca="false">E144+E145+E146+E147+E148</f>
        <v>-75150</v>
      </c>
      <c r="F149" s="67" t="n">
        <f aca="false">F144+F145+F146+F147+F148</f>
        <v>-75150</v>
      </c>
      <c r="G149" s="67" t="n">
        <f aca="false">G144+G145+G146+G147+G148</f>
        <v>-75150</v>
      </c>
      <c r="H149" s="67" t="n">
        <f aca="false">H144+H145+H146+H147+H148</f>
        <v>-75150</v>
      </c>
      <c r="I149" s="67" t="n">
        <f aca="false">I144+I145+I146+I147+I148</f>
        <v>-75150</v>
      </c>
      <c r="J149" s="67" t="n">
        <f aca="false">J144+J145+J146+J147+J148</f>
        <v>-75150</v>
      </c>
      <c r="K149" s="67" t="n">
        <f aca="false">K144+K145+K146+K147+K148</f>
        <v>-75150</v>
      </c>
      <c r="L149" s="67" t="n">
        <f aca="false">L144+L145+L146+L147+L148</f>
        <v>-75150</v>
      </c>
      <c r="M149" s="67" t="n">
        <f aca="false">M144+M145+M146+M147+M148</f>
        <v>-75150</v>
      </c>
      <c r="N149" s="67" t="n">
        <f aca="false">N144+N145+N146+N147+N148</f>
        <v>-75150</v>
      </c>
      <c r="O149" s="67" t="n">
        <f aca="false">O144+O145+O146+O147+O148</f>
        <v>-111780</v>
      </c>
      <c r="P149" s="67" t="n">
        <f aca="false">P144+P145+P146+P147+P148</f>
        <v>-111780</v>
      </c>
      <c r="Q149" s="67" t="n">
        <f aca="false">Q144+Q145+Q146+Q147+Q148</f>
        <v>-111780</v>
      </c>
      <c r="R149" s="67" t="n">
        <f aca="false">R144+R145+R146+R147+R148</f>
        <v>-111780</v>
      </c>
      <c r="S149" s="67" t="n">
        <f aca="false">S144+S145+S146+S147+S148</f>
        <v>-111780</v>
      </c>
      <c r="T149" s="67" t="n">
        <f aca="false">T144+T145+T146+T147+T148</f>
        <v>-111780</v>
      </c>
      <c r="U149" s="67" t="n">
        <f aca="false">U144+U145+U146+U147+U148</f>
        <v>-111780</v>
      </c>
      <c r="V149" s="67" t="n">
        <f aca="false">V144+V145+V146+V147+V148</f>
        <v>-111780</v>
      </c>
      <c r="W149" s="67" t="n">
        <f aca="false">W144+W145+W146+W147+W148</f>
        <v>-111780</v>
      </c>
      <c r="X149" s="67" t="n">
        <f aca="false">X144+X145+X146+X147+X148</f>
        <v>-111780</v>
      </c>
      <c r="Y149" s="67" t="n">
        <f aca="false">Y144+Y145+Y146+Y147+Y148</f>
        <v>-111780</v>
      </c>
      <c r="Z149" s="67" t="n">
        <f aca="false">Z144+Z145+Z146+Z147+Z148</f>
        <v>-111780</v>
      </c>
      <c r="AA149" s="67" t="n">
        <f aca="false">AA144+AA145+AA146+AA147+AA148</f>
        <v>-168319.8</v>
      </c>
      <c r="AB149" s="67" t="n">
        <f aca="false">AB144+AB145+AB146+AB147+AB148</f>
        <v>-168319.8</v>
      </c>
      <c r="AC149" s="67" t="n">
        <f aca="false">AC144+AC145+AC146+AC147+AC148</f>
        <v>-168319.8</v>
      </c>
      <c r="AD149" s="67" t="n">
        <f aca="false">AD144+AD145+AD146+AD147+AD148</f>
        <v>-168319.8</v>
      </c>
      <c r="AE149" s="67" t="n">
        <f aca="false">AE144+AE145+AE146+AE147+AE148</f>
        <v>-168319.8</v>
      </c>
      <c r="AF149" s="67" t="n">
        <f aca="false">AF144+AF145+AF146+AF147+AF148</f>
        <v>-168319.8</v>
      </c>
      <c r="AG149" s="67" t="n">
        <f aca="false">AG144+AG145+AG146+AG147+AG148</f>
        <v>-168319.8</v>
      </c>
      <c r="AH149" s="67" t="n">
        <f aca="false">AH144+AH145+AH146+AH147+AH148</f>
        <v>-168319.8</v>
      </c>
      <c r="AI149" s="67" t="n">
        <f aca="false">AI144+AI145+AI146+AI147+AI148</f>
        <v>-168319.8</v>
      </c>
      <c r="AJ149" s="67" t="n">
        <f aca="false">AJ144+AJ145+AJ146+AJ147+AJ148</f>
        <v>-168319.8</v>
      </c>
      <c r="AK149" s="67" t="n">
        <f aca="false">AK144+AK145+AK146+AK147+AK148</f>
        <v>-168319.8</v>
      </c>
      <c r="AL149" s="67" t="n">
        <f aca="false">AL144+AL145+AL146+AL147+AL148</f>
        <v>-168319.8</v>
      </c>
    </row>
    <row r="150" customFormat="false" ht="15" hidden="false" customHeight="false" outlineLevel="0" collapsed="false">
      <c r="A150" s="111" t="s">
        <v>48</v>
      </c>
      <c r="C150" s="67" t="n">
        <f aca="false">C141+C149</f>
        <v>-71272.6902777778</v>
      </c>
      <c r="D150" s="67" t="n">
        <f aca="false">D141+D149</f>
        <v>-68775.5341875</v>
      </c>
      <c r="E150" s="67" t="n">
        <f aca="false">E141+E149</f>
        <v>-66340.5225533681</v>
      </c>
      <c r="F150" s="67" t="n">
        <f aca="false">F141+F149</f>
        <v>-63966.1102973616</v>
      </c>
      <c r="G150" s="67" t="n">
        <f aca="false">G141+G149</f>
        <v>-61650.7907124094</v>
      </c>
      <c r="H150" s="67" t="n">
        <f aca="false">H141+H149</f>
        <v>-59393.0945107955</v>
      </c>
      <c r="I150" s="67" t="n">
        <f aca="false">I141+I149</f>
        <v>-57191.5888961248</v>
      </c>
      <c r="J150" s="67" t="n">
        <f aca="false">J141+J149</f>
        <v>-55044.8766582669</v>
      </c>
      <c r="K150" s="67" t="n">
        <f aca="false">K141+K149</f>
        <v>-52951.5952907079</v>
      </c>
      <c r="L150" s="67" t="n">
        <f aca="false">L141+L149</f>
        <v>-50910.4161297599</v>
      </c>
      <c r="M150" s="67" t="n">
        <f aca="false">M141+M149</f>
        <v>-48920.0435150849</v>
      </c>
      <c r="N150" s="67" t="n">
        <f aca="false">N141+N149</f>
        <v>-46979.2139710086</v>
      </c>
      <c r="O150" s="67" t="n">
        <f aca="false">O141+O149</f>
        <v>-81355.7095636645</v>
      </c>
      <c r="P150" s="67" t="n">
        <f aca="false">P141+P149</f>
        <v>-78797.3176795795</v>
      </c>
      <c r="Q150" s="67" t="n">
        <f aca="false">Q141+Q149</f>
        <v>-76302.6177496131</v>
      </c>
      <c r="R150" s="67" t="n">
        <f aca="false">R141+R149</f>
        <v>-73870.0255102018</v>
      </c>
      <c r="S150" s="67" t="n">
        <f aca="false">S141+S149</f>
        <v>-71497.9960633127</v>
      </c>
      <c r="T150" s="67" t="n">
        <f aca="false">T141+T149</f>
        <v>-69185.0228995364</v>
      </c>
      <c r="U150" s="67" t="n">
        <f aca="false">U141+U149</f>
        <v>-66929.636945387</v>
      </c>
      <c r="V150" s="67" t="n">
        <f aca="false">V141+V149</f>
        <v>-64730.4056342078</v>
      </c>
      <c r="W150" s="67" t="n">
        <f aca="false">W141+W149</f>
        <v>-62585.9320001011</v>
      </c>
      <c r="X150" s="67" t="n">
        <f aca="false">X141+X149</f>
        <v>-60494.8537943113</v>
      </c>
      <c r="Y150" s="67" t="n">
        <f aca="false">Y141+Y149</f>
        <v>-58455.8426235065</v>
      </c>
      <c r="Z150" s="67" t="n">
        <f aca="false">Z141+Z149</f>
        <v>-56467.6031094169</v>
      </c>
      <c r="AA150" s="67" t="n">
        <f aca="false">AA141+AA149</f>
        <v>-110603.929337368</v>
      </c>
      <c r="AB150" s="67" t="n">
        <f aca="false">AB141+AB149</f>
        <v>-107795.563355892</v>
      </c>
      <c r="AC150" s="67" t="n">
        <f aca="false">AC141+AC149</f>
        <v>-105057.132558478</v>
      </c>
      <c r="AD150" s="67" t="n">
        <f aca="false">AD141+AD149</f>
        <v>-102386.896784488</v>
      </c>
      <c r="AE150" s="67" t="n">
        <f aca="false">AE141+AE149</f>
        <v>-99783.1591307335</v>
      </c>
      <c r="AF150" s="67" t="n">
        <f aca="false">AF141+AF149</f>
        <v>-97244.2648774309</v>
      </c>
      <c r="AG150" s="67" t="n">
        <f aca="false">AG141+AG149</f>
        <v>-94768.6004407959</v>
      </c>
      <c r="AH150" s="67" t="n">
        <f aca="false">AH141+AH149</f>
        <v>-92354.5923516018</v>
      </c>
      <c r="AI150" s="67" t="n">
        <f aca="false">AI141+AI149</f>
        <v>-90000.7062590667</v>
      </c>
      <c r="AJ150" s="67" t="n">
        <f aca="false">AJ141+AJ149</f>
        <v>-87705.4459594414</v>
      </c>
      <c r="AK150" s="67" t="n">
        <f aca="false">AK141+AK149</f>
        <v>-85467.3524486851</v>
      </c>
      <c r="AL150" s="67" t="n">
        <f aca="false">AL141+AL149</f>
        <v>-83285.0029986349</v>
      </c>
    </row>
    <row r="152" customFormat="false" ht="15.75" hidden="false" customHeight="true" outlineLevel="0" collapsed="false">
      <c r="A152" s="7" t="s">
        <v>384</v>
      </c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customFormat="false" ht="15" hidden="false" customHeight="false" outlineLevel="0" collapsed="false">
      <c r="A153" s="4" t="s">
        <v>78</v>
      </c>
      <c r="C153" s="72" t="n">
        <f aca="false">C150+C164</f>
        <v>-71828.2458333333</v>
      </c>
      <c r="D153" s="72" t="n">
        <f aca="false">D150+D164</f>
        <v>-69331.0897430556</v>
      </c>
      <c r="E153" s="72" t="n">
        <f aca="false">E150+E164</f>
        <v>-66896.0781089236</v>
      </c>
      <c r="F153" s="72" t="n">
        <f aca="false">F150+F164</f>
        <v>-64521.6658529172</v>
      </c>
      <c r="G153" s="72" t="n">
        <f aca="false">G150+G164</f>
        <v>-62206.346267965</v>
      </c>
      <c r="H153" s="72" t="n">
        <f aca="false">H150+H164</f>
        <v>-59948.650066351</v>
      </c>
      <c r="I153" s="72" t="n">
        <f aca="false">I150+I164</f>
        <v>-57747.1444516804</v>
      </c>
      <c r="J153" s="72" t="n">
        <f aca="false">J150+J164</f>
        <v>-55600.4322138224</v>
      </c>
      <c r="K153" s="72" t="n">
        <f aca="false">K150+K164</f>
        <v>-53507.1508462635</v>
      </c>
      <c r="L153" s="72" t="n">
        <f aca="false">L150+L164</f>
        <v>-51465.9716853155</v>
      </c>
      <c r="M153" s="72" t="n">
        <f aca="false">M150+M164</f>
        <v>-49475.5990706404</v>
      </c>
      <c r="N153" s="72" t="n">
        <f aca="false">N150+N164</f>
        <v>-47534.7695265641</v>
      </c>
      <c r="O153" s="72" t="n">
        <f aca="false">O150+O164</f>
        <v>-81911.2651192201</v>
      </c>
      <c r="P153" s="72" t="n">
        <f aca="false">P150+P164</f>
        <v>-79352.8732351351</v>
      </c>
      <c r="Q153" s="72" t="n">
        <f aca="false">Q150+Q164</f>
        <v>-76858.1733051687</v>
      </c>
      <c r="R153" s="72" t="n">
        <f aca="false">R150+R164</f>
        <v>-74425.5810657574</v>
      </c>
      <c r="S153" s="72" t="n">
        <f aca="false">S150+S164</f>
        <v>-72053.5516188682</v>
      </c>
      <c r="T153" s="72" t="n">
        <f aca="false">T150+T164</f>
        <v>-69740.5784550919</v>
      </c>
      <c r="U153" s="72" t="n">
        <f aca="false">U150+U164</f>
        <v>-67485.1925009425</v>
      </c>
      <c r="V153" s="72" t="n">
        <f aca="false">V150+V164</f>
        <v>-65285.9611897633</v>
      </c>
      <c r="W153" s="72" t="n">
        <f aca="false">W150+W164</f>
        <v>-63141.4875556567</v>
      </c>
      <c r="X153" s="72" t="n">
        <f aca="false">X150+X164</f>
        <v>-61050.4093498668</v>
      </c>
      <c r="Y153" s="72" t="n">
        <f aca="false">Y150+Y164</f>
        <v>-59011.3981790621</v>
      </c>
      <c r="Z153" s="72" t="n">
        <f aca="false">Z150+Z164</f>
        <v>-57023.1586649725</v>
      </c>
      <c r="AA153" s="72" t="n">
        <f aca="false">AA150+AA164</f>
        <v>-111159.484892924</v>
      </c>
      <c r="AB153" s="72" t="n">
        <f aca="false">AB150+AB164</f>
        <v>-108351.118911447</v>
      </c>
      <c r="AC153" s="72" t="n">
        <f aca="false">AC150+AC164</f>
        <v>-105612.688114033</v>
      </c>
      <c r="AD153" s="72" t="n">
        <f aca="false">AD150+AD164</f>
        <v>-102942.452340044</v>
      </c>
      <c r="AE153" s="72" t="n">
        <f aca="false">AE150+AE164</f>
        <v>-100338.714686289</v>
      </c>
      <c r="AF153" s="72" t="n">
        <f aca="false">AF150+AF164</f>
        <v>-97799.8204329865</v>
      </c>
      <c r="AG153" s="72" t="n">
        <f aca="false">AG150+AG164</f>
        <v>-95324.1559963515</v>
      </c>
      <c r="AH153" s="72" t="n">
        <f aca="false">AH150+AH164</f>
        <v>-92910.1479071573</v>
      </c>
      <c r="AI153" s="72" t="n">
        <f aca="false">AI150+AI164</f>
        <v>-90556.2618146223</v>
      </c>
      <c r="AJ153" s="72" t="n">
        <f aca="false">AJ150+AJ164</f>
        <v>-88261.0015149969</v>
      </c>
      <c r="AK153" s="72" t="n">
        <f aca="false">AK150+AK164</f>
        <v>-86022.9080042407</v>
      </c>
      <c r="AL153" s="72" t="n">
        <f aca="false">AL150+AL164</f>
        <v>-83840.5585541905</v>
      </c>
    </row>
    <row r="154" customFormat="false" ht="15" hidden="false" customHeight="false" outlineLevel="0" collapsed="false">
      <c r="A154" s="6" t="s">
        <v>385</v>
      </c>
      <c r="C154" s="66" t="n">
        <f aca="false">-(C169+C170+C172)/2*Inputs!$C$48/12</f>
        <v>-0</v>
      </c>
      <c r="D154" s="66" t="n">
        <f aca="false">-(D169+D170+D172)/2*Inputs!$C$48/12</f>
        <v>-0</v>
      </c>
      <c r="E154" s="66" t="n">
        <f aca="false">-(E169+E170+E172)/2*Inputs!$C$48/12</f>
        <v>-0</v>
      </c>
      <c r="F154" s="66" t="n">
        <f aca="false">-(F169+F170+F172)/2*Inputs!$C$48/12</f>
        <v>-0</v>
      </c>
      <c r="G154" s="66" t="n">
        <f aca="false">-(G169+G170+G172)/2*Inputs!$C$48/12</f>
        <v>-0</v>
      </c>
      <c r="H154" s="66" t="n">
        <f aca="false">-(H169+H170+H172)/2*Inputs!$C$48/12</f>
        <v>-0</v>
      </c>
      <c r="I154" s="66" t="n">
        <f aca="false">-(I169+I170+I172)/2*Inputs!$C$48/12</f>
        <v>-0</v>
      </c>
      <c r="J154" s="66" t="n">
        <f aca="false">-(J169+J170+J172)/2*Inputs!$C$48/12</f>
        <v>-0</v>
      </c>
      <c r="K154" s="66" t="n">
        <f aca="false">-(K169+K170+K172)/2*Inputs!$C$48/12</f>
        <v>-0</v>
      </c>
      <c r="L154" s="66" t="n">
        <f aca="false">-(L169+L170+L172)/2*Inputs!$C$48/12</f>
        <v>-0</v>
      </c>
      <c r="M154" s="66" t="n">
        <f aca="false">-(M169+M170+M172)/2*Inputs!$C$48/12</f>
        <v>-0</v>
      </c>
      <c r="N154" s="66" t="n">
        <f aca="false">-(N169+N170+N172)/2*Inputs!$C$48/12</f>
        <v>-0</v>
      </c>
      <c r="O154" s="66" t="n">
        <f aca="false">-(O169+O170+O172)/2*Inputs!$C$48/12</f>
        <v>-0</v>
      </c>
      <c r="P154" s="66" t="n">
        <f aca="false">-(P169+P170+P172)/2*Inputs!$C$48/12</f>
        <v>-0</v>
      </c>
      <c r="Q154" s="66" t="n">
        <f aca="false">-(Q169+Q170+Q172)/2*Inputs!$C$48/12</f>
        <v>-0</v>
      </c>
      <c r="R154" s="66" t="n">
        <f aca="false">-(R169+R170+R172)/2*Inputs!$C$48/12</f>
        <v>-0</v>
      </c>
      <c r="S154" s="66" t="n">
        <f aca="false">-(S169+S170+S172)/2*Inputs!$C$48/12</f>
        <v>-0</v>
      </c>
      <c r="T154" s="66" t="n">
        <f aca="false">-(T169+T170+T172)/2*Inputs!$C$48/12</f>
        <v>-0</v>
      </c>
      <c r="U154" s="66" t="n">
        <f aca="false">-(U169+U170+U172)/2*Inputs!$C$48/12</f>
        <v>-0</v>
      </c>
      <c r="V154" s="66" t="n">
        <f aca="false">-(V169+V170+V172)/2*Inputs!$C$48/12</f>
        <v>-0</v>
      </c>
      <c r="W154" s="66" t="n">
        <f aca="false">-(W169+W170+W172)/2*Inputs!$C$48/12</f>
        <v>-0</v>
      </c>
      <c r="X154" s="66" t="n">
        <f aca="false">-(X169+X170+X172)/2*Inputs!$C$48/12</f>
        <v>-0</v>
      </c>
      <c r="Y154" s="66" t="n">
        <f aca="false">-(Y169+Y170+Y172)/2*Inputs!$C$48/12</f>
        <v>-0</v>
      </c>
      <c r="Z154" s="66" t="n">
        <f aca="false">-(Z169+Z170+Z172)/2*Inputs!$C$48/12</f>
        <v>-0</v>
      </c>
      <c r="AA154" s="66" t="n">
        <f aca="false">-(AA169+AA170+AA172)/2*Inputs!$C$48/12</f>
        <v>-0</v>
      </c>
      <c r="AB154" s="66" t="n">
        <f aca="false">-(AB169+AB170+AB172)/2*Inputs!$C$48/12</f>
        <v>-0</v>
      </c>
      <c r="AC154" s="66" t="n">
        <f aca="false">-(AC169+AC170+AC172)/2*Inputs!$C$48/12</f>
        <v>-0</v>
      </c>
      <c r="AD154" s="66" t="n">
        <f aca="false">-(AD169+AD170+AD172)/2*Inputs!$C$48/12</f>
        <v>-0</v>
      </c>
      <c r="AE154" s="66" t="n">
        <f aca="false">-(AE169+AE170+AE172)/2*Inputs!$C$48/12</f>
        <v>-0</v>
      </c>
      <c r="AF154" s="66" t="n">
        <f aca="false">-(AF169+AF170+AF172)/2*Inputs!$C$48/12</f>
        <v>-0</v>
      </c>
      <c r="AG154" s="66" t="n">
        <f aca="false">-(AG169+AG170+AG172)/2*Inputs!$C$48/12</f>
        <v>-0</v>
      </c>
      <c r="AH154" s="66" t="n">
        <f aca="false">-(AH169+AH170+AH172)/2*Inputs!$C$48/12</f>
        <v>-0</v>
      </c>
      <c r="AI154" s="66" t="n">
        <f aca="false">-(AI169+AI170+AI172)/2*Inputs!$C$48/12</f>
        <v>-0</v>
      </c>
      <c r="AJ154" s="66" t="n">
        <f aca="false">-(AJ169+AJ170+AJ172)/2*Inputs!$C$48/12</f>
        <v>-0</v>
      </c>
      <c r="AK154" s="66" t="n">
        <f aca="false">-(AK169+AK170+AK172)/2*Inputs!$C$48/12</f>
        <v>-0</v>
      </c>
      <c r="AL154" s="66" t="n">
        <f aca="false">-(AL169+AL170+AL172)/2*Inputs!$C$48/12</f>
        <v>-0</v>
      </c>
    </row>
    <row r="155" customFormat="false" ht="15" hidden="false" customHeight="false" outlineLevel="0" collapsed="false">
      <c r="A155" s="111" t="s">
        <v>80</v>
      </c>
      <c r="C155" s="67" t="n">
        <f aca="false">C153+C154</f>
        <v>-71828.2458333333</v>
      </c>
      <c r="D155" s="67" t="n">
        <f aca="false">D153+D154</f>
        <v>-69331.0897430556</v>
      </c>
      <c r="E155" s="67" t="n">
        <f aca="false">E153+E154</f>
        <v>-66896.0781089236</v>
      </c>
      <c r="F155" s="67" t="n">
        <f aca="false">F153+F154</f>
        <v>-64521.6658529172</v>
      </c>
      <c r="G155" s="67" t="n">
        <f aca="false">G153+G154</f>
        <v>-62206.346267965</v>
      </c>
      <c r="H155" s="67" t="n">
        <f aca="false">H153+H154</f>
        <v>-59948.650066351</v>
      </c>
      <c r="I155" s="67" t="n">
        <f aca="false">I153+I154</f>
        <v>-57747.1444516804</v>
      </c>
      <c r="J155" s="67" t="n">
        <f aca="false">J153+J154</f>
        <v>-55600.4322138224</v>
      </c>
      <c r="K155" s="67" t="n">
        <f aca="false">K153+K154</f>
        <v>-53507.1508462635</v>
      </c>
      <c r="L155" s="67" t="n">
        <f aca="false">L153+L154</f>
        <v>-51465.9716853155</v>
      </c>
      <c r="M155" s="67" t="n">
        <f aca="false">M153+M154</f>
        <v>-49475.5990706404</v>
      </c>
      <c r="N155" s="67" t="n">
        <f aca="false">N153+N154</f>
        <v>-47534.7695265641</v>
      </c>
      <c r="O155" s="67" t="n">
        <f aca="false">O153+O154</f>
        <v>-81911.2651192201</v>
      </c>
      <c r="P155" s="67" t="n">
        <f aca="false">P153+P154</f>
        <v>-79352.8732351351</v>
      </c>
      <c r="Q155" s="67" t="n">
        <f aca="false">Q153+Q154</f>
        <v>-76858.1733051687</v>
      </c>
      <c r="R155" s="67" t="n">
        <f aca="false">R153+R154</f>
        <v>-74425.5810657574</v>
      </c>
      <c r="S155" s="67" t="n">
        <f aca="false">S153+S154</f>
        <v>-72053.5516188682</v>
      </c>
      <c r="T155" s="67" t="n">
        <f aca="false">T153+T154</f>
        <v>-69740.5784550919</v>
      </c>
      <c r="U155" s="67" t="n">
        <f aca="false">U153+U154</f>
        <v>-67485.1925009425</v>
      </c>
      <c r="V155" s="67" t="n">
        <f aca="false">V153+V154</f>
        <v>-65285.9611897633</v>
      </c>
      <c r="W155" s="67" t="n">
        <f aca="false">W153+W154</f>
        <v>-63141.4875556567</v>
      </c>
      <c r="X155" s="67" t="n">
        <f aca="false">X153+X154</f>
        <v>-61050.4093498668</v>
      </c>
      <c r="Y155" s="67" t="n">
        <f aca="false">Y153+Y154</f>
        <v>-59011.3981790621</v>
      </c>
      <c r="Z155" s="67" t="n">
        <f aca="false">Z153+Z154</f>
        <v>-57023.1586649725</v>
      </c>
      <c r="AA155" s="67" t="n">
        <f aca="false">AA153+AA154</f>
        <v>-111159.484892924</v>
      </c>
      <c r="AB155" s="67" t="n">
        <f aca="false">AB153+AB154</f>
        <v>-108351.118911447</v>
      </c>
      <c r="AC155" s="67" t="n">
        <f aca="false">AC153+AC154</f>
        <v>-105612.688114033</v>
      </c>
      <c r="AD155" s="67" t="n">
        <f aca="false">AD153+AD154</f>
        <v>-102942.452340044</v>
      </c>
      <c r="AE155" s="67" t="n">
        <f aca="false">AE153+AE154</f>
        <v>-100338.714686289</v>
      </c>
      <c r="AF155" s="67" t="n">
        <f aca="false">AF153+AF154</f>
        <v>-97799.8204329865</v>
      </c>
      <c r="AG155" s="67" t="n">
        <f aca="false">AG153+AG154</f>
        <v>-95324.1559963515</v>
      </c>
      <c r="AH155" s="67" t="n">
        <f aca="false">AH153+AH154</f>
        <v>-92910.1479071573</v>
      </c>
      <c r="AI155" s="67" t="n">
        <f aca="false">AI153+AI154</f>
        <v>-90556.2618146223</v>
      </c>
      <c r="AJ155" s="67" t="n">
        <f aca="false">AJ153+AJ154</f>
        <v>-88261.0015149969</v>
      </c>
      <c r="AK155" s="67" t="n">
        <f aca="false">AK153+AK154</f>
        <v>-86022.9080042407</v>
      </c>
      <c r="AL155" s="67" t="n">
        <f aca="false">AL153+AL154</f>
        <v>-83840.5585541905</v>
      </c>
    </row>
    <row r="156" customFormat="false" ht="15" hidden="false" customHeight="false" outlineLevel="0" collapsed="false">
      <c r="A156" s="119" t="s">
        <v>386</v>
      </c>
      <c r="C156" s="66" t="n">
        <f aca="false">C155</f>
        <v>-71828.2458333333</v>
      </c>
      <c r="D156" s="66" t="n">
        <f aca="false">C156+D155</f>
        <v>-141159.335576389</v>
      </c>
      <c r="E156" s="66" t="n">
        <f aca="false">D156+E155</f>
        <v>-208055.413685313</v>
      </c>
      <c r="F156" s="66" t="n">
        <f aca="false">E156+F155</f>
        <v>-272577.07953823</v>
      </c>
      <c r="G156" s="66" t="n">
        <f aca="false">F156+G155</f>
        <v>-334783.425806195</v>
      </c>
      <c r="H156" s="66" t="n">
        <f aca="false">G156+H155</f>
        <v>-394732.075872546</v>
      </c>
      <c r="I156" s="66" t="n">
        <f aca="false">H156+I155</f>
        <v>-452479.220324226</v>
      </c>
      <c r="J156" s="66" t="n">
        <f aca="false">I156+J155</f>
        <v>-508079.652538049</v>
      </c>
      <c r="K156" s="66" t="n">
        <f aca="false">J156+K155</f>
        <v>-561586.803384312</v>
      </c>
      <c r="L156" s="66" t="n">
        <f aca="false">K156+L155</f>
        <v>-613052.775069627</v>
      </c>
      <c r="M156" s="66" t="n">
        <f aca="false">L156+M155</f>
        <v>-662528.374140268</v>
      </c>
      <c r="N156" s="66" t="n">
        <f aca="false">M156+N155</f>
        <v>-710063.143666832</v>
      </c>
      <c r="O156" s="66" t="n">
        <f aca="false">N156+O155</f>
        <v>-791974.408786052</v>
      </c>
      <c r="P156" s="66" t="n">
        <f aca="false">O156+P155</f>
        <v>-871327.282021187</v>
      </c>
      <c r="Q156" s="66" t="n">
        <f aca="false">P156+Q155</f>
        <v>-948185.455326356</v>
      </c>
      <c r="R156" s="66" t="n">
        <f aca="false">Q156+R155</f>
        <v>-1022611.03639211</v>
      </c>
      <c r="S156" s="66" t="n">
        <f aca="false">R156+S155</f>
        <v>-1094664.58801098</v>
      </c>
      <c r="T156" s="66" t="n">
        <f aca="false">S156+T155</f>
        <v>-1164405.16646607</v>
      </c>
      <c r="U156" s="66" t="n">
        <f aca="false">T156+U155</f>
        <v>-1231890.35896702</v>
      </c>
      <c r="V156" s="66" t="n">
        <f aca="false">U156+V155</f>
        <v>-1297176.32015678</v>
      </c>
      <c r="W156" s="66" t="n">
        <f aca="false">V156+W155</f>
        <v>-1360317.80771244</v>
      </c>
      <c r="X156" s="66" t="n">
        <f aca="false">W156+X155</f>
        <v>-1421368.2170623</v>
      </c>
      <c r="Y156" s="66" t="n">
        <f aca="false">X156+Y155</f>
        <v>-1480379.61524137</v>
      </c>
      <c r="Z156" s="66" t="n">
        <f aca="false">Y156+Z155</f>
        <v>-1537402.77390634</v>
      </c>
      <c r="AA156" s="66" t="n">
        <f aca="false">Z156+AA155</f>
        <v>-1648562.25879926</v>
      </c>
      <c r="AB156" s="66" t="n">
        <f aca="false">AA156+AB155</f>
        <v>-1756913.37771071</v>
      </c>
      <c r="AC156" s="66" t="n">
        <f aca="false">AB156+AC155</f>
        <v>-1862526.06582474</v>
      </c>
      <c r="AD156" s="66" t="n">
        <f aca="false">AC156+AD155</f>
        <v>-1965468.51816479</v>
      </c>
      <c r="AE156" s="66" t="n">
        <f aca="false">AD156+AE155</f>
        <v>-2065807.23285107</v>
      </c>
      <c r="AF156" s="66" t="n">
        <f aca="false">AE156+AF155</f>
        <v>-2163607.05328406</v>
      </c>
      <c r="AG156" s="66" t="n">
        <f aca="false">AF156+AG155</f>
        <v>-2258931.20928041</v>
      </c>
      <c r="AH156" s="66" t="n">
        <f aca="false">AG156+AH155</f>
        <v>-2351841.35718757</v>
      </c>
      <c r="AI156" s="66" t="n">
        <f aca="false">AH156+AI155</f>
        <v>-2442397.61900219</v>
      </c>
      <c r="AJ156" s="66" t="n">
        <f aca="false">AI156+AJ155</f>
        <v>-2530658.62051719</v>
      </c>
      <c r="AK156" s="66" t="n">
        <f aca="false">AJ156+AK155</f>
        <v>-2616681.52852143</v>
      </c>
      <c r="AL156" s="66" t="n">
        <f aca="false">AK156+AL155</f>
        <v>-2700522.08707562</v>
      </c>
    </row>
    <row r="157" customFormat="false" ht="15" hidden="false" customHeight="false" outlineLevel="0" collapsed="false">
      <c r="A157" s="119" t="s">
        <v>387</v>
      </c>
      <c r="C157" s="66" t="n">
        <f aca="false">MAX(0,C156)</f>
        <v>0</v>
      </c>
      <c r="D157" s="66" t="n">
        <f aca="false">MAX(C157,D156)</f>
        <v>0</v>
      </c>
      <c r="E157" s="66" t="n">
        <f aca="false">MAX(D157,E156)</f>
        <v>0</v>
      </c>
      <c r="F157" s="66" t="n">
        <f aca="false">MAX(E157,F156)</f>
        <v>0</v>
      </c>
      <c r="G157" s="66" t="n">
        <f aca="false">MAX(F157,G156)</f>
        <v>0</v>
      </c>
      <c r="H157" s="66" t="n">
        <f aca="false">MAX(G157,H156)</f>
        <v>0</v>
      </c>
      <c r="I157" s="66" t="n">
        <f aca="false">MAX(H157,I156)</f>
        <v>0</v>
      </c>
      <c r="J157" s="66" t="n">
        <f aca="false">MAX(I157,J156)</f>
        <v>0</v>
      </c>
      <c r="K157" s="66" t="n">
        <f aca="false">MAX(J157,K156)</f>
        <v>0</v>
      </c>
      <c r="L157" s="66" t="n">
        <f aca="false">MAX(K157,L156)</f>
        <v>0</v>
      </c>
      <c r="M157" s="66" t="n">
        <f aca="false">MAX(L157,M156)</f>
        <v>0</v>
      </c>
      <c r="N157" s="66" t="n">
        <f aca="false">MAX(M157,N156)</f>
        <v>0</v>
      </c>
      <c r="O157" s="66" t="n">
        <f aca="false">MAX(N157,O156)</f>
        <v>0</v>
      </c>
      <c r="P157" s="66" t="n">
        <f aca="false">MAX(O157,P156)</f>
        <v>0</v>
      </c>
      <c r="Q157" s="66" t="n">
        <f aca="false">MAX(P157,Q156)</f>
        <v>0</v>
      </c>
      <c r="R157" s="66" t="n">
        <f aca="false">MAX(Q157,R156)</f>
        <v>0</v>
      </c>
      <c r="S157" s="66" t="n">
        <f aca="false">MAX(R157,S156)</f>
        <v>0</v>
      </c>
      <c r="T157" s="66" t="n">
        <f aca="false">MAX(S157,T156)</f>
        <v>0</v>
      </c>
      <c r="U157" s="66" t="n">
        <f aca="false">MAX(T157,U156)</f>
        <v>0</v>
      </c>
      <c r="V157" s="66" t="n">
        <f aca="false">MAX(U157,V156)</f>
        <v>0</v>
      </c>
      <c r="W157" s="66" t="n">
        <f aca="false">MAX(V157,W156)</f>
        <v>0</v>
      </c>
      <c r="X157" s="66" t="n">
        <f aca="false">MAX(W157,X156)</f>
        <v>0</v>
      </c>
      <c r="Y157" s="66" t="n">
        <f aca="false">MAX(X157,Y156)</f>
        <v>0</v>
      </c>
      <c r="Z157" s="66" t="n">
        <f aca="false">MAX(Y157,Z156)</f>
        <v>0</v>
      </c>
      <c r="AA157" s="66" t="n">
        <f aca="false">MAX(Z157,AA156)</f>
        <v>0</v>
      </c>
      <c r="AB157" s="66" t="n">
        <f aca="false">MAX(AA157,AB156)</f>
        <v>0</v>
      </c>
      <c r="AC157" s="66" t="n">
        <f aca="false">MAX(AB157,AC156)</f>
        <v>0</v>
      </c>
      <c r="AD157" s="66" t="n">
        <f aca="false">MAX(AC157,AD156)</f>
        <v>0</v>
      </c>
      <c r="AE157" s="66" t="n">
        <f aca="false">MAX(AD157,AE156)</f>
        <v>0</v>
      </c>
      <c r="AF157" s="66" t="n">
        <f aca="false">MAX(AE157,AF156)</f>
        <v>0</v>
      </c>
      <c r="AG157" s="66" t="n">
        <f aca="false">MAX(AF157,AG156)</f>
        <v>0</v>
      </c>
      <c r="AH157" s="66" t="n">
        <f aca="false">MAX(AG157,AH156)</f>
        <v>0</v>
      </c>
      <c r="AI157" s="66" t="n">
        <f aca="false">MAX(AH157,AI156)</f>
        <v>0</v>
      </c>
      <c r="AJ157" s="66" t="n">
        <f aca="false">MAX(AI157,AJ156)</f>
        <v>0</v>
      </c>
      <c r="AK157" s="66" t="n">
        <f aca="false">MAX(AJ157,AK156)</f>
        <v>0</v>
      </c>
      <c r="AL157" s="66" t="n">
        <f aca="false">MAX(AK157,AL156)</f>
        <v>0</v>
      </c>
    </row>
    <row r="158" customFormat="false" ht="15" hidden="false" customHeight="false" outlineLevel="0" collapsed="false">
      <c r="A158" s="6" t="s">
        <v>81</v>
      </c>
      <c r="C158" s="66" t="n">
        <f aca="false">-C157*Inputs!$C$58</f>
        <v>-0</v>
      </c>
      <c r="D158" s="66" t="n">
        <f aca="false">-(D157-C157)*Inputs!$C$58</f>
        <v>-0</v>
      </c>
      <c r="E158" s="66" t="n">
        <f aca="false">-(E157-D157)*Inputs!$C$58</f>
        <v>-0</v>
      </c>
      <c r="F158" s="66" t="n">
        <f aca="false">-(F157-E157)*Inputs!$C$58</f>
        <v>-0</v>
      </c>
      <c r="G158" s="66" t="n">
        <f aca="false">-(G157-F157)*Inputs!$C$58</f>
        <v>-0</v>
      </c>
      <c r="H158" s="66" t="n">
        <f aca="false">-(H157-G157)*Inputs!$C$58</f>
        <v>-0</v>
      </c>
      <c r="I158" s="66" t="n">
        <f aca="false">-(I157-H157)*Inputs!$C$58</f>
        <v>-0</v>
      </c>
      <c r="J158" s="66" t="n">
        <f aca="false">-(J157-I157)*Inputs!$C$58</f>
        <v>-0</v>
      </c>
      <c r="K158" s="66" t="n">
        <f aca="false">-(K157-J157)*Inputs!$C$58</f>
        <v>-0</v>
      </c>
      <c r="L158" s="66" t="n">
        <f aca="false">-(L157-K157)*Inputs!$C$58</f>
        <v>-0</v>
      </c>
      <c r="M158" s="66" t="n">
        <f aca="false">-(M157-L157)*Inputs!$C$58</f>
        <v>-0</v>
      </c>
      <c r="N158" s="66" t="n">
        <f aca="false">-(N157-M157)*Inputs!$C$58</f>
        <v>-0</v>
      </c>
      <c r="O158" s="66" t="n">
        <f aca="false">-(O157-N157)*Inputs!$C$58</f>
        <v>-0</v>
      </c>
      <c r="P158" s="66" t="n">
        <f aca="false">-(P157-O157)*Inputs!$C$58</f>
        <v>-0</v>
      </c>
      <c r="Q158" s="66" t="n">
        <f aca="false">-(Q157-P157)*Inputs!$C$58</f>
        <v>-0</v>
      </c>
      <c r="R158" s="66" t="n">
        <f aca="false">-(R157-Q157)*Inputs!$C$58</f>
        <v>-0</v>
      </c>
      <c r="S158" s="66" t="n">
        <f aca="false">-(S157-R157)*Inputs!$C$58</f>
        <v>-0</v>
      </c>
      <c r="T158" s="66" t="n">
        <f aca="false">-(T157-S157)*Inputs!$C$58</f>
        <v>-0</v>
      </c>
      <c r="U158" s="66" t="n">
        <f aca="false">-(U157-T157)*Inputs!$C$58</f>
        <v>-0</v>
      </c>
      <c r="V158" s="66" t="n">
        <f aca="false">-(V157-U157)*Inputs!$C$58</f>
        <v>-0</v>
      </c>
      <c r="W158" s="66" t="n">
        <f aca="false">-(W157-V157)*Inputs!$C$58</f>
        <v>-0</v>
      </c>
      <c r="X158" s="66" t="n">
        <f aca="false">-(X157-W157)*Inputs!$C$58</f>
        <v>-0</v>
      </c>
      <c r="Y158" s="66" t="n">
        <f aca="false">-(Y157-X157)*Inputs!$C$58</f>
        <v>-0</v>
      </c>
      <c r="Z158" s="66" t="n">
        <f aca="false">-(Z157-Y157)*Inputs!$C$58</f>
        <v>-0</v>
      </c>
      <c r="AA158" s="66" t="n">
        <f aca="false">-(AA157-Z157)*Inputs!$C$58</f>
        <v>-0</v>
      </c>
      <c r="AB158" s="66" t="n">
        <f aca="false">-(AB157-AA157)*Inputs!$C$58</f>
        <v>-0</v>
      </c>
      <c r="AC158" s="66" t="n">
        <f aca="false">-(AC157-AB157)*Inputs!$C$58</f>
        <v>-0</v>
      </c>
      <c r="AD158" s="66" t="n">
        <f aca="false">-(AD157-AC157)*Inputs!$C$58</f>
        <v>-0</v>
      </c>
      <c r="AE158" s="66" t="n">
        <f aca="false">-(AE157-AD157)*Inputs!$C$58</f>
        <v>-0</v>
      </c>
      <c r="AF158" s="66" t="n">
        <f aca="false">-(AF157-AE157)*Inputs!$C$58</f>
        <v>-0</v>
      </c>
      <c r="AG158" s="66" t="n">
        <f aca="false">-(AG157-AF157)*Inputs!$C$58</f>
        <v>-0</v>
      </c>
      <c r="AH158" s="66" t="n">
        <f aca="false">-(AH157-AG157)*Inputs!$C$58</f>
        <v>-0</v>
      </c>
      <c r="AI158" s="66" t="n">
        <f aca="false">-(AI157-AH157)*Inputs!$C$58</f>
        <v>-0</v>
      </c>
      <c r="AJ158" s="66" t="n">
        <f aca="false">-(AJ157-AI157)*Inputs!$C$58</f>
        <v>-0</v>
      </c>
      <c r="AK158" s="66" t="n">
        <f aca="false">-(AK157-AJ157)*Inputs!$C$58</f>
        <v>-0</v>
      </c>
      <c r="AL158" s="66" t="n">
        <f aca="false">-(AL157-AK157)*Inputs!$C$58</f>
        <v>-0</v>
      </c>
    </row>
    <row r="159" customFormat="false" ht="15" hidden="false" customHeight="false" outlineLevel="0" collapsed="false">
      <c r="A159" s="111" t="s">
        <v>50</v>
      </c>
      <c r="C159" s="67" t="n">
        <f aca="false">C155+C158</f>
        <v>-71828.2458333333</v>
      </c>
      <c r="D159" s="67" t="n">
        <f aca="false">D155+D158</f>
        <v>-69331.0897430556</v>
      </c>
      <c r="E159" s="67" t="n">
        <f aca="false">E155+E158</f>
        <v>-66896.0781089236</v>
      </c>
      <c r="F159" s="67" t="n">
        <f aca="false">F155+F158</f>
        <v>-64521.6658529172</v>
      </c>
      <c r="G159" s="67" t="n">
        <f aca="false">G155+G158</f>
        <v>-62206.346267965</v>
      </c>
      <c r="H159" s="67" t="n">
        <f aca="false">H155+H158</f>
        <v>-59948.650066351</v>
      </c>
      <c r="I159" s="67" t="n">
        <f aca="false">I155+I158</f>
        <v>-57747.1444516804</v>
      </c>
      <c r="J159" s="67" t="n">
        <f aca="false">J155+J158</f>
        <v>-55600.4322138224</v>
      </c>
      <c r="K159" s="67" t="n">
        <f aca="false">K155+K158</f>
        <v>-53507.1508462635</v>
      </c>
      <c r="L159" s="67" t="n">
        <f aca="false">L155+L158</f>
        <v>-51465.9716853155</v>
      </c>
      <c r="M159" s="67" t="n">
        <f aca="false">M155+M158</f>
        <v>-49475.5990706404</v>
      </c>
      <c r="N159" s="67" t="n">
        <f aca="false">N155+N158</f>
        <v>-47534.7695265641</v>
      </c>
      <c r="O159" s="67" t="n">
        <f aca="false">O155+O158</f>
        <v>-81911.2651192201</v>
      </c>
      <c r="P159" s="67" t="n">
        <f aca="false">P155+P158</f>
        <v>-79352.8732351351</v>
      </c>
      <c r="Q159" s="67" t="n">
        <f aca="false">Q155+Q158</f>
        <v>-76858.1733051687</v>
      </c>
      <c r="R159" s="67" t="n">
        <f aca="false">R155+R158</f>
        <v>-74425.5810657574</v>
      </c>
      <c r="S159" s="67" t="n">
        <f aca="false">S155+S158</f>
        <v>-72053.5516188682</v>
      </c>
      <c r="T159" s="67" t="n">
        <f aca="false">T155+T158</f>
        <v>-69740.5784550919</v>
      </c>
      <c r="U159" s="67" t="n">
        <f aca="false">U155+U158</f>
        <v>-67485.1925009425</v>
      </c>
      <c r="V159" s="67" t="n">
        <f aca="false">V155+V158</f>
        <v>-65285.9611897633</v>
      </c>
      <c r="W159" s="67" t="n">
        <f aca="false">W155+W158</f>
        <v>-63141.4875556567</v>
      </c>
      <c r="X159" s="67" t="n">
        <f aca="false">X155+X158</f>
        <v>-61050.4093498668</v>
      </c>
      <c r="Y159" s="67" t="n">
        <f aca="false">Y155+Y158</f>
        <v>-59011.3981790621</v>
      </c>
      <c r="Z159" s="67" t="n">
        <f aca="false">Z155+Z158</f>
        <v>-57023.1586649725</v>
      </c>
      <c r="AA159" s="67" t="n">
        <f aca="false">AA155+AA158</f>
        <v>-111159.484892924</v>
      </c>
      <c r="AB159" s="67" t="n">
        <f aca="false">AB155+AB158</f>
        <v>-108351.118911447</v>
      </c>
      <c r="AC159" s="67" t="n">
        <f aca="false">AC155+AC158</f>
        <v>-105612.688114033</v>
      </c>
      <c r="AD159" s="67" t="n">
        <f aca="false">AD155+AD158</f>
        <v>-102942.452340044</v>
      </c>
      <c r="AE159" s="67" t="n">
        <f aca="false">AE155+AE158</f>
        <v>-100338.714686289</v>
      </c>
      <c r="AF159" s="67" t="n">
        <f aca="false">AF155+AF158</f>
        <v>-97799.8204329865</v>
      </c>
      <c r="AG159" s="67" t="n">
        <f aca="false">AG155+AG158</f>
        <v>-95324.1559963515</v>
      </c>
      <c r="AH159" s="67" t="n">
        <f aca="false">AH155+AH158</f>
        <v>-92910.1479071573</v>
      </c>
      <c r="AI159" s="67" t="n">
        <f aca="false">AI155+AI158</f>
        <v>-90556.2618146223</v>
      </c>
      <c r="AJ159" s="67" t="n">
        <f aca="false">AJ155+AJ158</f>
        <v>-88261.0015149969</v>
      </c>
      <c r="AK159" s="67" t="n">
        <f aca="false">AK155+AK158</f>
        <v>-86022.9080042407</v>
      </c>
      <c r="AL159" s="67" t="n">
        <f aca="false">AL155+AL158</f>
        <v>-83840.5585541905</v>
      </c>
    </row>
    <row r="161" customFormat="false" ht="15.75" hidden="false" customHeight="true" outlineLevel="0" collapsed="false">
      <c r="A161" s="7" t="s">
        <v>388</v>
      </c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customFormat="false" ht="15" hidden="false" customHeight="false" outlineLevel="0" collapsed="false">
      <c r="A162" s="6" t="s">
        <v>83</v>
      </c>
      <c r="C162" s="66" t="n">
        <f aca="false">IF(C$119=1,Inputs!$C$23,0)</f>
        <v>20000</v>
      </c>
      <c r="D162" s="66" t="n">
        <f aca="false">IF(D$119=1,Inputs!$C$23,0)</f>
        <v>0</v>
      </c>
      <c r="E162" s="66" t="n">
        <f aca="false">IF(E$119=1,Inputs!$C$23,0)</f>
        <v>0</v>
      </c>
      <c r="F162" s="66" t="n">
        <f aca="false">IF(F$119=1,Inputs!$C$23,0)</f>
        <v>0</v>
      </c>
      <c r="G162" s="66" t="n">
        <f aca="false">IF(G$119=1,Inputs!$C$23,0)</f>
        <v>0</v>
      </c>
      <c r="H162" s="66" t="n">
        <f aca="false">IF(H$119=1,Inputs!$C$23,0)</f>
        <v>0</v>
      </c>
      <c r="I162" s="66" t="n">
        <f aca="false">IF(I$119=1,Inputs!$C$23,0)</f>
        <v>0</v>
      </c>
      <c r="J162" s="66" t="n">
        <f aca="false">IF(J$119=1,Inputs!$C$23,0)</f>
        <v>0</v>
      </c>
      <c r="K162" s="66" t="n">
        <f aca="false">IF(K$119=1,Inputs!$C$23,0)</f>
        <v>0</v>
      </c>
      <c r="L162" s="66" t="n">
        <f aca="false">IF(L$119=1,Inputs!$C$23,0)</f>
        <v>0</v>
      </c>
      <c r="M162" s="66" t="n">
        <f aca="false">IF(M$119=1,Inputs!$C$23,0)</f>
        <v>0</v>
      </c>
      <c r="N162" s="66" t="n">
        <f aca="false">IF(N$119=1,Inputs!$C$23,0)</f>
        <v>0</v>
      </c>
      <c r="O162" s="66" t="n">
        <f aca="false">IF(O$119=1,Inputs!$C$23,0)</f>
        <v>0</v>
      </c>
      <c r="P162" s="66" t="n">
        <f aca="false">IF(P$119=1,Inputs!$C$23,0)</f>
        <v>0</v>
      </c>
      <c r="Q162" s="66" t="n">
        <f aca="false">IF(Q$119=1,Inputs!$C$23,0)</f>
        <v>0</v>
      </c>
      <c r="R162" s="66" t="n">
        <f aca="false">IF(R$119=1,Inputs!$C$23,0)</f>
        <v>0</v>
      </c>
      <c r="S162" s="66" t="n">
        <f aca="false">IF(S$119=1,Inputs!$C$23,0)</f>
        <v>0</v>
      </c>
      <c r="T162" s="66" t="n">
        <f aca="false">IF(T$119=1,Inputs!$C$23,0)</f>
        <v>0</v>
      </c>
      <c r="U162" s="66" t="n">
        <f aca="false">IF(U$119=1,Inputs!$C$23,0)</f>
        <v>0</v>
      </c>
      <c r="V162" s="66" t="n">
        <f aca="false">IF(V$119=1,Inputs!$C$23,0)</f>
        <v>0</v>
      </c>
      <c r="W162" s="66" t="n">
        <f aca="false">IF(W$119=1,Inputs!$C$23,0)</f>
        <v>0</v>
      </c>
      <c r="X162" s="66" t="n">
        <f aca="false">IF(X$119=1,Inputs!$C$23,0)</f>
        <v>0</v>
      </c>
      <c r="Y162" s="66" t="n">
        <f aca="false">IF(Y$119=1,Inputs!$C$23,0)</f>
        <v>0</v>
      </c>
      <c r="Z162" s="66" t="n">
        <f aca="false">IF(Z$119=1,Inputs!$C$23,0)</f>
        <v>0</v>
      </c>
      <c r="AA162" s="66" t="n">
        <f aca="false">IF(AA$119=1,Inputs!$C$23,0)</f>
        <v>0</v>
      </c>
      <c r="AB162" s="66" t="n">
        <f aca="false">IF(AB$119=1,Inputs!$C$23,0)</f>
        <v>0</v>
      </c>
      <c r="AC162" s="66" t="n">
        <f aca="false">IF(AC$119=1,Inputs!$C$23,0)</f>
        <v>0</v>
      </c>
      <c r="AD162" s="66" t="n">
        <f aca="false">IF(AD$119=1,Inputs!$C$23,0)</f>
        <v>0</v>
      </c>
      <c r="AE162" s="66" t="n">
        <f aca="false">IF(AE$119=1,Inputs!$C$23,0)</f>
        <v>0</v>
      </c>
      <c r="AF162" s="66" t="n">
        <f aca="false">IF(AF$119=1,Inputs!$C$23,0)</f>
        <v>0</v>
      </c>
      <c r="AG162" s="66" t="n">
        <f aca="false">IF(AG$119=1,Inputs!$C$23,0)</f>
        <v>0</v>
      </c>
      <c r="AH162" s="66" t="n">
        <f aca="false">IF(AH$119=1,Inputs!$C$23,0)</f>
        <v>0</v>
      </c>
      <c r="AI162" s="66" t="n">
        <f aca="false">IF(AI$119=1,Inputs!$C$23,0)</f>
        <v>0</v>
      </c>
      <c r="AJ162" s="66" t="n">
        <f aca="false">IF(AJ$119=1,Inputs!$C$23,0)</f>
        <v>0</v>
      </c>
      <c r="AK162" s="66" t="n">
        <f aca="false">IF(AK$119=1,Inputs!$C$23,0)</f>
        <v>0</v>
      </c>
      <c r="AL162" s="66" t="n">
        <f aca="false">IF(AL$119=1,Inputs!$C$23,0)</f>
        <v>0</v>
      </c>
    </row>
    <row r="163" customFormat="false" ht="15" hidden="false" customHeight="false" outlineLevel="0" collapsed="false">
      <c r="A163" s="6" t="s">
        <v>389</v>
      </c>
      <c r="C163" s="66" t="n">
        <f aca="false">C162</f>
        <v>20000</v>
      </c>
      <c r="D163" s="66" t="n">
        <f aca="false">C163+D162</f>
        <v>20000</v>
      </c>
      <c r="E163" s="66" t="n">
        <f aca="false">D163+E162</f>
        <v>20000</v>
      </c>
      <c r="F163" s="66" t="n">
        <f aca="false">E163+F162</f>
        <v>20000</v>
      </c>
      <c r="G163" s="66" t="n">
        <f aca="false">F163+G162</f>
        <v>20000</v>
      </c>
      <c r="H163" s="66" t="n">
        <f aca="false">G163+H162</f>
        <v>20000</v>
      </c>
      <c r="I163" s="66" t="n">
        <f aca="false">H163+I162</f>
        <v>20000</v>
      </c>
      <c r="J163" s="66" t="n">
        <f aca="false">I163+J162</f>
        <v>20000</v>
      </c>
      <c r="K163" s="66" t="n">
        <f aca="false">J163+K162</f>
        <v>20000</v>
      </c>
      <c r="L163" s="66" t="n">
        <f aca="false">K163+L162</f>
        <v>20000</v>
      </c>
      <c r="M163" s="66" t="n">
        <f aca="false">L163+M162</f>
        <v>20000</v>
      </c>
      <c r="N163" s="66" t="n">
        <f aca="false">M163+N162</f>
        <v>20000</v>
      </c>
      <c r="O163" s="66" t="n">
        <f aca="false">N163+O162</f>
        <v>20000</v>
      </c>
      <c r="P163" s="66" t="n">
        <f aca="false">O163+P162</f>
        <v>20000</v>
      </c>
      <c r="Q163" s="66" t="n">
        <f aca="false">P163+Q162</f>
        <v>20000</v>
      </c>
      <c r="R163" s="66" t="n">
        <f aca="false">Q163+R162</f>
        <v>20000</v>
      </c>
      <c r="S163" s="66" t="n">
        <f aca="false">R163+S162</f>
        <v>20000</v>
      </c>
      <c r="T163" s="66" t="n">
        <f aca="false">S163+T162</f>
        <v>20000</v>
      </c>
      <c r="U163" s="66" t="n">
        <f aca="false">T163+U162</f>
        <v>20000</v>
      </c>
      <c r="V163" s="66" t="n">
        <f aca="false">U163+V162</f>
        <v>20000</v>
      </c>
      <c r="W163" s="66" t="n">
        <f aca="false">V163+W162</f>
        <v>20000</v>
      </c>
      <c r="X163" s="66" t="n">
        <f aca="false">W163+X162</f>
        <v>20000</v>
      </c>
      <c r="Y163" s="66" t="n">
        <f aca="false">X163+Y162</f>
        <v>20000</v>
      </c>
      <c r="Z163" s="66" t="n">
        <f aca="false">Y163+Z162</f>
        <v>20000</v>
      </c>
      <c r="AA163" s="66" t="n">
        <f aca="false">Z163+AA162</f>
        <v>20000</v>
      </c>
      <c r="AB163" s="66" t="n">
        <f aca="false">AA163+AB162</f>
        <v>20000</v>
      </c>
      <c r="AC163" s="66" t="n">
        <f aca="false">AB163+AC162</f>
        <v>20000</v>
      </c>
      <c r="AD163" s="66" t="n">
        <f aca="false">AC163+AD162</f>
        <v>20000</v>
      </c>
      <c r="AE163" s="66" t="n">
        <f aca="false">AD163+AE162</f>
        <v>20000</v>
      </c>
      <c r="AF163" s="66" t="n">
        <f aca="false">AE163+AF162</f>
        <v>20000</v>
      </c>
      <c r="AG163" s="66" t="n">
        <f aca="false">AF163+AG162</f>
        <v>20000</v>
      </c>
      <c r="AH163" s="66" t="n">
        <f aca="false">AG163+AH162</f>
        <v>20000</v>
      </c>
      <c r="AI163" s="66" t="n">
        <f aca="false">AH163+AI162</f>
        <v>20000</v>
      </c>
      <c r="AJ163" s="66" t="n">
        <f aca="false">AI163+AJ162</f>
        <v>20000</v>
      </c>
      <c r="AK163" s="66" t="n">
        <f aca="false">AJ163+AK162</f>
        <v>20000</v>
      </c>
      <c r="AL163" s="66" t="n">
        <f aca="false">AK163+AL162</f>
        <v>20000</v>
      </c>
    </row>
    <row r="164" customFormat="false" ht="15" hidden="false" customHeight="false" outlineLevel="0" collapsed="false">
      <c r="A164" s="6" t="s">
        <v>77</v>
      </c>
      <c r="C164" s="66" t="n">
        <f aca="false">-MIN(C163/MAX(1,Inputs!$C$57*12),C162)</f>
        <v>-555.555555555556</v>
      </c>
      <c r="D164" s="66" t="n">
        <f aca="false">-MIN(D163/MAX(1,Inputs!$C$57*12),C166+D162)</f>
        <v>-555.555555555556</v>
      </c>
      <c r="E164" s="66" t="n">
        <f aca="false">-MIN(E163/MAX(1,Inputs!$C$57*12),D166+E162)</f>
        <v>-555.555555555556</v>
      </c>
      <c r="F164" s="66" t="n">
        <f aca="false">-MIN(F163/MAX(1,Inputs!$C$57*12),E166+F162)</f>
        <v>-555.555555555556</v>
      </c>
      <c r="G164" s="66" t="n">
        <f aca="false">-MIN(G163/MAX(1,Inputs!$C$57*12),F166+G162)</f>
        <v>-555.555555555556</v>
      </c>
      <c r="H164" s="66" t="n">
        <f aca="false">-MIN(H163/MAX(1,Inputs!$C$57*12),G166+H162)</f>
        <v>-555.555555555556</v>
      </c>
      <c r="I164" s="66" t="n">
        <f aca="false">-MIN(I163/MAX(1,Inputs!$C$57*12),H166+I162)</f>
        <v>-555.555555555556</v>
      </c>
      <c r="J164" s="66" t="n">
        <f aca="false">-MIN(J163/MAX(1,Inputs!$C$57*12),I166+J162)</f>
        <v>-555.555555555556</v>
      </c>
      <c r="K164" s="66" t="n">
        <f aca="false">-MIN(K163/MAX(1,Inputs!$C$57*12),J166+K162)</f>
        <v>-555.555555555556</v>
      </c>
      <c r="L164" s="66" t="n">
        <f aca="false">-MIN(L163/MAX(1,Inputs!$C$57*12),K166+L162)</f>
        <v>-555.555555555556</v>
      </c>
      <c r="M164" s="66" t="n">
        <f aca="false">-MIN(M163/MAX(1,Inputs!$C$57*12),L166+M162)</f>
        <v>-555.555555555556</v>
      </c>
      <c r="N164" s="66" t="n">
        <f aca="false">-MIN(N163/MAX(1,Inputs!$C$57*12),M166+N162)</f>
        <v>-555.555555555556</v>
      </c>
      <c r="O164" s="66" t="n">
        <f aca="false">-MIN(O163/MAX(1,Inputs!$C$57*12),N166+O162)</f>
        <v>-555.555555555556</v>
      </c>
      <c r="P164" s="66" t="n">
        <f aca="false">-MIN(P163/MAX(1,Inputs!$C$57*12),O166+P162)</f>
        <v>-555.555555555556</v>
      </c>
      <c r="Q164" s="66" t="n">
        <f aca="false">-MIN(Q163/MAX(1,Inputs!$C$57*12),P166+Q162)</f>
        <v>-555.555555555556</v>
      </c>
      <c r="R164" s="66" t="n">
        <f aca="false">-MIN(R163/MAX(1,Inputs!$C$57*12),Q166+R162)</f>
        <v>-555.555555555556</v>
      </c>
      <c r="S164" s="66" t="n">
        <f aca="false">-MIN(S163/MAX(1,Inputs!$C$57*12),R166+S162)</f>
        <v>-555.555555555556</v>
      </c>
      <c r="T164" s="66" t="n">
        <f aca="false">-MIN(T163/MAX(1,Inputs!$C$57*12),S166+T162)</f>
        <v>-555.555555555556</v>
      </c>
      <c r="U164" s="66" t="n">
        <f aca="false">-MIN(U163/MAX(1,Inputs!$C$57*12),T166+U162)</f>
        <v>-555.555555555556</v>
      </c>
      <c r="V164" s="66" t="n">
        <f aca="false">-MIN(V163/MAX(1,Inputs!$C$57*12),U166+V162)</f>
        <v>-555.555555555556</v>
      </c>
      <c r="W164" s="66" t="n">
        <f aca="false">-MIN(W163/MAX(1,Inputs!$C$57*12),V166+W162)</f>
        <v>-555.555555555556</v>
      </c>
      <c r="X164" s="66" t="n">
        <f aca="false">-MIN(X163/MAX(1,Inputs!$C$57*12),W166+X162)</f>
        <v>-555.555555555556</v>
      </c>
      <c r="Y164" s="66" t="n">
        <f aca="false">-MIN(Y163/MAX(1,Inputs!$C$57*12),X166+Y162)</f>
        <v>-555.555555555556</v>
      </c>
      <c r="Z164" s="66" t="n">
        <f aca="false">-MIN(Z163/MAX(1,Inputs!$C$57*12),Y166+Z162)</f>
        <v>-555.555555555556</v>
      </c>
      <c r="AA164" s="66" t="n">
        <f aca="false">-MIN(AA163/MAX(1,Inputs!$C$57*12),Z166+AA162)</f>
        <v>-555.555555555556</v>
      </c>
      <c r="AB164" s="66" t="n">
        <f aca="false">-MIN(AB163/MAX(1,Inputs!$C$57*12),AA166+AB162)</f>
        <v>-555.555555555556</v>
      </c>
      <c r="AC164" s="66" t="n">
        <f aca="false">-MIN(AC163/MAX(1,Inputs!$C$57*12),AB166+AC162)</f>
        <v>-555.555555555556</v>
      </c>
      <c r="AD164" s="66" t="n">
        <f aca="false">-MIN(AD163/MAX(1,Inputs!$C$57*12),AC166+AD162)</f>
        <v>-555.555555555556</v>
      </c>
      <c r="AE164" s="66" t="n">
        <f aca="false">-MIN(AE163/MAX(1,Inputs!$C$57*12),AD166+AE162)</f>
        <v>-555.555555555556</v>
      </c>
      <c r="AF164" s="66" t="n">
        <f aca="false">-MIN(AF163/MAX(1,Inputs!$C$57*12),AE166+AF162)</f>
        <v>-555.555555555556</v>
      </c>
      <c r="AG164" s="66" t="n">
        <f aca="false">-MIN(AG163/MAX(1,Inputs!$C$57*12),AF166+AG162)</f>
        <v>-555.555555555556</v>
      </c>
      <c r="AH164" s="66" t="n">
        <f aca="false">-MIN(AH163/MAX(1,Inputs!$C$57*12),AG166+AH162)</f>
        <v>-555.555555555556</v>
      </c>
      <c r="AI164" s="66" t="n">
        <f aca="false">-MIN(AI163/MAX(1,Inputs!$C$57*12),AH166+AI162)</f>
        <v>-555.555555555556</v>
      </c>
      <c r="AJ164" s="66" t="n">
        <f aca="false">-MIN(AJ163/MAX(1,Inputs!$C$57*12),AI166+AJ162)</f>
        <v>-555.555555555556</v>
      </c>
      <c r="AK164" s="66" t="n">
        <f aca="false">-MIN(AK163/MAX(1,Inputs!$C$57*12),AJ166+AK162)</f>
        <v>-555.555555555556</v>
      </c>
      <c r="AL164" s="66" t="n">
        <f aca="false">-MIN(AL163/MAX(1,Inputs!$C$57*12),AK166+AL162)</f>
        <v>-555.555555555556</v>
      </c>
    </row>
    <row r="165" customFormat="false" ht="15" hidden="false" customHeight="false" outlineLevel="0" collapsed="false">
      <c r="A165" s="6" t="s">
        <v>390</v>
      </c>
      <c r="C165" s="66" t="n">
        <f aca="false">C164</f>
        <v>-555.555555555556</v>
      </c>
      <c r="D165" s="66" t="n">
        <f aca="false">C165+D164</f>
        <v>-1111.11111111111</v>
      </c>
      <c r="E165" s="66" t="n">
        <f aca="false">D165+E164</f>
        <v>-1666.66666666667</v>
      </c>
      <c r="F165" s="66" t="n">
        <f aca="false">E165+F164</f>
        <v>-2222.22222222222</v>
      </c>
      <c r="G165" s="66" t="n">
        <f aca="false">F165+G164</f>
        <v>-2777.77777777778</v>
      </c>
      <c r="H165" s="66" t="n">
        <f aca="false">G165+H164</f>
        <v>-3333.33333333333</v>
      </c>
      <c r="I165" s="66" t="n">
        <f aca="false">H165+I164</f>
        <v>-3888.88888888889</v>
      </c>
      <c r="J165" s="66" t="n">
        <f aca="false">I165+J164</f>
        <v>-4444.44444444444</v>
      </c>
      <c r="K165" s="66" t="n">
        <f aca="false">J165+K164</f>
        <v>-5000</v>
      </c>
      <c r="L165" s="66" t="n">
        <f aca="false">K165+L164</f>
        <v>-5555.55555555556</v>
      </c>
      <c r="M165" s="66" t="n">
        <f aca="false">L165+M164</f>
        <v>-6111.11111111111</v>
      </c>
      <c r="N165" s="66" t="n">
        <f aca="false">M165+N164</f>
        <v>-6666.66666666667</v>
      </c>
      <c r="O165" s="66" t="n">
        <f aca="false">N165+O164</f>
        <v>-7222.22222222222</v>
      </c>
      <c r="P165" s="66" t="n">
        <f aca="false">O165+P164</f>
        <v>-7777.77777777778</v>
      </c>
      <c r="Q165" s="66" t="n">
        <f aca="false">P165+Q164</f>
        <v>-8333.33333333333</v>
      </c>
      <c r="R165" s="66" t="n">
        <f aca="false">Q165+R164</f>
        <v>-8888.88888888889</v>
      </c>
      <c r="S165" s="66" t="n">
        <f aca="false">R165+S164</f>
        <v>-9444.44444444444</v>
      </c>
      <c r="T165" s="66" t="n">
        <f aca="false">S165+T164</f>
        <v>-10000</v>
      </c>
      <c r="U165" s="66" t="n">
        <f aca="false">T165+U164</f>
        <v>-10555.5555555556</v>
      </c>
      <c r="V165" s="66" t="n">
        <f aca="false">U165+V164</f>
        <v>-11111.1111111111</v>
      </c>
      <c r="W165" s="66" t="n">
        <f aca="false">V165+W164</f>
        <v>-11666.6666666667</v>
      </c>
      <c r="X165" s="66" t="n">
        <f aca="false">W165+X164</f>
        <v>-12222.2222222222</v>
      </c>
      <c r="Y165" s="66" t="n">
        <f aca="false">X165+Y164</f>
        <v>-12777.7777777778</v>
      </c>
      <c r="Z165" s="66" t="n">
        <f aca="false">Y165+Z164</f>
        <v>-13333.3333333333</v>
      </c>
      <c r="AA165" s="66" t="n">
        <f aca="false">Z165+AA164</f>
        <v>-13888.8888888889</v>
      </c>
      <c r="AB165" s="66" t="n">
        <f aca="false">AA165+AB164</f>
        <v>-14444.4444444444</v>
      </c>
      <c r="AC165" s="66" t="n">
        <f aca="false">AB165+AC164</f>
        <v>-15000</v>
      </c>
      <c r="AD165" s="66" t="n">
        <f aca="false">AC165+AD164</f>
        <v>-15555.5555555555</v>
      </c>
      <c r="AE165" s="66" t="n">
        <f aca="false">AD165+AE164</f>
        <v>-16111.1111111111</v>
      </c>
      <c r="AF165" s="66" t="n">
        <f aca="false">AE165+AF164</f>
        <v>-16666.6666666667</v>
      </c>
      <c r="AG165" s="66" t="n">
        <f aca="false">AF165+AG164</f>
        <v>-17222.2222222222</v>
      </c>
      <c r="AH165" s="66" t="n">
        <f aca="false">AG165+AH164</f>
        <v>-17777.7777777778</v>
      </c>
      <c r="AI165" s="66" t="n">
        <f aca="false">AH165+AI164</f>
        <v>-18333.3333333333</v>
      </c>
      <c r="AJ165" s="66" t="n">
        <f aca="false">AI165+AJ164</f>
        <v>-18888.8888888889</v>
      </c>
      <c r="AK165" s="66" t="n">
        <f aca="false">AJ165+AK164</f>
        <v>-19444.4444444444</v>
      </c>
      <c r="AL165" s="66" t="n">
        <f aca="false">AK165+AL164</f>
        <v>-20000</v>
      </c>
    </row>
    <row r="166" customFormat="false" ht="15" hidden="false" customHeight="false" outlineLevel="0" collapsed="false">
      <c r="A166" s="4" t="s">
        <v>91</v>
      </c>
      <c r="C166" s="72" t="n">
        <f aca="false">C163+C165</f>
        <v>19444.4444444444</v>
      </c>
      <c r="D166" s="72" t="n">
        <f aca="false">D163+D165</f>
        <v>18888.8888888889</v>
      </c>
      <c r="E166" s="72" t="n">
        <f aca="false">E163+E165</f>
        <v>18333.3333333333</v>
      </c>
      <c r="F166" s="72" t="n">
        <f aca="false">F163+F165</f>
        <v>17777.7777777778</v>
      </c>
      <c r="G166" s="72" t="n">
        <f aca="false">G163+G165</f>
        <v>17222.2222222222</v>
      </c>
      <c r="H166" s="72" t="n">
        <f aca="false">H163+H165</f>
        <v>16666.6666666667</v>
      </c>
      <c r="I166" s="72" t="n">
        <f aca="false">I163+I165</f>
        <v>16111.1111111111</v>
      </c>
      <c r="J166" s="72" t="n">
        <f aca="false">J163+J165</f>
        <v>15555.5555555556</v>
      </c>
      <c r="K166" s="72" t="n">
        <f aca="false">K163+K165</f>
        <v>15000</v>
      </c>
      <c r="L166" s="72" t="n">
        <f aca="false">L163+L165</f>
        <v>14444.4444444444</v>
      </c>
      <c r="M166" s="72" t="n">
        <f aca="false">M163+M165</f>
        <v>13888.8888888889</v>
      </c>
      <c r="N166" s="72" t="n">
        <f aca="false">N163+N165</f>
        <v>13333.3333333333</v>
      </c>
      <c r="O166" s="72" t="n">
        <f aca="false">O163+O165</f>
        <v>12777.7777777778</v>
      </c>
      <c r="P166" s="72" t="n">
        <f aca="false">P163+P165</f>
        <v>12222.2222222222</v>
      </c>
      <c r="Q166" s="72" t="n">
        <f aca="false">Q163+Q165</f>
        <v>11666.6666666667</v>
      </c>
      <c r="R166" s="72" t="n">
        <f aca="false">R163+R165</f>
        <v>11111.1111111111</v>
      </c>
      <c r="S166" s="72" t="n">
        <f aca="false">S163+S165</f>
        <v>10555.5555555556</v>
      </c>
      <c r="T166" s="72" t="n">
        <f aca="false">T163+T165</f>
        <v>10000</v>
      </c>
      <c r="U166" s="72" t="n">
        <f aca="false">U163+U165</f>
        <v>9444.44444444445</v>
      </c>
      <c r="V166" s="72" t="n">
        <f aca="false">V163+V165</f>
        <v>8888.88888888889</v>
      </c>
      <c r="W166" s="72" t="n">
        <f aca="false">W163+W165</f>
        <v>8333.33333333334</v>
      </c>
      <c r="X166" s="72" t="n">
        <f aca="false">X163+X165</f>
        <v>7777.77777777778</v>
      </c>
      <c r="Y166" s="72" t="n">
        <f aca="false">Y163+Y165</f>
        <v>7222.22222222223</v>
      </c>
      <c r="Z166" s="72" t="n">
        <f aca="false">Z163+Z165</f>
        <v>6666.66666666667</v>
      </c>
      <c r="AA166" s="72" t="n">
        <f aca="false">AA163+AA165</f>
        <v>6111.11111111112</v>
      </c>
      <c r="AB166" s="72" t="n">
        <f aca="false">AB163+AB165</f>
        <v>5555.55555555556</v>
      </c>
      <c r="AC166" s="72" t="n">
        <f aca="false">AC163+AC165</f>
        <v>5000.00000000001</v>
      </c>
      <c r="AD166" s="72" t="n">
        <f aca="false">AD163+AD165</f>
        <v>4444.44444444445</v>
      </c>
      <c r="AE166" s="72" t="n">
        <f aca="false">AE163+AE165</f>
        <v>3888.8888888889</v>
      </c>
      <c r="AF166" s="72" t="n">
        <f aca="false">AF163+AF165</f>
        <v>3333.33333333334</v>
      </c>
      <c r="AG166" s="72" t="n">
        <f aca="false">AG163+AG165</f>
        <v>2777.77777777779</v>
      </c>
      <c r="AH166" s="72" t="n">
        <f aca="false">AH163+AH165</f>
        <v>2222.22222222223</v>
      </c>
      <c r="AI166" s="72" t="n">
        <f aca="false">AI163+AI165</f>
        <v>1666.66666666668</v>
      </c>
      <c r="AJ166" s="72" t="n">
        <f aca="false">AJ163+AJ165</f>
        <v>1111.11111111112</v>
      </c>
      <c r="AK166" s="72" t="n">
        <f aca="false">AK163+AK165</f>
        <v>555.555555555569</v>
      </c>
      <c r="AL166" s="72" t="n">
        <f aca="false">AL163+AL165</f>
        <v>0</v>
      </c>
    </row>
    <row r="168" customFormat="false" ht="15.75" hidden="false" customHeight="true" outlineLevel="0" collapsed="false">
      <c r="A168" s="7" t="s">
        <v>391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customFormat="false" ht="15" hidden="false" customHeight="false" outlineLevel="0" collapsed="false">
      <c r="A169" s="6" t="s">
        <v>392</v>
      </c>
      <c r="C169" s="66" t="n">
        <f aca="false">0</f>
        <v>0</v>
      </c>
      <c r="D169" s="66" t="n">
        <f aca="false">C172</f>
        <v>0</v>
      </c>
      <c r="E169" s="66" t="n">
        <f aca="false">D172</f>
        <v>0</v>
      </c>
      <c r="F169" s="66" t="n">
        <f aca="false">E172</f>
        <v>0</v>
      </c>
      <c r="G169" s="66" t="n">
        <f aca="false">F172</f>
        <v>0</v>
      </c>
      <c r="H169" s="66" t="n">
        <f aca="false">G172</f>
        <v>0</v>
      </c>
      <c r="I169" s="66" t="n">
        <f aca="false">H172</f>
        <v>0</v>
      </c>
      <c r="J169" s="66" t="n">
        <f aca="false">I172</f>
        <v>0</v>
      </c>
      <c r="K169" s="66" t="n">
        <f aca="false">J172</f>
        <v>0</v>
      </c>
      <c r="L169" s="66" t="n">
        <f aca="false">K172</f>
        <v>0</v>
      </c>
      <c r="M169" s="66" t="n">
        <f aca="false">L172</f>
        <v>0</v>
      </c>
      <c r="N169" s="66" t="n">
        <f aca="false">M172</f>
        <v>0</v>
      </c>
      <c r="O169" s="66" t="n">
        <f aca="false">N172</f>
        <v>0</v>
      </c>
      <c r="P169" s="66" t="n">
        <f aca="false">O172</f>
        <v>0</v>
      </c>
      <c r="Q169" s="66" t="n">
        <f aca="false">P172</f>
        <v>0</v>
      </c>
      <c r="R169" s="66" t="n">
        <f aca="false">Q172</f>
        <v>0</v>
      </c>
      <c r="S169" s="66" t="n">
        <f aca="false">R172</f>
        <v>0</v>
      </c>
      <c r="T169" s="66" t="n">
        <f aca="false">S172</f>
        <v>0</v>
      </c>
      <c r="U169" s="66" t="n">
        <f aca="false">T172</f>
        <v>0</v>
      </c>
      <c r="V169" s="66" t="n">
        <f aca="false">U172</f>
        <v>0</v>
      </c>
      <c r="W169" s="66" t="n">
        <f aca="false">V172</f>
        <v>0</v>
      </c>
      <c r="X169" s="66" t="n">
        <f aca="false">W172</f>
        <v>0</v>
      </c>
      <c r="Y169" s="66" t="n">
        <f aca="false">X172</f>
        <v>0</v>
      </c>
      <c r="Z169" s="66" t="n">
        <f aca="false">Y172</f>
        <v>0</v>
      </c>
      <c r="AA169" s="66" t="n">
        <f aca="false">Z172</f>
        <v>0</v>
      </c>
      <c r="AB169" s="66" t="n">
        <f aca="false">AA172</f>
        <v>0</v>
      </c>
      <c r="AC169" s="66" t="n">
        <f aca="false">AB172</f>
        <v>0</v>
      </c>
      <c r="AD169" s="66" t="n">
        <f aca="false">AC172</f>
        <v>0</v>
      </c>
      <c r="AE169" s="66" t="n">
        <f aca="false">AD172</f>
        <v>0</v>
      </c>
      <c r="AF169" s="66" t="n">
        <f aca="false">AE172</f>
        <v>0</v>
      </c>
      <c r="AG169" s="66" t="n">
        <f aca="false">AF172</f>
        <v>0</v>
      </c>
      <c r="AH169" s="66" t="n">
        <f aca="false">AG172</f>
        <v>0</v>
      </c>
      <c r="AI169" s="66" t="n">
        <f aca="false">AH172</f>
        <v>0</v>
      </c>
      <c r="AJ169" s="66" t="n">
        <f aca="false">AI172</f>
        <v>0</v>
      </c>
      <c r="AK169" s="66" t="n">
        <f aca="false">AJ172</f>
        <v>0</v>
      </c>
      <c r="AL169" s="66" t="n">
        <f aca="false">AK172</f>
        <v>0</v>
      </c>
    </row>
    <row r="170" customFormat="false" ht="15" hidden="false" customHeight="false" outlineLevel="0" collapsed="false">
      <c r="A170" s="6" t="s">
        <v>84</v>
      </c>
      <c r="C170" s="66" t="n">
        <f aca="false">IF(C$119=1,Inputs!$C$47,0)</f>
        <v>0</v>
      </c>
      <c r="D170" s="66" t="n">
        <f aca="false">IF(D$119=1,Inputs!$C$47,0)</f>
        <v>0</v>
      </c>
      <c r="E170" s="66" t="n">
        <f aca="false">IF(E$119=1,Inputs!$C$47,0)</f>
        <v>0</v>
      </c>
      <c r="F170" s="66" t="n">
        <f aca="false">IF(F$119=1,Inputs!$C$47,0)</f>
        <v>0</v>
      </c>
      <c r="G170" s="66" t="n">
        <f aca="false">IF(G$119=1,Inputs!$C$47,0)</f>
        <v>0</v>
      </c>
      <c r="H170" s="66" t="n">
        <f aca="false">IF(H$119=1,Inputs!$C$47,0)</f>
        <v>0</v>
      </c>
      <c r="I170" s="66" t="n">
        <f aca="false">IF(I$119=1,Inputs!$C$47,0)</f>
        <v>0</v>
      </c>
      <c r="J170" s="66" t="n">
        <f aca="false">IF(J$119=1,Inputs!$C$47,0)</f>
        <v>0</v>
      </c>
      <c r="K170" s="66" t="n">
        <f aca="false">IF(K$119=1,Inputs!$C$47,0)</f>
        <v>0</v>
      </c>
      <c r="L170" s="66" t="n">
        <f aca="false">IF(L$119=1,Inputs!$C$47,0)</f>
        <v>0</v>
      </c>
      <c r="M170" s="66" t="n">
        <f aca="false">IF(M$119=1,Inputs!$C$47,0)</f>
        <v>0</v>
      </c>
      <c r="N170" s="66" t="n">
        <f aca="false">IF(N$119=1,Inputs!$C$47,0)</f>
        <v>0</v>
      </c>
      <c r="O170" s="66" t="n">
        <f aca="false">IF(O$119=1,Inputs!$C$47,0)</f>
        <v>0</v>
      </c>
      <c r="P170" s="66" t="n">
        <f aca="false">IF(P$119=1,Inputs!$C$47,0)</f>
        <v>0</v>
      </c>
      <c r="Q170" s="66" t="n">
        <f aca="false">IF(Q$119=1,Inputs!$C$47,0)</f>
        <v>0</v>
      </c>
      <c r="R170" s="66" t="n">
        <f aca="false">IF(R$119=1,Inputs!$C$47,0)</f>
        <v>0</v>
      </c>
      <c r="S170" s="66" t="n">
        <f aca="false">IF(S$119=1,Inputs!$C$47,0)</f>
        <v>0</v>
      </c>
      <c r="T170" s="66" t="n">
        <f aca="false">IF(T$119=1,Inputs!$C$47,0)</f>
        <v>0</v>
      </c>
      <c r="U170" s="66" t="n">
        <f aca="false">IF(U$119=1,Inputs!$C$47,0)</f>
        <v>0</v>
      </c>
      <c r="V170" s="66" t="n">
        <f aca="false">IF(V$119=1,Inputs!$C$47,0)</f>
        <v>0</v>
      </c>
      <c r="W170" s="66" t="n">
        <f aca="false">IF(W$119=1,Inputs!$C$47,0)</f>
        <v>0</v>
      </c>
      <c r="X170" s="66" t="n">
        <f aca="false">IF(X$119=1,Inputs!$C$47,0)</f>
        <v>0</v>
      </c>
      <c r="Y170" s="66" t="n">
        <f aca="false">IF(Y$119=1,Inputs!$C$47,0)</f>
        <v>0</v>
      </c>
      <c r="Z170" s="66" t="n">
        <f aca="false">IF(Z$119=1,Inputs!$C$47,0)</f>
        <v>0</v>
      </c>
      <c r="AA170" s="66" t="n">
        <f aca="false">IF(AA$119=1,Inputs!$C$47,0)</f>
        <v>0</v>
      </c>
      <c r="AB170" s="66" t="n">
        <f aca="false">IF(AB$119=1,Inputs!$C$47,0)</f>
        <v>0</v>
      </c>
      <c r="AC170" s="66" t="n">
        <f aca="false">IF(AC$119=1,Inputs!$C$47,0)</f>
        <v>0</v>
      </c>
      <c r="AD170" s="66" t="n">
        <f aca="false">IF(AD$119=1,Inputs!$C$47,0)</f>
        <v>0</v>
      </c>
      <c r="AE170" s="66" t="n">
        <f aca="false">IF(AE$119=1,Inputs!$C$47,0)</f>
        <v>0</v>
      </c>
      <c r="AF170" s="66" t="n">
        <f aca="false">IF(AF$119=1,Inputs!$C$47,0)</f>
        <v>0</v>
      </c>
      <c r="AG170" s="66" t="n">
        <f aca="false">IF(AG$119=1,Inputs!$C$47,0)</f>
        <v>0</v>
      </c>
      <c r="AH170" s="66" t="n">
        <f aca="false">IF(AH$119=1,Inputs!$C$47,0)</f>
        <v>0</v>
      </c>
      <c r="AI170" s="66" t="n">
        <f aca="false">IF(AI$119=1,Inputs!$C$47,0)</f>
        <v>0</v>
      </c>
      <c r="AJ170" s="66" t="n">
        <f aca="false">IF(AJ$119=1,Inputs!$C$47,0)</f>
        <v>0</v>
      </c>
      <c r="AK170" s="66" t="n">
        <f aca="false">IF(AK$119=1,Inputs!$C$47,0)</f>
        <v>0</v>
      </c>
      <c r="AL170" s="66" t="n">
        <f aca="false">IF(AL$119=1,Inputs!$C$47,0)</f>
        <v>0</v>
      </c>
    </row>
    <row r="171" customFormat="false" ht="15" hidden="false" customHeight="false" outlineLevel="0" collapsed="false">
      <c r="A171" s="6" t="s">
        <v>85</v>
      </c>
      <c r="C171" s="66" t="n">
        <f aca="false">-MIN(C169,Inputs!$C$47/MAX(1,Inputs!$C$49*12))</f>
        <v>-0</v>
      </c>
      <c r="D171" s="66" t="n">
        <f aca="false">-MIN(D169,Inputs!$C$47/MAX(1,Inputs!$C$49*12))</f>
        <v>-0</v>
      </c>
      <c r="E171" s="66" t="n">
        <f aca="false">-MIN(E169,Inputs!$C$47/MAX(1,Inputs!$C$49*12))</f>
        <v>-0</v>
      </c>
      <c r="F171" s="66" t="n">
        <f aca="false">-MIN(F169,Inputs!$C$47/MAX(1,Inputs!$C$49*12))</f>
        <v>-0</v>
      </c>
      <c r="G171" s="66" t="n">
        <f aca="false">-MIN(G169,Inputs!$C$47/MAX(1,Inputs!$C$49*12))</f>
        <v>-0</v>
      </c>
      <c r="H171" s="66" t="n">
        <f aca="false">-MIN(H169,Inputs!$C$47/MAX(1,Inputs!$C$49*12))</f>
        <v>-0</v>
      </c>
      <c r="I171" s="66" t="n">
        <f aca="false">-MIN(I169,Inputs!$C$47/MAX(1,Inputs!$C$49*12))</f>
        <v>-0</v>
      </c>
      <c r="J171" s="66" t="n">
        <f aca="false">-MIN(J169,Inputs!$C$47/MAX(1,Inputs!$C$49*12))</f>
        <v>-0</v>
      </c>
      <c r="K171" s="66" t="n">
        <f aca="false">-MIN(K169,Inputs!$C$47/MAX(1,Inputs!$C$49*12))</f>
        <v>-0</v>
      </c>
      <c r="L171" s="66" t="n">
        <f aca="false">-MIN(L169,Inputs!$C$47/MAX(1,Inputs!$C$49*12))</f>
        <v>-0</v>
      </c>
      <c r="M171" s="66" t="n">
        <f aca="false">-MIN(M169,Inputs!$C$47/MAX(1,Inputs!$C$49*12))</f>
        <v>-0</v>
      </c>
      <c r="N171" s="66" t="n">
        <f aca="false">-MIN(N169,Inputs!$C$47/MAX(1,Inputs!$C$49*12))</f>
        <v>-0</v>
      </c>
      <c r="O171" s="66" t="n">
        <f aca="false">-MIN(O169,Inputs!$C$47/MAX(1,Inputs!$C$49*12))</f>
        <v>-0</v>
      </c>
      <c r="P171" s="66" t="n">
        <f aca="false">-MIN(P169,Inputs!$C$47/MAX(1,Inputs!$C$49*12))</f>
        <v>-0</v>
      </c>
      <c r="Q171" s="66" t="n">
        <f aca="false">-MIN(Q169,Inputs!$C$47/MAX(1,Inputs!$C$49*12))</f>
        <v>-0</v>
      </c>
      <c r="R171" s="66" t="n">
        <f aca="false">-MIN(R169,Inputs!$C$47/MAX(1,Inputs!$C$49*12))</f>
        <v>-0</v>
      </c>
      <c r="S171" s="66" t="n">
        <f aca="false">-MIN(S169,Inputs!$C$47/MAX(1,Inputs!$C$49*12))</f>
        <v>-0</v>
      </c>
      <c r="T171" s="66" t="n">
        <f aca="false">-MIN(T169,Inputs!$C$47/MAX(1,Inputs!$C$49*12))</f>
        <v>-0</v>
      </c>
      <c r="U171" s="66" t="n">
        <f aca="false">-MIN(U169,Inputs!$C$47/MAX(1,Inputs!$C$49*12))</f>
        <v>-0</v>
      </c>
      <c r="V171" s="66" t="n">
        <f aca="false">-MIN(V169,Inputs!$C$47/MAX(1,Inputs!$C$49*12))</f>
        <v>-0</v>
      </c>
      <c r="W171" s="66" t="n">
        <f aca="false">-MIN(W169,Inputs!$C$47/MAX(1,Inputs!$C$49*12))</f>
        <v>-0</v>
      </c>
      <c r="X171" s="66" t="n">
        <f aca="false">-MIN(X169,Inputs!$C$47/MAX(1,Inputs!$C$49*12))</f>
        <v>-0</v>
      </c>
      <c r="Y171" s="66" t="n">
        <f aca="false">-MIN(Y169,Inputs!$C$47/MAX(1,Inputs!$C$49*12))</f>
        <v>-0</v>
      </c>
      <c r="Z171" s="66" t="n">
        <f aca="false">-MIN(Z169,Inputs!$C$47/MAX(1,Inputs!$C$49*12))</f>
        <v>-0</v>
      </c>
      <c r="AA171" s="66" t="n">
        <f aca="false">-MIN(AA169,Inputs!$C$47/MAX(1,Inputs!$C$49*12))</f>
        <v>-0</v>
      </c>
      <c r="AB171" s="66" t="n">
        <f aca="false">-MIN(AB169,Inputs!$C$47/MAX(1,Inputs!$C$49*12))</f>
        <v>-0</v>
      </c>
      <c r="AC171" s="66" t="n">
        <f aca="false">-MIN(AC169,Inputs!$C$47/MAX(1,Inputs!$C$49*12))</f>
        <v>-0</v>
      </c>
      <c r="AD171" s="66" t="n">
        <f aca="false">-MIN(AD169,Inputs!$C$47/MAX(1,Inputs!$C$49*12))</f>
        <v>-0</v>
      </c>
      <c r="AE171" s="66" t="n">
        <f aca="false">-MIN(AE169,Inputs!$C$47/MAX(1,Inputs!$C$49*12))</f>
        <v>-0</v>
      </c>
      <c r="AF171" s="66" t="n">
        <f aca="false">-MIN(AF169,Inputs!$C$47/MAX(1,Inputs!$C$49*12))</f>
        <v>-0</v>
      </c>
      <c r="AG171" s="66" t="n">
        <f aca="false">-MIN(AG169,Inputs!$C$47/MAX(1,Inputs!$C$49*12))</f>
        <v>-0</v>
      </c>
      <c r="AH171" s="66" t="n">
        <f aca="false">-MIN(AH169,Inputs!$C$47/MAX(1,Inputs!$C$49*12))</f>
        <v>-0</v>
      </c>
      <c r="AI171" s="66" t="n">
        <f aca="false">-MIN(AI169,Inputs!$C$47/MAX(1,Inputs!$C$49*12))</f>
        <v>-0</v>
      </c>
      <c r="AJ171" s="66" t="n">
        <f aca="false">-MIN(AJ169,Inputs!$C$47/MAX(1,Inputs!$C$49*12))</f>
        <v>-0</v>
      </c>
      <c r="AK171" s="66" t="n">
        <f aca="false">-MIN(AK169,Inputs!$C$47/MAX(1,Inputs!$C$49*12))</f>
        <v>-0</v>
      </c>
      <c r="AL171" s="66" t="n">
        <f aca="false">-MIN(AL169,Inputs!$C$47/MAX(1,Inputs!$C$49*12))</f>
        <v>-0</v>
      </c>
    </row>
    <row r="172" customFormat="false" ht="15" hidden="false" customHeight="false" outlineLevel="0" collapsed="false">
      <c r="A172" s="4" t="s">
        <v>393</v>
      </c>
      <c r="C172" s="72" t="n">
        <f aca="false">C169+C170+C171</f>
        <v>0</v>
      </c>
      <c r="D172" s="72" t="n">
        <f aca="false">D169+D170+D171</f>
        <v>0</v>
      </c>
      <c r="E172" s="72" t="n">
        <f aca="false">E169+E170+E171</f>
        <v>0</v>
      </c>
      <c r="F172" s="72" t="n">
        <f aca="false">F169+F170+F171</f>
        <v>0</v>
      </c>
      <c r="G172" s="72" t="n">
        <f aca="false">G169+G170+G171</f>
        <v>0</v>
      </c>
      <c r="H172" s="72" t="n">
        <f aca="false">H169+H170+H171</f>
        <v>0</v>
      </c>
      <c r="I172" s="72" t="n">
        <f aca="false">I169+I170+I171</f>
        <v>0</v>
      </c>
      <c r="J172" s="72" t="n">
        <f aca="false">J169+J170+J171</f>
        <v>0</v>
      </c>
      <c r="K172" s="72" t="n">
        <f aca="false">K169+K170+K171</f>
        <v>0</v>
      </c>
      <c r="L172" s="72" t="n">
        <f aca="false">L169+L170+L171</f>
        <v>0</v>
      </c>
      <c r="M172" s="72" t="n">
        <f aca="false">M169+M170+M171</f>
        <v>0</v>
      </c>
      <c r="N172" s="72" t="n">
        <f aca="false">N169+N170+N171</f>
        <v>0</v>
      </c>
      <c r="O172" s="72" t="n">
        <f aca="false">O169+O170+O171</f>
        <v>0</v>
      </c>
      <c r="P172" s="72" t="n">
        <f aca="false">P169+P170+P171</f>
        <v>0</v>
      </c>
      <c r="Q172" s="72" t="n">
        <f aca="false">Q169+Q170+Q171</f>
        <v>0</v>
      </c>
      <c r="R172" s="72" t="n">
        <f aca="false">R169+R170+R171</f>
        <v>0</v>
      </c>
      <c r="S172" s="72" t="n">
        <f aca="false">S169+S170+S171</f>
        <v>0</v>
      </c>
      <c r="T172" s="72" t="n">
        <f aca="false">T169+T170+T171</f>
        <v>0</v>
      </c>
      <c r="U172" s="72" t="n">
        <f aca="false">U169+U170+U171</f>
        <v>0</v>
      </c>
      <c r="V172" s="72" t="n">
        <f aca="false">V169+V170+V171</f>
        <v>0</v>
      </c>
      <c r="W172" s="72" t="n">
        <f aca="false">W169+W170+W171</f>
        <v>0</v>
      </c>
      <c r="X172" s="72" t="n">
        <f aca="false">X169+X170+X171</f>
        <v>0</v>
      </c>
      <c r="Y172" s="72" t="n">
        <f aca="false">Y169+Y170+Y171</f>
        <v>0</v>
      </c>
      <c r="Z172" s="72" t="n">
        <f aca="false">Z169+Z170+Z171</f>
        <v>0</v>
      </c>
      <c r="AA172" s="72" t="n">
        <f aca="false">AA169+AA170+AA171</f>
        <v>0</v>
      </c>
      <c r="AB172" s="72" t="n">
        <f aca="false">AB169+AB170+AB171</f>
        <v>0</v>
      </c>
      <c r="AC172" s="72" t="n">
        <f aca="false">AC169+AC170+AC171</f>
        <v>0</v>
      </c>
      <c r="AD172" s="72" t="n">
        <f aca="false">AD169+AD170+AD171</f>
        <v>0</v>
      </c>
      <c r="AE172" s="72" t="n">
        <f aca="false">AE169+AE170+AE171</f>
        <v>0</v>
      </c>
      <c r="AF172" s="72" t="n">
        <f aca="false">AF169+AF170+AF171</f>
        <v>0</v>
      </c>
      <c r="AG172" s="72" t="n">
        <f aca="false">AG169+AG170+AG171</f>
        <v>0</v>
      </c>
      <c r="AH172" s="72" t="n">
        <f aca="false">AH169+AH170+AH171</f>
        <v>0</v>
      </c>
      <c r="AI172" s="72" t="n">
        <f aca="false">AI169+AI170+AI171</f>
        <v>0</v>
      </c>
      <c r="AJ172" s="72" t="n">
        <f aca="false">AJ169+AJ170+AJ171</f>
        <v>0</v>
      </c>
      <c r="AK172" s="72" t="n">
        <f aca="false">AK169+AK170+AK171</f>
        <v>0</v>
      </c>
      <c r="AL172" s="72" t="n">
        <f aca="false">AL169+AL170+AL171</f>
        <v>0</v>
      </c>
    </row>
    <row r="174" customFormat="false" ht="15.75" hidden="false" customHeight="true" outlineLevel="0" collapsed="false">
      <c r="A174" s="7" t="s">
        <v>299</v>
      </c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</row>
    <row r="175" customFormat="false" ht="15" hidden="false" customHeight="false" outlineLevel="0" collapsed="false">
      <c r="A175" s="6" t="s">
        <v>89</v>
      </c>
      <c r="C175" s="66" t="n">
        <f aca="false">C139*Inputs!$C$52/30</f>
        <v>734.479166666667</v>
      </c>
      <c r="D175" s="66" t="n">
        <f aca="false">D139*Inputs!$C$52/30</f>
        <v>1207.45052083333</v>
      </c>
      <c r="E175" s="66" t="n">
        <f aca="false">E139*Inputs!$C$52/30</f>
        <v>1668.59759114583</v>
      </c>
      <c r="F175" s="66" t="n">
        <f aca="false">F139*Inputs!$C$52/30</f>
        <v>2118.21598470052</v>
      </c>
      <c r="G175" s="66" t="n">
        <f aca="false">G139*Inputs!$C$52/30</f>
        <v>2556.59391841634</v>
      </c>
      <c r="H175" s="66" t="n">
        <f aca="false">H139*Inputs!$C$52/30</f>
        <v>2984.01240378927</v>
      </c>
      <c r="I175" s="66" t="n">
        <f aca="false">I139*Inputs!$C$52/30</f>
        <v>3400.74542702787</v>
      </c>
      <c r="J175" s="66" t="n">
        <f aca="false">J139*Inputs!$C$52/30</f>
        <v>3807.06012468551</v>
      </c>
      <c r="K175" s="66" t="n">
        <f aca="false">K139*Inputs!$C$52/30</f>
        <v>4203.2169549017</v>
      </c>
      <c r="L175" s="66" t="n">
        <f aca="false">L139*Inputs!$C$52/30</f>
        <v>4589.46986436249</v>
      </c>
      <c r="M175" s="66" t="n">
        <f aca="false">M139*Inputs!$C$52/30</f>
        <v>4966.06645108676</v>
      </c>
      <c r="N175" s="66" t="n">
        <f aca="false">N139*Inputs!$C$52/30</f>
        <v>5333.24812314293</v>
      </c>
      <c r="O175" s="66" t="n">
        <f aca="false">O139*Inputs!$C$52/30</f>
        <v>5759.42458673102</v>
      </c>
      <c r="P175" s="66" t="n">
        <f aca="false">P139*Inputs!$C$52/30</f>
        <v>6243.12097206274</v>
      </c>
      <c r="Q175" s="66" t="n">
        <f aca="false">Q139*Inputs!$C$52/30</f>
        <v>6714.72494776118</v>
      </c>
      <c r="R175" s="66" t="n">
        <f aca="false">R139*Inputs!$C$52/30</f>
        <v>7174.53882406715</v>
      </c>
      <c r="S175" s="66" t="n">
        <f aca="false">S139*Inputs!$C$52/30</f>
        <v>7622.85735346547</v>
      </c>
      <c r="T175" s="66" t="n">
        <f aca="false">T139*Inputs!$C$52/30</f>
        <v>8059.96791962883</v>
      </c>
      <c r="U175" s="66" t="n">
        <f aca="false">U139*Inputs!$C$52/30</f>
        <v>8486.15072163811</v>
      </c>
      <c r="V175" s="66" t="n">
        <f aca="false">V139*Inputs!$C$52/30</f>
        <v>8901.67895359716</v>
      </c>
      <c r="W175" s="66" t="n">
        <f aca="false">W139*Inputs!$C$52/30</f>
        <v>9306.81897975723</v>
      </c>
      <c r="X175" s="66" t="n">
        <f aca="false">X139*Inputs!$C$52/30</f>
        <v>9701.8305052633</v>
      </c>
      <c r="Y175" s="66" t="n">
        <f aca="false">Y139*Inputs!$C$52/30</f>
        <v>10086.9667426317</v>
      </c>
      <c r="Z175" s="66" t="n">
        <f aca="false">Z139*Inputs!$C$52/30</f>
        <v>10462.4745740659</v>
      </c>
      <c r="AA175" s="66" t="n">
        <f aca="false">AA139*Inputs!$C$52/30</f>
        <v>10916.3149687143</v>
      </c>
      <c r="AB175" s="66" t="n">
        <f aca="false">AB139*Inputs!$C$52/30</f>
        <v>11446.5296124964</v>
      </c>
      <c r="AC175" s="66" t="n">
        <f aca="false">AC139*Inputs!$C$52/30</f>
        <v>11963.488890184</v>
      </c>
      <c r="AD175" s="66" t="n">
        <f aca="false">AD139*Inputs!$C$52/30</f>
        <v>12467.5241859294</v>
      </c>
      <c r="AE175" s="66" t="n">
        <f aca="false">AE139*Inputs!$C$52/30</f>
        <v>12958.9585992812</v>
      </c>
      <c r="AF175" s="66" t="n">
        <f aca="false">AF139*Inputs!$C$52/30</f>
        <v>13438.1071522991</v>
      </c>
      <c r="AG175" s="66" t="n">
        <f aca="false">AG139*Inputs!$C$52/30</f>
        <v>13905.2769914917</v>
      </c>
      <c r="AH175" s="66" t="n">
        <f aca="false">AH139*Inputs!$C$52/30</f>
        <v>14360.7675847044</v>
      </c>
      <c r="AI175" s="66" t="n">
        <f aca="false">AI139*Inputs!$C$52/30</f>
        <v>14804.8709130868</v>
      </c>
      <c r="AJ175" s="66" t="n">
        <f aca="false">AJ139*Inputs!$C$52/30</f>
        <v>15237.8716582596</v>
      </c>
      <c r="AK175" s="66" t="n">
        <f aca="false">AK139*Inputs!$C$52/30</f>
        <v>15660.0473848031</v>
      </c>
      <c r="AL175" s="66" t="n">
        <f aca="false">AL139*Inputs!$C$52/30</f>
        <v>16071.668718183</v>
      </c>
    </row>
    <row r="176" customFormat="false" ht="15" hidden="false" customHeight="false" outlineLevel="0" collapsed="false">
      <c r="A176" s="6" t="s">
        <v>90</v>
      </c>
      <c r="C176" s="66" t="n">
        <f aca="false">-C140*Inputs!$C$53/30</f>
        <v>0</v>
      </c>
      <c r="D176" s="66" t="n">
        <f aca="false">-D140*Inputs!$C$53/30</f>
        <v>0</v>
      </c>
      <c r="E176" s="66" t="n">
        <f aca="false">-E140*Inputs!$C$53/30</f>
        <v>0</v>
      </c>
      <c r="F176" s="66" t="n">
        <f aca="false">-F140*Inputs!$C$53/30</f>
        <v>0</v>
      </c>
      <c r="G176" s="66" t="n">
        <f aca="false">-G140*Inputs!$C$53/30</f>
        <v>0</v>
      </c>
      <c r="H176" s="66" t="n">
        <f aca="false">-H140*Inputs!$C$53/30</f>
        <v>0</v>
      </c>
      <c r="I176" s="66" t="n">
        <f aca="false">-I140*Inputs!$C$53/30</f>
        <v>0</v>
      </c>
      <c r="J176" s="66" t="n">
        <f aca="false">-J140*Inputs!$C$53/30</f>
        <v>0</v>
      </c>
      <c r="K176" s="66" t="n">
        <f aca="false">-K140*Inputs!$C$53/30</f>
        <v>0</v>
      </c>
      <c r="L176" s="66" t="n">
        <f aca="false">-L140*Inputs!$C$53/30</f>
        <v>0</v>
      </c>
      <c r="M176" s="66" t="n">
        <f aca="false">-M140*Inputs!$C$53/30</f>
        <v>0</v>
      </c>
      <c r="N176" s="66" t="n">
        <f aca="false">-N140*Inputs!$C$53/30</f>
        <v>0</v>
      </c>
      <c r="O176" s="66" t="n">
        <f aca="false">-O140*Inputs!$C$53/30</f>
        <v>0</v>
      </c>
      <c r="P176" s="66" t="n">
        <f aca="false">-P140*Inputs!$C$53/30</f>
        <v>0</v>
      </c>
      <c r="Q176" s="66" t="n">
        <f aca="false">-Q140*Inputs!$C$53/30</f>
        <v>0</v>
      </c>
      <c r="R176" s="66" t="n">
        <f aca="false">-R140*Inputs!$C$53/30</f>
        <v>0</v>
      </c>
      <c r="S176" s="66" t="n">
        <f aca="false">-S140*Inputs!$C$53/30</f>
        <v>0</v>
      </c>
      <c r="T176" s="66" t="n">
        <f aca="false">-T140*Inputs!$C$53/30</f>
        <v>0</v>
      </c>
      <c r="U176" s="66" t="n">
        <f aca="false">-U140*Inputs!$C$53/30</f>
        <v>0</v>
      </c>
      <c r="V176" s="66" t="n">
        <f aca="false">-V140*Inputs!$C$53/30</f>
        <v>0</v>
      </c>
      <c r="W176" s="66" t="n">
        <f aca="false">-W140*Inputs!$C$53/30</f>
        <v>0</v>
      </c>
      <c r="X176" s="66" t="n">
        <f aca="false">-X140*Inputs!$C$53/30</f>
        <v>0</v>
      </c>
      <c r="Y176" s="66" t="n">
        <f aca="false">-Y140*Inputs!$C$53/30</f>
        <v>0</v>
      </c>
      <c r="Z176" s="66" t="n">
        <f aca="false">-Z140*Inputs!$C$53/30</f>
        <v>0</v>
      </c>
      <c r="AA176" s="66" t="n">
        <f aca="false">-AA140*Inputs!$C$53/30</f>
        <v>0</v>
      </c>
      <c r="AB176" s="66" t="n">
        <f aca="false">-AB140*Inputs!$C$53/30</f>
        <v>0</v>
      </c>
      <c r="AC176" s="66" t="n">
        <f aca="false">-AC140*Inputs!$C$53/30</f>
        <v>0</v>
      </c>
      <c r="AD176" s="66" t="n">
        <f aca="false">-AD140*Inputs!$C$53/30</f>
        <v>0</v>
      </c>
      <c r="AE176" s="66" t="n">
        <f aca="false">-AE140*Inputs!$C$53/30</f>
        <v>0</v>
      </c>
      <c r="AF176" s="66" t="n">
        <f aca="false">-AF140*Inputs!$C$53/30</f>
        <v>0</v>
      </c>
      <c r="AG176" s="66" t="n">
        <f aca="false">-AG140*Inputs!$C$53/30</f>
        <v>0</v>
      </c>
      <c r="AH176" s="66" t="n">
        <f aca="false">-AH140*Inputs!$C$53/30</f>
        <v>0</v>
      </c>
      <c r="AI176" s="66" t="n">
        <f aca="false">-AI140*Inputs!$C$53/30</f>
        <v>0</v>
      </c>
      <c r="AJ176" s="66" t="n">
        <f aca="false">-AJ140*Inputs!$C$53/30</f>
        <v>0</v>
      </c>
      <c r="AK176" s="66" t="n">
        <f aca="false">-AK140*Inputs!$C$53/30</f>
        <v>0</v>
      </c>
      <c r="AL176" s="66" t="n">
        <f aca="false">-AL140*Inputs!$C$53/30</f>
        <v>0</v>
      </c>
    </row>
    <row r="177" customFormat="false" ht="15" hidden="false" customHeight="false" outlineLevel="0" collapsed="false">
      <c r="A177" s="6" t="s">
        <v>93</v>
      </c>
      <c r="C177" s="66" t="n">
        <f aca="false">-C140*Inputs!$C$54/30</f>
        <v>529.565277777778</v>
      </c>
      <c r="D177" s="66" t="n">
        <f aca="false">-D140*Inputs!$C$54/30</f>
        <v>870.2373125</v>
      </c>
      <c r="E177" s="66" t="n">
        <f aca="false">-E140*Inputs!$C$54/30</f>
        <v>1202.10810024306</v>
      </c>
      <c r="F177" s="66" t="n">
        <f aca="false">-F140*Inputs!$C$54/30</f>
        <v>1525.40620556476</v>
      </c>
      <c r="G177" s="66" t="n">
        <f aca="false">-G140*Inputs!$C$54/30</f>
        <v>1840.35422290747</v>
      </c>
      <c r="H177" s="66" t="n">
        <f aca="false">-H140*Inputs!$C$54/30</f>
        <v>2147.16893353105</v>
      </c>
      <c r="I177" s="66" t="n">
        <f aca="false">-I140*Inputs!$C$54/30</f>
        <v>2446.06145829204</v>
      </c>
      <c r="J177" s="66" t="n">
        <f aca="false">-J140*Inputs!$C$54/30</f>
        <v>2737.23740637992</v>
      </c>
      <c r="K177" s="66" t="n">
        <f aca="false">-K140*Inputs!$C$54/30</f>
        <v>3020.89702011814</v>
      </c>
      <c r="L177" s="66" t="n">
        <f aca="false">-L140*Inputs!$C$54/30</f>
        <v>3297.23531593485</v>
      </c>
      <c r="M177" s="66" t="n">
        <f aca="false">-M140*Inputs!$C$54/30</f>
        <v>3566.44222160545</v>
      </c>
      <c r="N177" s="66" t="n">
        <f aca="false">-N140*Inputs!$C$54/30</f>
        <v>3828.7027098661</v>
      </c>
      <c r="O177" s="66" t="n">
        <f aca="false">-O140*Inputs!$C$54/30</f>
        <v>4132.25708405066</v>
      </c>
      <c r="P177" s="66" t="n">
        <f aca="false">-P140*Inputs!$C$54/30</f>
        <v>4476.043511956</v>
      </c>
      <c r="Q177" s="66" t="n">
        <f aca="false">-Q140*Inputs!$C$54/30</f>
        <v>4810.96743618017</v>
      </c>
      <c r="R177" s="66" t="n">
        <f aca="false">-R140*Inputs!$C$54/30</f>
        <v>5137.25845460472</v>
      </c>
      <c r="S177" s="66" t="n">
        <f aca="false">-S140*Inputs!$C$54/30</f>
        <v>5455.14018410545</v>
      </c>
      <c r="T177" s="66" t="n">
        <f aca="false">-T140*Inputs!$C$54/30</f>
        <v>5764.83041730935</v>
      </c>
      <c r="U177" s="66" t="n">
        <f aca="false">-U140*Inputs!$C$54/30</f>
        <v>6066.54127521562</v>
      </c>
      <c r="V177" s="66" t="n">
        <f aca="false">-V140*Inputs!$C$54/30</f>
        <v>6360.47935579073</v>
      </c>
      <c r="W177" s="66" t="n">
        <f aca="false">-W140*Inputs!$C$54/30</f>
        <v>6646.84587864447</v>
      </c>
      <c r="X177" s="66" t="n">
        <f aca="false">-X140*Inputs!$C$54/30</f>
        <v>6925.83682589107</v>
      </c>
      <c r="Y177" s="66" t="n">
        <f aca="false">-Y140*Inputs!$C$54/30</f>
        <v>7197.64307929679</v>
      </c>
      <c r="Z177" s="66" t="n">
        <f aca="false">-Z140*Inputs!$C$54/30</f>
        <v>7462.45055381245</v>
      </c>
      <c r="AA177" s="66" t="n">
        <f aca="false">-AA140*Inputs!$C$54/30</f>
        <v>7782.01914965361</v>
      </c>
      <c r="AB177" s="66" t="n">
        <f aca="false">-AB140*Inputs!$C$54/30</f>
        <v>8154.94103087014</v>
      </c>
      <c r="AC177" s="66" t="n">
        <f aca="false">-AC140*Inputs!$C$54/30</f>
        <v>8518.26589958153</v>
      </c>
      <c r="AD177" s="66" t="n">
        <f aca="false">-AD140*Inputs!$C$54/30</f>
        <v>8872.24190006463</v>
      </c>
      <c r="AE177" s="66" t="n">
        <f aca="false">-AE140*Inputs!$C$54/30</f>
        <v>9217.11072642048</v>
      </c>
      <c r="AF177" s="66" t="n">
        <f aca="false">-AF140*Inputs!$C$54/30</f>
        <v>9553.10779122571</v>
      </c>
      <c r="AG177" s="66" t="n">
        <f aca="false">-AG140*Inputs!$C$54/30</f>
        <v>9880.46238974584</v>
      </c>
      <c r="AH177" s="66" t="n">
        <f aca="false">-AH140*Inputs!$C$54/30</f>
        <v>10199.3978598279</v>
      </c>
      <c r="AI177" s="66" t="n">
        <f aca="false">-AI140*Inputs!$C$54/30</f>
        <v>10510.1317375872</v>
      </c>
      <c r="AJ177" s="66" t="n">
        <f aca="false">-AJ140*Inputs!$C$54/30</f>
        <v>10812.8759089989</v>
      </c>
      <c r="AK177" s="66" t="n">
        <f aca="false">-AK140*Inputs!$C$54/30</f>
        <v>11107.8367575037</v>
      </c>
      <c r="AL177" s="66" t="n">
        <f aca="false">-AL140*Inputs!$C$54/30</f>
        <v>11395.215307733</v>
      </c>
    </row>
    <row r="178" customFormat="false" ht="15" hidden="false" customHeight="false" outlineLevel="0" collapsed="false">
      <c r="A178" s="6" t="s">
        <v>322</v>
      </c>
      <c r="C178" s="66" t="n">
        <f aca="false">-C175</f>
        <v>-734.479166666667</v>
      </c>
      <c r="D178" s="66" t="n">
        <f aca="false">C175-D175</f>
        <v>-472.971354166667</v>
      </c>
      <c r="E178" s="66" t="n">
        <f aca="false">D175-E175</f>
        <v>-461.1470703125</v>
      </c>
      <c r="F178" s="66" t="n">
        <f aca="false">E175-F175</f>
        <v>-449.618393554688</v>
      </c>
      <c r="G178" s="66" t="n">
        <f aca="false">F175-G175</f>
        <v>-438.377933715821</v>
      </c>
      <c r="H178" s="66" t="n">
        <f aca="false">G175-H175</f>
        <v>-427.418485372925</v>
      </c>
      <c r="I178" s="66" t="n">
        <f aca="false">H175-I175</f>
        <v>-416.733023238602</v>
      </c>
      <c r="J178" s="66" t="n">
        <f aca="false">I175-J175</f>
        <v>-406.314697657637</v>
      </c>
      <c r="K178" s="66" t="n">
        <f aca="false">J175-K175</f>
        <v>-396.156830216195</v>
      </c>
      <c r="L178" s="66" t="n">
        <f aca="false">K175-L175</f>
        <v>-386.252909460791</v>
      </c>
      <c r="M178" s="66" t="n">
        <f aca="false">L175-M175</f>
        <v>-376.596586724271</v>
      </c>
      <c r="N178" s="66" t="n">
        <f aca="false">M175-N175</f>
        <v>-367.181672056164</v>
      </c>
      <c r="O178" s="66" t="n">
        <f aca="false">N175-O175</f>
        <v>-426.176463588095</v>
      </c>
      <c r="P178" s="66" t="n">
        <f aca="false">O175-P175</f>
        <v>-483.696385331723</v>
      </c>
      <c r="Q178" s="66" t="n">
        <f aca="false">P175-Q175</f>
        <v>-471.603975698432</v>
      </c>
      <c r="R178" s="66" t="n">
        <f aca="false">Q175-R175</f>
        <v>-459.81387630597</v>
      </c>
      <c r="S178" s="66" t="n">
        <f aca="false">R175-S175</f>
        <v>-448.318529398322</v>
      </c>
      <c r="T178" s="66" t="n">
        <f aca="false">S175-T175</f>
        <v>-437.110566163364</v>
      </c>
      <c r="U178" s="66" t="n">
        <f aca="false">T175-U175</f>
        <v>-426.182802009278</v>
      </c>
      <c r="V178" s="66" t="n">
        <f aca="false">U175-V175</f>
        <v>-415.528231959048</v>
      </c>
      <c r="W178" s="66" t="n">
        <f aca="false">V175-W175</f>
        <v>-405.140026160072</v>
      </c>
      <c r="X178" s="66" t="n">
        <f aca="false">W175-X175</f>
        <v>-395.011525506068</v>
      </c>
      <c r="Y178" s="66" t="n">
        <f aca="false">X175-Y175</f>
        <v>-385.136237368419</v>
      </c>
      <c r="Z178" s="66" t="n">
        <f aca="false">Y175-Z175</f>
        <v>-375.507831434205</v>
      </c>
      <c r="AA178" s="66" t="n">
        <f aca="false">Z175-AA175</f>
        <v>-453.84039464835</v>
      </c>
      <c r="AB178" s="66" t="n">
        <f aca="false">AA175-AB175</f>
        <v>-530.214643782143</v>
      </c>
      <c r="AC178" s="66" t="n">
        <f aca="false">AB175-AC175</f>
        <v>-516.959277687589</v>
      </c>
      <c r="AD178" s="66" t="n">
        <f aca="false">AC175-AD175</f>
        <v>-504.035295745396</v>
      </c>
      <c r="AE178" s="66" t="n">
        <f aca="false">AD175-AE175</f>
        <v>-491.434413351768</v>
      </c>
      <c r="AF178" s="66" t="n">
        <f aca="false">AE175-AF175</f>
        <v>-479.148553017971</v>
      </c>
      <c r="AG178" s="66" t="n">
        <f aca="false">AF175-AG175</f>
        <v>-467.169839192518</v>
      </c>
      <c r="AH178" s="66" t="n">
        <f aca="false">AG175-AH175</f>
        <v>-455.490593212708</v>
      </c>
      <c r="AI178" s="66" t="n">
        <f aca="false">AH175-AI175</f>
        <v>-444.103328382391</v>
      </c>
      <c r="AJ178" s="66" t="n">
        <f aca="false">AI175-AJ175</f>
        <v>-433.000745172831</v>
      </c>
      <c r="AK178" s="66" t="n">
        <f aca="false">AJ175-AK175</f>
        <v>-422.175726543506</v>
      </c>
      <c r="AL178" s="66" t="n">
        <f aca="false">AK175-AL175</f>
        <v>-411.621333379922</v>
      </c>
    </row>
    <row r="179" customFormat="false" ht="15" hidden="false" customHeight="false" outlineLevel="0" collapsed="false">
      <c r="A179" s="6" t="s">
        <v>323</v>
      </c>
      <c r="C179" s="66" t="n">
        <f aca="false">-C176</f>
        <v>-0</v>
      </c>
      <c r="D179" s="66" t="n">
        <f aca="false">C176-D176</f>
        <v>0</v>
      </c>
      <c r="E179" s="66" t="n">
        <f aca="false">D176-E176</f>
        <v>0</v>
      </c>
      <c r="F179" s="66" t="n">
        <f aca="false">E176-F176</f>
        <v>0</v>
      </c>
      <c r="G179" s="66" t="n">
        <f aca="false">F176-G176</f>
        <v>0</v>
      </c>
      <c r="H179" s="66" t="n">
        <f aca="false">G176-H176</f>
        <v>0</v>
      </c>
      <c r="I179" s="66" t="n">
        <f aca="false">H176-I176</f>
        <v>0</v>
      </c>
      <c r="J179" s="66" t="n">
        <f aca="false">I176-J176</f>
        <v>0</v>
      </c>
      <c r="K179" s="66" t="n">
        <f aca="false">J176-K176</f>
        <v>0</v>
      </c>
      <c r="L179" s="66" t="n">
        <f aca="false">K176-L176</f>
        <v>0</v>
      </c>
      <c r="M179" s="66" t="n">
        <f aca="false">L176-M176</f>
        <v>0</v>
      </c>
      <c r="N179" s="66" t="n">
        <f aca="false">M176-N176</f>
        <v>0</v>
      </c>
      <c r="O179" s="66" t="n">
        <f aca="false">N176-O176</f>
        <v>0</v>
      </c>
      <c r="P179" s="66" t="n">
        <f aca="false">O176-P176</f>
        <v>0</v>
      </c>
      <c r="Q179" s="66" t="n">
        <f aca="false">P176-Q176</f>
        <v>0</v>
      </c>
      <c r="R179" s="66" t="n">
        <f aca="false">Q176-R176</f>
        <v>0</v>
      </c>
      <c r="S179" s="66" t="n">
        <f aca="false">R176-S176</f>
        <v>0</v>
      </c>
      <c r="T179" s="66" t="n">
        <f aca="false">S176-T176</f>
        <v>0</v>
      </c>
      <c r="U179" s="66" t="n">
        <f aca="false">T176-U176</f>
        <v>0</v>
      </c>
      <c r="V179" s="66" t="n">
        <f aca="false">U176-V176</f>
        <v>0</v>
      </c>
      <c r="W179" s="66" t="n">
        <f aca="false">V176-W176</f>
        <v>0</v>
      </c>
      <c r="X179" s="66" t="n">
        <f aca="false">W176-X176</f>
        <v>0</v>
      </c>
      <c r="Y179" s="66" t="n">
        <f aca="false">X176-Y176</f>
        <v>0</v>
      </c>
      <c r="Z179" s="66" t="n">
        <f aca="false">Y176-Z176</f>
        <v>0</v>
      </c>
      <c r="AA179" s="66" t="n">
        <f aca="false">Z176-AA176</f>
        <v>0</v>
      </c>
      <c r="AB179" s="66" t="n">
        <f aca="false">AA176-AB176</f>
        <v>0</v>
      </c>
      <c r="AC179" s="66" t="n">
        <f aca="false">AB176-AC176</f>
        <v>0</v>
      </c>
      <c r="AD179" s="66" t="n">
        <f aca="false">AC176-AD176</f>
        <v>0</v>
      </c>
      <c r="AE179" s="66" t="n">
        <f aca="false">AD176-AE176</f>
        <v>0</v>
      </c>
      <c r="AF179" s="66" t="n">
        <f aca="false">AE176-AF176</f>
        <v>0</v>
      </c>
      <c r="AG179" s="66" t="n">
        <f aca="false">AF176-AG176</f>
        <v>0</v>
      </c>
      <c r="AH179" s="66" t="n">
        <f aca="false">AG176-AH176</f>
        <v>0</v>
      </c>
      <c r="AI179" s="66" t="n">
        <f aca="false">AH176-AI176</f>
        <v>0</v>
      </c>
      <c r="AJ179" s="66" t="n">
        <f aca="false">AI176-AJ176</f>
        <v>0</v>
      </c>
      <c r="AK179" s="66" t="n">
        <f aca="false">AJ176-AK176</f>
        <v>0</v>
      </c>
      <c r="AL179" s="66" t="n">
        <f aca="false">AK176-AL176</f>
        <v>0</v>
      </c>
    </row>
    <row r="180" customFormat="false" ht="15" hidden="false" customHeight="false" outlineLevel="0" collapsed="false">
      <c r="A180" s="6" t="s">
        <v>324</v>
      </c>
      <c r="C180" s="66" t="n">
        <f aca="false">C177</f>
        <v>529.565277777778</v>
      </c>
      <c r="D180" s="66" t="n">
        <f aca="false">D177-C177</f>
        <v>340.672034722222</v>
      </c>
      <c r="E180" s="66" t="n">
        <f aca="false">E177-D177</f>
        <v>331.870787743055</v>
      </c>
      <c r="F180" s="66" t="n">
        <f aca="false">F177-E177</f>
        <v>323.298105321701</v>
      </c>
      <c r="G180" s="66" t="n">
        <f aca="false">G177-F177</f>
        <v>314.948017342715</v>
      </c>
      <c r="H180" s="66" t="n">
        <f aca="false">H177-G177</f>
        <v>306.814710623581</v>
      </c>
      <c r="I180" s="66" t="n">
        <f aca="false">I177-H177</f>
        <v>298.892524760992</v>
      </c>
      <c r="J180" s="66" t="n">
        <f aca="false">J177-I177</f>
        <v>291.175948087878</v>
      </c>
      <c r="K180" s="66" t="n">
        <f aca="false">K177-J177</f>
        <v>283.659613738214</v>
      </c>
      <c r="L180" s="66" t="n">
        <f aca="false">L177-K177</f>
        <v>276.338295816716</v>
      </c>
      <c r="M180" s="66" t="n">
        <f aca="false">M177-L177</f>
        <v>269.206905670598</v>
      </c>
      <c r="N180" s="66" t="n">
        <f aca="false">N177-M177</f>
        <v>262.260488260652</v>
      </c>
      <c r="O180" s="66" t="n">
        <f aca="false">O177-N177</f>
        <v>303.554374184558</v>
      </c>
      <c r="P180" s="66" t="n">
        <f aca="false">P177-O177</f>
        <v>343.786427905339</v>
      </c>
      <c r="Q180" s="66" t="n">
        <f aca="false">Q177-P177</f>
        <v>334.923924224174</v>
      </c>
      <c r="R180" s="66" t="n">
        <f aca="false">R177-Q177</f>
        <v>326.291018424546</v>
      </c>
      <c r="S180" s="66" t="n">
        <f aca="false">S177-R177</f>
        <v>317.881729500726</v>
      </c>
      <c r="T180" s="66" t="n">
        <f aca="false">T177-S177</f>
        <v>309.690233203901</v>
      </c>
      <c r="U180" s="66" t="n">
        <f aca="false">U177-T177</f>
        <v>301.710857906272</v>
      </c>
      <c r="V180" s="66" t="n">
        <f aca="false">V177-U177</f>
        <v>293.938080575113</v>
      </c>
      <c r="W180" s="66" t="n">
        <f aca="false">W177-V177</f>
        <v>286.366522853738</v>
      </c>
      <c r="X180" s="66" t="n">
        <f aca="false">X177-W177</f>
        <v>278.990947246603</v>
      </c>
      <c r="Y180" s="66" t="n">
        <f aca="false">Y177-X177</f>
        <v>271.806253405723</v>
      </c>
      <c r="Z180" s="66" t="n">
        <f aca="false">Z177-Y177</f>
        <v>264.807474515658</v>
      </c>
      <c r="AA180" s="66" t="n">
        <f aca="false">AA177-Z177</f>
        <v>319.568595841158</v>
      </c>
      <c r="AB180" s="66" t="n">
        <f aca="false">AB177-AA177</f>
        <v>372.921881216533</v>
      </c>
      <c r="AC180" s="66" t="n">
        <f aca="false">AC177-AB177</f>
        <v>363.324868711385</v>
      </c>
      <c r="AD180" s="66" t="n">
        <f aca="false">AD177-AC177</f>
        <v>353.976000483104</v>
      </c>
      <c r="AE180" s="66" t="n">
        <f aca="false">AE177-AD177</f>
        <v>344.868826355851</v>
      </c>
      <c r="AF180" s="66" t="n">
        <f aca="false">AF177-AE177</f>
        <v>335.997064805229</v>
      </c>
      <c r="AG180" s="66" t="n">
        <f aca="false">AG177-AF177</f>
        <v>327.354598520125</v>
      </c>
      <c r="AH180" s="66" t="n">
        <f aca="false">AH177-AG177</f>
        <v>318.935470082099</v>
      </c>
      <c r="AI180" s="66" t="n">
        <f aca="false">AI177-AH177</f>
        <v>310.733877759274</v>
      </c>
      <c r="AJ180" s="66" t="n">
        <f aca="false">AJ177-AI177</f>
        <v>302.744171411643</v>
      </c>
      <c r="AK180" s="66" t="n">
        <f aca="false">AK177-AJ177</f>
        <v>294.960848504812</v>
      </c>
      <c r="AL180" s="66" t="n">
        <f aca="false">AL177-AK177</f>
        <v>287.378550229299</v>
      </c>
    </row>
    <row r="181" customFormat="false" ht="15" hidden="false" customHeight="false" outlineLevel="0" collapsed="false">
      <c r="A181" s="6" t="s">
        <v>94</v>
      </c>
      <c r="C181" s="66" t="n">
        <f aca="false">C136*Inputs!$C$17*6</f>
        <v>7012.5</v>
      </c>
      <c r="D181" s="66" t="n">
        <f aca="false">D136*Inputs!$C$17*6</f>
        <v>10374.7875</v>
      </c>
      <c r="E181" s="66" t="n">
        <f aca="false">E136*Inputs!$C$17*6</f>
        <v>13653.0178125</v>
      </c>
      <c r="F181" s="66" t="n">
        <f aca="false">F136*Inputs!$C$17*6</f>
        <v>16849.2923671875</v>
      </c>
      <c r="G181" s="66" t="n">
        <f aca="false">G136*Inputs!$C$17*6</f>
        <v>19965.6600580078</v>
      </c>
      <c r="H181" s="66" t="n">
        <f aca="false">H136*Inputs!$C$17*6</f>
        <v>23004.1185565576</v>
      </c>
      <c r="I181" s="66" t="n">
        <f aca="false">I136*Inputs!$C$17*6</f>
        <v>25966.6155926437</v>
      </c>
      <c r="J181" s="66" t="n">
        <f aca="false">J136*Inputs!$C$17*6</f>
        <v>28855.0502028276</v>
      </c>
      <c r="K181" s="66" t="n">
        <f aca="false">K136*Inputs!$C$17*6</f>
        <v>31671.2739477569</v>
      </c>
      <c r="L181" s="66" t="n">
        <f aca="false">L136*Inputs!$C$17*6</f>
        <v>34417.092099063</v>
      </c>
      <c r="M181" s="66" t="n">
        <f aca="false">M136*Inputs!$C$17*6</f>
        <v>37094.2647965864</v>
      </c>
      <c r="N181" s="66" t="n">
        <f aca="false">N136*Inputs!$C$17*6</f>
        <v>39704.5081766718</v>
      </c>
      <c r="O181" s="66" t="n">
        <f aca="false">O136*Inputs!$C$17*6</f>
        <v>43231.205872255</v>
      </c>
      <c r="P181" s="66" t="n">
        <f aca="false">P136*Inputs!$C$17*6</f>
        <v>46669.7361254486</v>
      </c>
      <c r="Q181" s="66" t="n">
        <f aca="false">Q136*Inputs!$C$17*6</f>
        <v>50022.3031223124</v>
      </c>
      <c r="R181" s="66" t="n">
        <f aca="false">R136*Inputs!$C$17*6</f>
        <v>53291.0559442546</v>
      </c>
      <c r="S181" s="66" t="n">
        <f aca="false">S136*Inputs!$C$17*6</f>
        <v>56478.0899456482</v>
      </c>
      <c r="T181" s="66" t="n">
        <f aca="false">T136*Inputs!$C$17*6</f>
        <v>59585.448097007</v>
      </c>
      <c r="U181" s="66" t="n">
        <f aca="false">U136*Inputs!$C$17*6</f>
        <v>62615.1222945818</v>
      </c>
      <c r="V181" s="66" t="n">
        <f aca="false">V136*Inputs!$C$17*6</f>
        <v>65569.0546372173</v>
      </c>
      <c r="W181" s="66" t="n">
        <f aca="false">W136*Inputs!$C$17*6</f>
        <v>68449.1386712868</v>
      </c>
      <c r="X181" s="66" t="n">
        <f aca="false">X136*Inputs!$C$17*6</f>
        <v>71257.2206045047</v>
      </c>
      <c r="Y181" s="66" t="n">
        <f aca="false">Y136*Inputs!$C$17*6</f>
        <v>73995.100489392</v>
      </c>
      <c r="Z181" s="66" t="n">
        <f aca="false">Z136*Inputs!$C$17*6</f>
        <v>76664.5333771572</v>
      </c>
      <c r="AA181" s="66" t="n">
        <f aca="false">AA136*Inputs!$C$17*6</f>
        <v>80530.4021723283</v>
      </c>
      <c r="AB181" s="66" t="n">
        <f aca="false">AB136*Inputs!$C$17*6</f>
        <v>84299.6242476201</v>
      </c>
      <c r="AC181" s="66" t="n">
        <f aca="false">AC136*Inputs!$C$17*6</f>
        <v>87974.6157710296</v>
      </c>
      <c r="AD181" s="66" t="n">
        <f aca="false">AD136*Inputs!$C$17*6</f>
        <v>91557.7325063538</v>
      </c>
      <c r="AE181" s="66" t="n">
        <f aca="false">AE136*Inputs!$C$17*6</f>
        <v>95051.271323295</v>
      </c>
      <c r="AF181" s="66" t="n">
        <f aca="false">AF136*Inputs!$C$17*6</f>
        <v>98457.4716698126</v>
      </c>
      <c r="AG181" s="66" t="n">
        <f aca="false">AG136*Inputs!$C$17*6</f>
        <v>101778.517007667</v>
      </c>
      <c r="AH181" s="66" t="n">
        <f aca="false">AH136*Inputs!$C$17*6</f>
        <v>105016.536212076</v>
      </c>
      <c r="AI181" s="66" t="n">
        <f aca="false">AI136*Inputs!$C$17*6</f>
        <v>108173.604936374</v>
      </c>
      <c r="AJ181" s="66" t="n">
        <f aca="false">AJ136*Inputs!$C$17*6</f>
        <v>111251.746942564</v>
      </c>
      <c r="AK181" s="66" t="n">
        <f aca="false">AK136*Inputs!$C$17*6</f>
        <v>114252.9353986</v>
      </c>
      <c r="AL181" s="66" t="n">
        <f aca="false">AL136*Inputs!$C$17*6</f>
        <v>117179.094143235</v>
      </c>
    </row>
    <row r="182" customFormat="false" ht="15" hidden="false" customHeight="false" outlineLevel="0" collapsed="false">
      <c r="A182" s="6" t="s">
        <v>325</v>
      </c>
      <c r="C182" s="66" t="n">
        <f aca="false">C181</f>
        <v>7012.5</v>
      </c>
      <c r="D182" s="66" t="n">
        <f aca="false">D181-C181</f>
        <v>3362.2875</v>
      </c>
      <c r="E182" s="66" t="n">
        <f aca="false">E181-D181</f>
        <v>3278.2303125</v>
      </c>
      <c r="F182" s="66" t="n">
        <f aca="false">F181-E181</f>
        <v>3196.2745546875</v>
      </c>
      <c r="G182" s="66" t="n">
        <f aca="false">G181-F181</f>
        <v>3116.36769082031</v>
      </c>
      <c r="H182" s="66" t="n">
        <f aca="false">H181-G181</f>
        <v>3038.45849854981</v>
      </c>
      <c r="I182" s="66" t="n">
        <f aca="false">I181-H181</f>
        <v>2962.49703608606</v>
      </c>
      <c r="J182" s="66" t="n">
        <f aca="false">J181-I181</f>
        <v>2888.43461018391</v>
      </c>
      <c r="K182" s="66" t="n">
        <f aca="false">K181-J181</f>
        <v>2816.22374492931</v>
      </c>
      <c r="L182" s="66" t="n">
        <f aca="false">L181-K181</f>
        <v>2745.81815130608</v>
      </c>
      <c r="M182" s="66" t="n">
        <f aca="false">M181-L181</f>
        <v>2677.17269752342</v>
      </c>
      <c r="N182" s="66" t="n">
        <f aca="false">N181-M181</f>
        <v>2610.24338008535</v>
      </c>
      <c r="O182" s="66" t="n">
        <f aca="false">O181-N181</f>
        <v>3526.69769558321</v>
      </c>
      <c r="P182" s="66" t="n">
        <f aca="false">P181-O181</f>
        <v>3438.53025319362</v>
      </c>
      <c r="Q182" s="66" t="n">
        <f aca="false">Q181-P181</f>
        <v>3352.56699686379</v>
      </c>
      <c r="R182" s="66" t="n">
        <f aca="false">R181-Q181</f>
        <v>3268.75282194219</v>
      </c>
      <c r="S182" s="66" t="n">
        <f aca="false">S181-R181</f>
        <v>3187.03400139364</v>
      </c>
      <c r="T182" s="66" t="n">
        <f aca="false">T181-S181</f>
        <v>3107.3581513588</v>
      </c>
      <c r="U182" s="66" t="n">
        <f aca="false">U181-T181</f>
        <v>3029.67419757482</v>
      </c>
      <c r="V182" s="66" t="n">
        <f aca="false">V181-U181</f>
        <v>2953.93234263546</v>
      </c>
      <c r="W182" s="66" t="n">
        <f aca="false">W181-V181</f>
        <v>2880.08403406957</v>
      </c>
      <c r="X182" s="66" t="n">
        <f aca="false">X181-W181</f>
        <v>2808.08193321782</v>
      </c>
      <c r="Y182" s="66" t="n">
        <f aca="false">Y181-X181</f>
        <v>2737.87988488737</v>
      </c>
      <c r="Z182" s="66" t="n">
        <f aca="false">Z181-Y181</f>
        <v>2669.4328877652</v>
      </c>
      <c r="AA182" s="66" t="n">
        <f aca="false">AA181-Z181</f>
        <v>3865.86879517106</v>
      </c>
      <c r="AB182" s="66" t="n">
        <f aca="false">AB181-AA181</f>
        <v>3769.22207529178</v>
      </c>
      <c r="AC182" s="66" t="n">
        <f aca="false">AC181-AB181</f>
        <v>3674.99152340948</v>
      </c>
      <c r="AD182" s="66" t="n">
        <f aca="false">AD181-AC181</f>
        <v>3583.11673532426</v>
      </c>
      <c r="AE182" s="66" t="n">
        <f aca="false">AE181-AD181</f>
        <v>3493.53881694116</v>
      </c>
      <c r="AF182" s="66" t="n">
        <f aca="false">AF181-AE181</f>
        <v>3406.20034651762</v>
      </c>
      <c r="AG182" s="66" t="n">
        <f aca="false">AG181-AF181</f>
        <v>3321.04533785467</v>
      </c>
      <c r="AH182" s="66" t="n">
        <f aca="false">AH181-AG181</f>
        <v>3238.01920440832</v>
      </c>
      <c r="AI182" s="66" t="n">
        <f aca="false">AI181-AH181</f>
        <v>3157.06872429809</v>
      </c>
      <c r="AJ182" s="66" t="n">
        <f aca="false">AJ181-AI181</f>
        <v>3078.14200619064</v>
      </c>
      <c r="AK182" s="66" t="n">
        <f aca="false">AK181-AJ181</f>
        <v>3001.18845603586</v>
      </c>
      <c r="AL182" s="66" t="n">
        <f aca="false">AL181-AK181</f>
        <v>2926.158744635</v>
      </c>
    </row>
    <row r="184" customFormat="false" ht="15.75" hidden="false" customHeight="true" outlineLevel="0" collapsed="false">
      <c r="A184" s="7" t="s">
        <v>394</v>
      </c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</row>
    <row r="185" customFormat="false" ht="15" hidden="false" customHeight="false" outlineLevel="0" collapsed="false">
      <c r="A185" s="4" t="s">
        <v>52</v>
      </c>
      <c r="C185" s="72" t="n">
        <f aca="false">C159-C164+C178+C179+C180+C182</f>
        <v>-64465.1041666667</v>
      </c>
      <c r="D185" s="72" t="n">
        <f aca="false">D159-D164+D178+D179+D180+D182</f>
        <v>-65545.5460069444</v>
      </c>
      <c r="E185" s="72" t="n">
        <f aca="false">E159-E164+E178+E179+E180+E182</f>
        <v>-63191.5685234375</v>
      </c>
      <c r="F185" s="72" t="n">
        <f aca="false">F159-F164+F178+F179+F180+F182</f>
        <v>-60896.1560309071</v>
      </c>
      <c r="G185" s="72" t="n">
        <f aca="false">G159-G164+G178+G179+G180+G182</f>
        <v>-58657.8529379622</v>
      </c>
      <c r="H185" s="72" t="n">
        <f aca="false">H159-H164+H178+H179+H180+H182</f>
        <v>-56475.239786995</v>
      </c>
      <c r="I185" s="72" t="n">
        <f aca="false">I159-I164+I178+I179+I180+I182</f>
        <v>-54346.9323585164</v>
      </c>
      <c r="J185" s="72" t="n">
        <f aca="false">J159-J164+J178+J179+J180+J182</f>
        <v>-52271.5807976527</v>
      </c>
      <c r="K185" s="72" t="n">
        <f aca="false">K159-K164+K178+K179+K180+K182</f>
        <v>-50247.8687622566</v>
      </c>
      <c r="L185" s="72" t="n">
        <f aca="false">L159-L164+L178+L179+L180+L182</f>
        <v>-48274.5125920979</v>
      </c>
      <c r="M185" s="72" t="n">
        <f aca="false">M159-M164+M178+M179+M180+M182</f>
        <v>-46350.2604986151</v>
      </c>
      <c r="N185" s="72" t="n">
        <f aca="false">N159-N164+N178+N179+N180+N182</f>
        <v>-44473.8917747187</v>
      </c>
      <c r="O185" s="72" t="n">
        <f aca="false">O159-O164+O178+O179+O180+O182</f>
        <v>-77951.6339574849</v>
      </c>
      <c r="P185" s="72" t="n">
        <f aca="false">P159-P164+P178+P179+P180+P182</f>
        <v>-75498.6973838123</v>
      </c>
      <c r="Q185" s="72" t="n">
        <f aca="false">Q159-Q164+Q178+Q179+Q180+Q182</f>
        <v>-73086.7308042236</v>
      </c>
      <c r="R185" s="72" t="n">
        <f aca="false">R159-R164+R178+R179+R180+R182</f>
        <v>-70734.7955461411</v>
      </c>
      <c r="S185" s="72" t="n">
        <f aca="false">S159-S164+S178+S179+S180+S182</f>
        <v>-68441.3988618166</v>
      </c>
      <c r="T185" s="72" t="n">
        <f aca="false">T159-T164+T178+T179+T180+T182</f>
        <v>-66205.085081137</v>
      </c>
      <c r="U185" s="72" t="n">
        <f aca="false">U159-U164+U178+U179+U180+U182</f>
        <v>-64024.4346919152</v>
      </c>
      <c r="V185" s="72" t="n">
        <f aca="false">V159-V164+V178+V179+V180+V182</f>
        <v>-61898.0634429563</v>
      </c>
      <c r="W185" s="72" t="n">
        <f aca="false">W159-W164+W178+W179+W180+W182</f>
        <v>-59824.6214693379</v>
      </c>
      <c r="X185" s="72" t="n">
        <f aca="false">X159-X164+X178+X179+X180+X182</f>
        <v>-57802.7924393529</v>
      </c>
      <c r="Y185" s="72" t="n">
        <f aca="false">Y159-Y164+Y178+Y179+Y180+Y182</f>
        <v>-55831.2927225818</v>
      </c>
      <c r="Z185" s="72" t="n">
        <f aca="false">Z159-Z164+Z178+Z179+Z180+Z182</f>
        <v>-53908.8705785703</v>
      </c>
      <c r="AA185" s="72" t="n">
        <f aca="false">AA159-AA164+AA178+AA179+AA180+AA182</f>
        <v>-106872.332341004</v>
      </c>
      <c r="AB185" s="72" t="n">
        <f aca="false">AB159-AB164+AB178+AB179+AB180+AB182</f>
        <v>-104183.634043166</v>
      </c>
      <c r="AC185" s="72" t="n">
        <f aca="false">AC159-AC164+AC178+AC179+AC180+AC182</f>
        <v>-101535.775444044</v>
      </c>
      <c r="AD185" s="72" t="n">
        <f aca="false">AD159-AD164+AD178+AD179+AD180+AD182</f>
        <v>-98953.8393444263</v>
      </c>
      <c r="AE185" s="72" t="n">
        <f aca="false">AE159-AE164+AE178+AE179+AE180+AE182</f>
        <v>-96436.1859007883</v>
      </c>
      <c r="AF185" s="72" t="n">
        <f aca="false">AF159-AF164+AF178+AF179+AF180+AF182</f>
        <v>-93981.216019126</v>
      </c>
      <c r="AG185" s="72" t="n">
        <f aca="false">AG159-AG164+AG178+AG179+AG180+AG182</f>
        <v>-91587.3703436136</v>
      </c>
      <c r="AH185" s="72" t="n">
        <f aca="false">AH159-AH164+AH178+AH179+AH180+AH182</f>
        <v>-89253.1282703241</v>
      </c>
      <c r="AI185" s="72" t="n">
        <f aca="false">AI159-AI164+AI178+AI179+AI180+AI182</f>
        <v>-86977.0069853917</v>
      </c>
      <c r="AJ185" s="72" t="n">
        <f aca="false">AJ159-AJ164+AJ178+AJ179+AJ180+AJ182</f>
        <v>-84757.5605270119</v>
      </c>
      <c r="AK185" s="72" t="n">
        <f aca="false">AK159-AK164+AK178+AK179+AK180+AK182</f>
        <v>-82593.378870688</v>
      </c>
      <c r="AL185" s="72" t="n">
        <f aca="false">AL159-AL164+AL178+AL179+AL180+AL182</f>
        <v>-80483.0870371505</v>
      </c>
    </row>
    <row r="186" customFormat="false" ht="15" hidden="false" customHeight="false" outlineLevel="0" collapsed="false">
      <c r="A186" s="6" t="s">
        <v>395</v>
      </c>
      <c r="C186" s="66" t="n">
        <f aca="false">-C162</f>
        <v>-20000</v>
      </c>
      <c r="D186" s="66" t="n">
        <f aca="false">-D162</f>
        <v>-0</v>
      </c>
      <c r="E186" s="66" t="n">
        <f aca="false">-E162</f>
        <v>-0</v>
      </c>
      <c r="F186" s="66" t="n">
        <f aca="false">-F162</f>
        <v>-0</v>
      </c>
      <c r="G186" s="66" t="n">
        <f aca="false">-G162</f>
        <v>-0</v>
      </c>
      <c r="H186" s="66" t="n">
        <f aca="false">-H162</f>
        <v>-0</v>
      </c>
      <c r="I186" s="66" t="n">
        <f aca="false">-I162</f>
        <v>-0</v>
      </c>
      <c r="J186" s="66" t="n">
        <f aca="false">-J162</f>
        <v>-0</v>
      </c>
      <c r="K186" s="66" t="n">
        <f aca="false">-K162</f>
        <v>-0</v>
      </c>
      <c r="L186" s="66" t="n">
        <f aca="false">-L162</f>
        <v>-0</v>
      </c>
      <c r="M186" s="66" t="n">
        <f aca="false">-M162</f>
        <v>-0</v>
      </c>
      <c r="N186" s="66" t="n">
        <f aca="false">-N162</f>
        <v>-0</v>
      </c>
      <c r="O186" s="66" t="n">
        <f aca="false">-O162</f>
        <v>-0</v>
      </c>
      <c r="P186" s="66" t="n">
        <f aca="false">-P162</f>
        <v>-0</v>
      </c>
      <c r="Q186" s="66" t="n">
        <f aca="false">-Q162</f>
        <v>-0</v>
      </c>
      <c r="R186" s="66" t="n">
        <f aca="false">-R162</f>
        <v>-0</v>
      </c>
      <c r="S186" s="66" t="n">
        <f aca="false">-S162</f>
        <v>-0</v>
      </c>
      <c r="T186" s="66" t="n">
        <f aca="false">-T162</f>
        <v>-0</v>
      </c>
      <c r="U186" s="66" t="n">
        <f aca="false">-U162</f>
        <v>-0</v>
      </c>
      <c r="V186" s="66" t="n">
        <f aca="false">-V162</f>
        <v>-0</v>
      </c>
      <c r="W186" s="66" t="n">
        <f aca="false">-W162</f>
        <v>-0</v>
      </c>
      <c r="X186" s="66" t="n">
        <f aca="false">-X162</f>
        <v>-0</v>
      </c>
      <c r="Y186" s="66" t="n">
        <f aca="false">-Y162</f>
        <v>-0</v>
      </c>
      <c r="Z186" s="66" t="n">
        <f aca="false">-Z162</f>
        <v>-0</v>
      </c>
      <c r="AA186" s="66" t="n">
        <f aca="false">-AA162</f>
        <v>-0</v>
      </c>
      <c r="AB186" s="66" t="n">
        <f aca="false">-AB162</f>
        <v>-0</v>
      </c>
      <c r="AC186" s="66" t="n">
        <f aca="false">-AC162</f>
        <v>-0</v>
      </c>
      <c r="AD186" s="66" t="n">
        <f aca="false">-AD162</f>
        <v>-0</v>
      </c>
      <c r="AE186" s="66" t="n">
        <f aca="false">-AE162</f>
        <v>-0</v>
      </c>
      <c r="AF186" s="66" t="n">
        <f aca="false">-AF162</f>
        <v>-0</v>
      </c>
      <c r="AG186" s="66" t="n">
        <f aca="false">-AG162</f>
        <v>-0</v>
      </c>
      <c r="AH186" s="66" t="n">
        <f aca="false">-AH162</f>
        <v>-0</v>
      </c>
      <c r="AI186" s="66" t="n">
        <f aca="false">-AI162</f>
        <v>-0</v>
      </c>
      <c r="AJ186" s="66" t="n">
        <f aca="false">-AJ162</f>
        <v>-0</v>
      </c>
      <c r="AK186" s="66" t="n">
        <f aca="false">-AK162</f>
        <v>-0</v>
      </c>
      <c r="AL186" s="66" t="n">
        <f aca="false">-AL162</f>
        <v>-0</v>
      </c>
    </row>
    <row r="187" customFormat="false" ht="15" hidden="false" customHeight="false" outlineLevel="0" collapsed="false">
      <c r="A187" s="6" t="s">
        <v>63</v>
      </c>
      <c r="C187" s="66" t="n">
        <f aca="false">IF(C$119=1,Inputs!$C$46,0)</f>
        <v>3000000</v>
      </c>
      <c r="D187" s="66" t="n">
        <f aca="false">IF(D$119=1,Inputs!$C$46,0)</f>
        <v>0</v>
      </c>
      <c r="E187" s="66" t="n">
        <f aca="false">IF(E$119=1,Inputs!$C$46,0)</f>
        <v>0</v>
      </c>
      <c r="F187" s="66" t="n">
        <f aca="false">IF(F$119=1,Inputs!$C$46,0)</f>
        <v>0</v>
      </c>
      <c r="G187" s="66" t="n">
        <f aca="false">IF(G$119=1,Inputs!$C$46,0)</f>
        <v>0</v>
      </c>
      <c r="H187" s="66" t="n">
        <f aca="false">IF(H$119=1,Inputs!$C$46,0)</f>
        <v>0</v>
      </c>
      <c r="I187" s="66" t="n">
        <f aca="false">IF(I$119=1,Inputs!$C$46,0)</f>
        <v>0</v>
      </c>
      <c r="J187" s="66" t="n">
        <f aca="false">IF(J$119=1,Inputs!$C$46,0)</f>
        <v>0</v>
      </c>
      <c r="K187" s="66" t="n">
        <f aca="false">IF(K$119=1,Inputs!$C$46,0)</f>
        <v>0</v>
      </c>
      <c r="L187" s="66" t="n">
        <f aca="false">IF(L$119=1,Inputs!$C$46,0)</f>
        <v>0</v>
      </c>
      <c r="M187" s="66" t="n">
        <f aca="false">IF(M$119=1,Inputs!$C$46,0)</f>
        <v>0</v>
      </c>
      <c r="N187" s="66" t="n">
        <f aca="false">IF(N$119=1,Inputs!$C$46,0)</f>
        <v>0</v>
      </c>
      <c r="O187" s="66" t="n">
        <f aca="false">IF(O$119=1,Inputs!$C$46,0)</f>
        <v>0</v>
      </c>
      <c r="P187" s="66" t="n">
        <f aca="false">IF(P$119=1,Inputs!$C$46,0)</f>
        <v>0</v>
      </c>
      <c r="Q187" s="66" t="n">
        <f aca="false">IF(Q$119=1,Inputs!$C$46,0)</f>
        <v>0</v>
      </c>
      <c r="R187" s="66" t="n">
        <f aca="false">IF(R$119=1,Inputs!$C$46,0)</f>
        <v>0</v>
      </c>
      <c r="S187" s="66" t="n">
        <f aca="false">IF(S$119=1,Inputs!$C$46,0)</f>
        <v>0</v>
      </c>
      <c r="T187" s="66" t="n">
        <f aca="false">IF(T$119=1,Inputs!$C$46,0)</f>
        <v>0</v>
      </c>
      <c r="U187" s="66" t="n">
        <f aca="false">IF(U$119=1,Inputs!$C$46,0)</f>
        <v>0</v>
      </c>
      <c r="V187" s="66" t="n">
        <f aca="false">IF(V$119=1,Inputs!$C$46,0)</f>
        <v>0</v>
      </c>
      <c r="W187" s="66" t="n">
        <f aca="false">IF(W$119=1,Inputs!$C$46,0)</f>
        <v>0</v>
      </c>
      <c r="X187" s="66" t="n">
        <f aca="false">IF(X$119=1,Inputs!$C$46,0)</f>
        <v>0</v>
      </c>
      <c r="Y187" s="66" t="n">
        <f aca="false">IF(Y$119=1,Inputs!$C$46,0)</f>
        <v>0</v>
      </c>
      <c r="Z187" s="66" t="n">
        <f aca="false">IF(Z$119=1,Inputs!$C$46,0)</f>
        <v>0</v>
      </c>
      <c r="AA187" s="66" t="n">
        <f aca="false">IF(AA$119=1,Inputs!$C$46,0)</f>
        <v>0</v>
      </c>
      <c r="AB187" s="66" t="n">
        <f aca="false">IF(AB$119=1,Inputs!$C$46,0)</f>
        <v>0</v>
      </c>
      <c r="AC187" s="66" t="n">
        <f aca="false">IF(AC$119=1,Inputs!$C$46,0)</f>
        <v>0</v>
      </c>
      <c r="AD187" s="66" t="n">
        <f aca="false">IF(AD$119=1,Inputs!$C$46,0)</f>
        <v>0</v>
      </c>
      <c r="AE187" s="66" t="n">
        <f aca="false">IF(AE$119=1,Inputs!$C$46,0)</f>
        <v>0</v>
      </c>
      <c r="AF187" s="66" t="n">
        <f aca="false">IF(AF$119=1,Inputs!$C$46,0)</f>
        <v>0</v>
      </c>
      <c r="AG187" s="66" t="n">
        <f aca="false">IF(AG$119=1,Inputs!$C$46,0)</f>
        <v>0</v>
      </c>
      <c r="AH187" s="66" t="n">
        <f aca="false">IF(AH$119=1,Inputs!$C$46,0)</f>
        <v>0</v>
      </c>
      <c r="AI187" s="66" t="n">
        <f aca="false">IF(AI$119=1,Inputs!$C$46,0)</f>
        <v>0</v>
      </c>
      <c r="AJ187" s="66" t="n">
        <f aca="false">IF(AJ$119=1,Inputs!$C$46,0)</f>
        <v>0</v>
      </c>
      <c r="AK187" s="66" t="n">
        <f aca="false">IF(AK$119=1,Inputs!$C$46,0)</f>
        <v>0</v>
      </c>
      <c r="AL187" s="66" t="n">
        <f aca="false">IF(AL$119=1,Inputs!$C$46,0)</f>
        <v>0</v>
      </c>
    </row>
    <row r="188" customFormat="false" ht="15" hidden="false" customHeight="false" outlineLevel="0" collapsed="false">
      <c r="A188" s="6" t="s">
        <v>54</v>
      </c>
      <c r="C188" s="66" t="n">
        <f aca="false">C187+C170+C171</f>
        <v>3000000</v>
      </c>
      <c r="D188" s="66" t="n">
        <f aca="false">D187+D170+D171</f>
        <v>0</v>
      </c>
      <c r="E188" s="66" t="n">
        <f aca="false">E187+E170+E171</f>
        <v>0</v>
      </c>
      <c r="F188" s="66" t="n">
        <f aca="false">F187+F170+F171</f>
        <v>0</v>
      </c>
      <c r="G188" s="66" t="n">
        <f aca="false">G187+G170+G171</f>
        <v>0</v>
      </c>
      <c r="H188" s="66" t="n">
        <f aca="false">H187+H170+H171</f>
        <v>0</v>
      </c>
      <c r="I188" s="66" t="n">
        <f aca="false">I187+I170+I171</f>
        <v>0</v>
      </c>
      <c r="J188" s="66" t="n">
        <f aca="false">J187+J170+J171</f>
        <v>0</v>
      </c>
      <c r="K188" s="66" t="n">
        <f aca="false">K187+K170+K171</f>
        <v>0</v>
      </c>
      <c r="L188" s="66" t="n">
        <f aca="false">L187+L170+L171</f>
        <v>0</v>
      </c>
      <c r="M188" s="66" t="n">
        <f aca="false">M187+M170+M171</f>
        <v>0</v>
      </c>
      <c r="N188" s="66" t="n">
        <f aca="false">N187+N170+N171</f>
        <v>0</v>
      </c>
      <c r="O188" s="66" t="n">
        <f aca="false">O187+O170+O171</f>
        <v>0</v>
      </c>
      <c r="P188" s="66" t="n">
        <f aca="false">P187+P170+P171</f>
        <v>0</v>
      </c>
      <c r="Q188" s="66" t="n">
        <f aca="false">Q187+Q170+Q171</f>
        <v>0</v>
      </c>
      <c r="R188" s="66" t="n">
        <f aca="false">R187+R170+R171</f>
        <v>0</v>
      </c>
      <c r="S188" s="66" t="n">
        <f aca="false">S187+S170+S171</f>
        <v>0</v>
      </c>
      <c r="T188" s="66" t="n">
        <f aca="false">T187+T170+T171</f>
        <v>0</v>
      </c>
      <c r="U188" s="66" t="n">
        <f aca="false">U187+U170+U171</f>
        <v>0</v>
      </c>
      <c r="V188" s="66" t="n">
        <f aca="false">V187+V170+V171</f>
        <v>0</v>
      </c>
      <c r="W188" s="66" t="n">
        <f aca="false">W187+W170+W171</f>
        <v>0</v>
      </c>
      <c r="X188" s="66" t="n">
        <f aca="false">X187+X170+X171</f>
        <v>0</v>
      </c>
      <c r="Y188" s="66" t="n">
        <f aca="false">Y187+Y170+Y171</f>
        <v>0</v>
      </c>
      <c r="Z188" s="66" t="n">
        <f aca="false">Z187+Z170+Z171</f>
        <v>0</v>
      </c>
      <c r="AA188" s="66" t="n">
        <f aca="false">AA187+AA170+AA171</f>
        <v>0</v>
      </c>
      <c r="AB188" s="66" t="n">
        <f aca="false">AB187+AB170+AB171</f>
        <v>0</v>
      </c>
      <c r="AC188" s="66" t="n">
        <f aca="false">AC187+AC170+AC171</f>
        <v>0</v>
      </c>
      <c r="AD188" s="66" t="n">
        <f aca="false">AD187+AD170+AD171</f>
        <v>0</v>
      </c>
      <c r="AE188" s="66" t="n">
        <f aca="false">AE187+AE170+AE171</f>
        <v>0</v>
      </c>
      <c r="AF188" s="66" t="n">
        <f aca="false">AF187+AF170+AF171</f>
        <v>0</v>
      </c>
      <c r="AG188" s="66" t="n">
        <f aca="false">AG187+AG170+AG171</f>
        <v>0</v>
      </c>
      <c r="AH188" s="66" t="n">
        <f aca="false">AH187+AH170+AH171</f>
        <v>0</v>
      </c>
      <c r="AI188" s="66" t="n">
        <f aca="false">AI187+AI170+AI171</f>
        <v>0</v>
      </c>
      <c r="AJ188" s="66" t="n">
        <f aca="false">AJ187+AJ170+AJ171</f>
        <v>0</v>
      </c>
      <c r="AK188" s="66" t="n">
        <f aca="false">AK187+AK170+AK171</f>
        <v>0</v>
      </c>
      <c r="AL188" s="66" t="n">
        <f aca="false">AL187+AL170+AL171</f>
        <v>0</v>
      </c>
    </row>
    <row r="189" customFormat="false" ht="15" hidden="false" customHeight="false" outlineLevel="0" collapsed="false">
      <c r="A189" s="111" t="s">
        <v>396</v>
      </c>
      <c r="C189" s="67" t="n">
        <f aca="false">C185+C186+C188</f>
        <v>2915534.89583333</v>
      </c>
      <c r="D189" s="67" t="n">
        <f aca="false">D185+D186+D188</f>
        <v>-65545.5460069444</v>
      </c>
      <c r="E189" s="67" t="n">
        <f aca="false">E185+E186+E188</f>
        <v>-63191.5685234375</v>
      </c>
      <c r="F189" s="67" t="n">
        <f aca="false">F185+F186+F188</f>
        <v>-60896.1560309071</v>
      </c>
      <c r="G189" s="67" t="n">
        <f aca="false">G185+G186+G188</f>
        <v>-58657.8529379622</v>
      </c>
      <c r="H189" s="67" t="n">
        <f aca="false">H185+H186+H188</f>
        <v>-56475.239786995</v>
      </c>
      <c r="I189" s="67" t="n">
        <f aca="false">I185+I186+I188</f>
        <v>-54346.9323585164</v>
      </c>
      <c r="J189" s="67" t="n">
        <f aca="false">J185+J186+J188</f>
        <v>-52271.5807976527</v>
      </c>
      <c r="K189" s="67" t="n">
        <f aca="false">K185+K186+K188</f>
        <v>-50247.8687622566</v>
      </c>
      <c r="L189" s="67" t="n">
        <f aca="false">L185+L186+L188</f>
        <v>-48274.5125920979</v>
      </c>
      <c r="M189" s="67" t="n">
        <f aca="false">M185+M186+M188</f>
        <v>-46350.2604986151</v>
      </c>
      <c r="N189" s="67" t="n">
        <f aca="false">N185+N186+N188</f>
        <v>-44473.8917747187</v>
      </c>
      <c r="O189" s="67" t="n">
        <f aca="false">O185+O186+O188</f>
        <v>-77951.6339574849</v>
      </c>
      <c r="P189" s="67" t="n">
        <f aca="false">P185+P186+P188</f>
        <v>-75498.6973838123</v>
      </c>
      <c r="Q189" s="67" t="n">
        <f aca="false">Q185+Q186+Q188</f>
        <v>-73086.7308042236</v>
      </c>
      <c r="R189" s="67" t="n">
        <f aca="false">R185+R186+R188</f>
        <v>-70734.7955461411</v>
      </c>
      <c r="S189" s="67" t="n">
        <f aca="false">S185+S186+S188</f>
        <v>-68441.3988618166</v>
      </c>
      <c r="T189" s="67" t="n">
        <f aca="false">T185+T186+T188</f>
        <v>-66205.085081137</v>
      </c>
      <c r="U189" s="67" t="n">
        <f aca="false">U185+U186+U188</f>
        <v>-64024.4346919152</v>
      </c>
      <c r="V189" s="67" t="n">
        <f aca="false">V185+V186+V188</f>
        <v>-61898.0634429563</v>
      </c>
      <c r="W189" s="67" t="n">
        <f aca="false">W185+W186+W188</f>
        <v>-59824.6214693379</v>
      </c>
      <c r="X189" s="67" t="n">
        <f aca="false">X185+X186+X188</f>
        <v>-57802.7924393529</v>
      </c>
      <c r="Y189" s="67" t="n">
        <f aca="false">Y185+Y186+Y188</f>
        <v>-55831.2927225818</v>
      </c>
      <c r="Z189" s="67" t="n">
        <f aca="false">Z185+Z186+Z188</f>
        <v>-53908.8705785703</v>
      </c>
      <c r="AA189" s="67" t="n">
        <f aca="false">AA185+AA186+AA188</f>
        <v>-106872.332341004</v>
      </c>
      <c r="AB189" s="67" t="n">
        <f aca="false">AB185+AB186+AB188</f>
        <v>-104183.634043166</v>
      </c>
      <c r="AC189" s="67" t="n">
        <f aca="false">AC185+AC186+AC188</f>
        <v>-101535.775444044</v>
      </c>
      <c r="AD189" s="67" t="n">
        <f aca="false">AD185+AD186+AD188</f>
        <v>-98953.8393444263</v>
      </c>
      <c r="AE189" s="67" t="n">
        <f aca="false">AE185+AE186+AE188</f>
        <v>-96436.1859007883</v>
      </c>
      <c r="AF189" s="67" t="n">
        <f aca="false">AF185+AF186+AF188</f>
        <v>-93981.216019126</v>
      </c>
      <c r="AG189" s="67" t="n">
        <f aca="false">AG185+AG186+AG188</f>
        <v>-91587.3703436136</v>
      </c>
      <c r="AH189" s="67" t="n">
        <f aca="false">AH185+AH186+AH188</f>
        <v>-89253.1282703241</v>
      </c>
      <c r="AI189" s="67" t="n">
        <f aca="false">AI185+AI186+AI188</f>
        <v>-86977.0069853917</v>
      </c>
      <c r="AJ189" s="67" t="n">
        <f aca="false">AJ185+AJ186+AJ188</f>
        <v>-84757.5605270119</v>
      </c>
      <c r="AK189" s="67" t="n">
        <f aca="false">AK185+AK186+AK188</f>
        <v>-82593.378870688</v>
      </c>
      <c r="AL189" s="67" t="n">
        <f aca="false">AL185+AL186+AL188</f>
        <v>-80483.0870371505</v>
      </c>
    </row>
    <row r="190" customFormat="false" ht="15" hidden="false" customHeight="false" outlineLevel="0" collapsed="false">
      <c r="A190" s="6" t="s">
        <v>326</v>
      </c>
      <c r="C190" s="66" t="n">
        <f aca="false">0</f>
        <v>0</v>
      </c>
      <c r="D190" s="66" t="n">
        <f aca="false">C191</f>
        <v>2915534.89583333</v>
      </c>
      <c r="E190" s="66" t="n">
        <f aca="false">D191</f>
        <v>2849989.34982639</v>
      </c>
      <c r="F190" s="66" t="n">
        <f aca="false">E191</f>
        <v>2786797.78130295</v>
      </c>
      <c r="G190" s="66" t="n">
        <f aca="false">F191</f>
        <v>2725901.62527204</v>
      </c>
      <c r="H190" s="66" t="n">
        <f aca="false">G191</f>
        <v>2667243.77233408</v>
      </c>
      <c r="I190" s="66" t="n">
        <f aca="false">H191</f>
        <v>2610768.53254709</v>
      </c>
      <c r="J190" s="66" t="n">
        <f aca="false">I191</f>
        <v>2556421.60018857</v>
      </c>
      <c r="K190" s="66" t="n">
        <f aca="false">J191</f>
        <v>2504150.01939092</v>
      </c>
      <c r="L190" s="66" t="n">
        <f aca="false">K191</f>
        <v>2453902.15062866</v>
      </c>
      <c r="M190" s="66" t="n">
        <f aca="false">L191</f>
        <v>2405627.63803656</v>
      </c>
      <c r="N190" s="66" t="n">
        <f aca="false">M191</f>
        <v>2359277.37753795</v>
      </c>
      <c r="O190" s="66" t="n">
        <f aca="false">N191</f>
        <v>2314803.48576323</v>
      </c>
      <c r="P190" s="66" t="n">
        <f aca="false">O191</f>
        <v>2236851.85180574</v>
      </c>
      <c r="Q190" s="66" t="n">
        <f aca="false">P191</f>
        <v>2161353.15442193</v>
      </c>
      <c r="R190" s="66" t="n">
        <f aca="false">Q191</f>
        <v>2088266.42361771</v>
      </c>
      <c r="S190" s="66" t="n">
        <f aca="false">R191</f>
        <v>2017531.62807157</v>
      </c>
      <c r="T190" s="66" t="n">
        <f aca="false">S191</f>
        <v>1949090.22920975</v>
      </c>
      <c r="U190" s="66" t="n">
        <f aca="false">T191</f>
        <v>1882885.14412861</v>
      </c>
      <c r="V190" s="66" t="n">
        <f aca="false">U191</f>
        <v>1818860.7094367</v>
      </c>
      <c r="W190" s="66" t="n">
        <f aca="false">V191</f>
        <v>1756962.64599374</v>
      </c>
      <c r="X190" s="66" t="n">
        <f aca="false">W191</f>
        <v>1697138.02452441</v>
      </c>
      <c r="Y190" s="66" t="n">
        <f aca="false">X191</f>
        <v>1639335.23208505</v>
      </c>
      <c r="Z190" s="66" t="n">
        <f aca="false">Y191</f>
        <v>1583503.93936247</v>
      </c>
      <c r="AA190" s="66" t="n">
        <f aca="false">Z191</f>
        <v>1529595.0687839</v>
      </c>
      <c r="AB190" s="66" t="n">
        <f aca="false">AA191</f>
        <v>1422722.7364429</v>
      </c>
      <c r="AC190" s="66" t="n">
        <f aca="false">AB191</f>
        <v>1318539.10239973</v>
      </c>
      <c r="AD190" s="66" t="n">
        <f aca="false">AC191</f>
        <v>1217003.32695569</v>
      </c>
      <c r="AE190" s="66" t="n">
        <f aca="false">AD191</f>
        <v>1118049.48761126</v>
      </c>
      <c r="AF190" s="66" t="n">
        <f aca="false">AE191</f>
        <v>1021613.30171047</v>
      </c>
      <c r="AG190" s="66" t="n">
        <f aca="false">AF191</f>
        <v>927632.085691346</v>
      </c>
      <c r="AH190" s="66" t="n">
        <f aca="false">AG191</f>
        <v>836044.715347732</v>
      </c>
      <c r="AI190" s="66" t="n">
        <f aca="false">AH191</f>
        <v>746791.587077408</v>
      </c>
      <c r="AJ190" s="66" t="n">
        <f aca="false">AI191</f>
        <v>659814.580092016</v>
      </c>
      <c r="AK190" s="66" t="n">
        <f aca="false">AJ191</f>
        <v>575057.019565004</v>
      </c>
      <c r="AL190" s="66" t="n">
        <f aca="false">AK191</f>
        <v>492463.640694316</v>
      </c>
    </row>
    <row r="191" customFormat="false" ht="15" hidden="false" customHeight="false" outlineLevel="0" collapsed="false">
      <c r="A191" s="111" t="s">
        <v>86</v>
      </c>
      <c r="C191" s="67" t="n">
        <f aca="false">C190+C189</f>
        <v>2915534.89583333</v>
      </c>
      <c r="D191" s="67" t="n">
        <f aca="false">D190+D189</f>
        <v>2849989.34982639</v>
      </c>
      <c r="E191" s="67" t="n">
        <f aca="false">E190+E189</f>
        <v>2786797.78130295</v>
      </c>
      <c r="F191" s="67" t="n">
        <f aca="false">F190+F189</f>
        <v>2725901.62527204</v>
      </c>
      <c r="G191" s="67" t="n">
        <f aca="false">G190+G189</f>
        <v>2667243.77233408</v>
      </c>
      <c r="H191" s="67" t="n">
        <f aca="false">H190+H189</f>
        <v>2610768.53254709</v>
      </c>
      <c r="I191" s="67" t="n">
        <f aca="false">I190+I189</f>
        <v>2556421.60018857</v>
      </c>
      <c r="J191" s="67" t="n">
        <f aca="false">J190+J189</f>
        <v>2504150.01939092</v>
      </c>
      <c r="K191" s="67" t="n">
        <f aca="false">K190+K189</f>
        <v>2453902.15062866</v>
      </c>
      <c r="L191" s="67" t="n">
        <f aca="false">L190+L189</f>
        <v>2405627.63803656</v>
      </c>
      <c r="M191" s="67" t="n">
        <f aca="false">M190+M189</f>
        <v>2359277.37753795</v>
      </c>
      <c r="N191" s="67" t="n">
        <f aca="false">N190+N189</f>
        <v>2314803.48576323</v>
      </c>
      <c r="O191" s="67" t="n">
        <f aca="false">O190+O189</f>
        <v>2236851.85180574</v>
      </c>
      <c r="P191" s="67" t="n">
        <f aca="false">P190+P189</f>
        <v>2161353.15442193</v>
      </c>
      <c r="Q191" s="67" t="n">
        <f aca="false">Q190+Q189</f>
        <v>2088266.42361771</v>
      </c>
      <c r="R191" s="67" t="n">
        <f aca="false">R190+R189</f>
        <v>2017531.62807157</v>
      </c>
      <c r="S191" s="67" t="n">
        <f aca="false">S190+S189</f>
        <v>1949090.22920975</v>
      </c>
      <c r="T191" s="67" t="n">
        <f aca="false">T190+T189</f>
        <v>1882885.14412861</v>
      </c>
      <c r="U191" s="67" t="n">
        <f aca="false">U190+U189</f>
        <v>1818860.7094367</v>
      </c>
      <c r="V191" s="67" t="n">
        <f aca="false">V190+V189</f>
        <v>1756962.64599374</v>
      </c>
      <c r="W191" s="67" t="n">
        <f aca="false">W190+W189</f>
        <v>1697138.02452441</v>
      </c>
      <c r="X191" s="67" t="n">
        <f aca="false">X190+X189</f>
        <v>1639335.23208505</v>
      </c>
      <c r="Y191" s="67" t="n">
        <f aca="false">Y190+Y189</f>
        <v>1583503.93936247</v>
      </c>
      <c r="Z191" s="67" t="n">
        <f aca="false">Z190+Z189</f>
        <v>1529595.0687839</v>
      </c>
      <c r="AA191" s="67" t="n">
        <f aca="false">AA190+AA189</f>
        <v>1422722.7364429</v>
      </c>
      <c r="AB191" s="67" t="n">
        <f aca="false">AB190+AB189</f>
        <v>1318539.10239973</v>
      </c>
      <c r="AC191" s="67" t="n">
        <f aca="false">AC190+AC189</f>
        <v>1217003.32695569</v>
      </c>
      <c r="AD191" s="67" t="n">
        <f aca="false">AD190+AD189</f>
        <v>1118049.48761126</v>
      </c>
      <c r="AE191" s="67" t="n">
        <f aca="false">AE190+AE189</f>
        <v>1021613.30171047</v>
      </c>
      <c r="AF191" s="67" t="n">
        <f aca="false">AF190+AF189</f>
        <v>927632.085691346</v>
      </c>
      <c r="AG191" s="67" t="n">
        <f aca="false">AG190+AG189</f>
        <v>836044.715347732</v>
      </c>
      <c r="AH191" s="67" t="n">
        <f aca="false">AH190+AH189</f>
        <v>746791.587077408</v>
      </c>
      <c r="AI191" s="67" t="n">
        <f aca="false">AI190+AI189</f>
        <v>659814.580092016</v>
      </c>
      <c r="AJ191" s="67" t="n">
        <f aca="false">AJ190+AJ189</f>
        <v>575057.019565004</v>
      </c>
      <c r="AK191" s="67" t="n">
        <f aca="false">AK190+AK189</f>
        <v>492463.640694316</v>
      </c>
      <c r="AL191" s="67" t="n">
        <f aca="false">AL190+AL189</f>
        <v>411980.553657166</v>
      </c>
    </row>
    <row r="192" customFormat="false" ht="15" hidden="false" customHeight="false" outlineLevel="0" collapsed="false">
      <c r="A192" s="119" t="s">
        <v>397</v>
      </c>
      <c r="C192" s="120" t="n">
        <f aca="false">IF(C150&gt;0,1,0)</f>
        <v>0</v>
      </c>
      <c r="D192" s="120" t="n">
        <f aca="false">IF(D150&gt;0,1,0)</f>
        <v>0</v>
      </c>
      <c r="E192" s="120" t="n">
        <f aca="false">IF(E150&gt;0,1,0)</f>
        <v>0</v>
      </c>
      <c r="F192" s="120" t="n">
        <f aca="false">IF(F150&gt;0,1,0)</f>
        <v>0</v>
      </c>
      <c r="G192" s="120" t="n">
        <f aca="false">IF(G150&gt;0,1,0)</f>
        <v>0</v>
      </c>
      <c r="H192" s="120" t="n">
        <f aca="false">IF(H150&gt;0,1,0)</f>
        <v>0</v>
      </c>
      <c r="I192" s="120" t="n">
        <f aca="false">IF(I150&gt;0,1,0)</f>
        <v>0</v>
      </c>
      <c r="J192" s="120" t="n">
        <f aca="false">IF(J150&gt;0,1,0)</f>
        <v>0</v>
      </c>
      <c r="K192" s="120" t="n">
        <f aca="false">IF(K150&gt;0,1,0)</f>
        <v>0</v>
      </c>
      <c r="L192" s="120" t="n">
        <f aca="false">IF(L150&gt;0,1,0)</f>
        <v>0</v>
      </c>
      <c r="M192" s="120" t="n">
        <f aca="false">IF(M150&gt;0,1,0)</f>
        <v>0</v>
      </c>
      <c r="N192" s="120" t="n">
        <f aca="false">IF(N150&gt;0,1,0)</f>
        <v>0</v>
      </c>
      <c r="O192" s="120" t="n">
        <f aca="false">IF(O150&gt;0,1,0)</f>
        <v>0</v>
      </c>
      <c r="P192" s="120" t="n">
        <f aca="false">IF(P150&gt;0,1,0)</f>
        <v>0</v>
      </c>
      <c r="Q192" s="120" t="n">
        <f aca="false">IF(Q150&gt;0,1,0)</f>
        <v>0</v>
      </c>
      <c r="R192" s="120" t="n">
        <f aca="false">IF(R150&gt;0,1,0)</f>
        <v>0</v>
      </c>
      <c r="S192" s="120" t="n">
        <f aca="false">IF(S150&gt;0,1,0)</f>
        <v>0</v>
      </c>
      <c r="T192" s="120" t="n">
        <f aca="false">IF(T150&gt;0,1,0)</f>
        <v>0</v>
      </c>
      <c r="U192" s="120" t="n">
        <f aca="false">IF(U150&gt;0,1,0)</f>
        <v>0</v>
      </c>
      <c r="V192" s="120" t="n">
        <f aca="false">IF(V150&gt;0,1,0)</f>
        <v>0</v>
      </c>
      <c r="W192" s="120" t="n">
        <f aca="false">IF(W150&gt;0,1,0)</f>
        <v>0</v>
      </c>
      <c r="X192" s="120" t="n">
        <f aca="false">IF(X150&gt;0,1,0)</f>
        <v>0</v>
      </c>
      <c r="Y192" s="120" t="n">
        <f aca="false">IF(Y150&gt;0,1,0)</f>
        <v>0</v>
      </c>
      <c r="Z192" s="120" t="n">
        <f aca="false">IF(Z150&gt;0,1,0)</f>
        <v>0</v>
      </c>
      <c r="AA192" s="120" t="n">
        <f aca="false">IF(AA150&gt;0,1,0)</f>
        <v>0</v>
      </c>
      <c r="AB192" s="120" t="n">
        <f aca="false">IF(AB150&gt;0,1,0)</f>
        <v>0</v>
      </c>
      <c r="AC192" s="120" t="n">
        <f aca="false">IF(AC150&gt;0,1,0)</f>
        <v>0</v>
      </c>
      <c r="AD192" s="120" t="n">
        <f aca="false">IF(AD150&gt;0,1,0)</f>
        <v>0</v>
      </c>
      <c r="AE192" s="120" t="n">
        <f aca="false">IF(AE150&gt;0,1,0)</f>
        <v>0</v>
      </c>
      <c r="AF192" s="120" t="n">
        <f aca="false">IF(AF150&gt;0,1,0)</f>
        <v>0</v>
      </c>
      <c r="AG192" s="120" t="n">
        <f aca="false">IF(AG150&gt;0,1,0)</f>
        <v>0</v>
      </c>
      <c r="AH192" s="120" t="n">
        <f aca="false">IF(AH150&gt;0,1,0)</f>
        <v>0</v>
      </c>
      <c r="AI192" s="120" t="n">
        <f aca="false">IF(AI150&gt;0,1,0)</f>
        <v>0</v>
      </c>
      <c r="AJ192" s="120" t="n">
        <f aca="false">IF(AJ150&gt;0,1,0)</f>
        <v>0</v>
      </c>
      <c r="AK192" s="120" t="n">
        <f aca="false">IF(AK150&gt;0,1,0)</f>
        <v>0</v>
      </c>
      <c r="AL192" s="120" t="n">
        <f aca="false">IF(AL150&gt;0,1,0)</f>
        <v>0</v>
      </c>
    </row>
    <row r="194" customFormat="false" ht="15.75" hidden="false" customHeight="true" outlineLevel="0" collapsed="false">
      <c r="A194" s="7" t="s">
        <v>398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customFormat="false" ht="15" hidden="false" customHeight="false" outlineLevel="0" collapsed="false">
      <c r="A195" s="6" t="s">
        <v>399</v>
      </c>
      <c r="C195" s="66" t="n">
        <f aca="false">-(C185+C186)/1</f>
        <v>84465.1041666667</v>
      </c>
      <c r="D195" s="66" t="n">
        <f aca="false">-(D185+D186)/1</f>
        <v>65545.5460069444</v>
      </c>
      <c r="E195" s="66" t="n">
        <f aca="false">-(E185+E186)/1</f>
        <v>63191.5685234375</v>
      </c>
      <c r="F195" s="66" t="n">
        <f aca="false">-(F185+F186)/1</f>
        <v>60896.1560309071</v>
      </c>
      <c r="G195" s="66" t="n">
        <f aca="false">-(G185+G186)/1</f>
        <v>58657.8529379622</v>
      </c>
      <c r="H195" s="66" t="n">
        <f aca="false">-(H185+H186)/1</f>
        <v>56475.239786995</v>
      </c>
      <c r="I195" s="66" t="n">
        <f aca="false">-(I185+I186)/1</f>
        <v>54346.9323585164</v>
      </c>
      <c r="J195" s="66" t="n">
        <f aca="false">-(J185+J186)/1</f>
        <v>52271.5807976527</v>
      </c>
      <c r="K195" s="66" t="n">
        <f aca="false">-(K185+K186)/1</f>
        <v>50247.8687622566</v>
      </c>
      <c r="L195" s="66" t="n">
        <f aca="false">-(L185+L186)/1</f>
        <v>48274.5125920979</v>
      </c>
      <c r="M195" s="66" t="n">
        <f aca="false">-(M185+M186)/1</f>
        <v>46350.2604986151</v>
      </c>
      <c r="N195" s="66" t="n">
        <f aca="false">-(N185+N186)/1</f>
        <v>44473.8917747187</v>
      </c>
      <c r="O195" s="66" t="n">
        <f aca="false">-(O185+O186)/1</f>
        <v>77951.6339574849</v>
      </c>
      <c r="P195" s="66" t="n">
        <f aca="false">-(P185+P186)/1</f>
        <v>75498.6973838123</v>
      </c>
      <c r="Q195" s="66" t="n">
        <f aca="false">-(Q185+Q186)/1</f>
        <v>73086.7308042236</v>
      </c>
      <c r="R195" s="66" t="n">
        <f aca="false">-(R185+R186)/1</f>
        <v>70734.7955461411</v>
      </c>
      <c r="S195" s="66" t="n">
        <f aca="false">-(S185+S186)/1</f>
        <v>68441.3988618166</v>
      </c>
      <c r="T195" s="66" t="n">
        <f aca="false">-(T185+T186)/1</f>
        <v>66205.085081137</v>
      </c>
      <c r="U195" s="66" t="n">
        <f aca="false">-(U185+U186)/1</f>
        <v>64024.4346919152</v>
      </c>
      <c r="V195" s="66" t="n">
        <f aca="false">-(V185+V186)/1</f>
        <v>61898.0634429563</v>
      </c>
      <c r="W195" s="66" t="n">
        <f aca="false">-(W185+W186)/1</f>
        <v>59824.6214693379</v>
      </c>
      <c r="X195" s="66" t="n">
        <f aca="false">-(X185+X186)/1</f>
        <v>57802.7924393529</v>
      </c>
      <c r="Y195" s="66" t="n">
        <f aca="false">-(Y185+Y186)/1</f>
        <v>55831.2927225818</v>
      </c>
      <c r="Z195" s="66" t="n">
        <f aca="false">-(Z185+Z186)/1</f>
        <v>53908.8705785703</v>
      </c>
      <c r="AA195" s="66" t="n">
        <f aca="false">-(AA185+AA186)/1</f>
        <v>106872.332341004</v>
      </c>
      <c r="AB195" s="66" t="n">
        <f aca="false">-(AB185+AB186)/1</f>
        <v>104183.634043166</v>
      </c>
      <c r="AC195" s="66" t="n">
        <f aca="false">-(AC185+AC186)/1</f>
        <v>101535.775444044</v>
      </c>
      <c r="AD195" s="66" t="n">
        <f aca="false">-(AD185+AD186)/1</f>
        <v>98953.8393444263</v>
      </c>
      <c r="AE195" s="66" t="n">
        <f aca="false">-(AE185+AE186)/1</f>
        <v>96436.1859007883</v>
      </c>
      <c r="AF195" s="66" t="n">
        <f aca="false">-(AF185+AF186)/1</f>
        <v>93981.216019126</v>
      </c>
      <c r="AG195" s="66" t="n">
        <f aca="false">-(AG185+AG186)/1</f>
        <v>91587.3703436136</v>
      </c>
      <c r="AH195" s="66" t="n">
        <f aca="false">-(AH185+AH186)/1</f>
        <v>89253.1282703241</v>
      </c>
      <c r="AI195" s="66" t="n">
        <f aca="false">-(AI185+AI186)/1</f>
        <v>86977.0069853917</v>
      </c>
      <c r="AJ195" s="66" t="n">
        <f aca="false">-(AJ185+AJ186)/1</f>
        <v>84757.5605270119</v>
      </c>
      <c r="AK195" s="66" t="n">
        <f aca="false">-(AK185+AK186)/1</f>
        <v>82593.378870688</v>
      </c>
      <c r="AL195" s="66" t="n">
        <f aca="false">-(AL185+AL186)/1</f>
        <v>80483.0870371505</v>
      </c>
    </row>
    <row r="196" customFormat="false" ht="15" hidden="false" customHeight="false" outlineLevel="0" collapsed="false">
      <c r="A196" s="39" t="s">
        <v>238</v>
      </c>
      <c r="C196" s="74" t="n">
        <f aca="false">Inputs!$C$10</f>
        <v>0.03</v>
      </c>
      <c r="D196" s="74" t="n">
        <f aca="false">Inputs!$C$10</f>
        <v>0.03</v>
      </c>
      <c r="E196" s="74" t="n">
        <f aca="false">Inputs!$C$10</f>
        <v>0.03</v>
      </c>
      <c r="F196" s="74" t="n">
        <f aca="false">Inputs!$C$10</f>
        <v>0.03</v>
      </c>
      <c r="G196" s="74" t="n">
        <f aca="false">Inputs!$C$10</f>
        <v>0.03</v>
      </c>
      <c r="H196" s="74" t="n">
        <f aca="false">Inputs!$C$10</f>
        <v>0.03</v>
      </c>
      <c r="I196" s="74" t="n">
        <f aca="false">Inputs!$C$10</f>
        <v>0.03</v>
      </c>
      <c r="J196" s="74" t="n">
        <f aca="false">Inputs!$C$10</f>
        <v>0.03</v>
      </c>
      <c r="K196" s="74" t="n">
        <f aca="false">Inputs!$C$10</f>
        <v>0.03</v>
      </c>
      <c r="L196" s="74" t="n">
        <f aca="false">Inputs!$C$10</f>
        <v>0.03</v>
      </c>
      <c r="M196" s="74" t="n">
        <f aca="false">Inputs!$C$10</f>
        <v>0.03</v>
      </c>
      <c r="N196" s="74" t="n">
        <f aca="false">Inputs!$C$10</f>
        <v>0.03</v>
      </c>
      <c r="O196" s="74" t="n">
        <f aca="false">Inputs!$C$10</f>
        <v>0.03</v>
      </c>
      <c r="P196" s="74" t="n">
        <f aca="false">Inputs!$C$10</f>
        <v>0.03</v>
      </c>
      <c r="Q196" s="74" t="n">
        <f aca="false">Inputs!$C$10</f>
        <v>0.03</v>
      </c>
      <c r="R196" s="74" t="n">
        <f aca="false">Inputs!$C$10</f>
        <v>0.03</v>
      </c>
      <c r="S196" s="74" t="n">
        <f aca="false">Inputs!$C$10</f>
        <v>0.03</v>
      </c>
      <c r="T196" s="74" t="n">
        <f aca="false">Inputs!$C$10</f>
        <v>0.03</v>
      </c>
      <c r="U196" s="74" t="n">
        <f aca="false">Inputs!$C$10</f>
        <v>0.03</v>
      </c>
      <c r="V196" s="74" t="n">
        <f aca="false">Inputs!$C$10</f>
        <v>0.03</v>
      </c>
      <c r="W196" s="74" t="n">
        <f aca="false">Inputs!$C$10</f>
        <v>0.03</v>
      </c>
      <c r="X196" s="74" t="n">
        <f aca="false">Inputs!$C$10</f>
        <v>0.03</v>
      </c>
      <c r="Y196" s="74" t="n">
        <f aca="false">Inputs!$C$10</f>
        <v>0.03</v>
      </c>
      <c r="Z196" s="74" t="n">
        <f aca="false">Inputs!$C$10</f>
        <v>0.03</v>
      </c>
      <c r="AA196" s="74" t="n">
        <f aca="false">Inputs!$C$10</f>
        <v>0.03</v>
      </c>
      <c r="AB196" s="74" t="n">
        <f aca="false">Inputs!$C$10</f>
        <v>0.03</v>
      </c>
      <c r="AC196" s="74" t="n">
        <f aca="false">Inputs!$C$10</f>
        <v>0.03</v>
      </c>
      <c r="AD196" s="74" t="n">
        <f aca="false">Inputs!$C$10</f>
        <v>0.03</v>
      </c>
      <c r="AE196" s="74" t="n">
        <f aca="false">Inputs!$C$10</f>
        <v>0.03</v>
      </c>
      <c r="AF196" s="74" t="n">
        <f aca="false">Inputs!$C$10</f>
        <v>0.03</v>
      </c>
      <c r="AG196" s="74" t="n">
        <f aca="false">Inputs!$C$10</f>
        <v>0.03</v>
      </c>
      <c r="AH196" s="74" t="n">
        <f aca="false">Inputs!$C$10</f>
        <v>0.03</v>
      </c>
      <c r="AI196" s="74" t="n">
        <f aca="false">Inputs!$C$10</f>
        <v>0.03</v>
      </c>
      <c r="AJ196" s="74" t="n">
        <f aca="false">Inputs!$C$10</f>
        <v>0.03</v>
      </c>
      <c r="AK196" s="74" t="n">
        <f aca="false">Inputs!$C$10</f>
        <v>0.03</v>
      </c>
      <c r="AL196" s="74" t="n">
        <f aca="false">Inputs!$C$10</f>
        <v>0.03</v>
      </c>
    </row>
    <row r="198" customFormat="false" ht="15.75" hidden="false" customHeight="true" outlineLevel="0" collapsed="false">
      <c r="A198" s="7" t="s">
        <v>400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</row>
    <row r="199" customFormat="false" ht="15" hidden="false" customHeight="false" outlineLevel="0" collapsed="false">
      <c r="A199" s="119" t="s">
        <v>401</v>
      </c>
      <c r="C199" s="120" t="n">
        <f aca="false">IF(C159&gt;0,1,0)</f>
        <v>0</v>
      </c>
      <c r="D199" s="120" t="n">
        <f aca="false">IF(D159&gt;0,1,0)</f>
        <v>0</v>
      </c>
      <c r="E199" s="120" t="n">
        <f aca="false">IF(E159&gt;0,1,0)</f>
        <v>0</v>
      </c>
      <c r="F199" s="120" t="n">
        <f aca="false">IF(F159&gt;0,1,0)</f>
        <v>0</v>
      </c>
      <c r="G199" s="120" t="n">
        <f aca="false">IF(G159&gt;0,1,0)</f>
        <v>0</v>
      </c>
      <c r="H199" s="120" t="n">
        <f aca="false">IF(H159&gt;0,1,0)</f>
        <v>0</v>
      </c>
      <c r="I199" s="120" t="n">
        <f aca="false">IF(I159&gt;0,1,0)</f>
        <v>0</v>
      </c>
      <c r="J199" s="120" t="n">
        <f aca="false">IF(J159&gt;0,1,0)</f>
        <v>0</v>
      </c>
      <c r="K199" s="120" t="n">
        <f aca="false">IF(K159&gt;0,1,0)</f>
        <v>0</v>
      </c>
      <c r="L199" s="120" t="n">
        <f aca="false">IF(L159&gt;0,1,0)</f>
        <v>0</v>
      </c>
      <c r="M199" s="120" t="n">
        <f aca="false">IF(M159&gt;0,1,0)</f>
        <v>0</v>
      </c>
      <c r="N199" s="120" t="n">
        <f aca="false">IF(N159&gt;0,1,0)</f>
        <v>0</v>
      </c>
      <c r="O199" s="120" t="n">
        <f aca="false">IF(O159&gt;0,1,0)</f>
        <v>0</v>
      </c>
      <c r="P199" s="120" t="n">
        <f aca="false">IF(P159&gt;0,1,0)</f>
        <v>0</v>
      </c>
      <c r="Q199" s="120" t="n">
        <f aca="false">IF(Q159&gt;0,1,0)</f>
        <v>0</v>
      </c>
      <c r="R199" s="120" t="n">
        <f aca="false">IF(R159&gt;0,1,0)</f>
        <v>0</v>
      </c>
      <c r="S199" s="120" t="n">
        <f aca="false">IF(S159&gt;0,1,0)</f>
        <v>0</v>
      </c>
      <c r="T199" s="120" t="n">
        <f aca="false">IF(T159&gt;0,1,0)</f>
        <v>0</v>
      </c>
      <c r="U199" s="120" t="n">
        <f aca="false">IF(U159&gt;0,1,0)</f>
        <v>0</v>
      </c>
      <c r="V199" s="120" t="n">
        <f aca="false">IF(V159&gt;0,1,0)</f>
        <v>0</v>
      </c>
      <c r="W199" s="120" t="n">
        <f aca="false">IF(W159&gt;0,1,0)</f>
        <v>0</v>
      </c>
      <c r="X199" s="120" t="n">
        <f aca="false">IF(X159&gt;0,1,0)</f>
        <v>0</v>
      </c>
      <c r="Y199" s="120" t="n">
        <f aca="false">IF(Y159&gt;0,1,0)</f>
        <v>0</v>
      </c>
      <c r="Z199" s="120" t="n">
        <f aca="false">IF(Z159&gt;0,1,0)</f>
        <v>0</v>
      </c>
      <c r="AA199" s="120" t="n">
        <f aca="false">IF(AA159&gt;0,1,0)</f>
        <v>0</v>
      </c>
      <c r="AB199" s="120" t="n">
        <f aca="false">IF(AB159&gt;0,1,0)</f>
        <v>0</v>
      </c>
      <c r="AC199" s="120" t="n">
        <f aca="false">IF(AC159&gt;0,1,0)</f>
        <v>0</v>
      </c>
      <c r="AD199" s="120" t="n">
        <f aca="false">IF(AD159&gt;0,1,0)</f>
        <v>0</v>
      </c>
      <c r="AE199" s="120" t="n">
        <f aca="false">IF(AE159&gt;0,1,0)</f>
        <v>0</v>
      </c>
      <c r="AF199" s="120" t="n">
        <f aca="false">IF(AF159&gt;0,1,0)</f>
        <v>0</v>
      </c>
      <c r="AG199" s="120" t="n">
        <f aca="false">IF(AG159&gt;0,1,0)</f>
        <v>0</v>
      </c>
      <c r="AH199" s="120" t="n">
        <f aca="false">IF(AH159&gt;0,1,0)</f>
        <v>0</v>
      </c>
      <c r="AI199" s="120" t="n">
        <f aca="false">IF(AI159&gt;0,1,0)</f>
        <v>0</v>
      </c>
      <c r="AJ199" s="120" t="n">
        <f aca="false">IF(AJ159&gt;0,1,0)</f>
        <v>0</v>
      </c>
      <c r="AK199" s="120" t="n">
        <f aca="false">IF(AK159&gt;0,1,0)</f>
        <v>0</v>
      </c>
      <c r="AL199" s="120" t="n">
        <f aca="false">IF(AL159&gt;0,1,0)</f>
        <v>0</v>
      </c>
    </row>
    <row r="200" customFormat="false" ht="15" hidden="false" customHeight="false" outlineLevel="0" collapsed="false">
      <c r="A200" s="6" t="s">
        <v>402</v>
      </c>
      <c r="C200" s="66" t="n">
        <f aca="false">C185+C186</f>
        <v>-84465.1041666667</v>
      </c>
      <c r="D200" s="66" t="n">
        <f aca="false">D185+D186</f>
        <v>-65545.5460069444</v>
      </c>
      <c r="E200" s="66" t="n">
        <f aca="false">E185+E186</f>
        <v>-63191.5685234375</v>
      </c>
      <c r="F200" s="66" t="n">
        <f aca="false">F185+F186</f>
        <v>-60896.1560309071</v>
      </c>
      <c r="G200" s="66" t="n">
        <f aca="false">G185+G186</f>
        <v>-58657.8529379622</v>
      </c>
      <c r="H200" s="66" t="n">
        <f aca="false">H185+H186</f>
        <v>-56475.239786995</v>
      </c>
      <c r="I200" s="66" t="n">
        <f aca="false">I185+I186</f>
        <v>-54346.9323585164</v>
      </c>
      <c r="J200" s="66" t="n">
        <f aca="false">J185+J186</f>
        <v>-52271.5807976527</v>
      </c>
      <c r="K200" s="66" t="n">
        <f aca="false">K185+K186</f>
        <v>-50247.8687622566</v>
      </c>
      <c r="L200" s="66" t="n">
        <f aca="false">L185+L186</f>
        <v>-48274.5125920979</v>
      </c>
      <c r="M200" s="66" t="n">
        <f aca="false">M185+M186</f>
        <v>-46350.2604986151</v>
      </c>
      <c r="N200" s="66" t="n">
        <f aca="false">N185+N186</f>
        <v>-44473.8917747187</v>
      </c>
      <c r="O200" s="66" t="n">
        <f aca="false">O185+O186</f>
        <v>-77951.6339574849</v>
      </c>
      <c r="P200" s="66" t="n">
        <f aca="false">P185+P186</f>
        <v>-75498.6973838123</v>
      </c>
      <c r="Q200" s="66" t="n">
        <f aca="false">Q185+Q186</f>
        <v>-73086.7308042236</v>
      </c>
      <c r="R200" s="66" t="n">
        <f aca="false">R185+R186</f>
        <v>-70734.7955461411</v>
      </c>
      <c r="S200" s="66" t="n">
        <f aca="false">S185+S186</f>
        <v>-68441.3988618166</v>
      </c>
      <c r="T200" s="66" t="n">
        <f aca="false">T185+T186</f>
        <v>-66205.085081137</v>
      </c>
      <c r="U200" s="66" t="n">
        <f aca="false">U185+U186</f>
        <v>-64024.4346919152</v>
      </c>
      <c r="V200" s="66" t="n">
        <f aca="false">V185+V186</f>
        <v>-61898.0634429563</v>
      </c>
      <c r="W200" s="66" t="n">
        <f aca="false">W185+W186</f>
        <v>-59824.6214693379</v>
      </c>
      <c r="X200" s="66" t="n">
        <f aca="false">X185+X186</f>
        <v>-57802.7924393529</v>
      </c>
      <c r="Y200" s="66" t="n">
        <f aca="false">Y185+Y186</f>
        <v>-55831.2927225818</v>
      </c>
      <c r="Z200" s="66" t="n">
        <f aca="false">Z185+Z186</f>
        <v>-53908.8705785703</v>
      </c>
      <c r="AA200" s="66" t="n">
        <f aca="false">AA185+AA186</f>
        <v>-106872.332341004</v>
      </c>
      <c r="AB200" s="66" t="n">
        <f aca="false">AB185+AB186</f>
        <v>-104183.634043166</v>
      </c>
      <c r="AC200" s="66" t="n">
        <f aca="false">AC185+AC186</f>
        <v>-101535.775444044</v>
      </c>
      <c r="AD200" s="66" t="n">
        <f aca="false">AD185+AD186</f>
        <v>-98953.8393444263</v>
      </c>
      <c r="AE200" s="66" t="n">
        <f aca="false">AE185+AE186</f>
        <v>-96436.1859007883</v>
      </c>
      <c r="AF200" s="66" t="n">
        <f aca="false">AF185+AF186</f>
        <v>-93981.216019126</v>
      </c>
      <c r="AG200" s="66" t="n">
        <f aca="false">AG185+AG186</f>
        <v>-91587.3703436136</v>
      </c>
      <c r="AH200" s="66" t="n">
        <f aca="false">AH185+AH186</f>
        <v>-89253.1282703241</v>
      </c>
      <c r="AI200" s="66" t="n">
        <f aca="false">AI185+AI186</f>
        <v>-86977.0069853917</v>
      </c>
      <c r="AJ200" s="66" t="n">
        <f aca="false">AJ185+AJ186</f>
        <v>-84757.5605270119</v>
      </c>
      <c r="AK200" s="66" t="n">
        <f aca="false">AK185+AK186</f>
        <v>-82593.378870688</v>
      </c>
      <c r="AL200" s="66" t="n">
        <f aca="false">AL185+AL186</f>
        <v>-80483.0870371505</v>
      </c>
    </row>
    <row r="201" customFormat="false" ht="15" hidden="false" customHeight="false" outlineLevel="0" collapsed="false">
      <c r="A201" s="6" t="s">
        <v>403</v>
      </c>
      <c r="C201" s="66" t="n">
        <f aca="false">C200</f>
        <v>-84465.1041666667</v>
      </c>
      <c r="D201" s="66" t="n">
        <f aca="false">C201+D200</f>
        <v>-150010.650173611</v>
      </c>
      <c r="E201" s="66" t="n">
        <f aca="false">D201+E200</f>
        <v>-213202.218697049</v>
      </c>
      <c r="F201" s="66" t="n">
        <f aca="false">E201+F200</f>
        <v>-274098.374727956</v>
      </c>
      <c r="G201" s="66" t="n">
        <f aca="false">F201+G200</f>
        <v>-332756.227665918</v>
      </c>
      <c r="H201" s="66" t="n">
        <f aca="false">G201+H200</f>
        <v>-389231.467452913</v>
      </c>
      <c r="I201" s="66" t="n">
        <f aca="false">H201+I200</f>
        <v>-443578.399811429</v>
      </c>
      <c r="J201" s="66" t="n">
        <f aca="false">I201+J200</f>
        <v>-495849.980609082</v>
      </c>
      <c r="K201" s="66" t="n">
        <f aca="false">J201+K200</f>
        <v>-546097.849371339</v>
      </c>
      <c r="L201" s="66" t="n">
        <f aca="false">K201+L200</f>
        <v>-594372.361963437</v>
      </c>
      <c r="M201" s="66" t="n">
        <f aca="false">L201+M200</f>
        <v>-640722.622462052</v>
      </c>
      <c r="N201" s="66" t="n">
        <f aca="false">M201+N200</f>
        <v>-685196.51423677</v>
      </c>
      <c r="O201" s="66" t="n">
        <f aca="false">N201+O200</f>
        <v>-763148.148194255</v>
      </c>
      <c r="P201" s="66" t="n">
        <f aca="false">O201+P200</f>
        <v>-838646.845578068</v>
      </c>
      <c r="Q201" s="66" t="n">
        <f aca="false">P201+Q200</f>
        <v>-911733.576382291</v>
      </c>
      <c r="R201" s="66" t="n">
        <f aca="false">Q201+R200</f>
        <v>-982468.371928432</v>
      </c>
      <c r="S201" s="66" t="n">
        <f aca="false">R201+S200</f>
        <v>-1050909.77079025</v>
      </c>
      <c r="T201" s="66" t="n">
        <f aca="false">S201+T200</f>
        <v>-1117114.85587139</v>
      </c>
      <c r="U201" s="66" t="n">
        <f aca="false">T201+U200</f>
        <v>-1181139.2905633</v>
      </c>
      <c r="V201" s="66" t="n">
        <f aca="false">U201+V200</f>
        <v>-1243037.35400626</v>
      </c>
      <c r="W201" s="66" t="n">
        <f aca="false">V201+W200</f>
        <v>-1302861.97547559</v>
      </c>
      <c r="X201" s="66" t="n">
        <f aca="false">W201+X200</f>
        <v>-1360664.76791495</v>
      </c>
      <c r="Y201" s="66" t="n">
        <f aca="false">X201+Y200</f>
        <v>-1416496.06063753</v>
      </c>
      <c r="Z201" s="66" t="n">
        <f aca="false">Y201+Z200</f>
        <v>-1470404.9312161</v>
      </c>
      <c r="AA201" s="66" t="n">
        <f aca="false">Z201+AA200</f>
        <v>-1577277.2635571</v>
      </c>
      <c r="AB201" s="66" t="n">
        <f aca="false">AA201+AB200</f>
        <v>-1681460.89760027</v>
      </c>
      <c r="AC201" s="66" t="n">
        <f aca="false">AB201+AC200</f>
        <v>-1782996.67304431</v>
      </c>
      <c r="AD201" s="66" t="n">
        <f aca="false">AC201+AD200</f>
        <v>-1881950.51238874</v>
      </c>
      <c r="AE201" s="66" t="n">
        <f aca="false">AD201+AE200</f>
        <v>-1978386.69828953</v>
      </c>
      <c r="AF201" s="66" t="n">
        <f aca="false">AE201+AF200</f>
        <v>-2072367.91430865</v>
      </c>
      <c r="AG201" s="66" t="n">
        <f aca="false">AF201+AG200</f>
        <v>-2163955.28465227</v>
      </c>
      <c r="AH201" s="66" t="n">
        <f aca="false">AG201+AH200</f>
        <v>-2253208.41292259</v>
      </c>
      <c r="AI201" s="66" t="n">
        <f aca="false">AH201+AI200</f>
        <v>-2340185.41990798</v>
      </c>
      <c r="AJ201" s="66" t="n">
        <f aca="false">AI201+AJ200</f>
        <v>-2424942.980435</v>
      </c>
      <c r="AK201" s="66" t="n">
        <f aca="false">AJ201+AK200</f>
        <v>-2507536.35930568</v>
      </c>
      <c r="AL201" s="66" t="n">
        <f aca="false">AK201+AL200</f>
        <v>-2588019.44634283</v>
      </c>
    </row>
    <row r="202" customFormat="false" ht="15" hidden="false" customHeight="false" outlineLevel="0" collapsed="false">
      <c r="A202" s="119" t="s">
        <v>404</v>
      </c>
      <c r="C202" s="66" t="n">
        <f aca="false">C201</f>
        <v>-84465.1041666667</v>
      </c>
      <c r="D202" s="66" t="n">
        <f aca="false">MIN(C202,D201)</f>
        <v>-150010.650173611</v>
      </c>
      <c r="E202" s="66" t="n">
        <f aca="false">MIN(D202,E201)</f>
        <v>-213202.218697049</v>
      </c>
      <c r="F202" s="66" t="n">
        <f aca="false">MIN(E202,F201)</f>
        <v>-274098.374727956</v>
      </c>
      <c r="G202" s="66" t="n">
        <f aca="false">MIN(F202,G201)</f>
        <v>-332756.227665918</v>
      </c>
      <c r="H202" s="66" t="n">
        <f aca="false">MIN(G202,H201)</f>
        <v>-389231.467452913</v>
      </c>
      <c r="I202" s="66" t="n">
        <f aca="false">MIN(H202,I201)</f>
        <v>-443578.399811429</v>
      </c>
      <c r="J202" s="66" t="n">
        <f aca="false">MIN(I202,J201)</f>
        <v>-495849.980609082</v>
      </c>
      <c r="K202" s="66" t="n">
        <f aca="false">MIN(J202,K201)</f>
        <v>-546097.849371339</v>
      </c>
      <c r="L202" s="66" t="n">
        <f aca="false">MIN(K202,L201)</f>
        <v>-594372.361963437</v>
      </c>
      <c r="M202" s="66" t="n">
        <f aca="false">MIN(L202,M201)</f>
        <v>-640722.622462052</v>
      </c>
      <c r="N202" s="66" t="n">
        <f aca="false">MIN(M202,N201)</f>
        <v>-685196.51423677</v>
      </c>
      <c r="O202" s="66" t="n">
        <f aca="false">MIN(N202,O201)</f>
        <v>-763148.148194255</v>
      </c>
      <c r="P202" s="66" t="n">
        <f aca="false">MIN(O202,P201)</f>
        <v>-838646.845578068</v>
      </c>
      <c r="Q202" s="66" t="n">
        <f aca="false">MIN(P202,Q201)</f>
        <v>-911733.576382291</v>
      </c>
      <c r="R202" s="66" t="n">
        <f aca="false">MIN(Q202,R201)</f>
        <v>-982468.371928432</v>
      </c>
      <c r="S202" s="66" t="n">
        <f aca="false">MIN(R202,S201)</f>
        <v>-1050909.77079025</v>
      </c>
      <c r="T202" s="66" t="n">
        <f aca="false">MIN(S202,T201)</f>
        <v>-1117114.85587139</v>
      </c>
      <c r="U202" s="66" t="n">
        <f aca="false">MIN(T202,U201)</f>
        <v>-1181139.2905633</v>
      </c>
      <c r="V202" s="66" t="n">
        <f aca="false">MIN(U202,V201)</f>
        <v>-1243037.35400626</v>
      </c>
      <c r="W202" s="66" t="n">
        <f aca="false">MIN(V202,W201)</f>
        <v>-1302861.97547559</v>
      </c>
      <c r="X202" s="66" t="n">
        <f aca="false">MIN(W202,X201)</f>
        <v>-1360664.76791495</v>
      </c>
      <c r="Y202" s="66" t="n">
        <f aca="false">MIN(X202,Y201)</f>
        <v>-1416496.06063753</v>
      </c>
      <c r="Z202" s="66" t="n">
        <f aca="false">MIN(Y202,Z201)</f>
        <v>-1470404.9312161</v>
      </c>
      <c r="AA202" s="66" t="n">
        <f aca="false">MIN(Z202,AA201)</f>
        <v>-1577277.2635571</v>
      </c>
      <c r="AB202" s="66" t="n">
        <f aca="false">MIN(AA202,AB201)</f>
        <v>-1681460.89760027</v>
      </c>
      <c r="AC202" s="66" t="n">
        <f aca="false">MIN(AB202,AC201)</f>
        <v>-1782996.67304431</v>
      </c>
      <c r="AD202" s="66" t="n">
        <f aca="false">MIN(AC202,AD201)</f>
        <v>-1881950.51238874</v>
      </c>
      <c r="AE202" s="66" t="n">
        <f aca="false">MIN(AD202,AE201)</f>
        <v>-1978386.69828953</v>
      </c>
      <c r="AF202" s="66" t="n">
        <f aca="false">MIN(AE202,AF201)</f>
        <v>-2072367.91430865</v>
      </c>
      <c r="AG202" s="66" t="n">
        <f aca="false">MIN(AF202,AG201)</f>
        <v>-2163955.28465227</v>
      </c>
      <c r="AH202" s="66" t="n">
        <f aca="false">MIN(AG202,AH201)</f>
        <v>-2253208.41292259</v>
      </c>
      <c r="AI202" s="66" t="n">
        <f aca="false">MIN(AH202,AI201)</f>
        <v>-2340185.41990798</v>
      </c>
      <c r="AJ202" s="66" t="n">
        <f aca="false">MIN(AI202,AJ201)</f>
        <v>-2424942.980435</v>
      </c>
      <c r="AK202" s="66" t="n">
        <f aca="false">MIN(AJ202,AK201)</f>
        <v>-2507536.35930568</v>
      </c>
      <c r="AL202" s="66" t="n">
        <f aca="false">MIN(AK202,AL201)</f>
        <v>-2588019.44634283</v>
      </c>
    </row>
    <row r="203" customFormat="false" ht="15" hidden="false" customHeight="false" outlineLevel="0" collapsed="false">
      <c r="A203" s="119" t="s">
        <v>405</v>
      </c>
      <c r="C203" s="120" t="n">
        <f aca="false">IF(AND(C201&gt;=0,C202&lt;0),1,0)</f>
        <v>0</v>
      </c>
      <c r="D203" s="120" t="n">
        <f aca="false">IF(AND(D201&gt;=0,D202&lt;0),1,0)</f>
        <v>0</v>
      </c>
      <c r="E203" s="120" t="n">
        <f aca="false">IF(AND(E201&gt;=0,E202&lt;0),1,0)</f>
        <v>0</v>
      </c>
      <c r="F203" s="120" t="n">
        <f aca="false">IF(AND(F201&gt;=0,F202&lt;0),1,0)</f>
        <v>0</v>
      </c>
      <c r="G203" s="120" t="n">
        <f aca="false">IF(AND(G201&gt;=0,G202&lt;0),1,0)</f>
        <v>0</v>
      </c>
      <c r="H203" s="120" t="n">
        <f aca="false">IF(AND(H201&gt;=0,H202&lt;0),1,0)</f>
        <v>0</v>
      </c>
      <c r="I203" s="120" t="n">
        <f aca="false">IF(AND(I201&gt;=0,I202&lt;0),1,0)</f>
        <v>0</v>
      </c>
      <c r="J203" s="120" t="n">
        <f aca="false">IF(AND(J201&gt;=0,J202&lt;0),1,0)</f>
        <v>0</v>
      </c>
      <c r="K203" s="120" t="n">
        <f aca="false">IF(AND(K201&gt;=0,K202&lt;0),1,0)</f>
        <v>0</v>
      </c>
      <c r="L203" s="120" t="n">
        <f aca="false">IF(AND(L201&gt;=0,L202&lt;0),1,0)</f>
        <v>0</v>
      </c>
      <c r="M203" s="120" t="n">
        <f aca="false">IF(AND(M201&gt;=0,M202&lt;0),1,0)</f>
        <v>0</v>
      </c>
      <c r="N203" s="120" t="n">
        <f aca="false">IF(AND(N201&gt;=0,N202&lt;0),1,0)</f>
        <v>0</v>
      </c>
      <c r="O203" s="120" t="n">
        <f aca="false">IF(AND(O201&gt;=0,O202&lt;0),1,0)</f>
        <v>0</v>
      </c>
      <c r="P203" s="120" t="n">
        <f aca="false">IF(AND(P201&gt;=0,P202&lt;0),1,0)</f>
        <v>0</v>
      </c>
      <c r="Q203" s="120" t="n">
        <f aca="false">IF(AND(Q201&gt;=0,Q202&lt;0),1,0)</f>
        <v>0</v>
      </c>
      <c r="R203" s="120" t="n">
        <f aca="false">IF(AND(R201&gt;=0,R202&lt;0),1,0)</f>
        <v>0</v>
      </c>
      <c r="S203" s="120" t="n">
        <f aca="false">IF(AND(S201&gt;=0,S202&lt;0),1,0)</f>
        <v>0</v>
      </c>
      <c r="T203" s="120" t="n">
        <f aca="false">IF(AND(T201&gt;=0,T202&lt;0),1,0)</f>
        <v>0</v>
      </c>
      <c r="U203" s="120" t="n">
        <f aca="false">IF(AND(U201&gt;=0,U202&lt;0),1,0)</f>
        <v>0</v>
      </c>
      <c r="V203" s="120" t="n">
        <f aca="false">IF(AND(V201&gt;=0,V202&lt;0),1,0)</f>
        <v>0</v>
      </c>
      <c r="W203" s="120" t="n">
        <f aca="false">IF(AND(W201&gt;=0,W202&lt;0),1,0)</f>
        <v>0</v>
      </c>
      <c r="X203" s="120" t="n">
        <f aca="false">IF(AND(X201&gt;=0,X202&lt;0),1,0)</f>
        <v>0</v>
      </c>
      <c r="Y203" s="120" t="n">
        <f aca="false">IF(AND(Y201&gt;=0,Y202&lt;0),1,0)</f>
        <v>0</v>
      </c>
      <c r="Z203" s="120" t="n">
        <f aca="false">IF(AND(Z201&gt;=0,Z202&lt;0),1,0)</f>
        <v>0</v>
      </c>
      <c r="AA203" s="120" t="n">
        <f aca="false">IF(AND(AA201&gt;=0,AA202&lt;0),1,0)</f>
        <v>0</v>
      </c>
      <c r="AB203" s="120" t="n">
        <f aca="false">IF(AND(AB201&gt;=0,AB202&lt;0),1,0)</f>
        <v>0</v>
      </c>
      <c r="AC203" s="120" t="n">
        <f aca="false">IF(AND(AC201&gt;=0,AC202&lt;0),1,0)</f>
        <v>0</v>
      </c>
      <c r="AD203" s="120" t="n">
        <f aca="false">IF(AND(AD201&gt;=0,AD202&lt;0),1,0)</f>
        <v>0</v>
      </c>
      <c r="AE203" s="120" t="n">
        <f aca="false">IF(AND(AE201&gt;=0,AE202&lt;0),1,0)</f>
        <v>0</v>
      </c>
      <c r="AF203" s="120" t="n">
        <f aca="false">IF(AND(AF201&gt;=0,AF202&lt;0),1,0)</f>
        <v>0</v>
      </c>
      <c r="AG203" s="120" t="n">
        <f aca="false">IF(AND(AG201&gt;=0,AG202&lt;0),1,0)</f>
        <v>0</v>
      </c>
      <c r="AH203" s="120" t="n">
        <f aca="false">IF(AND(AH201&gt;=0,AH202&lt;0),1,0)</f>
        <v>0</v>
      </c>
      <c r="AI203" s="120" t="n">
        <f aca="false">IF(AND(AI201&gt;=0,AI202&lt;0),1,0)</f>
        <v>0</v>
      </c>
      <c r="AJ203" s="120" t="n">
        <f aca="false">IF(AND(AJ201&gt;=0,AJ202&lt;0),1,0)</f>
        <v>0</v>
      </c>
      <c r="AK203" s="120" t="n">
        <f aca="false">IF(AND(AK201&gt;=0,AK202&lt;0),1,0)</f>
        <v>0</v>
      </c>
      <c r="AL203" s="120" t="n">
        <f aca="false">IF(AND(AL201&gt;=0,AL202&lt;0),1,0)</f>
        <v>0</v>
      </c>
    </row>
    <row r="204" customFormat="false" ht="15" hidden="false" customHeight="false" outlineLevel="0" collapsed="false">
      <c r="A204" s="6" t="s">
        <v>406</v>
      </c>
      <c r="C204" s="66" t="n">
        <f aca="false">C185-C154*(1-Inputs!$C$58)+C186</f>
        <v>-84465.1041666667</v>
      </c>
      <c r="D204" s="66" t="n">
        <f aca="false">D185-D154*(1-Inputs!$C$58)+D186</f>
        <v>-65545.5460069444</v>
      </c>
      <c r="E204" s="66" t="n">
        <f aca="false">E185-E154*(1-Inputs!$C$58)+E186</f>
        <v>-63191.5685234375</v>
      </c>
      <c r="F204" s="66" t="n">
        <f aca="false">F185-F154*(1-Inputs!$C$58)+F186</f>
        <v>-60896.1560309071</v>
      </c>
      <c r="G204" s="66" t="n">
        <f aca="false">G185-G154*(1-Inputs!$C$58)+G186</f>
        <v>-58657.8529379622</v>
      </c>
      <c r="H204" s="66" t="n">
        <f aca="false">H185-H154*(1-Inputs!$C$58)+H186</f>
        <v>-56475.239786995</v>
      </c>
      <c r="I204" s="66" t="n">
        <f aca="false">I185-I154*(1-Inputs!$C$58)+I186</f>
        <v>-54346.9323585164</v>
      </c>
      <c r="J204" s="66" t="n">
        <f aca="false">J185-J154*(1-Inputs!$C$58)+J186</f>
        <v>-52271.5807976527</v>
      </c>
      <c r="K204" s="66" t="n">
        <f aca="false">K185-K154*(1-Inputs!$C$58)+K186</f>
        <v>-50247.8687622566</v>
      </c>
      <c r="L204" s="66" t="n">
        <f aca="false">L185-L154*(1-Inputs!$C$58)+L186</f>
        <v>-48274.5125920979</v>
      </c>
      <c r="M204" s="66" t="n">
        <f aca="false">M185-M154*(1-Inputs!$C$58)+M186</f>
        <v>-46350.2604986151</v>
      </c>
      <c r="N204" s="66" t="n">
        <f aca="false">N185-N154*(1-Inputs!$C$58)+N186</f>
        <v>-44473.8917747187</v>
      </c>
      <c r="O204" s="66" t="n">
        <f aca="false">O185-O154*(1-Inputs!$C$58)+O186</f>
        <v>-77951.6339574849</v>
      </c>
      <c r="P204" s="66" t="n">
        <f aca="false">P185-P154*(1-Inputs!$C$58)+P186</f>
        <v>-75498.6973838123</v>
      </c>
      <c r="Q204" s="66" t="n">
        <f aca="false">Q185-Q154*(1-Inputs!$C$58)+Q186</f>
        <v>-73086.7308042236</v>
      </c>
      <c r="R204" s="66" t="n">
        <f aca="false">R185-R154*(1-Inputs!$C$58)+R186</f>
        <v>-70734.7955461411</v>
      </c>
      <c r="S204" s="66" t="n">
        <f aca="false">S185-S154*(1-Inputs!$C$58)+S186</f>
        <v>-68441.3988618166</v>
      </c>
      <c r="T204" s="66" t="n">
        <f aca="false">T185-T154*(1-Inputs!$C$58)+T186</f>
        <v>-66205.085081137</v>
      </c>
      <c r="U204" s="66" t="n">
        <f aca="false">U185-U154*(1-Inputs!$C$58)+U186</f>
        <v>-64024.4346919152</v>
      </c>
      <c r="V204" s="66" t="n">
        <f aca="false">V185-V154*(1-Inputs!$C$58)+V186</f>
        <v>-61898.0634429563</v>
      </c>
      <c r="W204" s="66" t="n">
        <f aca="false">W185-W154*(1-Inputs!$C$58)+W186</f>
        <v>-59824.6214693379</v>
      </c>
      <c r="X204" s="66" t="n">
        <f aca="false">X185-X154*(1-Inputs!$C$58)+X186</f>
        <v>-57802.7924393529</v>
      </c>
      <c r="Y204" s="66" t="n">
        <f aca="false">Y185-Y154*(1-Inputs!$C$58)+Y186</f>
        <v>-55831.2927225818</v>
      </c>
      <c r="Z204" s="66" t="n">
        <f aca="false">Z185-Z154*(1-Inputs!$C$58)+Z186</f>
        <v>-53908.8705785703</v>
      </c>
      <c r="AA204" s="66" t="n">
        <f aca="false">AA185-AA154*(1-Inputs!$C$58)+AA186</f>
        <v>-106872.332341004</v>
      </c>
      <c r="AB204" s="66" t="n">
        <f aca="false">AB185-AB154*(1-Inputs!$C$58)+AB186</f>
        <v>-104183.634043166</v>
      </c>
      <c r="AC204" s="66" t="n">
        <f aca="false">AC185-AC154*(1-Inputs!$C$58)+AC186</f>
        <v>-101535.775444044</v>
      </c>
      <c r="AD204" s="66" t="n">
        <f aca="false">AD185-AD154*(1-Inputs!$C$58)+AD186</f>
        <v>-98953.8393444263</v>
      </c>
      <c r="AE204" s="66" t="n">
        <f aca="false">AE185-AE154*(1-Inputs!$C$58)+AE186</f>
        <v>-96436.1859007883</v>
      </c>
      <c r="AF204" s="66" t="n">
        <f aca="false">AF185-AF154*(1-Inputs!$C$58)+AF186</f>
        <v>-93981.216019126</v>
      </c>
      <c r="AG204" s="66" t="n">
        <f aca="false">AG185-AG154*(1-Inputs!$C$58)+AG186</f>
        <v>-91587.3703436136</v>
      </c>
      <c r="AH204" s="66" t="n">
        <f aca="false">AH185-AH154*(1-Inputs!$C$58)+AH186</f>
        <v>-89253.1282703241</v>
      </c>
      <c r="AI204" s="66" t="n">
        <f aca="false">AI185-AI154*(1-Inputs!$C$58)+AI186</f>
        <v>-86977.0069853917</v>
      </c>
      <c r="AJ204" s="66" t="n">
        <f aca="false">AJ185-AJ154*(1-Inputs!$C$58)+AJ186</f>
        <v>-84757.5605270119</v>
      </c>
      <c r="AK204" s="66" t="n">
        <f aca="false">AK185-AK154*(1-Inputs!$C$58)+AK186</f>
        <v>-82593.378870688</v>
      </c>
      <c r="AL204" s="66" t="n">
        <f aca="false">AL185-AL154*(1-Inputs!$C$58)+AL186</f>
        <v>-80483.0870371505</v>
      </c>
    </row>
    <row r="206" customFormat="false" ht="15.75" hidden="false" customHeight="true" outlineLevel="0" collapsed="false">
      <c r="A206" s="7" t="s">
        <v>407</v>
      </c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customFormat="false" ht="15" hidden="false" customHeight="false" outlineLevel="0" collapsed="false">
      <c r="A207" s="6" t="s">
        <v>97</v>
      </c>
      <c r="C207" s="66" t="n">
        <f aca="false">C187</f>
        <v>3000000</v>
      </c>
      <c r="D207" s="66" t="n">
        <f aca="false">C207+D187</f>
        <v>3000000</v>
      </c>
      <c r="E207" s="66" t="n">
        <f aca="false">D207+E187</f>
        <v>3000000</v>
      </c>
      <c r="F207" s="66" t="n">
        <f aca="false">E207+F187</f>
        <v>3000000</v>
      </c>
      <c r="G207" s="66" t="n">
        <f aca="false">F207+G187</f>
        <v>3000000</v>
      </c>
      <c r="H207" s="66" t="n">
        <f aca="false">G207+H187</f>
        <v>3000000</v>
      </c>
      <c r="I207" s="66" t="n">
        <f aca="false">H207+I187</f>
        <v>3000000</v>
      </c>
      <c r="J207" s="66" t="n">
        <f aca="false">I207+J187</f>
        <v>3000000</v>
      </c>
      <c r="K207" s="66" t="n">
        <f aca="false">J207+K187</f>
        <v>3000000</v>
      </c>
      <c r="L207" s="66" t="n">
        <f aca="false">K207+L187</f>
        <v>3000000</v>
      </c>
      <c r="M207" s="66" t="n">
        <f aca="false">L207+M187</f>
        <v>3000000</v>
      </c>
      <c r="N207" s="66" t="n">
        <f aca="false">M207+N187</f>
        <v>3000000</v>
      </c>
      <c r="O207" s="66" t="n">
        <f aca="false">N207+O187</f>
        <v>3000000</v>
      </c>
      <c r="P207" s="66" t="n">
        <f aca="false">O207+P187</f>
        <v>3000000</v>
      </c>
      <c r="Q207" s="66" t="n">
        <f aca="false">P207+Q187</f>
        <v>3000000</v>
      </c>
      <c r="R207" s="66" t="n">
        <f aca="false">Q207+R187</f>
        <v>3000000</v>
      </c>
      <c r="S207" s="66" t="n">
        <f aca="false">R207+S187</f>
        <v>3000000</v>
      </c>
      <c r="T207" s="66" t="n">
        <f aca="false">S207+T187</f>
        <v>3000000</v>
      </c>
      <c r="U207" s="66" t="n">
        <f aca="false">T207+U187</f>
        <v>3000000</v>
      </c>
      <c r="V207" s="66" t="n">
        <f aca="false">U207+V187</f>
        <v>3000000</v>
      </c>
      <c r="W207" s="66" t="n">
        <f aca="false">V207+W187</f>
        <v>3000000</v>
      </c>
      <c r="X207" s="66" t="n">
        <f aca="false">W207+X187</f>
        <v>3000000</v>
      </c>
      <c r="Y207" s="66" t="n">
        <f aca="false">X207+Y187</f>
        <v>3000000</v>
      </c>
      <c r="Z207" s="66" t="n">
        <f aca="false">Y207+Z187</f>
        <v>3000000</v>
      </c>
      <c r="AA207" s="66" t="n">
        <f aca="false">Z207+AA187</f>
        <v>3000000</v>
      </c>
      <c r="AB207" s="66" t="n">
        <f aca="false">AA207+AB187</f>
        <v>3000000</v>
      </c>
      <c r="AC207" s="66" t="n">
        <f aca="false">AB207+AC187</f>
        <v>3000000</v>
      </c>
      <c r="AD207" s="66" t="n">
        <f aca="false">AC207+AD187</f>
        <v>3000000</v>
      </c>
      <c r="AE207" s="66" t="n">
        <f aca="false">AD207+AE187</f>
        <v>3000000</v>
      </c>
      <c r="AF207" s="66" t="n">
        <f aca="false">AE207+AF187</f>
        <v>3000000</v>
      </c>
      <c r="AG207" s="66" t="n">
        <f aca="false">AF207+AG187</f>
        <v>3000000</v>
      </c>
      <c r="AH207" s="66" t="n">
        <f aca="false">AG207+AH187</f>
        <v>3000000</v>
      </c>
      <c r="AI207" s="66" t="n">
        <f aca="false">AH207+AI187</f>
        <v>3000000</v>
      </c>
      <c r="AJ207" s="66" t="n">
        <f aca="false">AI207+AJ187</f>
        <v>3000000</v>
      </c>
      <c r="AK207" s="66" t="n">
        <f aca="false">AJ207+AK187</f>
        <v>3000000</v>
      </c>
      <c r="AL207" s="66" t="n">
        <f aca="false">AK207+AL187</f>
        <v>3000000</v>
      </c>
    </row>
    <row r="208" customFormat="false" ht="15" hidden="false" customHeight="false" outlineLevel="0" collapsed="false">
      <c r="A208" s="6" t="s">
        <v>98</v>
      </c>
      <c r="C208" s="66" t="n">
        <f aca="false">C159</f>
        <v>-71828.2458333333</v>
      </c>
      <c r="D208" s="66" t="n">
        <f aca="false">C208+D159</f>
        <v>-141159.335576389</v>
      </c>
      <c r="E208" s="66" t="n">
        <f aca="false">D208+E159</f>
        <v>-208055.413685313</v>
      </c>
      <c r="F208" s="66" t="n">
        <f aca="false">E208+F159</f>
        <v>-272577.07953823</v>
      </c>
      <c r="G208" s="66" t="n">
        <f aca="false">F208+G159</f>
        <v>-334783.425806195</v>
      </c>
      <c r="H208" s="66" t="n">
        <f aca="false">G208+H159</f>
        <v>-394732.075872546</v>
      </c>
      <c r="I208" s="66" t="n">
        <f aca="false">H208+I159</f>
        <v>-452479.220324226</v>
      </c>
      <c r="J208" s="66" t="n">
        <f aca="false">I208+J159</f>
        <v>-508079.652538049</v>
      </c>
      <c r="K208" s="66" t="n">
        <f aca="false">J208+K159</f>
        <v>-561586.803384312</v>
      </c>
      <c r="L208" s="66" t="n">
        <f aca="false">K208+L159</f>
        <v>-613052.775069627</v>
      </c>
      <c r="M208" s="66" t="n">
        <f aca="false">L208+M159</f>
        <v>-662528.374140268</v>
      </c>
      <c r="N208" s="66" t="n">
        <f aca="false">M208+N159</f>
        <v>-710063.143666832</v>
      </c>
      <c r="O208" s="66" t="n">
        <f aca="false">N208+O159</f>
        <v>-791974.408786052</v>
      </c>
      <c r="P208" s="66" t="n">
        <f aca="false">O208+P159</f>
        <v>-871327.282021187</v>
      </c>
      <c r="Q208" s="66" t="n">
        <f aca="false">P208+Q159</f>
        <v>-948185.455326356</v>
      </c>
      <c r="R208" s="66" t="n">
        <f aca="false">Q208+R159</f>
        <v>-1022611.03639211</v>
      </c>
      <c r="S208" s="66" t="n">
        <f aca="false">R208+S159</f>
        <v>-1094664.58801098</v>
      </c>
      <c r="T208" s="66" t="n">
        <f aca="false">S208+T159</f>
        <v>-1164405.16646607</v>
      </c>
      <c r="U208" s="66" t="n">
        <f aca="false">T208+U159</f>
        <v>-1231890.35896702</v>
      </c>
      <c r="V208" s="66" t="n">
        <f aca="false">U208+V159</f>
        <v>-1297176.32015678</v>
      </c>
      <c r="W208" s="66" t="n">
        <f aca="false">V208+W159</f>
        <v>-1360317.80771244</v>
      </c>
      <c r="X208" s="66" t="n">
        <f aca="false">W208+X159</f>
        <v>-1421368.2170623</v>
      </c>
      <c r="Y208" s="66" t="n">
        <f aca="false">X208+Y159</f>
        <v>-1480379.61524137</v>
      </c>
      <c r="Z208" s="66" t="n">
        <f aca="false">Y208+Z159</f>
        <v>-1537402.77390634</v>
      </c>
      <c r="AA208" s="66" t="n">
        <f aca="false">Z208+AA159</f>
        <v>-1648562.25879926</v>
      </c>
      <c r="AB208" s="66" t="n">
        <f aca="false">AA208+AB159</f>
        <v>-1756913.37771071</v>
      </c>
      <c r="AC208" s="66" t="n">
        <f aca="false">AB208+AC159</f>
        <v>-1862526.06582474</v>
      </c>
      <c r="AD208" s="66" t="n">
        <f aca="false">AC208+AD159</f>
        <v>-1965468.51816479</v>
      </c>
      <c r="AE208" s="66" t="n">
        <f aca="false">AD208+AE159</f>
        <v>-2065807.23285107</v>
      </c>
      <c r="AF208" s="66" t="n">
        <f aca="false">AE208+AF159</f>
        <v>-2163607.05328406</v>
      </c>
      <c r="AG208" s="66" t="n">
        <f aca="false">AF208+AG159</f>
        <v>-2258931.20928041</v>
      </c>
      <c r="AH208" s="66" t="n">
        <f aca="false">AG208+AH159</f>
        <v>-2351841.35718757</v>
      </c>
      <c r="AI208" s="66" t="n">
        <f aca="false">AH208+AI159</f>
        <v>-2442397.61900219</v>
      </c>
      <c r="AJ208" s="66" t="n">
        <f aca="false">AI208+AJ159</f>
        <v>-2530658.62051719</v>
      </c>
      <c r="AK208" s="66" t="n">
        <f aca="false">AJ208+AK159</f>
        <v>-2616681.52852143</v>
      </c>
      <c r="AL208" s="66" t="n">
        <f aca="false">AK208+AL159</f>
        <v>-2700522.08707562</v>
      </c>
    </row>
    <row r="209" customFormat="false" ht="15" hidden="false" customHeight="false" outlineLevel="0" collapsed="false">
      <c r="A209" s="4" t="s">
        <v>92</v>
      </c>
      <c r="C209" s="72" t="n">
        <f aca="false">C191+C175+C176+C166</f>
        <v>2935713.81944444</v>
      </c>
      <c r="D209" s="72" t="n">
        <f aca="false">D191+D175+D176+D166</f>
        <v>2870085.68923611</v>
      </c>
      <c r="E209" s="72" t="n">
        <f aca="false">E191+E175+E176+E166</f>
        <v>2806799.71222743</v>
      </c>
      <c r="F209" s="72" t="n">
        <f aca="false">F191+F175+F176+F166</f>
        <v>2745797.61903452</v>
      </c>
      <c r="G209" s="72" t="n">
        <f aca="false">G191+G175+G176+G166</f>
        <v>2687022.58847472</v>
      </c>
      <c r="H209" s="72" t="n">
        <f aca="false">H191+H175+H176+H166</f>
        <v>2630419.21161754</v>
      </c>
      <c r="I209" s="72" t="n">
        <f aca="false">I191+I175+I176+I166</f>
        <v>2575933.45672671</v>
      </c>
      <c r="J209" s="72" t="n">
        <f aca="false">J191+J175+J176+J166</f>
        <v>2523512.63507116</v>
      </c>
      <c r="K209" s="72" t="n">
        <f aca="false">K191+K175+K176+K166</f>
        <v>2473105.36758356</v>
      </c>
      <c r="L209" s="72" t="n">
        <f aca="false">L191+L175+L176+L166</f>
        <v>2424661.55234537</v>
      </c>
      <c r="M209" s="72" t="n">
        <f aca="false">M191+M175+M176+M166</f>
        <v>2378132.33287792</v>
      </c>
      <c r="N209" s="72" t="n">
        <f aca="false">N191+N175+N176+N166</f>
        <v>2333470.06721971</v>
      </c>
      <c r="O209" s="72" t="n">
        <f aca="false">O191+O175+O176+O166</f>
        <v>2255389.05417025</v>
      </c>
      <c r="P209" s="72" t="n">
        <f aca="false">P191+P175+P176+P166</f>
        <v>2179818.49761622</v>
      </c>
      <c r="Q209" s="72" t="n">
        <f aca="false">Q191+Q175+Q176+Q166</f>
        <v>2106647.81523214</v>
      </c>
      <c r="R209" s="72" t="n">
        <f aca="false">R191+R175+R176+R166</f>
        <v>2035817.27800675</v>
      </c>
      <c r="S209" s="72" t="n">
        <f aca="false">S191+S175+S176+S166</f>
        <v>1967268.64211877</v>
      </c>
      <c r="T209" s="72" t="n">
        <f aca="false">T191+T175+T176+T166</f>
        <v>1900945.11204824</v>
      </c>
      <c r="U209" s="72" t="n">
        <f aca="false">U191+U175+U176+U166</f>
        <v>1836791.30460278</v>
      </c>
      <c r="V209" s="72" t="n">
        <f aca="false">V191+V175+V176+V166</f>
        <v>1774753.21383623</v>
      </c>
      <c r="W209" s="72" t="n">
        <f aca="false">W191+W175+W176+W166</f>
        <v>1714778.1768375</v>
      </c>
      <c r="X209" s="72" t="n">
        <f aca="false">X191+X175+X176+X166</f>
        <v>1656814.84036809</v>
      </c>
      <c r="Y209" s="72" t="n">
        <f aca="false">Y191+Y175+Y176+Y166</f>
        <v>1600813.12832732</v>
      </c>
      <c r="Z209" s="72" t="n">
        <f aca="false">Z191+Z175+Z176+Z166</f>
        <v>1546724.21002463</v>
      </c>
      <c r="AA209" s="72" t="n">
        <f aca="false">AA191+AA175+AA176+AA166</f>
        <v>1439750.16252272</v>
      </c>
      <c r="AB209" s="72" t="n">
        <f aca="false">AB191+AB175+AB176+AB166</f>
        <v>1335541.18756778</v>
      </c>
      <c r="AC209" s="72" t="n">
        <f aca="false">AC191+AC175+AC176+AC166</f>
        <v>1233966.81584587</v>
      </c>
      <c r="AD209" s="72" t="n">
        <f aca="false">AD191+AD175+AD176+AD166</f>
        <v>1134961.45624163</v>
      </c>
      <c r="AE209" s="72" t="n">
        <f aca="false">AE191+AE175+AE176+AE166</f>
        <v>1038461.14919864</v>
      </c>
      <c r="AF209" s="72" t="n">
        <f aca="false">AF191+AF175+AF176+AF166</f>
        <v>944403.526176978</v>
      </c>
      <c r="AG209" s="72" t="n">
        <f aca="false">AG191+AG175+AG176+AG166</f>
        <v>852727.770117001</v>
      </c>
      <c r="AH209" s="72" t="n">
        <f aca="false">AH191+AH175+AH176+AH166</f>
        <v>763374.576884334</v>
      </c>
      <c r="AI209" s="72" t="n">
        <f aca="false">AI191+AI175+AI176+AI166</f>
        <v>676286.11767177</v>
      </c>
      <c r="AJ209" s="72" t="n">
        <f aca="false">AJ191+AJ175+AJ176+AJ166</f>
        <v>591406.002334375</v>
      </c>
      <c r="AK209" s="72" t="n">
        <f aca="false">AK191+AK175+AK176+AK166</f>
        <v>508679.243634675</v>
      </c>
      <c r="AL209" s="72" t="n">
        <f aca="false">AL191+AL175+AL176+AL166</f>
        <v>428052.222375349</v>
      </c>
    </row>
    <row r="210" customFormat="false" ht="15" hidden="false" customHeight="false" outlineLevel="0" collapsed="false">
      <c r="A210" s="6" t="s">
        <v>96</v>
      </c>
      <c r="C210" s="66" t="n">
        <f aca="false">C177+C172+C181</f>
        <v>7542.06527777778</v>
      </c>
      <c r="D210" s="66" t="n">
        <f aca="false">D177+D172+D181</f>
        <v>11245.0248125</v>
      </c>
      <c r="E210" s="66" t="n">
        <f aca="false">E177+E172+E181</f>
        <v>14855.1259127431</v>
      </c>
      <c r="F210" s="66" t="n">
        <f aca="false">F177+F172+F181</f>
        <v>18374.6985727523</v>
      </c>
      <c r="G210" s="66" t="n">
        <f aca="false">G177+G172+G181</f>
        <v>21806.0142809153</v>
      </c>
      <c r="H210" s="66" t="n">
        <f aca="false">H177+H172+H181</f>
        <v>25151.2874900887</v>
      </c>
      <c r="I210" s="66" t="n">
        <f aca="false">I177+I172+I181</f>
        <v>28412.6770509357</v>
      </c>
      <c r="J210" s="66" t="n">
        <f aca="false">J177+J172+J181</f>
        <v>31592.2876092075</v>
      </c>
      <c r="K210" s="66" t="n">
        <f aca="false">K177+K172+K181</f>
        <v>34692.170967875</v>
      </c>
      <c r="L210" s="66" t="n">
        <f aca="false">L177+L172+L181</f>
        <v>37714.3274149978</v>
      </c>
      <c r="M210" s="66" t="n">
        <f aca="false">M177+M172+M181</f>
        <v>40660.7070181919</v>
      </c>
      <c r="N210" s="66" t="n">
        <f aca="false">N177+N172+N181</f>
        <v>43533.2108865379</v>
      </c>
      <c r="O210" s="66" t="n">
        <f aca="false">O177+O172+O181</f>
        <v>47363.4629563056</v>
      </c>
      <c r="P210" s="66" t="n">
        <f aca="false">P177+P172+P181</f>
        <v>51145.7796374046</v>
      </c>
      <c r="Q210" s="66" t="n">
        <f aca="false">Q177+Q172+Q181</f>
        <v>54833.2705584925</v>
      </c>
      <c r="R210" s="66" t="n">
        <f aca="false">R177+R172+R181</f>
        <v>58428.3143988593</v>
      </c>
      <c r="S210" s="66" t="n">
        <f aca="false">S177+S172+S181</f>
        <v>61933.2301297536</v>
      </c>
      <c r="T210" s="66" t="n">
        <f aca="false">T177+T172+T181</f>
        <v>65350.2785143163</v>
      </c>
      <c r="U210" s="66" t="n">
        <f aca="false">U177+U172+U181</f>
        <v>68681.6635697974</v>
      </c>
      <c r="V210" s="66" t="n">
        <f aca="false">V177+V172+V181</f>
        <v>71929.533993008</v>
      </c>
      <c r="W210" s="66" t="n">
        <f aca="false">W177+W172+W181</f>
        <v>75095.9845499313</v>
      </c>
      <c r="X210" s="66" t="n">
        <f aca="false">X177+X172+X181</f>
        <v>78183.0574303957</v>
      </c>
      <c r="Y210" s="66" t="n">
        <f aca="false">Y177+Y172+Y181</f>
        <v>81192.7435686888</v>
      </c>
      <c r="Z210" s="66" t="n">
        <f aca="false">Z177+Z172+Z181</f>
        <v>84126.9839309697</v>
      </c>
      <c r="AA210" s="66" t="n">
        <f aca="false">AA177+AA172+AA181</f>
        <v>88312.4213219819</v>
      </c>
      <c r="AB210" s="66" t="n">
        <f aca="false">AB177+AB172+AB181</f>
        <v>92454.5652784902</v>
      </c>
      <c r="AC210" s="66" t="n">
        <f aca="false">AC177+AC172+AC181</f>
        <v>96492.8816706111</v>
      </c>
      <c r="AD210" s="66" t="n">
        <f aca="false">AD177+AD172+AD181</f>
        <v>100429.974406418</v>
      </c>
      <c r="AE210" s="66" t="n">
        <f aca="false">AE177+AE172+AE181</f>
        <v>104268.382049715</v>
      </c>
      <c r="AF210" s="66" t="n">
        <f aca="false">AF177+AF172+AF181</f>
        <v>108010.579461038</v>
      </c>
      <c r="AG210" s="66" t="n">
        <f aca="false">AG177+AG172+AG181</f>
        <v>111658.979397413</v>
      </c>
      <c r="AH210" s="66" t="n">
        <f aca="false">AH177+AH172+AH181</f>
        <v>115215.934071904</v>
      </c>
      <c r="AI210" s="66" t="n">
        <f aca="false">AI177+AI172+AI181</f>
        <v>118683.736673961</v>
      </c>
      <c r="AJ210" s="66" t="n">
        <f aca="false">AJ177+AJ172+AJ181</f>
        <v>122064.622851563</v>
      </c>
      <c r="AK210" s="66" t="n">
        <f aca="false">AK177+AK172+AK181</f>
        <v>125360.772156104</v>
      </c>
      <c r="AL210" s="66" t="n">
        <f aca="false">AL177+AL172+AL181</f>
        <v>128574.309450968</v>
      </c>
    </row>
    <row r="211" customFormat="false" ht="15" hidden="false" customHeight="false" outlineLevel="0" collapsed="false">
      <c r="A211" s="6" t="s">
        <v>99</v>
      </c>
      <c r="C211" s="66" t="n">
        <f aca="false">C207+C208</f>
        <v>2928171.75416667</v>
      </c>
      <c r="D211" s="66" t="n">
        <f aca="false">D207+D208</f>
        <v>2858840.66442361</v>
      </c>
      <c r="E211" s="66" t="n">
        <f aca="false">E207+E208</f>
        <v>2791944.58631469</v>
      </c>
      <c r="F211" s="66" t="n">
        <f aca="false">F207+F208</f>
        <v>2727422.92046177</v>
      </c>
      <c r="G211" s="66" t="n">
        <f aca="false">G207+G208</f>
        <v>2665216.57419381</v>
      </c>
      <c r="H211" s="66" t="n">
        <f aca="false">H207+H208</f>
        <v>2605267.92412745</v>
      </c>
      <c r="I211" s="66" t="n">
        <f aca="false">I207+I208</f>
        <v>2547520.77967577</v>
      </c>
      <c r="J211" s="66" t="n">
        <f aca="false">J207+J208</f>
        <v>2491920.34746195</v>
      </c>
      <c r="K211" s="66" t="n">
        <f aca="false">K207+K208</f>
        <v>2438413.19661569</v>
      </c>
      <c r="L211" s="66" t="n">
        <f aca="false">L207+L208</f>
        <v>2386947.22493037</v>
      </c>
      <c r="M211" s="66" t="n">
        <f aca="false">M207+M208</f>
        <v>2337471.62585973</v>
      </c>
      <c r="N211" s="66" t="n">
        <f aca="false">N207+N208</f>
        <v>2289936.85633317</v>
      </c>
      <c r="O211" s="66" t="n">
        <f aca="false">O207+O208</f>
        <v>2208025.59121395</v>
      </c>
      <c r="P211" s="66" t="n">
        <f aca="false">P207+P208</f>
        <v>2128672.71797881</v>
      </c>
      <c r="Q211" s="66" t="n">
        <f aca="false">Q207+Q208</f>
        <v>2051814.54467364</v>
      </c>
      <c r="R211" s="66" t="n">
        <f aca="false">R207+R208</f>
        <v>1977388.96360789</v>
      </c>
      <c r="S211" s="66" t="n">
        <f aca="false">S207+S208</f>
        <v>1905335.41198902</v>
      </c>
      <c r="T211" s="66" t="n">
        <f aca="false">T207+T208</f>
        <v>1835594.83353393</v>
      </c>
      <c r="U211" s="66" t="n">
        <f aca="false">U207+U208</f>
        <v>1768109.64103298</v>
      </c>
      <c r="V211" s="66" t="n">
        <f aca="false">V207+V208</f>
        <v>1702823.67984322</v>
      </c>
      <c r="W211" s="66" t="n">
        <f aca="false">W207+W208</f>
        <v>1639682.19228756</v>
      </c>
      <c r="X211" s="66" t="n">
        <f aca="false">X207+X208</f>
        <v>1578631.7829377</v>
      </c>
      <c r="Y211" s="66" t="n">
        <f aca="false">Y207+Y208</f>
        <v>1519620.38475864</v>
      </c>
      <c r="Z211" s="66" t="n">
        <f aca="false">Z207+Z208</f>
        <v>1462597.22609366</v>
      </c>
      <c r="AA211" s="66" t="n">
        <f aca="false">AA207+AA208</f>
        <v>1351437.74120074</v>
      </c>
      <c r="AB211" s="66" t="n">
        <f aca="false">AB207+AB208</f>
        <v>1243086.62228929</v>
      </c>
      <c r="AC211" s="66" t="n">
        <f aca="false">AC207+AC208</f>
        <v>1137473.93417526</v>
      </c>
      <c r="AD211" s="66" t="n">
        <f aca="false">AD207+AD208</f>
        <v>1034531.48183521</v>
      </c>
      <c r="AE211" s="66" t="n">
        <f aca="false">AE207+AE208</f>
        <v>934192.767148926</v>
      </c>
      <c r="AF211" s="66" t="n">
        <f aca="false">AF207+AF208</f>
        <v>836392.946715939</v>
      </c>
      <c r="AG211" s="66" t="n">
        <f aca="false">AG207+AG208</f>
        <v>741068.790719588</v>
      </c>
      <c r="AH211" s="66" t="n">
        <f aca="false">AH207+AH208</f>
        <v>648158.64281243</v>
      </c>
      <c r="AI211" s="66" t="n">
        <f aca="false">AI207+AI208</f>
        <v>557602.380997808</v>
      </c>
      <c r="AJ211" s="66" t="n">
        <f aca="false">AJ207+AJ208</f>
        <v>469341.379482811</v>
      </c>
      <c r="AK211" s="66" t="n">
        <f aca="false">AK207+AK208</f>
        <v>383318.471478571</v>
      </c>
      <c r="AL211" s="66" t="n">
        <f aca="false">AL207+AL208</f>
        <v>299477.91292438</v>
      </c>
    </row>
    <row r="212" customFormat="false" ht="15" hidden="false" customHeight="false" outlineLevel="0" collapsed="false">
      <c r="A212" s="4" t="s">
        <v>100</v>
      </c>
      <c r="C212" s="72" t="n">
        <f aca="false">C210+C211</f>
        <v>2935713.81944444</v>
      </c>
      <c r="D212" s="72" t="n">
        <f aca="false">D210+D211</f>
        <v>2870085.68923611</v>
      </c>
      <c r="E212" s="72" t="n">
        <f aca="false">E210+E211</f>
        <v>2806799.71222743</v>
      </c>
      <c r="F212" s="72" t="n">
        <f aca="false">F210+F211</f>
        <v>2745797.61903452</v>
      </c>
      <c r="G212" s="72" t="n">
        <f aca="false">G210+G211</f>
        <v>2687022.58847472</v>
      </c>
      <c r="H212" s="72" t="n">
        <f aca="false">H210+H211</f>
        <v>2630419.21161754</v>
      </c>
      <c r="I212" s="72" t="n">
        <f aca="false">I210+I211</f>
        <v>2575933.45672671</v>
      </c>
      <c r="J212" s="72" t="n">
        <f aca="false">J210+J211</f>
        <v>2523512.63507116</v>
      </c>
      <c r="K212" s="72" t="n">
        <f aca="false">K210+K211</f>
        <v>2473105.36758356</v>
      </c>
      <c r="L212" s="72" t="n">
        <f aca="false">L210+L211</f>
        <v>2424661.55234537</v>
      </c>
      <c r="M212" s="72" t="n">
        <f aca="false">M210+M211</f>
        <v>2378132.33287792</v>
      </c>
      <c r="N212" s="72" t="n">
        <f aca="false">N210+N211</f>
        <v>2333470.06721971</v>
      </c>
      <c r="O212" s="72" t="n">
        <f aca="false">O210+O211</f>
        <v>2255389.05417025</v>
      </c>
      <c r="P212" s="72" t="n">
        <f aca="false">P210+P211</f>
        <v>2179818.49761622</v>
      </c>
      <c r="Q212" s="72" t="n">
        <f aca="false">Q210+Q211</f>
        <v>2106647.81523214</v>
      </c>
      <c r="R212" s="72" t="n">
        <f aca="false">R210+R211</f>
        <v>2035817.27800675</v>
      </c>
      <c r="S212" s="72" t="n">
        <f aca="false">S210+S211</f>
        <v>1967268.64211877</v>
      </c>
      <c r="T212" s="72" t="n">
        <f aca="false">T210+T211</f>
        <v>1900945.11204824</v>
      </c>
      <c r="U212" s="72" t="n">
        <f aca="false">U210+U211</f>
        <v>1836791.30460278</v>
      </c>
      <c r="V212" s="72" t="n">
        <f aca="false">V210+V211</f>
        <v>1774753.21383623</v>
      </c>
      <c r="W212" s="72" t="n">
        <f aca="false">W210+W211</f>
        <v>1714778.1768375</v>
      </c>
      <c r="X212" s="72" t="n">
        <f aca="false">X210+X211</f>
        <v>1656814.84036809</v>
      </c>
      <c r="Y212" s="72" t="n">
        <f aca="false">Y210+Y211</f>
        <v>1600813.12832732</v>
      </c>
      <c r="Z212" s="72" t="n">
        <f aca="false">Z210+Z211</f>
        <v>1546724.21002463</v>
      </c>
      <c r="AA212" s="72" t="n">
        <f aca="false">AA210+AA211</f>
        <v>1439750.16252272</v>
      </c>
      <c r="AB212" s="72" t="n">
        <f aca="false">AB210+AB211</f>
        <v>1335541.18756778</v>
      </c>
      <c r="AC212" s="72" t="n">
        <f aca="false">AC210+AC211</f>
        <v>1233966.81584587</v>
      </c>
      <c r="AD212" s="72" t="n">
        <f aca="false">AD210+AD211</f>
        <v>1134961.45624163</v>
      </c>
      <c r="AE212" s="72" t="n">
        <f aca="false">AE210+AE211</f>
        <v>1038461.14919864</v>
      </c>
      <c r="AF212" s="72" t="n">
        <f aca="false">AF210+AF211</f>
        <v>944403.526176978</v>
      </c>
      <c r="AG212" s="72" t="n">
        <f aca="false">AG210+AG211</f>
        <v>852727.770117001</v>
      </c>
      <c r="AH212" s="72" t="n">
        <f aca="false">AH210+AH211</f>
        <v>763374.576884334</v>
      </c>
      <c r="AI212" s="72" t="n">
        <f aca="false">AI210+AI211</f>
        <v>676286.117671769</v>
      </c>
      <c r="AJ212" s="72" t="n">
        <f aca="false">AJ210+AJ211</f>
        <v>591406.002334375</v>
      </c>
      <c r="AK212" s="72" t="n">
        <f aca="false">AK210+AK211</f>
        <v>508679.243634675</v>
      </c>
      <c r="AL212" s="72" t="n">
        <f aca="false">AL210+AL211</f>
        <v>428052.222375348</v>
      </c>
    </row>
    <row r="213" customFormat="false" ht="15" hidden="false" customHeight="false" outlineLevel="0" collapsed="false">
      <c r="A213" s="6" t="s">
        <v>408</v>
      </c>
      <c r="C213" s="66" t="n">
        <f aca="false">C209-C212</f>
        <v>0</v>
      </c>
      <c r="D213" s="66" t="n">
        <f aca="false">D209-D212</f>
        <v>0</v>
      </c>
      <c r="E213" s="66" t="n">
        <f aca="false">E209-E212</f>
        <v>0</v>
      </c>
      <c r="F213" s="66" t="n">
        <f aca="false">F209-F212</f>
        <v>0</v>
      </c>
      <c r="G213" s="66" t="n">
        <f aca="false">G209-G212</f>
        <v>0</v>
      </c>
      <c r="H213" s="66" t="n">
        <f aca="false">H209-H212</f>
        <v>0</v>
      </c>
      <c r="I213" s="66" t="n">
        <f aca="false">I209-I212</f>
        <v>0</v>
      </c>
      <c r="J213" s="66" t="n">
        <f aca="false">J209-J212</f>
        <v>0</v>
      </c>
      <c r="K213" s="66" t="n">
        <f aca="false">K209-K212</f>
        <v>0</v>
      </c>
      <c r="L213" s="66" t="n">
        <f aca="false">L209-L212</f>
        <v>0</v>
      </c>
      <c r="M213" s="66" t="n">
        <f aca="false">M209-M212</f>
        <v>0</v>
      </c>
      <c r="N213" s="66" t="n">
        <f aca="false">N209-N212</f>
        <v>0</v>
      </c>
      <c r="O213" s="66" t="n">
        <f aca="false">O209-O212</f>
        <v>0</v>
      </c>
      <c r="P213" s="66" t="n">
        <f aca="false">P209-P212</f>
        <v>0</v>
      </c>
      <c r="Q213" s="66" t="n">
        <f aca="false">Q209-Q212</f>
        <v>0</v>
      </c>
      <c r="R213" s="66" t="n">
        <f aca="false">R209-R212</f>
        <v>0</v>
      </c>
      <c r="S213" s="66" t="n">
        <f aca="false">S209-S212</f>
        <v>0</v>
      </c>
      <c r="T213" s="66" t="n">
        <f aca="false">T209-T212</f>
        <v>0</v>
      </c>
      <c r="U213" s="66" t="n">
        <f aca="false">U209-U212</f>
        <v>0</v>
      </c>
      <c r="V213" s="66" t="n">
        <f aca="false">V209-V212</f>
        <v>0</v>
      </c>
      <c r="W213" s="66" t="n">
        <f aca="false">W209-W212</f>
        <v>0</v>
      </c>
      <c r="X213" s="66" t="n">
        <f aca="false">X209-X212</f>
        <v>0</v>
      </c>
      <c r="Y213" s="66" t="n">
        <f aca="false">Y209-Y212</f>
        <v>0</v>
      </c>
      <c r="Z213" s="66" t="n">
        <f aca="false">Z209-Z212</f>
        <v>0</v>
      </c>
      <c r="AA213" s="66" t="n">
        <f aca="false">AA209-AA212</f>
        <v>0</v>
      </c>
      <c r="AB213" s="66" t="n">
        <f aca="false">AB209-AB212</f>
        <v>0</v>
      </c>
      <c r="AC213" s="66" t="n">
        <f aca="false">AC209-AC212</f>
        <v>0</v>
      </c>
      <c r="AD213" s="66" t="n">
        <f aca="false">AD209-AD212</f>
        <v>0</v>
      </c>
      <c r="AE213" s="66" t="n">
        <f aca="false">AE209-AE212</f>
        <v>0</v>
      </c>
      <c r="AF213" s="66" t="n">
        <f aca="false">AF209-AF212</f>
        <v>0</v>
      </c>
      <c r="AG213" s="66" t="n">
        <f aca="false">AG209-AG212</f>
        <v>0</v>
      </c>
      <c r="AH213" s="66" t="n">
        <f aca="false">AH209-AH212</f>
        <v>0</v>
      </c>
      <c r="AI213" s="66" t="n">
        <f aca="false">AI209-AI212</f>
        <v>0</v>
      </c>
      <c r="AJ213" s="66" t="n">
        <f aca="false">AJ209-AJ212</f>
        <v>0</v>
      </c>
      <c r="AK213" s="66" t="n">
        <f aca="false">AK209-AK212</f>
        <v>0</v>
      </c>
      <c r="AL213" s="66" t="n">
        <f aca="false">AL209-AL212</f>
        <v>0</v>
      </c>
    </row>
    <row r="215" customFormat="false" ht="15.75" hidden="false" customHeight="true" outlineLevel="0" collapsed="false">
      <c r="A215" s="7" t="s">
        <v>410</v>
      </c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</row>
    <row r="216" customFormat="false" ht="15" hidden="false" customHeight="false" outlineLevel="0" collapsed="false">
      <c r="A216" s="6" t="s">
        <v>411</v>
      </c>
      <c r="C216" s="114" t="n">
        <f aca="false">Inputs!$C$26*(1+Inputs!$C$28)^(C$120-1)*MAX(0,MIN(1,C$119*1-Inputs!$C$29+1))/1</f>
        <v>3</v>
      </c>
      <c r="D216" s="114" t="n">
        <f aca="false">Inputs!$C$26*(1+Inputs!$C$28)^(D$120-1)*MAX(0,MIN(1,D$119*1-Inputs!$C$29+1))/1</f>
        <v>3</v>
      </c>
      <c r="E216" s="114" t="n">
        <f aca="false">Inputs!$C$26*(1+Inputs!$C$28)^(E$120-1)*MAX(0,MIN(1,E$119*1-Inputs!$C$29+1))/1</f>
        <v>3</v>
      </c>
      <c r="F216" s="114" t="n">
        <f aca="false">Inputs!$C$26*(1+Inputs!$C$28)^(F$120-1)*MAX(0,MIN(1,F$119*1-Inputs!$C$29+1))/1</f>
        <v>3</v>
      </c>
      <c r="G216" s="114" t="n">
        <f aca="false">Inputs!$C$26*(1+Inputs!$C$28)^(G$120-1)*MAX(0,MIN(1,G$119*1-Inputs!$C$29+1))/1</f>
        <v>3</v>
      </c>
      <c r="H216" s="114" t="n">
        <f aca="false">Inputs!$C$26*(1+Inputs!$C$28)^(H$120-1)*MAX(0,MIN(1,H$119*1-Inputs!$C$29+1))/1</f>
        <v>3</v>
      </c>
      <c r="I216" s="114" t="n">
        <f aca="false">Inputs!$C$26*(1+Inputs!$C$28)^(I$120-1)*MAX(0,MIN(1,I$119*1-Inputs!$C$29+1))/1</f>
        <v>3</v>
      </c>
      <c r="J216" s="114" t="n">
        <f aca="false">Inputs!$C$26*(1+Inputs!$C$28)^(J$120-1)*MAX(0,MIN(1,J$119*1-Inputs!$C$29+1))/1</f>
        <v>3</v>
      </c>
      <c r="K216" s="114" t="n">
        <f aca="false">Inputs!$C$26*(1+Inputs!$C$28)^(K$120-1)*MAX(0,MIN(1,K$119*1-Inputs!$C$29+1))/1</f>
        <v>3</v>
      </c>
      <c r="L216" s="114" t="n">
        <f aca="false">Inputs!$C$26*(1+Inputs!$C$28)^(L$120-1)*MAX(0,MIN(1,L$119*1-Inputs!$C$29+1))/1</f>
        <v>3</v>
      </c>
      <c r="M216" s="114" t="n">
        <f aca="false">Inputs!$C$26*(1+Inputs!$C$28)^(M$120-1)*MAX(0,MIN(1,M$119*1-Inputs!$C$29+1))/1</f>
        <v>3</v>
      </c>
      <c r="N216" s="114" t="n">
        <f aca="false">Inputs!$C$26*(1+Inputs!$C$28)^(N$120-1)*MAX(0,MIN(1,N$119*1-Inputs!$C$29+1))/1</f>
        <v>3</v>
      </c>
      <c r="O216" s="114" t="n">
        <f aca="false">Inputs!$C$26*(1+Inputs!$C$28)^(O$120-1)*MAX(0,MIN(1,O$119*1-Inputs!$C$29+1))/1</f>
        <v>4.5</v>
      </c>
      <c r="P216" s="114" t="n">
        <f aca="false">Inputs!$C$26*(1+Inputs!$C$28)^(P$120-1)*MAX(0,MIN(1,P$119*1-Inputs!$C$29+1))/1</f>
        <v>4.5</v>
      </c>
      <c r="Q216" s="114" t="n">
        <f aca="false">Inputs!$C$26*(1+Inputs!$C$28)^(Q$120-1)*MAX(0,MIN(1,Q$119*1-Inputs!$C$29+1))/1</f>
        <v>4.5</v>
      </c>
      <c r="R216" s="114" t="n">
        <f aca="false">Inputs!$C$26*(1+Inputs!$C$28)^(R$120-1)*MAX(0,MIN(1,R$119*1-Inputs!$C$29+1))/1</f>
        <v>4.5</v>
      </c>
      <c r="S216" s="114" t="n">
        <f aca="false">Inputs!$C$26*(1+Inputs!$C$28)^(S$120-1)*MAX(0,MIN(1,S$119*1-Inputs!$C$29+1))/1</f>
        <v>4.5</v>
      </c>
      <c r="T216" s="114" t="n">
        <f aca="false">Inputs!$C$26*(1+Inputs!$C$28)^(T$120-1)*MAX(0,MIN(1,T$119*1-Inputs!$C$29+1))/1</f>
        <v>4.5</v>
      </c>
      <c r="U216" s="114" t="n">
        <f aca="false">Inputs!$C$26*(1+Inputs!$C$28)^(U$120-1)*MAX(0,MIN(1,U$119*1-Inputs!$C$29+1))/1</f>
        <v>4.5</v>
      </c>
      <c r="V216" s="114" t="n">
        <f aca="false">Inputs!$C$26*(1+Inputs!$C$28)^(V$120-1)*MAX(0,MIN(1,V$119*1-Inputs!$C$29+1))/1</f>
        <v>4.5</v>
      </c>
      <c r="W216" s="114" t="n">
        <f aca="false">Inputs!$C$26*(1+Inputs!$C$28)^(W$120-1)*MAX(0,MIN(1,W$119*1-Inputs!$C$29+1))/1</f>
        <v>4.5</v>
      </c>
      <c r="X216" s="114" t="n">
        <f aca="false">Inputs!$C$26*(1+Inputs!$C$28)^(X$120-1)*MAX(0,MIN(1,X$119*1-Inputs!$C$29+1))/1</f>
        <v>4.5</v>
      </c>
      <c r="Y216" s="114" t="n">
        <f aca="false">Inputs!$C$26*(1+Inputs!$C$28)^(Y$120-1)*MAX(0,MIN(1,Y$119*1-Inputs!$C$29+1))/1</f>
        <v>4.5</v>
      </c>
      <c r="Z216" s="114" t="n">
        <f aca="false">Inputs!$C$26*(1+Inputs!$C$28)^(Z$120-1)*MAX(0,MIN(1,Z$119*1-Inputs!$C$29+1))/1</f>
        <v>4.5</v>
      </c>
      <c r="AA216" s="114" t="n">
        <f aca="false">Inputs!$C$26*(1+Inputs!$C$28)^(AA$120-1)*MAX(0,MIN(1,AA$119*1-Inputs!$C$29+1))/1</f>
        <v>6.75</v>
      </c>
      <c r="AB216" s="114" t="n">
        <f aca="false">Inputs!$C$26*(1+Inputs!$C$28)^(AB$120-1)*MAX(0,MIN(1,AB$119*1-Inputs!$C$29+1))/1</f>
        <v>6.75</v>
      </c>
      <c r="AC216" s="114" t="n">
        <f aca="false">Inputs!$C$26*(1+Inputs!$C$28)^(AC$120-1)*MAX(0,MIN(1,AC$119*1-Inputs!$C$29+1))/1</f>
        <v>6.75</v>
      </c>
      <c r="AD216" s="114" t="n">
        <f aca="false">Inputs!$C$26*(1+Inputs!$C$28)^(AD$120-1)*MAX(0,MIN(1,AD$119*1-Inputs!$C$29+1))/1</f>
        <v>6.75</v>
      </c>
      <c r="AE216" s="114" t="n">
        <f aca="false">Inputs!$C$26*(1+Inputs!$C$28)^(AE$120-1)*MAX(0,MIN(1,AE$119*1-Inputs!$C$29+1))/1</f>
        <v>6.75</v>
      </c>
      <c r="AF216" s="114" t="n">
        <f aca="false">Inputs!$C$26*(1+Inputs!$C$28)^(AF$120-1)*MAX(0,MIN(1,AF$119*1-Inputs!$C$29+1))/1</f>
        <v>6.75</v>
      </c>
      <c r="AG216" s="114" t="n">
        <f aca="false">Inputs!$C$26*(1+Inputs!$C$28)^(AG$120-1)*MAX(0,MIN(1,AG$119*1-Inputs!$C$29+1))/1</f>
        <v>6.75</v>
      </c>
      <c r="AH216" s="114" t="n">
        <f aca="false">Inputs!$C$26*(1+Inputs!$C$28)^(AH$120-1)*MAX(0,MIN(1,AH$119*1-Inputs!$C$29+1))/1</f>
        <v>6.75</v>
      </c>
      <c r="AI216" s="114" t="n">
        <f aca="false">Inputs!$C$26*(1+Inputs!$C$28)^(AI$120-1)*MAX(0,MIN(1,AI$119*1-Inputs!$C$29+1))/1</f>
        <v>6.75</v>
      </c>
      <c r="AJ216" s="114" t="n">
        <f aca="false">Inputs!$C$26*(1+Inputs!$C$28)^(AJ$120-1)*MAX(0,MIN(1,AJ$119*1-Inputs!$C$29+1))/1</f>
        <v>6.75</v>
      </c>
      <c r="AK216" s="114" t="n">
        <f aca="false">Inputs!$C$26*(1+Inputs!$C$28)^(AK$120-1)*MAX(0,MIN(1,AK$119*1-Inputs!$C$29+1))/1</f>
        <v>6.75</v>
      </c>
      <c r="AL216" s="114" t="n">
        <f aca="false">Inputs!$C$26*(1+Inputs!$C$28)^(AL$120-1)*MAX(0,MIN(1,AL$119*1-Inputs!$C$29+1))/1</f>
        <v>6.75</v>
      </c>
    </row>
    <row r="217" customFormat="false" ht="15" hidden="false" customHeight="false" outlineLevel="0" collapsed="false">
      <c r="A217" s="6" t="s">
        <v>412</v>
      </c>
      <c r="C217" s="114" t="n">
        <f aca="false">Inputs!$C$30*(1+Inputs!$C$32)^(C$120-1)*MAX(0,MIN(1,C$119*1-Inputs!$C$33+1))/1</f>
        <v>1.5</v>
      </c>
      <c r="D217" s="114" t="n">
        <f aca="false">Inputs!$C$30*(1+Inputs!$C$32)^(D$120-1)*MAX(0,MIN(1,D$119*1-Inputs!$C$33+1))/1</f>
        <v>1.5</v>
      </c>
      <c r="E217" s="114" t="n">
        <f aca="false">Inputs!$C$30*(1+Inputs!$C$32)^(E$120-1)*MAX(0,MIN(1,E$119*1-Inputs!$C$33+1))/1</f>
        <v>1.5</v>
      </c>
      <c r="F217" s="114" t="n">
        <f aca="false">Inputs!$C$30*(1+Inputs!$C$32)^(F$120-1)*MAX(0,MIN(1,F$119*1-Inputs!$C$33+1))/1</f>
        <v>1.5</v>
      </c>
      <c r="G217" s="114" t="n">
        <f aca="false">Inputs!$C$30*(1+Inputs!$C$32)^(G$120-1)*MAX(0,MIN(1,G$119*1-Inputs!$C$33+1))/1</f>
        <v>1.5</v>
      </c>
      <c r="H217" s="114" t="n">
        <f aca="false">Inputs!$C$30*(1+Inputs!$C$32)^(H$120-1)*MAX(0,MIN(1,H$119*1-Inputs!$C$33+1))/1</f>
        <v>1.5</v>
      </c>
      <c r="I217" s="114" t="n">
        <f aca="false">Inputs!$C$30*(1+Inputs!$C$32)^(I$120-1)*MAX(0,MIN(1,I$119*1-Inputs!$C$33+1))/1</f>
        <v>1.5</v>
      </c>
      <c r="J217" s="114" t="n">
        <f aca="false">Inputs!$C$30*(1+Inputs!$C$32)^(J$120-1)*MAX(0,MIN(1,J$119*1-Inputs!$C$33+1))/1</f>
        <v>1.5</v>
      </c>
      <c r="K217" s="114" t="n">
        <f aca="false">Inputs!$C$30*(1+Inputs!$C$32)^(K$120-1)*MAX(0,MIN(1,K$119*1-Inputs!$C$33+1))/1</f>
        <v>1.5</v>
      </c>
      <c r="L217" s="114" t="n">
        <f aca="false">Inputs!$C$30*(1+Inputs!$C$32)^(L$120-1)*MAX(0,MIN(1,L$119*1-Inputs!$C$33+1))/1</f>
        <v>1.5</v>
      </c>
      <c r="M217" s="114" t="n">
        <f aca="false">Inputs!$C$30*(1+Inputs!$C$32)^(M$120-1)*MAX(0,MIN(1,M$119*1-Inputs!$C$33+1))/1</f>
        <v>1.5</v>
      </c>
      <c r="N217" s="114" t="n">
        <f aca="false">Inputs!$C$30*(1+Inputs!$C$32)^(N$120-1)*MAX(0,MIN(1,N$119*1-Inputs!$C$33+1))/1</f>
        <v>1.5</v>
      </c>
      <c r="O217" s="114" t="n">
        <f aca="false">Inputs!$C$30*(1+Inputs!$C$32)^(O$120-1)*MAX(0,MIN(1,O$119*1-Inputs!$C$33+1))/1</f>
        <v>2.25</v>
      </c>
      <c r="P217" s="114" t="n">
        <f aca="false">Inputs!$C$30*(1+Inputs!$C$32)^(P$120-1)*MAX(0,MIN(1,P$119*1-Inputs!$C$33+1))/1</f>
        <v>2.25</v>
      </c>
      <c r="Q217" s="114" t="n">
        <f aca="false">Inputs!$C$30*(1+Inputs!$C$32)^(Q$120-1)*MAX(0,MIN(1,Q$119*1-Inputs!$C$33+1))/1</f>
        <v>2.25</v>
      </c>
      <c r="R217" s="114" t="n">
        <f aca="false">Inputs!$C$30*(1+Inputs!$C$32)^(R$120-1)*MAX(0,MIN(1,R$119*1-Inputs!$C$33+1))/1</f>
        <v>2.25</v>
      </c>
      <c r="S217" s="114" t="n">
        <f aca="false">Inputs!$C$30*(1+Inputs!$C$32)^(S$120-1)*MAX(0,MIN(1,S$119*1-Inputs!$C$33+1))/1</f>
        <v>2.25</v>
      </c>
      <c r="T217" s="114" t="n">
        <f aca="false">Inputs!$C$30*(1+Inputs!$C$32)^(T$120-1)*MAX(0,MIN(1,T$119*1-Inputs!$C$33+1))/1</f>
        <v>2.25</v>
      </c>
      <c r="U217" s="114" t="n">
        <f aca="false">Inputs!$C$30*(1+Inputs!$C$32)^(U$120-1)*MAX(0,MIN(1,U$119*1-Inputs!$C$33+1))/1</f>
        <v>2.25</v>
      </c>
      <c r="V217" s="114" t="n">
        <f aca="false">Inputs!$C$30*(1+Inputs!$C$32)^(V$120-1)*MAX(0,MIN(1,V$119*1-Inputs!$C$33+1))/1</f>
        <v>2.25</v>
      </c>
      <c r="W217" s="114" t="n">
        <f aca="false">Inputs!$C$30*(1+Inputs!$C$32)^(W$120-1)*MAX(0,MIN(1,W$119*1-Inputs!$C$33+1))/1</f>
        <v>2.25</v>
      </c>
      <c r="X217" s="114" t="n">
        <f aca="false">Inputs!$C$30*(1+Inputs!$C$32)^(X$120-1)*MAX(0,MIN(1,X$119*1-Inputs!$C$33+1))/1</f>
        <v>2.25</v>
      </c>
      <c r="Y217" s="114" t="n">
        <f aca="false">Inputs!$C$30*(1+Inputs!$C$32)^(Y$120-1)*MAX(0,MIN(1,Y$119*1-Inputs!$C$33+1))/1</f>
        <v>2.25</v>
      </c>
      <c r="Z217" s="114" t="n">
        <f aca="false">Inputs!$C$30*(1+Inputs!$C$32)^(Z$120-1)*MAX(0,MIN(1,Z$119*1-Inputs!$C$33+1))/1</f>
        <v>2.25</v>
      </c>
      <c r="AA217" s="114" t="n">
        <f aca="false">Inputs!$C$30*(1+Inputs!$C$32)^(AA$120-1)*MAX(0,MIN(1,AA$119*1-Inputs!$C$33+1))/1</f>
        <v>3.375</v>
      </c>
      <c r="AB217" s="114" t="n">
        <f aca="false">Inputs!$C$30*(1+Inputs!$C$32)^(AB$120-1)*MAX(0,MIN(1,AB$119*1-Inputs!$C$33+1))/1</f>
        <v>3.375</v>
      </c>
      <c r="AC217" s="114" t="n">
        <f aca="false">Inputs!$C$30*(1+Inputs!$C$32)^(AC$120-1)*MAX(0,MIN(1,AC$119*1-Inputs!$C$33+1))/1</f>
        <v>3.375</v>
      </c>
      <c r="AD217" s="114" t="n">
        <f aca="false">Inputs!$C$30*(1+Inputs!$C$32)^(AD$120-1)*MAX(0,MIN(1,AD$119*1-Inputs!$C$33+1))/1</f>
        <v>3.375</v>
      </c>
      <c r="AE217" s="114" t="n">
        <f aca="false">Inputs!$C$30*(1+Inputs!$C$32)^(AE$120-1)*MAX(0,MIN(1,AE$119*1-Inputs!$C$33+1))/1</f>
        <v>3.375</v>
      </c>
      <c r="AF217" s="114" t="n">
        <f aca="false">Inputs!$C$30*(1+Inputs!$C$32)^(AF$120-1)*MAX(0,MIN(1,AF$119*1-Inputs!$C$33+1))/1</f>
        <v>3.375</v>
      </c>
      <c r="AG217" s="114" t="n">
        <f aca="false">Inputs!$C$30*(1+Inputs!$C$32)^(AG$120-1)*MAX(0,MIN(1,AG$119*1-Inputs!$C$33+1))/1</f>
        <v>3.375</v>
      </c>
      <c r="AH217" s="114" t="n">
        <f aca="false">Inputs!$C$30*(1+Inputs!$C$32)^(AH$120-1)*MAX(0,MIN(1,AH$119*1-Inputs!$C$33+1))/1</f>
        <v>3.375</v>
      </c>
      <c r="AI217" s="114" t="n">
        <f aca="false">Inputs!$C$30*(1+Inputs!$C$32)^(AI$120-1)*MAX(0,MIN(1,AI$119*1-Inputs!$C$33+1))/1</f>
        <v>3.375</v>
      </c>
      <c r="AJ217" s="114" t="n">
        <f aca="false">Inputs!$C$30*(1+Inputs!$C$32)^(AJ$120-1)*MAX(0,MIN(1,AJ$119*1-Inputs!$C$33+1))/1</f>
        <v>3.375</v>
      </c>
      <c r="AK217" s="114" t="n">
        <f aca="false">Inputs!$C$30*(1+Inputs!$C$32)^(AK$120-1)*MAX(0,MIN(1,AK$119*1-Inputs!$C$33+1))/1</f>
        <v>3.375</v>
      </c>
      <c r="AL217" s="114" t="n">
        <f aca="false">Inputs!$C$30*(1+Inputs!$C$32)^(AL$120-1)*MAX(0,MIN(1,AL$119*1-Inputs!$C$33+1))/1</f>
        <v>3.375</v>
      </c>
    </row>
    <row r="218" customFormat="false" ht="15" hidden="false" customHeight="false" outlineLevel="0" collapsed="false">
      <c r="A218" s="6" t="s">
        <v>413</v>
      </c>
      <c r="C218" s="114" t="n">
        <f aca="false">Inputs!$C$34*(1+Inputs!$C$36)^(C$120-1)*MAX(0,MIN(1,C$119*1-Inputs!$C$37+1))/1</f>
        <v>1</v>
      </c>
      <c r="D218" s="114" t="n">
        <f aca="false">Inputs!$C$34*(1+Inputs!$C$36)^(D$120-1)*MAX(0,MIN(1,D$119*1-Inputs!$C$37+1))/1</f>
        <v>1</v>
      </c>
      <c r="E218" s="114" t="n">
        <f aca="false">Inputs!$C$34*(1+Inputs!$C$36)^(E$120-1)*MAX(0,MIN(1,E$119*1-Inputs!$C$37+1))/1</f>
        <v>1</v>
      </c>
      <c r="F218" s="114" t="n">
        <f aca="false">Inputs!$C$34*(1+Inputs!$C$36)^(F$120-1)*MAX(0,MIN(1,F$119*1-Inputs!$C$37+1))/1</f>
        <v>1</v>
      </c>
      <c r="G218" s="114" t="n">
        <f aca="false">Inputs!$C$34*(1+Inputs!$C$36)^(G$120-1)*MAX(0,MIN(1,G$119*1-Inputs!$C$37+1))/1</f>
        <v>1</v>
      </c>
      <c r="H218" s="114" t="n">
        <f aca="false">Inputs!$C$34*(1+Inputs!$C$36)^(H$120-1)*MAX(0,MIN(1,H$119*1-Inputs!$C$37+1))/1</f>
        <v>1</v>
      </c>
      <c r="I218" s="114" t="n">
        <f aca="false">Inputs!$C$34*(1+Inputs!$C$36)^(I$120-1)*MAX(0,MIN(1,I$119*1-Inputs!$C$37+1))/1</f>
        <v>1</v>
      </c>
      <c r="J218" s="114" t="n">
        <f aca="false">Inputs!$C$34*(1+Inputs!$C$36)^(J$120-1)*MAX(0,MIN(1,J$119*1-Inputs!$C$37+1))/1</f>
        <v>1</v>
      </c>
      <c r="K218" s="114" t="n">
        <f aca="false">Inputs!$C$34*(1+Inputs!$C$36)^(K$120-1)*MAX(0,MIN(1,K$119*1-Inputs!$C$37+1))/1</f>
        <v>1</v>
      </c>
      <c r="L218" s="114" t="n">
        <f aca="false">Inputs!$C$34*(1+Inputs!$C$36)^(L$120-1)*MAX(0,MIN(1,L$119*1-Inputs!$C$37+1))/1</f>
        <v>1</v>
      </c>
      <c r="M218" s="114" t="n">
        <f aca="false">Inputs!$C$34*(1+Inputs!$C$36)^(M$120-1)*MAX(0,MIN(1,M$119*1-Inputs!$C$37+1))/1</f>
        <v>1</v>
      </c>
      <c r="N218" s="114" t="n">
        <f aca="false">Inputs!$C$34*(1+Inputs!$C$36)^(N$120-1)*MAX(0,MIN(1,N$119*1-Inputs!$C$37+1))/1</f>
        <v>1</v>
      </c>
      <c r="O218" s="114" t="n">
        <f aca="false">Inputs!$C$34*(1+Inputs!$C$36)^(O$120-1)*MAX(0,MIN(1,O$119*1-Inputs!$C$37+1))/1</f>
        <v>1.5</v>
      </c>
      <c r="P218" s="114" t="n">
        <f aca="false">Inputs!$C$34*(1+Inputs!$C$36)^(P$120-1)*MAX(0,MIN(1,P$119*1-Inputs!$C$37+1))/1</f>
        <v>1.5</v>
      </c>
      <c r="Q218" s="114" t="n">
        <f aca="false">Inputs!$C$34*(1+Inputs!$C$36)^(Q$120-1)*MAX(0,MIN(1,Q$119*1-Inputs!$C$37+1))/1</f>
        <v>1.5</v>
      </c>
      <c r="R218" s="114" t="n">
        <f aca="false">Inputs!$C$34*(1+Inputs!$C$36)^(R$120-1)*MAX(0,MIN(1,R$119*1-Inputs!$C$37+1))/1</f>
        <v>1.5</v>
      </c>
      <c r="S218" s="114" t="n">
        <f aca="false">Inputs!$C$34*(1+Inputs!$C$36)^(S$120-1)*MAX(0,MIN(1,S$119*1-Inputs!$C$37+1))/1</f>
        <v>1.5</v>
      </c>
      <c r="T218" s="114" t="n">
        <f aca="false">Inputs!$C$34*(1+Inputs!$C$36)^(T$120-1)*MAX(0,MIN(1,T$119*1-Inputs!$C$37+1))/1</f>
        <v>1.5</v>
      </c>
      <c r="U218" s="114" t="n">
        <f aca="false">Inputs!$C$34*(1+Inputs!$C$36)^(U$120-1)*MAX(0,MIN(1,U$119*1-Inputs!$C$37+1))/1</f>
        <v>1.5</v>
      </c>
      <c r="V218" s="114" t="n">
        <f aca="false">Inputs!$C$34*(1+Inputs!$C$36)^(V$120-1)*MAX(0,MIN(1,V$119*1-Inputs!$C$37+1))/1</f>
        <v>1.5</v>
      </c>
      <c r="W218" s="114" t="n">
        <f aca="false">Inputs!$C$34*(1+Inputs!$C$36)^(W$120-1)*MAX(0,MIN(1,W$119*1-Inputs!$C$37+1))/1</f>
        <v>1.5</v>
      </c>
      <c r="X218" s="114" t="n">
        <f aca="false">Inputs!$C$34*(1+Inputs!$C$36)^(X$120-1)*MAX(0,MIN(1,X$119*1-Inputs!$C$37+1))/1</f>
        <v>1.5</v>
      </c>
      <c r="Y218" s="114" t="n">
        <f aca="false">Inputs!$C$34*(1+Inputs!$C$36)^(Y$120-1)*MAX(0,MIN(1,Y$119*1-Inputs!$C$37+1))/1</f>
        <v>1.5</v>
      </c>
      <c r="Z218" s="114" t="n">
        <f aca="false">Inputs!$C$34*(1+Inputs!$C$36)^(Z$120-1)*MAX(0,MIN(1,Z$119*1-Inputs!$C$37+1))/1</f>
        <v>1.5</v>
      </c>
      <c r="AA218" s="114" t="n">
        <f aca="false">Inputs!$C$34*(1+Inputs!$C$36)^(AA$120-1)*MAX(0,MIN(1,AA$119*1-Inputs!$C$37+1))/1</f>
        <v>2.25</v>
      </c>
      <c r="AB218" s="114" t="n">
        <f aca="false">Inputs!$C$34*(1+Inputs!$C$36)^(AB$120-1)*MAX(0,MIN(1,AB$119*1-Inputs!$C$37+1))/1</f>
        <v>2.25</v>
      </c>
      <c r="AC218" s="114" t="n">
        <f aca="false">Inputs!$C$34*(1+Inputs!$C$36)^(AC$120-1)*MAX(0,MIN(1,AC$119*1-Inputs!$C$37+1))/1</f>
        <v>2.25</v>
      </c>
      <c r="AD218" s="114" t="n">
        <f aca="false">Inputs!$C$34*(1+Inputs!$C$36)^(AD$120-1)*MAX(0,MIN(1,AD$119*1-Inputs!$C$37+1))/1</f>
        <v>2.25</v>
      </c>
      <c r="AE218" s="114" t="n">
        <f aca="false">Inputs!$C$34*(1+Inputs!$C$36)^(AE$120-1)*MAX(0,MIN(1,AE$119*1-Inputs!$C$37+1))/1</f>
        <v>2.25</v>
      </c>
      <c r="AF218" s="114" t="n">
        <f aca="false">Inputs!$C$34*(1+Inputs!$C$36)^(AF$120-1)*MAX(0,MIN(1,AF$119*1-Inputs!$C$37+1))/1</f>
        <v>2.25</v>
      </c>
      <c r="AG218" s="114" t="n">
        <f aca="false">Inputs!$C$34*(1+Inputs!$C$36)^(AG$120-1)*MAX(0,MIN(1,AG$119*1-Inputs!$C$37+1))/1</f>
        <v>2.25</v>
      </c>
      <c r="AH218" s="114" t="n">
        <f aca="false">Inputs!$C$34*(1+Inputs!$C$36)^(AH$120-1)*MAX(0,MIN(1,AH$119*1-Inputs!$C$37+1))/1</f>
        <v>2.25</v>
      </c>
      <c r="AI218" s="114" t="n">
        <f aca="false">Inputs!$C$34*(1+Inputs!$C$36)^(AI$120-1)*MAX(0,MIN(1,AI$119*1-Inputs!$C$37+1))/1</f>
        <v>2.25</v>
      </c>
      <c r="AJ218" s="114" t="n">
        <f aca="false">Inputs!$C$34*(1+Inputs!$C$36)^(AJ$120-1)*MAX(0,MIN(1,AJ$119*1-Inputs!$C$37+1))/1</f>
        <v>2.25</v>
      </c>
      <c r="AK218" s="114" t="n">
        <f aca="false">Inputs!$C$34*(1+Inputs!$C$36)^(AK$120-1)*MAX(0,MIN(1,AK$119*1-Inputs!$C$37+1))/1</f>
        <v>2.25</v>
      </c>
      <c r="AL218" s="114" t="n">
        <f aca="false">Inputs!$C$34*(1+Inputs!$C$36)^(AL$120-1)*MAX(0,MIN(1,AL$119*1-Inputs!$C$37+1))/1</f>
        <v>2.25</v>
      </c>
    </row>
    <row r="219" customFormat="false" ht="15" hidden="false" customHeight="false" outlineLevel="0" collapsed="false">
      <c r="A219" s="6" t="s">
        <v>414</v>
      </c>
      <c r="C219" s="114" t="n">
        <f aca="false">Inputs!$C$38*(1+Inputs!$C$40)^(C$120-1)*MAX(0,MIN(1,C$119*1-Inputs!$C$41+1))/1</f>
        <v>0.5</v>
      </c>
      <c r="D219" s="114" t="n">
        <f aca="false">Inputs!$C$38*(1+Inputs!$C$40)^(D$120-1)*MAX(0,MIN(1,D$119*1-Inputs!$C$41+1))/1</f>
        <v>0.5</v>
      </c>
      <c r="E219" s="114" t="n">
        <f aca="false">Inputs!$C$38*(1+Inputs!$C$40)^(E$120-1)*MAX(0,MIN(1,E$119*1-Inputs!$C$41+1))/1</f>
        <v>0.5</v>
      </c>
      <c r="F219" s="114" t="n">
        <f aca="false">Inputs!$C$38*(1+Inputs!$C$40)^(F$120-1)*MAX(0,MIN(1,F$119*1-Inputs!$C$41+1))/1</f>
        <v>0.5</v>
      </c>
      <c r="G219" s="114" t="n">
        <f aca="false">Inputs!$C$38*(1+Inputs!$C$40)^(G$120-1)*MAX(0,MIN(1,G$119*1-Inputs!$C$41+1))/1</f>
        <v>0.5</v>
      </c>
      <c r="H219" s="114" t="n">
        <f aca="false">Inputs!$C$38*(1+Inputs!$C$40)^(H$120-1)*MAX(0,MIN(1,H$119*1-Inputs!$C$41+1))/1</f>
        <v>0.5</v>
      </c>
      <c r="I219" s="114" t="n">
        <f aca="false">Inputs!$C$38*(1+Inputs!$C$40)^(I$120-1)*MAX(0,MIN(1,I$119*1-Inputs!$C$41+1))/1</f>
        <v>0.5</v>
      </c>
      <c r="J219" s="114" t="n">
        <f aca="false">Inputs!$C$38*(1+Inputs!$C$40)^(J$120-1)*MAX(0,MIN(1,J$119*1-Inputs!$C$41+1))/1</f>
        <v>0.5</v>
      </c>
      <c r="K219" s="114" t="n">
        <f aca="false">Inputs!$C$38*(1+Inputs!$C$40)^(K$120-1)*MAX(0,MIN(1,K$119*1-Inputs!$C$41+1))/1</f>
        <v>0.5</v>
      </c>
      <c r="L219" s="114" t="n">
        <f aca="false">Inputs!$C$38*(1+Inputs!$C$40)^(L$120-1)*MAX(0,MIN(1,L$119*1-Inputs!$C$41+1))/1</f>
        <v>0.5</v>
      </c>
      <c r="M219" s="114" t="n">
        <f aca="false">Inputs!$C$38*(1+Inputs!$C$40)^(M$120-1)*MAX(0,MIN(1,M$119*1-Inputs!$C$41+1))/1</f>
        <v>0.5</v>
      </c>
      <c r="N219" s="114" t="n">
        <f aca="false">Inputs!$C$38*(1+Inputs!$C$40)^(N$120-1)*MAX(0,MIN(1,N$119*1-Inputs!$C$41+1))/1</f>
        <v>0.5</v>
      </c>
      <c r="O219" s="114" t="n">
        <f aca="false">Inputs!$C$38*(1+Inputs!$C$40)^(O$120-1)*MAX(0,MIN(1,O$119*1-Inputs!$C$41+1))/1</f>
        <v>0.75</v>
      </c>
      <c r="P219" s="114" t="n">
        <f aca="false">Inputs!$C$38*(1+Inputs!$C$40)^(P$120-1)*MAX(0,MIN(1,P$119*1-Inputs!$C$41+1))/1</f>
        <v>0.75</v>
      </c>
      <c r="Q219" s="114" t="n">
        <f aca="false">Inputs!$C$38*(1+Inputs!$C$40)^(Q$120-1)*MAX(0,MIN(1,Q$119*1-Inputs!$C$41+1))/1</f>
        <v>0.75</v>
      </c>
      <c r="R219" s="114" t="n">
        <f aca="false">Inputs!$C$38*(1+Inputs!$C$40)^(R$120-1)*MAX(0,MIN(1,R$119*1-Inputs!$C$41+1))/1</f>
        <v>0.75</v>
      </c>
      <c r="S219" s="114" t="n">
        <f aca="false">Inputs!$C$38*(1+Inputs!$C$40)^(S$120-1)*MAX(0,MIN(1,S$119*1-Inputs!$C$41+1))/1</f>
        <v>0.75</v>
      </c>
      <c r="T219" s="114" t="n">
        <f aca="false">Inputs!$C$38*(1+Inputs!$C$40)^(T$120-1)*MAX(0,MIN(1,T$119*1-Inputs!$C$41+1))/1</f>
        <v>0.75</v>
      </c>
      <c r="U219" s="114" t="n">
        <f aca="false">Inputs!$C$38*(1+Inputs!$C$40)^(U$120-1)*MAX(0,MIN(1,U$119*1-Inputs!$C$41+1))/1</f>
        <v>0.75</v>
      </c>
      <c r="V219" s="114" t="n">
        <f aca="false">Inputs!$C$38*(1+Inputs!$C$40)^(V$120-1)*MAX(0,MIN(1,V$119*1-Inputs!$C$41+1))/1</f>
        <v>0.75</v>
      </c>
      <c r="W219" s="114" t="n">
        <f aca="false">Inputs!$C$38*(1+Inputs!$C$40)^(W$120-1)*MAX(0,MIN(1,W$119*1-Inputs!$C$41+1))/1</f>
        <v>0.75</v>
      </c>
      <c r="X219" s="114" t="n">
        <f aca="false">Inputs!$C$38*(1+Inputs!$C$40)^(X$120-1)*MAX(0,MIN(1,X$119*1-Inputs!$C$41+1))/1</f>
        <v>0.75</v>
      </c>
      <c r="Y219" s="114" t="n">
        <f aca="false">Inputs!$C$38*(1+Inputs!$C$40)^(Y$120-1)*MAX(0,MIN(1,Y$119*1-Inputs!$C$41+1))/1</f>
        <v>0.75</v>
      </c>
      <c r="Z219" s="114" t="n">
        <f aca="false">Inputs!$C$38*(1+Inputs!$C$40)^(Z$120-1)*MAX(0,MIN(1,Z$119*1-Inputs!$C$41+1))/1</f>
        <v>0.75</v>
      </c>
      <c r="AA219" s="114" t="n">
        <f aca="false">Inputs!$C$38*(1+Inputs!$C$40)^(AA$120-1)*MAX(0,MIN(1,AA$119*1-Inputs!$C$41+1))/1</f>
        <v>1.125</v>
      </c>
      <c r="AB219" s="114" t="n">
        <f aca="false">Inputs!$C$38*(1+Inputs!$C$40)^(AB$120-1)*MAX(0,MIN(1,AB$119*1-Inputs!$C$41+1))/1</f>
        <v>1.125</v>
      </c>
      <c r="AC219" s="114" t="n">
        <f aca="false">Inputs!$C$38*(1+Inputs!$C$40)^(AC$120-1)*MAX(0,MIN(1,AC$119*1-Inputs!$C$41+1))/1</f>
        <v>1.125</v>
      </c>
      <c r="AD219" s="114" t="n">
        <f aca="false">Inputs!$C$38*(1+Inputs!$C$40)^(AD$120-1)*MAX(0,MIN(1,AD$119*1-Inputs!$C$41+1))/1</f>
        <v>1.125</v>
      </c>
      <c r="AE219" s="114" t="n">
        <f aca="false">Inputs!$C$38*(1+Inputs!$C$40)^(AE$120-1)*MAX(0,MIN(1,AE$119*1-Inputs!$C$41+1))/1</f>
        <v>1.125</v>
      </c>
      <c r="AF219" s="114" t="n">
        <f aca="false">Inputs!$C$38*(1+Inputs!$C$40)^(AF$120-1)*MAX(0,MIN(1,AF$119*1-Inputs!$C$41+1))/1</f>
        <v>1.125</v>
      </c>
      <c r="AG219" s="114" t="n">
        <f aca="false">Inputs!$C$38*(1+Inputs!$C$40)^(AG$120-1)*MAX(0,MIN(1,AG$119*1-Inputs!$C$41+1))/1</f>
        <v>1.125</v>
      </c>
      <c r="AH219" s="114" t="n">
        <f aca="false">Inputs!$C$38*(1+Inputs!$C$40)^(AH$120-1)*MAX(0,MIN(1,AH$119*1-Inputs!$C$41+1))/1</f>
        <v>1.125</v>
      </c>
      <c r="AI219" s="114" t="n">
        <f aca="false">Inputs!$C$38*(1+Inputs!$C$40)^(AI$120-1)*MAX(0,MIN(1,AI$119*1-Inputs!$C$41+1))/1</f>
        <v>1.125</v>
      </c>
      <c r="AJ219" s="114" t="n">
        <f aca="false">Inputs!$C$38*(1+Inputs!$C$40)^(AJ$120-1)*MAX(0,MIN(1,AJ$119*1-Inputs!$C$41+1))/1</f>
        <v>1.125</v>
      </c>
      <c r="AK219" s="114" t="n">
        <f aca="false">Inputs!$C$38*(1+Inputs!$C$40)^(AK$120-1)*MAX(0,MIN(1,AK$119*1-Inputs!$C$41+1))/1</f>
        <v>1.125</v>
      </c>
      <c r="AL219" s="114" t="n">
        <f aca="false">Inputs!$C$38*(1+Inputs!$C$40)^(AL$120-1)*MAX(0,MIN(1,AL$119*1-Inputs!$C$41+1))/1</f>
        <v>1.125</v>
      </c>
    </row>
    <row r="220" customFormat="false" ht="15" hidden="false" customHeight="false" outlineLevel="0" collapsed="false">
      <c r="A220" s="111" t="s">
        <v>415</v>
      </c>
      <c r="C220" s="117" t="n">
        <f aca="false">C216+C217+C218+C219</f>
        <v>6</v>
      </c>
      <c r="D220" s="117" t="n">
        <f aca="false">D216+D217+D218+D219</f>
        <v>6</v>
      </c>
      <c r="E220" s="117" t="n">
        <f aca="false">E216+E217+E218+E219</f>
        <v>6</v>
      </c>
      <c r="F220" s="117" t="n">
        <f aca="false">F216+F217+F218+F219</f>
        <v>6</v>
      </c>
      <c r="G220" s="117" t="n">
        <f aca="false">G216+G217+G218+G219</f>
        <v>6</v>
      </c>
      <c r="H220" s="117" t="n">
        <f aca="false">H216+H217+H218+H219</f>
        <v>6</v>
      </c>
      <c r="I220" s="117" t="n">
        <f aca="false">I216+I217+I218+I219</f>
        <v>6</v>
      </c>
      <c r="J220" s="117" t="n">
        <f aca="false">J216+J217+J218+J219</f>
        <v>6</v>
      </c>
      <c r="K220" s="117" t="n">
        <f aca="false">K216+K217+K218+K219</f>
        <v>6</v>
      </c>
      <c r="L220" s="117" t="n">
        <f aca="false">L216+L217+L218+L219</f>
        <v>6</v>
      </c>
      <c r="M220" s="117" t="n">
        <f aca="false">M216+M217+M218+M219</f>
        <v>6</v>
      </c>
      <c r="N220" s="117" t="n">
        <f aca="false">N216+N217+N218+N219</f>
        <v>6</v>
      </c>
      <c r="O220" s="117" t="n">
        <f aca="false">O216+O217+O218+O219</f>
        <v>9</v>
      </c>
      <c r="P220" s="117" t="n">
        <f aca="false">P216+P217+P218+P219</f>
        <v>9</v>
      </c>
      <c r="Q220" s="117" t="n">
        <f aca="false">Q216+Q217+Q218+Q219</f>
        <v>9</v>
      </c>
      <c r="R220" s="117" t="n">
        <f aca="false">R216+R217+R218+R219</f>
        <v>9</v>
      </c>
      <c r="S220" s="117" t="n">
        <f aca="false">S216+S217+S218+S219</f>
        <v>9</v>
      </c>
      <c r="T220" s="117" t="n">
        <f aca="false">T216+T217+T218+T219</f>
        <v>9</v>
      </c>
      <c r="U220" s="117" t="n">
        <f aca="false">U216+U217+U218+U219</f>
        <v>9</v>
      </c>
      <c r="V220" s="117" t="n">
        <f aca="false">V216+V217+V218+V219</f>
        <v>9</v>
      </c>
      <c r="W220" s="117" t="n">
        <f aca="false">W216+W217+W218+W219</f>
        <v>9</v>
      </c>
      <c r="X220" s="117" t="n">
        <f aca="false">X216+X217+X218+X219</f>
        <v>9</v>
      </c>
      <c r="Y220" s="117" t="n">
        <f aca="false">Y216+Y217+Y218+Y219</f>
        <v>9</v>
      </c>
      <c r="Z220" s="117" t="n">
        <f aca="false">Z216+Z217+Z218+Z219</f>
        <v>9</v>
      </c>
      <c r="AA220" s="117" t="n">
        <f aca="false">AA216+AA217+AA218+AA219</f>
        <v>13.5</v>
      </c>
      <c r="AB220" s="117" t="n">
        <f aca="false">AB216+AB217+AB218+AB219</f>
        <v>13.5</v>
      </c>
      <c r="AC220" s="117" t="n">
        <f aca="false">AC216+AC217+AC218+AC219</f>
        <v>13.5</v>
      </c>
      <c r="AD220" s="117" t="n">
        <f aca="false">AD216+AD217+AD218+AD219</f>
        <v>13.5</v>
      </c>
      <c r="AE220" s="117" t="n">
        <f aca="false">AE216+AE217+AE218+AE219</f>
        <v>13.5</v>
      </c>
      <c r="AF220" s="117" t="n">
        <f aca="false">AF216+AF217+AF218+AF219</f>
        <v>13.5</v>
      </c>
      <c r="AG220" s="117" t="n">
        <f aca="false">AG216+AG217+AG218+AG219</f>
        <v>13.5</v>
      </c>
      <c r="AH220" s="117" t="n">
        <f aca="false">AH216+AH217+AH218+AH219</f>
        <v>13.5</v>
      </c>
      <c r="AI220" s="117" t="n">
        <f aca="false">AI216+AI217+AI218+AI219</f>
        <v>13.5</v>
      </c>
      <c r="AJ220" s="117" t="n">
        <f aca="false">AJ216+AJ217+AJ218+AJ219</f>
        <v>13.5</v>
      </c>
      <c r="AK220" s="117" t="n">
        <f aca="false">AK216+AK217+AK218+AK219</f>
        <v>13.5</v>
      </c>
      <c r="AL220" s="117" t="n">
        <f aca="false">AL216+AL217+AL218+AL219</f>
        <v>13.5</v>
      </c>
    </row>
    <row r="222" customFormat="false" ht="15.75" hidden="false" customHeight="true" outlineLevel="0" collapsed="false">
      <c r="A222" s="7" t="s">
        <v>416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417</v>
      </c>
      <c r="C223" s="66" t="n">
        <f aca="false">-C216*Inputs!$C$27/12*1*(1+Inputs!$C$42)*(1+Inputs!$C$43)^(C$120-1)</f>
        <v>-37500</v>
      </c>
      <c r="D223" s="66" t="n">
        <f aca="false">-D216*Inputs!$C$27/12*1*(1+Inputs!$C$42)*(1+Inputs!$C$43)^(D$120-1)</f>
        <v>-37500</v>
      </c>
      <c r="E223" s="66" t="n">
        <f aca="false">-E216*Inputs!$C$27/12*1*(1+Inputs!$C$42)*(1+Inputs!$C$43)^(E$120-1)</f>
        <v>-37500</v>
      </c>
      <c r="F223" s="66" t="n">
        <f aca="false">-F216*Inputs!$C$27/12*1*(1+Inputs!$C$42)*(1+Inputs!$C$43)^(F$120-1)</f>
        <v>-37500</v>
      </c>
      <c r="G223" s="66" t="n">
        <f aca="false">-G216*Inputs!$C$27/12*1*(1+Inputs!$C$42)*(1+Inputs!$C$43)^(G$120-1)</f>
        <v>-37500</v>
      </c>
      <c r="H223" s="66" t="n">
        <f aca="false">-H216*Inputs!$C$27/12*1*(1+Inputs!$C$42)*(1+Inputs!$C$43)^(H$120-1)</f>
        <v>-37500</v>
      </c>
      <c r="I223" s="66" t="n">
        <f aca="false">-I216*Inputs!$C$27/12*1*(1+Inputs!$C$42)*(1+Inputs!$C$43)^(I$120-1)</f>
        <v>-37500</v>
      </c>
      <c r="J223" s="66" t="n">
        <f aca="false">-J216*Inputs!$C$27/12*1*(1+Inputs!$C$42)*(1+Inputs!$C$43)^(J$120-1)</f>
        <v>-37500</v>
      </c>
      <c r="K223" s="66" t="n">
        <f aca="false">-K216*Inputs!$C$27/12*1*(1+Inputs!$C$42)*(1+Inputs!$C$43)^(K$120-1)</f>
        <v>-37500</v>
      </c>
      <c r="L223" s="66" t="n">
        <f aca="false">-L216*Inputs!$C$27/12*1*(1+Inputs!$C$42)*(1+Inputs!$C$43)^(L$120-1)</f>
        <v>-37500</v>
      </c>
      <c r="M223" s="66" t="n">
        <f aca="false">-M216*Inputs!$C$27/12*1*(1+Inputs!$C$42)*(1+Inputs!$C$43)^(M$120-1)</f>
        <v>-37500</v>
      </c>
      <c r="N223" s="66" t="n">
        <f aca="false">-N216*Inputs!$C$27/12*1*(1+Inputs!$C$42)*(1+Inputs!$C$43)^(N$120-1)</f>
        <v>-37500</v>
      </c>
      <c r="O223" s="66" t="n">
        <f aca="false">-O216*Inputs!$C$27/12*1*(1+Inputs!$C$42)*(1+Inputs!$C$43)^(O$120-1)</f>
        <v>-58500</v>
      </c>
      <c r="P223" s="66" t="n">
        <f aca="false">-P216*Inputs!$C$27/12*1*(1+Inputs!$C$42)*(1+Inputs!$C$43)^(P$120-1)</f>
        <v>-58500</v>
      </c>
      <c r="Q223" s="66" t="n">
        <f aca="false">-Q216*Inputs!$C$27/12*1*(1+Inputs!$C$42)*(1+Inputs!$C$43)^(Q$120-1)</f>
        <v>-58500</v>
      </c>
      <c r="R223" s="66" t="n">
        <f aca="false">-R216*Inputs!$C$27/12*1*(1+Inputs!$C$42)*(1+Inputs!$C$43)^(R$120-1)</f>
        <v>-58500</v>
      </c>
      <c r="S223" s="66" t="n">
        <f aca="false">-S216*Inputs!$C$27/12*1*(1+Inputs!$C$42)*(1+Inputs!$C$43)^(S$120-1)</f>
        <v>-58500</v>
      </c>
      <c r="T223" s="66" t="n">
        <f aca="false">-T216*Inputs!$C$27/12*1*(1+Inputs!$C$42)*(1+Inputs!$C$43)^(T$120-1)</f>
        <v>-58500</v>
      </c>
      <c r="U223" s="66" t="n">
        <f aca="false">-U216*Inputs!$C$27/12*1*(1+Inputs!$C$42)*(1+Inputs!$C$43)^(U$120-1)</f>
        <v>-58500</v>
      </c>
      <c r="V223" s="66" t="n">
        <f aca="false">-V216*Inputs!$C$27/12*1*(1+Inputs!$C$42)*(1+Inputs!$C$43)^(V$120-1)</f>
        <v>-58500</v>
      </c>
      <c r="W223" s="66" t="n">
        <f aca="false">-W216*Inputs!$C$27/12*1*(1+Inputs!$C$42)*(1+Inputs!$C$43)^(W$120-1)</f>
        <v>-58500</v>
      </c>
      <c r="X223" s="66" t="n">
        <f aca="false">-X216*Inputs!$C$27/12*1*(1+Inputs!$C$42)*(1+Inputs!$C$43)^(X$120-1)</f>
        <v>-58500</v>
      </c>
      <c r="Y223" s="66" t="n">
        <f aca="false">-Y216*Inputs!$C$27/12*1*(1+Inputs!$C$42)*(1+Inputs!$C$43)^(Y$120-1)</f>
        <v>-58500</v>
      </c>
      <c r="Z223" s="66" t="n">
        <f aca="false">-Z216*Inputs!$C$27/12*1*(1+Inputs!$C$42)*(1+Inputs!$C$43)^(Z$120-1)</f>
        <v>-58500</v>
      </c>
      <c r="AA223" s="66" t="n">
        <f aca="false">-AA216*Inputs!$C$27/12*1*(1+Inputs!$C$42)*(1+Inputs!$C$43)^(AA$120-1)</f>
        <v>-91260</v>
      </c>
      <c r="AB223" s="66" t="n">
        <f aca="false">-AB216*Inputs!$C$27/12*1*(1+Inputs!$C$42)*(1+Inputs!$C$43)^(AB$120-1)</f>
        <v>-91260</v>
      </c>
      <c r="AC223" s="66" t="n">
        <f aca="false">-AC216*Inputs!$C$27/12*1*(1+Inputs!$C$42)*(1+Inputs!$C$43)^(AC$120-1)</f>
        <v>-91260</v>
      </c>
      <c r="AD223" s="66" t="n">
        <f aca="false">-AD216*Inputs!$C$27/12*1*(1+Inputs!$C$42)*(1+Inputs!$C$43)^(AD$120-1)</f>
        <v>-91260</v>
      </c>
      <c r="AE223" s="66" t="n">
        <f aca="false">-AE216*Inputs!$C$27/12*1*(1+Inputs!$C$42)*(1+Inputs!$C$43)^(AE$120-1)</f>
        <v>-91260</v>
      </c>
      <c r="AF223" s="66" t="n">
        <f aca="false">-AF216*Inputs!$C$27/12*1*(1+Inputs!$C$42)*(1+Inputs!$C$43)^(AF$120-1)</f>
        <v>-91260</v>
      </c>
      <c r="AG223" s="66" t="n">
        <f aca="false">-AG216*Inputs!$C$27/12*1*(1+Inputs!$C$42)*(1+Inputs!$C$43)^(AG$120-1)</f>
        <v>-91260</v>
      </c>
      <c r="AH223" s="66" t="n">
        <f aca="false">-AH216*Inputs!$C$27/12*1*(1+Inputs!$C$42)*(1+Inputs!$C$43)^(AH$120-1)</f>
        <v>-91260</v>
      </c>
      <c r="AI223" s="66" t="n">
        <f aca="false">-AI216*Inputs!$C$27/12*1*(1+Inputs!$C$42)*(1+Inputs!$C$43)^(AI$120-1)</f>
        <v>-91260</v>
      </c>
      <c r="AJ223" s="66" t="n">
        <f aca="false">-AJ216*Inputs!$C$27/12*1*(1+Inputs!$C$42)*(1+Inputs!$C$43)^(AJ$120-1)</f>
        <v>-91260</v>
      </c>
      <c r="AK223" s="66" t="n">
        <f aca="false">-AK216*Inputs!$C$27/12*1*(1+Inputs!$C$42)*(1+Inputs!$C$43)^(AK$120-1)</f>
        <v>-91260</v>
      </c>
      <c r="AL223" s="66" t="n">
        <f aca="false">-AL216*Inputs!$C$27/12*1*(1+Inputs!$C$42)*(1+Inputs!$C$43)^(AL$120-1)</f>
        <v>-91260</v>
      </c>
    </row>
    <row r="224" customFormat="false" ht="15" hidden="false" customHeight="false" outlineLevel="0" collapsed="false">
      <c r="A224" s="6" t="s">
        <v>418</v>
      </c>
      <c r="C224" s="66" t="n">
        <f aca="false">-C217*Inputs!$C$31/12*1*(1+Inputs!$C$42)*(1+Inputs!$C$43)^(C$120-1)</f>
        <v>-14250</v>
      </c>
      <c r="D224" s="66" t="n">
        <f aca="false">-D217*Inputs!$C$31/12*1*(1+Inputs!$C$42)*(1+Inputs!$C$43)^(D$120-1)</f>
        <v>-14250</v>
      </c>
      <c r="E224" s="66" t="n">
        <f aca="false">-E217*Inputs!$C$31/12*1*(1+Inputs!$C$42)*(1+Inputs!$C$43)^(E$120-1)</f>
        <v>-14250</v>
      </c>
      <c r="F224" s="66" t="n">
        <f aca="false">-F217*Inputs!$C$31/12*1*(1+Inputs!$C$42)*(1+Inputs!$C$43)^(F$120-1)</f>
        <v>-14250</v>
      </c>
      <c r="G224" s="66" t="n">
        <f aca="false">-G217*Inputs!$C$31/12*1*(1+Inputs!$C$42)*(1+Inputs!$C$43)^(G$120-1)</f>
        <v>-14250</v>
      </c>
      <c r="H224" s="66" t="n">
        <f aca="false">-H217*Inputs!$C$31/12*1*(1+Inputs!$C$42)*(1+Inputs!$C$43)^(H$120-1)</f>
        <v>-14250</v>
      </c>
      <c r="I224" s="66" t="n">
        <f aca="false">-I217*Inputs!$C$31/12*1*(1+Inputs!$C$42)*(1+Inputs!$C$43)^(I$120-1)</f>
        <v>-14250</v>
      </c>
      <c r="J224" s="66" t="n">
        <f aca="false">-J217*Inputs!$C$31/12*1*(1+Inputs!$C$42)*(1+Inputs!$C$43)^(J$120-1)</f>
        <v>-14250</v>
      </c>
      <c r="K224" s="66" t="n">
        <f aca="false">-K217*Inputs!$C$31/12*1*(1+Inputs!$C$42)*(1+Inputs!$C$43)^(K$120-1)</f>
        <v>-14250</v>
      </c>
      <c r="L224" s="66" t="n">
        <f aca="false">-L217*Inputs!$C$31/12*1*(1+Inputs!$C$42)*(1+Inputs!$C$43)^(L$120-1)</f>
        <v>-14250</v>
      </c>
      <c r="M224" s="66" t="n">
        <f aca="false">-M217*Inputs!$C$31/12*1*(1+Inputs!$C$42)*(1+Inputs!$C$43)^(M$120-1)</f>
        <v>-14250</v>
      </c>
      <c r="N224" s="66" t="n">
        <f aca="false">-N217*Inputs!$C$31/12*1*(1+Inputs!$C$42)*(1+Inputs!$C$43)^(N$120-1)</f>
        <v>-14250</v>
      </c>
      <c r="O224" s="66" t="n">
        <f aca="false">-O217*Inputs!$C$31/12*1*(1+Inputs!$C$42)*(1+Inputs!$C$43)^(O$120-1)</f>
        <v>-22230</v>
      </c>
      <c r="P224" s="66" t="n">
        <f aca="false">-P217*Inputs!$C$31/12*1*(1+Inputs!$C$42)*(1+Inputs!$C$43)^(P$120-1)</f>
        <v>-22230</v>
      </c>
      <c r="Q224" s="66" t="n">
        <f aca="false">-Q217*Inputs!$C$31/12*1*(1+Inputs!$C$42)*(1+Inputs!$C$43)^(Q$120-1)</f>
        <v>-22230</v>
      </c>
      <c r="R224" s="66" t="n">
        <f aca="false">-R217*Inputs!$C$31/12*1*(1+Inputs!$C$42)*(1+Inputs!$C$43)^(R$120-1)</f>
        <v>-22230</v>
      </c>
      <c r="S224" s="66" t="n">
        <f aca="false">-S217*Inputs!$C$31/12*1*(1+Inputs!$C$42)*(1+Inputs!$C$43)^(S$120-1)</f>
        <v>-22230</v>
      </c>
      <c r="T224" s="66" t="n">
        <f aca="false">-T217*Inputs!$C$31/12*1*(1+Inputs!$C$42)*(1+Inputs!$C$43)^(T$120-1)</f>
        <v>-22230</v>
      </c>
      <c r="U224" s="66" t="n">
        <f aca="false">-U217*Inputs!$C$31/12*1*(1+Inputs!$C$42)*(1+Inputs!$C$43)^(U$120-1)</f>
        <v>-22230</v>
      </c>
      <c r="V224" s="66" t="n">
        <f aca="false">-V217*Inputs!$C$31/12*1*(1+Inputs!$C$42)*(1+Inputs!$C$43)^(V$120-1)</f>
        <v>-22230</v>
      </c>
      <c r="W224" s="66" t="n">
        <f aca="false">-W217*Inputs!$C$31/12*1*(1+Inputs!$C$42)*(1+Inputs!$C$43)^(W$120-1)</f>
        <v>-22230</v>
      </c>
      <c r="X224" s="66" t="n">
        <f aca="false">-X217*Inputs!$C$31/12*1*(1+Inputs!$C$42)*(1+Inputs!$C$43)^(X$120-1)</f>
        <v>-22230</v>
      </c>
      <c r="Y224" s="66" t="n">
        <f aca="false">-Y217*Inputs!$C$31/12*1*(1+Inputs!$C$42)*(1+Inputs!$C$43)^(Y$120-1)</f>
        <v>-22230</v>
      </c>
      <c r="Z224" s="66" t="n">
        <f aca="false">-Z217*Inputs!$C$31/12*1*(1+Inputs!$C$42)*(1+Inputs!$C$43)^(Z$120-1)</f>
        <v>-22230</v>
      </c>
      <c r="AA224" s="66" t="n">
        <f aca="false">-AA217*Inputs!$C$31/12*1*(1+Inputs!$C$42)*(1+Inputs!$C$43)^(AA$120-1)</f>
        <v>-34678.8</v>
      </c>
      <c r="AB224" s="66" t="n">
        <f aca="false">-AB217*Inputs!$C$31/12*1*(1+Inputs!$C$42)*(1+Inputs!$C$43)^(AB$120-1)</f>
        <v>-34678.8</v>
      </c>
      <c r="AC224" s="66" t="n">
        <f aca="false">-AC217*Inputs!$C$31/12*1*(1+Inputs!$C$42)*(1+Inputs!$C$43)^(AC$120-1)</f>
        <v>-34678.8</v>
      </c>
      <c r="AD224" s="66" t="n">
        <f aca="false">-AD217*Inputs!$C$31/12*1*(1+Inputs!$C$42)*(1+Inputs!$C$43)^(AD$120-1)</f>
        <v>-34678.8</v>
      </c>
      <c r="AE224" s="66" t="n">
        <f aca="false">-AE217*Inputs!$C$31/12*1*(1+Inputs!$C$42)*(1+Inputs!$C$43)^(AE$120-1)</f>
        <v>-34678.8</v>
      </c>
      <c r="AF224" s="66" t="n">
        <f aca="false">-AF217*Inputs!$C$31/12*1*(1+Inputs!$C$42)*(1+Inputs!$C$43)^(AF$120-1)</f>
        <v>-34678.8</v>
      </c>
      <c r="AG224" s="66" t="n">
        <f aca="false">-AG217*Inputs!$C$31/12*1*(1+Inputs!$C$42)*(1+Inputs!$C$43)^(AG$120-1)</f>
        <v>-34678.8</v>
      </c>
      <c r="AH224" s="66" t="n">
        <f aca="false">-AH217*Inputs!$C$31/12*1*(1+Inputs!$C$42)*(1+Inputs!$C$43)^(AH$120-1)</f>
        <v>-34678.8</v>
      </c>
      <c r="AI224" s="66" t="n">
        <f aca="false">-AI217*Inputs!$C$31/12*1*(1+Inputs!$C$42)*(1+Inputs!$C$43)^(AI$120-1)</f>
        <v>-34678.8</v>
      </c>
      <c r="AJ224" s="66" t="n">
        <f aca="false">-AJ217*Inputs!$C$31/12*1*(1+Inputs!$C$42)*(1+Inputs!$C$43)^(AJ$120-1)</f>
        <v>-34678.8</v>
      </c>
      <c r="AK224" s="66" t="n">
        <f aca="false">-AK217*Inputs!$C$31/12*1*(1+Inputs!$C$42)*(1+Inputs!$C$43)^(AK$120-1)</f>
        <v>-34678.8</v>
      </c>
      <c r="AL224" s="66" t="n">
        <f aca="false">-AL217*Inputs!$C$31/12*1*(1+Inputs!$C$42)*(1+Inputs!$C$43)^(AL$120-1)</f>
        <v>-34678.8</v>
      </c>
    </row>
    <row r="225" customFormat="false" ht="15" hidden="false" customHeight="false" outlineLevel="0" collapsed="false">
      <c r="A225" s="6" t="s">
        <v>419</v>
      </c>
      <c r="C225" s="66" t="n">
        <f aca="false">-C218*Inputs!$C$35/12*1*(1+Inputs!$C$42)*(1+Inputs!$C$43)^(C$120-1)</f>
        <v>-6000</v>
      </c>
      <c r="D225" s="66" t="n">
        <f aca="false">-D218*Inputs!$C$35/12*1*(1+Inputs!$C$42)*(1+Inputs!$C$43)^(D$120-1)</f>
        <v>-6000</v>
      </c>
      <c r="E225" s="66" t="n">
        <f aca="false">-E218*Inputs!$C$35/12*1*(1+Inputs!$C$42)*(1+Inputs!$C$43)^(E$120-1)</f>
        <v>-6000</v>
      </c>
      <c r="F225" s="66" t="n">
        <f aca="false">-F218*Inputs!$C$35/12*1*(1+Inputs!$C$42)*(1+Inputs!$C$43)^(F$120-1)</f>
        <v>-6000</v>
      </c>
      <c r="G225" s="66" t="n">
        <f aca="false">-G218*Inputs!$C$35/12*1*(1+Inputs!$C$42)*(1+Inputs!$C$43)^(G$120-1)</f>
        <v>-6000</v>
      </c>
      <c r="H225" s="66" t="n">
        <f aca="false">-H218*Inputs!$C$35/12*1*(1+Inputs!$C$42)*(1+Inputs!$C$43)^(H$120-1)</f>
        <v>-6000</v>
      </c>
      <c r="I225" s="66" t="n">
        <f aca="false">-I218*Inputs!$C$35/12*1*(1+Inputs!$C$42)*(1+Inputs!$C$43)^(I$120-1)</f>
        <v>-6000</v>
      </c>
      <c r="J225" s="66" t="n">
        <f aca="false">-J218*Inputs!$C$35/12*1*(1+Inputs!$C$42)*(1+Inputs!$C$43)^(J$120-1)</f>
        <v>-6000</v>
      </c>
      <c r="K225" s="66" t="n">
        <f aca="false">-K218*Inputs!$C$35/12*1*(1+Inputs!$C$42)*(1+Inputs!$C$43)^(K$120-1)</f>
        <v>-6000</v>
      </c>
      <c r="L225" s="66" t="n">
        <f aca="false">-L218*Inputs!$C$35/12*1*(1+Inputs!$C$42)*(1+Inputs!$C$43)^(L$120-1)</f>
        <v>-6000</v>
      </c>
      <c r="M225" s="66" t="n">
        <f aca="false">-M218*Inputs!$C$35/12*1*(1+Inputs!$C$42)*(1+Inputs!$C$43)^(M$120-1)</f>
        <v>-6000</v>
      </c>
      <c r="N225" s="66" t="n">
        <f aca="false">-N218*Inputs!$C$35/12*1*(1+Inputs!$C$42)*(1+Inputs!$C$43)^(N$120-1)</f>
        <v>-6000</v>
      </c>
      <c r="O225" s="66" t="n">
        <f aca="false">-O218*Inputs!$C$35/12*1*(1+Inputs!$C$42)*(1+Inputs!$C$43)^(O$120-1)</f>
        <v>-9360</v>
      </c>
      <c r="P225" s="66" t="n">
        <f aca="false">-P218*Inputs!$C$35/12*1*(1+Inputs!$C$42)*(1+Inputs!$C$43)^(P$120-1)</f>
        <v>-9360</v>
      </c>
      <c r="Q225" s="66" t="n">
        <f aca="false">-Q218*Inputs!$C$35/12*1*(1+Inputs!$C$42)*(1+Inputs!$C$43)^(Q$120-1)</f>
        <v>-9360</v>
      </c>
      <c r="R225" s="66" t="n">
        <f aca="false">-R218*Inputs!$C$35/12*1*(1+Inputs!$C$42)*(1+Inputs!$C$43)^(R$120-1)</f>
        <v>-9360</v>
      </c>
      <c r="S225" s="66" t="n">
        <f aca="false">-S218*Inputs!$C$35/12*1*(1+Inputs!$C$42)*(1+Inputs!$C$43)^(S$120-1)</f>
        <v>-9360</v>
      </c>
      <c r="T225" s="66" t="n">
        <f aca="false">-T218*Inputs!$C$35/12*1*(1+Inputs!$C$42)*(1+Inputs!$C$43)^(T$120-1)</f>
        <v>-9360</v>
      </c>
      <c r="U225" s="66" t="n">
        <f aca="false">-U218*Inputs!$C$35/12*1*(1+Inputs!$C$42)*(1+Inputs!$C$43)^(U$120-1)</f>
        <v>-9360</v>
      </c>
      <c r="V225" s="66" t="n">
        <f aca="false">-V218*Inputs!$C$35/12*1*(1+Inputs!$C$42)*(1+Inputs!$C$43)^(V$120-1)</f>
        <v>-9360</v>
      </c>
      <c r="W225" s="66" t="n">
        <f aca="false">-W218*Inputs!$C$35/12*1*(1+Inputs!$C$42)*(1+Inputs!$C$43)^(W$120-1)</f>
        <v>-9360</v>
      </c>
      <c r="X225" s="66" t="n">
        <f aca="false">-X218*Inputs!$C$35/12*1*(1+Inputs!$C$42)*(1+Inputs!$C$43)^(X$120-1)</f>
        <v>-9360</v>
      </c>
      <c r="Y225" s="66" t="n">
        <f aca="false">-Y218*Inputs!$C$35/12*1*(1+Inputs!$C$42)*(1+Inputs!$C$43)^(Y$120-1)</f>
        <v>-9360</v>
      </c>
      <c r="Z225" s="66" t="n">
        <f aca="false">-Z218*Inputs!$C$35/12*1*(1+Inputs!$C$42)*(1+Inputs!$C$43)^(Z$120-1)</f>
        <v>-9360</v>
      </c>
      <c r="AA225" s="66" t="n">
        <f aca="false">-AA218*Inputs!$C$35/12*1*(1+Inputs!$C$42)*(1+Inputs!$C$43)^(AA$120-1)</f>
        <v>-14601.6</v>
      </c>
      <c r="AB225" s="66" t="n">
        <f aca="false">-AB218*Inputs!$C$35/12*1*(1+Inputs!$C$42)*(1+Inputs!$C$43)^(AB$120-1)</f>
        <v>-14601.6</v>
      </c>
      <c r="AC225" s="66" t="n">
        <f aca="false">-AC218*Inputs!$C$35/12*1*(1+Inputs!$C$42)*(1+Inputs!$C$43)^(AC$120-1)</f>
        <v>-14601.6</v>
      </c>
      <c r="AD225" s="66" t="n">
        <f aca="false">-AD218*Inputs!$C$35/12*1*(1+Inputs!$C$42)*(1+Inputs!$C$43)^(AD$120-1)</f>
        <v>-14601.6</v>
      </c>
      <c r="AE225" s="66" t="n">
        <f aca="false">-AE218*Inputs!$C$35/12*1*(1+Inputs!$C$42)*(1+Inputs!$C$43)^(AE$120-1)</f>
        <v>-14601.6</v>
      </c>
      <c r="AF225" s="66" t="n">
        <f aca="false">-AF218*Inputs!$C$35/12*1*(1+Inputs!$C$42)*(1+Inputs!$C$43)^(AF$120-1)</f>
        <v>-14601.6</v>
      </c>
      <c r="AG225" s="66" t="n">
        <f aca="false">-AG218*Inputs!$C$35/12*1*(1+Inputs!$C$42)*(1+Inputs!$C$43)^(AG$120-1)</f>
        <v>-14601.6</v>
      </c>
      <c r="AH225" s="66" t="n">
        <f aca="false">-AH218*Inputs!$C$35/12*1*(1+Inputs!$C$42)*(1+Inputs!$C$43)^(AH$120-1)</f>
        <v>-14601.6</v>
      </c>
      <c r="AI225" s="66" t="n">
        <f aca="false">-AI218*Inputs!$C$35/12*1*(1+Inputs!$C$42)*(1+Inputs!$C$43)^(AI$120-1)</f>
        <v>-14601.6</v>
      </c>
      <c r="AJ225" s="66" t="n">
        <f aca="false">-AJ218*Inputs!$C$35/12*1*(1+Inputs!$C$42)*(1+Inputs!$C$43)^(AJ$120-1)</f>
        <v>-14601.6</v>
      </c>
      <c r="AK225" s="66" t="n">
        <f aca="false">-AK218*Inputs!$C$35/12*1*(1+Inputs!$C$42)*(1+Inputs!$C$43)^(AK$120-1)</f>
        <v>-14601.6</v>
      </c>
      <c r="AL225" s="66" t="n">
        <f aca="false">-AL218*Inputs!$C$35/12*1*(1+Inputs!$C$42)*(1+Inputs!$C$43)^(AL$120-1)</f>
        <v>-14601.6</v>
      </c>
    </row>
    <row r="226" customFormat="false" ht="15" hidden="false" customHeight="false" outlineLevel="0" collapsed="false">
      <c r="A226" s="6" t="s">
        <v>420</v>
      </c>
      <c r="C226" s="66" t="n">
        <f aca="false">-C219*Inputs!$C$39/12*1*(1+Inputs!$C$42)*(1+Inputs!$C$43)^(C$120-1)</f>
        <v>-4000</v>
      </c>
      <c r="D226" s="66" t="n">
        <f aca="false">-D219*Inputs!$C$39/12*1*(1+Inputs!$C$42)*(1+Inputs!$C$43)^(D$120-1)</f>
        <v>-4000</v>
      </c>
      <c r="E226" s="66" t="n">
        <f aca="false">-E219*Inputs!$C$39/12*1*(1+Inputs!$C$42)*(1+Inputs!$C$43)^(E$120-1)</f>
        <v>-4000</v>
      </c>
      <c r="F226" s="66" t="n">
        <f aca="false">-F219*Inputs!$C$39/12*1*(1+Inputs!$C$42)*(1+Inputs!$C$43)^(F$120-1)</f>
        <v>-4000</v>
      </c>
      <c r="G226" s="66" t="n">
        <f aca="false">-G219*Inputs!$C$39/12*1*(1+Inputs!$C$42)*(1+Inputs!$C$43)^(G$120-1)</f>
        <v>-4000</v>
      </c>
      <c r="H226" s="66" t="n">
        <f aca="false">-H219*Inputs!$C$39/12*1*(1+Inputs!$C$42)*(1+Inputs!$C$43)^(H$120-1)</f>
        <v>-4000</v>
      </c>
      <c r="I226" s="66" t="n">
        <f aca="false">-I219*Inputs!$C$39/12*1*(1+Inputs!$C$42)*(1+Inputs!$C$43)^(I$120-1)</f>
        <v>-4000</v>
      </c>
      <c r="J226" s="66" t="n">
        <f aca="false">-J219*Inputs!$C$39/12*1*(1+Inputs!$C$42)*(1+Inputs!$C$43)^(J$120-1)</f>
        <v>-4000</v>
      </c>
      <c r="K226" s="66" t="n">
        <f aca="false">-K219*Inputs!$C$39/12*1*(1+Inputs!$C$42)*(1+Inputs!$C$43)^(K$120-1)</f>
        <v>-4000</v>
      </c>
      <c r="L226" s="66" t="n">
        <f aca="false">-L219*Inputs!$C$39/12*1*(1+Inputs!$C$42)*(1+Inputs!$C$43)^(L$120-1)</f>
        <v>-4000</v>
      </c>
      <c r="M226" s="66" t="n">
        <f aca="false">-M219*Inputs!$C$39/12*1*(1+Inputs!$C$42)*(1+Inputs!$C$43)^(M$120-1)</f>
        <v>-4000</v>
      </c>
      <c r="N226" s="66" t="n">
        <f aca="false">-N219*Inputs!$C$39/12*1*(1+Inputs!$C$42)*(1+Inputs!$C$43)^(N$120-1)</f>
        <v>-4000</v>
      </c>
      <c r="O226" s="66" t="n">
        <f aca="false">-O219*Inputs!$C$39/12*1*(1+Inputs!$C$42)*(1+Inputs!$C$43)^(O$120-1)</f>
        <v>-6240</v>
      </c>
      <c r="P226" s="66" t="n">
        <f aca="false">-P219*Inputs!$C$39/12*1*(1+Inputs!$C$42)*(1+Inputs!$C$43)^(P$120-1)</f>
        <v>-6240</v>
      </c>
      <c r="Q226" s="66" t="n">
        <f aca="false">-Q219*Inputs!$C$39/12*1*(1+Inputs!$C$42)*(1+Inputs!$C$43)^(Q$120-1)</f>
        <v>-6240</v>
      </c>
      <c r="R226" s="66" t="n">
        <f aca="false">-R219*Inputs!$C$39/12*1*(1+Inputs!$C$42)*(1+Inputs!$C$43)^(R$120-1)</f>
        <v>-6240</v>
      </c>
      <c r="S226" s="66" t="n">
        <f aca="false">-S219*Inputs!$C$39/12*1*(1+Inputs!$C$42)*(1+Inputs!$C$43)^(S$120-1)</f>
        <v>-6240</v>
      </c>
      <c r="T226" s="66" t="n">
        <f aca="false">-T219*Inputs!$C$39/12*1*(1+Inputs!$C$42)*(1+Inputs!$C$43)^(T$120-1)</f>
        <v>-6240</v>
      </c>
      <c r="U226" s="66" t="n">
        <f aca="false">-U219*Inputs!$C$39/12*1*(1+Inputs!$C$42)*(1+Inputs!$C$43)^(U$120-1)</f>
        <v>-6240</v>
      </c>
      <c r="V226" s="66" t="n">
        <f aca="false">-V219*Inputs!$C$39/12*1*(1+Inputs!$C$42)*(1+Inputs!$C$43)^(V$120-1)</f>
        <v>-6240</v>
      </c>
      <c r="W226" s="66" t="n">
        <f aca="false">-W219*Inputs!$C$39/12*1*(1+Inputs!$C$42)*(1+Inputs!$C$43)^(W$120-1)</f>
        <v>-6240</v>
      </c>
      <c r="X226" s="66" t="n">
        <f aca="false">-X219*Inputs!$C$39/12*1*(1+Inputs!$C$42)*(1+Inputs!$C$43)^(X$120-1)</f>
        <v>-6240</v>
      </c>
      <c r="Y226" s="66" t="n">
        <f aca="false">-Y219*Inputs!$C$39/12*1*(1+Inputs!$C$42)*(1+Inputs!$C$43)^(Y$120-1)</f>
        <v>-6240</v>
      </c>
      <c r="Z226" s="66" t="n">
        <f aca="false">-Z219*Inputs!$C$39/12*1*(1+Inputs!$C$42)*(1+Inputs!$C$43)^(Z$120-1)</f>
        <v>-6240</v>
      </c>
      <c r="AA226" s="66" t="n">
        <f aca="false">-AA219*Inputs!$C$39/12*1*(1+Inputs!$C$42)*(1+Inputs!$C$43)^(AA$120-1)</f>
        <v>-9734.4</v>
      </c>
      <c r="AB226" s="66" t="n">
        <f aca="false">-AB219*Inputs!$C$39/12*1*(1+Inputs!$C$42)*(1+Inputs!$C$43)^(AB$120-1)</f>
        <v>-9734.4</v>
      </c>
      <c r="AC226" s="66" t="n">
        <f aca="false">-AC219*Inputs!$C$39/12*1*(1+Inputs!$C$42)*(1+Inputs!$C$43)^(AC$120-1)</f>
        <v>-9734.4</v>
      </c>
      <c r="AD226" s="66" t="n">
        <f aca="false">-AD219*Inputs!$C$39/12*1*(1+Inputs!$C$42)*(1+Inputs!$C$43)^(AD$120-1)</f>
        <v>-9734.4</v>
      </c>
      <c r="AE226" s="66" t="n">
        <f aca="false">-AE219*Inputs!$C$39/12*1*(1+Inputs!$C$42)*(1+Inputs!$C$43)^(AE$120-1)</f>
        <v>-9734.4</v>
      </c>
      <c r="AF226" s="66" t="n">
        <f aca="false">-AF219*Inputs!$C$39/12*1*(1+Inputs!$C$42)*(1+Inputs!$C$43)^(AF$120-1)</f>
        <v>-9734.4</v>
      </c>
      <c r="AG226" s="66" t="n">
        <f aca="false">-AG219*Inputs!$C$39/12*1*(1+Inputs!$C$42)*(1+Inputs!$C$43)^(AG$120-1)</f>
        <v>-9734.4</v>
      </c>
      <c r="AH226" s="66" t="n">
        <f aca="false">-AH219*Inputs!$C$39/12*1*(1+Inputs!$C$42)*(1+Inputs!$C$43)^(AH$120-1)</f>
        <v>-9734.4</v>
      </c>
      <c r="AI226" s="66" t="n">
        <f aca="false">-AI219*Inputs!$C$39/12*1*(1+Inputs!$C$42)*(1+Inputs!$C$43)^(AI$120-1)</f>
        <v>-9734.4</v>
      </c>
      <c r="AJ226" s="66" t="n">
        <f aca="false">-AJ219*Inputs!$C$39/12*1*(1+Inputs!$C$42)*(1+Inputs!$C$43)^(AJ$120-1)</f>
        <v>-9734.4</v>
      </c>
      <c r="AK226" s="66" t="n">
        <f aca="false">-AK219*Inputs!$C$39/12*1*(1+Inputs!$C$42)*(1+Inputs!$C$43)^(AK$120-1)</f>
        <v>-9734.4</v>
      </c>
      <c r="AL226" s="66" t="n">
        <f aca="false">-AL219*Inputs!$C$39/12*1*(1+Inputs!$C$42)*(1+Inputs!$C$43)^(AL$120-1)</f>
        <v>-9734.4</v>
      </c>
    </row>
    <row r="227" customFormat="false" ht="15" hidden="false" customHeight="false" outlineLevel="0" collapsed="false">
      <c r="A227" s="111" t="s">
        <v>421</v>
      </c>
      <c r="C227" s="67" t="n">
        <f aca="false">C223+C224+C225+C226</f>
        <v>-61750</v>
      </c>
      <c r="D227" s="67" t="n">
        <f aca="false">D223+D224+D225+D226</f>
        <v>-61750</v>
      </c>
      <c r="E227" s="67" t="n">
        <f aca="false">E223+E224+E225+E226</f>
        <v>-61750</v>
      </c>
      <c r="F227" s="67" t="n">
        <f aca="false">F223+F224+F225+F226</f>
        <v>-61750</v>
      </c>
      <c r="G227" s="67" t="n">
        <f aca="false">G223+G224+G225+G226</f>
        <v>-61750</v>
      </c>
      <c r="H227" s="67" t="n">
        <f aca="false">H223+H224+H225+H226</f>
        <v>-61750</v>
      </c>
      <c r="I227" s="67" t="n">
        <f aca="false">I223+I224+I225+I226</f>
        <v>-61750</v>
      </c>
      <c r="J227" s="67" t="n">
        <f aca="false">J223+J224+J225+J226</f>
        <v>-61750</v>
      </c>
      <c r="K227" s="67" t="n">
        <f aca="false">K223+K224+K225+K226</f>
        <v>-61750</v>
      </c>
      <c r="L227" s="67" t="n">
        <f aca="false">L223+L224+L225+L226</f>
        <v>-61750</v>
      </c>
      <c r="M227" s="67" t="n">
        <f aca="false">M223+M224+M225+M226</f>
        <v>-61750</v>
      </c>
      <c r="N227" s="67" t="n">
        <f aca="false">N223+N224+N225+N226</f>
        <v>-61750</v>
      </c>
      <c r="O227" s="67" t="n">
        <f aca="false">O223+O224+O225+O226</f>
        <v>-96330</v>
      </c>
      <c r="P227" s="67" t="n">
        <f aca="false">P223+P224+P225+P226</f>
        <v>-96330</v>
      </c>
      <c r="Q227" s="67" t="n">
        <f aca="false">Q223+Q224+Q225+Q226</f>
        <v>-96330</v>
      </c>
      <c r="R227" s="67" t="n">
        <f aca="false">R223+R224+R225+R226</f>
        <v>-96330</v>
      </c>
      <c r="S227" s="67" t="n">
        <f aca="false">S223+S224+S225+S226</f>
        <v>-96330</v>
      </c>
      <c r="T227" s="67" t="n">
        <f aca="false">T223+T224+T225+T226</f>
        <v>-96330</v>
      </c>
      <c r="U227" s="67" t="n">
        <f aca="false">U223+U224+U225+U226</f>
        <v>-96330</v>
      </c>
      <c r="V227" s="67" t="n">
        <f aca="false">V223+V224+V225+V226</f>
        <v>-96330</v>
      </c>
      <c r="W227" s="67" t="n">
        <f aca="false">W223+W224+W225+W226</f>
        <v>-96330</v>
      </c>
      <c r="X227" s="67" t="n">
        <f aca="false">X223+X224+X225+X226</f>
        <v>-96330</v>
      </c>
      <c r="Y227" s="67" t="n">
        <f aca="false">Y223+Y224+Y225+Y226</f>
        <v>-96330</v>
      </c>
      <c r="Z227" s="67" t="n">
        <f aca="false">Z223+Z224+Z225+Z226</f>
        <v>-96330</v>
      </c>
      <c r="AA227" s="67" t="n">
        <f aca="false">AA223+AA224+AA225+AA226</f>
        <v>-150274.8</v>
      </c>
      <c r="AB227" s="67" t="n">
        <f aca="false">AB223+AB224+AB225+AB226</f>
        <v>-150274.8</v>
      </c>
      <c r="AC227" s="67" t="n">
        <f aca="false">AC223+AC224+AC225+AC226</f>
        <v>-150274.8</v>
      </c>
      <c r="AD227" s="67" t="n">
        <f aca="false">AD223+AD224+AD225+AD226</f>
        <v>-150274.8</v>
      </c>
      <c r="AE227" s="67" t="n">
        <f aca="false">AE223+AE224+AE225+AE226</f>
        <v>-150274.8</v>
      </c>
      <c r="AF227" s="67" t="n">
        <f aca="false">AF223+AF224+AF225+AF226</f>
        <v>-150274.8</v>
      </c>
      <c r="AG227" s="67" t="n">
        <f aca="false">AG223+AG224+AG225+AG226</f>
        <v>-150274.8</v>
      </c>
      <c r="AH227" s="67" t="n">
        <f aca="false">AH223+AH224+AH225+AH226</f>
        <v>-150274.8</v>
      </c>
      <c r="AI227" s="67" t="n">
        <f aca="false">AI223+AI224+AI225+AI226</f>
        <v>-150274.8</v>
      </c>
      <c r="AJ227" s="67" t="n">
        <f aca="false">AJ223+AJ224+AJ225+AJ226</f>
        <v>-150274.8</v>
      </c>
      <c r="AK227" s="67" t="n">
        <f aca="false">AK223+AK224+AK225+AK226</f>
        <v>-150274.8</v>
      </c>
      <c r="AL227" s="67" t="n">
        <f aca="false">AL223+AL224+AL225+AL226</f>
        <v>-150274.8</v>
      </c>
    </row>
    <row r="230" customFormat="false" ht="15.75" hidden="false" customHeight="true" outlineLevel="0" collapsed="false">
      <c r="A230" s="7" t="s">
        <v>426</v>
      </c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</row>
    <row r="231" customFormat="false" ht="15" hidden="false" customHeight="false" outlineLevel="0" collapsed="false">
      <c r="A231" s="33" t="s">
        <v>330</v>
      </c>
      <c r="C231" s="35" t="s">
        <v>331</v>
      </c>
      <c r="D231" s="35" t="s">
        <v>332</v>
      </c>
      <c r="E231" s="35" t="s">
        <v>333</v>
      </c>
      <c r="F231" s="35" t="s">
        <v>334</v>
      </c>
      <c r="G231" s="35" t="s">
        <v>335</v>
      </c>
      <c r="H231" s="35" t="s">
        <v>336</v>
      </c>
      <c r="I231" s="35" t="s">
        <v>337</v>
      </c>
      <c r="J231" s="35" t="s">
        <v>338</v>
      </c>
      <c r="K231" s="35" t="s">
        <v>339</v>
      </c>
      <c r="L231" s="35" t="s">
        <v>340</v>
      </c>
      <c r="M231" s="35" t="s">
        <v>341</v>
      </c>
      <c r="N231" s="35" t="s">
        <v>342</v>
      </c>
      <c r="O231" s="35" t="s">
        <v>343</v>
      </c>
      <c r="P231" s="35" t="s">
        <v>344</v>
      </c>
      <c r="Q231" s="35" t="s">
        <v>345</v>
      </c>
      <c r="R231" s="35" t="s">
        <v>346</v>
      </c>
      <c r="S231" s="35" t="s">
        <v>347</v>
      </c>
      <c r="T231" s="35" t="s">
        <v>348</v>
      </c>
      <c r="U231" s="35" t="s">
        <v>349</v>
      </c>
      <c r="V231" s="35" t="s">
        <v>350</v>
      </c>
      <c r="W231" s="35" t="s">
        <v>351</v>
      </c>
      <c r="X231" s="35" t="s">
        <v>352</v>
      </c>
      <c r="Y231" s="35" t="s">
        <v>353</v>
      </c>
      <c r="Z231" s="35" t="s">
        <v>354</v>
      </c>
      <c r="AA231" s="35" t="s">
        <v>355</v>
      </c>
      <c r="AB231" s="35" t="s">
        <v>356</v>
      </c>
      <c r="AC231" s="35" t="s">
        <v>357</v>
      </c>
      <c r="AD231" s="35" t="s">
        <v>358</v>
      </c>
      <c r="AE231" s="35" t="s">
        <v>359</v>
      </c>
      <c r="AF231" s="35" t="s">
        <v>360</v>
      </c>
      <c r="AG231" s="35" t="s">
        <v>361</v>
      </c>
      <c r="AH231" s="35" t="s">
        <v>362</v>
      </c>
      <c r="AI231" s="35" t="s">
        <v>363</v>
      </c>
      <c r="AJ231" s="35" t="s">
        <v>364</v>
      </c>
      <c r="AK231" s="35" t="s">
        <v>365</v>
      </c>
      <c r="AL231" s="35" t="s">
        <v>366</v>
      </c>
    </row>
    <row r="232" customFormat="false" ht="15" hidden="false" customHeight="false" outlineLevel="0" collapsed="false">
      <c r="A232" s="71" t="s">
        <v>367</v>
      </c>
      <c r="C232" s="71" t="n">
        <v>1</v>
      </c>
      <c r="D232" s="71" t="n">
        <v>2</v>
      </c>
      <c r="E232" s="71" t="n">
        <v>3</v>
      </c>
      <c r="F232" s="71" t="n">
        <v>4</v>
      </c>
      <c r="G232" s="71" t="n">
        <v>5</v>
      </c>
      <c r="H232" s="71" t="n">
        <v>6</v>
      </c>
      <c r="I232" s="71" t="n">
        <v>7</v>
      </c>
      <c r="J232" s="71" t="n">
        <v>8</v>
      </c>
      <c r="K232" s="71" t="n">
        <v>9</v>
      </c>
      <c r="L232" s="71" t="n">
        <v>10</v>
      </c>
      <c r="M232" s="71" t="n">
        <v>11</v>
      </c>
      <c r="N232" s="71" t="n">
        <v>12</v>
      </c>
      <c r="O232" s="71" t="n">
        <v>13</v>
      </c>
      <c r="P232" s="71" t="n">
        <v>14</v>
      </c>
      <c r="Q232" s="71" t="n">
        <v>15</v>
      </c>
      <c r="R232" s="71" t="n">
        <v>16</v>
      </c>
      <c r="S232" s="71" t="n">
        <v>17</v>
      </c>
      <c r="T232" s="71" t="n">
        <v>18</v>
      </c>
      <c r="U232" s="71" t="n">
        <v>19</v>
      </c>
      <c r="V232" s="71" t="n">
        <v>20</v>
      </c>
      <c r="W232" s="71" t="n">
        <v>21</v>
      </c>
      <c r="X232" s="71" t="n">
        <v>22</v>
      </c>
      <c r="Y232" s="71" t="n">
        <v>23</v>
      </c>
      <c r="Z232" s="71" t="n">
        <v>24</v>
      </c>
      <c r="AA232" s="71" t="n">
        <v>25</v>
      </c>
      <c r="AB232" s="71" t="n">
        <v>26</v>
      </c>
      <c r="AC232" s="71" t="n">
        <v>27</v>
      </c>
      <c r="AD232" s="71" t="n">
        <v>28</v>
      </c>
      <c r="AE232" s="71" t="n">
        <v>29</v>
      </c>
      <c r="AF232" s="71" t="n">
        <v>30</v>
      </c>
      <c r="AG232" s="71" t="n">
        <v>31</v>
      </c>
      <c r="AH232" s="71" t="n">
        <v>32</v>
      </c>
      <c r="AI232" s="71" t="n">
        <v>33</v>
      </c>
      <c r="AJ232" s="71" t="n">
        <v>34</v>
      </c>
      <c r="AK232" s="71" t="n">
        <v>35</v>
      </c>
      <c r="AL232" s="71" t="n">
        <v>36</v>
      </c>
    </row>
    <row r="233" customFormat="false" ht="15" hidden="false" customHeight="false" outlineLevel="0" collapsed="false">
      <c r="A233" s="71" t="s">
        <v>154</v>
      </c>
      <c r="C233" s="71" t="n">
        <f aca="false">ROUNDUP(C232*1/12,0)</f>
        <v>1</v>
      </c>
      <c r="D233" s="71" t="n">
        <f aca="false">ROUNDUP(D232*1/12,0)</f>
        <v>1</v>
      </c>
      <c r="E233" s="71" t="n">
        <f aca="false">ROUNDUP(E232*1/12,0)</f>
        <v>1</v>
      </c>
      <c r="F233" s="71" t="n">
        <f aca="false">ROUNDUP(F232*1/12,0)</f>
        <v>1</v>
      </c>
      <c r="G233" s="71" t="n">
        <f aca="false">ROUNDUP(G232*1/12,0)</f>
        <v>1</v>
      </c>
      <c r="H233" s="71" t="n">
        <f aca="false">ROUNDUP(H232*1/12,0)</f>
        <v>1</v>
      </c>
      <c r="I233" s="71" t="n">
        <f aca="false">ROUNDUP(I232*1/12,0)</f>
        <v>1</v>
      </c>
      <c r="J233" s="71" t="n">
        <f aca="false">ROUNDUP(J232*1/12,0)</f>
        <v>1</v>
      </c>
      <c r="K233" s="71" t="n">
        <f aca="false">ROUNDUP(K232*1/12,0)</f>
        <v>1</v>
      </c>
      <c r="L233" s="71" t="n">
        <f aca="false">ROUNDUP(L232*1/12,0)</f>
        <v>1</v>
      </c>
      <c r="M233" s="71" t="n">
        <f aca="false">ROUNDUP(M232*1/12,0)</f>
        <v>1</v>
      </c>
      <c r="N233" s="71" t="n">
        <f aca="false">ROUNDUP(N232*1/12,0)</f>
        <v>1</v>
      </c>
      <c r="O233" s="71" t="n">
        <f aca="false">ROUNDUP(O232*1/12,0)</f>
        <v>2</v>
      </c>
      <c r="P233" s="71" t="n">
        <f aca="false">ROUNDUP(P232*1/12,0)</f>
        <v>2</v>
      </c>
      <c r="Q233" s="71" t="n">
        <f aca="false">ROUNDUP(Q232*1/12,0)</f>
        <v>2</v>
      </c>
      <c r="R233" s="71" t="n">
        <f aca="false">ROUNDUP(R232*1/12,0)</f>
        <v>2</v>
      </c>
      <c r="S233" s="71" t="n">
        <f aca="false">ROUNDUP(S232*1/12,0)</f>
        <v>2</v>
      </c>
      <c r="T233" s="71" t="n">
        <f aca="false">ROUNDUP(T232*1/12,0)</f>
        <v>2</v>
      </c>
      <c r="U233" s="71" t="n">
        <f aca="false">ROUNDUP(U232*1/12,0)</f>
        <v>2</v>
      </c>
      <c r="V233" s="71" t="n">
        <f aca="false">ROUNDUP(V232*1/12,0)</f>
        <v>2</v>
      </c>
      <c r="W233" s="71" t="n">
        <f aca="false">ROUNDUP(W232*1/12,0)</f>
        <v>2</v>
      </c>
      <c r="X233" s="71" t="n">
        <f aca="false">ROUNDUP(X232*1/12,0)</f>
        <v>2</v>
      </c>
      <c r="Y233" s="71" t="n">
        <f aca="false">ROUNDUP(Y232*1/12,0)</f>
        <v>2</v>
      </c>
      <c r="Z233" s="71" t="n">
        <f aca="false">ROUNDUP(Z232*1/12,0)</f>
        <v>2</v>
      </c>
      <c r="AA233" s="71" t="n">
        <f aca="false">ROUNDUP(AA232*1/12,0)</f>
        <v>3</v>
      </c>
      <c r="AB233" s="71" t="n">
        <f aca="false">ROUNDUP(AB232*1/12,0)</f>
        <v>3</v>
      </c>
      <c r="AC233" s="71" t="n">
        <f aca="false">ROUNDUP(AC232*1/12,0)</f>
        <v>3</v>
      </c>
      <c r="AD233" s="71" t="n">
        <f aca="false">ROUNDUP(AD232*1/12,0)</f>
        <v>3</v>
      </c>
      <c r="AE233" s="71" t="n">
        <f aca="false">ROUNDUP(AE232*1/12,0)</f>
        <v>3</v>
      </c>
      <c r="AF233" s="71" t="n">
        <f aca="false">ROUNDUP(AF232*1/12,0)</f>
        <v>3</v>
      </c>
      <c r="AG233" s="71" t="n">
        <f aca="false">ROUNDUP(AG232*1/12,0)</f>
        <v>3</v>
      </c>
      <c r="AH233" s="71" t="n">
        <f aca="false">ROUNDUP(AH232*1/12,0)</f>
        <v>3</v>
      </c>
      <c r="AI233" s="71" t="n">
        <f aca="false">ROUNDUP(AI232*1/12,0)</f>
        <v>3</v>
      </c>
      <c r="AJ233" s="71" t="n">
        <f aca="false">ROUNDUP(AJ232*1/12,0)</f>
        <v>3</v>
      </c>
      <c r="AK233" s="71" t="n">
        <f aca="false">ROUNDUP(AK232*1/12,0)</f>
        <v>3</v>
      </c>
      <c r="AL233" s="71" t="n">
        <f aca="false">ROUNDUP(AL232*1/12,0)</f>
        <v>3</v>
      </c>
    </row>
    <row r="235" customFormat="false" ht="15.75" hidden="false" customHeight="true" outlineLevel="0" collapsed="false">
      <c r="A235" s="7" t="s">
        <v>368</v>
      </c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customFormat="false" ht="15" hidden="false" customHeight="false" outlineLevel="0" collapsed="false">
      <c r="A236" s="6" t="s">
        <v>369</v>
      </c>
      <c r="C236" s="114" t="n">
        <f aca="false">Inputs!$D$12*(1+Inputs!$D$13)^(C$233-1)*1</f>
        <v>18</v>
      </c>
      <c r="D236" s="114" t="n">
        <f aca="false">Inputs!$D$12*(1+Inputs!$D$13)^(D$233-1)*1</f>
        <v>18</v>
      </c>
      <c r="E236" s="114" t="n">
        <f aca="false">Inputs!$D$12*(1+Inputs!$D$13)^(E$233-1)*1</f>
        <v>18</v>
      </c>
      <c r="F236" s="114" t="n">
        <f aca="false">Inputs!$D$12*(1+Inputs!$D$13)^(F$233-1)*1</f>
        <v>18</v>
      </c>
      <c r="G236" s="114" t="n">
        <f aca="false">Inputs!$D$12*(1+Inputs!$D$13)^(G$233-1)*1</f>
        <v>18</v>
      </c>
      <c r="H236" s="114" t="n">
        <f aca="false">Inputs!$D$12*(1+Inputs!$D$13)^(H$233-1)*1</f>
        <v>18</v>
      </c>
      <c r="I236" s="114" t="n">
        <f aca="false">Inputs!$D$12*(1+Inputs!$D$13)^(I$233-1)*1</f>
        <v>18</v>
      </c>
      <c r="J236" s="114" t="n">
        <f aca="false">Inputs!$D$12*(1+Inputs!$D$13)^(J$233-1)*1</f>
        <v>18</v>
      </c>
      <c r="K236" s="114" t="n">
        <f aca="false">Inputs!$D$12*(1+Inputs!$D$13)^(K$233-1)*1</f>
        <v>18</v>
      </c>
      <c r="L236" s="114" t="n">
        <f aca="false">Inputs!$D$12*(1+Inputs!$D$13)^(L$233-1)*1</f>
        <v>18</v>
      </c>
      <c r="M236" s="114" t="n">
        <f aca="false">Inputs!$D$12*(1+Inputs!$D$13)^(M$233-1)*1</f>
        <v>18</v>
      </c>
      <c r="N236" s="114" t="n">
        <f aca="false">Inputs!$D$12*(1+Inputs!$D$13)^(N$233-1)*1</f>
        <v>18</v>
      </c>
      <c r="O236" s="114" t="n">
        <f aca="false">Inputs!$D$12*(1+Inputs!$D$13)^(O$233-1)*1</f>
        <v>27</v>
      </c>
      <c r="P236" s="114" t="n">
        <f aca="false">Inputs!$D$12*(1+Inputs!$D$13)^(P$233-1)*1</f>
        <v>27</v>
      </c>
      <c r="Q236" s="114" t="n">
        <f aca="false">Inputs!$D$12*(1+Inputs!$D$13)^(Q$233-1)*1</f>
        <v>27</v>
      </c>
      <c r="R236" s="114" t="n">
        <f aca="false">Inputs!$D$12*(1+Inputs!$D$13)^(R$233-1)*1</f>
        <v>27</v>
      </c>
      <c r="S236" s="114" t="n">
        <f aca="false">Inputs!$D$12*(1+Inputs!$D$13)^(S$233-1)*1</f>
        <v>27</v>
      </c>
      <c r="T236" s="114" t="n">
        <f aca="false">Inputs!$D$12*(1+Inputs!$D$13)^(T$233-1)*1</f>
        <v>27</v>
      </c>
      <c r="U236" s="114" t="n">
        <f aca="false">Inputs!$D$12*(1+Inputs!$D$13)^(U$233-1)*1</f>
        <v>27</v>
      </c>
      <c r="V236" s="114" t="n">
        <f aca="false">Inputs!$D$12*(1+Inputs!$D$13)^(V$233-1)*1</f>
        <v>27</v>
      </c>
      <c r="W236" s="114" t="n">
        <f aca="false">Inputs!$D$12*(1+Inputs!$D$13)^(W$233-1)*1</f>
        <v>27</v>
      </c>
      <c r="X236" s="114" t="n">
        <f aca="false">Inputs!$D$12*(1+Inputs!$D$13)^(X$233-1)*1</f>
        <v>27</v>
      </c>
      <c r="Y236" s="114" t="n">
        <f aca="false">Inputs!$D$12*(1+Inputs!$D$13)^(Y$233-1)*1</f>
        <v>27</v>
      </c>
      <c r="Z236" s="114" t="n">
        <f aca="false">Inputs!$D$12*(1+Inputs!$D$13)^(Z$233-1)*1</f>
        <v>27</v>
      </c>
      <c r="AA236" s="114" t="n">
        <f aca="false">Inputs!$D$12*(1+Inputs!$D$13)^(AA$233-1)*1</f>
        <v>40.5</v>
      </c>
      <c r="AB236" s="114" t="n">
        <f aca="false">Inputs!$D$12*(1+Inputs!$D$13)^(AB$233-1)*1</f>
        <v>40.5</v>
      </c>
      <c r="AC236" s="114" t="n">
        <f aca="false">Inputs!$D$12*(1+Inputs!$D$13)^(AC$233-1)*1</f>
        <v>40.5</v>
      </c>
      <c r="AD236" s="114" t="n">
        <f aca="false">Inputs!$D$12*(1+Inputs!$D$13)^(AD$233-1)*1</f>
        <v>40.5</v>
      </c>
      <c r="AE236" s="114" t="n">
        <f aca="false">Inputs!$D$12*(1+Inputs!$D$13)^(AE$233-1)*1</f>
        <v>40.5</v>
      </c>
      <c r="AF236" s="114" t="n">
        <f aca="false">Inputs!$D$12*(1+Inputs!$D$13)^(AF$233-1)*1</f>
        <v>40.5</v>
      </c>
      <c r="AG236" s="114" t="n">
        <f aca="false">Inputs!$D$12*(1+Inputs!$D$13)^(AG$233-1)*1</f>
        <v>40.5</v>
      </c>
      <c r="AH236" s="114" t="n">
        <f aca="false">Inputs!$D$12*(1+Inputs!$D$13)^(AH$233-1)*1</f>
        <v>40.5</v>
      </c>
      <c r="AI236" s="114" t="n">
        <f aca="false">Inputs!$D$12*(1+Inputs!$D$13)^(AI$233-1)*1</f>
        <v>40.5</v>
      </c>
      <c r="AJ236" s="114" t="n">
        <f aca="false">Inputs!$D$12*(1+Inputs!$D$13)^(AJ$233-1)*1</f>
        <v>40.5</v>
      </c>
      <c r="AK236" s="114" t="n">
        <f aca="false">Inputs!$D$12*(1+Inputs!$D$13)^(AK$233-1)*1</f>
        <v>40.5</v>
      </c>
      <c r="AL236" s="114" t="n">
        <f aca="false">Inputs!$D$12*(1+Inputs!$D$13)^(AL$233-1)*1</f>
        <v>40.5</v>
      </c>
    </row>
    <row r="237" customFormat="false" ht="15" hidden="false" customHeight="false" outlineLevel="0" collapsed="false">
      <c r="A237" s="6" t="s">
        <v>370</v>
      </c>
      <c r="C237" s="114" t="n">
        <f aca="false">-C258/MAX(1,Inputs!$D$16)</f>
        <v>22.8571428571429</v>
      </c>
      <c r="D237" s="114" t="n">
        <f aca="false">-D258/MAX(1,Inputs!$D$16)</f>
        <v>22.8571428571429</v>
      </c>
      <c r="E237" s="114" t="n">
        <f aca="false">-E258/MAX(1,Inputs!$D$16)</f>
        <v>22.8571428571429</v>
      </c>
      <c r="F237" s="114" t="n">
        <f aca="false">-F258/MAX(1,Inputs!$D$16)</f>
        <v>22.8571428571429</v>
      </c>
      <c r="G237" s="114" t="n">
        <f aca="false">-G258/MAX(1,Inputs!$D$16)</f>
        <v>22.8571428571429</v>
      </c>
      <c r="H237" s="114" t="n">
        <f aca="false">-H258/MAX(1,Inputs!$D$16)</f>
        <v>22.8571428571429</v>
      </c>
      <c r="I237" s="114" t="n">
        <f aca="false">-I258/MAX(1,Inputs!$D$16)</f>
        <v>22.8571428571429</v>
      </c>
      <c r="J237" s="114" t="n">
        <f aca="false">-J258/MAX(1,Inputs!$D$16)</f>
        <v>22.8571428571429</v>
      </c>
      <c r="K237" s="114" t="n">
        <f aca="false">-K258/MAX(1,Inputs!$D$16)</f>
        <v>22.8571428571429</v>
      </c>
      <c r="L237" s="114" t="n">
        <f aca="false">-L258/MAX(1,Inputs!$D$16)</f>
        <v>22.8571428571429</v>
      </c>
      <c r="M237" s="114" t="n">
        <f aca="false">-M258/MAX(1,Inputs!$D$16)</f>
        <v>22.8571428571429</v>
      </c>
      <c r="N237" s="114" t="n">
        <f aca="false">-N258/MAX(1,Inputs!$D$16)</f>
        <v>22.8571428571429</v>
      </c>
      <c r="O237" s="114" t="n">
        <f aca="false">-O258/MAX(1,Inputs!$D$16)</f>
        <v>27.4285714285714</v>
      </c>
      <c r="P237" s="114" t="n">
        <f aca="false">-P258/MAX(1,Inputs!$D$16)</f>
        <v>27.4285714285714</v>
      </c>
      <c r="Q237" s="114" t="n">
        <f aca="false">-Q258/MAX(1,Inputs!$D$16)</f>
        <v>27.4285714285714</v>
      </c>
      <c r="R237" s="114" t="n">
        <f aca="false">-R258/MAX(1,Inputs!$D$16)</f>
        <v>27.4285714285714</v>
      </c>
      <c r="S237" s="114" t="n">
        <f aca="false">-S258/MAX(1,Inputs!$D$16)</f>
        <v>27.4285714285714</v>
      </c>
      <c r="T237" s="114" t="n">
        <f aca="false">-T258/MAX(1,Inputs!$D$16)</f>
        <v>27.4285714285714</v>
      </c>
      <c r="U237" s="114" t="n">
        <f aca="false">-U258/MAX(1,Inputs!$D$16)</f>
        <v>27.4285714285714</v>
      </c>
      <c r="V237" s="114" t="n">
        <f aca="false">-V258/MAX(1,Inputs!$D$16)</f>
        <v>27.4285714285714</v>
      </c>
      <c r="W237" s="114" t="n">
        <f aca="false">-W258/MAX(1,Inputs!$D$16)</f>
        <v>27.4285714285714</v>
      </c>
      <c r="X237" s="114" t="n">
        <f aca="false">-X258/MAX(1,Inputs!$D$16)</f>
        <v>27.4285714285714</v>
      </c>
      <c r="Y237" s="114" t="n">
        <f aca="false">-Y258/MAX(1,Inputs!$D$16)</f>
        <v>27.4285714285714</v>
      </c>
      <c r="Z237" s="114" t="n">
        <f aca="false">-Z258/MAX(1,Inputs!$D$16)</f>
        <v>27.4285714285714</v>
      </c>
      <c r="AA237" s="114" t="n">
        <f aca="false">-AA258/MAX(1,Inputs!$D$16)</f>
        <v>32.9142857142857</v>
      </c>
      <c r="AB237" s="114" t="n">
        <f aca="false">-AB258/MAX(1,Inputs!$D$16)</f>
        <v>32.9142857142857</v>
      </c>
      <c r="AC237" s="114" t="n">
        <f aca="false">-AC258/MAX(1,Inputs!$D$16)</f>
        <v>32.9142857142857</v>
      </c>
      <c r="AD237" s="114" t="n">
        <f aca="false">-AD258/MAX(1,Inputs!$D$16)</f>
        <v>32.9142857142857</v>
      </c>
      <c r="AE237" s="114" t="n">
        <f aca="false">-AE258/MAX(1,Inputs!$D$16)</f>
        <v>32.9142857142857</v>
      </c>
      <c r="AF237" s="114" t="n">
        <f aca="false">-AF258/MAX(1,Inputs!$D$16)</f>
        <v>32.9142857142857</v>
      </c>
      <c r="AG237" s="114" t="n">
        <f aca="false">-AG258/MAX(1,Inputs!$D$16)</f>
        <v>32.9142857142857</v>
      </c>
      <c r="AH237" s="114" t="n">
        <f aca="false">-AH258/MAX(1,Inputs!$D$16)</f>
        <v>32.9142857142857</v>
      </c>
      <c r="AI237" s="114" t="n">
        <f aca="false">-AI258/MAX(1,Inputs!$D$16)</f>
        <v>32.9142857142857</v>
      </c>
      <c r="AJ237" s="114" t="n">
        <f aca="false">-AJ258/MAX(1,Inputs!$D$16)</f>
        <v>32.9142857142857</v>
      </c>
      <c r="AK237" s="114" t="n">
        <f aca="false">-AK258/MAX(1,Inputs!$D$16)</f>
        <v>32.9142857142857</v>
      </c>
      <c r="AL237" s="114" t="n">
        <f aca="false">-AL258/MAX(1,Inputs!$D$16)</f>
        <v>32.9142857142857</v>
      </c>
    </row>
    <row r="238" customFormat="false" ht="15" hidden="false" customHeight="false" outlineLevel="0" collapsed="false">
      <c r="A238" s="4" t="s">
        <v>371</v>
      </c>
      <c r="C238" s="115" t="n">
        <f aca="false">C236+C237</f>
        <v>40.8571428571429</v>
      </c>
      <c r="D238" s="115" t="n">
        <f aca="false">D236+D237</f>
        <v>40.8571428571429</v>
      </c>
      <c r="E238" s="115" t="n">
        <f aca="false">E236+E237</f>
        <v>40.8571428571429</v>
      </c>
      <c r="F238" s="115" t="n">
        <f aca="false">F236+F237</f>
        <v>40.8571428571429</v>
      </c>
      <c r="G238" s="115" t="n">
        <f aca="false">G236+G237</f>
        <v>40.8571428571429</v>
      </c>
      <c r="H238" s="115" t="n">
        <f aca="false">H236+H237</f>
        <v>40.8571428571429</v>
      </c>
      <c r="I238" s="115" t="n">
        <f aca="false">I236+I237</f>
        <v>40.8571428571429</v>
      </c>
      <c r="J238" s="115" t="n">
        <f aca="false">J236+J237</f>
        <v>40.8571428571429</v>
      </c>
      <c r="K238" s="115" t="n">
        <f aca="false">K236+K237</f>
        <v>40.8571428571429</v>
      </c>
      <c r="L238" s="115" t="n">
        <f aca="false">L236+L237</f>
        <v>40.8571428571429</v>
      </c>
      <c r="M238" s="115" t="n">
        <f aca="false">M236+M237</f>
        <v>40.8571428571429</v>
      </c>
      <c r="N238" s="115" t="n">
        <f aca="false">N236+N237</f>
        <v>40.8571428571429</v>
      </c>
      <c r="O238" s="115" t="n">
        <f aca="false">O236+O237</f>
        <v>54.4285714285714</v>
      </c>
      <c r="P238" s="115" t="n">
        <f aca="false">P236+P237</f>
        <v>54.4285714285714</v>
      </c>
      <c r="Q238" s="115" t="n">
        <f aca="false">Q236+Q237</f>
        <v>54.4285714285714</v>
      </c>
      <c r="R238" s="115" t="n">
        <f aca="false">R236+R237</f>
        <v>54.4285714285714</v>
      </c>
      <c r="S238" s="115" t="n">
        <f aca="false">S236+S237</f>
        <v>54.4285714285714</v>
      </c>
      <c r="T238" s="115" t="n">
        <f aca="false">T236+T237</f>
        <v>54.4285714285714</v>
      </c>
      <c r="U238" s="115" t="n">
        <f aca="false">U236+U237</f>
        <v>54.4285714285714</v>
      </c>
      <c r="V238" s="115" t="n">
        <f aca="false">V236+V237</f>
        <v>54.4285714285714</v>
      </c>
      <c r="W238" s="115" t="n">
        <f aca="false">W236+W237</f>
        <v>54.4285714285714</v>
      </c>
      <c r="X238" s="115" t="n">
        <f aca="false">X236+X237</f>
        <v>54.4285714285714</v>
      </c>
      <c r="Y238" s="115" t="n">
        <f aca="false">Y236+Y237</f>
        <v>54.4285714285714</v>
      </c>
      <c r="Z238" s="115" t="n">
        <f aca="false">Z236+Z237</f>
        <v>54.4285714285714</v>
      </c>
      <c r="AA238" s="115" t="n">
        <f aca="false">AA236+AA237</f>
        <v>73.4142857142857</v>
      </c>
      <c r="AB238" s="115" t="n">
        <f aca="false">AB236+AB237</f>
        <v>73.4142857142857</v>
      </c>
      <c r="AC238" s="115" t="n">
        <f aca="false">AC236+AC237</f>
        <v>73.4142857142857</v>
      </c>
      <c r="AD238" s="115" t="n">
        <f aca="false">AD236+AD237</f>
        <v>73.4142857142857</v>
      </c>
      <c r="AE238" s="115" t="n">
        <f aca="false">AE236+AE237</f>
        <v>73.4142857142857</v>
      </c>
      <c r="AF238" s="115" t="n">
        <f aca="false">AF236+AF237</f>
        <v>73.4142857142857</v>
      </c>
      <c r="AG238" s="115" t="n">
        <f aca="false">AG236+AG237</f>
        <v>73.4142857142857</v>
      </c>
      <c r="AH238" s="115" t="n">
        <f aca="false">AH236+AH237</f>
        <v>73.4142857142857</v>
      </c>
      <c r="AI238" s="115" t="n">
        <f aca="false">AI236+AI237</f>
        <v>73.4142857142857</v>
      </c>
      <c r="AJ238" s="115" t="n">
        <f aca="false">AJ236+AJ237</f>
        <v>73.4142857142857</v>
      </c>
      <c r="AK238" s="115" t="n">
        <f aca="false">AK236+AK237</f>
        <v>73.4142857142857</v>
      </c>
      <c r="AL238" s="115" t="n">
        <f aca="false">AL236+AL237</f>
        <v>73.4142857142857</v>
      </c>
    </row>
    <row r="239" customFormat="false" ht="15" hidden="false" customHeight="false" outlineLevel="0" collapsed="false">
      <c r="A239" s="6" t="s">
        <v>372</v>
      </c>
      <c r="C239" s="116" t="n">
        <f aca="false">Inputs!$D$7</f>
        <v>30</v>
      </c>
      <c r="D239" s="114" t="n">
        <f aca="false">C241</f>
        <v>70.2571428571429</v>
      </c>
      <c r="E239" s="114" t="n">
        <f aca="false">D241</f>
        <v>109.709142857143</v>
      </c>
      <c r="F239" s="114" t="n">
        <f aca="false">E241</f>
        <v>148.372102857143</v>
      </c>
      <c r="G239" s="114" t="n">
        <f aca="false">F241</f>
        <v>186.261803657143</v>
      </c>
      <c r="H239" s="114" t="n">
        <f aca="false">G241</f>
        <v>223.393710441143</v>
      </c>
      <c r="I239" s="114" t="n">
        <f aca="false">H241</f>
        <v>259.782979089463</v>
      </c>
      <c r="J239" s="114" t="n">
        <f aca="false">I241</f>
        <v>295.444462364817</v>
      </c>
      <c r="K239" s="114" t="n">
        <f aca="false">J241</f>
        <v>330.392715974663</v>
      </c>
      <c r="L239" s="114" t="n">
        <f aca="false">K241</f>
        <v>364.642004512313</v>
      </c>
      <c r="M239" s="114" t="n">
        <f aca="false">L241</f>
        <v>398.206307279209</v>
      </c>
      <c r="N239" s="114" t="n">
        <f aca="false">M241</f>
        <v>431.099323990768</v>
      </c>
      <c r="O239" s="114" t="n">
        <f aca="false">N241</f>
        <v>463.334480368095</v>
      </c>
      <c r="P239" s="114" t="n">
        <f aca="false">O241</f>
        <v>508.496362189305</v>
      </c>
      <c r="Q239" s="114" t="n">
        <f aca="false">P241</f>
        <v>552.75500637409</v>
      </c>
      <c r="R239" s="114" t="n">
        <f aca="false">Q241</f>
        <v>596.12847767518</v>
      </c>
      <c r="S239" s="114" t="n">
        <f aca="false">R241</f>
        <v>638.634479550248</v>
      </c>
      <c r="T239" s="114" t="n">
        <f aca="false">S241</f>
        <v>680.290361387814</v>
      </c>
      <c r="U239" s="114" t="n">
        <f aca="false">T241</f>
        <v>721.113125588629</v>
      </c>
      <c r="V239" s="114" t="n">
        <f aca="false">U241</f>
        <v>761.119434505428</v>
      </c>
      <c r="W239" s="114" t="n">
        <f aca="false">V241</f>
        <v>800.325617243891</v>
      </c>
      <c r="X239" s="114" t="n">
        <f aca="false">W241</f>
        <v>838.747676327585</v>
      </c>
      <c r="Y239" s="114" t="n">
        <f aca="false">X241</f>
        <v>876.401294229604</v>
      </c>
      <c r="Z239" s="114" t="n">
        <f aca="false">Y241</f>
        <v>913.301839773584</v>
      </c>
      <c r="AA239" s="114" t="n">
        <f aca="false">Z241</f>
        <v>949.464374406684</v>
      </c>
      <c r="AB239" s="114" t="n">
        <f aca="false">AA241</f>
        <v>1003.88937263284</v>
      </c>
      <c r="AC239" s="114" t="n">
        <f aca="false">AB241</f>
        <v>1057.22587089446</v>
      </c>
      <c r="AD239" s="114" t="n">
        <f aca="false">AC241</f>
        <v>1109.49563919086</v>
      </c>
      <c r="AE239" s="114" t="n">
        <f aca="false">AD241</f>
        <v>1160.72001212133</v>
      </c>
      <c r="AF239" s="114" t="n">
        <f aca="false">AE241</f>
        <v>1210.91989759319</v>
      </c>
      <c r="AG239" s="114" t="n">
        <f aca="false">AF241</f>
        <v>1260.11578535561</v>
      </c>
      <c r="AH239" s="114" t="n">
        <f aca="false">AG241</f>
        <v>1308.32775536278</v>
      </c>
      <c r="AI239" s="114" t="n">
        <f aca="false">AH241</f>
        <v>1355.57548596981</v>
      </c>
      <c r="AJ239" s="114" t="n">
        <f aca="false">AI241</f>
        <v>1401.8782619647</v>
      </c>
      <c r="AK239" s="114" t="n">
        <f aca="false">AJ241</f>
        <v>1447.2549824397</v>
      </c>
      <c r="AL239" s="114" t="n">
        <f aca="false">AK241</f>
        <v>1491.72416850519</v>
      </c>
    </row>
    <row r="240" customFormat="false" ht="15" hidden="false" customHeight="false" outlineLevel="0" collapsed="false">
      <c r="A240" s="6" t="s">
        <v>373</v>
      </c>
      <c r="C240" s="114" t="n">
        <f aca="false">-C239*Inputs!$D$10</f>
        <v>-0.6</v>
      </c>
      <c r="D240" s="114" t="n">
        <f aca="false">-D239*Inputs!$D$10</f>
        <v>-1.40514285714286</v>
      </c>
      <c r="E240" s="114" t="n">
        <f aca="false">-E239*Inputs!$D$10</f>
        <v>-2.19418285714286</v>
      </c>
      <c r="F240" s="114" t="n">
        <f aca="false">-F239*Inputs!$D$10</f>
        <v>-2.96744205714286</v>
      </c>
      <c r="G240" s="114" t="n">
        <f aca="false">-G239*Inputs!$D$10</f>
        <v>-3.72523607314286</v>
      </c>
      <c r="H240" s="114" t="n">
        <f aca="false">-H239*Inputs!$D$10</f>
        <v>-4.46787420882286</v>
      </c>
      <c r="I240" s="114" t="n">
        <f aca="false">-I239*Inputs!$D$10</f>
        <v>-5.19565958178926</v>
      </c>
      <c r="J240" s="114" t="n">
        <f aca="false">-J239*Inputs!$D$10</f>
        <v>-5.90888924729633</v>
      </c>
      <c r="K240" s="114" t="n">
        <f aca="false">-K239*Inputs!$D$10</f>
        <v>-6.60785431949326</v>
      </c>
      <c r="L240" s="114" t="n">
        <f aca="false">-L239*Inputs!$D$10</f>
        <v>-7.29284009024625</v>
      </c>
      <c r="M240" s="114" t="n">
        <f aca="false">-M239*Inputs!$D$10</f>
        <v>-7.96412614558419</v>
      </c>
      <c r="N240" s="114" t="n">
        <f aca="false">-N239*Inputs!$D$10</f>
        <v>-8.62198647981536</v>
      </c>
      <c r="O240" s="114" t="n">
        <f aca="false">-O239*Inputs!$D$10</f>
        <v>-9.26668960736191</v>
      </c>
      <c r="P240" s="114" t="n">
        <f aca="false">-P239*Inputs!$D$10</f>
        <v>-10.1699272437861</v>
      </c>
      <c r="Q240" s="114" t="n">
        <f aca="false">-Q239*Inputs!$D$10</f>
        <v>-11.0551001274818</v>
      </c>
      <c r="R240" s="114" t="n">
        <f aca="false">-R239*Inputs!$D$10</f>
        <v>-11.9225695535036</v>
      </c>
      <c r="S240" s="114" t="n">
        <f aca="false">-S239*Inputs!$D$10</f>
        <v>-12.772689591005</v>
      </c>
      <c r="T240" s="114" t="n">
        <f aca="false">-T239*Inputs!$D$10</f>
        <v>-13.6058072277563</v>
      </c>
      <c r="U240" s="114" t="n">
        <f aca="false">-U239*Inputs!$D$10</f>
        <v>-14.4222625117726</v>
      </c>
      <c r="V240" s="114" t="n">
        <f aca="false">-V239*Inputs!$D$10</f>
        <v>-15.2223886901086</v>
      </c>
      <c r="W240" s="114" t="n">
        <f aca="false">-W239*Inputs!$D$10</f>
        <v>-16.0065123448778</v>
      </c>
      <c r="X240" s="114" t="n">
        <f aca="false">-X239*Inputs!$D$10</f>
        <v>-16.7749535265517</v>
      </c>
      <c r="Y240" s="114" t="n">
        <f aca="false">-Y239*Inputs!$D$10</f>
        <v>-17.5280258845921</v>
      </c>
      <c r="Z240" s="114" t="n">
        <f aca="false">-Z239*Inputs!$D$10</f>
        <v>-18.2660367954717</v>
      </c>
      <c r="AA240" s="114" t="n">
        <f aca="false">-AA239*Inputs!$D$10</f>
        <v>-18.9892874881337</v>
      </c>
      <c r="AB240" s="114" t="n">
        <f aca="false">-AB239*Inputs!$D$10</f>
        <v>-20.0777874526567</v>
      </c>
      <c r="AC240" s="114" t="n">
        <f aca="false">-AC239*Inputs!$D$10</f>
        <v>-21.1445174178893</v>
      </c>
      <c r="AD240" s="114" t="n">
        <f aca="false">-AD239*Inputs!$D$10</f>
        <v>-22.1899127838172</v>
      </c>
      <c r="AE240" s="114" t="n">
        <f aca="false">-AE239*Inputs!$D$10</f>
        <v>-23.2144002424266</v>
      </c>
      <c r="AF240" s="114" t="n">
        <f aca="false">-AF239*Inputs!$D$10</f>
        <v>-24.2183979518638</v>
      </c>
      <c r="AG240" s="114" t="n">
        <f aca="false">-AG239*Inputs!$D$10</f>
        <v>-25.2023157071122</v>
      </c>
      <c r="AH240" s="114" t="n">
        <f aca="false">-AH239*Inputs!$D$10</f>
        <v>-26.1665551072557</v>
      </c>
      <c r="AI240" s="114" t="n">
        <f aca="false">-AI239*Inputs!$D$10</f>
        <v>-27.1115097193963</v>
      </c>
      <c r="AJ240" s="114" t="n">
        <f aca="false">-AJ239*Inputs!$D$10</f>
        <v>-28.0375652392941</v>
      </c>
      <c r="AK240" s="114" t="n">
        <f aca="false">-AK239*Inputs!$D$10</f>
        <v>-28.9450996487939</v>
      </c>
      <c r="AL240" s="114" t="n">
        <f aca="false">-AL239*Inputs!$D$10</f>
        <v>-29.8344833701037</v>
      </c>
    </row>
    <row r="241" customFormat="false" ht="15" hidden="false" customHeight="false" outlineLevel="0" collapsed="false">
      <c r="A241" s="111" t="s">
        <v>374</v>
      </c>
      <c r="C241" s="117" t="n">
        <f aca="false">C239+C238+C240</f>
        <v>70.2571428571429</v>
      </c>
      <c r="D241" s="117" t="n">
        <f aca="false">D239+D238+D240</f>
        <v>109.709142857143</v>
      </c>
      <c r="E241" s="117" t="n">
        <f aca="false">E239+E238+E240</f>
        <v>148.372102857143</v>
      </c>
      <c r="F241" s="117" t="n">
        <f aca="false">F239+F238+F240</f>
        <v>186.261803657143</v>
      </c>
      <c r="G241" s="117" t="n">
        <f aca="false">G239+G238+G240</f>
        <v>223.393710441143</v>
      </c>
      <c r="H241" s="117" t="n">
        <f aca="false">H239+H238+H240</f>
        <v>259.782979089463</v>
      </c>
      <c r="I241" s="117" t="n">
        <f aca="false">I239+I238+I240</f>
        <v>295.444462364817</v>
      </c>
      <c r="J241" s="117" t="n">
        <f aca="false">J239+J238+J240</f>
        <v>330.392715974663</v>
      </c>
      <c r="K241" s="117" t="n">
        <f aca="false">K239+K238+K240</f>
        <v>364.642004512313</v>
      </c>
      <c r="L241" s="117" t="n">
        <f aca="false">L239+L238+L240</f>
        <v>398.206307279209</v>
      </c>
      <c r="M241" s="117" t="n">
        <f aca="false">M239+M238+M240</f>
        <v>431.099323990768</v>
      </c>
      <c r="N241" s="117" t="n">
        <f aca="false">N239+N238+N240</f>
        <v>463.334480368095</v>
      </c>
      <c r="O241" s="117" t="n">
        <f aca="false">O239+O238+O240</f>
        <v>508.496362189305</v>
      </c>
      <c r="P241" s="117" t="n">
        <f aca="false">P239+P238+P240</f>
        <v>552.75500637409</v>
      </c>
      <c r="Q241" s="117" t="n">
        <f aca="false">Q239+Q238+Q240</f>
        <v>596.12847767518</v>
      </c>
      <c r="R241" s="117" t="n">
        <f aca="false">R239+R238+R240</f>
        <v>638.634479550248</v>
      </c>
      <c r="S241" s="117" t="n">
        <f aca="false">S239+S238+S240</f>
        <v>680.290361387814</v>
      </c>
      <c r="T241" s="117" t="n">
        <f aca="false">T239+T238+T240</f>
        <v>721.113125588629</v>
      </c>
      <c r="U241" s="117" t="n">
        <f aca="false">U239+U238+U240</f>
        <v>761.119434505428</v>
      </c>
      <c r="V241" s="117" t="n">
        <f aca="false">V239+V238+V240</f>
        <v>800.325617243891</v>
      </c>
      <c r="W241" s="117" t="n">
        <f aca="false">W239+W238+W240</f>
        <v>838.747676327585</v>
      </c>
      <c r="X241" s="117" t="n">
        <f aca="false">X239+X238+X240</f>
        <v>876.401294229604</v>
      </c>
      <c r="Y241" s="117" t="n">
        <f aca="false">Y239+Y238+Y240</f>
        <v>913.301839773584</v>
      </c>
      <c r="Z241" s="117" t="n">
        <f aca="false">Z239+Z238+Z240</f>
        <v>949.464374406684</v>
      </c>
      <c r="AA241" s="117" t="n">
        <f aca="false">AA239+AA238+AA240</f>
        <v>1003.88937263284</v>
      </c>
      <c r="AB241" s="117" t="n">
        <f aca="false">AB239+AB238+AB240</f>
        <v>1057.22587089446</v>
      </c>
      <c r="AC241" s="117" t="n">
        <f aca="false">AC239+AC238+AC240</f>
        <v>1109.49563919086</v>
      </c>
      <c r="AD241" s="117" t="n">
        <f aca="false">AD239+AD238+AD240</f>
        <v>1160.72001212133</v>
      </c>
      <c r="AE241" s="117" t="n">
        <f aca="false">AE239+AE238+AE240</f>
        <v>1210.91989759319</v>
      </c>
      <c r="AF241" s="117" t="n">
        <f aca="false">AF239+AF238+AF240</f>
        <v>1260.11578535561</v>
      </c>
      <c r="AG241" s="117" t="n">
        <f aca="false">AG239+AG238+AG240</f>
        <v>1308.32775536278</v>
      </c>
      <c r="AH241" s="117" t="n">
        <f aca="false">AH239+AH238+AH240</f>
        <v>1355.57548596981</v>
      </c>
      <c r="AI241" s="117" t="n">
        <f aca="false">AI239+AI238+AI240</f>
        <v>1401.8782619647</v>
      </c>
      <c r="AJ241" s="117" t="n">
        <f aca="false">AJ239+AJ238+AJ240</f>
        <v>1447.2549824397</v>
      </c>
      <c r="AK241" s="117" t="n">
        <f aca="false">AK239+AK238+AK240</f>
        <v>1491.72416850519</v>
      </c>
      <c r="AL241" s="117" t="n">
        <f aca="false">AL239+AL238+AL240</f>
        <v>1535.30397084937</v>
      </c>
    </row>
    <row r="242" customFormat="false" ht="15" hidden="false" customHeight="false" outlineLevel="0" collapsed="false">
      <c r="A242" s="6" t="s">
        <v>375</v>
      </c>
      <c r="C242" s="118" t="n">
        <f aca="false">Inputs!$D$8*(1+Inputs!$D$9)^(C$233-1)</f>
        <v>119</v>
      </c>
      <c r="D242" s="118" t="n">
        <f aca="false">Inputs!$D$8*(1+Inputs!$D$9)^(D$233-1)</f>
        <v>119</v>
      </c>
      <c r="E242" s="118" t="n">
        <f aca="false">Inputs!$D$8*(1+Inputs!$D$9)^(E$233-1)</f>
        <v>119</v>
      </c>
      <c r="F242" s="118" t="n">
        <f aca="false">Inputs!$D$8*(1+Inputs!$D$9)^(F$233-1)</f>
        <v>119</v>
      </c>
      <c r="G242" s="118" t="n">
        <f aca="false">Inputs!$D$8*(1+Inputs!$D$9)^(G$233-1)</f>
        <v>119</v>
      </c>
      <c r="H242" s="118" t="n">
        <f aca="false">Inputs!$D$8*(1+Inputs!$D$9)^(H$233-1)</f>
        <v>119</v>
      </c>
      <c r="I242" s="118" t="n">
        <f aca="false">Inputs!$D$8*(1+Inputs!$D$9)^(I$233-1)</f>
        <v>119</v>
      </c>
      <c r="J242" s="118" t="n">
        <f aca="false">Inputs!$D$8*(1+Inputs!$D$9)^(J$233-1)</f>
        <v>119</v>
      </c>
      <c r="K242" s="118" t="n">
        <f aca="false">Inputs!$D$8*(1+Inputs!$D$9)^(K$233-1)</f>
        <v>119</v>
      </c>
      <c r="L242" s="118" t="n">
        <f aca="false">Inputs!$D$8*(1+Inputs!$D$9)^(L$233-1)</f>
        <v>119</v>
      </c>
      <c r="M242" s="118" t="n">
        <f aca="false">Inputs!$D$8*(1+Inputs!$D$9)^(M$233-1)</f>
        <v>119</v>
      </c>
      <c r="N242" s="118" t="n">
        <f aca="false">Inputs!$D$8*(1+Inputs!$D$9)^(N$233-1)</f>
        <v>119</v>
      </c>
      <c r="O242" s="118" t="n">
        <f aca="false">Inputs!$D$8*(1+Inputs!$D$9)^(O$233-1)</f>
        <v>124.95</v>
      </c>
      <c r="P242" s="118" t="n">
        <f aca="false">Inputs!$D$8*(1+Inputs!$D$9)^(P$233-1)</f>
        <v>124.95</v>
      </c>
      <c r="Q242" s="118" t="n">
        <f aca="false">Inputs!$D$8*(1+Inputs!$D$9)^(Q$233-1)</f>
        <v>124.95</v>
      </c>
      <c r="R242" s="118" t="n">
        <f aca="false">Inputs!$D$8*(1+Inputs!$D$9)^(R$233-1)</f>
        <v>124.95</v>
      </c>
      <c r="S242" s="118" t="n">
        <f aca="false">Inputs!$D$8*(1+Inputs!$D$9)^(S$233-1)</f>
        <v>124.95</v>
      </c>
      <c r="T242" s="118" t="n">
        <f aca="false">Inputs!$D$8*(1+Inputs!$D$9)^(T$233-1)</f>
        <v>124.95</v>
      </c>
      <c r="U242" s="118" t="n">
        <f aca="false">Inputs!$D$8*(1+Inputs!$D$9)^(U$233-1)</f>
        <v>124.95</v>
      </c>
      <c r="V242" s="118" t="n">
        <f aca="false">Inputs!$D$8*(1+Inputs!$D$9)^(V$233-1)</f>
        <v>124.95</v>
      </c>
      <c r="W242" s="118" t="n">
        <f aca="false">Inputs!$D$8*(1+Inputs!$D$9)^(W$233-1)</f>
        <v>124.95</v>
      </c>
      <c r="X242" s="118" t="n">
        <f aca="false">Inputs!$D$8*(1+Inputs!$D$9)^(X$233-1)</f>
        <v>124.95</v>
      </c>
      <c r="Y242" s="118" t="n">
        <f aca="false">Inputs!$D$8*(1+Inputs!$D$9)^(Y$233-1)</f>
        <v>124.95</v>
      </c>
      <c r="Z242" s="118" t="n">
        <f aca="false">Inputs!$D$8*(1+Inputs!$D$9)^(Z$233-1)</f>
        <v>124.95</v>
      </c>
      <c r="AA242" s="118" t="n">
        <f aca="false">Inputs!$D$8*(1+Inputs!$D$9)^(AA$233-1)</f>
        <v>131.1975</v>
      </c>
      <c r="AB242" s="118" t="n">
        <f aca="false">Inputs!$D$8*(1+Inputs!$D$9)^(AB$233-1)</f>
        <v>131.1975</v>
      </c>
      <c r="AC242" s="118" t="n">
        <f aca="false">Inputs!$D$8*(1+Inputs!$D$9)^(AC$233-1)</f>
        <v>131.1975</v>
      </c>
      <c r="AD242" s="118" t="n">
        <f aca="false">Inputs!$D$8*(1+Inputs!$D$9)^(AD$233-1)</f>
        <v>131.1975</v>
      </c>
      <c r="AE242" s="118" t="n">
        <f aca="false">Inputs!$D$8*(1+Inputs!$D$9)^(AE$233-1)</f>
        <v>131.1975</v>
      </c>
      <c r="AF242" s="118" t="n">
        <f aca="false">Inputs!$D$8*(1+Inputs!$D$9)^(AF$233-1)</f>
        <v>131.1975</v>
      </c>
      <c r="AG242" s="118" t="n">
        <f aca="false">Inputs!$D$8*(1+Inputs!$D$9)^(AG$233-1)</f>
        <v>131.1975</v>
      </c>
      <c r="AH242" s="118" t="n">
        <f aca="false">Inputs!$D$8*(1+Inputs!$D$9)^(AH$233-1)</f>
        <v>131.1975</v>
      </c>
      <c r="AI242" s="118" t="n">
        <f aca="false">Inputs!$D$8*(1+Inputs!$D$9)^(AI$233-1)</f>
        <v>131.1975</v>
      </c>
      <c r="AJ242" s="118" t="n">
        <f aca="false">Inputs!$D$8*(1+Inputs!$D$9)^(AJ$233-1)</f>
        <v>131.1975</v>
      </c>
      <c r="AK242" s="118" t="n">
        <f aca="false">Inputs!$D$8*(1+Inputs!$D$9)^(AK$233-1)</f>
        <v>131.1975</v>
      </c>
      <c r="AL242" s="118" t="n">
        <f aca="false">Inputs!$D$8*(1+Inputs!$D$9)^(AL$233-1)</f>
        <v>131.1975</v>
      </c>
    </row>
    <row r="244" customFormat="false" ht="15.75" hidden="false" customHeight="true" outlineLevel="0" collapsed="false">
      <c r="A244" s="7" t="s">
        <v>376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6" t="s">
        <v>377</v>
      </c>
      <c r="C245" s="66" t="n">
        <f aca="false">Inputs!$D$7*Inputs!$D$8</f>
        <v>3570</v>
      </c>
      <c r="D245" s="66" t="n">
        <f aca="false">C249</f>
        <v>8396.3</v>
      </c>
      <c r="E245" s="66" t="n">
        <f aca="false">D249</f>
        <v>13174.337</v>
      </c>
      <c r="F245" s="66" t="n">
        <f aca="false">E249</f>
        <v>17904.59363</v>
      </c>
      <c r="G245" s="66" t="n">
        <f aca="false">F249</f>
        <v>22587.5476937</v>
      </c>
      <c r="H245" s="66" t="n">
        <f aca="false">G249</f>
        <v>27223.672216763</v>
      </c>
      <c r="I245" s="66" t="n">
        <f aca="false">H249</f>
        <v>31813.4354945954</v>
      </c>
      <c r="J245" s="66" t="n">
        <f aca="false">I249</f>
        <v>36357.3011396494</v>
      </c>
      <c r="K245" s="66" t="n">
        <f aca="false">J249</f>
        <v>40855.7281282529</v>
      </c>
      <c r="L245" s="66" t="n">
        <f aca="false">K249</f>
        <v>45309.1708469704</v>
      </c>
      <c r="M245" s="66" t="n">
        <f aca="false">L249</f>
        <v>49718.0791385007</v>
      </c>
      <c r="N245" s="66" t="n">
        <f aca="false">M249</f>
        <v>54082.8983471157</v>
      </c>
      <c r="O245" s="66" t="n">
        <f aca="false">N249</f>
        <v>58404.0693636445</v>
      </c>
      <c r="P245" s="66" t="n">
        <f aca="false">O249</f>
        <v>64620.8786700081</v>
      </c>
      <c r="Q245" s="66" t="n">
        <f aca="false">P249</f>
        <v>70775.519883308</v>
      </c>
      <c r="R245" s="66" t="n">
        <f aca="false">Q249</f>
        <v>76868.6146844749</v>
      </c>
      <c r="S245" s="66" t="n">
        <f aca="false">R249</f>
        <v>82900.7785376302</v>
      </c>
      <c r="T245" s="66" t="n">
        <f aca="false">S249</f>
        <v>88872.6207522539</v>
      </c>
      <c r="U245" s="66" t="n">
        <f aca="false">T249</f>
        <v>94784.7445447314</v>
      </c>
      <c r="V245" s="66" t="n">
        <f aca="false">U249</f>
        <v>100637.747099284</v>
      </c>
      <c r="W245" s="66" t="n">
        <f aca="false">V249</f>
        <v>106432.219628291</v>
      </c>
      <c r="X245" s="66" t="n">
        <f aca="false">W249</f>
        <v>112168.747432008</v>
      </c>
      <c r="Y245" s="66" t="n">
        <f aca="false">X249</f>
        <v>117847.909957688</v>
      </c>
      <c r="Z245" s="66" t="n">
        <f aca="false">Y249</f>
        <v>123470.280858111</v>
      </c>
      <c r="AA245" s="66" t="n">
        <f aca="false">Z249</f>
        <v>129036.42804953</v>
      </c>
      <c r="AB245" s="66" t="n">
        <f aca="false">AA249</f>
        <v>137377.834519035</v>
      </c>
      <c r="AC245" s="66" t="n">
        <f aca="false">AB249</f>
        <v>145635.826923845</v>
      </c>
      <c r="AD245" s="66" t="n">
        <f aca="false">AC249</f>
        <v>153811.239404606</v>
      </c>
      <c r="AE245" s="66" t="n">
        <f aca="false">AD249</f>
        <v>161904.89776056</v>
      </c>
      <c r="AF245" s="66" t="n">
        <f aca="false">AE249</f>
        <v>169917.619532954</v>
      </c>
      <c r="AG245" s="66" t="n">
        <f aca="false">AF249</f>
        <v>177850.214087625</v>
      </c>
      <c r="AH245" s="66" t="n">
        <f aca="false">AG249</f>
        <v>185703.482696749</v>
      </c>
      <c r="AI245" s="66" t="n">
        <f aca="false">AH249</f>
        <v>193478.218619781</v>
      </c>
      <c r="AJ245" s="66" t="n">
        <f aca="false">AI249</f>
        <v>201175.207183583</v>
      </c>
      <c r="AK245" s="66" t="n">
        <f aca="false">AJ249</f>
        <v>208795.225861748</v>
      </c>
      <c r="AL245" s="66" t="n">
        <f aca="false">AK249</f>
        <v>216339.04435313</v>
      </c>
    </row>
    <row r="246" customFormat="false" ht="15" hidden="false" customHeight="false" outlineLevel="0" collapsed="false">
      <c r="A246" s="6" t="s">
        <v>378</v>
      </c>
      <c r="C246" s="66" t="n">
        <f aca="false">C238*C242</f>
        <v>4862</v>
      </c>
      <c r="D246" s="66" t="n">
        <f aca="false">D238*D242</f>
        <v>4862</v>
      </c>
      <c r="E246" s="66" t="n">
        <f aca="false">E238*E242</f>
        <v>4862</v>
      </c>
      <c r="F246" s="66" t="n">
        <f aca="false">F238*F242</f>
        <v>4862</v>
      </c>
      <c r="G246" s="66" t="n">
        <f aca="false">G238*G242</f>
        <v>4862</v>
      </c>
      <c r="H246" s="66" t="n">
        <f aca="false">H238*H242</f>
        <v>4862</v>
      </c>
      <c r="I246" s="66" t="n">
        <f aca="false">I238*I242</f>
        <v>4862</v>
      </c>
      <c r="J246" s="66" t="n">
        <f aca="false">J238*J242</f>
        <v>4862</v>
      </c>
      <c r="K246" s="66" t="n">
        <f aca="false">K238*K242</f>
        <v>4862</v>
      </c>
      <c r="L246" s="66" t="n">
        <f aca="false">L238*L242</f>
        <v>4862</v>
      </c>
      <c r="M246" s="66" t="n">
        <f aca="false">M238*M242</f>
        <v>4862</v>
      </c>
      <c r="N246" s="66" t="n">
        <f aca="false">N238*N242</f>
        <v>4862</v>
      </c>
      <c r="O246" s="66" t="n">
        <f aca="false">O238*O242</f>
        <v>6800.85</v>
      </c>
      <c r="P246" s="66" t="n">
        <f aca="false">P238*P242</f>
        <v>6800.85</v>
      </c>
      <c r="Q246" s="66" t="n">
        <f aca="false">Q238*Q242</f>
        <v>6800.85</v>
      </c>
      <c r="R246" s="66" t="n">
        <f aca="false">R238*R242</f>
        <v>6800.85</v>
      </c>
      <c r="S246" s="66" t="n">
        <f aca="false">S238*S242</f>
        <v>6800.85</v>
      </c>
      <c r="T246" s="66" t="n">
        <f aca="false">T238*T242</f>
        <v>6800.85</v>
      </c>
      <c r="U246" s="66" t="n">
        <f aca="false">U238*U242</f>
        <v>6800.85</v>
      </c>
      <c r="V246" s="66" t="n">
        <f aca="false">V238*V242</f>
        <v>6800.85</v>
      </c>
      <c r="W246" s="66" t="n">
        <f aca="false">W238*W242</f>
        <v>6800.85</v>
      </c>
      <c r="X246" s="66" t="n">
        <f aca="false">X238*X242</f>
        <v>6800.85</v>
      </c>
      <c r="Y246" s="66" t="n">
        <f aca="false">Y238*Y242</f>
        <v>6800.85</v>
      </c>
      <c r="Z246" s="66" t="n">
        <f aca="false">Z238*Z242</f>
        <v>6800.85</v>
      </c>
      <c r="AA246" s="66" t="n">
        <f aca="false">AA238*AA242</f>
        <v>9631.77075</v>
      </c>
      <c r="AB246" s="66" t="n">
        <f aca="false">AB238*AB242</f>
        <v>9631.77075</v>
      </c>
      <c r="AC246" s="66" t="n">
        <f aca="false">AC238*AC242</f>
        <v>9631.77075</v>
      </c>
      <c r="AD246" s="66" t="n">
        <f aca="false">AD238*AD242</f>
        <v>9631.77075</v>
      </c>
      <c r="AE246" s="66" t="n">
        <f aca="false">AE238*AE242</f>
        <v>9631.77075</v>
      </c>
      <c r="AF246" s="66" t="n">
        <f aca="false">AF238*AF242</f>
        <v>9631.77075</v>
      </c>
      <c r="AG246" s="66" t="n">
        <f aca="false">AG238*AG242</f>
        <v>9631.77075</v>
      </c>
      <c r="AH246" s="66" t="n">
        <f aca="false">AH238*AH242</f>
        <v>9631.77075</v>
      </c>
      <c r="AI246" s="66" t="n">
        <f aca="false">AI238*AI242</f>
        <v>9631.77075</v>
      </c>
      <c r="AJ246" s="66" t="n">
        <f aca="false">AJ238*AJ242</f>
        <v>9631.77075</v>
      </c>
      <c r="AK246" s="66" t="n">
        <f aca="false">AK238*AK242</f>
        <v>9631.77075</v>
      </c>
      <c r="AL246" s="66" t="n">
        <f aca="false">AL238*AL242</f>
        <v>9631.77075</v>
      </c>
    </row>
    <row r="247" customFormat="false" ht="15" hidden="false" customHeight="false" outlineLevel="0" collapsed="false">
      <c r="A247" s="6" t="s">
        <v>379</v>
      </c>
      <c r="C247" s="66" t="n">
        <f aca="false">C245*Inputs!$D$11</f>
        <v>35.7</v>
      </c>
      <c r="D247" s="66" t="n">
        <f aca="false">D245*Inputs!$D$11</f>
        <v>83.963</v>
      </c>
      <c r="E247" s="66" t="n">
        <f aca="false">E245*Inputs!$D$11</f>
        <v>131.74337</v>
      </c>
      <c r="F247" s="66" t="n">
        <f aca="false">F245*Inputs!$D$11</f>
        <v>179.0459363</v>
      </c>
      <c r="G247" s="66" t="n">
        <f aca="false">G245*Inputs!$D$11</f>
        <v>225.875476937</v>
      </c>
      <c r="H247" s="66" t="n">
        <f aca="false">H245*Inputs!$D$11</f>
        <v>272.23672216763</v>
      </c>
      <c r="I247" s="66" t="n">
        <f aca="false">I245*Inputs!$D$11</f>
        <v>318.134354945954</v>
      </c>
      <c r="J247" s="66" t="n">
        <f aca="false">J245*Inputs!$D$11</f>
        <v>363.573011396494</v>
      </c>
      <c r="K247" s="66" t="n">
        <f aca="false">K245*Inputs!$D$11</f>
        <v>408.557281282529</v>
      </c>
      <c r="L247" s="66" t="n">
        <f aca="false">L245*Inputs!$D$11</f>
        <v>453.091708469704</v>
      </c>
      <c r="M247" s="66" t="n">
        <f aca="false">M245*Inputs!$D$11</f>
        <v>497.180791385007</v>
      </c>
      <c r="N247" s="66" t="n">
        <f aca="false">N245*Inputs!$D$11</f>
        <v>540.828983471157</v>
      </c>
      <c r="O247" s="66" t="n">
        <f aca="false">O245*Inputs!$D$11</f>
        <v>584.040693636445</v>
      </c>
      <c r="P247" s="66" t="n">
        <f aca="false">P245*Inputs!$D$11</f>
        <v>646.208786700081</v>
      </c>
      <c r="Q247" s="66" t="n">
        <f aca="false">Q245*Inputs!$D$11</f>
        <v>707.75519883308</v>
      </c>
      <c r="R247" s="66" t="n">
        <f aca="false">R245*Inputs!$D$11</f>
        <v>768.686146844749</v>
      </c>
      <c r="S247" s="66" t="n">
        <f aca="false">S245*Inputs!$D$11</f>
        <v>829.007785376302</v>
      </c>
      <c r="T247" s="66" t="n">
        <f aca="false">T245*Inputs!$D$11</f>
        <v>888.726207522539</v>
      </c>
      <c r="U247" s="66" t="n">
        <f aca="false">U245*Inputs!$D$11</f>
        <v>947.847445447314</v>
      </c>
      <c r="V247" s="66" t="n">
        <f aca="false">V245*Inputs!$D$11</f>
        <v>1006.37747099284</v>
      </c>
      <c r="W247" s="66" t="n">
        <f aca="false">W245*Inputs!$D$11</f>
        <v>1064.32219628291</v>
      </c>
      <c r="X247" s="66" t="n">
        <f aca="false">X245*Inputs!$D$11</f>
        <v>1121.68747432008</v>
      </c>
      <c r="Y247" s="66" t="n">
        <f aca="false">Y245*Inputs!$D$11</f>
        <v>1178.47909957688</v>
      </c>
      <c r="Z247" s="66" t="n">
        <f aca="false">Z245*Inputs!$D$11</f>
        <v>1234.70280858111</v>
      </c>
      <c r="AA247" s="66" t="n">
        <f aca="false">AA245*Inputs!$D$11</f>
        <v>1290.3642804953</v>
      </c>
      <c r="AB247" s="66" t="n">
        <f aca="false">AB245*Inputs!$D$11</f>
        <v>1373.77834519035</v>
      </c>
      <c r="AC247" s="66" t="n">
        <f aca="false">AC245*Inputs!$D$11</f>
        <v>1456.35826923845</v>
      </c>
      <c r="AD247" s="66" t="n">
        <f aca="false">AD245*Inputs!$D$11</f>
        <v>1538.11239404606</v>
      </c>
      <c r="AE247" s="66" t="n">
        <f aca="false">AE245*Inputs!$D$11</f>
        <v>1619.0489776056</v>
      </c>
      <c r="AF247" s="66" t="n">
        <f aca="false">AF245*Inputs!$D$11</f>
        <v>1699.17619532954</v>
      </c>
      <c r="AG247" s="66" t="n">
        <f aca="false">AG245*Inputs!$D$11</f>
        <v>1778.50214087625</v>
      </c>
      <c r="AH247" s="66" t="n">
        <f aca="false">AH245*Inputs!$D$11</f>
        <v>1857.03482696749</v>
      </c>
      <c r="AI247" s="66" t="n">
        <f aca="false">AI245*Inputs!$D$11</f>
        <v>1934.78218619781</v>
      </c>
      <c r="AJ247" s="66" t="n">
        <f aca="false">AJ245*Inputs!$D$11</f>
        <v>2011.75207183583</v>
      </c>
      <c r="AK247" s="66" t="n">
        <f aca="false">AK245*Inputs!$D$11</f>
        <v>2087.95225861748</v>
      </c>
      <c r="AL247" s="66" t="n">
        <f aca="false">AL245*Inputs!$D$11</f>
        <v>2163.3904435313</v>
      </c>
    </row>
    <row r="248" customFormat="false" ht="15" hidden="false" customHeight="false" outlineLevel="0" collapsed="false">
      <c r="A248" s="6" t="s">
        <v>380</v>
      </c>
      <c r="C248" s="66" t="n">
        <f aca="false">-C245*Inputs!$D$10</f>
        <v>-71.4</v>
      </c>
      <c r="D248" s="66" t="n">
        <f aca="false">-D245*Inputs!$D$10</f>
        <v>-167.926</v>
      </c>
      <c r="E248" s="66" t="n">
        <f aca="false">-E245*Inputs!$D$10</f>
        <v>-263.48674</v>
      </c>
      <c r="F248" s="66" t="n">
        <f aca="false">-F245*Inputs!$D$10</f>
        <v>-358.0918726</v>
      </c>
      <c r="G248" s="66" t="n">
        <f aca="false">-G245*Inputs!$D$10</f>
        <v>-451.750953874</v>
      </c>
      <c r="H248" s="66" t="n">
        <f aca="false">-H245*Inputs!$D$10</f>
        <v>-544.47344433526</v>
      </c>
      <c r="I248" s="66" t="n">
        <f aca="false">-I245*Inputs!$D$10</f>
        <v>-636.268709891907</v>
      </c>
      <c r="J248" s="66" t="n">
        <f aca="false">-J245*Inputs!$D$10</f>
        <v>-727.146022792988</v>
      </c>
      <c r="K248" s="66" t="n">
        <f aca="false">-K245*Inputs!$D$10</f>
        <v>-817.114562565059</v>
      </c>
      <c r="L248" s="66" t="n">
        <f aca="false">-L245*Inputs!$D$10</f>
        <v>-906.183416939408</v>
      </c>
      <c r="M248" s="66" t="n">
        <f aca="false">-M245*Inputs!$D$10</f>
        <v>-994.361582770014</v>
      </c>
      <c r="N248" s="66" t="n">
        <f aca="false">-N245*Inputs!$D$10</f>
        <v>-1081.65796694231</v>
      </c>
      <c r="O248" s="66" t="n">
        <f aca="false">-O245*Inputs!$D$10</f>
        <v>-1168.08138727289</v>
      </c>
      <c r="P248" s="66" t="n">
        <f aca="false">-P245*Inputs!$D$10</f>
        <v>-1292.41757340016</v>
      </c>
      <c r="Q248" s="66" t="n">
        <f aca="false">-Q245*Inputs!$D$10</f>
        <v>-1415.51039766616</v>
      </c>
      <c r="R248" s="66" t="n">
        <f aca="false">-R245*Inputs!$D$10</f>
        <v>-1537.3722936895</v>
      </c>
      <c r="S248" s="66" t="n">
        <f aca="false">-S245*Inputs!$D$10</f>
        <v>-1658.0155707526</v>
      </c>
      <c r="T248" s="66" t="n">
        <f aca="false">-T245*Inputs!$D$10</f>
        <v>-1777.45241504508</v>
      </c>
      <c r="U248" s="66" t="n">
        <f aca="false">-U245*Inputs!$D$10</f>
        <v>-1895.69489089463</v>
      </c>
      <c r="V248" s="66" t="n">
        <f aca="false">-V245*Inputs!$D$10</f>
        <v>-2012.75494198568</v>
      </c>
      <c r="W248" s="66" t="n">
        <f aca="false">-W245*Inputs!$D$10</f>
        <v>-2128.64439256583</v>
      </c>
      <c r="X248" s="66" t="n">
        <f aca="false">-X245*Inputs!$D$10</f>
        <v>-2243.37494864017</v>
      </c>
      <c r="Y248" s="66" t="n">
        <f aca="false">-Y245*Inputs!$D$10</f>
        <v>-2356.95819915377</v>
      </c>
      <c r="Z248" s="66" t="n">
        <f aca="false">-Z245*Inputs!$D$10</f>
        <v>-2469.40561716223</v>
      </c>
      <c r="AA248" s="66" t="n">
        <f aca="false">-AA245*Inputs!$D$10</f>
        <v>-2580.72856099061</v>
      </c>
      <c r="AB248" s="66" t="n">
        <f aca="false">-AB245*Inputs!$D$10</f>
        <v>-2747.5566903807</v>
      </c>
      <c r="AC248" s="66" t="n">
        <f aca="false">-AC245*Inputs!$D$10</f>
        <v>-2912.71653847689</v>
      </c>
      <c r="AD248" s="66" t="n">
        <f aca="false">-AD245*Inputs!$D$10</f>
        <v>-3076.22478809212</v>
      </c>
      <c r="AE248" s="66" t="n">
        <f aca="false">-AE245*Inputs!$D$10</f>
        <v>-3238.0979552112</v>
      </c>
      <c r="AF248" s="66" t="n">
        <f aca="false">-AF245*Inputs!$D$10</f>
        <v>-3398.35239065909</v>
      </c>
      <c r="AG248" s="66" t="n">
        <f aca="false">-AG245*Inputs!$D$10</f>
        <v>-3557.0042817525</v>
      </c>
      <c r="AH248" s="66" t="n">
        <f aca="false">-AH245*Inputs!$D$10</f>
        <v>-3714.06965393497</v>
      </c>
      <c r="AI248" s="66" t="n">
        <f aca="false">-AI245*Inputs!$D$10</f>
        <v>-3869.56437239562</v>
      </c>
      <c r="AJ248" s="66" t="n">
        <f aca="false">-AJ245*Inputs!$D$10</f>
        <v>-4023.50414367167</v>
      </c>
      <c r="AK248" s="66" t="n">
        <f aca="false">-AK245*Inputs!$D$10</f>
        <v>-4175.90451723495</v>
      </c>
      <c r="AL248" s="66" t="n">
        <f aca="false">-AL245*Inputs!$D$10</f>
        <v>-4326.7808870626</v>
      </c>
    </row>
    <row r="249" customFormat="false" ht="15" hidden="false" customHeight="false" outlineLevel="0" collapsed="false">
      <c r="A249" s="111" t="s">
        <v>381</v>
      </c>
      <c r="C249" s="67" t="n">
        <f aca="false">C245+C246+C247+C248</f>
        <v>8396.3</v>
      </c>
      <c r="D249" s="67" t="n">
        <f aca="false">D245+D246+D247+D248</f>
        <v>13174.337</v>
      </c>
      <c r="E249" s="67" t="n">
        <f aca="false">E245+E246+E247+E248</f>
        <v>17904.59363</v>
      </c>
      <c r="F249" s="67" t="n">
        <f aca="false">F245+F246+F247+F248</f>
        <v>22587.5476937</v>
      </c>
      <c r="G249" s="67" t="n">
        <f aca="false">G245+G246+G247+G248</f>
        <v>27223.672216763</v>
      </c>
      <c r="H249" s="67" t="n">
        <f aca="false">H245+H246+H247+H248</f>
        <v>31813.4354945954</v>
      </c>
      <c r="I249" s="67" t="n">
        <f aca="false">I245+I246+I247+I248</f>
        <v>36357.3011396494</v>
      </c>
      <c r="J249" s="67" t="n">
        <f aca="false">J245+J246+J247+J248</f>
        <v>40855.7281282529</v>
      </c>
      <c r="K249" s="67" t="n">
        <f aca="false">K245+K246+K247+K248</f>
        <v>45309.1708469704</v>
      </c>
      <c r="L249" s="67" t="n">
        <f aca="false">L245+L246+L247+L248</f>
        <v>49718.0791385007</v>
      </c>
      <c r="M249" s="67" t="n">
        <f aca="false">M245+M246+M247+M248</f>
        <v>54082.8983471157</v>
      </c>
      <c r="N249" s="67" t="n">
        <f aca="false">N245+N246+N247+N248</f>
        <v>58404.0693636445</v>
      </c>
      <c r="O249" s="67" t="n">
        <f aca="false">O245+O246+O247+O248</f>
        <v>64620.8786700081</v>
      </c>
      <c r="P249" s="67" t="n">
        <f aca="false">P245+P246+P247+P248</f>
        <v>70775.519883308</v>
      </c>
      <c r="Q249" s="67" t="n">
        <f aca="false">Q245+Q246+Q247+Q248</f>
        <v>76868.6146844749</v>
      </c>
      <c r="R249" s="67" t="n">
        <f aca="false">R245+R246+R247+R248</f>
        <v>82900.7785376302</v>
      </c>
      <c r="S249" s="67" t="n">
        <f aca="false">S245+S246+S247+S248</f>
        <v>88872.6207522539</v>
      </c>
      <c r="T249" s="67" t="n">
        <f aca="false">T245+T246+T247+T248</f>
        <v>94784.7445447314</v>
      </c>
      <c r="U249" s="67" t="n">
        <f aca="false">U245+U246+U247+U248</f>
        <v>100637.747099284</v>
      </c>
      <c r="V249" s="67" t="n">
        <f aca="false">V245+V246+V247+V248</f>
        <v>106432.219628291</v>
      </c>
      <c r="W249" s="67" t="n">
        <f aca="false">W245+W246+W247+W248</f>
        <v>112168.747432008</v>
      </c>
      <c r="X249" s="67" t="n">
        <f aca="false">X245+X246+X247+X248</f>
        <v>117847.909957688</v>
      </c>
      <c r="Y249" s="67" t="n">
        <f aca="false">Y245+Y246+Y247+Y248</f>
        <v>123470.280858111</v>
      </c>
      <c r="Z249" s="67" t="n">
        <f aca="false">Z245+Z246+Z247+Z248</f>
        <v>129036.42804953</v>
      </c>
      <c r="AA249" s="67" t="n">
        <f aca="false">AA245+AA246+AA247+AA248</f>
        <v>137377.834519035</v>
      </c>
      <c r="AB249" s="67" t="n">
        <f aca="false">AB245+AB246+AB247+AB248</f>
        <v>145635.826923845</v>
      </c>
      <c r="AC249" s="67" t="n">
        <f aca="false">AC245+AC246+AC247+AC248</f>
        <v>153811.239404606</v>
      </c>
      <c r="AD249" s="67" t="n">
        <f aca="false">AD245+AD246+AD247+AD248</f>
        <v>161904.89776056</v>
      </c>
      <c r="AE249" s="67" t="n">
        <f aca="false">AE245+AE246+AE247+AE248</f>
        <v>169917.619532954</v>
      </c>
      <c r="AF249" s="67" t="n">
        <f aca="false">AF245+AF246+AF247+AF248</f>
        <v>177850.214087625</v>
      </c>
      <c r="AG249" s="67" t="n">
        <f aca="false">AG245+AG246+AG247+AG248</f>
        <v>185703.482696749</v>
      </c>
      <c r="AH249" s="67" t="n">
        <f aca="false">AH245+AH246+AH247+AH248</f>
        <v>193478.218619781</v>
      </c>
      <c r="AI249" s="67" t="n">
        <f aca="false">AI245+AI246+AI247+AI248</f>
        <v>201175.207183583</v>
      </c>
      <c r="AJ249" s="67" t="n">
        <f aca="false">AJ245+AJ246+AJ247+AJ248</f>
        <v>208795.225861748</v>
      </c>
      <c r="AK249" s="67" t="n">
        <f aca="false">AK245+AK246+AK247+AK248</f>
        <v>216339.04435313</v>
      </c>
      <c r="AL249" s="67" t="n">
        <f aca="false">AL245+AL246+AL247+AL248</f>
        <v>223807.424659599</v>
      </c>
    </row>
    <row r="251" customFormat="false" ht="15.75" hidden="false" customHeight="true" outlineLevel="0" collapsed="false">
      <c r="A251" s="7" t="s">
        <v>382</v>
      </c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customFormat="false" ht="15" hidden="false" customHeight="false" outlineLevel="0" collapsed="false">
      <c r="A252" s="111" t="s">
        <v>383</v>
      </c>
      <c r="C252" s="67" t="n">
        <f aca="false">(C245+C249)/2*1</f>
        <v>5983.15</v>
      </c>
      <c r="D252" s="67" t="n">
        <f aca="false">(D245+D249)/2*1</f>
        <v>10785.3185</v>
      </c>
      <c r="E252" s="67" t="n">
        <f aca="false">(E245+E249)/2*1</f>
        <v>15539.465315</v>
      </c>
      <c r="F252" s="67" t="n">
        <f aca="false">(F245+F249)/2*1</f>
        <v>20246.07066185</v>
      </c>
      <c r="G252" s="67" t="n">
        <f aca="false">(G245+G249)/2*1</f>
        <v>24905.6099552315</v>
      </c>
      <c r="H252" s="67" t="n">
        <f aca="false">(H245+H249)/2*1</f>
        <v>29518.5538556792</v>
      </c>
      <c r="I252" s="67" t="n">
        <f aca="false">(I245+I249)/2*1</f>
        <v>34085.3683171224</v>
      </c>
      <c r="J252" s="67" t="n">
        <f aca="false">(J245+J249)/2*1</f>
        <v>38606.5146339512</v>
      </c>
      <c r="K252" s="67" t="n">
        <f aca="false">(K245+K249)/2*1</f>
        <v>43082.4494876117</v>
      </c>
      <c r="L252" s="67" t="n">
        <f aca="false">(L245+L249)/2*1</f>
        <v>47513.6249927355</v>
      </c>
      <c r="M252" s="67" t="n">
        <f aca="false">(M245+M249)/2*1</f>
        <v>51900.4887428082</v>
      </c>
      <c r="N252" s="67" t="n">
        <f aca="false">(N245+N249)/2*1</f>
        <v>56243.4838553801</v>
      </c>
      <c r="O252" s="67" t="n">
        <f aca="false">(O245+O249)/2*1</f>
        <v>61512.4740168263</v>
      </c>
      <c r="P252" s="67" t="n">
        <f aca="false">(P245+P249)/2*1</f>
        <v>67698.199276658</v>
      </c>
      <c r="Q252" s="67" t="n">
        <f aca="false">(Q245+Q249)/2*1</f>
        <v>73822.0672838915</v>
      </c>
      <c r="R252" s="67" t="n">
        <f aca="false">(R245+R249)/2*1</f>
        <v>79884.6966110526</v>
      </c>
      <c r="S252" s="67" t="n">
        <f aca="false">(S245+S249)/2*1</f>
        <v>85886.699644942</v>
      </c>
      <c r="T252" s="67" t="n">
        <f aca="false">(T245+T249)/2*1</f>
        <v>91828.6826484926</v>
      </c>
      <c r="U252" s="67" t="n">
        <f aca="false">(U245+U249)/2*1</f>
        <v>97711.2458220077</v>
      </c>
      <c r="V252" s="67" t="n">
        <f aca="false">(V245+V249)/2*1</f>
        <v>103534.983363788</v>
      </c>
      <c r="W252" s="67" t="n">
        <f aca="false">(W245+W249)/2*1</f>
        <v>109300.48353015</v>
      </c>
      <c r="X252" s="67" t="n">
        <f aca="false">(X245+X249)/2*1</f>
        <v>115008.328694848</v>
      </c>
      <c r="Y252" s="67" t="n">
        <f aca="false">(Y245+Y249)/2*1</f>
        <v>120659.0954079</v>
      </c>
      <c r="Z252" s="67" t="n">
        <f aca="false">(Z245+Z249)/2*1</f>
        <v>126253.354453821</v>
      </c>
      <c r="AA252" s="67" t="n">
        <f aca="false">(AA245+AA249)/2*1</f>
        <v>133207.131284283</v>
      </c>
      <c r="AB252" s="67" t="n">
        <f aca="false">(AB245+AB249)/2*1</f>
        <v>141506.83072144</v>
      </c>
      <c r="AC252" s="67" t="n">
        <f aca="false">(AC245+AC249)/2*1</f>
        <v>149723.533164225</v>
      </c>
      <c r="AD252" s="67" t="n">
        <f aca="false">(AD245+AD249)/2*1</f>
        <v>157858.068582583</v>
      </c>
      <c r="AE252" s="67" t="n">
        <f aca="false">(AE245+AE249)/2*1</f>
        <v>165911.258646757</v>
      </c>
      <c r="AF252" s="67" t="n">
        <f aca="false">(AF245+AF249)/2*1</f>
        <v>173883.91681029</v>
      </c>
      <c r="AG252" s="67" t="n">
        <f aca="false">(AG245+AG249)/2*1</f>
        <v>181776.848392187</v>
      </c>
      <c r="AH252" s="67" t="n">
        <f aca="false">(AH245+AH249)/2*1</f>
        <v>189590.850658265</v>
      </c>
      <c r="AI252" s="67" t="n">
        <f aca="false">(AI245+AI249)/2*1</f>
        <v>197326.712901682</v>
      </c>
      <c r="AJ252" s="67" t="n">
        <f aca="false">(AJ245+AJ249)/2*1</f>
        <v>204985.216522665</v>
      </c>
      <c r="AK252" s="67" t="n">
        <f aca="false">(AK245+AK249)/2*1</f>
        <v>212567.135107439</v>
      </c>
      <c r="AL252" s="67" t="n">
        <f aca="false">(AL245+AL249)/2*1</f>
        <v>220073.234506364</v>
      </c>
    </row>
    <row r="253" customFormat="false" ht="15" hidden="false" customHeight="false" outlineLevel="0" collapsed="false">
      <c r="A253" s="6" t="s">
        <v>75</v>
      </c>
      <c r="C253" s="66" t="n">
        <f aca="false">-(C252*Inputs!$D$18+(C239+C241)/2*Inputs!$D$19*1)</f>
        <v>-553.844857142857</v>
      </c>
      <c r="D253" s="66" t="n">
        <f aca="false">-(D252*Inputs!$D$18+(D239+D241)/2*Inputs!$D$19*1)</f>
        <v>-997.800194285714</v>
      </c>
      <c r="E253" s="66" t="n">
        <f aca="false">-(E252*Inputs!$D$18+(E239+E241)/2*Inputs!$D$19*1)</f>
        <v>-1436.71815948571</v>
      </c>
      <c r="F253" s="66" t="n">
        <f aca="false">-(F252*Inputs!$D$18+(F239+F241)/2*Inputs!$D$19*1)</f>
        <v>-1870.66108283371</v>
      </c>
      <c r="G253" s="66" t="n">
        <f aca="false">-(G252*Inputs!$D$18+(G239+G241)/2*Inputs!$D$19*1)</f>
        <v>-2299.69043199223</v>
      </c>
      <c r="H253" s="66" t="n">
        <f aca="false">-(H252*Inputs!$D$18+(H239+H241)/2*Inputs!$D$19*1)</f>
        <v>-2723.86682560229</v>
      </c>
      <c r="I253" s="66" t="n">
        <f aca="false">-(I252*Inputs!$D$18+(I239+I241)/2*Inputs!$D$19*1)</f>
        <v>-3143.2500464605</v>
      </c>
      <c r="J253" s="66" t="n">
        <f aca="false">-(J252*Inputs!$D$18+(J239+J241)/2*Inputs!$D$19*1)</f>
        <v>-3557.8990544707</v>
      </c>
      <c r="K253" s="66" t="n">
        <f aca="false">-(K252*Inputs!$D$18+(K239+K241)/2*Inputs!$D$19*1)</f>
        <v>-3967.87199937417</v>
      </c>
      <c r="L253" s="66" t="n">
        <f aca="false">-(L252*Inputs!$D$18+(L239+L241)/2*Inputs!$D$19*1)</f>
        <v>-4373.22623326249</v>
      </c>
      <c r="M253" s="66" t="n">
        <f aca="false">-(M252*Inputs!$D$18+(M239+M241)/2*Inputs!$D$19*1)</f>
        <v>-4774.01832287714</v>
      </c>
      <c r="N253" s="66" t="n">
        <f aca="false">-(N252*Inputs!$D$18+(N239+N241)/2*Inputs!$D$19*1)</f>
        <v>-5170.30406169956</v>
      </c>
      <c r="O253" s="66" t="n">
        <f aca="false">-(O252*Inputs!$D$18+(O239+O241)/2*Inputs!$D$19*1)</f>
        <v>-5649.87105326415</v>
      </c>
      <c r="P253" s="66" t="n">
        <f aca="false">-(P252*Inputs!$D$18+(P239+P241)/2*Inputs!$D$19*1)</f>
        <v>-6211.79446855519</v>
      </c>
      <c r="Q253" s="66" t="n">
        <f aca="false">-(Q252*Inputs!$D$18+(Q239+Q241)/2*Inputs!$D$19*1)</f>
        <v>-6767.42799574827</v>
      </c>
      <c r="R253" s="66" t="n">
        <f aca="false">-(R252*Inputs!$D$18+(R239+R241)/2*Inputs!$D$19*1)</f>
        <v>-7316.84794680328</v>
      </c>
      <c r="S253" s="66" t="n">
        <f aca="false">-(S252*Inputs!$D$18+(S239+S241)/2*Inputs!$D$19*1)</f>
        <v>-7860.12960229891</v>
      </c>
      <c r="T253" s="66" t="n">
        <f aca="false">-(T252*Inputs!$D$18+(T239+T241)/2*Inputs!$D$19*1)</f>
        <v>-8397.34722711174</v>
      </c>
      <c r="U253" s="66" t="n">
        <f aca="false">-(U252*Inputs!$D$18+(U239+U241)/2*Inputs!$D$19*1)</f>
        <v>-8928.57408583116</v>
      </c>
      <c r="V253" s="66" t="n">
        <f aca="false">-(V252*Inputs!$D$18+(V239+V241)/2*Inputs!$D$19*1)</f>
        <v>-9453.882457915</v>
      </c>
      <c r="W253" s="66" t="n">
        <f aca="false">-(W252*Inputs!$D$18+(W239+W241)/2*Inputs!$D$19*1)</f>
        <v>-9973.34365259059</v>
      </c>
      <c r="X253" s="66" t="n">
        <f aca="false">-(X252*Inputs!$D$18+(X239+X241)/2*Inputs!$D$19*1)</f>
        <v>-10487.0280235058</v>
      </c>
      <c r="Y253" s="66" t="n">
        <f aca="false">-(Y252*Inputs!$D$18+(Y239+Y241)/2*Inputs!$D$19*1)</f>
        <v>-10995.0049831344</v>
      </c>
      <c r="Z253" s="66" t="n">
        <f aca="false">-(Z252*Inputs!$D$18+(Z239+Z241)/2*Inputs!$D$19*1)</f>
        <v>-11497.3430169409</v>
      </c>
      <c r="AA253" s="66" t="n">
        <f aca="false">-(AA252*Inputs!$D$18+(AA239+AA241)/2*Inputs!$D$19*1)</f>
        <v>-12121.5858130223</v>
      </c>
      <c r="AB253" s="66" t="n">
        <f aca="false">-(AB252*Inputs!$D$18+(AB239+AB241)/2*Inputs!$D$19*1)</f>
        <v>-12866.3828903607</v>
      </c>
      <c r="AC253" s="66" t="n">
        <f aca="false">-(AC252*Inputs!$D$18+(AC239+AC241)/2*Inputs!$D$19*1)</f>
        <v>-13602.923785702</v>
      </c>
      <c r="AD253" s="66" t="n">
        <f aca="false">-(AD252*Inputs!$D$18+(AD239+AD241)/2*Inputs!$D$19*1)</f>
        <v>-14331.3072250908</v>
      </c>
      <c r="AE253" s="66" t="n">
        <f aca="false">-(AE252*Inputs!$D$18+(AE239+AE241)/2*Inputs!$D$19*1)</f>
        <v>-15051.6306240265</v>
      </c>
      <c r="AF253" s="66" t="n">
        <f aca="false">-(AF252*Inputs!$D$18+(AF239+AF241)/2*Inputs!$D$19*1)</f>
        <v>-15763.9901070348</v>
      </c>
      <c r="AG253" s="66" t="n">
        <f aca="false">-(AG252*Inputs!$D$18+(AG239+AG241)/2*Inputs!$D$19*1)</f>
        <v>-16468.4805269137</v>
      </c>
      <c r="AH253" s="66" t="n">
        <f aca="false">-(AH252*Inputs!$D$18+(AH239+AH241)/2*Inputs!$D$19*1)</f>
        <v>-17165.1954836606</v>
      </c>
      <c r="AI253" s="66" t="n">
        <f aca="false">-(AI252*Inputs!$D$18+(AI239+AI241)/2*Inputs!$D$19*1)</f>
        <v>-17854.2273430855</v>
      </c>
      <c r="AJ253" s="66" t="n">
        <f aca="false">-(AJ252*Inputs!$D$18+(AJ239+AJ241)/2*Inputs!$D$19*1)</f>
        <v>-18535.6672551165</v>
      </c>
      <c r="AK253" s="66" t="n">
        <f aca="false">-(AK252*Inputs!$D$18+(AK239+AK241)/2*Inputs!$D$19*1)</f>
        <v>-19209.6051718038</v>
      </c>
      <c r="AL253" s="66" t="n">
        <f aca="false">-(AL252*Inputs!$D$18+(AL239+AL241)/2*Inputs!$D$19*1)</f>
        <v>-19876.1298650251</v>
      </c>
    </row>
    <row r="254" customFormat="false" ht="15" hidden="false" customHeight="false" outlineLevel="0" collapsed="false">
      <c r="A254" s="111" t="s">
        <v>45</v>
      </c>
      <c r="C254" s="67" t="n">
        <f aca="false">C252+C253</f>
        <v>5429.30514285714</v>
      </c>
      <c r="D254" s="67" t="n">
        <f aca="false">D252+D253</f>
        <v>9787.51830571429</v>
      </c>
      <c r="E254" s="67" t="n">
        <f aca="false">E252+E253</f>
        <v>14102.7471555143</v>
      </c>
      <c r="F254" s="67" t="n">
        <f aca="false">F252+F253</f>
        <v>18375.4095790163</v>
      </c>
      <c r="G254" s="67" t="n">
        <f aca="false">G252+G253</f>
        <v>22605.9195232393</v>
      </c>
      <c r="H254" s="67" t="n">
        <f aca="false">H252+H253</f>
        <v>26794.6870300769</v>
      </c>
      <c r="I254" s="67" t="n">
        <f aca="false">I252+I253</f>
        <v>30942.1182706619</v>
      </c>
      <c r="J254" s="67" t="n">
        <f aca="false">J252+J253</f>
        <v>35048.6155794805</v>
      </c>
      <c r="K254" s="67" t="n">
        <f aca="false">K252+K253</f>
        <v>39114.5774882375</v>
      </c>
      <c r="L254" s="67" t="n">
        <f aca="false">L252+L253</f>
        <v>43140.3987594731</v>
      </c>
      <c r="M254" s="67" t="n">
        <f aca="false">M252+M253</f>
        <v>47126.4704199311</v>
      </c>
      <c r="N254" s="67" t="n">
        <f aca="false">N252+N253</f>
        <v>51073.1797936806</v>
      </c>
      <c r="O254" s="67" t="n">
        <f aca="false">O252+O253</f>
        <v>55862.6029635622</v>
      </c>
      <c r="P254" s="67" t="n">
        <f aca="false">P252+P253</f>
        <v>61486.4048081028</v>
      </c>
      <c r="Q254" s="67" t="n">
        <f aca="false">Q252+Q253</f>
        <v>67054.6392881432</v>
      </c>
      <c r="R254" s="67" t="n">
        <f aca="false">R252+R253</f>
        <v>72567.8486642493</v>
      </c>
      <c r="S254" s="67" t="n">
        <f aca="false">S252+S253</f>
        <v>78026.5700426431</v>
      </c>
      <c r="T254" s="67" t="n">
        <f aca="false">T252+T253</f>
        <v>83431.3354213809</v>
      </c>
      <c r="U254" s="67" t="n">
        <f aca="false">U252+U253</f>
        <v>88782.6717361766</v>
      </c>
      <c r="V254" s="67" t="n">
        <f aca="false">V252+V253</f>
        <v>94081.1009058727</v>
      </c>
      <c r="W254" s="67" t="n">
        <f aca="false">W252+W253</f>
        <v>99327.1398775592</v>
      </c>
      <c r="X254" s="67" t="n">
        <f aca="false">X252+X253</f>
        <v>104521.300671343</v>
      </c>
      <c r="Y254" s="67" t="n">
        <f aca="false">Y252+Y253</f>
        <v>109664.090424765</v>
      </c>
      <c r="Z254" s="67" t="n">
        <f aca="false">Z252+Z253</f>
        <v>114756.01143688</v>
      </c>
      <c r="AA254" s="67" t="n">
        <f aca="false">AA252+AA253</f>
        <v>121085.54547126</v>
      </c>
      <c r="AB254" s="67" t="n">
        <f aca="false">AB252+AB253</f>
        <v>128640.447831079</v>
      </c>
      <c r="AC254" s="67" t="n">
        <f aca="false">AC252+AC253</f>
        <v>136120.609378523</v>
      </c>
      <c r="AD254" s="67" t="n">
        <f aca="false">AD252+AD253</f>
        <v>143526.761357492</v>
      </c>
      <c r="AE254" s="67" t="n">
        <f aca="false">AE252+AE253</f>
        <v>150859.628022731</v>
      </c>
      <c r="AF254" s="67" t="n">
        <f aca="false">AF252+AF253</f>
        <v>158119.926703255</v>
      </c>
      <c r="AG254" s="67" t="n">
        <f aca="false">AG252+AG253</f>
        <v>165308.367865273</v>
      </c>
      <c r="AH254" s="67" t="n">
        <f aca="false">AH252+AH253</f>
        <v>172425.655174604</v>
      </c>
      <c r="AI254" s="67" t="n">
        <f aca="false">AI252+AI253</f>
        <v>179472.485558597</v>
      </c>
      <c r="AJ254" s="67" t="n">
        <f aca="false">AJ252+AJ253</f>
        <v>186449.549267549</v>
      </c>
      <c r="AK254" s="67" t="n">
        <f aca="false">AK252+AK253</f>
        <v>193357.529935635</v>
      </c>
      <c r="AL254" s="67" t="n">
        <f aca="false">AL252+AL253</f>
        <v>200197.104641339</v>
      </c>
    </row>
    <row r="256" customFormat="false" ht="15.75" hidden="false" customHeight="true" outlineLevel="0" collapsed="false">
      <c r="A256" s="7" t="s">
        <v>47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6" t="s">
        <v>316</v>
      </c>
      <c r="C257" s="66" t="n">
        <f aca="false">C340</f>
        <v>-61750</v>
      </c>
      <c r="D257" s="66" t="n">
        <f aca="false">D340</f>
        <v>-61750</v>
      </c>
      <c r="E257" s="66" t="n">
        <f aca="false">E340</f>
        <v>-61750</v>
      </c>
      <c r="F257" s="66" t="n">
        <f aca="false">F340</f>
        <v>-61750</v>
      </c>
      <c r="G257" s="66" t="n">
        <f aca="false">G340</f>
        <v>-61750</v>
      </c>
      <c r="H257" s="66" t="n">
        <f aca="false">H340</f>
        <v>-61750</v>
      </c>
      <c r="I257" s="66" t="n">
        <f aca="false">I340</f>
        <v>-61750</v>
      </c>
      <c r="J257" s="66" t="n">
        <f aca="false">J340</f>
        <v>-61750</v>
      </c>
      <c r="K257" s="66" t="n">
        <f aca="false">K340</f>
        <v>-61750</v>
      </c>
      <c r="L257" s="66" t="n">
        <f aca="false">L340</f>
        <v>-61750</v>
      </c>
      <c r="M257" s="66" t="n">
        <f aca="false">M340</f>
        <v>-61750</v>
      </c>
      <c r="N257" s="66" t="n">
        <f aca="false">N340</f>
        <v>-61750</v>
      </c>
      <c r="O257" s="66" t="n">
        <f aca="false">O340</f>
        <v>-96330</v>
      </c>
      <c r="P257" s="66" t="n">
        <f aca="false">P340</f>
        <v>-96330</v>
      </c>
      <c r="Q257" s="66" t="n">
        <f aca="false">Q340</f>
        <v>-96330</v>
      </c>
      <c r="R257" s="66" t="n">
        <f aca="false">R340</f>
        <v>-96330</v>
      </c>
      <c r="S257" s="66" t="n">
        <f aca="false">S340</f>
        <v>-96330</v>
      </c>
      <c r="T257" s="66" t="n">
        <f aca="false">T340</f>
        <v>-96330</v>
      </c>
      <c r="U257" s="66" t="n">
        <f aca="false">U340</f>
        <v>-96330</v>
      </c>
      <c r="V257" s="66" t="n">
        <f aca="false">V340</f>
        <v>-96330</v>
      </c>
      <c r="W257" s="66" t="n">
        <f aca="false">W340</f>
        <v>-96330</v>
      </c>
      <c r="X257" s="66" t="n">
        <f aca="false">X340</f>
        <v>-96330</v>
      </c>
      <c r="Y257" s="66" t="n">
        <f aca="false">Y340</f>
        <v>-96330</v>
      </c>
      <c r="Z257" s="66" t="n">
        <f aca="false">Z340</f>
        <v>-96330</v>
      </c>
      <c r="AA257" s="66" t="n">
        <f aca="false">AA340</f>
        <v>-150274.8</v>
      </c>
      <c r="AB257" s="66" t="n">
        <f aca="false">AB340</f>
        <v>-150274.8</v>
      </c>
      <c r="AC257" s="66" t="n">
        <f aca="false">AC340</f>
        <v>-150274.8</v>
      </c>
      <c r="AD257" s="66" t="n">
        <f aca="false">AD340</f>
        <v>-150274.8</v>
      </c>
      <c r="AE257" s="66" t="n">
        <f aca="false">AE340</f>
        <v>-150274.8</v>
      </c>
      <c r="AF257" s="66" t="n">
        <f aca="false">AF340</f>
        <v>-150274.8</v>
      </c>
      <c r="AG257" s="66" t="n">
        <f aca="false">AG340</f>
        <v>-150274.8</v>
      </c>
      <c r="AH257" s="66" t="n">
        <f aca="false">AH340</f>
        <v>-150274.8</v>
      </c>
      <c r="AI257" s="66" t="n">
        <f aca="false">AI340</f>
        <v>-150274.8</v>
      </c>
      <c r="AJ257" s="66" t="n">
        <f aca="false">AJ340</f>
        <v>-150274.8</v>
      </c>
      <c r="AK257" s="66" t="n">
        <f aca="false">AK340</f>
        <v>-150274.8</v>
      </c>
      <c r="AL257" s="66" t="n">
        <f aca="false">AL340</f>
        <v>-150274.8</v>
      </c>
    </row>
    <row r="258" customFormat="false" ht="15" hidden="false" customHeight="false" outlineLevel="0" collapsed="false">
      <c r="A258" s="6" t="s">
        <v>317</v>
      </c>
      <c r="C258" s="66" t="n">
        <f aca="false">-Inputs!$D$14*(1+Inputs!$D$15)^(C$233-1)*1</f>
        <v>-8000</v>
      </c>
      <c r="D258" s="66" t="n">
        <f aca="false">-Inputs!$D$14*(1+Inputs!$D$15)^(D$233-1)*1</f>
        <v>-8000</v>
      </c>
      <c r="E258" s="66" t="n">
        <f aca="false">-Inputs!$D$14*(1+Inputs!$D$15)^(E$233-1)*1</f>
        <v>-8000</v>
      </c>
      <c r="F258" s="66" t="n">
        <f aca="false">-Inputs!$D$14*(1+Inputs!$D$15)^(F$233-1)*1</f>
        <v>-8000</v>
      </c>
      <c r="G258" s="66" t="n">
        <f aca="false">-Inputs!$D$14*(1+Inputs!$D$15)^(G$233-1)*1</f>
        <v>-8000</v>
      </c>
      <c r="H258" s="66" t="n">
        <f aca="false">-Inputs!$D$14*(1+Inputs!$D$15)^(H$233-1)*1</f>
        <v>-8000</v>
      </c>
      <c r="I258" s="66" t="n">
        <f aca="false">-Inputs!$D$14*(1+Inputs!$D$15)^(I$233-1)*1</f>
        <v>-8000</v>
      </c>
      <c r="J258" s="66" t="n">
        <f aca="false">-Inputs!$D$14*(1+Inputs!$D$15)^(J$233-1)*1</f>
        <v>-8000</v>
      </c>
      <c r="K258" s="66" t="n">
        <f aca="false">-Inputs!$D$14*(1+Inputs!$D$15)^(K$233-1)*1</f>
        <v>-8000</v>
      </c>
      <c r="L258" s="66" t="n">
        <f aca="false">-Inputs!$D$14*(1+Inputs!$D$15)^(L$233-1)*1</f>
        <v>-8000</v>
      </c>
      <c r="M258" s="66" t="n">
        <f aca="false">-Inputs!$D$14*(1+Inputs!$D$15)^(M$233-1)*1</f>
        <v>-8000</v>
      </c>
      <c r="N258" s="66" t="n">
        <f aca="false">-Inputs!$D$14*(1+Inputs!$D$15)^(N$233-1)*1</f>
        <v>-8000</v>
      </c>
      <c r="O258" s="66" t="n">
        <f aca="false">-Inputs!$D$14*(1+Inputs!$D$15)^(O$233-1)*1</f>
        <v>-9600</v>
      </c>
      <c r="P258" s="66" t="n">
        <f aca="false">-Inputs!$D$14*(1+Inputs!$D$15)^(P$233-1)*1</f>
        <v>-9600</v>
      </c>
      <c r="Q258" s="66" t="n">
        <f aca="false">-Inputs!$D$14*(1+Inputs!$D$15)^(Q$233-1)*1</f>
        <v>-9600</v>
      </c>
      <c r="R258" s="66" t="n">
        <f aca="false">-Inputs!$D$14*(1+Inputs!$D$15)^(R$233-1)*1</f>
        <v>-9600</v>
      </c>
      <c r="S258" s="66" t="n">
        <f aca="false">-Inputs!$D$14*(1+Inputs!$D$15)^(S$233-1)*1</f>
        <v>-9600</v>
      </c>
      <c r="T258" s="66" t="n">
        <f aca="false">-Inputs!$D$14*(1+Inputs!$D$15)^(T$233-1)*1</f>
        <v>-9600</v>
      </c>
      <c r="U258" s="66" t="n">
        <f aca="false">-Inputs!$D$14*(1+Inputs!$D$15)^(U$233-1)*1</f>
        <v>-9600</v>
      </c>
      <c r="V258" s="66" t="n">
        <f aca="false">-Inputs!$D$14*(1+Inputs!$D$15)^(V$233-1)*1</f>
        <v>-9600</v>
      </c>
      <c r="W258" s="66" t="n">
        <f aca="false">-Inputs!$D$14*(1+Inputs!$D$15)^(W$233-1)*1</f>
        <v>-9600</v>
      </c>
      <c r="X258" s="66" t="n">
        <f aca="false">-Inputs!$D$14*(1+Inputs!$D$15)^(X$233-1)*1</f>
        <v>-9600</v>
      </c>
      <c r="Y258" s="66" t="n">
        <f aca="false">-Inputs!$D$14*(1+Inputs!$D$15)^(Y$233-1)*1</f>
        <v>-9600</v>
      </c>
      <c r="Z258" s="66" t="n">
        <f aca="false">-Inputs!$D$14*(1+Inputs!$D$15)^(Z$233-1)*1</f>
        <v>-9600</v>
      </c>
      <c r="AA258" s="66" t="n">
        <f aca="false">-Inputs!$D$14*(1+Inputs!$D$15)^(AA$233-1)*1</f>
        <v>-11520</v>
      </c>
      <c r="AB258" s="66" t="n">
        <f aca="false">-Inputs!$D$14*(1+Inputs!$D$15)^(AB$233-1)*1</f>
        <v>-11520</v>
      </c>
      <c r="AC258" s="66" t="n">
        <f aca="false">-Inputs!$D$14*(1+Inputs!$D$15)^(AC$233-1)*1</f>
        <v>-11520</v>
      </c>
      <c r="AD258" s="66" t="n">
        <f aca="false">-Inputs!$D$14*(1+Inputs!$D$15)^(AD$233-1)*1</f>
        <v>-11520</v>
      </c>
      <c r="AE258" s="66" t="n">
        <f aca="false">-Inputs!$D$14*(1+Inputs!$D$15)^(AE$233-1)*1</f>
        <v>-11520</v>
      </c>
      <c r="AF258" s="66" t="n">
        <f aca="false">-Inputs!$D$14*(1+Inputs!$D$15)^(AF$233-1)*1</f>
        <v>-11520</v>
      </c>
      <c r="AG258" s="66" t="n">
        <f aca="false">-Inputs!$D$14*(1+Inputs!$D$15)^(AG$233-1)*1</f>
        <v>-11520</v>
      </c>
      <c r="AH258" s="66" t="n">
        <f aca="false">-Inputs!$D$14*(1+Inputs!$D$15)^(AH$233-1)*1</f>
        <v>-11520</v>
      </c>
      <c r="AI258" s="66" t="n">
        <f aca="false">-Inputs!$D$14*(1+Inputs!$D$15)^(AI$233-1)*1</f>
        <v>-11520</v>
      </c>
      <c r="AJ258" s="66" t="n">
        <f aca="false">-Inputs!$D$14*(1+Inputs!$D$15)^(AJ$233-1)*1</f>
        <v>-11520</v>
      </c>
      <c r="AK258" s="66" t="n">
        <f aca="false">-Inputs!$D$14*(1+Inputs!$D$15)^(AK$233-1)*1</f>
        <v>-11520</v>
      </c>
      <c r="AL258" s="66" t="n">
        <f aca="false">-Inputs!$D$14*(1+Inputs!$D$15)^(AL$233-1)*1</f>
        <v>-11520</v>
      </c>
    </row>
    <row r="259" customFormat="false" ht="15" hidden="false" customHeight="false" outlineLevel="0" collapsed="false">
      <c r="A259" s="6" t="s">
        <v>318</v>
      </c>
      <c r="C259" s="66" t="n">
        <f aca="false">-C333*Inputs!$D$20*1</f>
        <v>-900</v>
      </c>
      <c r="D259" s="66" t="n">
        <f aca="false">-D333*Inputs!$D$20*1</f>
        <v>-900</v>
      </c>
      <c r="E259" s="66" t="n">
        <f aca="false">-E333*Inputs!$D$20*1</f>
        <v>-900</v>
      </c>
      <c r="F259" s="66" t="n">
        <f aca="false">-F333*Inputs!$D$20*1</f>
        <v>-900</v>
      </c>
      <c r="G259" s="66" t="n">
        <f aca="false">-G333*Inputs!$D$20*1</f>
        <v>-900</v>
      </c>
      <c r="H259" s="66" t="n">
        <f aca="false">-H333*Inputs!$D$20*1</f>
        <v>-900</v>
      </c>
      <c r="I259" s="66" t="n">
        <f aca="false">-I333*Inputs!$D$20*1</f>
        <v>-900</v>
      </c>
      <c r="J259" s="66" t="n">
        <f aca="false">-J333*Inputs!$D$20*1</f>
        <v>-900</v>
      </c>
      <c r="K259" s="66" t="n">
        <f aca="false">-K333*Inputs!$D$20*1</f>
        <v>-900</v>
      </c>
      <c r="L259" s="66" t="n">
        <f aca="false">-L333*Inputs!$D$20*1</f>
        <v>-900</v>
      </c>
      <c r="M259" s="66" t="n">
        <f aca="false">-M333*Inputs!$D$20*1</f>
        <v>-900</v>
      </c>
      <c r="N259" s="66" t="n">
        <f aca="false">-N333*Inputs!$D$20*1</f>
        <v>-900</v>
      </c>
      <c r="O259" s="66" t="n">
        <f aca="false">-O333*Inputs!$D$20*1</f>
        <v>-1350</v>
      </c>
      <c r="P259" s="66" t="n">
        <f aca="false">-P333*Inputs!$D$20*1</f>
        <v>-1350</v>
      </c>
      <c r="Q259" s="66" t="n">
        <f aca="false">-Q333*Inputs!$D$20*1</f>
        <v>-1350</v>
      </c>
      <c r="R259" s="66" t="n">
        <f aca="false">-R333*Inputs!$D$20*1</f>
        <v>-1350</v>
      </c>
      <c r="S259" s="66" t="n">
        <f aca="false">-S333*Inputs!$D$20*1</f>
        <v>-1350</v>
      </c>
      <c r="T259" s="66" t="n">
        <f aca="false">-T333*Inputs!$D$20*1</f>
        <v>-1350</v>
      </c>
      <c r="U259" s="66" t="n">
        <f aca="false">-U333*Inputs!$D$20*1</f>
        <v>-1350</v>
      </c>
      <c r="V259" s="66" t="n">
        <f aca="false">-V333*Inputs!$D$20*1</f>
        <v>-1350</v>
      </c>
      <c r="W259" s="66" t="n">
        <f aca="false">-W333*Inputs!$D$20*1</f>
        <v>-1350</v>
      </c>
      <c r="X259" s="66" t="n">
        <f aca="false">-X333*Inputs!$D$20*1</f>
        <v>-1350</v>
      </c>
      <c r="Y259" s="66" t="n">
        <f aca="false">-Y333*Inputs!$D$20*1</f>
        <v>-1350</v>
      </c>
      <c r="Z259" s="66" t="n">
        <f aca="false">-Z333*Inputs!$D$20*1</f>
        <v>-1350</v>
      </c>
      <c r="AA259" s="66" t="n">
        <f aca="false">-AA333*Inputs!$D$20*1</f>
        <v>-2025</v>
      </c>
      <c r="AB259" s="66" t="n">
        <f aca="false">-AB333*Inputs!$D$20*1</f>
        <v>-2025</v>
      </c>
      <c r="AC259" s="66" t="n">
        <f aca="false">-AC333*Inputs!$D$20*1</f>
        <v>-2025</v>
      </c>
      <c r="AD259" s="66" t="n">
        <f aca="false">-AD333*Inputs!$D$20*1</f>
        <v>-2025</v>
      </c>
      <c r="AE259" s="66" t="n">
        <f aca="false">-AE333*Inputs!$D$20*1</f>
        <v>-2025</v>
      </c>
      <c r="AF259" s="66" t="n">
        <f aca="false">-AF333*Inputs!$D$20*1</f>
        <v>-2025</v>
      </c>
      <c r="AG259" s="66" t="n">
        <f aca="false">-AG333*Inputs!$D$20*1</f>
        <v>-2025</v>
      </c>
      <c r="AH259" s="66" t="n">
        <f aca="false">-AH333*Inputs!$D$20*1</f>
        <v>-2025</v>
      </c>
      <c r="AI259" s="66" t="n">
        <f aca="false">-AI333*Inputs!$D$20*1</f>
        <v>-2025</v>
      </c>
      <c r="AJ259" s="66" t="n">
        <f aca="false">-AJ333*Inputs!$D$20*1</f>
        <v>-2025</v>
      </c>
      <c r="AK259" s="66" t="n">
        <f aca="false">-AK333*Inputs!$D$20*1</f>
        <v>-2025</v>
      </c>
      <c r="AL259" s="66" t="n">
        <f aca="false">-AL333*Inputs!$D$20*1</f>
        <v>-2025</v>
      </c>
    </row>
    <row r="260" customFormat="false" ht="15" hidden="false" customHeight="false" outlineLevel="0" collapsed="false">
      <c r="A260" s="6" t="s">
        <v>319</v>
      </c>
      <c r="C260" s="66" t="n">
        <f aca="false">-Inputs!$D$21*1</f>
        <v>-1500</v>
      </c>
      <c r="D260" s="66" t="n">
        <f aca="false">-Inputs!$D$21*1</f>
        <v>-1500</v>
      </c>
      <c r="E260" s="66" t="n">
        <f aca="false">-Inputs!$D$21*1</f>
        <v>-1500</v>
      </c>
      <c r="F260" s="66" t="n">
        <f aca="false">-Inputs!$D$21*1</f>
        <v>-1500</v>
      </c>
      <c r="G260" s="66" t="n">
        <f aca="false">-Inputs!$D$21*1</f>
        <v>-1500</v>
      </c>
      <c r="H260" s="66" t="n">
        <f aca="false">-Inputs!$D$21*1</f>
        <v>-1500</v>
      </c>
      <c r="I260" s="66" t="n">
        <f aca="false">-Inputs!$D$21*1</f>
        <v>-1500</v>
      </c>
      <c r="J260" s="66" t="n">
        <f aca="false">-Inputs!$D$21*1</f>
        <v>-1500</v>
      </c>
      <c r="K260" s="66" t="n">
        <f aca="false">-Inputs!$D$21*1</f>
        <v>-1500</v>
      </c>
      <c r="L260" s="66" t="n">
        <f aca="false">-Inputs!$D$21*1</f>
        <v>-1500</v>
      </c>
      <c r="M260" s="66" t="n">
        <f aca="false">-Inputs!$D$21*1</f>
        <v>-1500</v>
      </c>
      <c r="N260" s="66" t="n">
        <f aca="false">-Inputs!$D$21*1</f>
        <v>-1500</v>
      </c>
      <c r="O260" s="66" t="n">
        <f aca="false">-Inputs!$D$21*1</f>
        <v>-1500</v>
      </c>
      <c r="P260" s="66" t="n">
        <f aca="false">-Inputs!$D$21*1</f>
        <v>-1500</v>
      </c>
      <c r="Q260" s="66" t="n">
        <f aca="false">-Inputs!$D$21*1</f>
        <v>-1500</v>
      </c>
      <c r="R260" s="66" t="n">
        <f aca="false">-Inputs!$D$21*1</f>
        <v>-1500</v>
      </c>
      <c r="S260" s="66" t="n">
        <f aca="false">-Inputs!$D$21*1</f>
        <v>-1500</v>
      </c>
      <c r="T260" s="66" t="n">
        <f aca="false">-Inputs!$D$21*1</f>
        <v>-1500</v>
      </c>
      <c r="U260" s="66" t="n">
        <f aca="false">-Inputs!$D$21*1</f>
        <v>-1500</v>
      </c>
      <c r="V260" s="66" t="n">
        <f aca="false">-Inputs!$D$21*1</f>
        <v>-1500</v>
      </c>
      <c r="W260" s="66" t="n">
        <f aca="false">-Inputs!$D$21*1</f>
        <v>-1500</v>
      </c>
      <c r="X260" s="66" t="n">
        <f aca="false">-Inputs!$D$21*1</f>
        <v>-1500</v>
      </c>
      <c r="Y260" s="66" t="n">
        <f aca="false">-Inputs!$D$21*1</f>
        <v>-1500</v>
      </c>
      <c r="Z260" s="66" t="n">
        <f aca="false">-Inputs!$D$21*1</f>
        <v>-1500</v>
      </c>
      <c r="AA260" s="66" t="n">
        <f aca="false">-Inputs!$D$21*1</f>
        <v>-1500</v>
      </c>
      <c r="AB260" s="66" t="n">
        <f aca="false">-Inputs!$D$21*1</f>
        <v>-1500</v>
      </c>
      <c r="AC260" s="66" t="n">
        <f aca="false">-Inputs!$D$21*1</f>
        <v>-1500</v>
      </c>
      <c r="AD260" s="66" t="n">
        <f aca="false">-Inputs!$D$21*1</f>
        <v>-1500</v>
      </c>
      <c r="AE260" s="66" t="n">
        <f aca="false">-Inputs!$D$21*1</f>
        <v>-1500</v>
      </c>
      <c r="AF260" s="66" t="n">
        <f aca="false">-Inputs!$D$21*1</f>
        <v>-1500</v>
      </c>
      <c r="AG260" s="66" t="n">
        <f aca="false">-Inputs!$D$21*1</f>
        <v>-1500</v>
      </c>
      <c r="AH260" s="66" t="n">
        <f aca="false">-Inputs!$D$21*1</f>
        <v>-1500</v>
      </c>
      <c r="AI260" s="66" t="n">
        <f aca="false">-Inputs!$D$21*1</f>
        <v>-1500</v>
      </c>
      <c r="AJ260" s="66" t="n">
        <f aca="false">-Inputs!$D$21*1</f>
        <v>-1500</v>
      </c>
      <c r="AK260" s="66" t="n">
        <f aca="false">-Inputs!$D$21*1</f>
        <v>-1500</v>
      </c>
      <c r="AL260" s="66" t="n">
        <f aca="false">-Inputs!$D$21*1</f>
        <v>-1500</v>
      </c>
    </row>
    <row r="261" customFormat="false" ht="15" hidden="false" customHeight="false" outlineLevel="0" collapsed="false">
      <c r="A261" s="6" t="s">
        <v>320</v>
      </c>
      <c r="C261" s="66" t="n">
        <f aca="false">-Inputs!$D$22*1</f>
        <v>-3000</v>
      </c>
      <c r="D261" s="66" t="n">
        <f aca="false">-Inputs!$D$22*1</f>
        <v>-3000</v>
      </c>
      <c r="E261" s="66" t="n">
        <f aca="false">-Inputs!$D$22*1</f>
        <v>-3000</v>
      </c>
      <c r="F261" s="66" t="n">
        <f aca="false">-Inputs!$D$22*1</f>
        <v>-3000</v>
      </c>
      <c r="G261" s="66" t="n">
        <f aca="false">-Inputs!$D$22*1</f>
        <v>-3000</v>
      </c>
      <c r="H261" s="66" t="n">
        <f aca="false">-Inputs!$D$22*1</f>
        <v>-3000</v>
      </c>
      <c r="I261" s="66" t="n">
        <f aca="false">-Inputs!$D$22*1</f>
        <v>-3000</v>
      </c>
      <c r="J261" s="66" t="n">
        <f aca="false">-Inputs!$D$22*1</f>
        <v>-3000</v>
      </c>
      <c r="K261" s="66" t="n">
        <f aca="false">-Inputs!$D$22*1</f>
        <v>-3000</v>
      </c>
      <c r="L261" s="66" t="n">
        <f aca="false">-Inputs!$D$22*1</f>
        <v>-3000</v>
      </c>
      <c r="M261" s="66" t="n">
        <f aca="false">-Inputs!$D$22*1</f>
        <v>-3000</v>
      </c>
      <c r="N261" s="66" t="n">
        <f aca="false">-Inputs!$D$22*1</f>
        <v>-3000</v>
      </c>
      <c r="O261" s="66" t="n">
        <f aca="false">-Inputs!$D$22*1</f>
        <v>-3000</v>
      </c>
      <c r="P261" s="66" t="n">
        <f aca="false">-Inputs!$D$22*1</f>
        <v>-3000</v>
      </c>
      <c r="Q261" s="66" t="n">
        <f aca="false">-Inputs!$D$22*1</f>
        <v>-3000</v>
      </c>
      <c r="R261" s="66" t="n">
        <f aca="false">-Inputs!$D$22*1</f>
        <v>-3000</v>
      </c>
      <c r="S261" s="66" t="n">
        <f aca="false">-Inputs!$D$22*1</f>
        <v>-3000</v>
      </c>
      <c r="T261" s="66" t="n">
        <f aca="false">-Inputs!$D$22*1</f>
        <v>-3000</v>
      </c>
      <c r="U261" s="66" t="n">
        <f aca="false">-Inputs!$D$22*1</f>
        <v>-3000</v>
      </c>
      <c r="V261" s="66" t="n">
        <f aca="false">-Inputs!$D$22*1</f>
        <v>-3000</v>
      </c>
      <c r="W261" s="66" t="n">
        <f aca="false">-Inputs!$D$22*1</f>
        <v>-3000</v>
      </c>
      <c r="X261" s="66" t="n">
        <f aca="false">-Inputs!$D$22*1</f>
        <v>-3000</v>
      </c>
      <c r="Y261" s="66" t="n">
        <f aca="false">-Inputs!$D$22*1</f>
        <v>-3000</v>
      </c>
      <c r="Z261" s="66" t="n">
        <f aca="false">-Inputs!$D$22*1</f>
        <v>-3000</v>
      </c>
      <c r="AA261" s="66" t="n">
        <f aca="false">-Inputs!$D$22*1</f>
        <v>-3000</v>
      </c>
      <c r="AB261" s="66" t="n">
        <f aca="false">-Inputs!$D$22*1</f>
        <v>-3000</v>
      </c>
      <c r="AC261" s="66" t="n">
        <f aca="false">-Inputs!$D$22*1</f>
        <v>-3000</v>
      </c>
      <c r="AD261" s="66" t="n">
        <f aca="false">-Inputs!$D$22*1</f>
        <v>-3000</v>
      </c>
      <c r="AE261" s="66" t="n">
        <f aca="false">-Inputs!$D$22*1</f>
        <v>-3000</v>
      </c>
      <c r="AF261" s="66" t="n">
        <f aca="false">-Inputs!$D$22*1</f>
        <v>-3000</v>
      </c>
      <c r="AG261" s="66" t="n">
        <f aca="false">-Inputs!$D$22*1</f>
        <v>-3000</v>
      </c>
      <c r="AH261" s="66" t="n">
        <f aca="false">-Inputs!$D$22*1</f>
        <v>-3000</v>
      </c>
      <c r="AI261" s="66" t="n">
        <f aca="false">-Inputs!$D$22*1</f>
        <v>-3000</v>
      </c>
      <c r="AJ261" s="66" t="n">
        <f aca="false">-Inputs!$D$22*1</f>
        <v>-3000</v>
      </c>
      <c r="AK261" s="66" t="n">
        <f aca="false">-Inputs!$D$22*1</f>
        <v>-3000</v>
      </c>
      <c r="AL261" s="66" t="n">
        <f aca="false">-Inputs!$D$22*1</f>
        <v>-3000</v>
      </c>
    </row>
    <row r="262" customFormat="false" ht="15" hidden="false" customHeight="false" outlineLevel="0" collapsed="false">
      <c r="A262" s="111" t="s">
        <v>76</v>
      </c>
      <c r="C262" s="67" t="n">
        <f aca="false">C257+C258+C259+C260+C261</f>
        <v>-75150</v>
      </c>
      <c r="D262" s="67" t="n">
        <f aca="false">D257+D258+D259+D260+D261</f>
        <v>-75150</v>
      </c>
      <c r="E262" s="67" t="n">
        <f aca="false">E257+E258+E259+E260+E261</f>
        <v>-75150</v>
      </c>
      <c r="F262" s="67" t="n">
        <f aca="false">F257+F258+F259+F260+F261</f>
        <v>-75150</v>
      </c>
      <c r="G262" s="67" t="n">
        <f aca="false">G257+G258+G259+G260+G261</f>
        <v>-75150</v>
      </c>
      <c r="H262" s="67" t="n">
        <f aca="false">H257+H258+H259+H260+H261</f>
        <v>-75150</v>
      </c>
      <c r="I262" s="67" t="n">
        <f aca="false">I257+I258+I259+I260+I261</f>
        <v>-75150</v>
      </c>
      <c r="J262" s="67" t="n">
        <f aca="false">J257+J258+J259+J260+J261</f>
        <v>-75150</v>
      </c>
      <c r="K262" s="67" t="n">
        <f aca="false">K257+K258+K259+K260+K261</f>
        <v>-75150</v>
      </c>
      <c r="L262" s="67" t="n">
        <f aca="false">L257+L258+L259+L260+L261</f>
        <v>-75150</v>
      </c>
      <c r="M262" s="67" t="n">
        <f aca="false">M257+M258+M259+M260+M261</f>
        <v>-75150</v>
      </c>
      <c r="N262" s="67" t="n">
        <f aca="false">N257+N258+N259+N260+N261</f>
        <v>-75150</v>
      </c>
      <c r="O262" s="67" t="n">
        <f aca="false">O257+O258+O259+O260+O261</f>
        <v>-111780</v>
      </c>
      <c r="P262" s="67" t="n">
        <f aca="false">P257+P258+P259+P260+P261</f>
        <v>-111780</v>
      </c>
      <c r="Q262" s="67" t="n">
        <f aca="false">Q257+Q258+Q259+Q260+Q261</f>
        <v>-111780</v>
      </c>
      <c r="R262" s="67" t="n">
        <f aca="false">R257+R258+R259+R260+R261</f>
        <v>-111780</v>
      </c>
      <c r="S262" s="67" t="n">
        <f aca="false">S257+S258+S259+S260+S261</f>
        <v>-111780</v>
      </c>
      <c r="T262" s="67" t="n">
        <f aca="false">T257+T258+T259+T260+T261</f>
        <v>-111780</v>
      </c>
      <c r="U262" s="67" t="n">
        <f aca="false">U257+U258+U259+U260+U261</f>
        <v>-111780</v>
      </c>
      <c r="V262" s="67" t="n">
        <f aca="false">V257+V258+V259+V260+V261</f>
        <v>-111780</v>
      </c>
      <c r="W262" s="67" t="n">
        <f aca="false">W257+W258+W259+W260+W261</f>
        <v>-111780</v>
      </c>
      <c r="X262" s="67" t="n">
        <f aca="false">X257+X258+X259+X260+X261</f>
        <v>-111780</v>
      </c>
      <c r="Y262" s="67" t="n">
        <f aca="false">Y257+Y258+Y259+Y260+Y261</f>
        <v>-111780</v>
      </c>
      <c r="Z262" s="67" t="n">
        <f aca="false">Z257+Z258+Z259+Z260+Z261</f>
        <v>-111780</v>
      </c>
      <c r="AA262" s="67" t="n">
        <f aca="false">AA257+AA258+AA259+AA260+AA261</f>
        <v>-168319.8</v>
      </c>
      <c r="AB262" s="67" t="n">
        <f aca="false">AB257+AB258+AB259+AB260+AB261</f>
        <v>-168319.8</v>
      </c>
      <c r="AC262" s="67" t="n">
        <f aca="false">AC257+AC258+AC259+AC260+AC261</f>
        <v>-168319.8</v>
      </c>
      <c r="AD262" s="67" t="n">
        <f aca="false">AD257+AD258+AD259+AD260+AD261</f>
        <v>-168319.8</v>
      </c>
      <c r="AE262" s="67" t="n">
        <f aca="false">AE257+AE258+AE259+AE260+AE261</f>
        <v>-168319.8</v>
      </c>
      <c r="AF262" s="67" t="n">
        <f aca="false">AF257+AF258+AF259+AF260+AF261</f>
        <v>-168319.8</v>
      </c>
      <c r="AG262" s="67" t="n">
        <f aca="false">AG257+AG258+AG259+AG260+AG261</f>
        <v>-168319.8</v>
      </c>
      <c r="AH262" s="67" t="n">
        <f aca="false">AH257+AH258+AH259+AH260+AH261</f>
        <v>-168319.8</v>
      </c>
      <c r="AI262" s="67" t="n">
        <f aca="false">AI257+AI258+AI259+AI260+AI261</f>
        <v>-168319.8</v>
      </c>
      <c r="AJ262" s="67" t="n">
        <f aca="false">AJ257+AJ258+AJ259+AJ260+AJ261</f>
        <v>-168319.8</v>
      </c>
      <c r="AK262" s="67" t="n">
        <f aca="false">AK257+AK258+AK259+AK260+AK261</f>
        <v>-168319.8</v>
      </c>
      <c r="AL262" s="67" t="n">
        <f aca="false">AL257+AL258+AL259+AL260+AL261</f>
        <v>-168319.8</v>
      </c>
    </row>
    <row r="263" customFormat="false" ht="15" hidden="false" customHeight="false" outlineLevel="0" collapsed="false">
      <c r="A263" s="111" t="s">
        <v>48</v>
      </c>
      <c r="C263" s="67" t="n">
        <f aca="false">C254+C262</f>
        <v>-69720.6948571429</v>
      </c>
      <c r="D263" s="67" t="n">
        <f aca="false">D254+D262</f>
        <v>-65362.4816942857</v>
      </c>
      <c r="E263" s="67" t="n">
        <f aca="false">E254+E262</f>
        <v>-61047.2528444857</v>
      </c>
      <c r="F263" s="67" t="n">
        <f aca="false">F254+F262</f>
        <v>-56774.5904209837</v>
      </c>
      <c r="G263" s="67" t="n">
        <f aca="false">G254+G262</f>
        <v>-52544.0804767607</v>
      </c>
      <c r="H263" s="67" t="n">
        <f aca="false">H254+H262</f>
        <v>-48355.3129699231</v>
      </c>
      <c r="I263" s="67" t="n">
        <f aca="false">I254+I262</f>
        <v>-44207.8817293381</v>
      </c>
      <c r="J263" s="67" t="n">
        <f aca="false">J254+J262</f>
        <v>-40101.3844205195</v>
      </c>
      <c r="K263" s="67" t="n">
        <f aca="false">K254+K262</f>
        <v>-36035.4225117625</v>
      </c>
      <c r="L263" s="67" t="n">
        <f aca="false">L254+L262</f>
        <v>-32009.6012405269</v>
      </c>
      <c r="M263" s="67" t="n">
        <f aca="false">M254+M262</f>
        <v>-28023.529580069</v>
      </c>
      <c r="N263" s="67" t="n">
        <f aca="false">N254+N262</f>
        <v>-24076.8202063194</v>
      </c>
      <c r="O263" s="67" t="n">
        <f aca="false">O254+O262</f>
        <v>-55917.3970364379</v>
      </c>
      <c r="P263" s="67" t="n">
        <f aca="false">P254+P262</f>
        <v>-50293.5951918972</v>
      </c>
      <c r="Q263" s="67" t="n">
        <f aca="false">Q254+Q262</f>
        <v>-44725.3607118568</v>
      </c>
      <c r="R263" s="67" t="n">
        <f aca="false">R254+R262</f>
        <v>-39212.1513357507</v>
      </c>
      <c r="S263" s="67" t="n">
        <f aca="false">S254+S262</f>
        <v>-33753.4299573569</v>
      </c>
      <c r="T263" s="67" t="n">
        <f aca="false">T254+T262</f>
        <v>-28348.6645786191</v>
      </c>
      <c r="U263" s="67" t="n">
        <f aca="false">U254+U262</f>
        <v>-22997.3282638234</v>
      </c>
      <c r="V263" s="67" t="n">
        <f aca="false">V254+V262</f>
        <v>-17698.8990941273</v>
      </c>
      <c r="W263" s="67" t="n">
        <f aca="false">W254+W262</f>
        <v>-12452.8601224408</v>
      </c>
      <c r="X263" s="67" t="n">
        <f aca="false">X254+X262</f>
        <v>-7258.69932865744</v>
      </c>
      <c r="Y263" s="67" t="n">
        <f aca="false">Y254+Y262</f>
        <v>-2115.90957523455</v>
      </c>
      <c r="Z263" s="67" t="n">
        <f aca="false">Z254+Z262</f>
        <v>2976.01143687998</v>
      </c>
      <c r="AA263" s="67" t="n">
        <f aca="false">AA254+AA262</f>
        <v>-47234.2545287396</v>
      </c>
      <c r="AB263" s="67" t="n">
        <f aca="false">AB254+AB262</f>
        <v>-39679.3521689209</v>
      </c>
      <c r="AC263" s="67" t="n">
        <f aca="false">AC254+AC262</f>
        <v>-32199.1906214767</v>
      </c>
      <c r="AD263" s="67" t="n">
        <f aca="false">AD254+AD262</f>
        <v>-24793.0386425077</v>
      </c>
      <c r="AE263" s="67" t="n">
        <f aca="false">AE254+AE262</f>
        <v>-17460.1719772692</v>
      </c>
      <c r="AF263" s="67" t="n">
        <f aca="false">AF254+AF262</f>
        <v>-10199.8732967451</v>
      </c>
      <c r="AG263" s="67" t="n">
        <f aca="false">AG254+AG262</f>
        <v>-3011.43213472696</v>
      </c>
      <c r="AH263" s="67" t="n">
        <f aca="false">AH254+AH262</f>
        <v>4105.85517460425</v>
      </c>
      <c r="AI263" s="67" t="n">
        <f aca="false">AI254+AI262</f>
        <v>11152.6855585968</v>
      </c>
      <c r="AJ263" s="67" t="n">
        <f aca="false">AJ254+AJ262</f>
        <v>18129.7492675489</v>
      </c>
      <c r="AK263" s="67" t="n">
        <f aca="false">AK254+AK262</f>
        <v>25037.729935635</v>
      </c>
      <c r="AL263" s="67" t="n">
        <f aca="false">AL254+AL262</f>
        <v>31877.3046413393</v>
      </c>
    </row>
    <row r="265" customFormat="false" ht="15.75" hidden="false" customHeight="true" outlineLevel="0" collapsed="false">
      <c r="A265" s="7" t="s">
        <v>384</v>
      </c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</row>
    <row r="266" customFormat="false" ht="15" hidden="false" customHeight="false" outlineLevel="0" collapsed="false">
      <c r="A266" s="4" t="s">
        <v>78</v>
      </c>
      <c r="C266" s="72" t="n">
        <f aca="false">C263+C277</f>
        <v>-70276.2504126984</v>
      </c>
      <c r="D266" s="72" t="n">
        <f aca="false">D263+D277</f>
        <v>-65918.0372498413</v>
      </c>
      <c r="E266" s="72" t="n">
        <f aca="false">E263+E277</f>
        <v>-61602.8084000413</v>
      </c>
      <c r="F266" s="72" t="n">
        <f aca="false">F263+F277</f>
        <v>-57330.1459765393</v>
      </c>
      <c r="G266" s="72" t="n">
        <f aca="false">G263+G277</f>
        <v>-53099.6360323163</v>
      </c>
      <c r="H266" s="72" t="n">
        <f aca="false">H263+H277</f>
        <v>-48910.8685254787</v>
      </c>
      <c r="I266" s="72" t="n">
        <f aca="false">I263+I277</f>
        <v>-44763.4372848937</v>
      </c>
      <c r="J266" s="72" t="n">
        <f aca="false">J263+J277</f>
        <v>-40656.9399760751</v>
      </c>
      <c r="K266" s="72" t="n">
        <f aca="false">K263+K277</f>
        <v>-36590.9780673181</v>
      </c>
      <c r="L266" s="72" t="n">
        <f aca="false">L263+L277</f>
        <v>-32565.1567960825</v>
      </c>
      <c r="M266" s="72" t="n">
        <f aca="false">M263+M277</f>
        <v>-28579.0851356245</v>
      </c>
      <c r="N266" s="72" t="n">
        <f aca="false">N263+N277</f>
        <v>-24632.375761875</v>
      </c>
      <c r="O266" s="72" t="n">
        <f aca="false">O263+O277</f>
        <v>-56472.9525919934</v>
      </c>
      <c r="P266" s="72" t="n">
        <f aca="false">P263+P277</f>
        <v>-50849.1507474527</v>
      </c>
      <c r="Q266" s="72" t="n">
        <f aca="false">Q263+Q277</f>
        <v>-45280.9162674124</v>
      </c>
      <c r="R266" s="72" t="n">
        <f aca="false">R263+R277</f>
        <v>-39767.7068913063</v>
      </c>
      <c r="S266" s="72" t="n">
        <f aca="false">S263+S277</f>
        <v>-34308.9855129124</v>
      </c>
      <c r="T266" s="72" t="n">
        <f aca="false">T263+T277</f>
        <v>-28904.2201341747</v>
      </c>
      <c r="U266" s="72" t="n">
        <f aca="false">U263+U277</f>
        <v>-23552.883819379</v>
      </c>
      <c r="V266" s="72" t="n">
        <f aca="false">V263+V277</f>
        <v>-18254.4546496829</v>
      </c>
      <c r="W266" s="72" t="n">
        <f aca="false">W263+W277</f>
        <v>-13008.4156779963</v>
      </c>
      <c r="X266" s="72" t="n">
        <f aca="false">X263+X277</f>
        <v>-7814.254884213</v>
      </c>
      <c r="Y266" s="72" t="n">
        <f aca="false">Y263+Y277</f>
        <v>-2671.4651307901</v>
      </c>
      <c r="Z266" s="72" t="n">
        <f aca="false">Z263+Z277</f>
        <v>2420.45588132443</v>
      </c>
      <c r="AA266" s="72" t="n">
        <f aca="false">AA263+AA277</f>
        <v>-47789.8100842952</v>
      </c>
      <c r="AB266" s="72" t="n">
        <f aca="false">AB263+AB277</f>
        <v>-40234.9077244764</v>
      </c>
      <c r="AC266" s="72" t="n">
        <f aca="false">AC263+AC277</f>
        <v>-32754.7461770322</v>
      </c>
      <c r="AD266" s="72" t="n">
        <f aca="false">AD263+AD277</f>
        <v>-25348.5941980632</v>
      </c>
      <c r="AE266" s="72" t="n">
        <f aca="false">AE263+AE277</f>
        <v>-18015.7275328248</v>
      </c>
      <c r="AF266" s="72" t="n">
        <f aca="false">AF263+AF277</f>
        <v>-10755.4288523006</v>
      </c>
      <c r="AG266" s="72" t="n">
        <f aca="false">AG263+AG277</f>
        <v>-3566.98769028251</v>
      </c>
      <c r="AH266" s="72" t="n">
        <f aca="false">AH263+AH277</f>
        <v>3550.29961904869</v>
      </c>
      <c r="AI266" s="72" t="n">
        <f aca="false">AI263+AI277</f>
        <v>10597.1300030412</v>
      </c>
      <c r="AJ266" s="72" t="n">
        <f aca="false">AJ263+AJ277</f>
        <v>17574.1937119933</v>
      </c>
      <c r="AK266" s="72" t="n">
        <f aca="false">AK263+AK277</f>
        <v>24482.1743800794</v>
      </c>
      <c r="AL266" s="72" t="n">
        <f aca="false">AL263+AL277</f>
        <v>31321.7490857838</v>
      </c>
    </row>
    <row r="267" customFormat="false" ht="15" hidden="false" customHeight="false" outlineLevel="0" collapsed="false">
      <c r="A267" s="6" t="s">
        <v>385</v>
      </c>
      <c r="C267" s="66" t="n">
        <f aca="false">-(C282+C283+C285)/2*Inputs!$D$48/12</f>
        <v>-0</v>
      </c>
      <c r="D267" s="66" t="n">
        <f aca="false">-(D282+D283+D285)/2*Inputs!$D$48/12</f>
        <v>-0</v>
      </c>
      <c r="E267" s="66" t="n">
        <f aca="false">-(E282+E283+E285)/2*Inputs!$D$48/12</f>
        <v>-0</v>
      </c>
      <c r="F267" s="66" t="n">
        <f aca="false">-(F282+F283+F285)/2*Inputs!$D$48/12</f>
        <v>-0</v>
      </c>
      <c r="G267" s="66" t="n">
        <f aca="false">-(G282+G283+G285)/2*Inputs!$D$48/12</f>
        <v>-0</v>
      </c>
      <c r="H267" s="66" t="n">
        <f aca="false">-(H282+H283+H285)/2*Inputs!$D$48/12</f>
        <v>-0</v>
      </c>
      <c r="I267" s="66" t="n">
        <f aca="false">-(I282+I283+I285)/2*Inputs!$D$48/12</f>
        <v>-0</v>
      </c>
      <c r="J267" s="66" t="n">
        <f aca="false">-(J282+J283+J285)/2*Inputs!$D$48/12</f>
        <v>-0</v>
      </c>
      <c r="K267" s="66" t="n">
        <f aca="false">-(K282+K283+K285)/2*Inputs!$D$48/12</f>
        <v>-0</v>
      </c>
      <c r="L267" s="66" t="n">
        <f aca="false">-(L282+L283+L285)/2*Inputs!$D$48/12</f>
        <v>-0</v>
      </c>
      <c r="M267" s="66" t="n">
        <f aca="false">-(M282+M283+M285)/2*Inputs!$D$48/12</f>
        <v>-0</v>
      </c>
      <c r="N267" s="66" t="n">
        <f aca="false">-(N282+N283+N285)/2*Inputs!$D$48/12</f>
        <v>-0</v>
      </c>
      <c r="O267" s="66" t="n">
        <f aca="false">-(O282+O283+O285)/2*Inputs!$D$48/12</f>
        <v>-0</v>
      </c>
      <c r="P267" s="66" t="n">
        <f aca="false">-(P282+P283+P285)/2*Inputs!$D$48/12</f>
        <v>-0</v>
      </c>
      <c r="Q267" s="66" t="n">
        <f aca="false">-(Q282+Q283+Q285)/2*Inputs!$D$48/12</f>
        <v>-0</v>
      </c>
      <c r="R267" s="66" t="n">
        <f aca="false">-(R282+R283+R285)/2*Inputs!$D$48/12</f>
        <v>-0</v>
      </c>
      <c r="S267" s="66" t="n">
        <f aca="false">-(S282+S283+S285)/2*Inputs!$D$48/12</f>
        <v>-0</v>
      </c>
      <c r="T267" s="66" t="n">
        <f aca="false">-(T282+T283+T285)/2*Inputs!$D$48/12</f>
        <v>-0</v>
      </c>
      <c r="U267" s="66" t="n">
        <f aca="false">-(U282+U283+U285)/2*Inputs!$D$48/12</f>
        <v>-0</v>
      </c>
      <c r="V267" s="66" t="n">
        <f aca="false">-(V282+V283+V285)/2*Inputs!$D$48/12</f>
        <v>-0</v>
      </c>
      <c r="W267" s="66" t="n">
        <f aca="false">-(W282+W283+W285)/2*Inputs!$D$48/12</f>
        <v>-0</v>
      </c>
      <c r="X267" s="66" t="n">
        <f aca="false">-(X282+X283+X285)/2*Inputs!$D$48/12</f>
        <v>-0</v>
      </c>
      <c r="Y267" s="66" t="n">
        <f aca="false">-(Y282+Y283+Y285)/2*Inputs!$D$48/12</f>
        <v>-0</v>
      </c>
      <c r="Z267" s="66" t="n">
        <f aca="false">-(Z282+Z283+Z285)/2*Inputs!$D$48/12</f>
        <v>-0</v>
      </c>
      <c r="AA267" s="66" t="n">
        <f aca="false">-(AA282+AA283+AA285)/2*Inputs!$D$48/12</f>
        <v>-0</v>
      </c>
      <c r="AB267" s="66" t="n">
        <f aca="false">-(AB282+AB283+AB285)/2*Inputs!$D$48/12</f>
        <v>-0</v>
      </c>
      <c r="AC267" s="66" t="n">
        <f aca="false">-(AC282+AC283+AC285)/2*Inputs!$D$48/12</f>
        <v>-0</v>
      </c>
      <c r="AD267" s="66" t="n">
        <f aca="false">-(AD282+AD283+AD285)/2*Inputs!$D$48/12</f>
        <v>-0</v>
      </c>
      <c r="AE267" s="66" t="n">
        <f aca="false">-(AE282+AE283+AE285)/2*Inputs!$D$48/12</f>
        <v>-0</v>
      </c>
      <c r="AF267" s="66" t="n">
        <f aca="false">-(AF282+AF283+AF285)/2*Inputs!$D$48/12</f>
        <v>-0</v>
      </c>
      <c r="AG267" s="66" t="n">
        <f aca="false">-(AG282+AG283+AG285)/2*Inputs!$D$48/12</f>
        <v>-0</v>
      </c>
      <c r="AH267" s="66" t="n">
        <f aca="false">-(AH282+AH283+AH285)/2*Inputs!$D$48/12</f>
        <v>-0</v>
      </c>
      <c r="AI267" s="66" t="n">
        <f aca="false">-(AI282+AI283+AI285)/2*Inputs!$D$48/12</f>
        <v>-0</v>
      </c>
      <c r="AJ267" s="66" t="n">
        <f aca="false">-(AJ282+AJ283+AJ285)/2*Inputs!$D$48/12</f>
        <v>-0</v>
      </c>
      <c r="AK267" s="66" t="n">
        <f aca="false">-(AK282+AK283+AK285)/2*Inputs!$D$48/12</f>
        <v>-0</v>
      </c>
      <c r="AL267" s="66" t="n">
        <f aca="false">-(AL282+AL283+AL285)/2*Inputs!$D$48/12</f>
        <v>-0</v>
      </c>
    </row>
    <row r="268" customFormat="false" ht="15" hidden="false" customHeight="false" outlineLevel="0" collapsed="false">
      <c r="A268" s="111" t="s">
        <v>80</v>
      </c>
      <c r="C268" s="67" t="n">
        <f aca="false">C266+C267</f>
        <v>-70276.2504126984</v>
      </c>
      <c r="D268" s="67" t="n">
        <f aca="false">D266+D267</f>
        <v>-65918.0372498413</v>
      </c>
      <c r="E268" s="67" t="n">
        <f aca="false">E266+E267</f>
        <v>-61602.8084000413</v>
      </c>
      <c r="F268" s="67" t="n">
        <f aca="false">F266+F267</f>
        <v>-57330.1459765393</v>
      </c>
      <c r="G268" s="67" t="n">
        <f aca="false">G266+G267</f>
        <v>-53099.6360323163</v>
      </c>
      <c r="H268" s="67" t="n">
        <f aca="false">H266+H267</f>
        <v>-48910.8685254787</v>
      </c>
      <c r="I268" s="67" t="n">
        <f aca="false">I266+I267</f>
        <v>-44763.4372848937</v>
      </c>
      <c r="J268" s="67" t="n">
        <f aca="false">J266+J267</f>
        <v>-40656.9399760751</v>
      </c>
      <c r="K268" s="67" t="n">
        <f aca="false">K266+K267</f>
        <v>-36590.9780673181</v>
      </c>
      <c r="L268" s="67" t="n">
        <f aca="false">L266+L267</f>
        <v>-32565.1567960825</v>
      </c>
      <c r="M268" s="67" t="n">
        <f aca="false">M266+M267</f>
        <v>-28579.0851356245</v>
      </c>
      <c r="N268" s="67" t="n">
        <f aca="false">N266+N267</f>
        <v>-24632.375761875</v>
      </c>
      <c r="O268" s="67" t="n">
        <f aca="false">O266+O267</f>
        <v>-56472.9525919934</v>
      </c>
      <c r="P268" s="67" t="n">
        <f aca="false">P266+P267</f>
        <v>-50849.1507474527</v>
      </c>
      <c r="Q268" s="67" t="n">
        <f aca="false">Q266+Q267</f>
        <v>-45280.9162674124</v>
      </c>
      <c r="R268" s="67" t="n">
        <f aca="false">R266+R267</f>
        <v>-39767.7068913063</v>
      </c>
      <c r="S268" s="67" t="n">
        <f aca="false">S266+S267</f>
        <v>-34308.9855129124</v>
      </c>
      <c r="T268" s="67" t="n">
        <f aca="false">T266+T267</f>
        <v>-28904.2201341747</v>
      </c>
      <c r="U268" s="67" t="n">
        <f aca="false">U266+U267</f>
        <v>-23552.883819379</v>
      </c>
      <c r="V268" s="67" t="n">
        <f aca="false">V266+V267</f>
        <v>-18254.4546496829</v>
      </c>
      <c r="W268" s="67" t="n">
        <f aca="false">W266+W267</f>
        <v>-13008.4156779963</v>
      </c>
      <c r="X268" s="67" t="n">
        <f aca="false">X266+X267</f>
        <v>-7814.254884213</v>
      </c>
      <c r="Y268" s="67" t="n">
        <f aca="false">Y266+Y267</f>
        <v>-2671.4651307901</v>
      </c>
      <c r="Z268" s="67" t="n">
        <f aca="false">Z266+Z267</f>
        <v>2420.45588132443</v>
      </c>
      <c r="AA268" s="67" t="n">
        <f aca="false">AA266+AA267</f>
        <v>-47789.8100842952</v>
      </c>
      <c r="AB268" s="67" t="n">
        <f aca="false">AB266+AB267</f>
        <v>-40234.9077244764</v>
      </c>
      <c r="AC268" s="67" t="n">
        <f aca="false">AC266+AC267</f>
        <v>-32754.7461770322</v>
      </c>
      <c r="AD268" s="67" t="n">
        <f aca="false">AD266+AD267</f>
        <v>-25348.5941980632</v>
      </c>
      <c r="AE268" s="67" t="n">
        <f aca="false">AE266+AE267</f>
        <v>-18015.7275328248</v>
      </c>
      <c r="AF268" s="67" t="n">
        <f aca="false">AF266+AF267</f>
        <v>-10755.4288523006</v>
      </c>
      <c r="AG268" s="67" t="n">
        <f aca="false">AG266+AG267</f>
        <v>-3566.98769028251</v>
      </c>
      <c r="AH268" s="67" t="n">
        <f aca="false">AH266+AH267</f>
        <v>3550.29961904869</v>
      </c>
      <c r="AI268" s="67" t="n">
        <f aca="false">AI266+AI267</f>
        <v>10597.1300030412</v>
      </c>
      <c r="AJ268" s="67" t="n">
        <f aca="false">AJ266+AJ267</f>
        <v>17574.1937119933</v>
      </c>
      <c r="AK268" s="67" t="n">
        <f aca="false">AK266+AK267</f>
        <v>24482.1743800794</v>
      </c>
      <c r="AL268" s="67" t="n">
        <f aca="false">AL266+AL267</f>
        <v>31321.7490857838</v>
      </c>
    </row>
    <row r="269" customFormat="false" ht="15" hidden="false" customHeight="false" outlineLevel="0" collapsed="false">
      <c r="A269" s="119" t="s">
        <v>386</v>
      </c>
      <c r="C269" s="66" t="n">
        <f aca="false">C268</f>
        <v>-70276.2504126984</v>
      </c>
      <c r="D269" s="66" t="n">
        <f aca="false">C269+D268</f>
        <v>-136194.28766254</v>
      </c>
      <c r="E269" s="66" t="n">
        <f aca="false">D269+E268</f>
        <v>-197797.096062581</v>
      </c>
      <c r="F269" s="66" t="n">
        <f aca="false">E269+F268</f>
        <v>-255127.24203912</v>
      </c>
      <c r="G269" s="66" t="n">
        <f aca="false">F269+G268</f>
        <v>-308226.878071437</v>
      </c>
      <c r="H269" s="66" t="n">
        <f aca="false">G269+H268</f>
        <v>-357137.746596915</v>
      </c>
      <c r="I269" s="66" t="n">
        <f aca="false">H269+I268</f>
        <v>-401901.183881809</v>
      </c>
      <c r="J269" s="66" t="n">
        <f aca="false">I269+J268</f>
        <v>-442558.123857884</v>
      </c>
      <c r="K269" s="66" t="n">
        <f aca="false">J269+K268</f>
        <v>-479149.101925202</v>
      </c>
      <c r="L269" s="66" t="n">
        <f aca="false">K269+L268</f>
        <v>-511714.258721284</v>
      </c>
      <c r="M269" s="66" t="n">
        <f aca="false">L269+M268</f>
        <v>-540293.343856909</v>
      </c>
      <c r="N269" s="66" t="n">
        <f aca="false">M269+N268</f>
        <v>-564925.719618784</v>
      </c>
      <c r="O269" s="66" t="n">
        <f aca="false">N269+O268</f>
        <v>-621398.672210777</v>
      </c>
      <c r="P269" s="66" t="n">
        <f aca="false">O269+P268</f>
        <v>-672247.82295823</v>
      </c>
      <c r="Q269" s="66" t="n">
        <f aca="false">P269+Q268</f>
        <v>-717528.739225642</v>
      </c>
      <c r="R269" s="66" t="n">
        <f aca="false">Q269+R268</f>
        <v>-757296.446116949</v>
      </c>
      <c r="S269" s="66" t="n">
        <f aca="false">R269+S268</f>
        <v>-791605.431629861</v>
      </c>
      <c r="T269" s="66" t="n">
        <f aca="false">S269+T268</f>
        <v>-820509.651764036</v>
      </c>
      <c r="U269" s="66" t="n">
        <f aca="false">T269+U268</f>
        <v>-844062.535583415</v>
      </c>
      <c r="V269" s="66" t="n">
        <f aca="false">U269+V268</f>
        <v>-862316.990233098</v>
      </c>
      <c r="W269" s="66" t="n">
        <f aca="false">V269+W268</f>
        <v>-875325.405911094</v>
      </c>
      <c r="X269" s="66" t="n">
        <f aca="false">W269+X268</f>
        <v>-883139.660795307</v>
      </c>
      <c r="Y269" s="66" t="n">
        <f aca="false">X269+Y268</f>
        <v>-885811.125926097</v>
      </c>
      <c r="Z269" s="66" t="n">
        <f aca="false">Y269+Z268</f>
        <v>-883390.670044773</v>
      </c>
      <c r="AA269" s="66" t="n">
        <f aca="false">Z269+AA268</f>
        <v>-931180.480129068</v>
      </c>
      <c r="AB269" s="66" t="n">
        <f aca="false">AA269+AB268</f>
        <v>-971415.387853544</v>
      </c>
      <c r="AC269" s="66" t="n">
        <f aca="false">AB269+AC268</f>
        <v>-1004170.13403058</v>
      </c>
      <c r="AD269" s="66" t="n">
        <f aca="false">AC269+AD268</f>
        <v>-1029518.72822864</v>
      </c>
      <c r="AE269" s="66" t="n">
        <f aca="false">AD269+AE268</f>
        <v>-1047534.45576146</v>
      </c>
      <c r="AF269" s="66" t="n">
        <f aca="false">AE269+AF268</f>
        <v>-1058289.88461377</v>
      </c>
      <c r="AG269" s="66" t="n">
        <f aca="false">AF269+AG268</f>
        <v>-1061856.87230405</v>
      </c>
      <c r="AH269" s="66" t="n">
        <f aca="false">AG269+AH268</f>
        <v>-1058306.572685</v>
      </c>
      <c r="AI269" s="66" t="n">
        <f aca="false">AH269+AI268</f>
        <v>-1047709.44268196</v>
      </c>
      <c r="AJ269" s="66" t="n">
        <f aca="false">AI269+AJ268</f>
        <v>-1030135.24896996</v>
      </c>
      <c r="AK269" s="66" t="n">
        <f aca="false">AJ269+AK268</f>
        <v>-1005653.07458988</v>
      </c>
      <c r="AL269" s="66" t="n">
        <f aca="false">AK269+AL268</f>
        <v>-974331.325504101</v>
      </c>
    </row>
    <row r="270" customFormat="false" ht="15" hidden="false" customHeight="false" outlineLevel="0" collapsed="false">
      <c r="A270" s="119" t="s">
        <v>387</v>
      </c>
      <c r="C270" s="66" t="n">
        <f aca="false">MAX(0,C269)</f>
        <v>0</v>
      </c>
      <c r="D270" s="66" t="n">
        <f aca="false">MAX(C270,D269)</f>
        <v>0</v>
      </c>
      <c r="E270" s="66" t="n">
        <f aca="false">MAX(D270,E269)</f>
        <v>0</v>
      </c>
      <c r="F270" s="66" t="n">
        <f aca="false">MAX(E270,F269)</f>
        <v>0</v>
      </c>
      <c r="G270" s="66" t="n">
        <f aca="false">MAX(F270,G269)</f>
        <v>0</v>
      </c>
      <c r="H270" s="66" t="n">
        <f aca="false">MAX(G270,H269)</f>
        <v>0</v>
      </c>
      <c r="I270" s="66" t="n">
        <f aca="false">MAX(H270,I269)</f>
        <v>0</v>
      </c>
      <c r="J270" s="66" t="n">
        <f aca="false">MAX(I270,J269)</f>
        <v>0</v>
      </c>
      <c r="K270" s="66" t="n">
        <f aca="false">MAX(J270,K269)</f>
        <v>0</v>
      </c>
      <c r="L270" s="66" t="n">
        <f aca="false">MAX(K270,L269)</f>
        <v>0</v>
      </c>
      <c r="M270" s="66" t="n">
        <f aca="false">MAX(L270,M269)</f>
        <v>0</v>
      </c>
      <c r="N270" s="66" t="n">
        <f aca="false">MAX(M270,N269)</f>
        <v>0</v>
      </c>
      <c r="O270" s="66" t="n">
        <f aca="false">MAX(N270,O269)</f>
        <v>0</v>
      </c>
      <c r="P270" s="66" t="n">
        <f aca="false">MAX(O270,P269)</f>
        <v>0</v>
      </c>
      <c r="Q270" s="66" t="n">
        <f aca="false">MAX(P270,Q269)</f>
        <v>0</v>
      </c>
      <c r="R270" s="66" t="n">
        <f aca="false">MAX(Q270,R269)</f>
        <v>0</v>
      </c>
      <c r="S270" s="66" t="n">
        <f aca="false">MAX(R270,S269)</f>
        <v>0</v>
      </c>
      <c r="T270" s="66" t="n">
        <f aca="false">MAX(S270,T269)</f>
        <v>0</v>
      </c>
      <c r="U270" s="66" t="n">
        <f aca="false">MAX(T270,U269)</f>
        <v>0</v>
      </c>
      <c r="V270" s="66" t="n">
        <f aca="false">MAX(U270,V269)</f>
        <v>0</v>
      </c>
      <c r="W270" s="66" t="n">
        <f aca="false">MAX(V270,W269)</f>
        <v>0</v>
      </c>
      <c r="X270" s="66" t="n">
        <f aca="false">MAX(W270,X269)</f>
        <v>0</v>
      </c>
      <c r="Y270" s="66" t="n">
        <f aca="false">MAX(X270,Y269)</f>
        <v>0</v>
      </c>
      <c r="Z270" s="66" t="n">
        <f aca="false">MAX(Y270,Z269)</f>
        <v>0</v>
      </c>
      <c r="AA270" s="66" t="n">
        <f aca="false">MAX(Z270,AA269)</f>
        <v>0</v>
      </c>
      <c r="AB270" s="66" t="n">
        <f aca="false">MAX(AA270,AB269)</f>
        <v>0</v>
      </c>
      <c r="AC270" s="66" t="n">
        <f aca="false">MAX(AB270,AC269)</f>
        <v>0</v>
      </c>
      <c r="AD270" s="66" t="n">
        <f aca="false">MAX(AC270,AD269)</f>
        <v>0</v>
      </c>
      <c r="AE270" s="66" t="n">
        <f aca="false">MAX(AD270,AE269)</f>
        <v>0</v>
      </c>
      <c r="AF270" s="66" t="n">
        <f aca="false">MAX(AE270,AF269)</f>
        <v>0</v>
      </c>
      <c r="AG270" s="66" t="n">
        <f aca="false">MAX(AF270,AG269)</f>
        <v>0</v>
      </c>
      <c r="AH270" s="66" t="n">
        <f aca="false">MAX(AG270,AH269)</f>
        <v>0</v>
      </c>
      <c r="AI270" s="66" t="n">
        <f aca="false">MAX(AH270,AI269)</f>
        <v>0</v>
      </c>
      <c r="AJ270" s="66" t="n">
        <f aca="false">MAX(AI270,AJ269)</f>
        <v>0</v>
      </c>
      <c r="AK270" s="66" t="n">
        <f aca="false">MAX(AJ270,AK269)</f>
        <v>0</v>
      </c>
      <c r="AL270" s="66" t="n">
        <f aca="false">MAX(AK270,AL269)</f>
        <v>0</v>
      </c>
    </row>
    <row r="271" customFormat="false" ht="15" hidden="false" customHeight="false" outlineLevel="0" collapsed="false">
      <c r="A271" s="6" t="s">
        <v>81</v>
      </c>
      <c r="C271" s="66" t="n">
        <f aca="false">-C270*Inputs!$D$58</f>
        <v>-0</v>
      </c>
      <c r="D271" s="66" t="n">
        <f aca="false">-(D270-C270)*Inputs!$D$58</f>
        <v>-0</v>
      </c>
      <c r="E271" s="66" t="n">
        <f aca="false">-(E270-D270)*Inputs!$D$58</f>
        <v>-0</v>
      </c>
      <c r="F271" s="66" t="n">
        <f aca="false">-(F270-E270)*Inputs!$D$58</f>
        <v>-0</v>
      </c>
      <c r="G271" s="66" t="n">
        <f aca="false">-(G270-F270)*Inputs!$D$58</f>
        <v>-0</v>
      </c>
      <c r="H271" s="66" t="n">
        <f aca="false">-(H270-G270)*Inputs!$D$58</f>
        <v>-0</v>
      </c>
      <c r="I271" s="66" t="n">
        <f aca="false">-(I270-H270)*Inputs!$D$58</f>
        <v>-0</v>
      </c>
      <c r="J271" s="66" t="n">
        <f aca="false">-(J270-I270)*Inputs!$D$58</f>
        <v>-0</v>
      </c>
      <c r="K271" s="66" t="n">
        <f aca="false">-(K270-J270)*Inputs!$D$58</f>
        <v>-0</v>
      </c>
      <c r="L271" s="66" t="n">
        <f aca="false">-(L270-K270)*Inputs!$D$58</f>
        <v>-0</v>
      </c>
      <c r="M271" s="66" t="n">
        <f aca="false">-(M270-L270)*Inputs!$D$58</f>
        <v>-0</v>
      </c>
      <c r="N271" s="66" t="n">
        <f aca="false">-(N270-M270)*Inputs!$D$58</f>
        <v>-0</v>
      </c>
      <c r="O271" s="66" t="n">
        <f aca="false">-(O270-N270)*Inputs!$D$58</f>
        <v>-0</v>
      </c>
      <c r="P271" s="66" t="n">
        <f aca="false">-(P270-O270)*Inputs!$D$58</f>
        <v>-0</v>
      </c>
      <c r="Q271" s="66" t="n">
        <f aca="false">-(Q270-P270)*Inputs!$D$58</f>
        <v>-0</v>
      </c>
      <c r="R271" s="66" t="n">
        <f aca="false">-(R270-Q270)*Inputs!$D$58</f>
        <v>-0</v>
      </c>
      <c r="S271" s="66" t="n">
        <f aca="false">-(S270-R270)*Inputs!$D$58</f>
        <v>-0</v>
      </c>
      <c r="T271" s="66" t="n">
        <f aca="false">-(T270-S270)*Inputs!$D$58</f>
        <v>-0</v>
      </c>
      <c r="U271" s="66" t="n">
        <f aca="false">-(U270-T270)*Inputs!$D$58</f>
        <v>-0</v>
      </c>
      <c r="V271" s="66" t="n">
        <f aca="false">-(V270-U270)*Inputs!$D$58</f>
        <v>-0</v>
      </c>
      <c r="W271" s="66" t="n">
        <f aca="false">-(W270-V270)*Inputs!$D$58</f>
        <v>-0</v>
      </c>
      <c r="X271" s="66" t="n">
        <f aca="false">-(X270-W270)*Inputs!$D$58</f>
        <v>-0</v>
      </c>
      <c r="Y271" s="66" t="n">
        <f aca="false">-(Y270-X270)*Inputs!$D$58</f>
        <v>-0</v>
      </c>
      <c r="Z271" s="66" t="n">
        <f aca="false">-(Z270-Y270)*Inputs!$D$58</f>
        <v>-0</v>
      </c>
      <c r="AA271" s="66" t="n">
        <f aca="false">-(AA270-Z270)*Inputs!$D$58</f>
        <v>-0</v>
      </c>
      <c r="AB271" s="66" t="n">
        <f aca="false">-(AB270-AA270)*Inputs!$D$58</f>
        <v>-0</v>
      </c>
      <c r="AC271" s="66" t="n">
        <f aca="false">-(AC270-AB270)*Inputs!$D$58</f>
        <v>-0</v>
      </c>
      <c r="AD271" s="66" t="n">
        <f aca="false">-(AD270-AC270)*Inputs!$D$58</f>
        <v>-0</v>
      </c>
      <c r="AE271" s="66" t="n">
        <f aca="false">-(AE270-AD270)*Inputs!$D$58</f>
        <v>-0</v>
      </c>
      <c r="AF271" s="66" t="n">
        <f aca="false">-(AF270-AE270)*Inputs!$D$58</f>
        <v>-0</v>
      </c>
      <c r="AG271" s="66" t="n">
        <f aca="false">-(AG270-AF270)*Inputs!$D$58</f>
        <v>-0</v>
      </c>
      <c r="AH271" s="66" t="n">
        <f aca="false">-(AH270-AG270)*Inputs!$D$58</f>
        <v>-0</v>
      </c>
      <c r="AI271" s="66" t="n">
        <f aca="false">-(AI270-AH270)*Inputs!$D$58</f>
        <v>-0</v>
      </c>
      <c r="AJ271" s="66" t="n">
        <f aca="false">-(AJ270-AI270)*Inputs!$D$58</f>
        <v>-0</v>
      </c>
      <c r="AK271" s="66" t="n">
        <f aca="false">-(AK270-AJ270)*Inputs!$D$58</f>
        <v>-0</v>
      </c>
      <c r="AL271" s="66" t="n">
        <f aca="false">-(AL270-AK270)*Inputs!$D$58</f>
        <v>-0</v>
      </c>
    </row>
    <row r="272" customFormat="false" ht="15" hidden="false" customHeight="false" outlineLevel="0" collapsed="false">
      <c r="A272" s="111" t="s">
        <v>50</v>
      </c>
      <c r="C272" s="67" t="n">
        <f aca="false">C268+C271</f>
        <v>-70276.2504126984</v>
      </c>
      <c r="D272" s="67" t="n">
        <f aca="false">D268+D271</f>
        <v>-65918.0372498413</v>
      </c>
      <c r="E272" s="67" t="n">
        <f aca="false">E268+E271</f>
        <v>-61602.8084000413</v>
      </c>
      <c r="F272" s="67" t="n">
        <f aca="false">F268+F271</f>
        <v>-57330.1459765393</v>
      </c>
      <c r="G272" s="67" t="n">
        <f aca="false">G268+G271</f>
        <v>-53099.6360323163</v>
      </c>
      <c r="H272" s="67" t="n">
        <f aca="false">H268+H271</f>
        <v>-48910.8685254787</v>
      </c>
      <c r="I272" s="67" t="n">
        <f aca="false">I268+I271</f>
        <v>-44763.4372848937</v>
      </c>
      <c r="J272" s="67" t="n">
        <f aca="false">J268+J271</f>
        <v>-40656.9399760751</v>
      </c>
      <c r="K272" s="67" t="n">
        <f aca="false">K268+K271</f>
        <v>-36590.9780673181</v>
      </c>
      <c r="L272" s="67" t="n">
        <f aca="false">L268+L271</f>
        <v>-32565.1567960825</v>
      </c>
      <c r="M272" s="67" t="n">
        <f aca="false">M268+M271</f>
        <v>-28579.0851356245</v>
      </c>
      <c r="N272" s="67" t="n">
        <f aca="false">N268+N271</f>
        <v>-24632.375761875</v>
      </c>
      <c r="O272" s="67" t="n">
        <f aca="false">O268+O271</f>
        <v>-56472.9525919934</v>
      </c>
      <c r="P272" s="67" t="n">
        <f aca="false">P268+P271</f>
        <v>-50849.1507474527</v>
      </c>
      <c r="Q272" s="67" t="n">
        <f aca="false">Q268+Q271</f>
        <v>-45280.9162674124</v>
      </c>
      <c r="R272" s="67" t="n">
        <f aca="false">R268+R271</f>
        <v>-39767.7068913063</v>
      </c>
      <c r="S272" s="67" t="n">
        <f aca="false">S268+S271</f>
        <v>-34308.9855129124</v>
      </c>
      <c r="T272" s="67" t="n">
        <f aca="false">T268+T271</f>
        <v>-28904.2201341747</v>
      </c>
      <c r="U272" s="67" t="n">
        <f aca="false">U268+U271</f>
        <v>-23552.883819379</v>
      </c>
      <c r="V272" s="67" t="n">
        <f aca="false">V268+V271</f>
        <v>-18254.4546496829</v>
      </c>
      <c r="W272" s="67" t="n">
        <f aca="false">W268+W271</f>
        <v>-13008.4156779963</v>
      </c>
      <c r="X272" s="67" t="n">
        <f aca="false">X268+X271</f>
        <v>-7814.254884213</v>
      </c>
      <c r="Y272" s="67" t="n">
        <f aca="false">Y268+Y271</f>
        <v>-2671.4651307901</v>
      </c>
      <c r="Z272" s="67" t="n">
        <f aca="false">Z268+Z271</f>
        <v>2420.45588132443</v>
      </c>
      <c r="AA272" s="67" t="n">
        <f aca="false">AA268+AA271</f>
        <v>-47789.8100842952</v>
      </c>
      <c r="AB272" s="67" t="n">
        <f aca="false">AB268+AB271</f>
        <v>-40234.9077244764</v>
      </c>
      <c r="AC272" s="67" t="n">
        <f aca="false">AC268+AC271</f>
        <v>-32754.7461770322</v>
      </c>
      <c r="AD272" s="67" t="n">
        <f aca="false">AD268+AD271</f>
        <v>-25348.5941980632</v>
      </c>
      <c r="AE272" s="67" t="n">
        <f aca="false">AE268+AE271</f>
        <v>-18015.7275328248</v>
      </c>
      <c r="AF272" s="67" t="n">
        <f aca="false">AF268+AF271</f>
        <v>-10755.4288523006</v>
      </c>
      <c r="AG272" s="67" t="n">
        <f aca="false">AG268+AG271</f>
        <v>-3566.98769028251</v>
      </c>
      <c r="AH272" s="67" t="n">
        <f aca="false">AH268+AH271</f>
        <v>3550.29961904869</v>
      </c>
      <c r="AI272" s="67" t="n">
        <f aca="false">AI268+AI271</f>
        <v>10597.1300030412</v>
      </c>
      <c r="AJ272" s="67" t="n">
        <f aca="false">AJ268+AJ271</f>
        <v>17574.1937119933</v>
      </c>
      <c r="AK272" s="67" t="n">
        <f aca="false">AK268+AK271</f>
        <v>24482.1743800794</v>
      </c>
      <c r="AL272" s="67" t="n">
        <f aca="false">AL268+AL271</f>
        <v>31321.7490857838</v>
      </c>
    </row>
    <row r="274" customFormat="false" ht="15.75" hidden="false" customHeight="true" outlineLevel="0" collapsed="false">
      <c r="A274" s="7" t="s">
        <v>388</v>
      </c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customFormat="false" ht="15" hidden="false" customHeight="false" outlineLevel="0" collapsed="false">
      <c r="A275" s="6" t="s">
        <v>83</v>
      </c>
      <c r="C275" s="66" t="n">
        <f aca="false">IF(C$232=1,Inputs!$D$23,0)</f>
        <v>20000</v>
      </c>
      <c r="D275" s="66" t="n">
        <f aca="false">IF(D$232=1,Inputs!$D$23,0)</f>
        <v>0</v>
      </c>
      <c r="E275" s="66" t="n">
        <f aca="false">IF(E$232=1,Inputs!$D$23,0)</f>
        <v>0</v>
      </c>
      <c r="F275" s="66" t="n">
        <f aca="false">IF(F$232=1,Inputs!$D$23,0)</f>
        <v>0</v>
      </c>
      <c r="G275" s="66" t="n">
        <f aca="false">IF(G$232=1,Inputs!$D$23,0)</f>
        <v>0</v>
      </c>
      <c r="H275" s="66" t="n">
        <f aca="false">IF(H$232=1,Inputs!$D$23,0)</f>
        <v>0</v>
      </c>
      <c r="I275" s="66" t="n">
        <f aca="false">IF(I$232=1,Inputs!$D$23,0)</f>
        <v>0</v>
      </c>
      <c r="J275" s="66" t="n">
        <f aca="false">IF(J$232=1,Inputs!$D$23,0)</f>
        <v>0</v>
      </c>
      <c r="K275" s="66" t="n">
        <f aca="false">IF(K$232=1,Inputs!$D$23,0)</f>
        <v>0</v>
      </c>
      <c r="L275" s="66" t="n">
        <f aca="false">IF(L$232=1,Inputs!$D$23,0)</f>
        <v>0</v>
      </c>
      <c r="M275" s="66" t="n">
        <f aca="false">IF(M$232=1,Inputs!$D$23,0)</f>
        <v>0</v>
      </c>
      <c r="N275" s="66" t="n">
        <f aca="false">IF(N$232=1,Inputs!$D$23,0)</f>
        <v>0</v>
      </c>
      <c r="O275" s="66" t="n">
        <f aca="false">IF(O$232=1,Inputs!$D$23,0)</f>
        <v>0</v>
      </c>
      <c r="P275" s="66" t="n">
        <f aca="false">IF(P$232=1,Inputs!$D$23,0)</f>
        <v>0</v>
      </c>
      <c r="Q275" s="66" t="n">
        <f aca="false">IF(Q$232=1,Inputs!$D$23,0)</f>
        <v>0</v>
      </c>
      <c r="R275" s="66" t="n">
        <f aca="false">IF(R$232=1,Inputs!$D$23,0)</f>
        <v>0</v>
      </c>
      <c r="S275" s="66" t="n">
        <f aca="false">IF(S$232=1,Inputs!$D$23,0)</f>
        <v>0</v>
      </c>
      <c r="T275" s="66" t="n">
        <f aca="false">IF(T$232=1,Inputs!$D$23,0)</f>
        <v>0</v>
      </c>
      <c r="U275" s="66" t="n">
        <f aca="false">IF(U$232=1,Inputs!$D$23,0)</f>
        <v>0</v>
      </c>
      <c r="V275" s="66" t="n">
        <f aca="false">IF(V$232=1,Inputs!$D$23,0)</f>
        <v>0</v>
      </c>
      <c r="W275" s="66" t="n">
        <f aca="false">IF(W$232=1,Inputs!$D$23,0)</f>
        <v>0</v>
      </c>
      <c r="X275" s="66" t="n">
        <f aca="false">IF(X$232=1,Inputs!$D$23,0)</f>
        <v>0</v>
      </c>
      <c r="Y275" s="66" t="n">
        <f aca="false">IF(Y$232=1,Inputs!$D$23,0)</f>
        <v>0</v>
      </c>
      <c r="Z275" s="66" t="n">
        <f aca="false">IF(Z$232=1,Inputs!$D$23,0)</f>
        <v>0</v>
      </c>
      <c r="AA275" s="66" t="n">
        <f aca="false">IF(AA$232=1,Inputs!$D$23,0)</f>
        <v>0</v>
      </c>
      <c r="AB275" s="66" t="n">
        <f aca="false">IF(AB$232=1,Inputs!$D$23,0)</f>
        <v>0</v>
      </c>
      <c r="AC275" s="66" t="n">
        <f aca="false">IF(AC$232=1,Inputs!$D$23,0)</f>
        <v>0</v>
      </c>
      <c r="AD275" s="66" t="n">
        <f aca="false">IF(AD$232=1,Inputs!$D$23,0)</f>
        <v>0</v>
      </c>
      <c r="AE275" s="66" t="n">
        <f aca="false">IF(AE$232=1,Inputs!$D$23,0)</f>
        <v>0</v>
      </c>
      <c r="AF275" s="66" t="n">
        <f aca="false">IF(AF$232=1,Inputs!$D$23,0)</f>
        <v>0</v>
      </c>
      <c r="AG275" s="66" t="n">
        <f aca="false">IF(AG$232=1,Inputs!$D$23,0)</f>
        <v>0</v>
      </c>
      <c r="AH275" s="66" t="n">
        <f aca="false">IF(AH$232=1,Inputs!$D$23,0)</f>
        <v>0</v>
      </c>
      <c r="AI275" s="66" t="n">
        <f aca="false">IF(AI$232=1,Inputs!$D$23,0)</f>
        <v>0</v>
      </c>
      <c r="AJ275" s="66" t="n">
        <f aca="false">IF(AJ$232=1,Inputs!$D$23,0)</f>
        <v>0</v>
      </c>
      <c r="AK275" s="66" t="n">
        <f aca="false">IF(AK$232=1,Inputs!$D$23,0)</f>
        <v>0</v>
      </c>
      <c r="AL275" s="66" t="n">
        <f aca="false">IF(AL$232=1,Inputs!$D$23,0)</f>
        <v>0</v>
      </c>
    </row>
    <row r="276" customFormat="false" ht="15" hidden="false" customHeight="false" outlineLevel="0" collapsed="false">
      <c r="A276" s="6" t="s">
        <v>389</v>
      </c>
      <c r="C276" s="66" t="n">
        <f aca="false">C275</f>
        <v>20000</v>
      </c>
      <c r="D276" s="66" t="n">
        <f aca="false">C276+D275</f>
        <v>20000</v>
      </c>
      <c r="E276" s="66" t="n">
        <f aca="false">D276+E275</f>
        <v>20000</v>
      </c>
      <c r="F276" s="66" t="n">
        <f aca="false">E276+F275</f>
        <v>20000</v>
      </c>
      <c r="G276" s="66" t="n">
        <f aca="false">F276+G275</f>
        <v>20000</v>
      </c>
      <c r="H276" s="66" t="n">
        <f aca="false">G276+H275</f>
        <v>20000</v>
      </c>
      <c r="I276" s="66" t="n">
        <f aca="false">H276+I275</f>
        <v>20000</v>
      </c>
      <c r="J276" s="66" t="n">
        <f aca="false">I276+J275</f>
        <v>20000</v>
      </c>
      <c r="K276" s="66" t="n">
        <f aca="false">J276+K275</f>
        <v>20000</v>
      </c>
      <c r="L276" s="66" t="n">
        <f aca="false">K276+L275</f>
        <v>20000</v>
      </c>
      <c r="M276" s="66" t="n">
        <f aca="false">L276+M275</f>
        <v>20000</v>
      </c>
      <c r="N276" s="66" t="n">
        <f aca="false">M276+N275</f>
        <v>20000</v>
      </c>
      <c r="O276" s="66" t="n">
        <f aca="false">N276+O275</f>
        <v>20000</v>
      </c>
      <c r="P276" s="66" t="n">
        <f aca="false">O276+P275</f>
        <v>20000</v>
      </c>
      <c r="Q276" s="66" t="n">
        <f aca="false">P276+Q275</f>
        <v>20000</v>
      </c>
      <c r="R276" s="66" t="n">
        <f aca="false">Q276+R275</f>
        <v>20000</v>
      </c>
      <c r="S276" s="66" t="n">
        <f aca="false">R276+S275</f>
        <v>20000</v>
      </c>
      <c r="T276" s="66" t="n">
        <f aca="false">S276+T275</f>
        <v>20000</v>
      </c>
      <c r="U276" s="66" t="n">
        <f aca="false">T276+U275</f>
        <v>20000</v>
      </c>
      <c r="V276" s="66" t="n">
        <f aca="false">U276+V275</f>
        <v>20000</v>
      </c>
      <c r="W276" s="66" t="n">
        <f aca="false">V276+W275</f>
        <v>20000</v>
      </c>
      <c r="X276" s="66" t="n">
        <f aca="false">W276+X275</f>
        <v>20000</v>
      </c>
      <c r="Y276" s="66" t="n">
        <f aca="false">X276+Y275</f>
        <v>20000</v>
      </c>
      <c r="Z276" s="66" t="n">
        <f aca="false">Y276+Z275</f>
        <v>20000</v>
      </c>
      <c r="AA276" s="66" t="n">
        <f aca="false">Z276+AA275</f>
        <v>20000</v>
      </c>
      <c r="AB276" s="66" t="n">
        <f aca="false">AA276+AB275</f>
        <v>20000</v>
      </c>
      <c r="AC276" s="66" t="n">
        <f aca="false">AB276+AC275</f>
        <v>20000</v>
      </c>
      <c r="AD276" s="66" t="n">
        <f aca="false">AC276+AD275</f>
        <v>20000</v>
      </c>
      <c r="AE276" s="66" t="n">
        <f aca="false">AD276+AE275</f>
        <v>20000</v>
      </c>
      <c r="AF276" s="66" t="n">
        <f aca="false">AE276+AF275</f>
        <v>20000</v>
      </c>
      <c r="AG276" s="66" t="n">
        <f aca="false">AF276+AG275</f>
        <v>20000</v>
      </c>
      <c r="AH276" s="66" t="n">
        <f aca="false">AG276+AH275</f>
        <v>20000</v>
      </c>
      <c r="AI276" s="66" t="n">
        <f aca="false">AH276+AI275</f>
        <v>20000</v>
      </c>
      <c r="AJ276" s="66" t="n">
        <f aca="false">AI276+AJ275</f>
        <v>20000</v>
      </c>
      <c r="AK276" s="66" t="n">
        <f aca="false">AJ276+AK275</f>
        <v>20000</v>
      </c>
      <c r="AL276" s="66" t="n">
        <f aca="false">AK276+AL275</f>
        <v>20000</v>
      </c>
    </row>
    <row r="277" customFormat="false" ht="15" hidden="false" customHeight="false" outlineLevel="0" collapsed="false">
      <c r="A277" s="6" t="s">
        <v>77</v>
      </c>
      <c r="C277" s="66" t="n">
        <f aca="false">-MIN(C276/MAX(1,Inputs!$D$57*12),C275)</f>
        <v>-555.555555555556</v>
      </c>
      <c r="D277" s="66" t="n">
        <f aca="false">-MIN(D276/MAX(1,Inputs!$D$57*12),C279+D275)</f>
        <v>-555.555555555556</v>
      </c>
      <c r="E277" s="66" t="n">
        <f aca="false">-MIN(E276/MAX(1,Inputs!$D$57*12),D279+E275)</f>
        <v>-555.555555555556</v>
      </c>
      <c r="F277" s="66" t="n">
        <f aca="false">-MIN(F276/MAX(1,Inputs!$D$57*12),E279+F275)</f>
        <v>-555.555555555556</v>
      </c>
      <c r="G277" s="66" t="n">
        <f aca="false">-MIN(G276/MAX(1,Inputs!$D$57*12),F279+G275)</f>
        <v>-555.555555555556</v>
      </c>
      <c r="H277" s="66" t="n">
        <f aca="false">-MIN(H276/MAX(1,Inputs!$D$57*12),G279+H275)</f>
        <v>-555.555555555556</v>
      </c>
      <c r="I277" s="66" t="n">
        <f aca="false">-MIN(I276/MAX(1,Inputs!$D$57*12),H279+I275)</f>
        <v>-555.555555555556</v>
      </c>
      <c r="J277" s="66" t="n">
        <f aca="false">-MIN(J276/MAX(1,Inputs!$D$57*12),I279+J275)</f>
        <v>-555.555555555556</v>
      </c>
      <c r="K277" s="66" t="n">
        <f aca="false">-MIN(K276/MAX(1,Inputs!$D$57*12),J279+K275)</f>
        <v>-555.555555555556</v>
      </c>
      <c r="L277" s="66" t="n">
        <f aca="false">-MIN(L276/MAX(1,Inputs!$D$57*12),K279+L275)</f>
        <v>-555.555555555556</v>
      </c>
      <c r="M277" s="66" t="n">
        <f aca="false">-MIN(M276/MAX(1,Inputs!$D$57*12),L279+M275)</f>
        <v>-555.555555555556</v>
      </c>
      <c r="N277" s="66" t="n">
        <f aca="false">-MIN(N276/MAX(1,Inputs!$D$57*12),M279+N275)</f>
        <v>-555.555555555556</v>
      </c>
      <c r="O277" s="66" t="n">
        <f aca="false">-MIN(O276/MAX(1,Inputs!$D$57*12),N279+O275)</f>
        <v>-555.555555555556</v>
      </c>
      <c r="P277" s="66" t="n">
        <f aca="false">-MIN(P276/MAX(1,Inputs!$D$57*12),O279+P275)</f>
        <v>-555.555555555556</v>
      </c>
      <c r="Q277" s="66" t="n">
        <f aca="false">-MIN(Q276/MAX(1,Inputs!$D$57*12),P279+Q275)</f>
        <v>-555.555555555556</v>
      </c>
      <c r="R277" s="66" t="n">
        <f aca="false">-MIN(R276/MAX(1,Inputs!$D$57*12),Q279+R275)</f>
        <v>-555.555555555556</v>
      </c>
      <c r="S277" s="66" t="n">
        <f aca="false">-MIN(S276/MAX(1,Inputs!$D$57*12),R279+S275)</f>
        <v>-555.555555555556</v>
      </c>
      <c r="T277" s="66" t="n">
        <f aca="false">-MIN(T276/MAX(1,Inputs!$D$57*12),S279+T275)</f>
        <v>-555.555555555556</v>
      </c>
      <c r="U277" s="66" t="n">
        <f aca="false">-MIN(U276/MAX(1,Inputs!$D$57*12),T279+U275)</f>
        <v>-555.555555555556</v>
      </c>
      <c r="V277" s="66" t="n">
        <f aca="false">-MIN(V276/MAX(1,Inputs!$D$57*12),U279+V275)</f>
        <v>-555.555555555556</v>
      </c>
      <c r="W277" s="66" t="n">
        <f aca="false">-MIN(W276/MAX(1,Inputs!$D$57*12),V279+W275)</f>
        <v>-555.555555555556</v>
      </c>
      <c r="X277" s="66" t="n">
        <f aca="false">-MIN(X276/MAX(1,Inputs!$D$57*12),W279+X275)</f>
        <v>-555.555555555556</v>
      </c>
      <c r="Y277" s="66" t="n">
        <f aca="false">-MIN(Y276/MAX(1,Inputs!$D$57*12),X279+Y275)</f>
        <v>-555.555555555556</v>
      </c>
      <c r="Z277" s="66" t="n">
        <f aca="false">-MIN(Z276/MAX(1,Inputs!$D$57*12),Y279+Z275)</f>
        <v>-555.555555555556</v>
      </c>
      <c r="AA277" s="66" t="n">
        <f aca="false">-MIN(AA276/MAX(1,Inputs!$D$57*12),Z279+AA275)</f>
        <v>-555.555555555556</v>
      </c>
      <c r="AB277" s="66" t="n">
        <f aca="false">-MIN(AB276/MAX(1,Inputs!$D$57*12),AA279+AB275)</f>
        <v>-555.555555555556</v>
      </c>
      <c r="AC277" s="66" t="n">
        <f aca="false">-MIN(AC276/MAX(1,Inputs!$D$57*12),AB279+AC275)</f>
        <v>-555.555555555556</v>
      </c>
      <c r="AD277" s="66" t="n">
        <f aca="false">-MIN(AD276/MAX(1,Inputs!$D$57*12),AC279+AD275)</f>
        <v>-555.555555555556</v>
      </c>
      <c r="AE277" s="66" t="n">
        <f aca="false">-MIN(AE276/MAX(1,Inputs!$D$57*12),AD279+AE275)</f>
        <v>-555.555555555556</v>
      </c>
      <c r="AF277" s="66" t="n">
        <f aca="false">-MIN(AF276/MAX(1,Inputs!$D$57*12),AE279+AF275)</f>
        <v>-555.555555555556</v>
      </c>
      <c r="AG277" s="66" t="n">
        <f aca="false">-MIN(AG276/MAX(1,Inputs!$D$57*12),AF279+AG275)</f>
        <v>-555.555555555556</v>
      </c>
      <c r="AH277" s="66" t="n">
        <f aca="false">-MIN(AH276/MAX(1,Inputs!$D$57*12),AG279+AH275)</f>
        <v>-555.555555555556</v>
      </c>
      <c r="AI277" s="66" t="n">
        <f aca="false">-MIN(AI276/MAX(1,Inputs!$D$57*12),AH279+AI275)</f>
        <v>-555.555555555556</v>
      </c>
      <c r="AJ277" s="66" t="n">
        <f aca="false">-MIN(AJ276/MAX(1,Inputs!$D$57*12),AI279+AJ275)</f>
        <v>-555.555555555556</v>
      </c>
      <c r="AK277" s="66" t="n">
        <f aca="false">-MIN(AK276/MAX(1,Inputs!$D$57*12),AJ279+AK275)</f>
        <v>-555.555555555556</v>
      </c>
      <c r="AL277" s="66" t="n">
        <f aca="false">-MIN(AL276/MAX(1,Inputs!$D$57*12),AK279+AL275)</f>
        <v>-555.555555555556</v>
      </c>
    </row>
    <row r="278" customFormat="false" ht="15" hidden="false" customHeight="false" outlineLevel="0" collapsed="false">
      <c r="A278" s="6" t="s">
        <v>390</v>
      </c>
      <c r="C278" s="66" t="n">
        <f aca="false">C277</f>
        <v>-555.555555555556</v>
      </c>
      <c r="D278" s="66" t="n">
        <f aca="false">C278+D277</f>
        <v>-1111.11111111111</v>
      </c>
      <c r="E278" s="66" t="n">
        <f aca="false">D278+E277</f>
        <v>-1666.66666666667</v>
      </c>
      <c r="F278" s="66" t="n">
        <f aca="false">E278+F277</f>
        <v>-2222.22222222222</v>
      </c>
      <c r="G278" s="66" t="n">
        <f aca="false">F278+G277</f>
        <v>-2777.77777777778</v>
      </c>
      <c r="H278" s="66" t="n">
        <f aca="false">G278+H277</f>
        <v>-3333.33333333333</v>
      </c>
      <c r="I278" s="66" t="n">
        <f aca="false">H278+I277</f>
        <v>-3888.88888888889</v>
      </c>
      <c r="J278" s="66" t="n">
        <f aca="false">I278+J277</f>
        <v>-4444.44444444444</v>
      </c>
      <c r="K278" s="66" t="n">
        <f aca="false">J278+K277</f>
        <v>-5000</v>
      </c>
      <c r="L278" s="66" t="n">
        <f aca="false">K278+L277</f>
        <v>-5555.55555555556</v>
      </c>
      <c r="M278" s="66" t="n">
        <f aca="false">L278+M277</f>
        <v>-6111.11111111111</v>
      </c>
      <c r="N278" s="66" t="n">
        <f aca="false">M278+N277</f>
        <v>-6666.66666666667</v>
      </c>
      <c r="O278" s="66" t="n">
        <f aca="false">N278+O277</f>
        <v>-7222.22222222222</v>
      </c>
      <c r="P278" s="66" t="n">
        <f aca="false">O278+P277</f>
        <v>-7777.77777777778</v>
      </c>
      <c r="Q278" s="66" t="n">
        <f aca="false">P278+Q277</f>
        <v>-8333.33333333333</v>
      </c>
      <c r="R278" s="66" t="n">
        <f aca="false">Q278+R277</f>
        <v>-8888.88888888889</v>
      </c>
      <c r="S278" s="66" t="n">
        <f aca="false">R278+S277</f>
        <v>-9444.44444444444</v>
      </c>
      <c r="T278" s="66" t="n">
        <f aca="false">S278+T277</f>
        <v>-10000</v>
      </c>
      <c r="U278" s="66" t="n">
        <f aca="false">T278+U277</f>
        <v>-10555.5555555556</v>
      </c>
      <c r="V278" s="66" t="n">
        <f aca="false">U278+V277</f>
        <v>-11111.1111111111</v>
      </c>
      <c r="W278" s="66" t="n">
        <f aca="false">V278+W277</f>
        <v>-11666.6666666667</v>
      </c>
      <c r="X278" s="66" t="n">
        <f aca="false">W278+X277</f>
        <v>-12222.2222222222</v>
      </c>
      <c r="Y278" s="66" t="n">
        <f aca="false">X278+Y277</f>
        <v>-12777.7777777778</v>
      </c>
      <c r="Z278" s="66" t="n">
        <f aca="false">Y278+Z277</f>
        <v>-13333.3333333333</v>
      </c>
      <c r="AA278" s="66" t="n">
        <f aca="false">Z278+AA277</f>
        <v>-13888.8888888889</v>
      </c>
      <c r="AB278" s="66" t="n">
        <f aca="false">AA278+AB277</f>
        <v>-14444.4444444444</v>
      </c>
      <c r="AC278" s="66" t="n">
        <f aca="false">AB278+AC277</f>
        <v>-15000</v>
      </c>
      <c r="AD278" s="66" t="n">
        <f aca="false">AC278+AD277</f>
        <v>-15555.5555555555</v>
      </c>
      <c r="AE278" s="66" t="n">
        <f aca="false">AD278+AE277</f>
        <v>-16111.1111111111</v>
      </c>
      <c r="AF278" s="66" t="n">
        <f aca="false">AE278+AF277</f>
        <v>-16666.6666666667</v>
      </c>
      <c r="AG278" s="66" t="n">
        <f aca="false">AF278+AG277</f>
        <v>-17222.2222222222</v>
      </c>
      <c r="AH278" s="66" t="n">
        <f aca="false">AG278+AH277</f>
        <v>-17777.7777777778</v>
      </c>
      <c r="AI278" s="66" t="n">
        <f aca="false">AH278+AI277</f>
        <v>-18333.3333333333</v>
      </c>
      <c r="AJ278" s="66" t="n">
        <f aca="false">AI278+AJ277</f>
        <v>-18888.8888888889</v>
      </c>
      <c r="AK278" s="66" t="n">
        <f aca="false">AJ278+AK277</f>
        <v>-19444.4444444444</v>
      </c>
      <c r="AL278" s="66" t="n">
        <f aca="false">AK278+AL277</f>
        <v>-20000</v>
      </c>
    </row>
    <row r="279" customFormat="false" ht="15" hidden="false" customHeight="false" outlineLevel="0" collapsed="false">
      <c r="A279" s="4" t="s">
        <v>91</v>
      </c>
      <c r="C279" s="72" t="n">
        <f aca="false">C276+C278</f>
        <v>19444.4444444444</v>
      </c>
      <c r="D279" s="72" t="n">
        <f aca="false">D276+D278</f>
        <v>18888.8888888889</v>
      </c>
      <c r="E279" s="72" t="n">
        <f aca="false">E276+E278</f>
        <v>18333.3333333333</v>
      </c>
      <c r="F279" s="72" t="n">
        <f aca="false">F276+F278</f>
        <v>17777.7777777778</v>
      </c>
      <c r="G279" s="72" t="n">
        <f aca="false">G276+G278</f>
        <v>17222.2222222222</v>
      </c>
      <c r="H279" s="72" t="n">
        <f aca="false">H276+H278</f>
        <v>16666.6666666667</v>
      </c>
      <c r="I279" s="72" t="n">
        <f aca="false">I276+I278</f>
        <v>16111.1111111111</v>
      </c>
      <c r="J279" s="72" t="n">
        <f aca="false">J276+J278</f>
        <v>15555.5555555556</v>
      </c>
      <c r="K279" s="72" t="n">
        <f aca="false">K276+K278</f>
        <v>15000</v>
      </c>
      <c r="L279" s="72" t="n">
        <f aca="false">L276+L278</f>
        <v>14444.4444444444</v>
      </c>
      <c r="M279" s="72" t="n">
        <f aca="false">M276+M278</f>
        <v>13888.8888888889</v>
      </c>
      <c r="N279" s="72" t="n">
        <f aca="false">N276+N278</f>
        <v>13333.3333333333</v>
      </c>
      <c r="O279" s="72" t="n">
        <f aca="false">O276+O278</f>
        <v>12777.7777777778</v>
      </c>
      <c r="P279" s="72" t="n">
        <f aca="false">P276+P278</f>
        <v>12222.2222222222</v>
      </c>
      <c r="Q279" s="72" t="n">
        <f aca="false">Q276+Q278</f>
        <v>11666.6666666667</v>
      </c>
      <c r="R279" s="72" t="n">
        <f aca="false">R276+R278</f>
        <v>11111.1111111111</v>
      </c>
      <c r="S279" s="72" t="n">
        <f aca="false">S276+S278</f>
        <v>10555.5555555556</v>
      </c>
      <c r="T279" s="72" t="n">
        <f aca="false">T276+T278</f>
        <v>10000</v>
      </c>
      <c r="U279" s="72" t="n">
        <f aca="false">U276+U278</f>
        <v>9444.44444444445</v>
      </c>
      <c r="V279" s="72" t="n">
        <f aca="false">V276+V278</f>
        <v>8888.88888888889</v>
      </c>
      <c r="W279" s="72" t="n">
        <f aca="false">W276+W278</f>
        <v>8333.33333333334</v>
      </c>
      <c r="X279" s="72" t="n">
        <f aca="false">X276+X278</f>
        <v>7777.77777777778</v>
      </c>
      <c r="Y279" s="72" t="n">
        <f aca="false">Y276+Y278</f>
        <v>7222.22222222223</v>
      </c>
      <c r="Z279" s="72" t="n">
        <f aca="false">Z276+Z278</f>
        <v>6666.66666666667</v>
      </c>
      <c r="AA279" s="72" t="n">
        <f aca="false">AA276+AA278</f>
        <v>6111.11111111112</v>
      </c>
      <c r="AB279" s="72" t="n">
        <f aca="false">AB276+AB278</f>
        <v>5555.55555555556</v>
      </c>
      <c r="AC279" s="72" t="n">
        <f aca="false">AC276+AC278</f>
        <v>5000.00000000001</v>
      </c>
      <c r="AD279" s="72" t="n">
        <f aca="false">AD276+AD278</f>
        <v>4444.44444444445</v>
      </c>
      <c r="AE279" s="72" t="n">
        <f aca="false">AE276+AE278</f>
        <v>3888.8888888889</v>
      </c>
      <c r="AF279" s="72" t="n">
        <f aca="false">AF276+AF278</f>
        <v>3333.33333333334</v>
      </c>
      <c r="AG279" s="72" t="n">
        <f aca="false">AG276+AG278</f>
        <v>2777.77777777779</v>
      </c>
      <c r="AH279" s="72" t="n">
        <f aca="false">AH276+AH278</f>
        <v>2222.22222222223</v>
      </c>
      <c r="AI279" s="72" t="n">
        <f aca="false">AI276+AI278</f>
        <v>1666.66666666668</v>
      </c>
      <c r="AJ279" s="72" t="n">
        <f aca="false">AJ276+AJ278</f>
        <v>1111.11111111112</v>
      </c>
      <c r="AK279" s="72" t="n">
        <f aca="false">AK276+AK278</f>
        <v>555.555555555569</v>
      </c>
      <c r="AL279" s="72" t="n">
        <f aca="false">AL276+AL278</f>
        <v>0</v>
      </c>
    </row>
    <row r="281" customFormat="false" ht="15.75" hidden="false" customHeight="true" outlineLevel="0" collapsed="false">
      <c r="A281" s="7" t="s">
        <v>391</v>
      </c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customFormat="false" ht="15" hidden="false" customHeight="false" outlineLevel="0" collapsed="false">
      <c r="A282" s="6" t="s">
        <v>392</v>
      </c>
      <c r="C282" s="66" t="n">
        <f aca="false">0</f>
        <v>0</v>
      </c>
      <c r="D282" s="66" t="n">
        <f aca="false">C285</f>
        <v>0</v>
      </c>
      <c r="E282" s="66" t="n">
        <f aca="false">D285</f>
        <v>0</v>
      </c>
      <c r="F282" s="66" t="n">
        <f aca="false">E285</f>
        <v>0</v>
      </c>
      <c r="G282" s="66" t="n">
        <f aca="false">F285</f>
        <v>0</v>
      </c>
      <c r="H282" s="66" t="n">
        <f aca="false">G285</f>
        <v>0</v>
      </c>
      <c r="I282" s="66" t="n">
        <f aca="false">H285</f>
        <v>0</v>
      </c>
      <c r="J282" s="66" t="n">
        <f aca="false">I285</f>
        <v>0</v>
      </c>
      <c r="K282" s="66" t="n">
        <f aca="false">J285</f>
        <v>0</v>
      </c>
      <c r="L282" s="66" t="n">
        <f aca="false">K285</f>
        <v>0</v>
      </c>
      <c r="M282" s="66" t="n">
        <f aca="false">L285</f>
        <v>0</v>
      </c>
      <c r="N282" s="66" t="n">
        <f aca="false">M285</f>
        <v>0</v>
      </c>
      <c r="O282" s="66" t="n">
        <f aca="false">N285</f>
        <v>0</v>
      </c>
      <c r="P282" s="66" t="n">
        <f aca="false">O285</f>
        <v>0</v>
      </c>
      <c r="Q282" s="66" t="n">
        <f aca="false">P285</f>
        <v>0</v>
      </c>
      <c r="R282" s="66" t="n">
        <f aca="false">Q285</f>
        <v>0</v>
      </c>
      <c r="S282" s="66" t="n">
        <f aca="false">R285</f>
        <v>0</v>
      </c>
      <c r="T282" s="66" t="n">
        <f aca="false">S285</f>
        <v>0</v>
      </c>
      <c r="U282" s="66" t="n">
        <f aca="false">T285</f>
        <v>0</v>
      </c>
      <c r="V282" s="66" t="n">
        <f aca="false">U285</f>
        <v>0</v>
      </c>
      <c r="W282" s="66" t="n">
        <f aca="false">V285</f>
        <v>0</v>
      </c>
      <c r="X282" s="66" t="n">
        <f aca="false">W285</f>
        <v>0</v>
      </c>
      <c r="Y282" s="66" t="n">
        <f aca="false">X285</f>
        <v>0</v>
      </c>
      <c r="Z282" s="66" t="n">
        <f aca="false">Y285</f>
        <v>0</v>
      </c>
      <c r="AA282" s="66" t="n">
        <f aca="false">Z285</f>
        <v>0</v>
      </c>
      <c r="AB282" s="66" t="n">
        <f aca="false">AA285</f>
        <v>0</v>
      </c>
      <c r="AC282" s="66" t="n">
        <f aca="false">AB285</f>
        <v>0</v>
      </c>
      <c r="AD282" s="66" t="n">
        <f aca="false">AC285</f>
        <v>0</v>
      </c>
      <c r="AE282" s="66" t="n">
        <f aca="false">AD285</f>
        <v>0</v>
      </c>
      <c r="AF282" s="66" t="n">
        <f aca="false">AE285</f>
        <v>0</v>
      </c>
      <c r="AG282" s="66" t="n">
        <f aca="false">AF285</f>
        <v>0</v>
      </c>
      <c r="AH282" s="66" t="n">
        <f aca="false">AG285</f>
        <v>0</v>
      </c>
      <c r="AI282" s="66" t="n">
        <f aca="false">AH285</f>
        <v>0</v>
      </c>
      <c r="AJ282" s="66" t="n">
        <f aca="false">AI285</f>
        <v>0</v>
      </c>
      <c r="AK282" s="66" t="n">
        <f aca="false">AJ285</f>
        <v>0</v>
      </c>
      <c r="AL282" s="66" t="n">
        <f aca="false">AK285</f>
        <v>0</v>
      </c>
    </row>
    <row r="283" customFormat="false" ht="15" hidden="false" customHeight="false" outlineLevel="0" collapsed="false">
      <c r="A283" s="6" t="s">
        <v>84</v>
      </c>
      <c r="C283" s="66" t="n">
        <f aca="false">IF(C$232=1,Inputs!$D$47,0)</f>
        <v>0</v>
      </c>
      <c r="D283" s="66" t="n">
        <f aca="false">IF(D$232=1,Inputs!$D$47,0)</f>
        <v>0</v>
      </c>
      <c r="E283" s="66" t="n">
        <f aca="false">IF(E$232=1,Inputs!$D$47,0)</f>
        <v>0</v>
      </c>
      <c r="F283" s="66" t="n">
        <f aca="false">IF(F$232=1,Inputs!$D$47,0)</f>
        <v>0</v>
      </c>
      <c r="G283" s="66" t="n">
        <f aca="false">IF(G$232=1,Inputs!$D$47,0)</f>
        <v>0</v>
      </c>
      <c r="H283" s="66" t="n">
        <f aca="false">IF(H$232=1,Inputs!$D$47,0)</f>
        <v>0</v>
      </c>
      <c r="I283" s="66" t="n">
        <f aca="false">IF(I$232=1,Inputs!$D$47,0)</f>
        <v>0</v>
      </c>
      <c r="J283" s="66" t="n">
        <f aca="false">IF(J$232=1,Inputs!$D$47,0)</f>
        <v>0</v>
      </c>
      <c r="K283" s="66" t="n">
        <f aca="false">IF(K$232=1,Inputs!$D$47,0)</f>
        <v>0</v>
      </c>
      <c r="L283" s="66" t="n">
        <f aca="false">IF(L$232=1,Inputs!$D$47,0)</f>
        <v>0</v>
      </c>
      <c r="M283" s="66" t="n">
        <f aca="false">IF(M$232=1,Inputs!$D$47,0)</f>
        <v>0</v>
      </c>
      <c r="N283" s="66" t="n">
        <f aca="false">IF(N$232=1,Inputs!$D$47,0)</f>
        <v>0</v>
      </c>
      <c r="O283" s="66" t="n">
        <f aca="false">IF(O$232=1,Inputs!$D$47,0)</f>
        <v>0</v>
      </c>
      <c r="P283" s="66" t="n">
        <f aca="false">IF(P$232=1,Inputs!$D$47,0)</f>
        <v>0</v>
      </c>
      <c r="Q283" s="66" t="n">
        <f aca="false">IF(Q$232=1,Inputs!$D$47,0)</f>
        <v>0</v>
      </c>
      <c r="R283" s="66" t="n">
        <f aca="false">IF(R$232=1,Inputs!$D$47,0)</f>
        <v>0</v>
      </c>
      <c r="S283" s="66" t="n">
        <f aca="false">IF(S$232=1,Inputs!$D$47,0)</f>
        <v>0</v>
      </c>
      <c r="T283" s="66" t="n">
        <f aca="false">IF(T$232=1,Inputs!$D$47,0)</f>
        <v>0</v>
      </c>
      <c r="U283" s="66" t="n">
        <f aca="false">IF(U$232=1,Inputs!$D$47,0)</f>
        <v>0</v>
      </c>
      <c r="V283" s="66" t="n">
        <f aca="false">IF(V$232=1,Inputs!$D$47,0)</f>
        <v>0</v>
      </c>
      <c r="W283" s="66" t="n">
        <f aca="false">IF(W$232=1,Inputs!$D$47,0)</f>
        <v>0</v>
      </c>
      <c r="X283" s="66" t="n">
        <f aca="false">IF(X$232=1,Inputs!$D$47,0)</f>
        <v>0</v>
      </c>
      <c r="Y283" s="66" t="n">
        <f aca="false">IF(Y$232=1,Inputs!$D$47,0)</f>
        <v>0</v>
      </c>
      <c r="Z283" s="66" t="n">
        <f aca="false">IF(Z$232=1,Inputs!$D$47,0)</f>
        <v>0</v>
      </c>
      <c r="AA283" s="66" t="n">
        <f aca="false">IF(AA$232=1,Inputs!$D$47,0)</f>
        <v>0</v>
      </c>
      <c r="AB283" s="66" t="n">
        <f aca="false">IF(AB$232=1,Inputs!$D$47,0)</f>
        <v>0</v>
      </c>
      <c r="AC283" s="66" t="n">
        <f aca="false">IF(AC$232=1,Inputs!$D$47,0)</f>
        <v>0</v>
      </c>
      <c r="AD283" s="66" t="n">
        <f aca="false">IF(AD$232=1,Inputs!$D$47,0)</f>
        <v>0</v>
      </c>
      <c r="AE283" s="66" t="n">
        <f aca="false">IF(AE$232=1,Inputs!$D$47,0)</f>
        <v>0</v>
      </c>
      <c r="AF283" s="66" t="n">
        <f aca="false">IF(AF$232=1,Inputs!$D$47,0)</f>
        <v>0</v>
      </c>
      <c r="AG283" s="66" t="n">
        <f aca="false">IF(AG$232=1,Inputs!$D$47,0)</f>
        <v>0</v>
      </c>
      <c r="AH283" s="66" t="n">
        <f aca="false">IF(AH$232=1,Inputs!$D$47,0)</f>
        <v>0</v>
      </c>
      <c r="AI283" s="66" t="n">
        <f aca="false">IF(AI$232=1,Inputs!$D$47,0)</f>
        <v>0</v>
      </c>
      <c r="AJ283" s="66" t="n">
        <f aca="false">IF(AJ$232=1,Inputs!$D$47,0)</f>
        <v>0</v>
      </c>
      <c r="AK283" s="66" t="n">
        <f aca="false">IF(AK$232=1,Inputs!$D$47,0)</f>
        <v>0</v>
      </c>
      <c r="AL283" s="66" t="n">
        <f aca="false">IF(AL$232=1,Inputs!$D$47,0)</f>
        <v>0</v>
      </c>
    </row>
    <row r="284" customFormat="false" ht="15" hidden="false" customHeight="false" outlineLevel="0" collapsed="false">
      <c r="A284" s="6" t="s">
        <v>85</v>
      </c>
      <c r="C284" s="66" t="n">
        <f aca="false">-MIN(C282,Inputs!$D$47/MAX(1,Inputs!$D$49*12))</f>
        <v>-0</v>
      </c>
      <c r="D284" s="66" t="n">
        <f aca="false">-MIN(D282,Inputs!$D$47/MAX(1,Inputs!$D$49*12))</f>
        <v>-0</v>
      </c>
      <c r="E284" s="66" t="n">
        <f aca="false">-MIN(E282,Inputs!$D$47/MAX(1,Inputs!$D$49*12))</f>
        <v>-0</v>
      </c>
      <c r="F284" s="66" t="n">
        <f aca="false">-MIN(F282,Inputs!$D$47/MAX(1,Inputs!$D$49*12))</f>
        <v>-0</v>
      </c>
      <c r="G284" s="66" t="n">
        <f aca="false">-MIN(G282,Inputs!$D$47/MAX(1,Inputs!$D$49*12))</f>
        <v>-0</v>
      </c>
      <c r="H284" s="66" t="n">
        <f aca="false">-MIN(H282,Inputs!$D$47/MAX(1,Inputs!$D$49*12))</f>
        <v>-0</v>
      </c>
      <c r="I284" s="66" t="n">
        <f aca="false">-MIN(I282,Inputs!$D$47/MAX(1,Inputs!$D$49*12))</f>
        <v>-0</v>
      </c>
      <c r="J284" s="66" t="n">
        <f aca="false">-MIN(J282,Inputs!$D$47/MAX(1,Inputs!$D$49*12))</f>
        <v>-0</v>
      </c>
      <c r="K284" s="66" t="n">
        <f aca="false">-MIN(K282,Inputs!$D$47/MAX(1,Inputs!$D$49*12))</f>
        <v>-0</v>
      </c>
      <c r="L284" s="66" t="n">
        <f aca="false">-MIN(L282,Inputs!$D$47/MAX(1,Inputs!$D$49*12))</f>
        <v>-0</v>
      </c>
      <c r="M284" s="66" t="n">
        <f aca="false">-MIN(M282,Inputs!$D$47/MAX(1,Inputs!$D$49*12))</f>
        <v>-0</v>
      </c>
      <c r="N284" s="66" t="n">
        <f aca="false">-MIN(N282,Inputs!$D$47/MAX(1,Inputs!$D$49*12))</f>
        <v>-0</v>
      </c>
      <c r="O284" s="66" t="n">
        <f aca="false">-MIN(O282,Inputs!$D$47/MAX(1,Inputs!$D$49*12))</f>
        <v>-0</v>
      </c>
      <c r="P284" s="66" t="n">
        <f aca="false">-MIN(P282,Inputs!$D$47/MAX(1,Inputs!$D$49*12))</f>
        <v>-0</v>
      </c>
      <c r="Q284" s="66" t="n">
        <f aca="false">-MIN(Q282,Inputs!$D$47/MAX(1,Inputs!$D$49*12))</f>
        <v>-0</v>
      </c>
      <c r="R284" s="66" t="n">
        <f aca="false">-MIN(R282,Inputs!$D$47/MAX(1,Inputs!$D$49*12))</f>
        <v>-0</v>
      </c>
      <c r="S284" s="66" t="n">
        <f aca="false">-MIN(S282,Inputs!$D$47/MAX(1,Inputs!$D$49*12))</f>
        <v>-0</v>
      </c>
      <c r="T284" s="66" t="n">
        <f aca="false">-MIN(T282,Inputs!$D$47/MAX(1,Inputs!$D$49*12))</f>
        <v>-0</v>
      </c>
      <c r="U284" s="66" t="n">
        <f aca="false">-MIN(U282,Inputs!$D$47/MAX(1,Inputs!$D$49*12))</f>
        <v>-0</v>
      </c>
      <c r="V284" s="66" t="n">
        <f aca="false">-MIN(V282,Inputs!$D$47/MAX(1,Inputs!$D$49*12))</f>
        <v>-0</v>
      </c>
      <c r="W284" s="66" t="n">
        <f aca="false">-MIN(W282,Inputs!$D$47/MAX(1,Inputs!$D$49*12))</f>
        <v>-0</v>
      </c>
      <c r="X284" s="66" t="n">
        <f aca="false">-MIN(X282,Inputs!$D$47/MAX(1,Inputs!$D$49*12))</f>
        <v>-0</v>
      </c>
      <c r="Y284" s="66" t="n">
        <f aca="false">-MIN(Y282,Inputs!$D$47/MAX(1,Inputs!$D$49*12))</f>
        <v>-0</v>
      </c>
      <c r="Z284" s="66" t="n">
        <f aca="false">-MIN(Z282,Inputs!$D$47/MAX(1,Inputs!$D$49*12))</f>
        <v>-0</v>
      </c>
      <c r="AA284" s="66" t="n">
        <f aca="false">-MIN(AA282,Inputs!$D$47/MAX(1,Inputs!$D$49*12))</f>
        <v>-0</v>
      </c>
      <c r="AB284" s="66" t="n">
        <f aca="false">-MIN(AB282,Inputs!$D$47/MAX(1,Inputs!$D$49*12))</f>
        <v>-0</v>
      </c>
      <c r="AC284" s="66" t="n">
        <f aca="false">-MIN(AC282,Inputs!$D$47/MAX(1,Inputs!$D$49*12))</f>
        <v>-0</v>
      </c>
      <c r="AD284" s="66" t="n">
        <f aca="false">-MIN(AD282,Inputs!$D$47/MAX(1,Inputs!$D$49*12))</f>
        <v>-0</v>
      </c>
      <c r="AE284" s="66" t="n">
        <f aca="false">-MIN(AE282,Inputs!$D$47/MAX(1,Inputs!$D$49*12))</f>
        <v>-0</v>
      </c>
      <c r="AF284" s="66" t="n">
        <f aca="false">-MIN(AF282,Inputs!$D$47/MAX(1,Inputs!$D$49*12))</f>
        <v>-0</v>
      </c>
      <c r="AG284" s="66" t="n">
        <f aca="false">-MIN(AG282,Inputs!$D$47/MAX(1,Inputs!$D$49*12))</f>
        <v>-0</v>
      </c>
      <c r="AH284" s="66" t="n">
        <f aca="false">-MIN(AH282,Inputs!$D$47/MAX(1,Inputs!$D$49*12))</f>
        <v>-0</v>
      </c>
      <c r="AI284" s="66" t="n">
        <f aca="false">-MIN(AI282,Inputs!$D$47/MAX(1,Inputs!$D$49*12))</f>
        <v>-0</v>
      </c>
      <c r="AJ284" s="66" t="n">
        <f aca="false">-MIN(AJ282,Inputs!$D$47/MAX(1,Inputs!$D$49*12))</f>
        <v>-0</v>
      </c>
      <c r="AK284" s="66" t="n">
        <f aca="false">-MIN(AK282,Inputs!$D$47/MAX(1,Inputs!$D$49*12))</f>
        <v>-0</v>
      </c>
      <c r="AL284" s="66" t="n">
        <f aca="false">-MIN(AL282,Inputs!$D$47/MAX(1,Inputs!$D$49*12))</f>
        <v>-0</v>
      </c>
    </row>
    <row r="285" customFormat="false" ht="15" hidden="false" customHeight="false" outlineLevel="0" collapsed="false">
      <c r="A285" s="4" t="s">
        <v>393</v>
      </c>
      <c r="C285" s="72" t="n">
        <f aca="false">C282+C283+C284</f>
        <v>0</v>
      </c>
      <c r="D285" s="72" t="n">
        <f aca="false">D282+D283+D284</f>
        <v>0</v>
      </c>
      <c r="E285" s="72" t="n">
        <f aca="false">E282+E283+E284</f>
        <v>0</v>
      </c>
      <c r="F285" s="72" t="n">
        <f aca="false">F282+F283+F284</f>
        <v>0</v>
      </c>
      <c r="G285" s="72" t="n">
        <f aca="false">G282+G283+G284</f>
        <v>0</v>
      </c>
      <c r="H285" s="72" t="n">
        <f aca="false">H282+H283+H284</f>
        <v>0</v>
      </c>
      <c r="I285" s="72" t="n">
        <f aca="false">I282+I283+I284</f>
        <v>0</v>
      </c>
      <c r="J285" s="72" t="n">
        <f aca="false">J282+J283+J284</f>
        <v>0</v>
      </c>
      <c r="K285" s="72" t="n">
        <f aca="false">K282+K283+K284</f>
        <v>0</v>
      </c>
      <c r="L285" s="72" t="n">
        <f aca="false">L282+L283+L284</f>
        <v>0</v>
      </c>
      <c r="M285" s="72" t="n">
        <f aca="false">M282+M283+M284</f>
        <v>0</v>
      </c>
      <c r="N285" s="72" t="n">
        <f aca="false">N282+N283+N284</f>
        <v>0</v>
      </c>
      <c r="O285" s="72" t="n">
        <f aca="false">O282+O283+O284</f>
        <v>0</v>
      </c>
      <c r="P285" s="72" t="n">
        <f aca="false">P282+P283+P284</f>
        <v>0</v>
      </c>
      <c r="Q285" s="72" t="n">
        <f aca="false">Q282+Q283+Q284</f>
        <v>0</v>
      </c>
      <c r="R285" s="72" t="n">
        <f aca="false">R282+R283+R284</f>
        <v>0</v>
      </c>
      <c r="S285" s="72" t="n">
        <f aca="false">S282+S283+S284</f>
        <v>0</v>
      </c>
      <c r="T285" s="72" t="n">
        <f aca="false">T282+T283+T284</f>
        <v>0</v>
      </c>
      <c r="U285" s="72" t="n">
        <f aca="false">U282+U283+U284</f>
        <v>0</v>
      </c>
      <c r="V285" s="72" t="n">
        <f aca="false">V282+V283+V284</f>
        <v>0</v>
      </c>
      <c r="W285" s="72" t="n">
        <f aca="false">W282+W283+W284</f>
        <v>0</v>
      </c>
      <c r="X285" s="72" t="n">
        <f aca="false">X282+X283+X284</f>
        <v>0</v>
      </c>
      <c r="Y285" s="72" t="n">
        <f aca="false">Y282+Y283+Y284</f>
        <v>0</v>
      </c>
      <c r="Z285" s="72" t="n">
        <f aca="false">Z282+Z283+Z284</f>
        <v>0</v>
      </c>
      <c r="AA285" s="72" t="n">
        <f aca="false">AA282+AA283+AA284</f>
        <v>0</v>
      </c>
      <c r="AB285" s="72" t="n">
        <f aca="false">AB282+AB283+AB284</f>
        <v>0</v>
      </c>
      <c r="AC285" s="72" t="n">
        <f aca="false">AC282+AC283+AC284</f>
        <v>0</v>
      </c>
      <c r="AD285" s="72" t="n">
        <f aca="false">AD282+AD283+AD284</f>
        <v>0</v>
      </c>
      <c r="AE285" s="72" t="n">
        <f aca="false">AE282+AE283+AE284</f>
        <v>0</v>
      </c>
      <c r="AF285" s="72" t="n">
        <f aca="false">AF282+AF283+AF284</f>
        <v>0</v>
      </c>
      <c r="AG285" s="72" t="n">
        <f aca="false">AG282+AG283+AG284</f>
        <v>0</v>
      </c>
      <c r="AH285" s="72" t="n">
        <f aca="false">AH282+AH283+AH284</f>
        <v>0</v>
      </c>
      <c r="AI285" s="72" t="n">
        <f aca="false">AI282+AI283+AI284</f>
        <v>0</v>
      </c>
      <c r="AJ285" s="72" t="n">
        <f aca="false">AJ282+AJ283+AJ284</f>
        <v>0</v>
      </c>
      <c r="AK285" s="72" t="n">
        <f aca="false">AK282+AK283+AK284</f>
        <v>0</v>
      </c>
      <c r="AL285" s="72" t="n">
        <f aca="false">AL282+AL283+AL284</f>
        <v>0</v>
      </c>
    </row>
    <row r="287" customFormat="false" ht="15.75" hidden="false" customHeight="true" outlineLevel="0" collapsed="false">
      <c r="A287" s="7" t="s">
        <v>299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customFormat="false" ht="15" hidden="false" customHeight="false" outlineLevel="0" collapsed="false">
      <c r="A288" s="6" t="s">
        <v>89</v>
      </c>
      <c r="C288" s="66" t="n">
        <f aca="false">C252*Inputs!$D$52/30</f>
        <v>997.191666666667</v>
      </c>
      <c r="D288" s="66" t="n">
        <f aca="false">D252*Inputs!$D$52/30</f>
        <v>1797.55308333333</v>
      </c>
      <c r="E288" s="66" t="n">
        <f aca="false">E252*Inputs!$D$52/30</f>
        <v>2589.91088583333</v>
      </c>
      <c r="F288" s="66" t="n">
        <f aca="false">F252*Inputs!$D$52/30</f>
        <v>3374.34511030833</v>
      </c>
      <c r="G288" s="66" t="n">
        <f aca="false">G252*Inputs!$D$52/30</f>
        <v>4150.93499253858</v>
      </c>
      <c r="H288" s="66" t="n">
        <f aca="false">H252*Inputs!$D$52/30</f>
        <v>4919.75897594653</v>
      </c>
      <c r="I288" s="66" t="n">
        <f aca="false">I252*Inputs!$D$52/30</f>
        <v>5680.8947195204</v>
      </c>
      <c r="J288" s="66" t="n">
        <f aca="false">J252*Inputs!$D$52/30</f>
        <v>6434.41910565853</v>
      </c>
      <c r="K288" s="66" t="n">
        <f aca="false">K252*Inputs!$D$52/30</f>
        <v>7180.40824793528</v>
      </c>
      <c r="L288" s="66" t="n">
        <f aca="false">L252*Inputs!$D$52/30</f>
        <v>7918.93749878926</v>
      </c>
      <c r="M288" s="66" t="n">
        <f aca="false">M252*Inputs!$D$52/30</f>
        <v>8650.0814571347</v>
      </c>
      <c r="N288" s="66" t="n">
        <f aca="false">N252*Inputs!$D$52/30</f>
        <v>9373.91397589669</v>
      </c>
      <c r="O288" s="66" t="n">
        <f aca="false">O252*Inputs!$D$52/30</f>
        <v>10252.0790028044</v>
      </c>
      <c r="P288" s="66" t="n">
        <f aca="false">P252*Inputs!$D$52/30</f>
        <v>11283.0332127763</v>
      </c>
      <c r="Q288" s="66" t="n">
        <f aca="false">Q252*Inputs!$D$52/30</f>
        <v>12303.6778806486</v>
      </c>
      <c r="R288" s="66" t="n">
        <f aca="false">R252*Inputs!$D$52/30</f>
        <v>13314.1161018421</v>
      </c>
      <c r="S288" s="66" t="n">
        <f aca="false">S252*Inputs!$D$52/30</f>
        <v>14314.4499408237</v>
      </c>
      <c r="T288" s="66" t="n">
        <f aca="false">T252*Inputs!$D$52/30</f>
        <v>15304.7804414154</v>
      </c>
      <c r="U288" s="66" t="n">
        <f aca="false">U252*Inputs!$D$52/30</f>
        <v>16285.2076370013</v>
      </c>
      <c r="V288" s="66" t="n">
        <f aca="false">V252*Inputs!$D$52/30</f>
        <v>17255.8305606313</v>
      </c>
      <c r="W288" s="66" t="n">
        <f aca="false">W252*Inputs!$D$52/30</f>
        <v>18216.747255025</v>
      </c>
      <c r="X288" s="66" t="n">
        <f aca="false">X252*Inputs!$D$52/30</f>
        <v>19168.0547824747</v>
      </c>
      <c r="Y288" s="66" t="n">
        <f aca="false">Y252*Inputs!$D$52/30</f>
        <v>20109.84923465</v>
      </c>
      <c r="Z288" s="66" t="n">
        <f aca="false">Z252*Inputs!$D$52/30</f>
        <v>21042.2257423035</v>
      </c>
      <c r="AA288" s="66" t="n">
        <f aca="false">AA252*Inputs!$D$52/30</f>
        <v>22201.1885473804</v>
      </c>
      <c r="AB288" s="66" t="n">
        <f aca="false">AB252*Inputs!$D$52/30</f>
        <v>23584.4717869066</v>
      </c>
      <c r="AC288" s="66" t="n">
        <f aca="false">AC252*Inputs!$D$52/30</f>
        <v>24953.9221940376</v>
      </c>
      <c r="AD288" s="66" t="n">
        <f aca="false">AD252*Inputs!$D$52/30</f>
        <v>26309.6780970972</v>
      </c>
      <c r="AE288" s="66" t="n">
        <f aca="false">AE252*Inputs!$D$52/30</f>
        <v>27651.8764411262</v>
      </c>
      <c r="AF288" s="66" t="n">
        <f aca="false">AF252*Inputs!$D$52/30</f>
        <v>28980.652801715</v>
      </c>
      <c r="AG288" s="66" t="n">
        <f aca="false">AG252*Inputs!$D$52/30</f>
        <v>30296.1413986978</v>
      </c>
      <c r="AH288" s="66" t="n">
        <f aca="false">AH252*Inputs!$D$52/30</f>
        <v>31598.4751097108</v>
      </c>
      <c r="AI288" s="66" t="n">
        <f aca="false">AI252*Inputs!$D$52/30</f>
        <v>32887.7854836137</v>
      </c>
      <c r="AJ288" s="66" t="n">
        <f aca="false">AJ252*Inputs!$D$52/30</f>
        <v>34164.2027537776</v>
      </c>
      <c r="AK288" s="66" t="n">
        <f aca="false">AK252*Inputs!$D$52/30</f>
        <v>35427.8558512398</v>
      </c>
      <c r="AL288" s="66" t="n">
        <f aca="false">AL252*Inputs!$D$52/30</f>
        <v>36678.8724177274</v>
      </c>
    </row>
    <row r="289" customFormat="false" ht="15" hidden="false" customHeight="false" outlineLevel="0" collapsed="false">
      <c r="A289" s="6" t="s">
        <v>90</v>
      </c>
      <c r="C289" s="66" t="n">
        <f aca="false">-C253*Inputs!$D$53/30</f>
        <v>0</v>
      </c>
      <c r="D289" s="66" t="n">
        <f aca="false">-D253*Inputs!$D$53/30</f>
        <v>0</v>
      </c>
      <c r="E289" s="66" t="n">
        <f aca="false">-E253*Inputs!$D$53/30</f>
        <v>0</v>
      </c>
      <c r="F289" s="66" t="n">
        <f aca="false">-F253*Inputs!$D$53/30</f>
        <v>0</v>
      </c>
      <c r="G289" s="66" t="n">
        <f aca="false">-G253*Inputs!$D$53/30</f>
        <v>0</v>
      </c>
      <c r="H289" s="66" t="n">
        <f aca="false">-H253*Inputs!$D$53/30</f>
        <v>0</v>
      </c>
      <c r="I289" s="66" t="n">
        <f aca="false">-I253*Inputs!$D$53/30</f>
        <v>0</v>
      </c>
      <c r="J289" s="66" t="n">
        <f aca="false">-J253*Inputs!$D$53/30</f>
        <v>0</v>
      </c>
      <c r="K289" s="66" t="n">
        <f aca="false">-K253*Inputs!$D$53/30</f>
        <v>0</v>
      </c>
      <c r="L289" s="66" t="n">
        <f aca="false">-L253*Inputs!$D$53/30</f>
        <v>0</v>
      </c>
      <c r="M289" s="66" t="n">
        <f aca="false">-M253*Inputs!$D$53/30</f>
        <v>0</v>
      </c>
      <c r="N289" s="66" t="n">
        <f aca="false">-N253*Inputs!$D$53/30</f>
        <v>0</v>
      </c>
      <c r="O289" s="66" t="n">
        <f aca="false">-O253*Inputs!$D$53/30</f>
        <v>0</v>
      </c>
      <c r="P289" s="66" t="n">
        <f aca="false">-P253*Inputs!$D$53/30</f>
        <v>0</v>
      </c>
      <c r="Q289" s="66" t="n">
        <f aca="false">-Q253*Inputs!$D$53/30</f>
        <v>0</v>
      </c>
      <c r="R289" s="66" t="n">
        <f aca="false">-R253*Inputs!$D$53/30</f>
        <v>0</v>
      </c>
      <c r="S289" s="66" t="n">
        <f aca="false">-S253*Inputs!$D$53/30</f>
        <v>0</v>
      </c>
      <c r="T289" s="66" t="n">
        <f aca="false">-T253*Inputs!$D$53/30</f>
        <v>0</v>
      </c>
      <c r="U289" s="66" t="n">
        <f aca="false">-U253*Inputs!$D$53/30</f>
        <v>0</v>
      </c>
      <c r="V289" s="66" t="n">
        <f aca="false">-V253*Inputs!$D$53/30</f>
        <v>0</v>
      </c>
      <c r="W289" s="66" t="n">
        <f aca="false">-W253*Inputs!$D$53/30</f>
        <v>0</v>
      </c>
      <c r="X289" s="66" t="n">
        <f aca="false">-X253*Inputs!$D$53/30</f>
        <v>0</v>
      </c>
      <c r="Y289" s="66" t="n">
        <f aca="false">-Y253*Inputs!$D$53/30</f>
        <v>0</v>
      </c>
      <c r="Z289" s="66" t="n">
        <f aca="false">-Z253*Inputs!$D$53/30</f>
        <v>0</v>
      </c>
      <c r="AA289" s="66" t="n">
        <f aca="false">-AA253*Inputs!$D$53/30</f>
        <v>0</v>
      </c>
      <c r="AB289" s="66" t="n">
        <f aca="false">-AB253*Inputs!$D$53/30</f>
        <v>0</v>
      </c>
      <c r="AC289" s="66" t="n">
        <f aca="false">-AC253*Inputs!$D$53/30</f>
        <v>0</v>
      </c>
      <c r="AD289" s="66" t="n">
        <f aca="false">-AD253*Inputs!$D$53/30</f>
        <v>0</v>
      </c>
      <c r="AE289" s="66" t="n">
        <f aca="false">-AE253*Inputs!$D$53/30</f>
        <v>0</v>
      </c>
      <c r="AF289" s="66" t="n">
        <f aca="false">-AF253*Inputs!$D$53/30</f>
        <v>0</v>
      </c>
      <c r="AG289" s="66" t="n">
        <f aca="false">-AG253*Inputs!$D$53/30</f>
        <v>0</v>
      </c>
      <c r="AH289" s="66" t="n">
        <f aca="false">-AH253*Inputs!$D$53/30</f>
        <v>0</v>
      </c>
      <c r="AI289" s="66" t="n">
        <f aca="false">-AI253*Inputs!$D$53/30</f>
        <v>0</v>
      </c>
      <c r="AJ289" s="66" t="n">
        <f aca="false">-AJ253*Inputs!$D$53/30</f>
        <v>0</v>
      </c>
      <c r="AK289" s="66" t="n">
        <f aca="false">-AK253*Inputs!$D$53/30</f>
        <v>0</v>
      </c>
      <c r="AL289" s="66" t="n">
        <f aca="false">-AL253*Inputs!$D$53/30</f>
        <v>0</v>
      </c>
    </row>
    <row r="290" customFormat="false" ht="15" hidden="false" customHeight="false" outlineLevel="0" collapsed="false">
      <c r="A290" s="6" t="s">
        <v>93</v>
      </c>
      <c r="C290" s="66" t="n">
        <f aca="false">-C253*Inputs!$D$54/30</f>
        <v>553.844857142857</v>
      </c>
      <c r="D290" s="66" t="n">
        <f aca="false">-D253*Inputs!$D$54/30</f>
        <v>997.800194285714</v>
      </c>
      <c r="E290" s="66" t="n">
        <f aca="false">-E253*Inputs!$D$54/30</f>
        <v>1436.71815948571</v>
      </c>
      <c r="F290" s="66" t="n">
        <f aca="false">-F253*Inputs!$D$54/30</f>
        <v>1870.66108283371</v>
      </c>
      <c r="G290" s="66" t="n">
        <f aca="false">-G253*Inputs!$D$54/30</f>
        <v>2299.69043199223</v>
      </c>
      <c r="H290" s="66" t="n">
        <f aca="false">-H253*Inputs!$D$54/30</f>
        <v>2723.86682560229</v>
      </c>
      <c r="I290" s="66" t="n">
        <f aca="false">-I253*Inputs!$D$54/30</f>
        <v>3143.2500464605</v>
      </c>
      <c r="J290" s="66" t="n">
        <f aca="false">-J253*Inputs!$D$54/30</f>
        <v>3557.8990544707</v>
      </c>
      <c r="K290" s="66" t="n">
        <f aca="false">-K253*Inputs!$D$54/30</f>
        <v>3967.87199937416</v>
      </c>
      <c r="L290" s="66" t="n">
        <f aca="false">-L253*Inputs!$D$54/30</f>
        <v>4373.22623326249</v>
      </c>
      <c r="M290" s="66" t="n">
        <f aca="false">-M253*Inputs!$D$54/30</f>
        <v>4774.01832287714</v>
      </c>
      <c r="N290" s="66" t="n">
        <f aca="false">-N253*Inputs!$D$54/30</f>
        <v>5170.30406169956</v>
      </c>
      <c r="O290" s="66" t="n">
        <f aca="false">-O253*Inputs!$D$54/30</f>
        <v>5649.87105326415</v>
      </c>
      <c r="P290" s="66" t="n">
        <f aca="false">-P253*Inputs!$D$54/30</f>
        <v>6211.79446855519</v>
      </c>
      <c r="Q290" s="66" t="n">
        <f aca="false">-Q253*Inputs!$D$54/30</f>
        <v>6767.42799574827</v>
      </c>
      <c r="R290" s="66" t="n">
        <f aca="false">-R253*Inputs!$D$54/30</f>
        <v>7316.84794680328</v>
      </c>
      <c r="S290" s="66" t="n">
        <f aca="false">-S253*Inputs!$D$54/30</f>
        <v>7860.12960229891</v>
      </c>
      <c r="T290" s="66" t="n">
        <f aca="false">-T253*Inputs!$D$54/30</f>
        <v>8397.34722711174</v>
      </c>
      <c r="U290" s="66" t="n">
        <f aca="false">-U253*Inputs!$D$54/30</f>
        <v>8928.57408583116</v>
      </c>
      <c r="V290" s="66" t="n">
        <f aca="false">-V253*Inputs!$D$54/30</f>
        <v>9453.882457915</v>
      </c>
      <c r="W290" s="66" t="n">
        <f aca="false">-W253*Inputs!$D$54/30</f>
        <v>9973.34365259059</v>
      </c>
      <c r="X290" s="66" t="n">
        <f aca="false">-X253*Inputs!$D$54/30</f>
        <v>10487.0280235058</v>
      </c>
      <c r="Y290" s="66" t="n">
        <f aca="false">-Y253*Inputs!$D$54/30</f>
        <v>10995.0049831344</v>
      </c>
      <c r="Z290" s="66" t="n">
        <f aca="false">-Z253*Inputs!$D$54/30</f>
        <v>11497.3430169409</v>
      </c>
      <c r="AA290" s="66" t="n">
        <f aca="false">-AA253*Inputs!$D$54/30</f>
        <v>12121.5858130223</v>
      </c>
      <c r="AB290" s="66" t="n">
        <f aca="false">-AB253*Inputs!$D$54/30</f>
        <v>12866.3828903607</v>
      </c>
      <c r="AC290" s="66" t="n">
        <f aca="false">-AC253*Inputs!$D$54/30</f>
        <v>13602.923785702</v>
      </c>
      <c r="AD290" s="66" t="n">
        <f aca="false">-AD253*Inputs!$D$54/30</f>
        <v>14331.3072250908</v>
      </c>
      <c r="AE290" s="66" t="n">
        <f aca="false">-AE253*Inputs!$D$54/30</f>
        <v>15051.6306240265</v>
      </c>
      <c r="AF290" s="66" t="n">
        <f aca="false">-AF253*Inputs!$D$54/30</f>
        <v>15763.9901070348</v>
      </c>
      <c r="AG290" s="66" t="n">
        <f aca="false">-AG253*Inputs!$D$54/30</f>
        <v>16468.4805269137</v>
      </c>
      <c r="AH290" s="66" t="n">
        <f aca="false">-AH253*Inputs!$D$54/30</f>
        <v>17165.1954836606</v>
      </c>
      <c r="AI290" s="66" t="n">
        <f aca="false">-AI253*Inputs!$D$54/30</f>
        <v>17854.2273430855</v>
      </c>
      <c r="AJ290" s="66" t="n">
        <f aca="false">-AJ253*Inputs!$D$54/30</f>
        <v>18535.6672551165</v>
      </c>
      <c r="AK290" s="66" t="n">
        <f aca="false">-AK253*Inputs!$D$54/30</f>
        <v>19209.6051718038</v>
      </c>
      <c r="AL290" s="66" t="n">
        <f aca="false">-AL253*Inputs!$D$54/30</f>
        <v>19876.1298650251</v>
      </c>
    </row>
    <row r="291" customFormat="false" ht="15" hidden="false" customHeight="false" outlineLevel="0" collapsed="false">
      <c r="A291" s="6" t="s">
        <v>322</v>
      </c>
      <c r="C291" s="66" t="n">
        <f aca="false">-C288</f>
        <v>-997.191666666667</v>
      </c>
      <c r="D291" s="66" t="n">
        <f aca="false">C288-D288</f>
        <v>-800.361416666667</v>
      </c>
      <c r="E291" s="66" t="n">
        <f aca="false">D288-E288</f>
        <v>-792.3578025</v>
      </c>
      <c r="F291" s="66" t="n">
        <f aca="false">E288-F288</f>
        <v>-784.434224475001</v>
      </c>
      <c r="G291" s="66" t="n">
        <f aca="false">F288-G288</f>
        <v>-776.589882230249</v>
      </c>
      <c r="H291" s="66" t="n">
        <f aca="false">G288-H288</f>
        <v>-768.823983407948</v>
      </c>
      <c r="I291" s="66" t="n">
        <f aca="false">H288-I288</f>
        <v>-761.135743573868</v>
      </c>
      <c r="J291" s="66" t="n">
        <f aca="false">I288-J288</f>
        <v>-753.52438613813</v>
      </c>
      <c r="K291" s="66" t="n">
        <f aca="false">J288-K288</f>
        <v>-745.989142276749</v>
      </c>
      <c r="L291" s="66" t="n">
        <f aca="false">K288-L288</f>
        <v>-738.52925085398</v>
      </c>
      <c r="M291" s="66" t="n">
        <f aca="false">L288-M288</f>
        <v>-731.143958345441</v>
      </c>
      <c r="N291" s="66" t="n">
        <f aca="false">M288-N288</f>
        <v>-723.832518761987</v>
      </c>
      <c r="O291" s="66" t="n">
        <f aca="false">N288-O288</f>
        <v>-878.1650269077</v>
      </c>
      <c r="P291" s="66" t="n">
        <f aca="false">O288-P288</f>
        <v>-1030.95420997195</v>
      </c>
      <c r="Q291" s="66" t="n">
        <f aca="false">P288-Q288</f>
        <v>-1020.64466787224</v>
      </c>
      <c r="R291" s="66" t="n">
        <f aca="false">Q288-R288</f>
        <v>-1010.43822119351</v>
      </c>
      <c r="S291" s="66" t="n">
        <f aca="false">R288-S288</f>
        <v>-1000.33383898158</v>
      </c>
      <c r="T291" s="66" t="n">
        <f aca="false">S288-T288</f>
        <v>-990.330500591765</v>
      </c>
      <c r="U291" s="66" t="n">
        <f aca="false">T288-U288</f>
        <v>-980.427195585851</v>
      </c>
      <c r="V291" s="66" t="n">
        <f aca="false">U288-V288</f>
        <v>-970.622923629988</v>
      </c>
      <c r="W291" s="66" t="n">
        <f aca="false">V288-W288</f>
        <v>-960.916694393687</v>
      </c>
      <c r="X291" s="66" t="n">
        <f aca="false">W288-X288</f>
        <v>-951.307527449753</v>
      </c>
      <c r="Y291" s="66" t="n">
        <f aca="false">X288-Y288</f>
        <v>-941.794452175254</v>
      </c>
      <c r="Z291" s="66" t="n">
        <f aca="false">Y288-Z288</f>
        <v>-932.376507653502</v>
      </c>
      <c r="AA291" s="66" t="n">
        <f aca="false">Z288-AA288</f>
        <v>-1158.96280507697</v>
      </c>
      <c r="AB291" s="66" t="n">
        <f aca="false">AA288-AB288</f>
        <v>-1383.28323952619</v>
      </c>
      <c r="AC291" s="66" t="n">
        <f aca="false">AB288-AC288</f>
        <v>-1369.45040713093</v>
      </c>
      <c r="AD291" s="66" t="n">
        <f aca="false">AC288-AD288</f>
        <v>-1355.75590305962</v>
      </c>
      <c r="AE291" s="66" t="n">
        <f aca="false">AD288-AE288</f>
        <v>-1342.19834402903</v>
      </c>
      <c r="AF291" s="66" t="n">
        <f aca="false">AE288-AF288</f>
        <v>-1328.77636058873</v>
      </c>
      <c r="AG291" s="66" t="n">
        <f aca="false">AF288-AG288</f>
        <v>-1315.48859698285</v>
      </c>
      <c r="AH291" s="66" t="n">
        <f aca="false">AG288-AH288</f>
        <v>-1302.33371101302</v>
      </c>
      <c r="AI291" s="66" t="n">
        <f aca="false">AH288-AI288</f>
        <v>-1289.31037390288</v>
      </c>
      <c r="AJ291" s="66" t="n">
        <f aca="false">AI288-AJ288</f>
        <v>-1276.41727016387</v>
      </c>
      <c r="AK291" s="66" t="n">
        <f aca="false">AJ288-AK288</f>
        <v>-1263.65309746222</v>
      </c>
      <c r="AL291" s="66" t="n">
        <f aca="false">AK288-AL288</f>
        <v>-1251.0165664876</v>
      </c>
    </row>
    <row r="292" customFormat="false" ht="15" hidden="false" customHeight="false" outlineLevel="0" collapsed="false">
      <c r="A292" s="6" t="s">
        <v>323</v>
      </c>
      <c r="C292" s="66" t="n">
        <f aca="false">-C289</f>
        <v>-0</v>
      </c>
      <c r="D292" s="66" t="n">
        <f aca="false">C289-D289</f>
        <v>0</v>
      </c>
      <c r="E292" s="66" t="n">
        <f aca="false">D289-E289</f>
        <v>0</v>
      </c>
      <c r="F292" s="66" t="n">
        <f aca="false">E289-F289</f>
        <v>0</v>
      </c>
      <c r="G292" s="66" t="n">
        <f aca="false">F289-G289</f>
        <v>0</v>
      </c>
      <c r="H292" s="66" t="n">
        <f aca="false">G289-H289</f>
        <v>0</v>
      </c>
      <c r="I292" s="66" t="n">
        <f aca="false">H289-I289</f>
        <v>0</v>
      </c>
      <c r="J292" s="66" t="n">
        <f aca="false">I289-J289</f>
        <v>0</v>
      </c>
      <c r="K292" s="66" t="n">
        <f aca="false">J289-K289</f>
        <v>0</v>
      </c>
      <c r="L292" s="66" t="n">
        <f aca="false">K289-L289</f>
        <v>0</v>
      </c>
      <c r="M292" s="66" t="n">
        <f aca="false">L289-M289</f>
        <v>0</v>
      </c>
      <c r="N292" s="66" t="n">
        <f aca="false">M289-N289</f>
        <v>0</v>
      </c>
      <c r="O292" s="66" t="n">
        <f aca="false">N289-O289</f>
        <v>0</v>
      </c>
      <c r="P292" s="66" t="n">
        <f aca="false">O289-P289</f>
        <v>0</v>
      </c>
      <c r="Q292" s="66" t="n">
        <f aca="false">P289-Q289</f>
        <v>0</v>
      </c>
      <c r="R292" s="66" t="n">
        <f aca="false">Q289-R289</f>
        <v>0</v>
      </c>
      <c r="S292" s="66" t="n">
        <f aca="false">R289-S289</f>
        <v>0</v>
      </c>
      <c r="T292" s="66" t="n">
        <f aca="false">S289-T289</f>
        <v>0</v>
      </c>
      <c r="U292" s="66" t="n">
        <f aca="false">T289-U289</f>
        <v>0</v>
      </c>
      <c r="V292" s="66" t="n">
        <f aca="false">U289-V289</f>
        <v>0</v>
      </c>
      <c r="W292" s="66" t="n">
        <f aca="false">V289-W289</f>
        <v>0</v>
      </c>
      <c r="X292" s="66" t="n">
        <f aca="false">W289-X289</f>
        <v>0</v>
      </c>
      <c r="Y292" s="66" t="n">
        <f aca="false">X289-Y289</f>
        <v>0</v>
      </c>
      <c r="Z292" s="66" t="n">
        <f aca="false">Y289-Z289</f>
        <v>0</v>
      </c>
      <c r="AA292" s="66" t="n">
        <f aca="false">Z289-AA289</f>
        <v>0</v>
      </c>
      <c r="AB292" s="66" t="n">
        <f aca="false">AA289-AB289</f>
        <v>0</v>
      </c>
      <c r="AC292" s="66" t="n">
        <f aca="false">AB289-AC289</f>
        <v>0</v>
      </c>
      <c r="AD292" s="66" t="n">
        <f aca="false">AC289-AD289</f>
        <v>0</v>
      </c>
      <c r="AE292" s="66" t="n">
        <f aca="false">AD289-AE289</f>
        <v>0</v>
      </c>
      <c r="AF292" s="66" t="n">
        <f aca="false">AE289-AF289</f>
        <v>0</v>
      </c>
      <c r="AG292" s="66" t="n">
        <f aca="false">AF289-AG289</f>
        <v>0</v>
      </c>
      <c r="AH292" s="66" t="n">
        <f aca="false">AG289-AH289</f>
        <v>0</v>
      </c>
      <c r="AI292" s="66" t="n">
        <f aca="false">AH289-AI289</f>
        <v>0</v>
      </c>
      <c r="AJ292" s="66" t="n">
        <f aca="false">AI289-AJ289</f>
        <v>0</v>
      </c>
      <c r="AK292" s="66" t="n">
        <f aca="false">AJ289-AK289</f>
        <v>0</v>
      </c>
      <c r="AL292" s="66" t="n">
        <f aca="false">AK289-AL289</f>
        <v>0</v>
      </c>
    </row>
    <row r="293" customFormat="false" ht="15" hidden="false" customHeight="false" outlineLevel="0" collapsed="false">
      <c r="A293" s="6" t="s">
        <v>324</v>
      </c>
      <c r="C293" s="66" t="n">
        <f aca="false">C290</f>
        <v>553.844857142857</v>
      </c>
      <c r="D293" s="66" t="n">
        <f aca="false">D290-C290</f>
        <v>443.955337142857</v>
      </c>
      <c r="E293" s="66" t="n">
        <f aca="false">E290-D290</f>
        <v>438.9179652</v>
      </c>
      <c r="F293" s="66" t="n">
        <f aca="false">F290-E290</f>
        <v>433.942923348</v>
      </c>
      <c r="G293" s="66" t="n">
        <f aca="false">G290-F290</f>
        <v>429.02934915852</v>
      </c>
      <c r="H293" s="66" t="n">
        <f aca="false">H290-G290</f>
        <v>424.176393610055</v>
      </c>
      <c r="I293" s="66" t="n">
        <f aca="false">I290-H290</f>
        <v>419.383220858212</v>
      </c>
      <c r="J293" s="66" t="n">
        <f aca="false">J290-I290</f>
        <v>414.649008010202</v>
      </c>
      <c r="K293" s="66" t="n">
        <f aca="false">K290-J290</f>
        <v>409.972944903461</v>
      </c>
      <c r="L293" s="66" t="n">
        <f aca="false">L290-K290</f>
        <v>405.35423388832</v>
      </c>
      <c r="M293" s="66" t="n">
        <f aca="false">M290-L290</f>
        <v>400.792089614653</v>
      </c>
      <c r="N293" s="66" t="n">
        <f aca="false">N290-M290</f>
        <v>396.285738822418</v>
      </c>
      <c r="O293" s="66" t="n">
        <f aca="false">O290-N290</f>
        <v>479.566991564598</v>
      </c>
      <c r="P293" s="66" t="n">
        <f aca="false">P290-O290</f>
        <v>561.923415291035</v>
      </c>
      <c r="Q293" s="66" t="n">
        <f aca="false">Q290-P290</f>
        <v>555.63352719308</v>
      </c>
      <c r="R293" s="66" t="n">
        <f aca="false">R290-Q290</f>
        <v>549.419951055005</v>
      </c>
      <c r="S293" s="66" t="n">
        <f aca="false">S290-R290</f>
        <v>543.281655495635</v>
      </c>
      <c r="T293" s="66" t="n">
        <f aca="false">T290-S290</f>
        <v>537.217624812834</v>
      </c>
      <c r="U293" s="66" t="n">
        <f aca="false">U290-T290</f>
        <v>531.226858719416</v>
      </c>
      <c r="V293" s="66" t="n">
        <f aca="false">V290-U290</f>
        <v>525.308372083844</v>
      </c>
      <c r="W293" s="66" t="n">
        <f aca="false">W290-V290</f>
        <v>519.461194675587</v>
      </c>
      <c r="X293" s="66" t="n">
        <f aca="false">X290-W290</f>
        <v>513.684370915167</v>
      </c>
      <c r="Y293" s="66" t="n">
        <f aca="false">Y290-X290</f>
        <v>507.976959628619</v>
      </c>
      <c r="Z293" s="66" t="n">
        <f aca="false">Z290-Y290</f>
        <v>502.338033806493</v>
      </c>
      <c r="AA293" s="66" t="n">
        <f aca="false">AA290-Z290</f>
        <v>624.242796081384</v>
      </c>
      <c r="AB293" s="66" t="n">
        <f aca="false">AB290-AA290</f>
        <v>744.797077338406</v>
      </c>
      <c r="AC293" s="66" t="n">
        <f aca="false">AC290-AB290</f>
        <v>736.540895341368</v>
      </c>
      <c r="AD293" s="66" t="n">
        <f aca="false">AD290-AC290</f>
        <v>728.383439388766</v>
      </c>
      <c r="AE293" s="66" t="n">
        <f aca="false">AE290-AD290</f>
        <v>720.323398935678</v>
      </c>
      <c r="AF293" s="66" t="n">
        <f aca="false">AF290-AE290</f>
        <v>712.359483008304</v>
      </c>
      <c r="AG293" s="66" t="n">
        <f aca="false">AG290-AF290</f>
        <v>704.490419878965</v>
      </c>
      <c r="AH293" s="66" t="n">
        <f aca="false">AH290-AG290</f>
        <v>696.714956746902</v>
      </c>
      <c r="AI293" s="66" t="n">
        <f aca="false">AI290-AH290</f>
        <v>689.031859424827</v>
      </c>
      <c r="AJ293" s="66" t="n">
        <f aca="false">AJ290-AI290</f>
        <v>681.439912031066</v>
      </c>
      <c r="AK293" s="66" t="n">
        <f aca="false">AK290-AJ290</f>
        <v>673.937916687231</v>
      </c>
      <c r="AL293" s="66" t="n">
        <f aca="false">AL290-AK290</f>
        <v>666.524693221301</v>
      </c>
    </row>
    <row r="294" customFormat="false" ht="15" hidden="false" customHeight="false" outlineLevel="0" collapsed="false">
      <c r="A294" s="6" t="s">
        <v>94</v>
      </c>
      <c r="C294" s="66" t="n">
        <f aca="false">C249*Inputs!$D$17*6</f>
        <v>10075.56</v>
      </c>
      <c r="D294" s="66" t="n">
        <f aca="false">D249*Inputs!$D$17*6</f>
        <v>15809.2044</v>
      </c>
      <c r="E294" s="66" t="n">
        <f aca="false">E249*Inputs!$D$17*6</f>
        <v>21485.512356</v>
      </c>
      <c r="F294" s="66" t="n">
        <f aca="false">F249*Inputs!$D$17*6</f>
        <v>27105.05723244</v>
      </c>
      <c r="G294" s="66" t="n">
        <f aca="false">G249*Inputs!$D$17*6</f>
        <v>32668.4066601156</v>
      </c>
      <c r="H294" s="66" t="n">
        <f aca="false">H249*Inputs!$D$17*6</f>
        <v>38176.1225935145</v>
      </c>
      <c r="I294" s="66" t="n">
        <f aca="false">I249*Inputs!$D$17*6</f>
        <v>43628.7613675793</v>
      </c>
      <c r="J294" s="66" t="n">
        <f aca="false">J249*Inputs!$D$17*6</f>
        <v>49026.8737539035</v>
      </c>
      <c r="K294" s="66" t="n">
        <f aca="false">K249*Inputs!$D$17*6</f>
        <v>54371.0050163645</v>
      </c>
      <c r="L294" s="66" t="n">
        <f aca="false">L249*Inputs!$D$17*6</f>
        <v>59661.6949662008</v>
      </c>
      <c r="M294" s="66" t="n">
        <f aca="false">M249*Inputs!$D$17*6</f>
        <v>64899.4780165388</v>
      </c>
      <c r="N294" s="66" t="n">
        <f aca="false">N249*Inputs!$D$17*6</f>
        <v>70084.8832363734</v>
      </c>
      <c r="O294" s="66" t="n">
        <f aca="false">O249*Inputs!$D$17*6</f>
        <v>77545.0544040097</v>
      </c>
      <c r="P294" s="66" t="n">
        <f aca="false">P249*Inputs!$D$17*6</f>
        <v>84930.6238599696</v>
      </c>
      <c r="Q294" s="66" t="n">
        <f aca="false">Q249*Inputs!$D$17*6</f>
        <v>92242.3376213699</v>
      </c>
      <c r="R294" s="66" t="n">
        <f aca="false">R249*Inputs!$D$17*6</f>
        <v>99480.9342451562</v>
      </c>
      <c r="S294" s="66" t="n">
        <f aca="false">S249*Inputs!$D$17*6</f>
        <v>106647.144902705</v>
      </c>
      <c r="T294" s="66" t="n">
        <f aca="false">T249*Inputs!$D$17*6</f>
        <v>113741.693453678</v>
      </c>
      <c r="U294" s="66" t="n">
        <f aca="false">U249*Inputs!$D$17*6</f>
        <v>120765.296519141</v>
      </c>
      <c r="V294" s="66" t="n">
        <f aca="false">V249*Inputs!$D$17*6</f>
        <v>127718.66355395</v>
      </c>
      <c r="W294" s="66" t="n">
        <f aca="false">W249*Inputs!$D$17*6</f>
        <v>134602.49691841</v>
      </c>
      <c r="X294" s="66" t="n">
        <f aca="false">X249*Inputs!$D$17*6</f>
        <v>141417.491949226</v>
      </c>
      <c r="Y294" s="66" t="n">
        <f aca="false">Y249*Inputs!$D$17*6</f>
        <v>148164.337029734</v>
      </c>
      <c r="Z294" s="66" t="n">
        <f aca="false">Z249*Inputs!$D$17*6</f>
        <v>154843.713659436</v>
      </c>
      <c r="AA294" s="66" t="n">
        <f aca="false">AA249*Inputs!$D$17*6</f>
        <v>164853.401422842</v>
      </c>
      <c r="AB294" s="66" t="n">
        <f aca="false">AB249*Inputs!$D$17*6</f>
        <v>174762.992308614</v>
      </c>
      <c r="AC294" s="66" t="n">
        <f aca="false">AC249*Inputs!$D$17*6</f>
        <v>184573.487285527</v>
      </c>
      <c r="AD294" s="66" t="n">
        <f aca="false">AD249*Inputs!$D$17*6</f>
        <v>194285.877312672</v>
      </c>
      <c r="AE294" s="66" t="n">
        <f aca="false">AE249*Inputs!$D$17*6</f>
        <v>203901.143439545</v>
      </c>
      <c r="AF294" s="66" t="n">
        <f aca="false">AF249*Inputs!$D$17*6</f>
        <v>213420.25690515</v>
      </c>
      <c r="AG294" s="66" t="n">
        <f aca="false">AG249*Inputs!$D$17*6</f>
        <v>222844.179236098</v>
      </c>
      <c r="AH294" s="66" t="n">
        <f aca="false">AH249*Inputs!$D$17*6</f>
        <v>232173.862343737</v>
      </c>
      <c r="AI294" s="66" t="n">
        <f aca="false">AI249*Inputs!$D$17*6</f>
        <v>241410.2486203</v>
      </c>
      <c r="AJ294" s="66" t="n">
        <f aca="false">AJ249*Inputs!$D$17*6</f>
        <v>250554.271034097</v>
      </c>
      <c r="AK294" s="66" t="n">
        <f aca="false">AK249*Inputs!$D$17*6</f>
        <v>259606.853223756</v>
      </c>
      <c r="AL294" s="66" t="n">
        <f aca="false">AL249*Inputs!$D$17*6</f>
        <v>268568.909591519</v>
      </c>
    </row>
    <row r="295" customFormat="false" ht="15" hidden="false" customHeight="false" outlineLevel="0" collapsed="false">
      <c r="A295" s="6" t="s">
        <v>325</v>
      </c>
      <c r="C295" s="66" t="n">
        <f aca="false">C294</f>
        <v>10075.56</v>
      </c>
      <c r="D295" s="66" t="n">
        <f aca="false">D294-C294</f>
        <v>5733.64440000001</v>
      </c>
      <c r="E295" s="66" t="n">
        <f aca="false">E294-D294</f>
        <v>5676.307956</v>
      </c>
      <c r="F295" s="66" t="n">
        <f aca="false">F294-E294</f>
        <v>5619.54487644</v>
      </c>
      <c r="G295" s="66" t="n">
        <f aca="false">G294-F294</f>
        <v>5563.3494276756</v>
      </c>
      <c r="H295" s="66" t="n">
        <f aca="false">H294-G294</f>
        <v>5507.71593339885</v>
      </c>
      <c r="I295" s="66" t="n">
        <f aca="false">I294-H294</f>
        <v>5452.63877406486</v>
      </c>
      <c r="J295" s="66" t="n">
        <f aca="false">J294-I294</f>
        <v>5398.11238632422</v>
      </c>
      <c r="K295" s="66" t="n">
        <f aca="false">K294-J294</f>
        <v>5344.13126246096</v>
      </c>
      <c r="L295" s="66" t="n">
        <f aca="false">L294-K294</f>
        <v>5290.68994983636</v>
      </c>
      <c r="M295" s="66" t="n">
        <f aca="false">M294-L294</f>
        <v>5237.783050338</v>
      </c>
      <c r="N295" s="66" t="n">
        <f aca="false">N294-M294</f>
        <v>5185.4052198346</v>
      </c>
      <c r="O295" s="66" t="n">
        <f aca="false">O294-N294</f>
        <v>7460.17116763626</v>
      </c>
      <c r="P295" s="66" t="n">
        <f aca="false">P294-O294</f>
        <v>7385.56945595991</v>
      </c>
      <c r="Q295" s="66" t="n">
        <f aca="false">Q294-P294</f>
        <v>7311.71376140032</v>
      </c>
      <c r="R295" s="66" t="n">
        <f aca="false">R294-Q294</f>
        <v>7238.59662378632</v>
      </c>
      <c r="S295" s="66" t="n">
        <f aca="false">S294-R294</f>
        <v>7166.21065754845</v>
      </c>
      <c r="T295" s="66" t="n">
        <f aca="false">T294-S294</f>
        <v>7094.54855097298</v>
      </c>
      <c r="U295" s="66" t="n">
        <f aca="false">U294-T294</f>
        <v>7023.60306546325</v>
      </c>
      <c r="V295" s="66" t="n">
        <f aca="false">V294-U294</f>
        <v>6953.36703480859</v>
      </c>
      <c r="W295" s="66" t="n">
        <f aca="false">W294-V294</f>
        <v>6883.8333644605</v>
      </c>
      <c r="X295" s="66" t="n">
        <f aca="false">X294-W294</f>
        <v>6814.99503081595</v>
      </c>
      <c r="Y295" s="66" t="n">
        <f aca="false">Y294-X294</f>
        <v>6746.84508050775</v>
      </c>
      <c r="Z295" s="66" t="n">
        <f aca="false">Z294-Y294</f>
        <v>6679.37662970266</v>
      </c>
      <c r="AA295" s="66" t="n">
        <f aca="false">AA294-Z294</f>
        <v>10009.6877634057</v>
      </c>
      <c r="AB295" s="66" t="n">
        <f aca="false">AB294-AA294</f>
        <v>9909.59088577156</v>
      </c>
      <c r="AC295" s="66" t="n">
        <f aca="false">AC294-AB294</f>
        <v>9810.49497691382</v>
      </c>
      <c r="AD295" s="66" t="n">
        <f aca="false">AD294-AC294</f>
        <v>9712.39002714472</v>
      </c>
      <c r="AE295" s="66" t="n">
        <f aca="false">AE294-AD294</f>
        <v>9615.26612687326</v>
      </c>
      <c r="AF295" s="66" t="n">
        <f aca="false">AF294-AE294</f>
        <v>9519.11346560452</v>
      </c>
      <c r="AG295" s="66" t="n">
        <f aca="false">AG294-AF294</f>
        <v>9423.92233094847</v>
      </c>
      <c r="AH295" s="66" t="n">
        <f aca="false">AH294-AG294</f>
        <v>9329.68310763905</v>
      </c>
      <c r="AI295" s="66" t="n">
        <f aca="false">AI294-AH294</f>
        <v>9236.38627656261</v>
      </c>
      <c r="AJ295" s="66" t="n">
        <f aca="false">AJ294-AI294</f>
        <v>9144.02241379701</v>
      </c>
      <c r="AK295" s="66" t="n">
        <f aca="false">AK294-AJ294</f>
        <v>9052.58218965904</v>
      </c>
      <c r="AL295" s="66" t="n">
        <f aca="false">AL294-AK294</f>
        <v>8962.05636776245</v>
      </c>
    </row>
    <row r="297" customFormat="false" ht="15.75" hidden="false" customHeight="true" outlineLevel="0" collapsed="false">
      <c r="A297" s="7" t="s">
        <v>394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customFormat="false" ht="15" hidden="false" customHeight="false" outlineLevel="0" collapsed="false">
      <c r="A298" s="4" t="s">
        <v>52</v>
      </c>
      <c r="C298" s="72" t="n">
        <f aca="false">C272-C277+C291+C292+C293+C295</f>
        <v>-60088.4816666667</v>
      </c>
      <c r="D298" s="72" t="n">
        <f aca="false">D272-D277+D291+D292+D293+D295</f>
        <v>-59985.2433738095</v>
      </c>
      <c r="E298" s="72" t="n">
        <f aca="false">E272-E277+E291+E292+E293+E295</f>
        <v>-55724.3847257857</v>
      </c>
      <c r="F298" s="72" t="n">
        <f aca="false">F272-F277+F291+F292+F293+F295</f>
        <v>-51505.5368456707</v>
      </c>
      <c r="G298" s="72" t="n">
        <f aca="false">G272-G277+G291+G292+G293+G295</f>
        <v>-47328.2915821569</v>
      </c>
      <c r="H298" s="72" t="n">
        <f aca="false">H272-H277+H291+H292+H293+H295</f>
        <v>-43192.2446263222</v>
      </c>
      <c r="I298" s="72" t="n">
        <f aca="false">I272-I277+I291+I292+I293+I295</f>
        <v>-39096.9954779889</v>
      </c>
      <c r="J298" s="72" t="n">
        <f aca="false">J272-J277+J291+J292+J293+J295</f>
        <v>-35042.1474123233</v>
      </c>
      <c r="K298" s="72" t="n">
        <f aca="false">K272-K277+K291+K292+K293+K295</f>
        <v>-31027.3074466748</v>
      </c>
      <c r="L298" s="72" t="n">
        <f aca="false">L272-L277+L291+L292+L293+L295</f>
        <v>-27052.0863076562</v>
      </c>
      <c r="M298" s="72" t="n">
        <f aca="false">M272-M277+M291+M292+M293+M295</f>
        <v>-23116.0983984617</v>
      </c>
      <c r="N298" s="72" t="n">
        <f aca="false">N272-N277+N291+N292+N293+N295</f>
        <v>-19218.9617664244</v>
      </c>
      <c r="O298" s="72" t="n">
        <f aca="false">O272-O277+O291+O292+O293+O295</f>
        <v>-48855.8239041447</v>
      </c>
      <c r="P298" s="72" t="n">
        <f aca="false">P272-P277+P291+P292+P293+P295</f>
        <v>-43377.0565306182</v>
      </c>
      <c r="Q298" s="72" t="n">
        <f aca="false">Q272-Q277+Q291+Q292+Q293+Q295</f>
        <v>-37878.6580911357</v>
      </c>
      <c r="R298" s="72" t="n">
        <f aca="false">R272-R277+R291+R292+R293+R295</f>
        <v>-32434.5729821029</v>
      </c>
      <c r="S298" s="72" t="n">
        <f aca="false">S272-S277+S291+S292+S293+S295</f>
        <v>-27044.2714832944</v>
      </c>
      <c r="T298" s="72" t="n">
        <f aca="false">T272-T277+T291+T292+T293+T295</f>
        <v>-21707.2289034251</v>
      </c>
      <c r="U298" s="72" t="n">
        <f aca="false">U272-U277+U291+U292+U293+U295</f>
        <v>-16422.9255352266</v>
      </c>
      <c r="V298" s="72" t="n">
        <f aca="false">V272-V277+V291+V292+V293+V295</f>
        <v>-11190.8466108649</v>
      </c>
      <c r="W298" s="72" t="n">
        <f aca="false">W272-W277+W291+W292+W293+W295</f>
        <v>-6010.48225769839</v>
      </c>
      <c r="X298" s="72" t="n">
        <f aca="false">X272-X277+X291+X292+X293+X295</f>
        <v>-881.327454376084</v>
      </c>
      <c r="Y298" s="72" t="n">
        <f aca="false">Y272-Y277+Y291+Y292+Y293+Y295</f>
        <v>4197.11801272656</v>
      </c>
      <c r="Z298" s="72" t="n">
        <f aca="false">Z272-Z277+Z291+Z292+Z293+Z295</f>
        <v>9225.34959273563</v>
      </c>
      <c r="AA298" s="72" t="n">
        <f aca="false">AA272-AA277+AA291+AA292+AA293+AA295</f>
        <v>-37759.2867743295</v>
      </c>
      <c r="AB298" s="72" t="n">
        <f aca="false">AB272-AB277+AB291+AB292+AB293+AB295</f>
        <v>-30408.2474453371</v>
      </c>
      <c r="AC298" s="72" t="n">
        <f aca="false">AC272-AC277+AC291+AC292+AC293+AC295</f>
        <v>-23021.6051563524</v>
      </c>
      <c r="AD298" s="72" t="n">
        <f aca="false">AD272-AD277+AD291+AD292+AD293+AD295</f>
        <v>-15708.0210790338</v>
      </c>
      <c r="AE298" s="72" t="n">
        <f aca="false">AE272-AE277+AE291+AE292+AE293+AE295</f>
        <v>-8466.78079548929</v>
      </c>
      <c r="AF298" s="72" t="n">
        <f aca="false">AF272-AF277+AF291+AF292+AF293+AF295</f>
        <v>-1297.176708721</v>
      </c>
      <c r="AG298" s="72" t="n">
        <f aca="false">AG272-AG277+AG291+AG292+AG293+AG295</f>
        <v>5801.49201911762</v>
      </c>
      <c r="AH298" s="72" t="n">
        <f aca="false">AH272-AH277+AH291+AH292+AH293+AH295</f>
        <v>12829.9195279772</v>
      </c>
      <c r="AI298" s="72" t="n">
        <f aca="false">AI272-AI277+AI291+AI292+AI293+AI295</f>
        <v>19788.7933206813</v>
      </c>
      <c r="AJ298" s="72" t="n">
        <f aca="false">AJ272-AJ277+AJ291+AJ292+AJ293+AJ295</f>
        <v>26678.7943232131</v>
      </c>
      <c r="AK298" s="72" t="n">
        <f aca="false">AK272-AK277+AK291+AK292+AK293+AK295</f>
        <v>33500.596944519</v>
      </c>
      <c r="AL298" s="72" t="n">
        <f aca="false">AL272-AL277+AL291+AL292+AL293+AL295</f>
        <v>40254.8691358355</v>
      </c>
    </row>
    <row r="299" customFormat="false" ht="15" hidden="false" customHeight="false" outlineLevel="0" collapsed="false">
      <c r="A299" s="6" t="s">
        <v>395</v>
      </c>
      <c r="C299" s="66" t="n">
        <f aca="false">-C275</f>
        <v>-20000</v>
      </c>
      <c r="D299" s="66" t="n">
        <f aca="false">-D275</f>
        <v>-0</v>
      </c>
      <c r="E299" s="66" t="n">
        <f aca="false">-E275</f>
        <v>-0</v>
      </c>
      <c r="F299" s="66" t="n">
        <f aca="false">-F275</f>
        <v>-0</v>
      </c>
      <c r="G299" s="66" t="n">
        <f aca="false">-G275</f>
        <v>-0</v>
      </c>
      <c r="H299" s="66" t="n">
        <f aca="false">-H275</f>
        <v>-0</v>
      </c>
      <c r="I299" s="66" t="n">
        <f aca="false">-I275</f>
        <v>-0</v>
      </c>
      <c r="J299" s="66" t="n">
        <f aca="false">-J275</f>
        <v>-0</v>
      </c>
      <c r="K299" s="66" t="n">
        <f aca="false">-K275</f>
        <v>-0</v>
      </c>
      <c r="L299" s="66" t="n">
        <f aca="false">-L275</f>
        <v>-0</v>
      </c>
      <c r="M299" s="66" t="n">
        <f aca="false">-M275</f>
        <v>-0</v>
      </c>
      <c r="N299" s="66" t="n">
        <f aca="false">-N275</f>
        <v>-0</v>
      </c>
      <c r="O299" s="66" t="n">
        <f aca="false">-O275</f>
        <v>-0</v>
      </c>
      <c r="P299" s="66" t="n">
        <f aca="false">-P275</f>
        <v>-0</v>
      </c>
      <c r="Q299" s="66" t="n">
        <f aca="false">-Q275</f>
        <v>-0</v>
      </c>
      <c r="R299" s="66" t="n">
        <f aca="false">-R275</f>
        <v>-0</v>
      </c>
      <c r="S299" s="66" t="n">
        <f aca="false">-S275</f>
        <v>-0</v>
      </c>
      <c r="T299" s="66" t="n">
        <f aca="false">-T275</f>
        <v>-0</v>
      </c>
      <c r="U299" s="66" t="n">
        <f aca="false">-U275</f>
        <v>-0</v>
      </c>
      <c r="V299" s="66" t="n">
        <f aca="false">-V275</f>
        <v>-0</v>
      </c>
      <c r="W299" s="66" t="n">
        <f aca="false">-W275</f>
        <v>-0</v>
      </c>
      <c r="X299" s="66" t="n">
        <f aca="false">-X275</f>
        <v>-0</v>
      </c>
      <c r="Y299" s="66" t="n">
        <f aca="false">-Y275</f>
        <v>-0</v>
      </c>
      <c r="Z299" s="66" t="n">
        <f aca="false">-Z275</f>
        <v>-0</v>
      </c>
      <c r="AA299" s="66" t="n">
        <f aca="false">-AA275</f>
        <v>-0</v>
      </c>
      <c r="AB299" s="66" t="n">
        <f aca="false">-AB275</f>
        <v>-0</v>
      </c>
      <c r="AC299" s="66" t="n">
        <f aca="false">-AC275</f>
        <v>-0</v>
      </c>
      <c r="AD299" s="66" t="n">
        <f aca="false">-AD275</f>
        <v>-0</v>
      </c>
      <c r="AE299" s="66" t="n">
        <f aca="false">-AE275</f>
        <v>-0</v>
      </c>
      <c r="AF299" s="66" t="n">
        <f aca="false">-AF275</f>
        <v>-0</v>
      </c>
      <c r="AG299" s="66" t="n">
        <f aca="false">-AG275</f>
        <v>-0</v>
      </c>
      <c r="AH299" s="66" t="n">
        <f aca="false">-AH275</f>
        <v>-0</v>
      </c>
      <c r="AI299" s="66" t="n">
        <f aca="false">-AI275</f>
        <v>-0</v>
      </c>
      <c r="AJ299" s="66" t="n">
        <f aca="false">-AJ275</f>
        <v>-0</v>
      </c>
      <c r="AK299" s="66" t="n">
        <f aca="false">-AK275</f>
        <v>-0</v>
      </c>
      <c r="AL299" s="66" t="n">
        <f aca="false">-AL275</f>
        <v>-0</v>
      </c>
    </row>
    <row r="300" customFormat="false" ht="15" hidden="false" customHeight="false" outlineLevel="0" collapsed="false">
      <c r="A300" s="6" t="s">
        <v>63</v>
      </c>
      <c r="C300" s="66" t="n">
        <f aca="false">IF(C$232=1,Inputs!$D$46,0)</f>
        <v>3000000</v>
      </c>
      <c r="D300" s="66" t="n">
        <f aca="false">IF(D$232=1,Inputs!$D$46,0)</f>
        <v>0</v>
      </c>
      <c r="E300" s="66" t="n">
        <f aca="false">IF(E$232=1,Inputs!$D$46,0)</f>
        <v>0</v>
      </c>
      <c r="F300" s="66" t="n">
        <f aca="false">IF(F$232=1,Inputs!$D$46,0)</f>
        <v>0</v>
      </c>
      <c r="G300" s="66" t="n">
        <f aca="false">IF(G$232=1,Inputs!$D$46,0)</f>
        <v>0</v>
      </c>
      <c r="H300" s="66" t="n">
        <f aca="false">IF(H$232=1,Inputs!$D$46,0)</f>
        <v>0</v>
      </c>
      <c r="I300" s="66" t="n">
        <f aca="false">IF(I$232=1,Inputs!$D$46,0)</f>
        <v>0</v>
      </c>
      <c r="J300" s="66" t="n">
        <f aca="false">IF(J$232=1,Inputs!$D$46,0)</f>
        <v>0</v>
      </c>
      <c r="K300" s="66" t="n">
        <f aca="false">IF(K$232=1,Inputs!$D$46,0)</f>
        <v>0</v>
      </c>
      <c r="L300" s="66" t="n">
        <f aca="false">IF(L$232=1,Inputs!$D$46,0)</f>
        <v>0</v>
      </c>
      <c r="M300" s="66" t="n">
        <f aca="false">IF(M$232=1,Inputs!$D$46,0)</f>
        <v>0</v>
      </c>
      <c r="N300" s="66" t="n">
        <f aca="false">IF(N$232=1,Inputs!$D$46,0)</f>
        <v>0</v>
      </c>
      <c r="O300" s="66" t="n">
        <f aca="false">IF(O$232=1,Inputs!$D$46,0)</f>
        <v>0</v>
      </c>
      <c r="P300" s="66" t="n">
        <f aca="false">IF(P$232=1,Inputs!$D$46,0)</f>
        <v>0</v>
      </c>
      <c r="Q300" s="66" t="n">
        <f aca="false">IF(Q$232=1,Inputs!$D$46,0)</f>
        <v>0</v>
      </c>
      <c r="R300" s="66" t="n">
        <f aca="false">IF(R$232=1,Inputs!$D$46,0)</f>
        <v>0</v>
      </c>
      <c r="S300" s="66" t="n">
        <f aca="false">IF(S$232=1,Inputs!$D$46,0)</f>
        <v>0</v>
      </c>
      <c r="T300" s="66" t="n">
        <f aca="false">IF(T$232=1,Inputs!$D$46,0)</f>
        <v>0</v>
      </c>
      <c r="U300" s="66" t="n">
        <f aca="false">IF(U$232=1,Inputs!$D$46,0)</f>
        <v>0</v>
      </c>
      <c r="V300" s="66" t="n">
        <f aca="false">IF(V$232=1,Inputs!$D$46,0)</f>
        <v>0</v>
      </c>
      <c r="W300" s="66" t="n">
        <f aca="false">IF(W$232=1,Inputs!$D$46,0)</f>
        <v>0</v>
      </c>
      <c r="X300" s="66" t="n">
        <f aca="false">IF(X$232=1,Inputs!$D$46,0)</f>
        <v>0</v>
      </c>
      <c r="Y300" s="66" t="n">
        <f aca="false">IF(Y$232=1,Inputs!$D$46,0)</f>
        <v>0</v>
      </c>
      <c r="Z300" s="66" t="n">
        <f aca="false">IF(Z$232=1,Inputs!$D$46,0)</f>
        <v>0</v>
      </c>
      <c r="AA300" s="66" t="n">
        <f aca="false">IF(AA$232=1,Inputs!$D$46,0)</f>
        <v>0</v>
      </c>
      <c r="AB300" s="66" t="n">
        <f aca="false">IF(AB$232=1,Inputs!$D$46,0)</f>
        <v>0</v>
      </c>
      <c r="AC300" s="66" t="n">
        <f aca="false">IF(AC$232=1,Inputs!$D$46,0)</f>
        <v>0</v>
      </c>
      <c r="AD300" s="66" t="n">
        <f aca="false">IF(AD$232=1,Inputs!$D$46,0)</f>
        <v>0</v>
      </c>
      <c r="AE300" s="66" t="n">
        <f aca="false">IF(AE$232=1,Inputs!$D$46,0)</f>
        <v>0</v>
      </c>
      <c r="AF300" s="66" t="n">
        <f aca="false">IF(AF$232=1,Inputs!$D$46,0)</f>
        <v>0</v>
      </c>
      <c r="AG300" s="66" t="n">
        <f aca="false">IF(AG$232=1,Inputs!$D$46,0)</f>
        <v>0</v>
      </c>
      <c r="AH300" s="66" t="n">
        <f aca="false">IF(AH$232=1,Inputs!$D$46,0)</f>
        <v>0</v>
      </c>
      <c r="AI300" s="66" t="n">
        <f aca="false">IF(AI$232=1,Inputs!$D$46,0)</f>
        <v>0</v>
      </c>
      <c r="AJ300" s="66" t="n">
        <f aca="false">IF(AJ$232=1,Inputs!$D$46,0)</f>
        <v>0</v>
      </c>
      <c r="AK300" s="66" t="n">
        <f aca="false">IF(AK$232=1,Inputs!$D$46,0)</f>
        <v>0</v>
      </c>
      <c r="AL300" s="66" t="n">
        <f aca="false">IF(AL$232=1,Inputs!$D$46,0)</f>
        <v>0</v>
      </c>
    </row>
    <row r="301" customFormat="false" ht="15" hidden="false" customHeight="false" outlineLevel="0" collapsed="false">
      <c r="A301" s="6" t="s">
        <v>54</v>
      </c>
      <c r="C301" s="66" t="n">
        <f aca="false">C300+C283+C284</f>
        <v>3000000</v>
      </c>
      <c r="D301" s="66" t="n">
        <f aca="false">D300+D283+D284</f>
        <v>0</v>
      </c>
      <c r="E301" s="66" t="n">
        <f aca="false">E300+E283+E284</f>
        <v>0</v>
      </c>
      <c r="F301" s="66" t="n">
        <f aca="false">F300+F283+F284</f>
        <v>0</v>
      </c>
      <c r="G301" s="66" t="n">
        <f aca="false">G300+G283+G284</f>
        <v>0</v>
      </c>
      <c r="H301" s="66" t="n">
        <f aca="false">H300+H283+H284</f>
        <v>0</v>
      </c>
      <c r="I301" s="66" t="n">
        <f aca="false">I300+I283+I284</f>
        <v>0</v>
      </c>
      <c r="J301" s="66" t="n">
        <f aca="false">J300+J283+J284</f>
        <v>0</v>
      </c>
      <c r="K301" s="66" t="n">
        <f aca="false">K300+K283+K284</f>
        <v>0</v>
      </c>
      <c r="L301" s="66" t="n">
        <f aca="false">L300+L283+L284</f>
        <v>0</v>
      </c>
      <c r="M301" s="66" t="n">
        <f aca="false">M300+M283+M284</f>
        <v>0</v>
      </c>
      <c r="N301" s="66" t="n">
        <f aca="false">N300+N283+N284</f>
        <v>0</v>
      </c>
      <c r="O301" s="66" t="n">
        <f aca="false">O300+O283+O284</f>
        <v>0</v>
      </c>
      <c r="P301" s="66" t="n">
        <f aca="false">P300+P283+P284</f>
        <v>0</v>
      </c>
      <c r="Q301" s="66" t="n">
        <f aca="false">Q300+Q283+Q284</f>
        <v>0</v>
      </c>
      <c r="R301" s="66" t="n">
        <f aca="false">R300+R283+R284</f>
        <v>0</v>
      </c>
      <c r="S301" s="66" t="n">
        <f aca="false">S300+S283+S284</f>
        <v>0</v>
      </c>
      <c r="T301" s="66" t="n">
        <f aca="false">T300+T283+T284</f>
        <v>0</v>
      </c>
      <c r="U301" s="66" t="n">
        <f aca="false">U300+U283+U284</f>
        <v>0</v>
      </c>
      <c r="V301" s="66" t="n">
        <f aca="false">V300+V283+V284</f>
        <v>0</v>
      </c>
      <c r="W301" s="66" t="n">
        <f aca="false">W300+W283+W284</f>
        <v>0</v>
      </c>
      <c r="X301" s="66" t="n">
        <f aca="false">X300+X283+X284</f>
        <v>0</v>
      </c>
      <c r="Y301" s="66" t="n">
        <f aca="false">Y300+Y283+Y284</f>
        <v>0</v>
      </c>
      <c r="Z301" s="66" t="n">
        <f aca="false">Z300+Z283+Z284</f>
        <v>0</v>
      </c>
      <c r="AA301" s="66" t="n">
        <f aca="false">AA300+AA283+AA284</f>
        <v>0</v>
      </c>
      <c r="AB301" s="66" t="n">
        <f aca="false">AB300+AB283+AB284</f>
        <v>0</v>
      </c>
      <c r="AC301" s="66" t="n">
        <f aca="false">AC300+AC283+AC284</f>
        <v>0</v>
      </c>
      <c r="AD301" s="66" t="n">
        <f aca="false">AD300+AD283+AD284</f>
        <v>0</v>
      </c>
      <c r="AE301" s="66" t="n">
        <f aca="false">AE300+AE283+AE284</f>
        <v>0</v>
      </c>
      <c r="AF301" s="66" t="n">
        <f aca="false">AF300+AF283+AF284</f>
        <v>0</v>
      </c>
      <c r="AG301" s="66" t="n">
        <f aca="false">AG300+AG283+AG284</f>
        <v>0</v>
      </c>
      <c r="AH301" s="66" t="n">
        <f aca="false">AH300+AH283+AH284</f>
        <v>0</v>
      </c>
      <c r="AI301" s="66" t="n">
        <f aca="false">AI300+AI283+AI284</f>
        <v>0</v>
      </c>
      <c r="AJ301" s="66" t="n">
        <f aca="false">AJ300+AJ283+AJ284</f>
        <v>0</v>
      </c>
      <c r="AK301" s="66" t="n">
        <f aca="false">AK300+AK283+AK284</f>
        <v>0</v>
      </c>
      <c r="AL301" s="66" t="n">
        <f aca="false">AL300+AL283+AL284</f>
        <v>0</v>
      </c>
    </row>
    <row r="302" customFormat="false" ht="15" hidden="false" customHeight="false" outlineLevel="0" collapsed="false">
      <c r="A302" s="111" t="s">
        <v>396</v>
      </c>
      <c r="C302" s="67" t="n">
        <f aca="false">C298+C299+C301</f>
        <v>2919911.51833333</v>
      </c>
      <c r="D302" s="67" t="n">
        <f aca="false">D298+D299+D301</f>
        <v>-59985.2433738095</v>
      </c>
      <c r="E302" s="67" t="n">
        <f aca="false">E298+E299+E301</f>
        <v>-55724.3847257857</v>
      </c>
      <c r="F302" s="67" t="n">
        <f aca="false">F298+F299+F301</f>
        <v>-51505.5368456707</v>
      </c>
      <c r="G302" s="67" t="n">
        <f aca="false">G298+G299+G301</f>
        <v>-47328.2915821569</v>
      </c>
      <c r="H302" s="67" t="n">
        <f aca="false">H298+H299+H301</f>
        <v>-43192.2446263222</v>
      </c>
      <c r="I302" s="67" t="n">
        <f aca="false">I298+I299+I301</f>
        <v>-39096.9954779889</v>
      </c>
      <c r="J302" s="67" t="n">
        <f aca="false">J298+J299+J301</f>
        <v>-35042.1474123233</v>
      </c>
      <c r="K302" s="67" t="n">
        <f aca="false">K298+K299+K301</f>
        <v>-31027.3074466748</v>
      </c>
      <c r="L302" s="67" t="n">
        <f aca="false">L298+L299+L301</f>
        <v>-27052.0863076562</v>
      </c>
      <c r="M302" s="67" t="n">
        <f aca="false">M298+M299+M301</f>
        <v>-23116.0983984617</v>
      </c>
      <c r="N302" s="67" t="n">
        <f aca="false">N298+N299+N301</f>
        <v>-19218.9617664244</v>
      </c>
      <c r="O302" s="67" t="n">
        <f aca="false">O298+O299+O301</f>
        <v>-48855.8239041447</v>
      </c>
      <c r="P302" s="67" t="n">
        <f aca="false">P298+P299+P301</f>
        <v>-43377.0565306182</v>
      </c>
      <c r="Q302" s="67" t="n">
        <f aca="false">Q298+Q299+Q301</f>
        <v>-37878.6580911357</v>
      </c>
      <c r="R302" s="67" t="n">
        <f aca="false">R298+R299+R301</f>
        <v>-32434.5729821029</v>
      </c>
      <c r="S302" s="67" t="n">
        <f aca="false">S298+S299+S301</f>
        <v>-27044.2714832944</v>
      </c>
      <c r="T302" s="67" t="n">
        <f aca="false">T298+T299+T301</f>
        <v>-21707.2289034251</v>
      </c>
      <c r="U302" s="67" t="n">
        <f aca="false">U298+U299+U301</f>
        <v>-16422.9255352266</v>
      </c>
      <c r="V302" s="67" t="n">
        <f aca="false">V298+V299+V301</f>
        <v>-11190.8466108649</v>
      </c>
      <c r="W302" s="67" t="n">
        <f aca="false">W298+W299+W301</f>
        <v>-6010.48225769839</v>
      </c>
      <c r="X302" s="67" t="n">
        <f aca="false">X298+X299+X301</f>
        <v>-881.327454376084</v>
      </c>
      <c r="Y302" s="67" t="n">
        <f aca="false">Y298+Y299+Y301</f>
        <v>4197.11801272656</v>
      </c>
      <c r="Z302" s="67" t="n">
        <f aca="false">Z298+Z299+Z301</f>
        <v>9225.34959273563</v>
      </c>
      <c r="AA302" s="67" t="n">
        <f aca="false">AA298+AA299+AA301</f>
        <v>-37759.2867743295</v>
      </c>
      <c r="AB302" s="67" t="n">
        <f aca="false">AB298+AB299+AB301</f>
        <v>-30408.2474453371</v>
      </c>
      <c r="AC302" s="67" t="n">
        <f aca="false">AC298+AC299+AC301</f>
        <v>-23021.6051563524</v>
      </c>
      <c r="AD302" s="67" t="n">
        <f aca="false">AD298+AD299+AD301</f>
        <v>-15708.0210790338</v>
      </c>
      <c r="AE302" s="67" t="n">
        <f aca="false">AE298+AE299+AE301</f>
        <v>-8466.78079548929</v>
      </c>
      <c r="AF302" s="67" t="n">
        <f aca="false">AF298+AF299+AF301</f>
        <v>-1297.176708721</v>
      </c>
      <c r="AG302" s="67" t="n">
        <f aca="false">AG298+AG299+AG301</f>
        <v>5801.49201911762</v>
      </c>
      <c r="AH302" s="67" t="n">
        <f aca="false">AH298+AH299+AH301</f>
        <v>12829.9195279772</v>
      </c>
      <c r="AI302" s="67" t="n">
        <f aca="false">AI298+AI299+AI301</f>
        <v>19788.7933206813</v>
      </c>
      <c r="AJ302" s="67" t="n">
        <f aca="false">AJ298+AJ299+AJ301</f>
        <v>26678.7943232131</v>
      </c>
      <c r="AK302" s="67" t="n">
        <f aca="false">AK298+AK299+AK301</f>
        <v>33500.596944519</v>
      </c>
      <c r="AL302" s="67" t="n">
        <f aca="false">AL298+AL299+AL301</f>
        <v>40254.8691358355</v>
      </c>
    </row>
    <row r="303" customFormat="false" ht="15" hidden="false" customHeight="false" outlineLevel="0" collapsed="false">
      <c r="A303" s="6" t="s">
        <v>326</v>
      </c>
      <c r="C303" s="66" t="n">
        <f aca="false">0</f>
        <v>0</v>
      </c>
      <c r="D303" s="66" t="n">
        <f aca="false">C304</f>
        <v>2919911.51833333</v>
      </c>
      <c r="E303" s="66" t="n">
        <f aca="false">D304</f>
        <v>2859926.27495952</v>
      </c>
      <c r="F303" s="66" t="n">
        <f aca="false">E304</f>
        <v>2804201.89023374</v>
      </c>
      <c r="G303" s="66" t="n">
        <f aca="false">F304</f>
        <v>2752696.35338807</v>
      </c>
      <c r="H303" s="66" t="n">
        <f aca="false">G304</f>
        <v>2705368.06180591</v>
      </c>
      <c r="I303" s="66" t="n">
        <f aca="false">H304</f>
        <v>2662175.81717959</v>
      </c>
      <c r="J303" s="66" t="n">
        <f aca="false">I304</f>
        <v>2623078.8217016</v>
      </c>
      <c r="K303" s="66" t="n">
        <f aca="false">J304</f>
        <v>2588036.67428928</v>
      </c>
      <c r="L303" s="66" t="n">
        <f aca="false">K304</f>
        <v>2557009.3668426</v>
      </c>
      <c r="M303" s="66" t="n">
        <f aca="false">L304</f>
        <v>2529957.28053495</v>
      </c>
      <c r="N303" s="66" t="n">
        <f aca="false">M304</f>
        <v>2506841.18213648</v>
      </c>
      <c r="O303" s="66" t="n">
        <f aca="false">N304</f>
        <v>2487622.22037006</v>
      </c>
      <c r="P303" s="66" t="n">
        <f aca="false">O304</f>
        <v>2438766.39646591</v>
      </c>
      <c r="Q303" s="66" t="n">
        <f aca="false">P304</f>
        <v>2395389.3399353</v>
      </c>
      <c r="R303" s="66" t="n">
        <f aca="false">Q304</f>
        <v>2357510.68184416</v>
      </c>
      <c r="S303" s="66" t="n">
        <f aca="false">R304</f>
        <v>2325076.10886206</v>
      </c>
      <c r="T303" s="66" t="n">
        <f aca="false">S304</f>
        <v>2298031.83737876</v>
      </c>
      <c r="U303" s="66" t="n">
        <f aca="false">T304</f>
        <v>2276324.60847534</v>
      </c>
      <c r="V303" s="66" t="n">
        <f aca="false">U304</f>
        <v>2259901.68294011</v>
      </c>
      <c r="W303" s="66" t="n">
        <f aca="false">V304</f>
        <v>2248710.83632925</v>
      </c>
      <c r="X303" s="66" t="n">
        <f aca="false">W304</f>
        <v>2242700.35407155</v>
      </c>
      <c r="Y303" s="66" t="n">
        <f aca="false">X304</f>
        <v>2241819.02661717</v>
      </c>
      <c r="Z303" s="66" t="n">
        <f aca="false">Y304</f>
        <v>2246016.1446299</v>
      </c>
      <c r="AA303" s="66" t="n">
        <f aca="false">Z304</f>
        <v>2255241.49422263</v>
      </c>
      <c r="AB303" s="66" t="n">
        <f aca="false">AA304</f>
        <v>2217482.20744831</v>
      </c>
      <c r="AC303" s="66" t="n">
        <f aca="false">AB304</f>
        <v>2187073.96000297</v>
      </c>
      <c r="AD303" s="66" t="n">
        <f aca="false">AC304</f>
        <v>2164052.35484662</v>
      </c>
      <c r="AE303" s="66" t="n">
        <f aca="false">AD304</f>
        <v>2148344.33376758</v>
      </c>
      <c r="AF303" s="66" t="n">
        <f aca="false">AE304</f>
        <v>2139877.55297209</v>
      </c>
      <c r="AG303" s="66" t="n">
        <f aca="false">AF304</f>
        <v>2138580.37626337</v>
      </c>
      <c r="AH303" s="66" t="n">
        <f aca="false">AG304</f>
        <v>2144381.86828249</v>
      </c>
      <c r="AI303" s="66" t="n">
        <f aca="false">AH304</f>
        <v>2157211.78781047</v>
      </c>
      <c r="AJ303" s="66" t="n">
        <f aca="false">AI304</f>
        <v>2177000.58113115</v>
      </c>
      <c r="AK303" s="66" t="n">
        <f aca="false">AJ304</f>
        <v>2203679.37545436</v>
      </c>
      <c r="AL303" s="66" t="n">
        <f aca="false">AK304</f>
        <v>2237179.97239888</v>
      </c>
    </row>
    <row r="304" customFormat="false" ht="15" hidden="false" customHeight="false" outlineLevel="0" collapsed="false">
      <c r="A304" s="111" t="s">
        <v>86</v>
      </c>
      <c r="C304" s="67" t="n">
        <f aca="false">C303+C302</f>
        <v>2919911.51833333</v>
      </c>
      <c r="D304" s="67" t="n">
        <f aca="false">D303+D302</f>
        <v>2859926.27495952</v>
      </c>
      <c r="E304" s="67" t="n">
        <f aca="false">E303+E302</f>
        <v>2804201.89023374</v>
      </c>
      <c r="F304" s="67" t="n">
        <f aca="false">F303+F302</f>
        <v>2752696.35338807</v>
      </c>
      <c r="G304" s="67" t="n">
        <f aca="false">G303+G302</f>
        <v>2705368.06180591</v>
      </c>
      <c r="H304" s="67" t="n">
        <f aca="false">H303+H302</f>
        <v>2662175.81717959</v>
      </c>
      <c r="I304" s="67" t="n">
        <f aca="false">I303+I302</f>
        <v>2623078.8217016</v>
      </c>
      <c r="J304" s="67" t="n">
        <f aca="false">J303+J302</f>
        <v>2588036.67428928</v>
      </c>
      <c r="K304" s="67" t="n">
        <f aca="false">K303+K302</f>
        <v>2557009.3668426</v>
      </c>
      <c r="L304" s="67" t="n">
        <f aca="false">L303+L302</f>
        <v>2529957.28053495</v>
      </c>
      <c r="M304" s="67" t="n">
        <f aca="false">M303+M302</f>
        <v>2506841.18213648</v>
      </c>
      <c r="N304" s="67" t="n">
        <f aca="false">N303+N302</f>
        <v>2487622.22037006</v>
      </c>
      <c r="O304" s="67" t="n">
        <f aca="false">O303+O302</f>
        <v>2438766.39646591</v>
      </c>
      <c r="P304" s="67" t="n">
        <f aca="false">P303+P302</f>
        <v>2395389.3399353</v>
      </c>
      <c r="Q304" s="67" t="n">
        <f aca="false">Q303+Q302</f>
        <v>2357510.68184416</v>
      </c>
      <c r="R304" s="67" t="n">
        <f aca="false">R303+R302</f>
        <v>2325076.10886206</v>
      </c>
      <c r="S304" s="67" t="n">
        <f aca="false">S303+S302</f>
        <v>2298031.83737876</v>
      </c>
      <c r="T304" s="67" t="n">
        <f aca="false">T303+T302</f>
        <v>2276324.60847534</v>
      </c>
      <c r="U304" s="67" t="n">
        <f aca="false">U303+U302</f>
        <v>2259901.68294011</v>
      </c>
      <c r="V304" s="67" t="n">
        <f aca="false">V303+V302</f>
        <v>2248710.83632925</v>
      </c>
      <c r="W304" s="67" t="n">
        <f aca="false">W303+W302</f>
        <v>2242700.35407155</v>
      </c>
      <c r="X304" s="67" t="n">
        <f aca="false">X303+X302</f>
        <v>2241819.02661717</v>
      </c>
      <c r="Y304" s="67" t="n">
        <f aca="false">Y303+Y302</f>
        <v>2246016.1446299</v>
      </c>
      <c r="Z304" s="67" t="n">
        <f aca="false">Z303+Z302</f>
        <v>2255241.49422263</v>
      </c>
      <c r="AA304" s="67" t="n">
        <f aca="false">AA303+AA302</f>
        <v>2217482.20744831</v>
      </c>
      <c r="AB304" s="67" t="n">
        <f aca="false">AB303+AB302</f>
        <v>2187073.96000297</v>
      </c>
      <c r="AC304" s="67" t="n">
        <f aca="false">AC303+AC302</f>
        <v>2164052.35484662</v>
      </c>
      <c r="AD304" s="67" t="n">
        <f aca="false">AD303+AD302</f>
        <v>2148344.33376758</v>
      </c>
      <c r="AE304" s="67" t="n">
        <f aca="false">AE303+AE302</f>
        <v>2139877.55297209</v>
      </c>
      <c r="AF304" s="67" t="n">
        <f aca="false">AF303+AF302</f>
        <v>2138580.37626337</v>
      </c>
      <c r="AG304" s="67" t="n">
        <f aca="false">AG303+AG302</f>
        <v>2144381.86828249</v>
      </c>
      <c r="AH304" s="67" t="n">
        <f aca="false">AH303+AH302</f>
        <v>2157211.78781047</v>
      </c>
      <c r="AI304" s="67" t="n">
        <f aca="false">AI303+AI302</f>
        <v>2177000.58113115</v>
      </c>
      <c r="AJ304" s="67" t="n">
        <f aca="false">AJ303+AJ302</f>
        <v>2203679.37545436</v>
      </c>
      <c r="AK304" s="67" t="n">
        <f aca="false">AK303+AK302</f>
        <v>2237179.97239888</v>
      </c>
      <c r="AL304" s="67" t="n">
        <f aca="false">AL303+AL302</f>
        <v>2277434.84153472</v>
      </c>
    </row>
    <row r="305" customFormat="false" ht="15" hidden="false" customHeight="false" outlineLevel="0" collapsed="false">
      <c r="A305" s="119" t="s">
        <v>397</v>
      </c>
      <c r="C305" s="120" t="n">
        <f aca="false">IF(C263&gt;0,1,0)</f>
        <v>0</v>
      </c>
      <c r="D305" s="120" t="n">
        <f aca="false">IF(D263&gt;0,1,0)</f>
        <v>0</v>
      </c>
      <c r="E305" s="120" t="n">
        <f aca="false">IF(E263&gt;0,1,0)</f>
        <v>0</v>
      </c>
      <c r="F305" s="120" t="n">
        <f aca="false">IF(F263&gt;0,1,0)</f>
        <v>0</v>
      </c>
      <c r="G305" s="120" t="n">
        <f aca="false">IF(G263&gt;0,1,0)</f>
        <v>0</v>
      </c>
      <c r="H305" s="120" t="n">
        <f aca="false">IF(H263&gt;0,1,0)</f>
        <v>0</v>
      </c>
      <c r="I305" s="120" t="n">
        <f aca="false">IF(I263&gt;0,1,0)</f>
        <v>0</v>
      </c>
      <c r="J305" s="120" t="n">
        <f aca="false">IF(J263&gt;0,1,0)</f>
        <v>0</v>
      </c>
      <c r="K305" s="120" t="n">
        <f aca="false">IF(K263&gt;0,1,0)</f>
        <v>0</v>
      </c>
      <c r="L305" s="120" t="n">
        <f aca="false">IF(L263&gt;0,1,0)</f>
        <v>0</v>
      </c>
      <c r="M305" s="120" t="n">
        <f aca="false">IF(M263&gt;0,1,0)</f>
        <v>0</v>
      </c>
      <c r="N305" s="120" t="n">
        <f aca="false">IF(N263&gt;0,1,0)</f>
        <v>0</v>
      </c>
      <c r="O305" s="120" t="n">
        <f aca="false">IF(O263&gt;0,1,0)</f>
        <v>0</v>
      </c>
      <c r="P305" s="120" t="n">
        <f aca="false">IF(P263&gt;0,1,0)</f>
        <v>0</v>
      </c>
      <c r="Q305" s="120" t="n">
        <f aca="false">IF(Q263&gt;0,1,0)</f>
        <v>0</v>
      </c>
      <c r="R305" s="120" t="n">
        <f aca="false">IF(R263&gt;0,1,0)</f>
        <v>0</v>
      </c>
      <c r="S305" s="120" t="n">
        <f aca="false">IF(S263&gt;0,1,0)</f>
        <v>0</v>
      </c>
      <c r="T305" s="120" t="n">
        <f aca="false">IF(T263&gt;0,1,0)</f>
        <v>0</v>
      </c>
      <c r="U305" s="120" t="n">
        <f aca="false">IF(U263&gt;0,1,0)</f>
        <v>0</v>
      </c>
      <c r="V305" s="120" t="n">
        <f aca="false">IF(V263&gt;0,1,0)</f>
        <v>0</v>
      </c>
      <c r="W305" s="120" t="n">
        <f aca="false">IF(W263&gt;0,1,0)</f>
        <v>0</v>
      </c>
      <c r="X305" s="120" t="n">
        <f aca="false">IF(X263&gt;0,1,0)</f>
        <v>0</v>
      </c>
      <c r="Y305" s="120" t="n">
        <f aca="false">IF(Y263&gt;0,1,0)</f>
        <v>0</v>
      </c>
      <c r="Z305" s="120" t="n">
        <f aca="false">IF(Z263&gt;0,1,0)</f>
        <v>1</v>
      </c>
      <c r="AA305" s="120" t="n">
        <f aca="false">IF(AA263&gt;0,1,0)</f>
        <v>0</v>
      </c>
      <c r="AB305" s="120" t="n">
        <f aca="false">IF(AB263&gt;0,1,0)</f>
        <v>0</v>
      </c>
      <c r="AC305" s="120" t="n">
        <f aca="false">IF(AC263&gt;0,1,0)</f>
        <v>0</v>
      </c>
      <c r="AD305" s="120" t="n">
        <f aca="false">IF(AD263&gt;0,1,0)</f>
        <v>0</v>
      </c>
      <c r="AE305" s="120" t="n">
        <f aca="false">IF(AE263&gt;0,1,0)</f>
        <v>0</v>
      </c>
      <c r="AF305" s="120" t="n">
        <f aca="false">IF(AF263&gt;0,1,0)</f>
        <v>0</v>
      </c>
      <c r="AG305" s="120" t="n">
        <f aca="false">IF(AG263&gt;0,1,0)</f>
        <v>0</v>
      </c>
      <c r="AH305" s="120" t="n">
        <f aca="false">IF(AH263&gt;0,1,0)</f>
        <v>1</v>
      </c>
      <c r="AI305" s="120" t="n">
        <f aca="false">IF(AI263&gt;0,1,0)</f>
        <v>1</v>
      </c>
      <c r="AJ305" s="120" t="n">
        <f aca="false">IF(AJ263&gt;0,1,0)</f>
        <v>1</v>
      </c>
      <c r="AK305" s="120" t="n">
        <f aca="false">IF(AK263&gt;0,1,0)</f>
        <v>1</v>
      </c>
      <c r="AL305" s="120" t="n">
        <f aca="false">IF(AL263&gt;0,1,0)</f>
        <v>1</v>
      </c>
    </row>
    <row r="307" customFormat="false" ht="15.75" hidden="false" customHeight="true" outlineLevel="0" collapsed="false">
      <c r="A307" s="7" t="s">
        <v>398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customFormat="false" ht="15" hidden="false" customHeight="false" outlineLevel="0" collapsed="false">
      <c r="A308" s="6" t="s">
        <v>399</v>
      </c>
      <c r="C308" s="66" t="n">
        <f aca="false">-(C298+C299)/1</f>
        <v>80088.4816666667</v>
      </c>
      <c r="D308" s="66" t="n">
        <f aca="false">-(D298+D299)/1</f>
        <v>59985.2433738095</v>
      </c>
      <c r="E308" s="66" t="n">
        <f aca="false">-(E298+E299)/1</f>
        <v>55724.3847257857</v>
      </c>
      <c r="F308" s="66" t="n">
        <f aca="false">-(F298+F299)/1</f>
        <v>51505.5368456707</v>
      </c>
      <c r="G308" s="66" t="n">
        <f aca="false">-(G298+G299)/1</f>
        <v>47328.2915821569</v>
      </c>
      <c r="H308" s="66" t="n">
        <f aca="false">-(H298+H299)/1</f>
        <v>43192.2446263222</v>
      </c>
      <c r="I308" s="66" t="n">
        <f aca="false">-(I298+I299)/1</f>
        <v>39096.9954779889</v>
      </c>
      <c r="J308" s="66" t="n">
        <f aca="false">-(J298+J299)/1</f>
        <v>35042.1474123233</v>
      </c>
      <c r="K308" s="66" t="n">
        <f aca="false">-(K298+K299)/1</f>
        <v>31027.3074466748</v>
      </c>
      <c r="L308" s="66" t="n">
        <f aca="false">-(L298+L299)/1</f>
        <v>27052.0863076562</v>
      </c>
      <c r="M308" s="66" t="n">
        <f aca="false">-(M298+M299)/1</f>
        <v>23116.0983984617</v>
      </c>
      <c r="N308" s="66" t="n">
        <f aca="false">-(N298+N299)/1</f>
        <v>19218.9617664244</v>
      </c>
      <c r="O308" s="66" t="n">
        <f aca="false">-(O298+O299)/1</f>
        <v>48855.8239041447</v>
      </c>
      <c r="P308" s="66" t="n">
        <f aca="false">-(P298+P299)/1</f>
        <v>43377.0565306182</v>
      </c>
      <c r="Q308" s="66" t="n">
        <f aca="false">-(Q298+Q299)/1</f>
        <v>37878.6580911357</v>
      </c>
      <c r="R308" s="66" t="n">
        <f aca="false">-(R298+R299)/1</f>
        <v>32434.5729821029</v>
      </c>
      <c r="S308" s="66" t="n">
        <f aca="false">-(S298+S299)/1</f>
        <v>27044.2714832944</v>
      </c>
      <c r="T308" s="66" t="n">
        <f aca="false">-(T298+T299)/1</f>
        <v>21707.2289034251</v>
      </c>
      <c r="U308" s="66" t="n">
        <f aca="false">-(U298+U299)/1</f>
        <v>16422.9255352266</v>
      </c>
      <c r="V308" s="66" t="n">
        <f aca="false">-(V298+V299)/1</f>
        <v>11190.8466108649</v>
      </c>
      <c r="W308" s="66" t="n">
        <f aca="false">-(W298+W299)/1</f>
        <v>6010.48225769839</v>
      </c>
      <c r="X308" s="66" t="n">
        <f aca="false">-(X298+X299)/1</f>
        <v>881.327454376084</v>
      </c>
      <c r="Y308" s="66" t="n">
        <f aca="false">-(Y298+Y299)/1</f>
        <v>-4197.11801272656</v>
      </c>
      <c r="Z308" s="66" t="n">
        <f aca="false">-(Z298+Z299)/1</f>
        <v>-9225.34959273563</v>
      </c>
      <c r="AA308" s="66" t="n">
        <f aca="false">-(AA298+AA299)/1</f>
        <v>37759.2867743295</v>
      </c>
      <c r="AB308" s="66" t="n">
        <f aca="false">-(AB298+AB299)/1</f>
        <v>30408.2474453371</v>
      </c>
      <c r="AC308" s="66" t="n">
        <f aca="false">-(AC298+AC299)/1</f>
        <v>23021.6051563524</v>
      </c>
      <c r="AD308" s="66" t="n">
        <f aca="false">-(AD298+AD299)/1</f>
        <v>15708.0210790338</v>
      </c>
      <c r="AE308" s="66" t="n">
        <f aca="false">-(AE298+AE299)/1</f>
        <v>8466.78079548929</v>
      </c>
      <c r="AF308" s="66" t="n">
        <f aca="false">-(AF298+AF299)/1</f>
        <v>1297.176708721</v>
      </c>
      <c r="AG308" s="66" t="n">
        <f aca="false">-(AG298+AG299)/1</f>
        <v>-5801.49201911762</v>
      </c>
      <c r="AH308" s="66" t="n">
        <f aca="false">-(AH298+AH299)/1</f>
        <v>-12829.9195279772</v>
      </c>
      <c r="AI308" s="66" t="n">
        <f aca="false">-(AI298+AI299)/1</f>
        <v>-19788.7933206813</v>
      </c>
      <c r="AJ308" s="66" t="n">
        <f aca="false">-(AJ298+AJ299)/1</f>
        <v>-26678.7943232131</v>
      </c>
      <c r="AK308" s="66" t="n">
        <f aca="false">-(AK298+AK299)/1</f>
        <v>-33500.596944519</v>
      </c>
      <c r="AL308" s="66" t="n">
        <f aca="false">-(AL298+AL299)/1</f>
        <v>-40254.8691358355</v>
      </c>
    </row>
    <row r="309" customFormat="false" ht="15" hidden="false" customHeight="false" outlineLevel="0" collapsed="false">
      <c r="A309" s="39" t="s">
        <v>238</v>
      </c>
      <c r="C309" s="74" t="n">
        <f aca="false">Inputs!$D$10</f>
        <v>0.02</v>
      </c>
      <c r="D309" s="74" t="n">
        <f aca="false">Inputs!$D$10</f>
        <v>0.02</v>
      </c>
      <c r="E309" s="74" t="n">
        <f aca="false">Inputs!$D$10</f>
        <v>0.02</v>
      </c>
      <c r="F309" s="74" t="n">
        <f aca="false">Inputs!$D$10</f>
        <v>0.02</v>
      </c>
      <c r="G309" s="74" t="n">
        <f aca="false">Inputs!$D$10</f>
        <v>0.02</v>
      </c>
      <c r="H309" s="74" t="n">
        <f aca="false">Inputs!$D$10</f>
        <v>0.02</v>
      </c>
      <c r="I309" s="74" t="n">
        <f aca="false">Inputs!$D$10</f>
        <v>0.02</v>
      </c>
      <c r="J309" s="74" t="n">
        <f aca="false">Inputs!$D$10</f>
        <v>0.02</v>
      </c>
      <c r="K309" s="74" t="n">
        <f aca="false">Inputs!$D$10</f>
        <v>0.02</v>
      </c>
      <c r="L309" s="74" t="n">
        <f aca="false">Inputs!$D$10</f>
        <v>0.02</v>
      </c>
      <c r="M309" s="74" t="n">
        <f aca="false">Inputs!$D$10</f>
        <v>0.02</v>
      </c>
      <c r="N309" s="74" t="n">
        <f aca="false">Inputs!$D$10</f>
        <v>0.02</v>
      </c>
      <c r="O309" s="74" t="n">
        <f aca="false">Inputs!$D$10</f>
        <v>0.02</v>
      </c>
      <c r="P309" s="74" t="n">
        <f aca="false">Inputs!$D$10</f>
        <v>0.02</v>
      </c>
      <c r="Q309" s="74" t="n">
        <f aca="false">Inputs!$D$10</f>
        <v>0.02</v>
      </c>
      <c r="R309" s="74" t="n">
        <f aca="false">Inputs!$D$10</f>
        <v>0.02</v>
      </c>
      <c r="S309" s="74" t="n">
        <f aca="false">Inputs!$D$10</f>
        <v>0.02</v>
      </c>
      <c r="T309" s="74" t="n">
        <f aca="false">Inputs!$D$10</f>
        <v>0.02</v>
      </c>
      <c r="U309" s="74" t="n">
        <f aca="false">Inputs!$D$10</f>
        <v>0.02</v>
      </c>
      <c r="V309" s="74" t="n">
        <f aca="false">Inputs!$D$10</f>
        <v>0.02</v>
      </c>
      <c r="W309" s="74" t="n">
        <f aca="false">Inputs!$D$10</f>
        <v>0.02</v>
      </c>
      <c r="X309" s="74" t="n">
        <f aca="false">Inputs!$D$10</f>
        <v>0.02</v>
      </c>
      <c r="Y309" s="74" t="n">
        <f aca="false">Inputs!$D$10</f>
        <v>0.02</v>
      </c>
      <c r="Z309" s="74" t="n">
        <f aca="false">Inputs!$D$10</f>
        <v>0.02</v>
      </c>
      <c r="AA309" s="74" t="n">
        <f aca="false">Inputs!$D$10</f>
        <v>0.02</v>
      </c>
      <c r="AB309" s="74" t="n">
        <f aca="false">Inputs!$D$10</f>
        <v>0.02</v>
      </c>
      <c r="AC309" s="74" t="n">
        <f aca="false">Inputs!$D$10</f>
        <v>0.02</v>
      </c>
      <c r="AD309" s="74" t="n">
        <f aca="false">Inputs!$D$10</f>
        <v>0.02</v>
      </c>
      <c r="AE309" s="74" t="n">
        <f aca="false">Inputs!$D$10</f>
        <v>0.02</v>
      </c>
      <c r="AF309" s="74" t="n">
        <f aca="false">Inputs!$D$10</f>
        <v>0.02</v>
      </c>
      <c r="AG309" s="74" t="n">
        <f aca="false">Inputs!$D$10</f>
        <v>0.02</v>
      </c>
      <c r="AH309" s="74" t="n">
        <f aca="false">Inputs!$D$10</f>
        <v>0.02</v>
      </c>
      <c r="AI309" s="74" t="n">
        <f aca="false">Inputs!$D$10</f>
        <v>0.02</v>
      </c>
      <c r="AJ309" s="74" t="n">
        <f aca="false">Inputs!$D$10</f>
        <v>0.02</v>
      </c>
      <c r="AK309" s="74" t="n">
        <f aca="false">Inputs!$D$10</f>
        <v>0.02</v>
      </c>
      <c r="AL309" s="74" t="n">
        <f aca="false">Inputs!$D$10</f>
        <v>0.02</v>
      </c>
    </row>
    <row r="311" customFormat="false" ht="15.75" hidden="false" customHeight="true" outlineLevel="0" collapsed="false">
      <c r="A311" s="7" t="s">
        <v>400</v>
      </c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</row>
    <row r="312" customFormat="false" ht="15" hidden="false" customHeight="false" outlineLevel="0" collapsed="false">
      <c r="A312" s="119" t="s">
        <v>401</v>
      </c>
      <c r="C312" s="120" t="n">
        <f aca="false">IF(C272&gt;0,1,0)</f>
        <v>0</v>
      </c>
      <c r="D312" s="120" t="n">
        <f aca="false">IF(D272&gt;0,1,0)</f>
        <v>0</v>
      </c>
      <c r="E312" s="120" t="n">
        <f aca="false">IF(E272&gt;0,1,0)</f>
        <v>0</v>
      </c>
      <c r="F312" s="120" t="n">
        <f aca="false">IF(F272&gt;0,1,0)</f>
        <v>0</v>
      </c>
      <c r="G312" s="120" t="n">
        <f aca="false">IF(G272&gt;0,1,0)</f>
        <v>0</v>
      </c>
      <c r="H312" s="120" t="n">
        <f aca="false">IF(H272&gt;0,1,0)</f>
        <v>0</v>
      </c>
      <c r="I312" s="120" t="n">
        <f aca="false">IF(I272&gt;0,1,0)</f>
        <v>0</v>
      </c>
      <c r="J312" s="120" t="n">
        <f aca="false">IF(J272&gt;0,1,0)</f>
        <v>0</v>
      </c>
      <c r="K312" s="120" t="n">
        <f aca="false">IF(K272&gt;0,1,0)</f>
        <v>0</v>
      </c>
      <c r="L312" s="120" t="n">
        <f aca="false">IF(L272&gt;0,1,0)</f>
        <v>0</v>
      </c>
      <c r="M312" s="120" t="n">
        <f aca="false">IF(M272&gt;0,1,0)</f>
        <v>0</v>
      </c>
      <c r="N312" s="120" t="n">
        <f aca="false">IF(N272&gt;0,1,0)</f>
        <v>0</v>
      </c>
      <c r="O312" s="120" t="n">
        <f aca="false">IF(O272&gt;0,1,0)</f>
        <v>0</v>
      </c>
      <c r="P312" s="120" t="n">
        <f aca="false">IF(P272&gt;0,1,0)</f>
        <v>0</v>
      </c>
      <c r="Q312" s="120" t="n">
        <f aca="false">IF(Q272&gt;0,1,0)</f>
        <v>0</v>
      </c>
      <c r="R312" s="120" t="n">
        <f aca="false">IF(R272&gt;0,1,0)</f>
        <v>0</v>
      </c>
      <c r="S312" s="120" t="n">
        <f aca="false">IF(S272&gt;0,1,0)</f>
        <v>0</v>
      </c>
      <c r="T312" s="120" t="n">
        <f aca="false">IF(T272&gt;0,1,0)</f>
        <v>0</v>
      </c>
      <c r="U312" s="120" t="n">
        <f aca="false">IF(U272&gt;0,1,0)</f>
        <v>0</v>
      </c>
      <c r="V312" s="120" t="n">
        <f aca="false">IF(V272&gt;0,1,0)</f>
        <v>0</v>
      </c>
      <c r="W312" s="120" t="n">
        <f aca="false">IF(W272&gt;0,1,0)</f>
        <v>0</v>
      </c>
      <c r="X312" s="120" t="n">
        <f aca="false">IF(X272&gt;0,1,0)</f>
        <v>0</v>
      </c>
      <c r="Y312" s="120" t="n">
        <f aca="false">IF(Y272&gt;0,1,0)</f>
        <v>0</v>
      </c>
      <c r="Z312" s="120" t="n">
        <f aca="false">IF(Z272&gt;0,1,0)</f>
        <v>1</v>
      </c>
      <c r="AA312" s="120" t="n">
        <f aca="false">IF(AA272&gt;0,1,0)</f>
        <v>0</v>
      </c>
      <c r="AB312" s="120" t="n">
        <f aca="false">IF(AB272&gt;0,1,0)</f>
        <v>0</v>
      </c>
      <c r="AC312" s="120" t="n">
        <f aca="false">IF(AC272&gt;0,1,0)</f>
        <v>0</v>
      </c>
      <c r="AD312" s="120" t="n">
        <f aca="false">IF(AD272&gt;0,1,0)</f>
        <v>0</v>
      </c>
      <c r="AE312" s="120" t="n">
        <f aca="false">IF(AE272&gt;0,1,0)</f>
        <v>0</v>
      </c>
      <c r="AF312" s="120" t="n">
        <f aca="false">IF(AF272&gt;0,1,0)</f>
        <v>0</v>
      </c>
      <c r="AG312" s="120" t="n">
        <f aca="false">IF(AG272&gt;0,1,0)</f>
        <v>0</v>
      </c>
      <c r="AH312" s="120" t="n">
        <f aca="false">IF(AH272&gt;0,1,0)</f>
        <v>1</v>
      </c>
      <c r="AI312" s="120" t="n">
        <f aca="false">IF(AI272&gt;0,1,0)</f>
        <v>1</v>
      </c>
      <c r="AJ312" s="120" t="n">
        <f aca="false">IF(AJ272&gt;0,1,0)</f>
        <v>1</v>
      </c>
      <c r="AK312" s="120" t="n">
        <f aca="false">IF(AK272&gt;0,1,0)</f>
        <v>1</v>
      </c>
      <c r="AL312" s="120" t="n">
        <f aca="false">IF(AL272&gt;0,1,0)</f>
        <v>1</v>
      </c>
    </row>
    <row r="313" customFormat="false" ht="15" hidden="false" customHeight="false" outlineLevel="0" collapsed="false">
      <c r="A313" s="6" t="s">
        <v>402</v>
      </c>
      <c r="C313" s="66" t="n">
        <f aca="false">C298+C299</f>
        <v>-80088.4816666667</v>
      </c>
      <c r="D313" s="66" t="n">
        <f aca="false">D298+D299</f>
        <v>-59985.2433738095</v>
      </c>
      <c r="E313" s="66" t="n">
        <f aca="false">E298+E299</f>
        <v>-55724.3847257857</v>
      </c>
      <c r="F313" s="66" t="n">
        <f aca="false">F298+F299</f>
        <v>-51505.5368456707</v>
      </c>
      <c r="G313" s="66" t="n">
        <f aca="false">G298+G299</f>
        <v>-47328.2915821569</v>
      </c>
      <c r="H313" s="66" t="n">
        <f aca="false">H298+H299</f>
        <v>-43192.2446263222</v>
      </c>
      <c r="I313" s="66" t="n">
        <f aca="false">I298+I299</f>
        <v>-39096.9954779889</v>
      </c>
      <c r="J313" s="66" t="n">
        <f aca="false">J298+J299</f>
        <v>-35042.1474123233</v>
      </c>
      <c r="K313" s="66" t="n">
        <f aca="false">K298+K299</f>
        <v>-31027.3074466748</v>
      </c>
      <c r="L313" s="66" t="n">
        <f aca="false">L298+L299</f>
        <v>-27052.0863076562</v>
      </c>
      <c r="M313" s="66" t="n">
        <f aca="false">M298+M299</f>
        <v>-23116.0983984617</v>
      </c>
      <c r="N313" s="66" t="n">
        <f aca="false">N298+N299</f>
        <v>-19218.9617664244</v>
      </c>
      <c r="O313" s="66" t="n">
        <f aca="false">O298+O299</f>
        <v>-48855.8239041447</v>
      </c>
      <c r="P313" s="66" t="n">
        <f aca="false">P298+P299</f>
        <v>-43377.0565306182</v>
      </c>
      <c r="Q313" s="66" t="n">
        <f aca="false">Q298+Q299</f>
        <v>-37878.6580911357</v>
      </c>
      <c r="R313" s="66" t="n">
        <f aca="false">R298+R299</f>
        <v>-32434.5729821029</v>
      </c>
      <c r="S313" s="66" t="n">
        <f aca="false">S298+S299</f>
        <v>-27044.2714832944</v>
      </c>
      <c r="T313" s="66" t="n">
        <f aca="false">T298+T299</f>
        <v>-21707.2289034251</v>
      </c>
      <c r="U313" s="66" t="n">
        <f aca="false">U298+U299</f>
        <v>-16422.9255352266</v>
      </c>
      <c r="V313" s="66" t="n">
        <f aca="false">V298+V299</f>
        <v>-11190.8466108649</v>
      </c>
      <c r="W313" s="66" t="n">
        <f aca="false">W298+W299</f>
        <v>-6010.48225769839</v>
      </c>
      <c r="X313" s="66" t="n">
        <f aca="false">X298+X299</f>
        <v>-881.327454376084</v>
      </c>
      <c r="Y313" s="66" t="n">
        <f aca="false">Y298+Y299</f>
        <v>4197.11801272656</v>
      </c>
      <c r="Z313" s="66" t="n">
        <f aca="false">Z298+Z299</f>
        <v>9225.34959273563</v>
      </c>
      <c r="AA313" s="66" t="n">
        <f aca="false">AA298+AA299</f>
        <v>-37759.2867743295</v>
      </c>
      <c r="AB313" s="66" t="n">
        <f aca="false">AB298+AB299</f>
        <v>-30408.2474453371</v>
      </c>
      <c r="AC313" s="66" t="n">
        <f aca="false">AC298+AC299</f>
        <v>-23021.6051563524</v>
      </c>
      <c r="AD313" s="66" t="n">
        <f aca="false">AD298+AD299</f>
        <v>-15708.0210790338</v>
      </c>
      <c r="AE313" s="66" t="n">
        <f aca="false">AE298+AE299</f>
        <v>-8466.78079548929</v>
      </c>
      <c r="AF313" s="66" t="n">
        <f aca="false">AF298+AF299</f>
        <v>-1297.176708721</v>
      </c>
      <c r="AG313" s="66" t="n">
        <f aca="false">AG298+AG299</f>
        <v>5801.49201911762</v>
      </c>
      <c r="AH313" s="66" t="n">
        <f aca="false">AH298+AH299</f>
        <v>12829.9195279772</v>
      </c>
      <c r="AI313" s="66" t="n">
        <f aca="false">AI298+AI299</f>
        <v>19788.7933206813</v>
      </c>
      <c r="AJ313" s="66" t="n">
        <f aca="false">AJ298+AJ299</f>
        <v>26678.7943232131</v>
      </c>
      <c r="AK313" s="66" t="n">
        <f aca="false">AK298+AK299</f>
        <v>33500.596944519</v>
      </c>
      <c r="AL313" s="66" t="n">
        <f aca="false">AL298+AL299</f>
        <v>40254.8691358355</v>
      </c>
    </row>
    <row r="314" customFormat="false" ht="15" hidden="false" customHeight="false" outlineLevel="0" collapsed="false">
      <c r="A314" s="6" t="s">
        <v>403</v>
      </c>
      <c r="C314" s="66" t="n">
        <f aca="false">C313</f>
        <v>-80088.4816666667</v>
      </c>
      <c r="D314" s="66" t="n">
        <f aca="false">C314+D313</f>
        <v>-140073.725040476</v>
      </c>
      <c r="E314" s="66" t="n">
        <f aca="false">D314+E313</f>
        <v>-195798.109766262</v>
      </c>
      <c r="F314" s="66" t="n">
        <f aca="false">E314+F313</f>
        <v>-247303.646611933</v>
      </c>
      <c r="G314" s="66" t="n">
        <f aca="false">F314+G313</f>
        <v>-294631.938194089</v>
      </c>
      <c r="H314" s="66" t="n">
        <f aca="false">G314+H313</f>
        <v>-337824.182820412</v>
      </c>
      <c r="I314" s="66" t="n">
        <f aca="false">H314+I313</f>
        <v>-376921.178298401</v>
      </c>
      <c r="J314" s="66" t="n">
        <f aca="false">I314+J313</f>
        <v>-411963.325710724</v>
      </c>
      <c r="K314" s="66" t="n">
        <f aca="false">J314+K313</f>
        <v>-442990.633157399</v>
      </c>
      <c r="L314" s="66" t="n">
        <f aca="false">K314+L313</f>
        <v>-470042.719465055</v>
      </c>
      <c r="M314" s="66" t="n">
        <f aca="false">L314+M313</f>
        <v>-493158.817863517</v>
      </c>
      <c r="N314" s="66" t="n">
        <f aca="false">M314+N313</f>
        <v>-512377.779629941</v>
      </c>
      <c r="O314" s="66" t="n">
        <f aca="false">N314+O313</f>
        <v>-561233.603534086</v>
      </c>
      <c r="P314" s="66" t="n">
        <f aca="false">O314+P313</f>
        <v>-604610.660064704</v>
      </c>
      <c r="Q314" s="66" t="n">
        <f aca="false">P314+Q313</f>
        <v>-642489.31815584</v>
      </c>
      <c r="R314" s="66" t="n">
        <f aca="false">Q314+R313</f>
        <v>-674923.891137942</v>
      </c>
      <c r="S314" s="66" t="n">
        <f aca="false">R314+S313</f>
        <v>-701968.162621237</v>
      </c>
      <c r="T314" s="66" t="n">
        <f aca="false">S314+T313</f>
        <v>-723675.391524662</v>
      </c>
      <c r="U314" s="66" t="n">
        <f aca="false">T314+U313</f>
        <v>-740098.317059888</v>
      </c>
      <c r="V314" s="66" t="n">
        <f aca="false">U314+V313</f>
        <v>-751289.163670753</v>
      </c>
      <c r="W314" s="66" t="n">
        <f aca="false">V314+W313</f>
        <v>-757299.645928452</v>
      </c>
      <c r="X314" s="66" t="n">
        <f aca="false">W314+X313</f>
        <v>-758180.973382828</v>
      </c>
      <c r="Y314" s="66" t="n">
        <f aca="false">X314+Y313</f>
        <v>-753983.855370101</v>
      </c>
      <c r="Z314" s="66" t="n">
        <f aca="false">Y314+Z313</f>
        <v>-744758.505777365</v>
      </c>
      <c r="AA314" s="66" t="n">
        <f aca="false">Z314+AA313</f>
        <v>-782517.792551695</v>
      </c>
      <c r="AB314" s="66" t="n">
        <f aca="false">AA314+AB313</f>
        <v>-812926.039997032</v>
      </c>
      <c r="AC314" s="66" t="n">
        <f aca="false">AB314+AC313</f>
        <v>-835947.645153384</v>
      </c>
      <c r="AD314" s="66" t="n">
        <f aca="false">AC314+AD313</f>
        <v>-851655.666232418</v>
      </c>
      <c r="AE314" s="66" t="n">
        <f aca="false">AD314+AE313</f>
        <v>-860122.447027908</v>
      </c>
      <c r="AF314" s="66" t="n">
        <f aca="false">AE314+AF313</f>
        <v>-861419.623736629</v>
      </c>
      <c r="AG314" s="66" t="n">
        <f aca="false">AF314+AG313</f>
        <v>-855618.131717511</v>
      </c>
      <c r="AH314" s="66" t="n">
        <f aca="false">AG314+AH313</f>
        <v>-842788.212189534</v>
      </c>
      <c r="AI314" s="66" t="n">
        <f aca="false">AH314+AI313</f>
        <v>-822999.418868852</v>
      </c>
      <c r="AJ314" s="66" t="n">
        <f aca="false">AI314+AJ313</f>
        <v>-796320.624545639</v>
      </c>
      <c r="AK314" s="66" t="n">
        <f aca="false">AJ314+AK313</f>
        <v>-762820.02760112</v>
      </c>
      <c r="AL314" s="66" t="n">
        <f aca="false">AK314+AL313</f>
        <v>-722565.158465285</v>
      </c>
    </row>
    <row r="315" customFormat="false" ht="15" hidden="false" customHeight="false" outlineLevel="0" collapsed="false">
      <c r="A315" s="119" t="s">
        <v>404</v>
      </c>
      <c r="C315" s="66" t="n">
        <f aca="false">C314</f>
        <v>-80088.4816666667</v>
      </c>
      <c r="D315" s="66" t="n">
        <f aca="false">MIN(C315,D314)</f>
        <v>-140073.725040476</v>
      </c>
      <c r="E315" s="66" t="n">
        <f aca="false">MIN(D315,E314)</f>
        <v>-195798.109766262</v>
      </c>
      <c r="F315" s="66" t="n">
        <f aca="false">MIN(E315,F314)</f>
        <v>-247303.646611933</v>
      </c>
      <c r="G315" s="66" t="n">
        <f aca="false">MIN(F315,G314)</f>
        <v>-294631.938194089</v>
      </c>
      <c r="H315" s="66" t="n">
        <f aca="false">MIN(G315,H314)</f>
        <v>-337824.182820412</v>
      </c>
      <c r="I315" s="66" t="n">
        <f aca="false">MIN(H315,I314)</f>
        <v>-376921.178298401</v>
      </c>
      <c r="J315" s="66" t="n">
        <f aca="false">MIN(I315,J314)</f>
        <v>-411963.325710724</v>
      </c>
      <c r="K315" s="66" t="n">
        <f aca="false">MIN(J315,K314)</f>
        <v>-442990.633157399</v>
      </c>
      <c r="L315" s="66" t="n">
        <f aca="false">MIN(K315,L314)</f>
        <v>-470042.719465055</v>
      </c>
      <c r="M315" s="66" t="n">
        <f aca="false">MIN(L315,M314)</f>
        <v>-493158.817863517</v>
      </c>
      <c r="N315" s="66" t="n">
        <f aca="false">MIN(M315,N314)</f>
        <v>-512377.779629941</v>
      </c>
      <c r="O315" s="66" t="n">
        <f aca="false">MIN(N315,O314)</f>
        <v>-561233.603534086</v>
      </c>
      <c r="P315" s="66" t="n">
        <f aca="false">MIN(O315,P314)</f>
        <v>-604610.660064704</v>
      </c>
      <c r="Q315" s="66" t="n">
        <f aca="false">MIN(P315,Q314)</f>
        <v>-642489.31815584</v>
      </c>
      <c r="R315" s="66" t="n">
        <f aca="false">MIN(Q315,R314)</f>
        <v>-674923.891137942</v>
      </c>
      <c r="S315" s="66" t="n">
        <f aca="false">MIN(R315,S314)</f>
        <v>-701968.162621237</v>
      </c>
      <c r="T315" s="66" t="n">
        <f aca="false">MIN(S315,T314)</f>
        <v>-723675.391524662</v>
      </c>
      <c r="U315" s="66" t="n">
        <f aca="false">MIN(T315,U314)</f>
        <v>-740098.317059888</v>
      </c>
      <c r="V315" s="66" t="n">
        <f aca="false">MIN(U315,V314)</f>
        <v>-751289.163670753</v>
      </c>
      <c r="W315" s="66" t="n">
        <f aca="false">MIN(V315,W314)</f>
        <v>-757299.645928452</v>
      </c>
      <c r="X315" s="66" t="n">
        <f aca="false">MIN(W315,X314)</f>
        <v>-758180.973382828</v>
      </c>
      <c r="Y315" s="66" t="n">
        <f aca="false">MIN(X315,Y314)</f>
        <v>-758180.973382828</v>
      </c>
      <c r="Z315" s="66" t="n">
        <f aca="false">MIN(Y315,Z314)</f>
        <v>-758180.973382828</v>
      </c>
      <c r="AA315" s="66" t="n">
        <f aca="false">MIN(Z315,AA314)</f>
        <v>-782517.792551695</v>
      </c>
      <c r="AB315" s="66" t="n">
        <f aca="false">MIN(AA315,AB314)</f>
        <v>-812926.039997032</v>
      </c>
      <c r="AC315" s="66" t="n">
        <f aca="false">MIN(AB315,AC314)</f>
        <v>-835947.645153384</v>
      </c>
      <c r="AD315" s="66" t="n">
        <f aca="false">MIN(AC315,AD314)</f>
        <v>-851655.666232418</v>
      </c>
      <c r="AE315" s="66" t="n">
        <f aca="false">MIN(AD315,AE314)</f>
        <v>-860122.447027908</v>
      </c>
      <c r="AF315" s="66" t="n">
        <f aca="false">MIN(AE315,AF314)</f>
        <v>-861419.623736629</v>
      </c>
      <c r="AG315" s="66" t="n">
        <f aca="false">MIN(AF315,AG314)</f>
        <v>-861419.623736629</v>
      </c>
      <c r="AH315" s="66" t="n">
        <f aca="false">MIN(AG315,AH314)</f>
        <v>-861419.623736629</v>
      </c>
      <c r="AI315" s="66" t="n">
        <f aca="false">MIN(AH315,AI314)</f>
        <v>-861419.623736629</v>
      </c>
      <c r="AJ315" s="66" t="n">
        <f aca="false">MIN(AI315,AJ314)</f>
        <v>-861419.623736629</v>
      </c>
      <c r="AK315" s="66" t="n">
        <f aca="false">MIN(AJ315,AK314)</f>
        <v>-861419.623736629</v>
      </c>
      <c r="AL315" s="66" t="n">
        <f aca="false">MIN(AK315,AL314)</f>
        <v>-861419.623736629</v>
      </c>
    </row>
    <row r="316" customFormat="false" ht="15" hidden="false" customHeight="false" outlineLevel="0" collapsed="false">
      <c r="A316" s="119" t="s">
        <v>405</v>
      </c>
      <c r="C316" s="120" t="n">
        <f aca="false">IF(AND(C314&gt;=0,C315&lt;0),1,0)</f>
        <v>0</v>
      </c>
      <c r="D316" s="120" t="n">
        <f aca="false">IF(AND(D314&gt;=0,D315&lt;0),1,0)</f>
        <v>0</v>
      </c>
      <c r="E316" s="120" t="n">
        <f aca="false">IF(AND(E314&gt;=0,E315&lt;0),1,0)</f>
        <v>0</v>
      </c>
      <c r="F316" s="120" t="n">
        <f aca="false">IF(AND(F314&gt;=0,F315&lt;0),1,0)</f>
        <v>0</v>
      </c>
      <c r="G316" s="120" t="n">
        <f aca="false">IF(AND(G314&gt;=0,G315&lt;0),1,0)</f>
        <v>0</v>
      </c>
      <c r="H316" s="120" t="n">
        <f aca="false">IF(AND(H314&gt;=0,H315&lt;0),1,0)</f>
        <v>0</v>
      </c>
      <c r="I316" s="120" t="n">
        <f aca="false">IF(AND(I314&gt;=0,I315&lt;0),1,0)</f>
        <v>0</v>
      </c>
      <c r="J316" s="120" t="n">
        <f aca="false">IF(AND(J314&gt;=0,J315&lt;0),1,0)</f>
        <v>0</v>
      </c>
      <c r="K316" s="120" t="n">
        <f aca="false">IF(AND(K314&gt;=0,K315&lt;0),1,0)</f>
        <v>0</v>
      </c>
      <c r="L316" s="120" t="n">
        <f aca="false">IF(AND(L314&gt;=0,L315&lt;0),1,0)</f>
        <v>0</v>
      </c>
      <c r="M316" s="120" t="n">
        <f aca="false">IF(AND(M314&gt;=0,M315&lt;0),1,0)</f>
        <v>0</v>
      </c>
      <c r="N316" s="120" t="n">
        <f aca="false">IF(AND(N314&gt;=0,N315&lt;0),1,0)</f>
        <v>0</v>
      </c>
      <c r="O316" s="120" t="n">
        <f aca="false">IF(AND(O314&gt;=0,O315&lt;0),1,0)</f>
        <v>0</v>
      </c>
      <c r="P316" s="120" t="n">
        <f aca="false">IF(AND(P314&gt;=0,P315&lt;0),1,0)</f>
        <v>0</v>
      </c>
      <c r="Q316" s="120" t="n">
        <f aca="false">IF(AND(Q314&gt;=0,Q315&lt;0),1,0)</f>
        <v>0</v>
      </c>
      <c r="R316" s="120" t="n">
        <f aca="false">IF(AND(R314&gt;=0,R315&lt;0),1,0)</f>
        <v>0</v>
      </c>
      <c r="S316" s="120" t="n">
        <f aca="false">IF(AND(S314&gt;=0,S315&lt;0),1,0)</f>
        <v>0</v>
      </c>
      <c r="T316" s="120" t="n">
        <f aca="false">IF(AND(T314&gt;=0,T315&lt;0),1,0)</f>
        <v>0</v>
      </c>
      <c r="U316" s="120" t="n">
        <f aca="false">IF(AND(U314&gt;=0,U315&lt;0),1,0)</f>
        <v>0</v>
      </c>
      <c r="V316" s="120" t="n">
        <f aca="false">IF(AND(V314&gt;=0,V315&lt;0),1,0)</f>
        <v>0</v>
      </c>
      <c r="W316" s="120" t="n">
        <f aca="false">IF(AND(W314&gt;=0,W315&lt;0),1,0)</f>
        <v>0</v>
      </c>
      <c r="X316" s="120" t="n">
        <f aca="false">IF(AND(X314&gt;=0,X315&lt;0),1,0)</f>
        <v>0</v>
      </c>
      <c r="Y316" s="120" t="n">
        <f aca="false">IF(AND(Y314&gt;=0,Y315&lt;0),1,0)</f>
        <v>0</v>
      </c>
      <c r="Z316" s="120" t="n">
        <f aca="false">IF(AND(Z314&gt;=0,Z315&lt;0),1,0)</f>
        <v>0</v>
      </c>
      <c r="AA316" s="120" t="n">
        <f aca="false">IF(AND(AA314&gt;=0,AA315&lt;0),1,0)</f>
        <v>0</v>
      </c>
      <c r="AB316" s="120" t="n">
        <f aca="false">IF(AND(AB314&gt;=0,AB315&lt;0),1,0)</f>
        <v>0</v>
      </c>
      <c r="AC316" s="120" t="n">
        <f aca="false">IF(AND(AC314&gt;=0,AC315&lt;0),1,0)</f>
        <v>0</v>
      </c>
      <c r="AD316" s="120" t="n">
        <f aca="false">IF(AND(AD314&gt;=0,AD315&lt;0),1,0)</f>
        <v>0</v>
      </c>
      <c r="AE316" s="120" t="n">
        <f aca="false">IF(AND(AE314&gt;=0,AE315&lt;0),1,0)</f>
        <v>0</v>
      </c>
      <c r="AF316" s="120" t="n">
        <f aca="false">IF(AND(AF314&gt;=0,AF315&lt;0),1,0)</f>
        <v>0</v>
      </c>
      <c r="AG316" s="120" t="n">
        <f aca="false">IF(AND(AG314&gt;=0,AG315&lt;0),1,0)</f>
        <v>0</v>
      </c>
      <c r="AH316" s="120" t="n">
        <f aca="false">IF(AND(AH314&gt;=0,AH315&lt;0),1,0)</f>
        <v>0</v>
      </c>
      <c r="AI316" s="120" t="n">
        <f aca="false">IF(AND(AI314&gt;=0,AI315&lt;0),1,0)</f>
        <v>0</v>
      </c>
      <c r="AJ316" s="120" t="n">
        <f aca="false">IF(AND(AJ314&gt;=0,AJ315&lt;0),1,0)</f>
        <v>0</v>
      </c>
      <c r="AK316" s="120" t="n">
        <f aca="false">IF(AND(AK314&gt;=0,AK315&lt;0),1,0)</f>
        <v>0</v>
      </c>
      <c r="AL316" s="120" t="n">
        <f aca="false">IF(AND(AL314&gt;=0,AL315&lt;0),1,0)</f>
        <v>0</v>
      </c>
    </row>
    <row r="317" customFormat="false" ht="15" hidden="false" customHeight="false" outlineLevel="0" collapsed="false">
      <c r="A317" s="6" t="s">
        <v>406</v>
      </c>
      <c r="C317" s="66" t="n">
        <f aca="false">C298-C267*(1-Inputs!$D$58)+C299</f>
        <v>-80088.4816666667</v>
      </c>
      <c r="D317" s="66" t="n">
        <f aca="false">D298-D267*(1-Inputs!$D$58)+D299</f>
        <v>-59985.2433738095</v>
      </c>
      <c r="E317" s="66" t="n">
        <f aca="false">E298-E267*(1-Inputs!$D$58)+E299</f>
        <v>-55724.3847257857</v>
      </c>
      <c r="F317" s="66" t="n">
        <f aca="false">F298-F267*(1-Inputs!$D$58)+F299</f>
        <v>-51505.5368456707</v>
      </c>
      <c r="G317" s="66" t="n">
        <f aca="false">G298-G267*(1-Inputs!$D$58)+G299</f>
        <v>-47328.2915821569</v>
      </c>
      <c r="H317" s="66" t="n">
        <f aca="false">H298-H267*(1-Inputs!$D$58)+H299</f>
        <v>-43192.2446263222</v>
      </c>
      <c r="I317" s="66" t="n">
        <f aca="false">I298-I267*(1-Inputs!$D$58)+I299</f>
        <v>-39096.9954779889</v>
      </c>
      <c r="J317" s="66" t="n">
        <f aca="false">J298-J267*(1-Inputs!$D$58)+J299</f>
        <v>-35042.1474123233</v>
      </c>
      <c r="K317" s="66" t="n">
        <f aca="false">K298-K267*(1-Inputs!$D$58)+K299</f>
        <v>-31027.3074466748</v>
      </c>
      <c r="L317" s="66" t="n">
        <f aca="false">L298-L267*(1-Inputs!$D$58)+L299</f>
        <v>-27052.0863076562</v>
      </c>
      <c r="M317" s="66" t="n">
        <f aca="false">M298-M267*(1-Inputs!$D$58)+M299</f>
        <v>-23116.0983984617</v>
      </c>
      <c r="N317" s="66" t="n">
        <f aca="false">N298-N267*(1-Inputs!$D$58)+N299</f>
        <v>-19218.9617664244</v>
      </c>
      <c r="O317" s="66" t="n">
        <f aca="false">O298-O267*(1-Inputs!$D$58)+O299</f>
        <v>-48855.8239041447</v>
      </c>
      <c r="P317" s="66" t="n">
        <f aca="false">P298-P267*(1-Inputs!$D$58)+P299</f>
        <v>-43377.0565306182</v>
      </c>
      <c r="Q317" s="66" t="n">
        <f aca="false">Q298-Q267*(1-Inputs!$D$58)+Q299</f>
        <v>-37878.6580911357</v>
      </c>
      <c r="R317" s="66" t="n">
        <f aca="false">R298-R267*(1-Inputs!$D$58)+R299</f>
        <v>-32434.5729821029</v>
      </c>
      <c r="S317" s="66" t="n">
        <f aca="false">S298-S267*(1-Inputs!$D$58)+S299</f>
        <v>-27044.2714832944</v>
      </c>
      <c r="T317" s="66" t="n">
        <f aca="false">T298-T267*(1-Inputs!$D$58)+T299</f>
        <v>-21707.2289034251</v>
      </c>
      <c r="U317" s="66" t="n">
        <f aca="false">U298-U267*(1-Inputs!$D$58)+U299</f>
        <v>-16422.9255352266</v>
      </c>
      <c r="V317" s="66" t="n">
        <f aca="false">V298-V267*(1-Inputs!$D$58)+V299</f>
        <v>-11190.8466108649</v>
      </c>
      <c r="W317" s="66" t="n">
        <f aca="false">W298-W267*(1-Inputs!$D$58)+W299</f>
        <v>-6010.48225769839</v>
      </c>
      <c r="X317" s="66" t="n">
        <f aca="false">X298-X267*(1-Inputs!$D$58)+X299</f>
        <v>-881.327454376084</v>
      </c>
      <c r="Y317" s="66" t="n">
        <f aca="false">Y298-Y267*(1-Inputs!$D$58)+Y299</f>
        <v>4197.11801272656</v>
      </c>
      <c r="Z317" s="66" t="n">
        <f aca="false">Z298-Z267*(1-Inputs!$D$58)+Z299</f>
        <v>9225.34959273563</v>
      </c>
      <c r="AA317" s="66" t="n">
        <f aca="false">AA298-AA267*(1-Inputs!$D$58)+AA299</f>
        <v>-37759.2867743295</v>
      </c>
      <c r="AB317" s="66" t="n">
        <f aca="false">AB298-AB267*(1-Inputs!$D$58)+AB299</f>
        <v>-30408.2474453371</v>
      </c>
      <c r="AC317" s="66" t="n">
        <f aca="false">AC298-AC267*(1-Inputs!$D$58)+AC299</f>
        <v>-23021.6051563524</v>
      </c>
      <c r="AD317" s="66" t="n">
        <f aca="false">AD298-AD267*(1-Inputs!$D$58)+AD299</f>
        <v>-15708.0210790338</v>
      </c>
      <c r="AE317" s="66" t="n">
        <f aca="false">AE298-AE267*(1-Inputs!$D$58)+AE299</f>
        <v>-8466.78079548929</v>
      </c>
      <c r="AF317" s="66" t="n">
        <f aca="false">AF298-AF267*(1-Inputs!$D$58)+AF299</f>
        <v>-1297.176708721</v>
      </c>
      <c r="AG317" s="66" t="n">
        <f aca="false">AG298-AG267*(1-Inputs!$D$58)+AG299</f>
        <v>5801.49201911762</v>
      </c>
      <c r="AH317" s="66" t="n">
        <f aca="false">AH298-AH267*(1-Inputs!$D$58)+AH299</f>
        <v>12829.9195279772</v>
      </c>
      <c r="AI317" s="66" t="n">
        <f aca="false">AI298-AI267*(1-Inputs!$D$58)+AI299</f>
        <v>19788.7933206813</v>
      </c>
      <c r="AJ317" s="66" t="n">
        <f aca="false">AJ298-AJ267*(1-Inputs!$D$58)+AJ299</f>
        <v>26678.7943232131</v>
      </c>
      <c r="AK317" s="66" t="n">
        <f aca="false">AK298-AK267*(1-Inputs!$D$58)+AK299</f>
        <v>33500.596944519</v>
      </c>
      <c r="AL317" s="66" t="n">
        <f aca="false">AL298-AL267*(1-Inputs!$D$58)+AL299</f>
        <v>40254.8691358355</v>
      </c>
    </row>
    <row r="319" customFormat="false" ht="15.75" hidden="false" customHeight="true" outlineLevel="0" collapsed="false">
      <c r="A319" s="7" t="s">
        <v>407</v>
      </c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customFormat="false" ht="15" hidden="false" customHeight="false" outlineLevel="0" collapsed="false">
      <c r="A320" s="6" t="s">
        <v>97</v>
      </c>
      <c r="C320" s="66" t="n">
        <f aca="false">C300</f>
        <v>3000000</v>
      </c>
      <c r="D320" s="66" t="n">
        <f aca="false">C320+D300</f>
        <v>3000000</v>
      </c>
      <c r="E320" s="66" t="n">
        <f aca="false">D320+E300</f>
        <v>3000000</v>
      </c>
      <c r="F320" s="66" t="n">
        <f aca="false">E320+F300</f>
        <v>3000000</v>
      </c>
      <c r="G320" s="66" t="n">
        <f aca="false">F320+G300</f>
        <v>3000000</v>
      </c>
      <c r="H320" s="66" t="n">
        <f aca="false">G320+H300</f>
        <v>3000000</v>
      </c>
      <c r="I320" s="66" t="n">
        <f aca="false">H320+I300</f>
        <v>3000000</v>
      </c>
      <c r="J320" s="66" t="n">
        <f aca="false">I320+J300</f>
        <v>3000000</v>
      </c>
      <c r="K320" s="66" t="n">
        <f aca="false">J320+K300</f>
        <v>3000000</v>
      </c>
      <c r="L320" s="66" t="n">
        <f aca="false">K320+L300</f>
        <v>3000000</v>
      </c>
      <c r="M320" s="66" t="n">
        <f aca="false">L320+M300</f>
        <v>3000000</v>
      </c>
      <c r="N320" s="66" t="n">
        <f aca="false">M320+N300</f>
        <v>3000000</v>
      </c>
      <c r="O320" s="66" t="n">
        <f aca="false">N320+O300</f>
        <v>3000000</v>
      </c>
      <c r="P320" s="66" t="n">
        <f aca="false">O320+P300</f>
        <v>3000000</v>
      </c>
      <c r="Q320" s="66" t="n">
        <f aca="false">P320+Q300</f>
        <v>3000000</v>
      </c>
      <c r="R320" s="66" t="n">
        <f aca="false">Q320+R300</f>
        <v>3000000</v>
      </c>
      <c r="S320" s="66" t="n">
        <f aca="false">R320+S300</f>
        <v>3000000</v>
      </c>
      <c r="T320" s="66" t="n">
        <f aca="false">S320+T300</f>
        <v>3000000</v>
      </c>
      <c r="U320" s="66" t="n">
        <f aca="false">T320+U300</f>
        <v>3000000</v>
      </c>
      <c r="V320" s="66" t="n">
        <f aca="false">U320+V300</f>
        <v>3000000</v>
      </c>
      <c r="W320" s="66" t="n">
        <f aca="false">V320+W300</f>
        <v>3000000</v>
      </c>
      <c r="X320" s="66" t="n">
        <f aca="false">W320+X300</f>
        <v>3000000</v>
      </c>
      <c r="Y320" s="66" t="n">
        <f aca="false">X320+Y300</f>
        <v>3000000</v>
      </c>
      <c r="Z320" s="66" t="n">
        <f aca="false">Y320+Z300</f>
        <v>3000000</v>
      </c>
      <c r="AA320" s="66" t="n">
        <f aca="false">Z320+AA300</f>
        <v>3000000</v>
      </c>
      <c r="AB320" s="66" t="n">
        <f aca="false">AA320+AB300</f>
        <v>3000000</v>
      </c>
      <c r="AC320" s="66" t="n">
        <f aca="false">AB320+AC300</f>
        <v>3000000</v>
      </c>
      <c r="AD320" s="66" t="n">
        <f aca="false">AC320+AD300</f>
        <v>3000000</v>
      </c>
      <c r="AE320" s="66" t="n">
        <f aca="false">AD320+AE300</f>
        <v>3000000</v>
      </c>
      <c r="AF320" s="66" t="n">
        <f aca="false">AE320+AF300</f>
        <v>3000000</v>
      </c>
      <c r="AG320" s="66" t="n">
        <f aca="false">AF320+AG300</f>
        <v>3000000</v>
      </c>
      <c r="AH320" s="66" t="n">
        <f aca="false">AG320+AH300</f>
        <v>3000000</v>
      </c>
      <c r="AI320" s="66" t="n">
        <f aca="false">AH320+AI300</f>
        <v>3000000</v>
      </c>
      <c r="AJ320" s="66" t="n">
        <f aca="false">AI320+AJ300</f>
        <v>3000000</v>
      </c>
      <c r="AK320" s="66" t="n">
        <f aca="false">AJ320+AK300</f>
        <v>3000000</v>
      </c>
      <c r="AL320" s="66" t="n">
        <f aca="false">AK320+AL300</f>
        <v>3000000</v>
      </c>
    </row>
    <row r="321" customFormat="false" ht="15" hidden="false" customHeight="false" outlineLevel="0" collapsed="false">
      <c r="A321" s="6" t="s">
        <v>98</v>
      </c>
      <c r="C321" s="66" t="n">
        <f aca="false">C272</f>
        <v>-70276.2504126984</v>
      </c>
      <c r="D321" s="66" t="n">
        <f aca="false">C321+D272</f>
        <v>-136194.28766254</v>
      </c>
      <c r="E321" s="66" t="n">
        <f aca="false">D321+E272</f>
        <v>-197797.096062581</v>
      </c>
      <c r="F321" s="66" t="n">
        <f aca="false">E321+F272</f>
        <v>-255127.24203912</v>
      </c>
      <c r="G321" s="66" t="n">
        <f aca="false">F321+G272</f>
        <v>-308226.878071437</v>
      </c>
      <c r="H321" s="66" t="n">
        <f aca="false">G321+H272</f>
        <v>-357137.746596915</v>
      </c>
      <c r="I321" s="66" t="n">
        <f aca="false">H321+I272</f>
        <v>-401901.183881809</v>
      </c>
      <c r="J321" s="66" t="n">
        <f aca="false">I321+J272</f>
        <v>-442558.123857884</v>
      </c>
      <c r="K321" s="66" t="n">
        <f aca="false">J321+K272</f>
        <v>-479149.101925202</v>
      </c>
      <c r="L321" s="66" t="n">
        <f aca="false">K321+L272</f>
        <v>-511714.258721284</v>
      </c>
      <c r="M321" s="66" t="n">
        <f aca="false">L321+M272</f>
        <v>-540293.343856909</v>
      </c>
      <c r="N321" s="66" t="n">
        <f aca="false">M321+N272</f>
        <v>-564925.719618784</v>
      </c>
      <c r="O321" s="66" t="n">
        <f aca="false">N321+O272</f>
        <v>-621398.672210777</v>
      </c>
      <c r="P321" s="66" t="n">
        <f aca="false">O321+P272</f>
        <v>-672247.82295823</v>
      </c>
      <c r="Q321" s="66" t="n">
        <f aca="false">P321+Q272</f>
        <v>-717528.739225642</v>
      </c>
      <c r="R321" s="66" t="n">
        <f aca="false">Q321+R272</f>
        <v>-757296.446116949</v>
      </c>
      <c r="S321" s="66" t="n">
        <f aca="false">R321+S272</f>
        <v>-791605.431629861</v>
      </c>
      <c r="T321" s="66" t="n">
        <f aca="false">S321+T272</f>
        <v>-820509.651764036</v>
      </c>
      <c r="U321" s="66" t="n">
        <f aca="false">T321+U272</f>
        <v>-844062.535583415</v>
      </c>
      <c r="V321" s="66" t="n">
        <f aca="false">U321+V272</f>
        <v>-862316.990233098</v>
      </c>
      <c r="W321" s="66" t="n">
        <f aca="false">V321+W272</f>
        <v>-875325.405911094</v>
      </c>
      <c r="X321" s="66" t="n">
        <f aca="false">W321+X272</f>
        <v>-883139.660795307</v>
      </c>
      <c r="Y321" s="66" t="n">
        <f aca="false">X321+Y272</f>
        <v>-885811.125926097</v>
      </c>
      <c r="Z321" s="66" t="n">
        <f aca="false">Y321+Z272</f>
        <v>-883390.670044773</v>
      </c>
      <c r="AA321" s="66" t="n">
        <f aca="false">Z321+AA272</f>
        <v>-931180.480129068</v>
      </c>
      <c r="AB321" s="66" t="n">
        <f aca="false">AA321+AB272</f>
        <v>-971415.387853544</v>
      </c>
      <c r="AC321" s="66" t="n">
        <f aca="false">AB321+AC272</f>
        <v>-1004170.13403058</v>
      </c>
      <c r="AD321" s="66" t="n">
        <f aca="false">AC321+AD272</f>
        <v>-1029518.72822864</v>
      </c>
      <c r="AE321" s="66" t="n">
        <f aca="false">AD321+AE272</f>
        <v>-1047534.45576146</v>
      </c>
      <c r="AF321" s="66" t="n">
        <f aca="false">AE321+AF272</f>
        <v>-1058289.88461377</v>
      </c>
      <c r="AG321" s="66" t="n">
        <f aca="false">AF321+AG272</f>
        <v>-1061856.87230405</v>
      </c>
      <c r="AH321" s="66" t="n">
        <f aca="false">AG321+AH272</f>
        <v>-1058306.572685</v>
      </c>
      <c r="AI321" s="66" t="n">
        <f aca="false">AH321+AI272</f>
        <v>-1047709.44268196</v>
      </c>
      <c r="AJ321" s="66" t="n">
        <f aca="false">AI321+AJ272</f>
        <v>-1030135.24896996</v>
      </c>
      <c r="AK321" s="66" t="n">
        <f aca="false">AJ321+AK272</f>
        <v>-1005653.07458988</v>
      </c>
      <c r="AL321" s="66" t="n">
        <f aca="false">AK321+AL272</f>
        <v>-974331.325504101</v>
      </c>
    </row>
    <row r="322" customFormat="false" ht="15" hidden="false" customHeight="false" outlineLevel="0" collapsed="false">
      <c r="A322" s="4" t="s">
        <v>92</v>
      </c>
      <c r="C322" s="72" t="n">
        <f aca="false">C304+C288+C289+C279</f>
        <v>2940353.15444445</v>
      </c>
      <c r="D322" s="72" t="n">
        <f aca="false">D304+D288+D289+D279</f>
        <v>2880612.71693175</v>
      </c>
      <c r="E322" s="72" t="n">
        <f aca="false">E304+E288+E289+E279</f>
        <v>2825125.13445291</v>
      </c>
      <c r="F322" s="72" t="n">
        <f aca="false">F304+F288+F289+F279</f>
        <v>2773848.47627615</v>
      </c>
      <c r="G322" s="72" t="n">
        <f aca="false">G304+G288+G289+G279</f>
        <v>2726741.21902067</v>
      </c>
      <c r="H322" s="72" t="n">
        <f aca="false">H304+H288+H289+H279</f>
        <v>2683762.2428222</v>
      </c>
      <c r="I322" s="72" t="n">
        <f aca="false">I304+I288+I289+I279</f>
        <v>2644870.82753223</v>
      </c>
      <c r="J322" s="72" t="n">
        <f aca="false">J304+J288+J289+J279</f>
        <v>2610026.64895049</v>
      </c>
      <c r="K322" s="72" t="n">
        <f aca="false">K304+K288+K289+K279</f>
        <v>2579189.77509054</v>
      </c>
      <c r="L322" s="72" t="n">
        <f aca="false">L304+L288+L289+L279</f>
        <v>2552320.66247818</v>
      </c>
      <c r="M322" s="72" t="n">
        <f aca="false">M304+M288+M289+M279</f>
        <v>2529380.15248251</v>
      </c>
      <c r="N322" s="72" t="n">
        <f aca="false">N304+N288+N289+N279</f>
        <v>2510329.46767929</v>
      </c>
      <c r="O322" s="72" t="n">
        <f aca="false">O304+O288+O289+O279</f>
        <v>2461796.2532465</v>
      </c>
      <c r="P322" s="72" t="n">
        <f aca="false">P304+P288+P289+P279</f>
        <v>2418894.59537029</v>
      </c>
      <c r="Q322" s="72" t="n">
        <f aca="false">Q304+Q288+Q289+Q279</f>
        <v>2381481.02639148</v>
      </c>
      <c r="R322" s="72" t="n">
        <f aca="false">R304+R288+R289+R279</f>
        <v>2349501.33607501</v>
      </c>
      <c r="S322" s="72" t="n">
        <f aca="false">S304+S288+S289+S279</f>
        <v>2322901.84287514</v>
      </c>
      <c r="T322" s="72" t="n">
        <f aca="false">T304+T288+T289+T279</f>
        <v>2301629.38891675</v>
      </c>
      <c r="U322" s="72" t="n">
        <f aca="false">U304+U288+U289+U279</f>
        <v>2285631.33502156</v>
      </c>
      <c r="V322" s="72" t="n">
        <f aca="false">V304+V288+V289+V279</f>
        <v>2274855.55577877</v>
      </c>
      <c r="W322" s="72" t="n">
        <f aca="false">W304+W288+W289+W279</f>
        <v>2269250.43465991</v>
      </c>
      <c r="X322" s="72" t="n">
        <f aca="false">X304+X288+X289+X279</f>
        <v>2268764.85917743</v>
      </c>
      <c r="Y322" s="72" t="n">
        <f aca="false">Y304+Y288+Y289+Y279</f>
        <v>2273348.21608677</v>
      </c>
      <c r="Z322" s="72" t="n">
        <f aca="false">Z304+Z288+Z289+Z279</f>
        <v>2282950.3866316</v>
      </c>
      <c r="AA322" s="72" t="n">
        <f aca="false">AA304+AA288+AA289+AA279</f>
        <v>2245794.5071068</v>
      </c>
      <c r="AB322" s="72" t="n">
        <f aca="false">AB304+AB288+AB289+AB279</f>
        <v>2216213.98734543</v>
      </c>
      <c r="AC322" s="72" t="n">
        <f aca="false">AC304+AC288+AC289+AC279</f>
        <v>2194006.27704065</v>
      </c>
      <c r="AD322" s="72" t="n">
        <f aca="false">AD304+AD288+AD289+AD279</f>
        <v>2179098.45630912</v>
      </c>
      <c r="AE322" s="72" t="n">
        <f aca="false">AE304+AE288+AE289+AE279</f>
        <v>2171418.31830211</v>
      </c>
      <c r="AF322" s="72" t="n">
        <f aca="false">AF304+AF288+AF289+AF279</f>
        <v>2170894.36239842</v>
      </c>
      <c r="AG322" s="72" t="n">
        <f aca="false">AG304+AG288+AG289+AG279</f>
        <v>2177455.78745897</v>
      </c>
      <c r="AH322" s="72" t="n">
        <f aca="false">AH304+AH288+AH289+AH279</f>
        <v>2191032.4851424</v>
      </c>
      <c r="AI322" s="72" t="n">
        <f aca="false">AI304+AI288+AI289+AI279</f>
        <v>2211555.03328143</v>
      </c>
      <c r="AJ322" s="72" t="n">
        <f aca="false">AJ304+AJ288+AJ289+AJ279</f>
        <v>2238954.68931925</v>
      </c>
      <c r="AK322" s="72" t="n">
        <f aca="false">AK304+AK288+AK289+AK279</f>
        <v>2273163.38380568</v>
      </c>
      <c r="AL322" s="72" t="n">
        <f aca="false">AL304+AL288+AL289+AL279</f>
        <v>2314113.71395244</v>
      </c>
    </row>
    <row r="323" customFormat="false" ht="15" hidden="false" customHeight="false" outlineLevel="0" collapsed="false">
      <c r="A323" s="6" t="s">
        <v>96</v>
      </c>
      <c r="C323" s="66" t="n">
        <f aca="false">C290+C285+C294</f>
        <v>10629.4048571429</v>
      </c>
      <c r="D323" s="66" t="n">
        <f aca="false">D290+D285+D294</f>
        <v>16807.0045942857</v>
      </c>
      <c r="E323" s="66" t="n">
        <f aca="false">E290+E285+E294</f>
        <v>22922.2305154857</v>
      </c>
      <c r="F323" s="66" t="n">
        <f aca="false">F290+F285+F294</f>
        <v>28975.7183152737</v>
      </c>
      <c r="G323" s="66" t="n">
        <f aca="false">G290+G285+G294</f>
        <v>34968.0970921078</v>
      </c>
      <c r="H323" s="66" t="n">
        <f aca="false">H290+H285+H294</f>
        <v>40899.9894191167</v>
      </c>
      <c r="I323" s="66" t="n">
        <f aca="false">I290+I285+I294</f>
        <v>46772.0114140398</v>
      </c>
      <c r="J323" s="66" t="n">
        <f aca="false">J290+J285+J294</f>
        <v>52584.7728083742</v>
      </c>
      <c r="K323" s="66" t="n">
        <f aca="false">K290+K285+K294</f>
        <v>58338.8770157386</v>
      </c>
      <c r="L323" s="66" t="n">
        <f aca="false">L290+L285+L294</f>
        <v>64034.9211994633</v>
      </c>
      <c r="M323" s="66" t="n">
        <f aca="false">M290+M285+M294</f>
        <v>69673.496339416</v>
      </c>
      <c r="N323" s="66" t="n">
        <f aca="false">N290+N285+N294</f>
        <v>75255.187298073</v>
      </c>
      <c r="O323" s="66" t="n">
        <f aca="false">O290+O285+O294</f>
        <v>83194.9254572739</v>
      </c>
      <c r="P323" s="66" t="n">
        <f aca="false">P290+P285+P294</f>
        <v>91142.4183285248</v>
      </c>
      <c r="Q323" s="66" t="n">
        <f aca="false">Q290+Q285+Q294</f>
        <v>99009.7656171182</v>
      </c>
      <c r="R323" s="66" t="n">
        <f aca="false">R290+R285+R294</f>
        <v>106797.78219196</v>
      </c>
      <c r="S323" s="66" t="n">
        <f aca="false">S290+S285+S294</f>
        <v>114507.274505004</v>
      </c>
      <c r="T323" s="66" t="n">
        <f aca="false">T290+T285+T294</f>
        <v>122139.040680789</v>
      </c>
      <c r="U323" s="66" t="n">
        <f aca="false">U290+U285+U294</f>
        <v>129693.870604972</v>
      </c>
      <c r="V323" s="66" t="n">
        <f aca="false">V290+V285+V294</f>
        <v>137172.546011865</v>
      </c>
      <c r="W323" s="66" t="n">
        <f aca="false">W290+W285+W294</f>
        <v>144575.840571001</v>
      </c>
      <c r="X323" s="66" t="n">
        <f aca="false">X290+X285+X294</f>
        <v>151904.519972732</v>
      </c>
      <c r="Y323" s="66" t="n">
        <f aca="false">Y290+Y285+Y294</f>
        <v>159159.342012868</v>
      </c>
      <c r="Z323" s="66" t="n">
        <f aca="false">Z290+Z285+Z294</f>
        <v>166341.056676377</v>
      </c>
      <c r="AA323" s="66" t="n">
        <f aca="false">AA290+AA285+AA294</f>
        <v>176974.987235864</v>
      </c>
      <c r="AB323" s="66" t="n">
        <f aca="false">AB290+AB285+AB294</f>
        <v>187629.375198974</v>
      </c>
      <c r="AC323" s="66" t="n">
        <f aca="false">AC290+AC285+AC294</f>
        <v>198176.411071229</v>
      </c>
      <c r="AD323" s="66" t="n">
        <f aca="false">AD290+AD285+AD294</f>
        <v>208617.184537763</v>
      </c>
      <c r="AE323" s="66" t="n">
        <f aca="false">AE290+AE285+AE294</f>
        <v>218952.774063572</v>
      </c>
      <c r="AF323" s="66" t="n">
        <f aca="false">AF290+AF285+AF294</f>
        <v>229184.247012185</v>
      </c>
      <c r="AG323" s="66" t="n">
        <f aca="false">AG290+AG285+AG294</f>
        <v>239312.659763012</v>
      </c>
      <c r="AH323" s="66" t="n">
        <f aca="false">AH290+AH285+AH294</f>
        <v>249339.057827398</v>
      </c>
      <c r="AI323" s="66" t="n">
        <f aca="false">AI290+AI285+AI294</f>
        <v>259264.475963385</v>
      </c>
      <c r="AJ323" s="66" t="n">
        <f aca="false">AJ290+AJ285+AJ294</f>
        <v>269089.938289214</v>
      </c>
      <c r="AK323" s="66" t="n">
        <f aca="false">AK290+AK285+AK294</f>
        <v>278816.45839556</v>
      </c>
      <c r="AL323" s="66" t="n">
        <f aca="false">AL290+AL285+AL294</f>
        <v>288445.039456544</v>
      </c>
    </row>
    <row r="324" customFormat="false" ht="15" hidden="false" customHeight="false" outlineLevel="0" collapsed="false">
      <c r="A324" s="6" t="s">
        <v>99</v>
      </c>
      <c r="C324" s="66" t="n">
        <f aca="false">C320+C321</f>
        <v>2929723.7495873</v>
      </c>
      <c r="D324" s="66" t="n">
        <f aca="false">D320+D321</f>
        <v>2863805.71233746</v>
      </c>
      <c r="E324" s="66" t="n">
        <f aca="false">E320+E321</f>
        <v>2802202.90393742</v>
      </c>
      <c r="F324" s="66" t="n">
        <f aca="false">F320+F321</f>
        <v>2744872.75796088</v>
      </c>
      <c r="G324" s="66" t="n">
        <f aca="false">G320+G321</f>
        <v>2691773.12192856</v>
      </c>
      <c r="H324" s="66" t="n">
        <f aca="false">H320+H321</f>
        <v>2642862.25340309</v>
      </c>
      <c r="I324" s="66" t="n">
        <f aca="false">I320+I321</f>
        <v>2598098.81611819</v>
      </c>
      <c r="J324" s="66" t="n">
        <f aca="false">J320+J321</f>
        <v>2557441.87614212</v>
      </c>
      <c r="K324" s="66" t="n">
        <f aca="false">K320+K321</f>
        <v>2520850.8980748</v>
      </c>
      <c r="L324" s="66" t="n">
        <f aca="false">L320+L321</f>
        <v>2488285.74127872</v>
      </c>
      <c r="M324" s="66" t="n">
        <f aca="false">M320+M321</f>
        <v>2459706.65614309</v>
      </c>
      <c r="N324" s="66" t="n">
        <f aca="false">N320+N321</f>
        <v>2435074.28038122</v>
      </c>
      <c r="O324" s="66" t="n">
        <f aca="false">O320+O321</f>
        <v>2378601.32778922</v>
      </c>
      <c r="P324" s="66" t="n">
        <f aca="false">P320+P321</f>
        <v>2327752.17704177</v>
      </c>
      <c r="Q324" s="66" t="n">
        <f aca="false">Q320+Q321</f>
        <v>2282471.26077436</v>
      </c>
      <c r="R324" s="66" t="n">
        <f aca="false">R320+R321</f>
        <v>2242703.55388305</v>
      </c>
      <c r="S324" s="66" t="n">
        <f aca="false">S320+S321</f>
        <v>2208394.56837014</v>
      </c>
      <c r="T324" s="66" t="n">
        <f aca="false">T320+T321</f>
        <v>2179490.34823596</v>
      </c>
      <c r="U324" s="66" t="n">
        <f aca="false">U320+U321</f>
        <v>2155937.46441659</v>
      </c>
      <c r="V324" s="66" t="n">
        <f aca="false">V320+V321</f>
        <v>2137683.0097669</v>
      </c>
      <c r="W324" s="66" t="n">
        <f aca="false">W320+W321</f>
        <v>2124674.59408891</v>
      </c>
      <c r="X324" s="66" t="n">
        <f aca="false">X320+X321</f>
        <v>2116860.33920469</v>
      </c>
      <c r="Y324" s="66" t="n">
        <f aca="false">Y320+Y321</f>
        <v>2114188.8740739</v>
      </c>
      <c r="Z324" s="66" t="n">
        <f aca="false">Z320+Z321</f>
        <v>2116609.32995523</v>
      </c>
      <c r="AA324" s="66" t="n">
        <f aca="false">AA320+AA321</f>
        <v>2068819.51987093</v>
      </c>
      <c r="AB324" s="66" t="n">
        <f aca="false">AB320+AB321</f>
        <v>2028584.61214646</v>
      </c>
      <c r="AC324" s="66" t="n">
        <f aca="false">AC320+AC321</f>
        <v>1995829.86596942</v>
      </c>
      <c r="AD324" s="66" t="n">
        <f aca="false">AD320+AD321</f>
        <v>1970481.27177136</v>
      </c>
      <c r="AE324" s="66" t="n">
        <f aca="false">AE320+AE321</f>
        <v>1952465.54423854</v>
      </c>
      <c r="AF324" s="66" t="n">
        <f aca="false">AF320+AF321</f>
        <v>1941710.11538624</v>
      </c>
      <c r="AG324" s="66" t="n">
        <f aca="false">AG320+AG321</f>
        <v>1938143.12769595</v>
      </c>
      <c r="AH324" s="66" t="n">
        <f aca="false">AH320+AH321</f>
        <v>1941693.427315</v>
      </c>
      <c r="AI324" s="66" t="n">
        <f aca="false">AI320+AI321</f>
        <v>1952290.55731804</v>
      </c>
      <c r="AJ324" s="66" t="n">
        <f aca="false">AJ320+AJ321</f>
        <v>1969864.75103004</v>
      </c>
      <c r="AK324" s="66" t="n">
        <f aca="false">AK320+AK321</f>
        <v>1994346.92541012</v>
      </c>
      <c r="AL324" s="66" t="n">
        <f aca="false">AL320+AL321</f>
        <v>2025668.6744959</v>
      </c>
    </row>
    <row r="325" customFormat="false" ht="15" hidden="false" customHeight="false" outlineLevel="0" collapsed="false">
      <c r="A325" s="4" t="s">
        <v>100</v>
      </c>
      <c r="C325" s="72" t="n">
        <f aca="false">C323+C324</f>
        <v>2940353.15444444</v>
      </c>
      <c r="D325" s="72" t="n">
        <f aca="false">D323+D324</f>
        <v>2880612.71693175</v>
      </c>
      <c r="E325" s="72" t="n">
        <f aca="false">E323+E324</f>
        <v>2825125.1344529</v>
      </c>
      <c r="F325" s="72" t="n">
        <f aca="false">F323+F324</f>
        <v>2773848.47627615</v>
      </c>
      <c r="G325" s="72" t="n">
        <f aca="false">G323+G324</f>
        <v>2726741.21902067</v>
      </c>
      <c r="H325" s="72" t="n">
        <f aca="false">H323+H324</f>
        <v>2683762.2428222</v>
      </c>
      <c r="I325" s="72" t="n">
        <f aca="false">I323+I324</f>
        <v>2644870.82753223</v>
      </c>
      <c r="J325" s="72" t="n">
        <f aca="false">J323+J324</f>
        <v>2610026.64895049</v>
      </c>
      <c r="K325" s="72" t="n">
        <f aca="false">K323+K324</f>
        <v>2579189.77509054</v>
      </c>
      <c r="L325" s="72" t="n">
        <f aca="false">L323+L324</f>
        <v>2552320.66247818</v>
      </c>
      <c r="M325" s="72" t="n">
        <f aca="false">M323+M324</f>
        <v>2529380.15248251</v>
      </c>
      <c r="N325" s="72" t="n">
        <f aca="false">N323+N324</f>
        <v>2510329.46767929</v>
      </c>
      <c r="O325" s="72" t="n">
        <f aca="false">O323+O324</f>
        <v>2461796.2532465</v>
      </c>
      <c r="P325" s="72" t="n">
        <f aca="false">P323+P324</f>
        <v>2418894.59537029</v>
      </c>
      <c r="Q325" s="72" t="n">
        <f aca="false">Q323+Q324</f>
        <v>2381481.02639148</v>
      </c>
      <c r="R325" s="72" t="n">
        <f aca="false">R323+R324</f>
        <v>2349501.33607501</v>
      </c>
      <c r="S325" s="72" t="n">
        <f aca="false">S323+S324</f>
        <v>2322901.84287514</v>
      </c>
      <c r="T325" s="72" t="n">
        <f aca="false">T323+T324</f>
        <v>2301629.38891675</v>
      </c>
      <c r="U325" s="72" t="n">
        <f aca="false">U323+U324</f>
        <v>2285631.33502156</v>
      </c>
      <c r="V325" s="72" t="n">
        <f aca="false">V323+V324</f>
        <v>2274855.55577877</v>
      </c>
      <c r="W325" s="72" t="n">
        <f aca="false">W323+W324</f>
        <v>2269250.43465991</v>
      </c>
      <c r="X325" s="72" t="n">
        <f aca="false">X323+X324</f>
        <v>2268764.85917743</v>
      </c>
      <c r="Y325" s="72" t="n">
        <f aca="false">Y323+Y324</f>
        <v>2273348.21608677</v>
      </c>
      <c r="Z325" s="72" t="n">
        <f aca="false">Z323+Z324</f>
        <v>2282950.3866316</v>
      </c>
      <c r="AA325" s="72" t="n">
        <f aca="false">AA323+AA324</f>
        <v>2245794.5071068</v>
      </c>
      <c r="AB325" s="72" t="n">
        <f aca="false">AB323+AB324</f>
        <v>2216213.98734543</v>
      </c>
      <c r="AC325" s="72" t="n">
        <f aca="false">AC323+AC324</f>
        <v>2194006.27704065</v>
      </c>
      <c r="AD325" s="72" t="n">
        <f aca="false">AD323+AD324</f>
        <v>2179098.45630912</v>
      </c>
      <c r="AE325" s="72" t="n">
        <f aca="false">AE323+AE324</f>
        <v>2171418.31830211</v>
      </c>
      <c r="AF325" s="72" t="n">
        <f aca="false">AF323+AF324</f>
        <v>2170894.36239842</v>
      </c>
      <c r="AG325" s="72" t="n">
        <f aca="false">AG323+AG324</f>
        <v>2177455.78745896</v>
      </c>
      <c r="AH325" s="72" t="n">
        <f aca="false">AH323+AH324</f>
        <v>2191032.4851424</v>
      </c>
      <c r="AI325" s="72" t="n">
        <f aca="false">AI323+AI324</f>
        <v>2211555.03328143</v>
      </c>
      <c r="AJ325" s="72" t="n">
        <f aca="false">AJ323+AJ324</f>
        <v>2238954.68931925</v>
      </c>
      <c r="AK325" s="72" t="n">
        <f aca="false">AK323+AK324</f>
        <v>2273163.38380568</v>
      </c>
      <c r="AL325" s="72" t="n">
        <f aca="false">AL323+AL324</f>
        <v>2314113.71395244</v>
      </c>
    </row>
    <row r="326" customFormat="false" ht="15" hidden="false" customHeight="false" outlineLevel="0" collapsed="false">
      <c r="A326" s="6" t="s">
        <v>408</v>
      </c>
      <c r="C326" s="66" t="n">
        <f aca="false">C322-C325</f>
        <v>0</v>
      </c>
      <c r="D326" s="66" t="n">
        <f aca="false">D322-D325</f>
        <v>0</v>
      </c>
      <c r="E326" s="66" t="n">
        <f aca="false">E322-E325</f>
        <v>0</v>
      </c>
      <c r="F326" s="66" t="n">
        <f aca="false">F322-F325</f>
        <v>0</v>
      </c>
      <c r="G326" s="66" t="n">
        <f aca="false">G322-G325</f>
        <v>0</v>
      </c>
      <c r="H326" s="66" t="n">
        <f aca="false">H322-H325</f>
        <v>0</v>
      </c>
      <c r="I326" s="66" t="n">
        <f aca="false">I322-I325</f>
        <v>0</v>
      </c>
      <c r="J326" s="66" t="n">
        <f aca="false">J322-J325</f>
        <v>0</v>
      </c>
      <c r="K326" s="66" t="n">
        <f aca="false">K322-K325</f>
        <v>0</v>
      </c>
      <c r="L326" s="66" t="n">
        <f aca="false">L322-L325</f>
        <v>0</v>
      </c>
      <c r="M326" s="66" t="n">
        <f aca="false">M322-M325</f>
        <v>0</v>
      </c>
      <c r="N326" s="66" t="n">
        <f aca="false">N322-N325</f>
        <v>0</v>
      </c>
      <c r="O326" s="66" t="n">
        <f aca="false">O322-O325</f>
        <v>0</v>
      </c>
      <c r="P326" s="66" t="n">
        <f aca="false">P322-P325</f>
        <v>0</v>
      </c>
      <c r="Q326" s="66" t="n">
        <f aca="false">Q322-Q325</f>
        <v>0</v>
      </c>
      <c r="R326" s="66" t="n">
        <f aca="false">R322-R325</f>
        <v>0</v>
      </c>
      <c r="S326" s="66" t="n">
        <f aca="false">S322-S325</f>
        <v>0</v>
      </c>
      <c r="T326" s="66" t="n">
        <f aca="false">T322-T325</f>
        <v>0</v>
      </c>
      <c r="U326" s="66" t="n">
        <f aca="false">U322-U325</f>
        <v>0</v>
      </c>
      <c r="V326" s="66" t="n">
        <f aca="false">V322-V325</f>
        <v>0</v>
      </c>
      <c r="W326" s="66" t="n">
        <f aca="false">W322-W325</f>
        <v>0</v>
      </c>
      <c r="X326" s="66" t="n">
        <f aca="false">X322-X325</f>
        <v>0</v>
      </c>
      <c r="Y326" s="66" t="n">
        <f aca="false">Y322-Y325</f>
        <v>0</v>
      </c>
      <c r="Z326" s="66" t="n">
        <f aca="false">Z322-Z325</f>
        <v>0</v>
      </c>
      <c r="AA326" s="66" t="n">
        <f aca="false">AA322-AA325</f>
        <v>0</v>
      </c>
      <c r="AB326" s="66" t="n">
        <f aca="false">AB322-AB325</f>
        <v>0</v>
      </c>
      <c r="AC326" s="66" t="n">
        <f aca="false">AC322-AC325</f>
        <v>0</v>
      </c>
      <c r="AD326" s="66" t="n">
        <f aca="false">AD322-AD325</f>
        <v>0</v>
      </c>
      <c r="AE326" s="66" t="n">
        <f aca="false">AE322-AE325</f>
        <v>0</v>
      </c>
      <c r="AF326" s="66" t="n">
        <f aca="false">AF322-AF325</f>
        <v>0</v>
      </c>
      <c r="AG326" s="66" t="n">
        <f aca="false">AG322-AG325</f>
        <v>0</v>
      </c>
      <c r="AH326" s="66" t="n">
        <f aca="false">AH322-AH325</f>
        <v>0</v>
      </c>
      <c r="AI326" s="66" t="n">
        <f aca="false">AI322-AI325</f>
        <v>0</v>
      </c>
      <c r="AJ326" s="66" t="n">
        <f aca="false">AJ322-AJ325</f>
        <v>0</v>
      </c>
      <c r="AK326" s="66" t="n">
        <f aca="false">AK322-AK325</f>
        <v>0</v>
      </c>
      <c r="AL326" s="66" t="n">
        <f aca="false">AL322-AL325</f>
        <v>0</v>
      </c>
    </row>
    <row r="328" customFormat="false" ht="15.75" hidden="false" customHeight="true" outlineLevel="0" collapsed="false">
      <c r="A328" s="7" t="s">
        <v>410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411</v>
      </c>
      <c r="C329" s="114" t="n">
        <f aca="false">Inputs!$D$26*(1+Inputs!$D$28)^(C$233-1)*MAX(0,MIN(1,C$232*1-Inputs!$D$29+1))/1</f>
        <v>3</v>
      </c>
      <c r="D329" s="114" t="n">
        <f aca="false">Inputs!$D$26*(1+Inputs!$D$28)^(D$233-1)*MAX(0,MIN(1,D$232*1-Inputs!$D$29+1))/1</f>
        <v>3</v>
      </c>
      <c r="E329" s="114" t="n">
        <f aca="false">Inputs!$D$26*(1+Inputs!$D$28)^(E$233-1)*MAX(0,MIN(1,E$232*1-Inputs!$D$29+1))/1</f>
        <v>3</v>
      </c>
      <c r="F329" s="114" t="n">
        <f aca="false">Inputs!$D$26*(1+Inputs!$D$28)^(F$233-1)*MAX(0,MIN(1,F$232*1-Inputs!$D$29+1))/1</f>
        <v>3</v>
      </c>
      <c r="G329" s="114" t="n">
        <f aca="false">Inputs!$D$26*(1+Inputs!$D$28)^(G$233-1)*MAX(0,MIN(1,G$232*1-Inputs!$D$29+1))/1</f>
        <v>3</v>
      </c>
      <c r="H329" s="114" t="n">
        <f aca="false">Inputs!$D$26*(1+Inputs!$D$28)^(H$233-1)*MAX(0,MIN(1,H$232*1-Inputs!$D$29+1))/1</f>
        <v>3</v>
      </c>
      <c r="I329" s="114" t="n">
        <f aca="false">Inputs!$D$26*(1+Inputs!$D$28)^(I$233-1)*MAX(0,MIN(1,I$232*1-Inputs!$D$29+1))/1</f>
        <v>3</v>
      </c>
      <c r="J329" s="114" t="n">
        <f aca="false">Inputs!$D$26*(1+Inputs!$D$28)^(J$233-1)*MAX(0,MIN(1,J$232*1-Inputs!$D$29+1))/1</f>
        <v>3</v>
      </c>
      <c r="K329" s="114" t="n">
        <f aca="false">Inputs!$D$26*(1+Inputs!$D$28)^(K$233-1)*MAX(0,MIN(1,K$232*1-Inputs!$D$29+1))/1</f>
        <v>3</v>
      </c>
      <c r="L329" s="114" t="n">
        <f aca="false">Inputs!$D$26*(1+Inputs!$D$28)^(L$233-1)*MAX(0,MIN(1,L$232*1-Inputs!$D$29+1))/1</f>
        <v>3</v>
      </c>
      <c r="M329" s="114" t="n">
        <f aca="false">Inputs!$D$26*(1+Inputs!$D$28)^(M$233-1)*MAX(0,MIN(1,M$232*1-Inputs!$D$29+1))/1</f>
        <v>3</v>
      </c>
      <c r="N329" s="114" t="n">
        <f aca="false">Inputs!$D$26*(1+Inputs!$D$28)^(N$233-1)*MAX(0,MIN(1,N$232*1-Inputs!$D$29+1))/1</f>
        <v>3</v>
      </c>
      <c r="O329" s="114" t="n">
        <f aca="false">Inputs!$D$26*(1+Inputs!$D$28)^(O$233-1)*MAX(0,MIN(1,O$232*1-Inputs!$D$29+1))/1</f>
        <v>4.5</v>
      </c>
      <c r="P329" s="114" t="n">
        <f aca="false">Inputs!$D$26*(1+Inputs!$D$28)^(P$233-1)*MAX(0,MIN(1,P$232*1-Inputs!$D$29+1))/1</f>
        <v>4.5</v>
      </c>
      <c r="Q329" s="114" t="n">
        <f aca="false">Inputs!$D$26*(1+Inputs!$D$28)^(Q$233-1)*MAX(0,MIN(1,Q$232*1-Inputs!$D$29+1))/1</f>
        <v>4.5</v>
      </c>
      <c r="R329" s="114" t="n">
        <f aca="false">Inputs!$D$26*(1+Inputs!$D$28)^(R$233-1)*MAX(0,MIN(1,R$232*1-Inputs!$D$29+1))/1</f>
        <v>4.5</v>
      </c>
      <c r="S329" s="114" t="n">
        <f aca="false">Inputs!$D$26*(1+Inputs!$D$28)^(S$233-1)*MAX(0,MIN(1,S$232*1-Inputs!$D$29+1))/1</f>
        <v>4.5</v>
      </c>
      <c r="T329" s="114" t="n">
        <f aca="false">Inputs!$D$26*(1+Inputs!$D$28)^(T$233-1)*MAX(0,MIN(1,T$232*1-Inputs!$D$29+1))/1</f>
        <v>4.5</v>
      </c>
      <c r="U329" s="114" t="n">
        <f aca="false">Inputs!$D$26*(1+Inputs!$D$28)^(U$233-1)*MAX(0,MIN(1,U$232*1-Inputs!$D$29+1))/1</f>
        <v>4.5</v>
      </c>
      <c r="V329" s="114" t="n">
        <f aca="false">Inputs!$D$26*(1+Inputs!$D$28)^(V$233-1)*MAX(0,MIN(1,V$232*1-Inputs!$D$29+1))/1</f>
        <v>4.5</v>
      </c>
      <c r="W329" s="114" t="n">
        <f aca="false">Inputs!$D$26*(1+Inputs!$D$28)^(W$233-1)*MAX(0,MIN(1,W$232*1-Inputs!$D$29+1))/1</f>
        <v>4.5</v>
      </c>
      <c r="X329" s="114" t="n">
        <f aca="false">Inputs!$D$26*(1+Inputs!$D$28)^(X$233-1)*MAX(0,MIN(1,X$232*1-Inputs!$D$29+1))/1</f>
        <v>4.5</v>
      </c>
      <c r="Y329" s="114" t="n">
        <f aca="false">Inputs!$D$26*(1+Inputs!$D$28)^(Y$233-1)*MAX(0,MIN(1,Y$232*1-Inputs!$D$29+1))/1</f>
        <v>4.5</v>
      </c>
      <c r="Z329" s="114" t="n">
        <f aca="false">Inputs!$D$26*(1+Inputs!$D$28)^(Z$233-1)*MAX(0,MIN(1,Z$232*1-Inputs!$D$29+1))/1</f>
        <v>4.5</v>
      </c>
      <c r="AA329" s="114" t="n">
        <f aca="false">Inputs!$D$26*(1+Inputs!$D$28)^(AA$233-1)*MAX(0,MIN(1,AA$232*1-Inputs!$D$29+1))/1</f>
        <v>6.75</v>
      </c>
      <c r="AB329" s="114" t="n">
        <f aca="false">Inputs!$D$26*(1+Inputs!$D$28)^(AB$233-1)*MAX(0,MIN(1,AB$232*1-Inputs!$D$29+1))/1</f>
        <v>6.75</v>
      </c>
      <c r="AC329" s="114" t="n">
        <f aca="false">Inputs!$D$26*(1+Inputs!$D$28)^(AC$233-1)*MAX(0,MIN(1,AC$232*1-Inputs!$D$29+1))/1</f>
        <v>6.75</v>
      </c>
      <c r="AD329" s="114" t="n">
        <f aca="false">Inputs!$D$26*(1+Inputs!$D$28)^(AD$233-1)*MAX(0,MIN(1,AD$232*1-Inputs!$D$29+1))/1</f>
        <v>6.75</v>
      </c>
      <c r="AE329" s="114" t="n">
        <f aca="false">Inputs!$D$26*(1+Inputs!$D$28)^(AE$233-1)*MAX(0,MIN(1,AE$232*1-Inputs!$D$29+1))/1</f>
        <v>6.75</v>
      </c>
      <c r="AF329" s="114" t="n">
        <f aca="false">Inputs!$D$26*(1+Inputs!$D$28)^(AF$233-1)*MAX(0,MIN(1,AF$232*1-Inputs!$D$29+1))/1</f>
        <v>6.75</v>
      </c>
      <c r="AG329" s="114" t="n">
        <f aca="false">Inputs!$D$26*(1+Inputs!$D$28)^(AG$233-1)*MAX(0,MIN(1,AG$232*1-Inputs!$D$29+1))/1</f>
        <v>6.75</v>
      </c>
      <c r="AH329" s="114" t="n">
        <f aca="false">Inputs!$D$26*(1+Inputs!$D$28)^(AH$233-1)*MAX(0,MIN(1,AH$232*1-Inputs!$D$29+1))/1</f>
        <v>6.75</v>
      </c>
      <c r="AI329" s="114" t="n">
        <f aca="false">Inputs!$D$26*(1+Inputs!$D$28)^(AI$233-1)*MAX(0,MIN(1,AI$232*1-Inputs!$D$29+1))/1</f>
        <v>6.75</v>
      </c>
      <c r="AJ329" s="114" t="n">
        <f aca="false">Inputs!$D$26*(1+Inputs!$D$28)^(AJ$233-1)*MAX(0,MIN(1,AJ$232*1-Inputs!$D$29+1))/1</f>
        <v>6.75</v>
      </c>
      <c r="AK329" s="114" t="n">
        <f aca="false">Inputs!$D$26*(1+Inputs!$D$28)^(AK$233-1)*MAX(0,MIN(1,AK$232*1-Inputs!$D$29+1))/1</f>
        <v>6.75</v>
      </c>
      <c r="AL329" s="114" t="n">
        <f aca="false">Inputs!$D$26*(1+Inputs!$D$28)^(AL$233-1)*MAX(0,MIN(1,AL$232*1-Inputs!$D$29+1))/1</f>
        <v>6.75</v>
      </c>
    </row>
    <row r="330" customFormat="false" ht="15" hidden="false" customHeight="false" outlineLevel="0" collapsed="false">
      <c r="A330" s="6" t="s">
        <v>412</v>
      </c>
      <c r="C330" s="114" t="n">
        <f aca="false">Inputs!$D$30*(1+Inputs!$D$32)^(C$233-1)*MAX(0,MIN(1,C$232*1-Inputs!$D$33+1))/1</f>
        <v>1.5</v>
      </c>
      <c r="D330" s="114" t="n">
        <f aca="false">Inputs!$D$30*(1+Inputs!$D$32)^(D$233-1)*MAX(0,MIN(1,D$232*1-Inputs!$D$33+1))/1</f>
        <v>1.5</v>
      </c>
      <c r="E330" s="114" t="n">
        <f aca="false">Inputs!$D$30*(1+Inputs!$D$32)^(E$233-1)*MAX(0,MIN(1,E$232*1-Inputs!$D$33+1))/1</f>
        <v>1.5</v>
      </c>
      <c r="F330" s="114" t="n">
        <f aca="false">Inputs!$D$30*(1+Inputs!$D$32)^(F$233-1)*MAX(0,MIN(1,F$232*1-Inputs!$D$33+1))/1</f>
        <v>1.5</v>
      </c>
      <c r="G330" s="114" t="n">
        <f aca="false">Inputs!$D$30*(1+Inputs!$D$32)^(G$233-1)*MAX(0,MIN(1,G$232*1-Inputs!$D$33+1))/1</f>
        <v>1.5</v>
      </c>
      <c r="H330" s="114" t="n">
        <f aca="false">Inputs!$D$30*(1+Inputs!$D$32)^(H$233-1)*MAX(0,MIN(1,H$232*1-Inputs!$D$33+1))/1</f>
        <v>1.5</v>
      </c>
      <c r="I330" s="114" t="n">
        <f aca="false">Inputs!$D$30*(1+Inputs!$D$32)^(I$233-1)*MAX(0,MIN(1,I$232*1-Inputs!$D$33+1))/1</f>
        <v>1.5</v>
      </c>
      <c r="J330" s="114" t="n">
        <f aca="false">Inputs!$D$30*(1+Inputs!$D$32)^(J$233-1)*MAX(0,MIN(1,J$232*1-Inputs!$D$33+1))/1</f>
        <v>1.5</v>
      </c>
      <c r="K330" s="114" t="n">
        <f aca="false">Inputs!$D$30*(1+Inputs!$D$32)^(K$233-1)*MAX(0,MIN(1,K$232*1-Inputs!$D$33+1))/1</f>
        <v>1.5</v>
      </c>
      <c r="L330" s="114" t="n">
        <f aca="false">Inputs!$D$30*(1+Inputs!$D$32)^(L$233-1)*MAX(0,MIN(1,L$232*1-Inputs!$D$33+1))/1</f>
        <v>1.5</v>
      </c>
      <c r="M330" s="114" t="n">
        <f aca="false">Inputs!$D$30*(1+Inputs!$D$32)^(M$233-1)*MAX(0,MIN(1,M$232*1-Inputs!$D$33+1))/1</f>
        <v>1.5</v>
      </c>
      <c r="N330" s="114" t="n">
        <f aca="false">Inputs!$D$30*(1+Inputs!$D$32)^(N$233-1)*MAX(0,MIN(1,N$232*1-Inputs!$D$33+1))/1</f>
        <v>1.5</v>
      </c>
      <c r="O330" s="114" t="n">
        <f aca="false">Inputs!$D$30*(1+Inputs!$D$32)^(O$233-1)*MAX(0,MIN(1,O$232*1-Inputs!$D$33+1))/1</f>
        <v>2.25</v>
      </c>
      <c r="P330" s="114" t="n">
        <f aca="false">Inputs!$D$30*(1+Inputs!$D$32)^(P$233-1)*MAX(0,MIN(1,P$232*1-Inputs!$D$33+1))/1</f>
        <v>2.25</v>
      </c>
      <c r="Q330" s="114" t="n">
        <f aca="false">Inputs!$D$30*(1+Inputs!$D$32)^(Q$233-1)*MAX(0,MIN(1,Q$232*1-Inputs!$D$33+1))/1</f>
        <v>2.25</v>
      </c>
      <c r="R330" s="114" t="n">
        <f aca="false">Inputs!$D$30*(1+Inputs!$D$32)^(R$233-1)*MAX(0,MIN(1,R$232*1-Inputs!$D$33+1))/1</f>
        <v>2.25</v>
      </c>
      <c r="S330" s="114" t="n">
        <f aca="false">Inputs!$D$30*(1+Inputs!$D$32)^(S$233-1)*MAX(0,MIN(1,S$232*1-Inputs!$D$33+1))/1</f>
        <v>2.25</v>
      </c>
      <c r="T330" s="114" t="n">
        <f aca="false">Inputs!$D$30*(1+Inputs!$D$32)^(T$233-1)*MAX(0,MIN(1,T$232*1-Inputs!$D$33+1))/1</f>
        <v>2.25</v>
      </c>
      <c r="U330" s="114" t="n">
        <f aca="false">Inputs!$D$30*(1+Inputs!$D$32)^(U$233-1)*MAX(0,MIN(1,U$232*1-Inputs!$D$33+1))/1</f>
        <v>2.25</v>
      </c>
      <c r="V330" s="114" t="n">
        <f aca="false">Inputs!$D$30*(1+Inputs!$D$32)^(V$233-1)*MAX(0,MIN(1,V$232*1-Inputs!$D$33+1))/1</f>
        <v>2.25</v>
      </c>
      <c r="W330" s="114" t="n">
        <f aca="false">Inputs!$D$30*(1+Inputs!$D$32)^(W$233-1)*MAX(0,MIN(1,W$232*1-Inputs!$D$33+1))/1</f>
        <v>2.25</v>
      </c>
      <c r="X330" s="114" t="n">
        <f aca="false">Inputs!$D$30*(1+Inputs!$D$32)^(X$233-1)*MAX(0,MIN(1,X$232*1-Inputs!$D$33+1))/1</f>
        <v>2.25</v>
      </c>
      <c r="Y330" s="114" t="n">
        <f aca="false">Inputs!$D$30*(1+Inputs!$D$32)^(Y$233-1)*MAX(0,MIN(1,Y$232*1-Inputs!$D$33+1))/1</f>
        <v>2.25</v>
      </c>
      <c r="Z330" s="114" t="n">
        <f aca="false">Inputs!$D$30*(1+Inputs!$D$32)^(Z$233-1)*MAX(0,MIN(1,Z$232*1-Inputs!$D$33+1))/1</f>
        <v>2.25</v>
      </c>
      <c r="AA330" s="114" t="n">
        <f aca="false">Inputs!$D$30*(1+Inputs!$D$32)^(AA$233-1)*MAX(0,MIN(1,AA$232*1-Inputs!$D$33+1))/1</f>
        <v>3.375</v>
      </c>
      <c r="AB330" s="114" t="n">
        <f aca="false">Inputs!$D$30*(1+Inputs!$D$32)^(AB$233-1)*MAX(0,MIN(1,AB$232*1-Inputs!$D$33+1))/1</f>
        <v>3.375</v>
      </c>
      <c r="AC330" s="114" t="n">
        <f aca="false">Inputs!$D$30*(1+Inputs!$D$32)^(AC$233-1)*MAX(0,MIN(1,AC$232*1-Inputs!$D$33+1))/1</f>
        <v>3.375</v>
      </c>
      <c r="AD330" s="114" t="n">
        <f aca="false">Inputs!$D$30*(1+Inputs!$D$32)^(AD$233-1)*MAX(0,MIN(1,AD$232*1-Inputs!$D$33+1))/1</f>
        <v>3.375</v>
      </c>
      <c r="AE330" s="114" t="n">
        <f aca="false">Inputs!$D$30*(1+Inputs!$D$32)^(AE$233-1)*MAX(0,MIN(1,AE$232*1-Inputs!$D$33+1))/1</f>
        <v>3.375</v>
      </c>
      <c r="AF330" s="114" t="n">
        <f aca="false">Inputs!$D$30*(1+Inputs!$D$32)^(AF$233-1)*MAX(0,MIN(1,AF$232*1-Inputs!$D$33+1))/1</f>
        <v>3.375</v>
      </c>
      <c r="AG330" s="114" t="n">
        <f aca="false">Inputs!$D$30*(1+Inputs!$D$32)^(AG$233-1)*MAX(0,MIN(1,AG$232*1-Inputs!$D$33+1))/1</f>
        <v>3.375</v>
      </c>
      <c r="AH330" s="114" t="n">
        <f aca="false">Inputs!$D$30*(1+Inputs!$D$32)^(AH$233-1)*MAX(0,MIN(1,AH$232*1-Inputs!$D$33+1))/1</f>
        <v>3.375</v>
      </c>
      <c r="AI330" s="114" t="n">
        <f aca="false">Inputs!$D$30*(1+Inputs!$D$32)^(AI$233-1)*MAX(0,MIN(1,AI$232*1-Inputs!$D$33+1))/1</f>
        <v>3.375</v>
      </c>
      <c r="AJ330" s="114" t="n">
        <f aca="false">Inputs!$D$30*(1+Inputs!$D$32)^(AJ$233-1)*MAX(0,MIN(1,AJ$232*1-Inputs!$D$33+1))/1</f>
        <v>3.375</v>
      </c>
      <c r="AK330" s="114" t="n">
        <f aca="false">Inputs!$D$30*(1+Inputs!$D$32)^(AK$233-1)*MAX(0,MIN(1,AK$232*1-Inputs!$D$33+1))/1</f>
        <v>3.375</v>
      </c>
      <c r="AL330" s="114" t="n">
        <f aca="false">Inputs!$D$30*(1+Inputs!$D$32)^(AL$233-1)*MAX(0,MIN(1,AL$232*1-Inputs!$D$33+1))/1</f>
        <v>3.375</v>
      </c>
    </row>
    <row r="331" customFormat="false" ht="15" hidden="false" customHeight="false" outlineLevel="0" collapsed="false">
      <c r="A331" s="6" t="s">
        <v>413</v>
      </c>
      <c r="C331" s="114" t="n">
        <f aca="false">Inputs!$D$34*(1+Inputs!$D$36)^(C$233-1)*MAX(0,MIN(1,C$232*1-Inputs!$D$37+1))/1</f>
        <v>1</v>
      </c>
      <c r="D331" s="114" t="n">
        <f aca="false">Inputs!$D$34*(1+Inputs!$D$36)^(D$233-1)*MAX(0,MIN(1,D$232*1-Inputs!$D$37+1))/1</f>
        <v>1</v>
      </c>
      <c r="E331" s="114" t="n">
        <f aca="false">Inputs!$D$34*(1+Inputs!$D$36)^(E$233-1)*MAX(0,MIN(1,E$232*1-Inputs!$D$37+1))/1</f>
        <v>1</v>
      </c>
      <c r="F331" s="114" t="n">
        <f aca="false">Inputs!$D$34*(1+Inputs!$D$36)^(F$233-1)*MAX(0,MIN(1,F$232*1-Inputs!$D$37+1))/1</f>
        <v>1</v>
      </c>
      <c r="G331" s="114" t="n">
        <f aca="false">Inputs!$D$34*(1+Inputs!$D$36)^(G$233-1)*MAX(0,MIN(1,G$232*1-Inputs!$D$37+1))/1</f>
        <v>1</v>
      </c>
      <c r="H331" s="114" t="n">
        <f aca="false">Inputs!$D$34*(1+Inputs!$D$36)^(H$233-1)*MAX(0,MIN(1,H$232*1-Inputs!$D$37+1))/1</f>
        <v>1</v>
      </c>
      <c r="I331" s="114" t="n">
        <f aca="false">Inputs!$D$34*(1+Inputs!$D$36)^(I$233-1)*MAX(0,MIN(1,I$232*1-Inputs!$D$37+1))/1</f>
        <v>1</v>
      </c>
      <c r="J331" s="114" t="n">
        <f aca="false">Inputs!$D$34*(1+Inputs!$D$36)^(J$233-1)*MAX(0,MIN(1,J$232*1-Inputs!$D$37+1))/1</f>
        <v>1</v>
      </c>
      <c r="K331" s="114" t="n">
        <f aca="false">Inputs!$D$34*(1+Inputs!$D$36)^(K$233-1)*MAX(0,MIN(1,K$232*1-Inputs!$D$37+1))/1</f>
        <v>1</v>
      </c>
      <c r="L331" s="114" t="n">
        <f aca="false">Inputs!$D$34*(1+Inputs!$D$36)^(L$233-1)*MAX(0,MIN(1,L$232*1-Inputs!$D$37+1))/1</f>
        <v>1</v>
      </c>
      <c r="M331" s="114" t="n">
        <f aca="false">Inputs!$D$34*(1+Inputs!$D$36)^(M$233-1)*MAX(0,MIN(1,M$232*1-Inputs!$D$37+1))/1</f>
        <v>1</v>
      </c>
      <c r="N331" s="114" t="n">
        <f aca="false">Inputs!$D$34*(1+Inputs!$D$36)^(N$233-1)*MAX(0,MIN(1,N$232*1-Inputs!$D$37+1))/1</f>
        <v>1</v>
      </c>
      <c r="O331" s="114" t="n">
        <f aca="false">Inputs!$D$34*(1+Inputs!$D$36)^(O$233-1)*MAX(0,MIN(1,O$232*1-Inputs!$D$37+1))/1</f>
        <v>1.5</v>
      </c>
      <c r="P331" s="114" t="n">
        <f aca="false">Inputs!$D$34*(1+Inputs!$D$36)^(P$233-1)*MAX(0,MIN(1,P$232*1-Inputs!$D$37+1))/1</f>
        <v>1.5</v>
      </c>
      <c r="Q331" s="114" t="n">
        <f aca="false">Inputs!$D$34*(1+Inputs!$D$36)^(Q$233-1)*MAX(0,MIN(1,Q$232*1-Inputs!$D$37+1))/1</f>
        <v>1.5</v>
      </c>
      <c r="R331" s="114" t="n">
        <f aca="false">Inputs!$D$34*(1+Inputs!$D$36)^(R$233-1)*MAX(0,MIN(1,R$232*1-Inputs!$D$37+1))/1</f>
        <v>1.5</v>
      </c>
      <c r="S331" s="114" t="n">
        <f aca="false">Inputs!$D$34*(1+Inputs!$D$36)^(S$233-1)*MAX(0,MIN(1,S$232*1-Inputs!$D$37+1))/1</f>
        <v>1.5</v>
      </c>
      <c r="T331" s="114" t="n">
        <f aca="false">Inputs!$D$34*(1+Inputs!$D$36)^(T$233-1)*MAX(0,MIN(1,T$232*1-Inputs!$D$37+1))/1</f>
        <v>1.5</v>
      </c>
      <c r="U331" s="114" t="n">
        <f aca="false">Inputs!$D$34*(1+Inputs!$D$36)^(U$233-1)*MAX(0,MIN(1,U$232*1-Inputs!$D$37+1))/1</f>
        <v>1.5</v>
      </c>
      <c r="V331" s="114" t="n">
        <f aca="false">Inputs!$D$34*(1+Inputs!$D$36)^(V$233-1)*MAX(0,MIN(1,V$232*1-Inputs!$D$37+1))/1</f>
        <v>1.5</v>
      </c>
      <c r="W331" s="114" t="n">
        <f aca="false">Inputs!$D$34*(1+Inputs!$D$36)^(W$233-1)*MAX(0,MIN(1,W$232*1-Inputs!$D$37+1))/1</f>
        <v>1.5</v>
      </c>
      <c r="X331" s="114" t="n">
        <f aca="false">Inputs!$D$34*(1+Inputs!$D$36)^(X$233-1)*MAX(0,MIN(1,X$232*1-Inputs!$D$37+1))/1</f>
        <v>1.5</v>
      </c>
      <c r="Y331" s="114" t="n">
        <f aca="false">Inputs!$D$34*(1+Inputs!$D$36)^(Y$233-1)*MAX(0,MIN(1,Y$232*1-Inputs!$D$37+1))/1</f>
        <v>1.5</v>
      </c>
      <c r="Z331" s="114" t="n">
        <f aca="false">Inputs!$D$34*(1+Inputs!$D$36)^(Z$233-1)*MAX(0,MIN(1,Z$232*1-Inputs!$D$37+1))/1</f>
        <v>1.5</v>
      </c>
      <c r="AA331" s="114" t="n">
        <f aca="false">Inputs!$D$34*(1+Inputs!$D$36)^(AA$233-1)*MAX(0,MIN(1,AA$232*1-Inputs!$D$37+1))/1</f>
        <v>2.25</v>
      </c>
      <c r="AB331" s="114" t="n">
        <f aca="false">Inputs!$D$34*(1+Inputs!$D$36)^(AB$233-1)*MAX(0,MIN(1,AB$232*1-Inputs!$D$37+1))/1</f>
        <v>2.25</v>
      </c>
      <c r="AC331" s="114" t="n">
        <f aca="false">Inputs!$D$34*(1+Inputs!$D$36)^(AC$233-1)*MAX(0,MIN(1,AC$232*1-Inputs!$D$37+1))/1</f>
        <v>2.25</v>
      </c>
      <c r="AD331" s="114" t="n">
        <f aca="false">Inputs!$D$34*(1+Inputs!$D$36)^(AD$233-1)*MAX(0,MIN(1,AD$232*1-Inputs!$D$37+1))/1</f>
        <v>2.25</v>
      </c>
      <c r="AE331" s="114" t="n">
        <f aca="false">Inputs!$D$34*(1+Inputs!$D$36)^(AE$233-1)*MAX(0,MIN(1,AE$232*1-Inputs!$D$37+1))/1</f>
        <v>2.25</v>
      </c>
      <c r="AF331" s="114" t="n">
        <f aca="false">Inputs!$D$34*(1+Inputs!$D$36)^(AF$233-1)*MAX(0,MIN(1,AF$232*1-Inputs!$D$37+1))/1</f>
        <v>2.25</v>
      </c>
      <c r="AG331" s="114" t="n">
        <f aca="false">Inputs!$D$34*(1+Inputs!$D$36)^(AG$233-1)*MAX(0,MIN(1,AG$232*1-Inputs!$D$37+1))/1</f>
        <v>2.25</v>
      </c>
      <c r="AH331" s="114" t="n">
        <f aca="false">Inputs!$D$34*(1+Inputs!$D$36)^(AH$233-1)*MAX(0,MIN(1,AH$232*1-Inputs!$D$37+1))/1</f>
        <v>2.25</v>
      </c>
      <c r="AI331" s="114" t="n">
        <f aca="false">Inputs!$D$34*(1+Inputs!$D$36)^(AI$233-1)*MAX(0,MIN(1,AI$232*1-Inputs!$D$37+1))/1</f>
        <v>2.25</v>
      </c>
      <c r="AJ331" s="114" t="n">
        <f aca="false">Inputs!$D$34*(1+Inputs!$D$36)^(AJ$233-1)*MAX(0,MIN(1,AJ$232*1-Inputs!$D$37+1))/1</f>
        <v>2.25</v>
      </c>
      <c r="AK331" s="114" t="n">
        <f aca="false">Inputs!$D$34*(1+Inputs!$D$36)^(AK$233-1)*MAX(0,MIN(1,AK$232*1-Inputs!$D$37+1))/1</f>
        <v>2.25</v>
      </c>
      <c r="AL331" s="114" t="n">
        <f aca="false">Inputs!$D$34*(1+Inputs!$D$36)^(AL$233-1)*MAX(0,MIN(1,AL$232*1-Inputs!$D$37+1))/1</f>
        <v>2.25</v>
      </c>
    </row>
    <row r="332" customFormat="false" ht="15" hidden="false" customHeight="false" outlineLevel="0" collapsed="false">
      <c r="A332" s="6" t="s">
        <v>414</v>
      </c>
      <c r="C332" s="114" t="n">
        <f aca="false">Inputs!$D$38*(1+Inputs!$D$40)^(C$233-1)*MAX(0,MIN(1,C$232*1-Inputs!$D$41+1))/1</f>
        <v>0.5</v>
      </c>
      <c r="D332" s="114" t="n">
        <f aca="false">Inputs!$D$38*(1+Inputs!$D$40)^(D$233-1)*MAX(0,MIN(1,D$232*1-Inputs!$D$41+1))/1</f>
        <v>0.5</v>
      </c>
      <c r="E332" s="114" t="n">
        <f aca="false">Inputs!$D$38*(1+Inputs!$D$40)^(E$233-1)*MAX(0,MIN(1,E$232*1-Inputs!$D$41+1))/1</f>
        <v>0.5</v>
      </c>
      <c r="F332" s="114" t="n">
        <f aca="false">Inputs!$D$38*(1+Inputs!$D$40)^(F$233-1)*MAX(0,MIN(1,F$232*1-Inputs!$D$41+1))/1</f>
        <v>0.5</v>
      </c>
      <c r="G332" s="114" t="n">
        <f aca="false">Inputs!$D$38*(1+Inputs!$D$40)^(G$233-1)*MAX(0,MIN(1,G$232*1-Inputs!$D$41+1))/1</f>
        <v>0.5</v>
      </c>
      <c r="H332" s="114" t="n">
        <f aca="false">Inputs!$D$38*(1+Inputs!$D$40)^(H$233-1)*MAX(0,MIN(1,H$232*1-Inputs!$D$41+1))/1</f>
        <v>0.5</v>
      </c>
      <c r="I332" s="114" t="n">
        <f aca="false">Inputs!$D$38*(1+Inputs!$D$40)^(I$233-1)*MAX(0,MIN(1,I$232*1-Inputs!$D$41+1))/1</f>
        <v>0.5</v>
      </c>
      <c r="J332" s="114" t="n">
        <f aca="false">Inputs!$D$38*(1+Inputs!$D$40)^(J$233-1)*MAX(0,MIN(1,J$232*1-Inputs!$D$41+1))/1</f>
        <v>0.5</v>
      </c>
      <c r="K332" s="114" t="n">
        <f aca="false">Inputs!$D$38*(1+Inputs!$D$40)^(K$233-1)*MAX(0,MIN(1,K$232*1-Inputs!$D$41+1))/1</f>
        <v>0.5</v>
      </c>
      <c r="L332" s="114" t="n">
        <f aca="false">Inputs!$D$38*(1+Inputs!$D$40)^(L$233-1)*MAX(0,MIN(1,L$232*1-Inputs!$D$41+1))/1</f>
        <v>0.5</v>
      </c>
      <c r="M332" s="114" t="n">
        <f aca="false">Inputs!$D$38*(1+Inputs!$D$40)^(M$233-1)*MAX(0,MIN(1,M$232*1-Inputs!$D$41+1))/1</f>
        <v>0.5</v>
      </c>
      <c r="N332" s="114" t="n">
        <f aca="false">Inputs!$D$38*(1+Inputs!$D$40)^(N$233-1)*MAX(0,MIN(1,N$232*1-Inputs!$D$41+1))/1</f>
        <v>0.5</v>
      </c>
      <c r="O332" s="114" t="n">
        <f aca="false">Inputs!$D$38*(1+Inputs!$D$40)^(O$233-1)*MAX(0,MIN(1,O$232*1-Inputs!$D$41+1))/1</f>
        <v>0.75</v>
      </c>
      <c r="P332" s="114" t="n">
        <f aca="false">Inputs!$D$38*(1+Inputs!$D$40)^(P$233-1)*MAX(0,MIN(1,P$232*1-Inputs!$D$41+1))/1</f>
        <v>0.75</v>
      </c>
      <c r="Q332" s="114" t="n">
        <f aca="false">Inputs!$D$38*(1+Inputs!$D$40)^(Q$233-1)*MAX(0,MIN(1,Q$232*1-Inputs!$D$41+1))/1</f>
        <v>0.75</v>
      </c>
      <c r="R332" s="114" t="n">
        <f aca="false">Inputs!$D$38*(1+Inputs!$D$40)^(R$233-1)*MAX(0,MIN(1,R$232*1-Inputs!$D$41+1))/1</f>
        <v>0.75</v>
      </c>
      <c r="S332" s="114" t="n">
        <f aca="false">Inputs!$D$38*(1+Inputs!$D$40)^(S$233-1)*MAX(0,MIN(1,S$232*1-Inputs!$D$41+1))/1</f>
        <v>0.75</v>
      </c>
      <c r="T332" s="114" t="n">
        <f aca="false">Inputs!$D$38*(1+Inputs!$D$40)^(T$233-1)*MAX(0,MIN(1,T$232*1-Inputs!$D$41+1))/1</f>
        <v>0.75</v>
      </c>
      <c r="U332" s="114" t="n">
        <f aca="false">Inputs!$D$38*(1+Inputs!$D$40)^(U$233-1)*MAX(0,MIN(1,U$232*1-Inputs!$D$41+1))/1</f>
        <v>0.75</v>
      </c>
      <c r="V332" s="114" t="n">
        <f aca="false">Inputs!$D$38*(1+Inputs!$D$40)^(V$233-1)*MAX(0,MIN(1,V$232*1-Inputs!$D$41+1))/1</f>
        <v>0.75</v>
      </c>
      <c r="W332" s="114" t="n">
        <f aca="false">Inputs!$D$38*(1+Inputs!$D$40)^(W$233-1)*MAX(0,MIN(1,W$232*1-Inputs!$D$41+1))/1</f>
        <v>0.75</v>
      </c>
      <c r="X332" s="114" t="n">
        <f aca="false">Inputs!$D$38*(1+Inputs!$D$40)^(X$233-1)*MAX(0,MIN(1,X$232*1-Inputs!$D$41+1))/1</f>
        <v>0.75</v>
      </c>
      <c r="Y332" s="114" t="n">
        <f aca="false">Inputs!$D$38*(1+Inputs!$D$40)^(Y$233-1)*MAX(0,MIN(1,Y$232*1-Inputs!$D$41+1))/1</f>
        <v>0.75</v>
      </c>
      <c r="Z332" s="114" t="n">
        <f aca="false">Inputs!$D$38*(1+Inputs!$D$40)^(Z$233-1)*MAX(0,MIN(1,Z$232*1-Inputs!$D$41+1))/1</f>
        <v>0.75</v>
      </c>
      <c r="AA332" s="114" t="n">
        <f aca="false">Inputs!$D$38*(1+Inputs!$D$40)^(AA$233-1)*MAX(0,MIN(1,AA$232*1-Inputs!$D$41+1))/1</f>
        <v>1.125</v>
      </c>
      <c r="AB332" s="114" t="n">
        <f aca="false">Inputs!$D$38*(1+Inputs!$D$40)^(AB$233-1)*MAX(0,MIN(1,AB$232*1-Inputs!$D$41+1))/1</f>
        <v>1.125</v>
      </c>
      <c r="AC332" s="114" t="n">
        <f aca="false">Inputs!$D$38*(1+Inputs!$D$40)^(AC$233-1)*MAX(0,MIN(1,AC$232*1-Inputs!$D$41+1))/1</f>
        <v>1.125</v>
      </c>
      <c r="AD332" s="114" t="n">
        <f aca="false">Inputs!$D$38*(1+Inputs!$D$40)^(AD$233-1)*MAX(0,MIN(1,AD$232*1-Inputs!$D$41+1))/1</f>
        <v>1.125</v>
      </c>
      <c r="AE332" s="114" t="n">
        <f aca="false">Inputs!$D$38*(1+Inputs!$D$40)^(AE$233-1)*MAX(0,MIN(1,AE$232*1-Inputs!$D$41+1))/1</f>
        <v>1.125</v>
      </c>
      <c r="AF332" s="114" t="n">
        <f aca="false">Inputs!$D$38*(1+Inputs!$D$40)^(AF$233-1)*MAX(0,MIN(1,AF$232*1-Inputs!$D$41+1))/1</f>
        <v>1.125</v>
      </c>
      <c r="AG332" s="114" t="n">
        <f aca="false">Inputs!$D$38*(1+Inputs!$D$40)^(AG$233-1)*MAX(0,MIN(1,AG$232*1-Inputs!$D$41+1))/1</f>
        <v>1.125</v>
      </c>
      <c r="AH332" s="114" t="n">
        <f aca="false">Inputs!$D$38*(1+Inputs!$D$40)^(AH$233-1)*MAX(0,MIN(1,AH$232*1-Inputs!$D$41+1))/1</f>
        <v>1.125</v>
      </c>
      <c r="AI332" s="114" t="n">
        <f aca="false">Inputs!$D$38*(1+Inputs!$D$40)^(AI$233-1)*MAX(0,MIN(1,AI$232*1-Inputs!$D$41+1))/1</f>
        <v>1.125</v>
      </c>
      <c r="AJ332" s="114" t="n">
        <f aca="false">Inputs!$D$38*(1+Inputs!$D$40)^(AJ$233-1)*MAX(0,MIN(1,AJ$232*1-Inputs!$D$41+1))/1</f>
        <v>1.125</v>
      </c>
      <c r="AK332" s="114" t="n">
        <f aca="false">Inputs!$D$38*(1+Inputs!$D$40)^(AK$233-1)*MAX(0,MIN(1,AK$232*1-Inputs!$D$41+1))/1</f>
        <v>1.125</v>
      </c>
      <c r="AL332" s="114" t="n">
        <f aca="false">Inputs!$D$38*(1+Inputs!$D$40)^(AL$233-1)*MAX(0,MIN(1,AL$232*1-Inputs!$D$41+1))/1</f>
        <v>1.125</v>
      </c>
    </row>
    <row r="333" customFormat="false" ht="15" hidden="false" customHeight="false" outlineLevel="0" collapsed="false">
      <c r="A333" s="111" t="s">
        <v>415</v>
      </c>
      <c r="C333" s="117" t="n">
        <f aca="false">C329+C330+C331+C332</f>
        <v>6</v>
      </c>
      <c r="D333" s="117" t="n">
        <f aca="false">D329+D330+D331+D332</f>
        <v>6</v>
      </c>
      <c r="E333" s="117" t="n">
        <f aca="false">E329+E330+E331+E332</f>
        <v>6</v>
      </c>
      <c r="F333" s="117" t="n">
        <f aca="false">F329+F330+F331+F332</f>
        <v>6</v>
      </c>
      <c r="G333" s="117" t="n">
        <f aca="false">G329+G330+G331+G332</f>
        <v>6</v>
      </c>
      <c r="H333" s="117" t="n">
        <f aca="false">H329+H330+H331+H332</f>
        <v>6</v>
      </c>
      <c r="I333" s="117" t="n">
        <f aca="false">I329+I330+I331+I332</f>
        <v>6</v>
      </c>
      <c r="J333" s="117" t="n">
        <f aca="false">J329+J330+J331+J332</f>
        <v>6</v>
      </c>
      <c r="K333" s="117" t="n">
        <f aca="false">K329+K330+K331+K332</f>
        <v>6</v>
      </c>
      <c r="L333" s="117" t="n">
        <f aca="false">L329+L330+L331+L332</f>
        <v>6</v>
      </c>
      <c r="M333" s="117" t="n">
        <f aca="false">M329+M330+M331+M332</f>
        <v>6</v>
      </c>
      <c r="N333" s="117" t="n">
        <f aca="false">N329+N330+N331+N332</f>
        <v>6</v>
      </c>
      <c r="O333" s="117" t="n">
        <f aca="false">O329+O330+O331+O332</f>
        <v>9</v>
      </c>
      <c r="P333" s="117" t="n">
        <f aca="false">P329+P330+P331+P332</f>
        <v>9</v>
      </c>
      <c r="Q333" s="117" t="n">
        <f aca="false">Q329+Q330+Q331+Q332</f>
        <v>9</v>
      </c>
      <c r="R333" s="117" t="n">
        <f aca="false">R329+R330+R331+R332</f>
        <v>9</v>
      </c>
      <c r="S333" s="117" t="n">
        <f aca="false">S329+S330+S331+S332</f>
        <v>9</v>
      </c>
      <c r="T333" s="117" t="n">
        <f aca="false">T329+T330+T331+T332</f>
        <v>9</v>
      </c>
      <c r="U333" s="117" t="n">
        <f aca="false">U329+U330+U331+U332</f>
        <v>9</v>
      </c>
      <c r="V333" s="117" t="n">
        <f aca="false">V329+V330+V331+V332</f>
        <v>9</v>
      </c>
      <c r="W333" s="117" t="n">
        <f aca="false">W329+W330+W331+W332</f>
        <v>9</v>
      </c>
      <c r="X333" s="117" t="n">
        <f aca="false">X329+X330+X331+X332</f>
        <v>9</v>
      </c>
      <c r="Y333" s="117" t="n">
        <f aca="false">Y329+Y330+Y331+Y332</f>
        <v>9</v>
      </c>
      <c r="Z333" s="117" t="n">
        <f aca="false">Z329+Z330+Z331+Z332</f>
        <v>9</v>
      </c>
      <c r="AA333" s="117" t="n">
        <f aca="false">AA329+AA330+AA331+AA332</f>
        <v>13.5</v>
      </c>
      <c r="AB333" s="117" t="n">
        <f aca="false">AB329+AB330+AB331+AB332</f>
        <v>13.5</v>
      </c>
      <c r="AC333" s="117" t="n">
        <f aca="false">AC329+AC330+AC331+AC332</f>
        <v>13.5</v>
      </c>
      <c r="AD333" s="117" t="n">
        <f aca="false">AD329+AD330+AD331+AD332</f>
        <v>13.5</v>
      </c>
      <c r="AE333" s="117" t="n">
        <f aca="false">AE329+AE330+AE331+AE332</f>
        <v>13.5</v>
      </c>
      <c r="AF333" s="117" t="n">
        <f aca="false">AF329+AF330+AF331+AF332</f>
        <v>13.5</v>
      </c>
      <c r="AG333" s="117" t="n">
        <f aca="false">AG329+AG330+AG331+AG332</f>
        <v>13.5</v>
      </c>
      <c r="AH333" s="117" t="n">
        <f aca="false">AH329+AH330+AH331+AH332</f>
        <v>13.5</v>
      </c>
      <c r="AI333" s="117" t="n">
        <f aca="false">AI329+AI330+AI331+AI332</f>
        <v>13.5</v>
      </c>
      <c r="AJ333" s="117" t="n">
        <f aca="false">AJ329+AJ330+AJ331+AJ332</f>
        <v>13.5</v>
      </c>
      <c r="AK333" s="117" t="n">
        <f aca="false">AK329+AK330+AK331+AK332</f>
        <v>13.5</v>
      </c>
      <c r="AL333" s="117" t="n">
        <f aca="false">AL329+AL330+AL331+AL332</f>
        <v>13.5</v>
      </c>
    </row>
    <row r="335" customFormat="false" ht="15.75" hidden="false" customHeight="true" outlineLevel="0" collapsed="false">
      <c r="A335" s="7" t="s">
        <v>416</v>
      </c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customFormat="false" ht="15" hidden="false" customHeight="false" outlineLevel="0" collapsed="false">
      <c r="A336" s="6" t="s">
        <v>417</v>
      </c>
      <c r="C336" s="66" t="n">
        <f aca="false">-C329*Inputs!$D$27/12*1*(1+Inputs!$D$42)*(1+Inputs!$D$43)^(C$233-1)</f>
        <v>-37500</v>
      </c>
      <c r="D336" s="66" t="n">
        <f aca="false">-D329*Inputs!$D$27/12*1*(1+Inputs!$D$42)*(1+Inputs!$D$43)^(D$233-1)</f>
        <v>-37500</v>
      </c>
      <c r="E336" s="66" t="n">
        <f aca="false">-E329*Inputs!$D$27/12*1*(1+Inputs!$D$42)*(1+Inputs!$D$43)^(E$233-1)</f>
        <v>-37500</v>
      </c>
      <c r="F336" s="66" t="n">
        <f aca="false">-F329*Inputs!$D$27/12*1*(1+Inputs!$D$42)*(1+Inputs!$D$43)^(F$233-1)</f>
        <v>-37500</v>
      </c>
      <c r="G336" s="66" t="n">
        <f aca="false">-G329*Inputs!$D$27/12*1*(1+Inputs!$D$42)*(1+Inputs!$D$43)^(G$233-1)</f>
        <v>-37500</v>
      </c>
      <c r="H336" s="66" t="n">
        <f aca="false">-H329*Inputs!$D$27/12*1*(1+Inputs!$D$42)*(1+Inputs!$D$43)^(H$233-1)</f>
        <v>-37500</v>
      </c>
      <c r="I336" s="66" t="n">
        <f aca="false">-I329*Inputs!$D$27/12*1*(1+Inputs!$D$42)*(1+Inputs!$D$43)^(I$233-1)</f>
        <v>-37500</v>
      </c>
      <c r="J336" s="66" t="n">
        <f aca="false">-J329*Inputs!$D$27/12*1*(1+Inputs!$D$42)*(1+Inputs!$D$43)^(J$233-1)</f>
        <v>-37500</v>
      </c>
      <c r="K336" s="66" t="n">
        <f aca="false">-K329*Inputs!$D$27/12*1*(1+Inputs!$D$42)*(1+Inputs!$D$43)^(K$233-1)</f>
        <v>-37500</v>
      </c>
      <c r="L336" s="66" t="n">
        <f aca="false">-L329*Inputs!$D$27/12*1*(1+Inputs!$D$42)*(1+Inputs!$D$43)^(L$233-1)</f>
        <v>-37500</v>
      </c>
      <c r="M336" s="66" t="n">
        <f aca="false">-M329*Inputs!$D$27/12*1*(1+Inputs!$D$42)*(1+Inputs!$D$43)^(M$233-1)</f>
        <v>-37500</v>
      </c>
      <c r="N336" s="66" t="n">
        <f aca="false">-N329*Inputs!$D$27/12*1*(1+Inputs!$D$42)*(1+Inputs!$D$43)^(N$233-1)</f>
        <v>-37500</v>
      </c>
      <c r="O336" s="66" t="n">
        <f aca="false">-O329*Inputs!$D$27/12*1*(1+Inputs!$D$42)*(1+Inputs!$D$43)^(O$233-1)</f>
        <v>-58500</v>
      </c>
      <c r="P336" s="66" t="n">
        <f aca="false">-P329*Inputs!$D$27/12*1*(1+Inputs!$D$42)*(1+Inputs!$D$43)^(P$233-1)</f>
        <v>-58500</v>
      </c>
      <c r="Q336" s="66" t="n">
        <f aca="false">-Q329*Inputs!$D$27/12*1*(1+Inputs!$D$42)*(1+Inputs!$D$43)^(Q$233-1)</f>
        <v>-58500</v>
      </c>
      <c r="R336" s="66" t="n">
        <f aca="false">-R329*Inputs!$D$27/12*1*(1+Inputs!$D$42)*(1+Inputs!$D$43)^(R$233-1)</f>
        <v>-58500</v>
      </c>
      <c r="S336" s="66" t="n">
        <f aca="false">-S329*Inputs!$D$27/12*1*(1+Inputs!$D$42)*(1+Inputs!$D$43)^(S$233-1)</f>
        <v>-58500</v>
      </c>
      <c r="T336" s="66" t="n">
        <f aca="false">-T329*Inputs!$D$27/12*1*(1+Inputs!$D$42)*(1+Inputs!$D$43)^(T$233-1)</f>
        <v>-58500</v>
      </c>
      <c r="U336" s="66" t="n">
        <f aca="false">-U329*Inputs!$D$27/12*1*(1+Inputs!$D$42)*(1+Inputs!$D$43)^(U$233-1)</f>
        <v>-58500</v>
      </c>
      <c r="V336" s="66" t="n">
        <f aca="false">-V329*Inputs!$D$27/12*1*(1+Inputs!$D$42)*(1+Inputs!$D$43)^(V$233-1)</f>
        <v>-58500</v>
      </c>
      <c r="W336" s="66" t="n">
        <f aca="false">-W329*Inputs!$D$27/12*1*(1+Inputs!$D$42)*(1+Inputs!$D$43)^(W$233-1)</f>
        <v>-58500</v>
      </c>
      <c r="X336" s="66" t="n">
        <f aca="false">-X329*Inputs!$D$27/12*1*(1+Inputs!$D$42)*(1+Inputs!$D$43)^(X$233-1)</f>
        <v>-58500</v>
      </c>
      <c r="Y336" s="66" t="n">
        <f aca="false">-Y329*Inputs!$D$27/12*1*(1+Inputs!$D$42)*(1+Inputs!$D$43)^(Y$233-1)</f>
        <v>-58500</v>
      </c>
      <c r="Z336" s="66" t="n">
        <f aca="false">-Z329*Inputs!$D$27/12*1*(1+Inputs!$D$42)*(1+Inputs!$D$43)^(Z$233-1)</f>
        <v>-58500</v>
      </c>
      <c r="AA336" s="66" t="n">
        <f aca="false">-AA329*Inputs!$D$27/12*1*(1+Inputs!$D$42)*(1+Inputs!$D$43)^(AA$233-1)</f>
        <v>-91260</v>
      </c>
      <c r="AB336" s="66" t="n">
        <f aca="false">-AB329*Inputs!$D$27/12*1*(1+Inputs!$D$42)*(1+Inputs!$D$43)^(AB$233-1)</f>
        <v>-91260</v>
      </c>
      <c r="AC336" s="66" t="n">
        <f aca="false">-AC329*Inputs!$D$27/12*1*(1+Inputs!$D$42)*(1+Inputs!$D$43)^(AC$233-1)</f>
        <v>-91260</v>
      </c>
      <c r="AD336" s="66" t="n">
        <f aca="false">-AD329*Inputs!$D$27/12*1*(1+Inputs!$D$42)*(1+Inputs!$D$43)^(AD$233-1)</f>
        <v>-91260</v>
      </c>
      <c r="AE336" s="66" t="n">
        <f aca="false">-AE329*Inputs!$D$27/12*1*(1+Inputs!$D$42)*(1+Inputs!$D$43)^(AE$233-1)</f>
        <v>-91260</v>
      </c>
      <c r="AF336" s="66" t="n">
        <f aca="false">-AF329*Inputs!$D$27/12*1*(1+Inputs!$D$42)*(1+Inputs!$D$43)^(AF$233-1)</f>
        <v>-91260</v>
      </c>
      <c r="AG336" s="66" t="n">
        <f aca="false">-AG329*Inputs!$D$27/12*1*(1+Inputs!$D$42)*(1+Inputs!$D$43)^(AG$233-1)</f>
        <v>-91260</v>
      </c>
      <c r="AH336" s="66" t="n">
        <f aca="false">-AH329*Inputs!$D$27/12*1*(1+Inputs!$D$42)*(1+Inputs!$D$43)^(AH$233-1)</f>
        <v>-91260</v>
      </c>
      <c r="AI336" s="66" t="n">
        <f aca="false">-AI329*Inputs!$D$27/12*1*(1+Inputs!$D$42)*(1+Inputs!$D$43)^(AI$233-1)</f>
        <v>-91260</v>
      </c>
      <c r="AJ336" s="66" t="n">
        <f aca="false">-AJ329*Inputs!$D$27/12*1*(1+Inputs!$D$42)*(1+Inputs!$D$43)^(AJ$233-1)</f>
        <v>-91260</v>
      </c>
      <c r="AK336" s="66" t="n">
        <f aca="false">-AK329*Inputs!$D$27/12*1*(1+Inputs!$D$42)*(1+Inputs!$D$43)^(AK$233-1)</f>
        <v>-91260</v>
      </c>
      <c r="AL336" s="66" t="n">
        <f aca="false">-AL329*Inputs!$D$27/12*1*(1+Inputs!$D$42)*(1+Inputs!$D$43)^(AL$233-1)</f>
        <v>-91260</v>
      </c>
    </row>
    <row r="337" customFormat="false" ht="15" hidden="false" customHeight="false" outlineLevel="0" collapsed="false">
      <c r="A337" s="6" t="s">
        <v>418</v>
      </c>
      <c r="C337" s="66" t="n">
        <f aca="false">-C330*Inputs!$D$31/12*1*(1+Inputs!$D$42)*(1+Inputs!$D$43)^(C$233-1)</f>
        <v>-14250</v>
      </c>
      <c r="D337" s="66" t="n">
        <f aca="false">-D330*Inputs!$D$31/12*1*(1+Inputs!$D$42)*(1+Inputs!$D$43)^(D$233-1)</f>
        <v>-14250</v>
      </c>
      <c r="E337" s="66" t="n">
        <f aca="false">-E330*Inputs!$D$31/12*1*(1+Inputs!$D$42)*(1+Inputs!$D$43)^(E$233-1)</f>
        <v>-14250</v>
      </c>
      <c r="F337" s="66" t="n">
        <f aca="false">-F330*Inputs!$D$31/12*1*(1+Inputs!$D$42)*(1+Inputs!$D$43)^(F$233-1)</f>
        <v>-14250</v>
      </c>
      <c r="G337" s="66" t="n">
        <f aca="false">-G330*Inputs!$D$31/12*1*(1+Inputs!$D$42)*(1+Inputs!$D$43)^(G$233-1)</f>
        <v>-14250</v>
      </c>
      <c r="H337" s="66" t="n">
        <f aca="false">-H330*Inputs!$D$31/12*1*(1+Inputs!$D$42)*(1+Inputs!$D$43)^(H$233-1)</f>
        <v>-14250</v>
      </c>
      <c r="I337" s="66" t="n">
        <f aca="false">-I330*Inputs!$D$31/12*1*(1+Inputs!$D$42)*(1+Inputs!$D$43)^(I$233-1)</f>
        <v>-14250</v>
      </c>
      <c r="J337" s="66" t="n">
        <f aca="false">-J330*Inputs!$D$31/12*1*(1+Inputs!$D$42)*(1+Inputs!$D$43)^(J$233-1)</f>
        <v>-14250</v>
      </c>
      <c r="K337" s="66" t="n">
        <f aca="false">-K330*Inputs!$D$31/12*1*(1+Inputs!$D$42)*(1+Inputs!$D$43)^(K$233-1)</f>
        <v>-14250</v>
      </c>
      <c r="L337" s="66" t="n">
        <f aca="false">-L330*Inputs!$D$31/12*1*(1+Inputs!$D$42)*(1+Inputs!$D$43)^(L$233-1)</f>
        <v>-14250</v>
      </c>
      <c r="M337" s="66" t="n">
        <f aca="false">-M330*Inputs!$D$31/12*1*(1+Inputs!$D$42)*(1+Inputs!$D$43)^(M$233-1)</f>
        <v>-14250</v>
      </c>
      <c r="N337" s="66" t="n">
        <f aca="false">-N330*Inputs!$D$31/12*1*(1+Inputs!$D$42)*(1+Inputs!$D$43)^(N$233-1)</f>
        <v>-14250</v>
      </c>
      <c r="O337" s="66" t="n">
        <f aca="false">-O330*Inputs!$D$31/12*1*(1+Inputs!$D$42)*(1+Inputs!$D$43)^(O$233-1)</f>
        <v>-22230</v>
      </c>
      <c r="P337" s="66" t="n">
        <f aca="false">-P330*Inputs!$D$31/12*1*(1+Inputs!$D$42)*(1+Inputs!$D$43)^(P$233-1)</f>
        <v>-22230</v>
      </c>
      <c r="Q337" s="66" t="n">
        <f aca="false">-Q330*Inputs!$D$31/12*1*(1+Inputs!$D$42)*(1+Inputs!$D$43)^(Q$233-1)</f>
        <v>-22230</v>
      </c>
      <c r="R337" s="66" t="n">
        <f aca="false">-R330*Inputs!$D$31/12*1*(1+Inputs!$D$42)*(1+Inputs!$D$43)^(R$233-1)</f>
        <v>-22230</v>
      </c>
      <c r="S337" s="66" t="n">
        <f aca="false">-S330*Inputs!$D$31/12*1*(1+Inputs!$D$42)*(1+Inputs!$D$43)^(S$233-1)</f>
        <v>-22230</v>
      </c>
      <c r="T337" s="66" t="n">
        <f aca="false">-T330*Inputs!$D$31/12*1*(1+Inputs!$D$42)*(1+Inputs!$D$43)^(T$233-1)</f>
        <v>-22230</v>
      </c>
      <c r="U337" s="66" t="n">
        <f aca="false">-U330*Inputs!$D$31/12*1*(1+Inputs!$D$42)*(1+Inputs!$D$43)^(U$233-1)</f>
        <v>-22230</v>
      </c>
      <c r="V337" s="66" t="n">
        <f aca="false">-V330*Inputs!$D$31/12*1*(1+Inputs!$D$42)*(1+Inputs!$D$43)^(V$233-1)</f>
        <v>-22230</v>
      </c>
      <c r="W337" s="66" t="n">
        <f aca="false">-W330*Inputs!$D$31/12*1*(1+Inputs!$D$42)*(1+Inputs!$D$43)^(W$233-1)</f>
        <v>-22230</v>
      </c>
      <c r="X337" s="66" t="n">
        <f aca="false">-X330*Inputs!$D$31/12*1*(1+Inputs!$D$42)*(1+Inputs!$D$43)^(X$233-1)</f>
        <v>-22230</v>
      </c>
      <c r="Y337" s="66" t="n">
        <f aca="false">-Y330*Inputs!$D$31/12*1*(1+Inputs!$D$42)*(1+Inputs!$D$43)^(Y$233-1)</f>
        <v>-22230</v>
      </c>
      <c r="Z337" s="66" t="n">
        <f aca="false">-Z330*Inputs!$D$31/12*1*(1+Inputs!$D$42)*(1+Inputs!$D$43)^(Z$233-1)</f>
        <v>-22230</v>
      </c>
      <c r="AA337" s="66" t="n">
        <f aca="false">-AA330*Inputs!$D$31/12*1*(1+Inputs!$D$42)*(1+Inputs!$D$43)^(AA$233-1)</f>
        <v>-34678.8</v>
      </c>
      <c r="AB337" s="66" t="n">
        <f aca="false">-AB330*Inputs!$D$31/12*1*(1+Inputs!$D$42)*(1+Inputs!$D$43)^(AB$233-1)</f>
        <v>-34678.8</v>
      </c>
      <c r="AC337" s="66" t="n">
        <f aca="false">-AC330*Inputs!$D$31/12*1*(1+Inputs!$D$42)*(1+Inputs!$D$43)^(AC$233-1)</f>
        <v>-34678.8</v>
      </c>
      <c r="AD337" s="66" t="n">
        <f aca="false">-AD330*Inputs!$D$31/12*1*(1+Inputs!$D$42)*(1+Inputs!$D$43)^(AD$233-1)</f>
        <v>-34678.8</v>
      </c>
      <c r="AE337" s="66" t="n">
        <f aca="false">-AE330*Inputs!$D$31/12*1*(1+Inputs!$D$42)*(1+Inputs!$D$43)^(AE$233-1)</f>
        <v>-34678.8</v>
      </c>
      <c r="AF337" s="66" t="n">
        <f aca="false">-AF330*Inputs!$D$31/12*1*(1+Inputs!$D$42)*(1+Inputs!$D$43)^(AF$233-1)</f>
        <v>-34678.8</v>
      </c>
      <c r="AG337" s="66" t="n">
        <f aca="false">-AG330*Inputs!$D$31/12*1*(1+Inputs!$D$42)*(1+Inputs!$D$43)^(AG$233-1)</f>
        <v>-34678.8</v>
      </c>
      <c r="AH337" s="66" t="n">
        <f aca="false">-AH330*Inputs!$D$31/12*1*(1+Inputs!$D$42)*(1+Inputs!$D$43)^(AH$233-1)</f>
        <v>-34678.8</v>
      </c>
      <c r="AI337" s="66" t="n">
        <f aca="false">-AI330*Inputs!$D$31/12*1*(1+Inputs!$D$42)*(1+Inputs!$D$43)^(AI$233-1)</f>
        <v>-34678.8</v>
      </c>
      <c r="AJ337" s="66" t="n">
        <f aca="false">-AJ330*Inputs!$D$31/12*1*(1+Inputs!$D$42)*(1+Inputs!$D$43)^(AJ$233-1)</f>
        <v>-34678.8</v>
      </c>
      <c r="AK337" s="66" t="n">
        <f aca="false">-AK330*Inputs!$D$31/12*1*(1+Inputs!$D$42)*(1+Inputs!$D$43)^(AK$233-1)</f>
        <v>-34678.8</v>
      </c>
      <c r="AL337" s="66" t="n">
        <f aca="false">-AL330*Inputs!$D$31/12*1*(1+Inputs!$D$42)*(1+Inputs!$D$43)^(AL$233-1)</f>
        <v>-34678.8</v>
      </c>
    </row>
    <row r="338" customFormat="false" ht="15" hidden="false" customHeight="false" outlineLevel="0" collapsed="false">
      <c r="A338" s="6" t="s">
        <v>419</v>
      </c>
      <c r="C338" s="66" t="n">
        <f aca="false">-C331*Inputs!$D$35/12*1*(1+Inputs!$D$42)*(1+Inputs!$D$43)^(C$233-1)</f>
        <v>-6000</v>
      </c>
      <c r="D338" s="66" t="n">
        <f aca="false">-D331*Inputs!$D$35/12*1*(1+Inputs!$D$42)*(1+Inputs!$D$43)^(D$233-1)</f>
        <v>-6000</v>
      </c>
      <c r="E338" s="66" t="n">
        <f aca="false">-E331*Inputs!$D$35/12*1*(1+Inputs!$D$42)*(1+Inputs!$D$43)^(E$233-1)</f>
        <v>-6000</v>
      </c>
      <c r="F338" s="66" t="n">
        <f aca="false">-F331*Inputs!$D$35/12*1*(1+Inputs!$D$42)*(1+Inputs!$D$43)^(F$233-1)</f>
        <v>-6000</v>
      </c>
      <c r="G338" s="66" t="n">
        <f aca="false">-G331*Inputs!$D$35/12*1*(1+Inputs!$D$42)*(1+Inputs!$D$43)^(G$233-1)</f>
        <v>-6000</v>
      </c>
      <c r="H338" s="66" t="n">
        <f aca="false">-H331*Inputs!$D$35/12*1*(1+Inputs!$D$42)*(1+Inputs!$D$43)^(H$233-1)</f>
        <v>-6000</v>
      </c>
      <c r="I338" s="66" t="n">
        <f aca="false">-I331*Inputs!$D$35/12*1*(1+Inputs!$D$42)*(1+Inputs!$D$43)^(I$233-1)</f>
        <v>-6000</v>
      </c>
      <c r="J338" s="66" t="n">
        <f aca="false">-J331*Inputs!$D$35/12*1*(1+Inputs!$D$42)*(1+Inputs!$D$43)^(J$233-1)</f>
        <v>-6000</v>
      </c>
      <c r="K338" s="66" t="n">
        <f aca="false">-K331*Inputs!$D$35/12*1*(1+Inputs!$D$42)*(1+Inputs!$D$43)^(K$233-1)</f>
        <v>-6000</v>
      </c>
      <c r="L338" s="66" t="n">
        <f aca="false">-L331*Inputs!$D$35/12*1*(1+Inputs!$D$42)*(1+Inputs!$D$43)^(L$233-1)</f>
        <v>-6000</v>
      </c>
      <c r="M338" s="66" t="n">
        <f aca="false">-M331*Inputs!$D$35/12*1*(1+Inputs!$D$42)*(1+Inputs!$D$43)^(M$233-1)</f>
        <v>-6000</v>
      </c>
      <c r="N338" s="66" t="n">
        <f aca="false">-N331*Inputs!$D$35/12*1*(1+Inputs!$D$42)*(1+Inputs!$D$43)^(N$233-1)</f>
        <v>-6000</v>
      </c>
      <c r="O338" s="66" t="n">
        <f aca="false">-O331*Inputs!$D$35/12*1*(1+Inputs!$D$42)*(1+Inputs!$D$43)^(O$233-1)</f>
        <v>-9360</v>
      </c>
      <c r="P338" s="66" t="n">
        <f aca="false">-P331*Inputs!$D$35/12*1*(1+Inputs!$D$42)*(1+Inputs!$D$43)^(P$233-1)</f>
        <v>-9360</v>
      </c>
      <c r="Q338" s="66" t="n">
        <f aca="false">-Q331*Inputs!$D$35/12*1*(1+Inputs!$D$42)*(1+Inputs!$D$43)^(Q$233-1)</f>
        <v>-9360</v>
      </c>
      <c r="R338" s="66" t="n">
        <f aca="false">-R331*Inputs!$D$35/12*1*(1+Inputs!$D$42)*(1+Inputs!$D$43)^(R$233-1)</f>
        <v>-9360</v>
      </c>
      <c r="S338" s="66" t="n">
        <f aca="false">-S331*Inputs!$D$35/12*1*(1+Inputs!$D$42)*(1+Inputs!$D$43)^(S$233-1)</f>
        <v>-9360</v>
      </c>
      <c r="T338" s="66" t="n">
        <f aca="false">-T331*Inputs!$D$35/12*1*(1+Inputs!$D$42)*(1+Inputs!$D$43)^(T$233-1)</f>
        <v>-9360</v>
      </c>
      <c r="U338" s="66" t="n">
        <f aca="false">-U331*Inputs!$D$35/12*1*(1+Inputs!$D$42)*(1+Inputs!$D$43)^(U$233-1)</f>
        <v>-9360</v>
      </c>
      <c r="V338" s="66" t="n">
        <f aca="false">-V331*Inputs!$D$35/12*1*(1+Inputs!$D$42)*(1+Inputs!$D$43)^(V$233-1)</f>
        <v>-9360</v>
      </c>
      <c r="W338" s="66" t="n">
        <f aca="false">-W331*Inputs!$D$35/12*1*(1+Inputs!$D$42)*(1+Inputs!$D$43)^(W$233-1)</f>
        <v>-9360</v>
      </c>
      <c r="X338" s="66" t="n">
        <f aca="false">-X331*Inputs!$D$35/12*1*(1+Inputs!$D$42)*(1+Inputs!$D$43)^(X$233-1)</f>
        <v>-9360</v>
      </c>
      <c r="Y338" s="66" t="n">
        <f aca="false">-Y331*Inputs!$D$35/12*1*(1+Inputs!$D$42)*(1+Inputs!$D$43)^(Y$233-1)</f>
        <v>-9360</v>
      </c>
      <c r="Z338" s="66" t="n">
        <f aca="false">-Z331*Inputs!$D$35/12*1*(1+Inputs!$D$42)*(1+Inputs!$D$43)^(Z$233-1)</f>
        <v>-9360</v>
      </c>
      <c r="AA338" s="66" t="n">
        <f aca="false">-AA331*Inputs!$D$35/12*1*(1+Inputs!$D$42)*(1+Inputs!$D$43)^(AA$233-1)</f>
        <v>-14601.6</v>
      </c>
      <c r="AB338" s="66" t="n">
        <f aca="false">-AB331*Inputs!$D$35/12*1*(1+Inputs!$D$42)*(1+Inputs!$D$43)^(AB$233-1)</f>
        <v>-14601.6</v>
      </c>
      <c r="AC338" s="66" t="n">
        <f aca="false">-AC331*Inputs!$D$35/12*1*(1+Inputs!$D$42)*(1+Inputs!$D$43)^(AC$233-1)</f>
        <v>-14601.6</v>
      </c>
      <c r="AD338" s="66" t="n">
        <f aca="false">-AD331*Inputs!$D$35/12*1*(1+Inputs!$D$42)*(1+Inputs!$D$43)^(AD$233-1)</f>
        <v>-14601.6</v>
      </c>
      <c r="AE338" s="66" t="n">
        <f aca="false">-AE331*Inputs!$D$35/12*1*(1+Inputs!$D$42)*(1+Inputs!$D$43)^(AE$233-1)</f>
        <v>-14601.6</v>
      </c>
      <c r="AF338" s="66" t="n">
        <f aca="false">-AF331*Inputs!$D$35/12*1*(1+Inputs!$D$42)*(1+Inputs!$D$43)^(AF$233-1)</f>
        <v>-14601.6</v>
      </c>
      <c r="AG338" s="66" t="n">
        <f aca="false">-AG331*Inputs!$D$35/12*1*(1+Inputs!$D$42)*(1+Inputs!$D$43)^(AG$233-1)</f>
        <v>-14601.6</v>
      </c>
      <c r="AH338" s="66" t="n">
        <f aca="false">-AH331*Inputs!$D$35/12*1*(1+Inputs!$D$42)*(1+Inputs!$D$43)^(AH$233-1)</f>
        <v>-14601.6</v>
      </c>
      <c r="AI338" s="66" t="n">
        <f aca="false">-AI331*Inputs!$D$35/12*1*(1+Inputs!$D$42)*(1+Inputs!$D$43)^(AI$233-1)</f>
        <v>-14601.6</v>
      </c>
      <c r="AJ338" s="66" t="n">
        <f aca="false">-AJ331*Inputs!$D$35/12*1*(1+Inputs!$D$42)*(1+Inputs!$D$43)^(AJ$233-1)</f>
        <v>-14601.6</v>
      </c>
      <c r="AK338" s="66" t="n">
        <f aca="false">-AK331*Inputs!$D$35/12*1*(1+Inputs!$D$42)*(1+Inputs!$D$43)^(AK$233-1)</f>
        <v>-14601.6</v>
      </c>
      <c r="AL338" s="66" t="n">
        <f aca="false">-AL331*Inputs!$D$35/12*1*(1+Inputs!$D$42)*(1+Inputs!$D$43)^(AL$233-1)</f>
        <v>-14601.6</v>
      </c>
    </row>
    <row r="339" customFormat="false" ht="15" hidden="false" customHeight="false" outlineLevel="0" collapsed="false">
      <c r="A339" s="6" t="s">
        <v>420</v>
      </c>
      <c r="C339" s="66" t="n">
        <f aca="false">-C332*Inputs!$D$39/12*1*(1+Inputs!$D$42)*(1+Inputs!$D$43)^(C$233-1)</f>
        <v>-4000</v>
      </c>
      <c r="D339" s="66" t="n">
        <f aca="false">-D332*Inputs!$D$39/12*1*(1+Inputs!$D$42)*(1+Inputs!$D$43)^(D$233-1)</f>
        <v>-4000</v>
      </c>
      <c r="E339" s="66" t="n">
        <f aca="false">-E332*Inputs!$D$39/12*1*(1+Inputs!$D$42)*(1+Inputs!$D$43)^(E$233-1)</f>
        <v>-4000</v>
      </c>
      <c r="F339" s="66" t="n">
        <f aca="false">-F332*Inputs!$D$39/12*1*(1+Inputs!$D$42)*(1+Inputs!$D$43)^(F$233-1)</f>
        <v>-4000</v>
      </c>
      <c r="G339" s="66" t="n">
        <f aca="false">-G332*Inputs!$D$39/12*1*(1+Inputs!$D$42)*(1+Inputs!$D$43)^(G$233-1)</f>
        <v>-4000</v>
      </c>
      <c r="H339" s="66" t="n">
        <f aca="false">-H332*Inputs!$D$39/12*1*(1+Inputs!$D$42)*(1+Inputs!$D$43)^(H$233-1)</f>
        <v>-4000</v>
      </c>
      <c r="I339" s="66" t="n">
        <f aca="false">-I332*Inputs!$D$39/12*1*(1+Inputs!$D$42)*(1+Inputs!$D$43)^(I$233-1)</f>
        <v>-4000</v>
      </c>
      <c r="J339" s="66" t="n">
        <f aca="false">-J332*Inputs!$D$39/12*1*(1+Inputs!$D$42)*(1+Inputs!$D$43)^(J$233-1)</f>
        <v>-4000</v>
      </c>
      <c r="K339" s="66" t="n">
        <f aca="false">-K332*Inputs!$D$39/12*1*(1+Inputs!$D$42)*(1+Inputs!$D$43)^(K$233-1)</f>
        <v>-4000</v>
      </c>
      <c r="L339" s="66" t="n">
        <f aca="false">-L332*Inputs!$D$39/12*1*(1+Inputs!$D$42)*(1+Inputs!$D$43)^(L$233-1)</f>
        <v>-4000</v>
      </c>
      <c r="M339" s="66" t="n">
        <f aca="false">-M332*Inputs!$D$39/12*1*(1+Inputs!$D$42)*(1+Inputs!$D$43)^(M$233-1)</f>
        <v>-4000</v>
      </c>
      <c r="N339" s="66" t="n">
        <f aca="false">-N332*Inputs!$D$39/12*1*(1+Inputs!$D$42)*(1+Inputs!$D$43)^(N$233-1)</f>
        <v>-4000</v>
      </c>
      <c r="O339" s="66" t="n">
        <f aca="false">-O332*Inputs!$D$39/12*1*(1+Inputs!$D$42)*(1+Inputs!$D$43)^(O$233-1)</f>
        <v>-6240</v>
      </c>
      <c r="P339" s="66" t="n">
        <f aca="false">-P332*Inputs!$D$39/12*1*(1+Inputs!$D$42)*(1+Inputs!$D$43)^(P$233-1)</f>
        <v>-6240</v>
      </c>
      <c r="Q339" s="66" t="n">
        <f aca="false">-Q332*Inputs!$D$39/12*1*(1+Inputs!$D$42)*(1+Inputs!$D$43)^(Q$233-1)</f>
        <v>-6240</v>
      </c>
      <c r="R339" s="66" t="n">
        <f aca="false">-R332*Inputs!$D$39/12*1*(1+Inputs!$D$42)*(1+Inputs!$D$43)^(R$233-1)</f>
        <v>-6240</v>
      </c>
      <c r="S339" s="66" t="n">
        <f aca="false">-S332*Inputs!$D$39/12*1*(1+Inputs!$D$42)*(1+Inputs!$D$43)^(S$233-1)</f>
        <v>-6240</v>
      </c>
      <c r="T339" s="66" t="n">
        <f aca="false">-T332*Inputs!$D$39/12*1*(1+Inputs!$D$42)*(1+Inputs!$D$43)^(T$233-1)</f>
        <v>-6240</v>
      </c>
      <c r="U339" s="66" t="n">
        <f aca="false">-U332*Inputs!$D$39/12*1*(1+Inputs!$D$42)*(1+Inputs!$D$43)^(U$233-1)</f>
        <v>-6240</v>
      </c>
      <c r="V339" s="66" t="n">
        <f aca="false">-V332*Inputs!$D$39/12*1*(1+Inputs!$D$42)*(1+Inputs!$D$43)^(V$233-1)</f>
        <v>-6240</v>
      </c>
      <c r="W339" s="66" t="n">
        <f aca="false">-W332*Inputs!$D$39/12*1*(1+Inputs!$D$42)*(1+Inputs!$D$43)^(W$233-1)</f>
        <v>-6240</v>
      </c>
      <c r="X339" s="66" t="n">
        <f aca="false">-X332*Inputs!$D$39/12*1*(1+Inputs!$D$42)*(1+Inputs!$D$43)^(X$233-1)</f>
        <v>-6240</v>
      </c>
      <c r="Y339" s="66" t="n">
        <f aca="false">-Y332*Inputs!$D$39/12*1*(1+Inputs!$D$42)*(1+Inputs!$D$43)^(Y$233-1)</f>
        <v>-6240</v>
      </c>
      <c r="Z339" s="66" t="n">
        <f aca="false">-Z332*Inputs!$D$39/12*1*(1+Inputs!$D$42)*(1+Inputs!$D$43)^(Z$233-1)</f>
        <v>-6240</v>
      </c>
      <c r="AA339" s="66" t="n">
        <f aca="false">-AA332*Inputs!$D$39/12*1*(1+Inputs!$D$42)*(1+Inputs!$D$43)^(AA$233-1)</f>
        <v>-9734.4</v>
      </c>
      <c r="AB339" s="66" t="n">
        <f aca="false">-AB332*Inputs!$D$39/12*1*(1+Inputs!$D$42)*(1+Inputs!$D$43)^(AB$233-1)</f>
        <v>-9734.4</v>
      </c>
      <c r="AC339" s="66" t="n">
        <f aca="false">-AC332*Inputs!$D$39/12*1*(1+Inputs!$D$42)*(1+Inputs!$D$43)^(AC$233-1)</f>
        <v>-9734.4</v>
      </c>
      <c r="AD339" s="66" t="n">
        <f aca="false">-AD332*Inputs!$D$39/12*1*(1+Inputs!$D$42)*(1+Inputs!$D$43)^(AD$233-1)</f>
        <v>-9734.4</v>
      </c>
      <c r="AE339" s="66" t="n">
        <f aca="false">-AE332*Inputs!$D$39/12*1*(1+Inputs!$D$42)*(1+Inputs!$D$43)^(AE$233-1)</f>
        <v>-9734.4</v>
      </c>
      <c r="AF339" s="66" t="n">
        <f aca="false">-AF332*Inputs!$D$39/12*1*(1+Inputs!$D$42)*(1+Inputs!$D$43)^(AF$233-1)</f>
        <v>-9734.4</v>
      </c>
      <c r="AG339" s="66" t="n">
        <f aca="false">-AG332*Inputs!$D$39/12*1*(1+Inputs!$D$42)*(1+Inputs!$D$43)^(AG$233-1)</f>
        <v>-9734.4</v>
      </c>
      <c r="AH339" s="66" t="n">
        <f aca="false">-AH332*Inputs!$D$39/12*1*(1+Inputs!$D$42)*(1+Inputs!$D$43)^(AH$233-1)</f>
        <v>-9734.4</v>
      </c>
      <c r="AI339" s="66" t="n">
        <f aca="false">-AI332*Inputs!$D$39/12*1*(1+Inputs!$D$42)*(1+Inputs!$D$43)^(AI$233-1)</f>
        <v>-9734.4</v>
      </c>
      <c r="AJ339" s="66" t="n">
        <f aca="false">-AJ332*Inputs!$D$39/12*1*(1+Inputs!$D$42)*(1+Inputs!$D$43)^(AJ$233-1)</f>
        <v>-9734.4</v>
      </c>
      <c r="AK339" s="66" t="n">
        <f aca="false">-AK332*Inputs!$D$39/12*1*(1+Inputs!$D$42)*(1+Inputs!$D$43)^(AK$233-1)</f>
        <v>-9734.4</v>
      </c>
      <c r="AL339" s="66" t="n">
        <f aca="false">-AL332*Inputs!$D$39/12*1*(1+Inputs!$D$42)*(1+Inputs!$D$43)^(AL$233-1)</f>
        <v>-9734.4</v>
      </c>
    </row>
    <row r="340" customFormat="false" ht="15" hidden="false" customHeight="false" outlineLevel="0" collapsed="false">
      <c r="A340" s="111" t="s">
        <v>421</v>
      </c>
      <c r="C340" s="67" t="n">
        <f aca="false">C336+C337+C338+C339</f>
        <v>-61750</v>
      </c>
      <c r="D340" s="67" t="n">
        <f aca="false">D336+D337+D338+D339</f>
        <v>-61750</v>
      </c>
      <c r="E340" s="67" t="n">
        <f aca="false">E336+E337+E338+E339</f>
        <v>-61750</v>
      </c>
      <c r="F340" s="67" t="n">
        <f aca="false">F336+F337+F338+F339</f>
        <v>-61750</v>
      </c>
      <c r="G340" s="67" t="n">
        <f aca="false">G336+G337+G338+G339</f>
        <v>-61750</v>
      </c>
      <c r="H340" s="67" t="n">
        <f aca="false">H336+H337+H338+H339</f>
        <v>-61750</v>
      </c>
      <c r="I340" s="67" t="n">
        <f aca="false">I336+I337+I338+I339</f>
        <v>-61750</v>
      </c>
      <c r="J340" s="67" t="n">
        <f aca="false">J336+J337+J338+J339</f>
        <v>-61750</v>
      </c>
      <c r="K340" s="67" t="n">
        <f aca="false">K336+K337+K338+K339</f>
        <v>-61750</v>
      </c>
      <c r="L340" s="67" t="n">
        <f aca="false">L336+L337+L338+L339</f>
        <v>-61750</v>
      </c>
      <c r="M340" s="67" t="n">
        <f aca="false">M336+M337+M338+M339</f>
        <v>-61750</v>
      </c>
      <c r="N340" s="67" t="n">
        <f aca="false">N336+N337+N338+N339</f>
        <v>-61750</v>
      </c>
      <c r="O340" s="67" t="n">
        <f aca="false">O336+O337+O338+O339</f>
        <v>-96330</v>
      </c>
      <c r="P340" s="67" t="n">
        <f aca="false">P336+P337+P338+P339</f>
        <v>-96330</v>
      </c>
      <c r="Q340" s="67" t="n">
        <f aca="false">Q336+Q337+Q338+Q339</f>
        <v>-96330</v>
      </c>
      <c r="R340" s="67" t="n">
        <f aca="false">R336+R337+R338+R339</f>
        <v>-96330</v>
      </c>
      <c r="S340" s="67" t="n">
        <f aca="false">S336+S337+S338+S339</f>
        <v>-96330</v>
      </c>
      <c r="T340" s="67" t="n">
        <f aca="false">T336+T337+T338+T339</f>
        <v>-96330</v>
      </c>
      <c r="U340" s="67" t="n">
        <f aca="false">U336+U337+U338+U339</f>
        <v>-96330</v>
      </c>
      <c r="V340" s="67" t="n">
        <f aca="false">V336+V337+V338+V339</f>
        <v>-96330</v>
      </c>
      <c r="W340" s="67" t="n">
        <f aca="false">W336+W337+W338+W339</f>
        <v>-96330</v>
      </c>
      <c r="X340" s="67" t="n">
        <f aca="false">X336+X337+X338+X339</f>
        <v>-96330</v>
      </c>
      <c r="Y340" s="67" t="n">
        <f aca="false">Y336+Y337+Y338+Y339</f>
        <v>-96330</v>
      </c>
      <c r="Z340" s="67" t="n">
        <f aca="false">Z336+Z337+Z338+Z339</f>
        <v>-96330</v>
      </c>
      <c r="AA340" s="67" t="n">
        <f aca="false">AA336+AA337+AA338+AA339</f>
        <v>-150274.8</v>
      </c>
      <c r="AB340" s="67" t="n">
        <f aca="false">AB336+AB337+AB338+AB339</f>
        <v>-150274.8</v>
      </c>
      <c r="AC340" s="67" t="n">
        <f aca="false">AC336+AC337+AC338+AC339</f>
        <v>-150274.8</v>
      </c>
      <c r="AD340" s="67" t="n">
        <f aca="false">AD336+AD337+AD338+AD339</f>
        <v>-150274.8</v>
      </c>
      <c r="AE340" s="67" t="n">
        <f aca="false">AE336+AE337+AE338+AE339</f>
        <v>-150274.8</v>
      </c>
      <c r="AF340" s="67" t="n">
        <f aca="false">AF336+AF337+AF338+AF339</f>
        <v>-150274.8</v>
      </c>
      <c r="AG340" s="67" t="n">
        <f aca="false">AG336+AG337+AG338+AG339</f>
        <v>-150274.8</v>
      </c>
      <c r="AH340" s="67" t="n">
        <f aca="false">AH336+AH337+AH338+AH339</f>
        <v>-150274.8</v>
      </c>
      <c r="AI340" s="67" t="n">
        <f aca="false">AI336+AI337+AI338+AI339</f>
        <v>-150274.8</v>
      </c>
      <c r="AJ340" s="67" t="n">
        <f aca="false">AJ336+AJ337+AJ338+AJ339</f>
        <v>-150274.8</v>
      </c>
      <c r="AK340" s="67" t="n">
        <f aca="false">AK336+AK337+AK338+AK339</f>
        <v>-150274.8</v>
      </c>
      <c r="AL340" s="67" t="n">
        <f aca="false">AL336+AL337+AL338+AL339</f>
        <v>-150274.8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427</v>
      </c>
    </row>
    <row r="3" customFormat="false" ht="15" hidden="false" customHeight="false" outlineLevel="0" collapsed="false">
      <c r="A3" s="33" t="s">
        <v>428</v>
      </c>
      <c r="B3" s="33" t="s">
        <v>429</v>
      </c>
      <c r="C3" s="33" t="s">
        <v>430</v>
      </c>
    </row>
    <row r="4" customFormat="false" ht="15" hidden="false" customHeight="false" outlineLevel="0" collapsed="false">
      <c r="A4" s="6" t="s">
        <v>431</v>
      </c>
      <c r="B4" s="4" t="str">
        <f aca="false">IF(ABS(SUM('P&amp;L'!$B$5:$D$5)-SUM(Monthly!$C$24:$AL$24))&lt;0.5,"PASS","FAIL")</f>
        <v>PASS</v>
      </c>
      <c r="C4" s="18" t="s">
        <v>432</v>
      </c>
    </row>
    <row r="5" customFormat="false" ht="15" hidden="false" customHeight="false" outlineLevel="0" collapsed="false">
      <c r="A5" s="6" t="s">
        <v>433</v>
      </c>
      <c r="B5" s="4" t="str">
        <f aca="false">IF(ABS(SUM('P&amp;L'!$B$22:$D$22)-SUM(Monthly!$C$44:$AL$44))&lt;0.5,"PASS","FAIL")</f>
        <v>PASS</v>
      </c>
      <c r="C5" s="18" t="s">
        <v>434</v>
      </c>
    </row>
    <row r="6" customFormat="false" ht="15" hidden="false" customHeight="false" outlineLevel="0" collapsed="false">
      <c r="A6" s="6" t="s">
        <v>435</v>
      </c>
      <c r="B6" s="4" t="str">
        <f aca="false">IF(ABS(SUM(Monthly!$C$35:$AL$35)-SUM(Monthly!$C$26:$AL$26)-SUM(Monthly!$C$34:$AL$34))&lt;0.5,"PASS","FAIL")</f>
        <v>PASS</v>
      </c>
      <c r="C6" s="18" t="s">
        <v>436</v>
      </c>
    </row>
    <row r="7" customFormat="false" ht="15" hidden="false" customHeight="false" outlineLevel="0" collapsed="false">
      <c r="A7" s="6" t="s">
        <v>437</v>
      </c>
      <c r="B7" s="4" t="str">
        <f aca="false">IF(ABS(INDEX(Monthly!$C$76:$AL$76,36)-SUM(Monthly!$C$74:$AL$74))&lt;0.5,"PASS","FAIL")</f>
        <v>PASS</v>
      </c>
      <c r="C7" s="18" t="s">
        <v>438</v>
      </c>
    </row>
    <row r="8" customFormat="false" ht="15" hidden="false" customHeight="false" outlineLevel="0" collapsed="false">
      <c r="A8" s="6" t="s">
        <v>439</v>
      </c>
      <c r="B8" s="4" t="str">
        <f aca="false">IF(AND(ISNUMBER(Dashboard!B4),Dashboard!B4&gt;=1,Dashboard!B4&lt;=3,INT(Dashboard!B4)=Dashboard!B4),"PASS","FAIL")</f>
        <v>PASS</v>
      </c>
      <c r="C8" s="18" t="s">
        <v>440</v>
      </c>
    </row>
    <row r="9" customFormat="false" ht="15" hidden="false" customHeight="false" outlineLevel="0" collapsed="false">
      <c r="A9" s="6" t="s">
        <v>441</v>
      </c>
      <c r="B9" s="4" t="str">
        <f aca="false">IF(AND(Inputs!$B$7&lt;=Inputs!$C$7,Inputs!$C$7&lt;=Inputs!$D$7,Inputs!$B$8&lt;=Inputs!$C$8,Inputs!$C$8&lt;=Inputs!$D$8,Inputs!$B$9&lt;=Inputs!$C$9,Inputs!$C$9&lt;=Inputs!$D$9,Inputs!$B$10&gt;=Inputs!$C$10,Inputs!$C$10&gt;=Inputs!$D$10,Inputs!$B$11&lt;=Inputs!$C$11,Inputs!$C$11&lt;=Inputs!$D$11,Inputs!$B$12&lt;=Inputs!$C$12,Inputs!$C$12&lt;=Inputs!$D$12,Inputs!$B$13&lt;=Inputs!$C$13,Inputs!$C$13&lt;=Inputs!$D$13,Inputs!$B$16&gt;=Inputs!$C$16,Inputs!$C$16&gt;=Inputs!$D$16,Inputs!$B$18&gt;=Inputs!$C$18,Inputs!$C$18&gt;=Inputs!$D$18,Inputs!$B$19&gt;=Inputs!$C$19,Inputs!$C$19&gt;=Inputs!$D$19,Inputs!$B$26&lt;=Inputs!$C$26,Inputs!$C$26&lt;=Inputs!$D$26,Inputs!$B$28&lt;=Inputs!$C$28,Inputs!$C$28&lt;=Inputs!$D$28,Inputs!$B$30&lt;=Inputs!$C$30,Inputs!$C$30&lt;=Inputs!$D$30,Inputs!$B$32&lt;=Inputs!$C$32,Inputs!$C$32&lt;=Inputs!$D$32,Inputs!$B$34&lt;=Inputs!$C$34,Inputs!$C$34&lt;=Inputs!$D$34,Inputs!$B$36&lt;=Inputs!$C$36,Inputs!$C$36&lt;=Inputs!$D$36,Inputs!$B$38&lt;=Inputs!$C$38,Inputs!$C$38&lt;=Inputs!$D$38,Inputs!$B$40&lt;=Inputs!$C$40,Inputs!$C$40&lt;=Inputs!$D$40,Inputs!$B$64&gt;=Inputs!$C$64,Inputs!$C$64&gt;=Inputs!$D$64,Inputs!$B$65&lt;=Inputs!$C$65,Inputs!$C$65&lt;=Inputs!$D$65,Inputs!$B$66&lt;=Inputs!$C$66,Inputs!$C$66&lt;=Inputs!$D$66),"PASS","FAIL")</f>
        <v>PASS</v>
      </c>
      <c r="C9" s="18" t="s">
        <v>442</v>
      </c>
    </row>
    <row r="10" customFormat="false" ht="15" hidden="false" customHeight="false" outlineLevel="0" collapsed="false">
      <c r="A10" s="6" t="s">
        <v>443</v>
      </c>
      <c r="B10" s="4" t="str">
        <f aca="false">IF(AND(MIN('P&amp;L'!$B$8:$D$8)&gt;=0,MAX('P&amp;L'!$B$8:$D$8)&lt;=1),"PASS","FAIL")</f>
        <v>PASS</v>
      </c>
      <c r="C10" s="18" t="s">
        <v>444</v>
      </c>
    </row>
    <row r="11" customFormat="false" ht="15" hidden="false" customHeight="false" outlineLevel="0" collapsed="false">
      <c r="A11" s="6" t="s">
        <v>445</v>
      </c>
      <c r="B11" s="4" t="str">
        <f aca="false">IF(MIN(Monthly!$C$57:$AL$57)&gt;=-0.5,"PASS","FAIL")</f>
        <v>PASS</v>
      </c>
      <c r="C11" s="18" t="s">
        <v>446</v>
      </c>
    </row>
    <row r="12" customFormat="false" ht="15" hidden="false" customHeight="false" outlineLevel="0" collapsed="false">
      <c r="A12" s="6" t="s">
        <v>447</v>
      </c>
      <c r="B12" s="4" t="str">
        <f aca="false">IF(ABS('Break-even'!B18-('Break-even'!B16-'Break-even'!B10))&lt;0.5,"PASS","FAIL")</f>
        <v>PASS</v>
      </c>
      <c r="C12" s="18" t="s">
        <v>448</v>
      </c>
    </row>
    <row r="13" customFormat="false" ht="15" hidden="false" customHeight="false" outlineLevel="0" collapsed="false">
      <c r="A13" s="6" t="s">
        <v>449</v>
      </c>
      <c r="B13" s="4" t="str">
        <f aca="false">IF(ABS(Valuation!B23-NPV(Valuation!B6,Valuation!$B$17:$D$17))&lt;0.5,"PASS","FAIL")</f>
        <v>PASS</v>
      </c>
      <c r="C13" s="18" t="s">
        <v>450</v>
      </c>
    </row>
    <row r="14" customFormat="false" ht="15" hidden="false" customHeight="false" outlineLevel="0" collapsed="false">
      <c r="A14" s="6" t="s">
        <v>451</v>
      </c>
      <c r="B14" s="4" t="str">
        <f aca="false">IF(Valuation!B6&gt;Valuation!B7,"PASS","FAIL")</f>
        <v>PASS</v>
      </c>
      <c r="C14" s="18" t="s">
        <v>452</v>
      </c>
    </row>
    <row r="15" customFormat="false" ht="15" hidden="false" customHeight="false" outlineLevel="0" collapsed="false">
      <c r="A15" s="6" t="s">
        <v>453</v>
      </c>
      <c r="B15" s="4" t="str">
        <f aca="false">IF(ABS(Valuation!D36-Valuation!B27)&lt;0.5,"PASS","FAIL")</f>
        <v>PASS</v>
      </c>
      <c r="C15" s="18" t="s">
        <v>454</v>
      </c>
    </row>
    <row r="16" customFormat="false" ht="15" hidden="false" customHeight="false" outlineLevel="0" collapsed="false">
      <c r="A16" s="6" t="s">
        <v>455</v>
      </c>
      <c r="B16" s="4" t="str">
        <f aca="false">IF(Valuation!$D$17&gt;0,"PASS","WARN")</f>
        <v>WARN</v>
      </c>
      <c r="C16" s="18" t="s">
        <v>456</v>
      </c>
    </row>
    <row r="17" customFormat="false" ht="15" hidden="false" customHeight="false" outlineLevel="0" collapsed="false">
      <c r="A17" s="6" t="s">
        <v>457</v>
      </c>
      <c r="B17" s="4" t="str">
        <f aca="false">IF(ABS('Sources &amp; Uses'!B21-'Sources &amp; Uses'!B28)&lt;0.5,"PASS","FAIL")</f>
        <v>PASS</v>
      </c>
      <c r="C17" s="18" t="s">
        <v>458</v>
      </c>
    </row>
    <row r="18" customFormat="false" ht="15" hidden="false" customHeight="false" outlineLevel="0" collapsed="false">
      <c r="A18" s="6" t="s">
        <v>459</v>
      </c>
      <c r="B18" s="4" t="str">
        <f aca="false">IF(SUMPRODUCT(--ISERROR(Monthly!$C$4:$AL$98))+SUMPRODUCT(--ISERROR(Headcount!$C$4:$AL$19))+SUMPRODUCT(--ISERROR('P&amp;L'!$B$3:$D$23))+SUMPRODUCT(--ISERROR('Cash Flow'!$B$3:$D$19))+SUMPRODUCT(--ISERROR('Balance Sheet'!$B$3:$D$18))+SUMPRODUCT(--ISERROR(KPIs!$B$27:$D$46))+SUMPRODUCT(--ISERROR('Break-even'!$B$26:$D$33))+SUMPRODUCT(--ISERROR(Valuation!$B$14:$D$19))+SUMPRODUCT(--ISERROR('Break-even'!$B$3:$D$35))+SUMPRODUCT(--ISERROR(Valuation!$A$3:$F$40))+SUMPRODUCT(--ISERROR('Sources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Uses'!$B$3:$C$30))+SUMPRODUCT(--ISERROR(Dashboard!$A$6:$W$43))+SUMPRODUCT(--ISERROR(Summary!$A$5:$S$53))+SUMPRODUCT(--ISERROR(KPIs!$A$4:$E$46))+SUMPRODUCT(--ISERROR('Scenario calc'!$C$6:$AL$114))+SUMPRODUCT(--ISERROR('Scenario calc'!$C$119:$AL$227))+SUMPRODUCT(--ISERROR('Scenario calc'!$C$232:$AL$340))+SUMPRODUCT(--ISERROR(Scenarios!$B$5:$E$50))=0,"PASS","FAIL")</f>
        <v>PASS</v>
      </c>
      <c r="C18" s="18" t="s">
        <v>460</v>
      </c>
    </row>
    <row r="19" customFormat="false" ht="15" hidden="false" customHeight="false" outlineLevel="0" collapsed="false">
      <c r="A19" s="6" t="s">
        <v>461</v>
      </c>
      <c r="B19" s="4" t="str">
        <f aca="false">IF(IFERROR(AND(SUMPRODUCT(--(ABS(Summary!$B$7:$D$7-'P&amp;L'!$B$5:$D$5)&gt;0.5))=0,SUMPRODUCT(--(ABS(Summary!$B$19:$D$19-'P&amp;L'!$B$22:$D$22)&gt;0.5))=0,SUMPRODUCT(--(ABS(Summary!$B$31:$D$31-'Cash Flow'!$B$19:$D$19)&gt;0.5))=0,SUMPRODUCT(--(ABS(Summary!$B$41:$D$41-'Balance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462</v>
      </c>
    </row>
    <row r="20" customFormat="false" ht="15" hidden="false" customHeight="false" outlineLevel="0" collapsed="false">
      <c r="A20" s="6" t="s">
        <v>463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464</v>
      </c>
    </row>
    <row r="21" customFormat="false" ht="15" hidden="false" customHeight="false" outlineLevel="0" collapsed="false">
      <c r="A21" s="6" t="s">
        <v>465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466</v>
      </c>
    </row>
    <row r="22" customFormat="false" ht="15" hidden="false" customHeight="false" outlineLevel="0" collapsed="false">
      <c r="A22" s="6" t="s">
        <v>467</v>
      </c>
      <c r="B22" s="4" t="str">
        <f aca="false">IF(SUMPRODUCT(--(ABS(Monthly!$C$98:$AL$98)&gt;0.5))=0,"PASS","FAIL")</f>
        <v>PASS</v>
      </c>
      <c r="C22" s="18" t="s">
        <v>468</v>
      </c>
    </row>
    <row r="23" customFormat="false" ht="15" hidden="false" customHeight="false" outlineLevel="0" collapsed="false">
      <c r="A23" s="6" t="s">
        <v>469</v>
      </c>
      <c r="B23" s="4" t="str">
        <f aca="false">IF(MIN(Monthly!$C$76:$AL$76)&gt;=0,"PASS","WARN")</f>
        <v>PASS</v>
      </c>
      <c r="C23" s="18" t="s">
        <v>470</v>
      </c>
    </row>
    <row r="25" customFormat="false" ht="15" hidden="false" customHeight="false" outlineLevel="0" collapsed="false">
      <c r="A25" s="69" t="s">
        <v>471</v>
      </c>
      <c r="B25" s="69" t="str">
        <f aca="false">IF(COUNTIF(B4:B23,"FAIL")&gt;0,"FAIL",IF(COUNTIF(B4:B23,"WARN")&gt;0,"PASS WITH WARNINGS","PASS"))</f>
        <v>PASS WITH WARNINGS</v>
      </c>
      <c r="C25" s="121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2026-10-22T13:57:49Z</dcterms:created>
  <dc:creator/>
  <dc:description/>
  <dc:language>en-US</dc:language>
  <cp:lastModifiedBy/>
  <dcterms:modified xsi:type="dcterms:W3CDTF">2026-10-22T13:57:50Z</dcterms:modified>
  <cp:revision>0</cp:revision>
  <dc:subject/>
  <dc:title>SaaS financial model (early)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