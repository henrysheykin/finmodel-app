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<sst xmlns="http://schemas.openxmlformats.org/spreadsheetml/2006/main" count="1242" uniqueCount="505">
  <si>
    <t xml:space="preserve">Car wash financial model (planning)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</si>
  <si>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</si>
  <si>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</si>
  <si>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</si>
  <si>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</si>
  <si>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</si>
  <si>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</si>
  <si>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</si>
  <si>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</si>
  <si>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</si>
  <si>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</si>
  <si>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</si>
  <si>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</si>
  <si>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</si>
  <si>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</si>
  <si>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</si>
  <si>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</si>
  <si>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</si>
  <si>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</si>
  <si>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</si>
  <si>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</si>
  <si>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</si>
  <si>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</si>
  <si>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</si>
  <si>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</si>
  <si>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</si>
  <si>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</si>
  <si>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</si>
  <si>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</si>
  <si>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</si>
  <si>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</si>
  <si>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</si>
  <si>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</si>
  <si>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</si>
  <si>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</si>
  <si>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</si>
  <si>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</si>
  <si>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</si>
  <si>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</si>
  <si>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</si>
  <si>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</si>
  <si>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</si>
  <si>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</si>
  <si>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</si>
  <si>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</si>
  <si>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</si>
  <si>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</si>
  <si>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</si>
  <si>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</si>
  <si>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</si>
  <si>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</si>
  <si>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</si>
  <si>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</si>
  <si>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</si>
  <si>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</si>
  <si>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</si>
  <si>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</si>
  <si>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Car wash metrics</t>
  </si>
  <si>
    <t xml:space="preserve">Unlimited members (year end)</t>
  </si>
  <si>
    <t xml:space="preserve">Washes per operating day</t>
  </si>
  <si>
    <t xml:space="preserve">Tunnel capacity used</t>
  </si>
  <si>
    <t xml:space="preserve">Revenue per wash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</si>
  <si>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</si>
  <si>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</si>
  <si>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</si>
  <si>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</si>
  <si>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</si>
  <si>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</si>
  <si>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</si>
  <si>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</si>
  <si>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</si>
  <si>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</si>
  <si>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</si>
  <si>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</si>
  <si>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</si>
  <si>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</si>
  <si>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</si>
  <si>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</si>
  <si>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</si>
  <si>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</si>
  <si>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</si>
  <si>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</si>
  <si>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</si>
  <si>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</si>
  <si>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</si>
  <si>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</si>
  <si>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</si>
  <si>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</si>
  <si>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</si>
  <si>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</si>
  <si>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</si>
  <si>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</si>
  <si>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</si>
  <si>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</si>
  <si>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</si>
  <si>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</si>
  <si>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</si>
  <si>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</si>
  <si>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</si>
  <si>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</si>
  <si>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</si>
  <si>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</si>
  <si>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</si>
  <si>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</si>
  <si>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</si>
  <si>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</si>
  <si>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</si>
  <si>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</si>
  <si>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</si>
  <si>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Retail cars per operating day at maturity (year 1) (cars)</t>
  </si>
  <si>
    <t xml:space="preserve">Average price per retail wash (year 1) ($)</t>
  </si>
  <si>
    <t xml:space="preserve">Unlimited members at start (presale or current base) (#)</t>
  </si>
  <si>
    <t xml:space="preserve">Unlimited plan fee per member per month (year 1) ($)</t>
  </si>
  <si>
    <t xml:space="preserve">Members who cancel per month (%)</t>
  </si>
  <si>
    <t xml:space="preserve">Site lease or land cost per month ($)</t>
  </si>
  <si>
    <t xml:space="preserve">Tunnel equipment (month 1)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</si>
  <si>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</si>
  <si>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</si>
  <si>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</si>
  <si>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</si>
  <si>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</si>
  <si>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</si>
  <si>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</si>
  <si>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</si>
  <si>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</si>
  <si>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</si>
  <si>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</si>
  <si>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</si>
  <si>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</si>
  <si>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</si>
  <si>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</si>
  <si>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</si>
  <si>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</si>
  <si>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</si>
  <si>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</si>
  <si>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</si>
  <si>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</si>
  <si>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</si>
  <si>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</si>
  <si>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</si>
  <si>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</si>
  <si>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</si>
  <si>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</si>
  <si>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</si>
  <si>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</si>
  <si>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</si>
  <si>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</si>
  <si>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</si>
  <si>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</si>
  <si>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</si>
  <si>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</si>
  <si>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</si>
  <si>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</si>
  <si>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</si>
  <si>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</si>
  <si>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</si>
  <si>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</si>
  <si>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</si>
  <si>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</si>
  <si>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</si>
  <si>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</si>
  <si>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</si>
  <si>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</si>
  <si>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</si>
  <si>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</si>
  <si>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</si>
  <si>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</si>
  <si>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</si>
  <si>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</si>
  <si>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</si>
  <si>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</si>
  <si>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</si>
  <si>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</si>
  <si>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</si>
  <si>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</si>
  <si>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</si>
  <si>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</si>
  <si>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</si>
  <si>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</si>
  <si>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</si>
  <si>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</si>
  <si>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</si>
  <si>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</si>
  <si>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</si>
  <si>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</si>
  <si>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</si>
  <si>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</si>
  <si>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</si>
  <si>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</si>
  <si>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</si>
  <si>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</si>
  <si>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</si>
  <si>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</si>
  <si>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</si>
  <si>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</si>
  <si>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</si>
  <si>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</si>
  <si>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</si>
  <si>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</si>
  <si>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</si>
  <si>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</si>
  <si>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</si>
  <si>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</si>
  <si>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</si>
  <si>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</si>
  <si>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</si>
  <si>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</si>
  <si>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</si>
  <si>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</si>
  <si>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</si>
  <si>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</si>
  <si>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</si>
  <si>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</si>
  <si>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</si>
  <si>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</si>
  <si>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Car wash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</si>
  <si>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</si>
  <si>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</si>
  <si>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</si>
  <si>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</si>
  <si>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</si>
  <si>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</si>
  <si>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</si>
  <si>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</si>
  <si>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</si>
  <si>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</si>
  <si>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</si>
  <si>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</si>
  <si>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</si>
  <si>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</si>
  <si>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</si>
  <si>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Car wash metrics ($'000; per-unit rows in $)</t>
  </si>
  <si>
    <t xml:space="preserve">New members in the year</t>
  </si>
  <si>
    <t xml:space="preserve">Members who cancelled in the year</t>
  </si>
  <si>
    <t xml:space="preserve">Members who cancel per month</t>
  </si>
  <si>
    <t xml:space="preserve">Washes in the year</t>
  </si>
  <si>
    <t xml:space="preserve">Retail cars washed</t>
  </si>
  <si>
    <t xml:space="preserve">Member washes</t>
  </si>
  <si>
    <t xml:space="preserve">Member share of washes</t>
  </si>
  <si>
    <t xml:space="preserve">Tunnel capacity (washes)</t>
  </si>
  <si>
    <t xml:space="preserve">Washes lost to the capacity limit</t>
  </si>
  <si>
    <t xml:space="preserve">Unlimited plan fees</t>
  </si>
  <si>
    <t xml:space="preserve">Retail wash &amp; add-on revenue</t>
  </si>
  <si>
    <t xml:space="preserve">Plan fees share of revenue</t>
  </si>
  <si>
    <t xml:space="preserve">Revenue per wash ($)</t>
  </si>
  <si>
    <t xml:space="preserve">Plan fee revenue per member wash ($)</t>
  </si>
  <si>
    <t xml:space="preserve">Chemicals, water &amp; electricity</t>
  </si>
  <si>
    <t xml:space="preserve">Chemicals, water &amp; electricity per wash ($)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</si>
  <si>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</si>
  <si>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</si>
  <si>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</si>
  <si>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</si>
  <si>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Retail volume</t>
  </si>
  <si>
    <t xml:space="preserve">Retail cars per operating day at maturity (year 1)</t>
  </si>
  <si>
    <t xml:space="preserve">cars</t>
  </si>
  <si>
    <t xml:space="preserve">Low ≤ Base ≤ High</t>
  </si>
  <si>
    <t xml:space="preserve">Retail cars growth per year</t>
  </si>
  <si>
    <t xml:space="preserve">%</t>
  </si>
  <si>
    <t xml:space="preserve">Operating days per month</t>
  </si>
  <si>
    <t xml:space="preserve">days</t>
  </si>
  <si>
    <t xml:space="preserve">Months to reach mature retail volume (0 = already mature)</t>
  </si>
  <si>
    <t xml:space="preserve">months</t>
  </si>
  <si>
    <t xml:space="preserve">Low ≥ Base ≥ High (lower is better)</t>
  </si>
  <si>
    <t xml:space="preserve">Retail volume in month 1, % of mature</t>
  </si>
  <si>
    <t xml:space="preserve">Winter volume dip, December-February (monthly models)</t>
  </si>
  <si>
    <t xml:space="preserve">Tunnel capacity</t>
  </si>
  <si>
    <t xml:space="preserve">Rated tunnel speed</t>
  </si>
  <si>
    <t xml:space="preserve">cars/hour</t>
  </si>
  <si>
    <t xml:space="preserve">Hours open per day</t>
  </si>
  <si>
    <t xml:space="preserve">hours</t>
  </si>
  <si>
    <t xml:space="preserve">Practical throughput, % of rated speed over open hours</t>
  </si>
  <si>
    <t xml:space="preserve">Unlimited members</t>
  </si>
  <si>
    <t xml:space="preserve">Unlimited members at start (presale or current base)</t>
  </si>
  <si>
    <t xml:space="preserve">#</t>
  </si>
  <si>
    <t xml:space="preserve">Direct sign-ups per month at maturity (year 1)</t>
  </si>
  <si>
    <t xml:space="preserve">Direct sign-ups growth per year</t>
  </si>
  <si>
    <t xml:space="preserve">Retail cars that sign up for an unlimited plan</t>
  </si>
  <si>
    <t xml:space="preserve">Washes per member per month</t>
  </si>
  <si>
    <t xml:space="preserve">washes</t>
  </si>
  <si>
    <t xml:space="preserve">Prices</t>
  </si>
  <si>
    <t xml:space="preserve">Average price per retail wash (year 1)</t>
  </si>
  <si>
    <t xml:space="preserve">$</t>
  </si>
  <si>
    <t xml:space="preserve">Add-on revenue per retail car (wax, ceramic, tire shine)</t>
  </si>
  <si>
    <t xml:space="preserve">Unlimited plan fee per member per month (year 1)</t>
  </si>
  <si>
    <t xml:space="preserve">Price increase per year</t>
  </si>
  <si>
    <t xml:space="preserve">Variable cost per wash</t>
  </si>
  <si>
    <t xml:space="preserve">Chemicals per wash</t>
  </si>
  <si>
    <t xml:space="preserve">Fresh water per wash (after reclaim)</t>
  </si>
  <si>
    <t xml:space="preserve">gallons</t>
  </si>
  <si>
    <t xml:space="preserve">Water and sewer rate per 1,000 gallons</t>
  </si>
  <si>
    <t xml:space="preserve">Electricity per wash</t>
  </si>
  <si>
    <t xml:space="preserve">Card processing fees, % of revenue</t>
  </si>
  <si>
    <t xml:space="preserve">Cost increase per year (per-wash costs, maintenance, other)</t>
  </si>
  <si>
    <t xml:space="preserve">Site costs</t>
  </si>
  <si>
    <t xml:space="preserve">Site lease or land cost per month</t>
  </si>
  <si>
    <t xml:space="preserve">Lease increase per year</t>
  </si>
  <si>
    <t xml:space="preserve">Equipment maintenance &amp; repairs per month</t>
  </si>
  <si>
    <t xml:space="preserve">Insurance, property tax, software &amp; other G&amp;A per month</t>
  </si>
  <si>
    <t xml:space="preserve">Marketing budget per month (year 1)</t>
  </si>
  <si>
    <t xml:space="preserve">Marketing budget growth per year</t>
  </si>
  <si>
    <t xml:space="preserve">Tunnel equipment (month 1)</t>
  </si>
  <si>
    <t xml:space="preserve">Building &amp; site works (month 1)</t>
  </si>
  <si>
    <t xml:space="preserve">Pay stations, signage &amp; vacuums (month 1)</t>
  </si>
  <si>
    <t xml:space="preserve">Land purchase (month 1; never depreciated, 0 = leased site)</t>
  </si>
  <si>
    <t xml:space="preserve">Equipment refresh &amp; upgrades per year (from year 2)</t>
  </si>
  <si>
    <t xml:space="preserve">Headcount</t>
  </si>
  <si>
    <t xml:space="preserve">Site manager: headcount (FTE)</t>
  </si>
  <si>
    <t xml:space="preserve">FTE</t>
  </si>
  <si>
    <t xml:space="preserve">Site manager: salary per FTE per year</t>
  </si>
  <si>
    <t xml:space="preserve">Site manager: headcount growth per year</t>
  </si>
  <si>
    <t xml:space="preserve">Site manager: first month on payroll</t>
  </si>
  <si>
    <t xml:space="preserve">month #</t>
  </si>
  <si>
    <t xml:space="preserve">Wash attendants &amp; customer service: headcount (FTE)</t>
  </si>
  <si>
    <t xml:space="preserve">Wash attendants &amp; customer service: salary per FTE per year</t>
  </si>
  <si>
    <t xml:space="preserve">Wash attendants &amp; customer service: headcount growth per year</t>
  </si>
  <si>
    <t xml:space="preserve">Wash attendants &amp; customer service: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</si>
  <si>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</si>
  <si>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</si>
  <si>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</si>
  <si>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</si>
  <si>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</si>
  <si>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</si>
  <si>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</si>
  <si>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</si>
  <si>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</si>
  <si>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</si>
  <si>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</si>
  <si>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</si>
  <si>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</si>
  <si>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</si>
  <si>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</si>
  <si>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</si>
  <si>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</si>
  <si>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</si>
  <si>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</si>
  <si>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</si>
  <si>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</si>
  <si>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</si>
  <si>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</si>
  <si>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</si>
  <si>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Site payroll</t>
  </si>
  <si>
    <t xml:space="preserve">Site lease or land cost</t>
  </si>
  <si>
    <t xml:space="preserve">Equipment maintenance &amp; repairs</t>
  </si>
  <si>
    <t xml:space="preserve">Insurance, property tax, software &amp; other</t>
  </si>
  <si>
    <t xml:space="preserve">Marketing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</si>
  <si>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</si>
  <si>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</si>
  <si>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</si>
  <si>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</si>
  <si>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</si>
  <si>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</si>
  <si>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</si>
  <si>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</si>
  <si>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</si>
  <si>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</si>
  <si>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</si>
  <si>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</si>
  <si>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</si>
  <si>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</si>
  <si>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</si>
  <si>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</si>
  <si>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</si>
  <si>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</si>
  <si>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</si>
  <si>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</si>
  <si>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</si>
  <si>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</si>
  <si>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</si>
  <si>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</si>
  <si>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</si>
  <si>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</si>
  <si>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</si>
  <si>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</si>
  <si>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</si>
  <si>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</si>
  <si>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</si>
  <si>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</si>
  <si>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</si>
  <si>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</si>
  <si>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</si>
  <si>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</si>
  <si>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</si>
  <si>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</si>
  <si>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</si>
  <si>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</si>
  <si>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</si>
  <si>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</si>
  <si>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</si>
  <si>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</si>
  <si>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</si>
  <si>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</si>
  <si>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Volume</t>
  </si>
  <si>
    <t xml:space="preserve">Helper: months of the period still on the ramp-up</t>
  </si>
  <si>
    <t xml:space="preserve">Ramp-up factor (share of mature retail volume)</t>
  </si>
  <si>
    <t xml:space="preserve">Season factor (winter dip)</t>
  </si>
  <si>
    <t xml:space="preserve">Retail cars demanded</t>
  </si>
  <si>
    <t xml:space="preserve">Members</t>
  </si>
  <si>
    <t xml:space="preserve">New members from retail cars</t>
  </si>
  <si>
    <t xml:space="preserve">New members from direct sign-ups</t>
  </si>
  <si>
    <t xml:space="preserve">New members - total</t>
  </si>
  <si>
    <t xml:space="preserve">Members - opening</t>
  </si>
  <si>
    <t xml:space="preserve">Members who cancelled</t>
  </si>
  <si>
    <t xml:space="preserve">Members - closing</t>
  </si>
  <si>
    <t xml:space="preserve">Members - average</t>
  </si>
  <si>
    <t xml:space="preserve">Washes</t>
  </si>
  <si>
    <t xml:space="preserve">Member washes demanded</t>
  </si>
  <si>
    <t xml:space="preserve">Tunnel capacity (rated speed × hours × practical share × days)</t>
  </si>
  <si>
    <t xml:space="preserve">Share of demand the tunnel can wash</t>
  </si>
  <si>
    <t xml:space="preserve">Washes - total</t>
  </si>
  <si>
    <t xml:space="preserve">Average price per retail wash</t>
  </si>
  <si>
    <t xml:space="preserve">Unlimited plan fee per month</t>
  </si>
  <si>
    <t xml:space="preserve">Retail wash revenue</t>
  </si>
  <si>
    <t xml:space="preserve">Add-on revenue</t>
  </si>
  <si>
    <t xml:space="preserve">Chemicals</t>
  </si>
  <si>
    <t xml:space="preserve">Water &amp; sewer</t>
  </si>
  <si>
    <t xml:space="preserve">Electricity</t>
  </si>
  <si>
    <t xml:space="preserve">Card processing fees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</si>
  <si>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</si>
  <si>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</si>
  <si>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</si>
  <si>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</si>
  <si>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</si>
  <si>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Tunnel equipment</t>
  </si>
  <si>
    <t xml:space="preserve">Building &amp; site works</t>
  </si>
  <si>
    <t xml:space="preserve">Pay stations, signage &amp; vacuums</t>
  </si>
  <si>
    <t xml:space="preserve">Land (not depreciated)</t>
  </si>
  <si>
    <t xml:space="preserve">Equipment refresh &amp; upgrades (first period of each year from year 2)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</si>
  <si>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</si>
  <si>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</si>
  <si>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</si>
  <si>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</si>
  <si>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</si>
  <si>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</si>
  <si>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</si>
  <si>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</si>
  <si>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</si>
  <si>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</si>
  <si>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</si>
  <si>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</si>
  <si>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</si>
  <si>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</si>
  <si>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</si>
  <si>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</si>
  <si>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</si>
  <si>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</si>
  <si>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</si>
  <si>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</si>
  <si>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</si>
  <si>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Site manager — FTE</t>
  </si>
  <si>
    <t xml:space="preserve">Wash attendants &amp; customer service — FTE</t>
  </si>
  <si>
    <t xml:space="preserve">Total FTE</t>
  </si>
  <si>
    <t xml:space="preserve">Payroll cost (salary + taxes &amp; benefits)</t>
  </si>
  <si>
    <t xml:space="preserve">Site manager — payroll cost</t>
  </si>
  <si>
    <t xml:space="preserve">Wash attendants &amp; customer service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</si>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</sst>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#,##0;\(#,##0\);\-"/>
    <numFmt numFmtId="186" formatCode="0.0%;\(0.0%\);\-"/>
    <numFmt numFmtId="187" formatCode="\$#,##0;&quot;($&quot;#,##0\);\-"/>
    <numFmt numFmtId="188" formatCode="0"/>
    <numFmt numFmtId="189" formatCode="0.0\x"/>
    <numFmt numFmtId="190" formatCode="0.000"/>
    <numFmt numFmtId="191" formatCode="0.0\x;\(0.0&quot;x)&quot;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1180182.39164623</c:v>
                </c:pt>
                <c:pt idx="1">
                  <c:v>1846649.01829223</c:v>
                </c:pt>
                <c:pt idx="2">
                  <c:v>2170291.60192013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-123279.207270295</c:v>
                </c:pt>
                <c:pt idx="1">
                  <c:v>428309.8222885</c:v>
                </c:pt>
                <c:pt idx="2">
                  <c:v>682326.815321617</c:v>
                </c:pt>
              </c:numCache>
            </c:numRef>
          </c:val>
        </c:ser>
        <c:gapWidth val="60"/>
        <c:overlap val="0"/>
        <c:axId val="49292316"/>
        <c:axId val="38254216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-0.104457758515049</c:v>
                </c:pt>
                <c:pt idx="1">
                  <c:v>0.231938943484019</c:v>
                </c:pt>
                <c:pt idx="2">
                  <c:v>0.314394072537506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962742"/>
        <c:axId val="34307152"/>
      </c:lineChart>
      <c:catAx>
        <c:axId val="4929231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254216"/>
        <c:crosses val="autoZero"/>
        <c:auto val="1"/>
        <c:lblAlgn val="ctr"/>
        <c:lblOffset val="100"/>
        <c:noMultiLvlLbl val="0"/>
      </c:catAx>
      <c:valAx>
        <c:axId val="3825421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292316"/>
        <c:crosses val="autoZero"/>
        <c:crossBetween val="between"/>
      </c:valAx>
      <c:catAx>
        <c:axId val="7396274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307152"/>
        <c:crosses val="autoZero"/>
        <c:auto val="1"/>
        <c:lblAlgn val="ctr"/>
        <c:lblOffset val="100"/>
        <c:noMultiLvlLbl val="0"/>
      </c:catAx>
      <c:valAx>
        <c:axId val="343071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96274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-367780.63594592</c:v>
                </c:pt>
                <c:pt idx="1">
                  <c:v>209654.47468913</c:v>
                </c:pt>
                <c:pt idx="2">
                  <c:v>489150.476090791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-4100000</c:v>
                </c:pt>
                <c:pt idx="1">
                  <c:v>-40000</c:v>
                </c:pt>
                <c:pt idx="2">
                  <c:v>-40000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4825000</c:v>
                </c:pt>
                <c:pt idx="1">
                  <c:v>-300000</c:v>
                </c:pt>
                <c:pt idx="2">
                  <c:v>-300000</c:v>
                </c:pt>
              </c:numCache>
            </c:numRef>
          </c:val>
        </c:ser>
        <c:gapWidth val="60"/>
        <c:overlap val="0"/>
        <c:axId val="43060397"/>
        <c:axId val="96120078"/>
      </c:barChart>
      <c:catAx>
        <c:axId val="4306039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120078"/>
        <c:crosses val="autoZero"/>
        <c:auto val="1"/>
        <c:lblAlgn val="ctr"/>
        <c:lblOffset val="100"/>
        <c:noMultiLvlLbl val="0"/>
      </c:catAx>
      <c:valAx>
        <c:axId val="9612007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0603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357219.364054081</c:v>
                </c:pt>
                <c:pt idx="1">
                  <c:v>226873.838743211</c:v>
                </c:pt>
                <c:pt idx="2">
                  <c:v>376024.314834002</c:v>
                </c:pt>
              </c:numCache>
            </c:numRef>
          </c:val>
        </c:ser>
        <c:gapWidth val="60"/>
        <c:overlap val="0"/>
        <c:axId val="67620348"/>
        <c:axId val="26490245"/>
      </c:barChart>
      <c:catAx>
        <c:axId val="6762034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6490245"/>
        <c:crosses val="autoZero"/>
        <c:auto val="1"/>
        <c:lblAlgn val="ctr"/>
        <c:lblOffset val="100"/>
        <c:noMultiLvlLbl val="0"/>
      </c:catAx>
      <c:valAx>
        <c:axId val="2649024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620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Washes per day &amp; tunnel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Dashboard!$A$29</c:f>
              <c:strCache>
                <c:ptCount val="1"/>
                <c:pt idx="0">
                  <c:v>Washes per operating day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#,##0;\(#,##0\);\-</c:formatCode>
                <c:ptCount val="3"/>
                <c:pt idx="0">
                  <c:v>255.65215282268</c:v>
                </c:pt>
                <c:pt idx="1">
                  <c:v>409.628713955018</c:v>
                </c:pt>
                <c:pt idx="2">
                  <c:v>485.277205819681</c:v>
                </c:pt>
              </c:numCache>
            </c:numRef>
          </c:val>
        </c:ser>
        <c:gapWidth val="60"/>
        <c:overlap val="0"/>
        <c:axId val="97575752"/>
        <c:axId val="23045537"/>
      </c:barChart>
      <c:lineChart>
        <c:grouping val="standard"/>
        <c:varyColors val="0"/>
        <c:ser>
          <c:idx val="1"/>
          <c:order val="1"/>
          <c:tx>
            <c:strRef>
              <c:f>Dashboard!$A$30</c:f>
              <c:strCache>
                <c:ptCount val="1"/>
                <c:pt idx="0">
                  <c:v>Tunnel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Dashboard!$B$30:$D$30</c:f>
              <c:numCache>
                <c:formatCode>0.0%;\(0.0%\);\-</c:formatCode>
                <c:ptCount val="3"/>
                <c:pt idx="0">
                  <c:v>0.301832529896906</c:v>
                </c:pt>
                <c:pt idx="1">
                  <c:v>0.483623038907931</c:v>
                </c:pt>
                <c:pt idx="2">
                  <c:v>0.572936488571052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531875"/>
        <c:axId val="84768060"/>
      </c:lineChart>
      <c:catAx>
        <c:axId val="9757575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045537"/>
        <c:crosses val="autoZero"/>
        <c:auto val="1"/>
        <c:lblAlgn val="ctr"/>
        <c:lblOffset val="100"/>
        <c:noMultiLvlLbl val="0"/>
      </c:catAx>
      <c:valAx>
        <c:axId val="2304553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575752"/>
        <c:crosses val="autoZero"/>
        <c:crossBetween val="between"/>
      </c:valAx>
      <c:catAx>
        <c:axId val="1853187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768060"/>
        <c:crosses val="autoZero"/>
        <c:auto val="1"/>
        <c:lblAlgn val="ctr"/>
        <c:lblOffset val="100"/>
        <c:noMultiLvlLbl val="0"/>
      </c:catAx>
      <c:valAx>
        <c:axId val="8476806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53187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47943.358</c:v>
                </c:pt>
                <c:pt idx="1">
                  <c:v>54448.9359022222</c:v>
                </c:pt>
                <c:pt idx="2">
                  <c:v>72773.4017994667</c:v>
                </c:pt>
                <c:pt idx="3">
                  <c:v>81051.8988385991</c:v>
                </c:pt>
                <c:pt idx="4">
                  <c:v>89490.2764406107</c:v>
                </c:pt>
                <c:pt idx="5">
                  <c:v>98082.1393829863</c:v>
                </c:pt>
                <c:pt idx="6">
                  <c:v>106821.348252111</c:v>
                </c:pt>
                <c:pt idx="7">
                  <c:v>115702.009210916</c:v>
                </c:pt>
                <c:pt idx="8">
                  <c:v>124718.464175812</c:v>
                </c:pt>
                <c:pt idx="9">
                  <c:v>133865.281386558</c:v>
                </c:pt>
                <c:pt idx="10">
                  <c:v>136545.550131095</c:v>
                </c:pt>
                <c:pt idx="11">
                  <c:v>118739.728125852</c:v>
                </c:pt>
              </c:numCache>
            </c:numRef>
          </c:val>
        </c:ser>
        <c:gapWidth val="60"/>
        <c:overlap val="0"/>
        <c:axId val="10394451"/>
        <c:axId val="44299422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-52715.2544125667</c:v>
                </c:pt>
                <c:pt idx="1">
                  <c:v>-47169.179570764</c:v>
                </c:pt>
                <c:pt idx="2">
                  <c:v>-31890.1001241627</c:v>
                </c:pt>
                <c:pt idx="3">
                  <c:v>-24896.4647094518</c:v>
                </c:pt>
                <c:pt idx="4">
                  <c:v>-17775.1087070848</c:v>
                </c:pt>
                <c:pt idx="5">
                  <c:v>-10531.1409405681</c:v>
                </c:pt>
                <c:pt idx="6">
                  <c:v>-3169.46588046759</c:v>
                </c:pt>
                <c:pt idx="7">
                  <c:v>4305.20818147335</c:v>
                </c:pt>
                <c:pt idx="8">
                  <c:v>11888.3612851811</c:v>
                </c:pt>
                <c:pt idx="9">
                  <c:v>19575.654268985</c:v>
                </c:pt>
                <c:pt idx="10">
                  <c:v>21716.7869555589</c:v>
                </c:pt>
                <c:pt idx="11">
                  <c:v>7381.49638357262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-102437.476634789</c:v>
                </c:pt>
                <c:pt idx="1">
                  <c:v>-96802.8601263196</c:v>
                </c:pt>
                <c:pt idx="2">
                  <c:v>-81346.6973463849</c:v>
                </c:pt>
                <c:pt idx="3">
                  <c:v>-74175.9785983407</c:v>
                </c:pt>
                <c:pt idx="4">
                  <c:v>-66877.5392626404</c:v>
                </c:pt>
                <c:pt idx="5">
                  <c:v>-59456.4881627903</c:v>
                </c:pt>
                <c:pt idx="6">
                  <c:v>-51917.7297693565</c:v>
                </c:pt>
                <c:pt idx="7">
                  <c:v>-44265.9723740822</c:v>
                </c:pt>
                <c:pt idx="8">
                  <c:v>-36505.7359370411</c:v>
                </c:pt>
                <c:pt idx="9">
                  <c:v>-28641.3596199039</c:v>
                </c:pt>
                <c:pt idx="10">
                  <c:v>-26323.1435999967</c:v>
                </c:pt>
                <c:pt idx="11">
                  <c:v>-40481.3508386496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394451"/>
        <c:axId val="44299422"/>
      </c:lineChart>
      <c:catAx>
        <c:axId val="1039445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299422"/>
        <c:crosses val="autoZero"/>
        <c:auto val="1"/>
        <c:lblAlgn val="ctr"/>
        <c:lblOffset val="100"/>
        <c:noMultiLvlLbl val="0"/>
      </c:catAx>
      <c:valAx>
        <c:axId val="4429942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3944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-74096.96845601</c:v>
                </c:pt>
                <c:pt idx="1">
                  <c:v>-68348.5584380637</c:v>
                </c:pt>
                <c:pt idx="2">
                  <c:v>-52776.4387220337</c:v>
                </c:pt>
                <c:pt idx="3">
                  <c:v>-45698.8828081446</c:v>
                </c:pt>
                <c:pt idx="4">
                  <c:v>-38397.1661873729</c:v>
                </c:pt>
                <c:pt idx="5">
                  <c:v>-30972.9688938543</c:v>
                </c:pt>
                <c:pt idx="6">
                  <c:v>-23431.1901544986</c:v>
                </c:pt>
                <c:pt idx="7">
                  <c:v>-15776.5332271394</c:v>
                </c:pt>
                <c:pt idx="8">
                  <c:v>-8013.5132392968</c:v>
                </c:pt>
                <c:pt idx="9">
                  <c:v>-146.464713390115</c:v>
                </c:pt>
                <c:pt idx="10">
                  <c:v>2204.019664374</c:v>
                </c:pt>
                <c:pt idx="11">
                  <c:v>-12325.9707704894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-4100000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5100000</c:v>
                </c:pt>
                <c:pt idx="1">
                  <c:v>-25000</c:v>
                </c:pt>
                <c:pt idx="2">
                  <c:v>-25000</c:v>
                </c:pt>
                <c:pt idx="3">
                  <c:v>-25000</c:v>
                </c:pt>
                <c:pt idx="4">
                  <c:v>-25000</c:v>
                </c:pt>
                <c:pt idx="5">
                  <c:v>-25000</c:v>
                </c:pt>
                <c:pt idx="6">
                  <c:v>-25000</c:v>
                </c:pt>
                <c:pt idx="7">
                  <c:v>-25000</c:v>
                </c:pt>
                <c:pt idx="8">
                  <c:v>-25000</c:v>
                </c:pt>
                <c:pt idx="9">
                  <c:v>-25000</c:v>
                </c:pt>
                <c:pt idx="10">
                  <c:v>-25000</c:v>
                </c:pt>
                <c:pt idx="11">
                  <c:v>-25000</c:v>
                </c:pt>
              </c:numCache>
            </c:numRef>
          </c:val>
        </c:ser>
        <c:gapWidth val="60"/>
        <c:overlap val="0"/>
        <c:axId val="78179827"/>
        <c:axId val="43357188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925903.03154399</c:v>
                </c:pt>
                <c:pt idx="1">
                  <c:v>832554.473105926</c:v>
                </c:pt>
                <c:pt idx="2">
                  <c:v>754778.034383893</c:v>
                </c:pt>
                <c:pt idx="3">
                  <c:v>684079.151575748</c:v>
                </c:pt>
                <c:pt idx="4">
                  <c:v>620681.985388375</c:v>
                </c:pt>
                <c:pt idx="5">
                  <c:v>564709.016494521</c:v>
                </c:pt>
                <c:pt idx="6">
                  <c:v>516277.826340022</c:v>
                </c:pt>
                <c:pt idx="7">
                  <c:v>475501.293112883</c:v>
                </c:pt>
                <c:pt idx="8">
                  <c:v>442487.779873586</c:v>
                </c:pt>
                <c:pt idx="9">
                  <c:v>417341.315160196</c:v>
                </c:pt>
                <c:pt idx="10">
                  <c:v>394545.33482457</c:v>
                </c:pt>
                <c:pt idx="11">
                  <c:v>357219.364054081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705920"/>
        <c:axId val="9273275"/>
      </c:lineChart>
      <c:catAx>
        <c:axId val="7817982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357188"/>
        <c:crosses val="autoZero"/>
        <c:auto val="1"/>
        <c:lblAlgn val="ctr"/>
        <c:lblOffset val="100"/>
        <c:noMultiLvlLbl val="0"/>
      </c:catAx>
      <c:valAx>
        <c:axId val="4335718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179827"/>
        <c:crosses val="autoZero"/>
        <c:crossBetween val="between"/>
      </c:valAx>
      <c:catAx>
        <c:axId val="60705920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73275"/>
        <c:crosses val="autoZero"/>
        <c:auto val="1"/>
        <c:lblAlgn val="ctr"/>
        <c:lblOffset val="100"/>
        <c:noMultiLvlLbl val="0"/>
      </c:catAx>
      <c:valAx>
        <c:axId val="9273275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7059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925903.03154399</c:v>
                </c:pt>
                <c:pt idx="1">
                  <c:v>832554.473105926</c:v>
                </c:pt>
                <c:pt idx="2">
                  <c:v>754778.034383893</c:v>
                </c:pt>
                <c:pt idx="3">
                  <c:v>684079.151575748</c:v>
                </c:pt>
                <c:pt idx="4">
                  <c:v>620681.985388375</c:v>
                </c:pt>
                <c:pt idx="5">
                  <c:v>564709.016494521</c:v>
                </c:pt>
                <c:pt idx="6">
                  <c:v>516277.826340022</c:v>
                </c:pt>
                <c:pt idx="7">
                  <c:v>475501.293112883</c:v>
                </c:pt>
                <c:pt idx="8">
                  <c:v>442487.779873586</c:v>
                </c:pt>
                <c:pt idx="9">
                  <c:v>417341.315160196</c:v>
                </c:pt>
                <c:pt idx="10">
                  <c:v>394545.33482457</c:v>
                </c:pt>
                <c:pt idx="11">
                  <c:v>357219.364054081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3196.22386666667</c:v>
                </c:pt>
                <c:pt idx="1">
                  <c:v>3629.92906014815</c:v>
                </c:pt>
                <c:pt idx="2">
                  <c:v>4851.56011996444</c:v>
                </c:pt>
                <c:pt idx="3">
                  <c:v>5403.45992257327</c:v>
                </c:pt>
                <c:pt idx="4">
                  <c:v>5966.01842937405</c:v>
                </c:pt>
                <c:pt idx="5">
                  <c:v>6538.80929219909</c:v>
                </c:pt>
                <c:pt idx="6">
                  <c:v>7121.42321680742</c:v>
                </c:pt>
                <c:pt idx="7">
                  <c:v>7713.46728072771</c:v>
                </c:pt>
                <c:pt idx="8">
                  <c:v>8314.5642783875</c:v>
                </c:pt>
                <c:pt idx="9">
                  <c:v>8924.35209243718</c:v>
                </c:pt>
                <c:pt idx="10">
                  <c:v>9103.03667540636</c:v>
                </c:pt>
                <c:pt idx="11">
                  <c:v>7915.98187505677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4071527.77777778</c:v>
                </c:pt>
                <c:pt idx="1">
                  <c:v>4043055.55555556</c:v>
                </c:pt>
                <c:pt idx="2">
                  <c:v>4014583.33333333</c:v>
                </c:pt>
                <c:pt idx="3">
                  <c:v>3986111.11111111</c:v>
                </c:pt>
                <c:pt idx="4">
                  <c:v>3957638.88888889</c:v>
                </c:pt>
                <c:pt idx="5">
                  <c:v>3929166.66666667</c:v>
                </c:pt>
                <c:pt idx="6">
                  <c:v>3900694.44444444</c:v>
                </c:pt>
                <c:pt idx="7">
                  <c:v>3872222.22222222</c:v>
                </c:pt>
                <c:pt idx="8">
                  <c:v>3843750</c:v>
                </c:pt>
                <c:pt idx="9">
                  <c:v>3815277.77777778</c:v>
                </c:pt>
                <c:pt idx="10">
                  <c:v>3786805.55555556</c:v>
                </c:pt>
                <c:pt idx="11">
                  <c:v>3758333.33333333</c:v>
                </c:pt>
              </c:numCache>
            </c:numRef>
          </c:val>
        </c:ser>
        <c:gapWidth val="60"/>
        <c:overlap val="100"/>
        <c:axId val="30455453"/>
        <c:axId val="51021471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1997562.52336521</c:v>
                </c:pt>
                <c:pt idx="1">
                  <c:v>1900759.66323889</c:v>
                </c:pt>
                <c:pt idx="2">
                  <c:v>1819412.96589251</c:v>
                </c:pt>
                <c:pt idx="3">
                  <c:v>1745236.98729417</c:v>
                </c:pt>
                <c:pt idx="4">
                  <c:v>1678359.44803153</c:v>
                </c:pt>
                <c:pt idx="5">
                  <c:v>1618902.95986874</c:v>
                </c:pt>
                <c:pt idx="6">
                  <c:v>1566985.23009938</c:v>
                </c:pt>
                <c:pt idx="7">
                  <c:v>1522719.2577253</c:v>
                </c:pt>
                <c:pt idx="8">
                  <c:v>1486213.52178826</c:v>
                </c:pt>
                <c:pt idx="9">
                  <c:v>1457572.16216835</c:v>
                </c:pt>
                <c:pt idx="10">
                  <c:v>1431249.01856836</c:v>
                </c:pt>
                <c:pt idx="11">
                  <c:v>1390767.66772971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455453"/>
        <c:axId val="51021471"/>
      </c:lineChart>
      <c:catAx>
        <c:axId val="3045545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021471"/>
        <c:crosses val="autoZero"/>
        <c:auto val="1"/>
        <c:lblAlgn val="ctr"/>
        <c:lblOffset val="100"/>
        <c:noMultiLvlLbl val="0"/>
      </c:catAx>
      <c:valAx>
        <c:axId val="5102147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4554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Scenarios!$B$30:$D$30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723753.781752898</c:v>
                </c:pt>
                <c:pt idx="1">
                  <c:v>1233556.71859013</c:v>
                </c:pt>
                <c:pt idx="2">
                  <c:v>1373352.59957725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Scenarios!$B$30:$D$30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1180182.39164623</c:v>
                </c:pt>
                <c:pt idx="1">
                  <c:v>1846649.01829223</c:v>
                </c:pt>
                <c:pt idx="2">
                  <c:v>2170291.60192013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Scenarios!$B$30:$D$30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Scenarios!$B$33:$D$33</c:f>
              <c:numCache>
                <c:formatCode>\$#,##0,;"($"#,##0,\);\-</c:formatCode>
                <c:ptCount val="3"/>
                <c:pt idx="0">
                  <c:v>1713972.34882851</c:v>
                </c:pt>
                <c:pt idx="1">
                  <c:v>2637596.04066185</c:v>
                </c:pt>
                <c:pt idx="2">
                  <c:v>3275560.85962553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533082"/>
        <c:axId val="77343000"/>
      </c:lineChart>
      <c:catAx>
        <c:axId val="1153308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343000"/>
        <c:crosses val="autoZero"/>
        <c:auto val="1"/>
        <c:lblAlgn val="ctr"/>
        <c:lblOffset val="100"/>
        <c:noMultiLvlLbl val="0"/>
      </c:catAx>
      <c:valAx>
        <c:axId val="7734300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5330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Scenarios!$B$36:$D$36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-533892.676207162</c:v>
                </c:pt>
                <c:pt idx="1">
                  <c:v>-120382.60081196</c:v>
                </c:pt>
                <c:pt idx="2">
                  <c:v>-24636.2998835956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Scenarios!$A$38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Scenarios!$B$36:$D$36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-123279.207270295</c:v>
                </c:pt>
                <c:pt idx="1">
                  <c:v>428309.8222885</c:v>
                </c:pt>
                <c:pt idx="2">
                  <c:v>682326.815321617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Scenarios!$B$36:$D$36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Scenarios!$B$39:$D$39</c:f>
              <c:numCache>
                <c:formatCode>\$#,##0,;"($"#,##0,\);\-</c:formatCode>
                <c:ptCount val="3"/>
                <c:pt idx="0">
                  <c:v>374729.35474249</c:v>
                </c:pt>
                <c:pt idx="1">
                  <c:v>1158811.72808445</c:v>
                </c:pt>
                <c:pt idx="2">
                  <c:v>1692015.58746952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800476"/>
        <c:axId val="61225640"/>
      </c:lineChart>
      <c:catAx>
        <c:axId val="3780047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225640"/>
        <c:crosses val="autoZero"/>
        <c:auto val="1"/>
        <c:lblAlgn val="ctr"/>
        <c:lblOffset val="100"/>
        <c:noMultiLvlLbl val="0"/>
      </c:catAx>
      <c:valAx>
        <c:axId val="6122564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8004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Scenarios!$B$42:$D$42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-1119845.80120716</c:v>
                </c:pt>
                <c:pt idx="1">
                  <c:v>-684257.60081196</c:v>
                </c:pt>
                <c:pt idx="2">
                  <c:v>-566344.633216929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Scenarios!$B$42:$D$42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-709232.332270295</c:v>
                </c:pt>
                <c:pt idx="1">
                  <c:v>-135565.177711501</c:v>
                </c:pt>
                <c:pt idx="2">
                  <c:v>140618.481988284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Scenarios!$B$42:$D$42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Scenarios!$B$45:$D$45</c:f>
              <c:numCache>
                <c:formatCode>\$#,##0,;"($"#,##0,\);\-</c:formatCode>
                <c:ptCount val="3"/>
                <c:pt idx="0">
                  <c:v>-211223.770257511</c:v>
                </c:pt>
                <c:pt idx="1">
                  <c:v>514357.00694079</c:v>
                </c:pt>
                <c:pt idx="2">
                  <c:v>908742.730767589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487450"/>
        <c:axId val="2972627"/>
      </c:lineChart>
      <c:catAx>
        <c:axId val="9748745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72627"/>
        <c:crosses val="autoZero"/>
        <c:auto val="1"/>
        <c:lblAlgn val="ctr"/>
        <c:lblOffset val="100"/>
        <c:noMultiLvlLbl val="0"/>
      </c:catAx>
      <c:valAx>
        <c:axId val="297262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4874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Scenarios!$B$48:$D$48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-52322.2790208757</c:v>
                </c:pt>
                <c:pt idx="1">
                  <c:v>-731025.649005202</c:v>
                </c:pt>
                <c:pt idx="2">
                  <c:v>-1288612.08680362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Scenarios!$A$50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Scenarios!$B$48:$D$48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357219.364054081</c:v>
                </c:pt>
                <c:pt idx="1">
                  <c:v>226873.838743211</c:v>
                </c:pt>
                <c:pt idx="2">
                  <c:v>376024.314834002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Scenarios!$B$48:$D$48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Scenarios!$B$51:$D$51</c:f>
              <c:numCache>
                <c:formatCode>\$#,##0,;"($"#,##0,\);\-</c:formatCode>
                <c:ptCount val="3"/>
                <c:pt idx="0">
                  <c:v>853302.314989332</c:v>
                </c:pt>
                <c:pt idx="1">
                  <c:v>1372134.28837141</c:v>
                </c:pt>
                <c:pt idx="2">
                  <c:v>2288697.84087389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532459"/>
        <c:axId val="13583587"/>
      </c:lineChart>
      <c:catAx>
        <c:axId val="2053245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583587"/>
        <c:crosses val="autoZero"/>
        <c:auto val="1"/>
        <c:lblAlgn val="ctr"/>
        <c:lblOffset val="100"/>
        <c:noMultiLvlLbl val="0"/>
      </c:catAx>
      <c:valAx>
        <c:axId val="135835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5324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2100000</c:v>
                </c:pt>
                <c:pt idx="1">
                  <c:v>3000000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367780.63594592</c:v>
                </c:pt>
                <c:pt idx="1">
                  <c:v>4100000</c:v>
                </c:pt>
                <c:pt idx="2">
                  <c:v>275000</c:v>
                </c:pt>
                <c:pt idx="3">
                  <c:v>357219.364054081</c:v>
                </c:pt>
              </c:numCache>
            </c:numRef>
          </c:val>
        </c:ser>
        <c:gapWidth val="60"/>
        <c:overlap val="0"/>
        <c:axId val="32999952"/>
        <c:axId val="42654390"/>
      </c:barChart>
      <c:catAx>
        <c:axId val="329999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654390"/>
        <c:crosses val="autoZero"/>
        <c:auto val="1"/>
        <c:lblAlgn val="ctr"/>
        <c:lblOffset val="100"/>
        <c:noMultiLvlLbl val="0"/>
      </c:catAx>
      <c:valAx>
        <c:axId val="4265439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99995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0.847123969825669</c:v>
                </c:pt>
                <c:pt idx="1">
                  <c:v>0.840398476871209</c:v>
                </c:pt>
                <c:pt idx="2">
                  <c:v>0.835440891775769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-0.104457758515049</c:v>
                </c:pt>
                <c:pt idx="1">
                  <c:v>0.231938943484019</c:v>
                </c:pt>
                <c:pt idx="2">
                  <c:v>0.314394072537506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-0.600951460800047</c:v>
                </c:pt>
                <c:pt idx="1">
                  <c:v>-0.0734114476376625</c:v>
                </c:pt>
                <c:pt idx="2">
                  <c:v>0.0647924370457287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692849"/>
        <c:axId val="85282001"/>
      </c:lineChart>
      <c:catAx>
        <c:axId val="8169284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282001"/>
        <c:crosses val="autoZero"/>
        <c:auto val="1"/>
        <c:lblAlgn val="ctr"/>
        <c:lblOffset val="100"/>
        <c:noMultiLvlLbl val="0"/>
      </c:catAx>
      <c:valAx>
        <c:axId val="8528200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6928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-0.171826167740399</c:v>
                </c:pt>
                <c:pt idx="1">
                  <c:v>-0.0366841821975313</c:v>
                </c:pt>
                <c:pt idx="2">
                  <c:v>0.0397368810582908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-0.50995744920361</c:v>
                </c:pt>
                <c:pt idx="1">
                  <c:v>-0.108002636060365</c:v>
                </c:pt>
                <c:pt idx="2">
                  <c:v>0.100742491199387</c:v>
                </c:pt>
              </c:numCache>
            </c:numRef>
          </c:val>
        </c:ser>
        <c:gapWidth val="60"/>
        <c:overlap val="0"/>
        <c:axId val="25517044"/>
        <c:axId val="1524330"/>
      </c:barChart>
      <c:catAx>
        <c:axId val="2551704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24330"/>
        <c:crosses val="autoZero"/>
        <c:auto val="1"/>
        <c:lblAlgn val="ctr"/>
        <c:lblOffset val="100"/>
        <c:noMultiLvlLbl val="0"/>
      </c:catAx>
      <c:valAx>
        <c:axId val="15243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5170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Retail and member washes, tunnel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Retail cars washed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KPIs!$B$34:$D$34</c:f>
              <c:numCache>
                <c:formatCode>#,##0;\(#,##0\);\-</c:formatCode>
                <c:ptCount val="3"/>
                <c:pt idx="0">
                  <c:v>64869.1333333333</c:v>
                </c:pt>
                <c:pt idx="1">
                  <c:v>86025.6</c:v>
                </c:pt>
                <c:pt idx="2">
                  <c:v>88606.368</c:v>
                </c:pt>
              </c:numCache>
            </c:numRef>
          </c:val>
        </c:ser>
        <c:ser>
          <c:idx val="1"/>
          <c:order val="1"/>
          <c:tx>
            <c:strRef>
              <c:f>KPIs!$A$35</c:f>
              <c:strCache>
                <c:ptCount val="1"/>
                <c:pt idx="0">
                  <c:v>Member washes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KPIs!$B$35:$D$35</c:f>
              <c:numCache>
                <c:formatCode>#,##0;\(#,##0\);\-</c:formatCode>
                <c:ptCount val="3"/>
                <c:pt idx="0">
                  <c:v>24097.8158489592</c:v>
                </c:pt>
                <c:pt idx="1">
                  <c:v>56525.1924563461</c:v>
                </c:pt>
                <c:pt idx="2">
                  <c:v>80270.0996252489</c:v>
                </c:pt>
              </c:numCache>
            </c:numRef>
          </c:val>
        </c:ser>
        <c:gapWidth val="60"/>
        <c:overlap val="100"/>
        <c:axId val="49348198"/>
        <c:axId val="18990035"/>
      </c:barChart>
      <c:lineChart>
        <c:grouping val="stacked"/>
        <c:varyColors val="0"/>
        <c:ser>
          <c:idx val="2"/>
          <c:order val="2"/>
          <c:tx>
            <c:strRef>
              <c:f>KPIs!$A$39</c:f>
              <c:strCache>
                <c:ptCount val="1"/>
                <c:pt idx="0">
                  <c:v>Tunnel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KPIs!$B$39:$D$39</c:f>
              <c:numCache>
                <c:formatCode>0.0%;\(0.0%\);\-</c:formatCode>
                <c:ptCount val="3"/>
                <c:pt idx="0">
                  <c:v>0.301832529896906</c:v>
                </c:pt>
                <c:pt idx="1">
                  <c:v>0.483623038907931</c:v>
                </c:pt>
                <c:pt idx="2">
                  <c:v>0.572936488571052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902712"/>
        <c:axId val="590351"/>
      </c:lineChart>
      <c:catAx>
        <c:axId val="4934819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990035"/>
        <c:crosses val="autoZero"/>
        <c:auto val="1"/>
        <c:lblAlgn val="ctr"/>
        <c:lblOffset val="100"/>
        <c:noMultiLvlLbl val="0"/>
      </c:catAx>
      <c:valAx>
        <c:axId val="1899003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348198"/>
        <c:crosses val="autoZero"/>
        <c:crossBetween val="between"/>
      </c:valAx>
      <c:catAx>
        <c:axId val="2990271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0351"/>
        <c:crosses val="autoZero"/>
        <c:auto val="1"/>
        <c:lblAlgn val="ctr"/>
        <c:lblOffset val="100"/>
        <c:noMultiLvlLbl val="0"/>
      </c:catAx>
      <c:valAx>
        <c:axId val="59035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9027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split and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KPIs!$A$43</c:f>
              <c:strCache>
                <c:ptCount val="1"/>
                <c:pt idx="0">
                  <c:v>Retail wash &amp; add-on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KPIs!$B$43:$D$43</c:f>
              <c:numCache>
                <c:formatCode>\$#,##0,;"($"#,##0,\);\-</c:formatCode>
                <c:ptCount val="3"/>
                <c:pt idx="0">
                  <c:v>940602.433333333</c:v>
                </c:pt>
                <c:pt idx="1">
                  <c:v>1272318.624</c:v>
                </c:pt>
                <c:pt idx="2">
                  <c:v>1336697.9463744</c:v>
                </c:pt>
              </c:numCache>
            </c:numRef>
          </c:val>
        </c:ser>
        <c:ser>
          <c:idx val="1"/>
          <c:order val="1"/>
          <c:tx>
            <c:strRef>
              <c:f>KPIs!$A$42</c:f>
              <c:strCache>
                <c:ptCount val="1"/>
                <c:pt idx="0">
                  <c:v>Unlimited plan fees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KPIs!$B$42:$D$42</c:f>
              <c:numCache>
                <c:formatCode>\$#,##0,;"($"#,##0,\);\-</c:formatCode>
                <c:ptCount val="3"/>
                <c:pt idx="0">
                  <c:v>239579.958312896</c:v>
                </c:pt>
                <c:pt idx="1">
                  <c:v>574330.394292226</c:v>
                </c:pt>
                <c:pt idx="2">
                  <c:v>833593.655545733</c:v>
                </c:pt>
              </c:numCache>
            </c:numRef>
          </c:val>
        </c:ser>
        <c:gapWidth val="60"/>
        <c:overlap val="100"/>
        <c:axId val="69865646"/>
        <c:axId val="91857782"/>
      </c:barChart>
      <c:lineChart>
        <c:grouping val="stacked"/>
        <c:varyColors val="0"/>
        <c:ser>
          <c:idx val="2"/>
          <c:order val="2"/>
          <c:tx>
            <c:strRef>
              <c:f>KPIs!$A$52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KPIs!$B$52:$D$52</c:f>
              <c:numCache>
                <c:formatCode>0.0%;\(0.0%\);\-</c:formatCode>
                <c:ptCount val="3"/>
                <c:pt idx="0">
                  <c:v>-0.104457758515049</c:v>
                </c:pt>
                <c:pt idx="1">
                  <c:v>0.231938943484019</c:v>
                </c:pt>
                <c:pt idx="2">
                  <c:v>0.314394072537506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717290"/>
        <c:axId val="29707835"/>
      </c:lineChart>
      <c:catAx>
        <c:axId val="6986564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857782"/>
        <c:crosses val="autoZero"/>
        <c:auto val="1"/>
        <c:lblAlgn val="ctr"/>
        <c:lblOffset val="100"/>
        <c:noMultiLvlLbl val="0"/>
      </c:catAx>
      <c:valAx>
        <c:axId val="9185778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865646"/>
        <c:crosses val="autoZero"/>
        <c:crossBetween val="between"/>
      </c:valAx>
      <c:catAx>
        <c:axId val="3471729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707835"/>
        <c:crosses val="autoZero"/>
        <c:auto val="1"/>
        <c:lblAlgn val="ctr"/>
        <c:lblOffset val="100"/>
        <c:noMultiLvlLbl val="0"/>
      </c:catAx>
      <c:valAx>
        <c:axId val="2970783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71729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2170291.60192013</v>
      </c>
      <c r="B7" s="25"/>
      <c r="C7" s="26" t="n">
        <f aca="false">D17</f>
        <v>0.314394072537506</v>
      </c>
      <c r="D7" s="26"/>
      <c r="E7" s="26"/>
      <c r="F7" s="26"/>
      <c r="H7" s="25" t="n">
        <f aca="false">D18</f>
        <v>140618.481988284</v>
      </c>
      <c r="I7" s="25"/>
      <c r="J7" s="25"/>
      <c r="K7" s="25"/>
      <c r="L7" s="25" t="n">
        <f aca="false">F39</f>
        <v>179017.171242736</v>
      </c>
      <c r="M7" s="25"/>
      <c r="N7" s="25"/>
      <c r="O7" s="25"/>
      <c r="P7" s="25" t="n">
        <f aca="false">F37</f>
        <v>5201982.82875727</v>
      </c>
      <c r="Q7" s="25"/>
      <c r="R7" s="25"/>
      <c r="S7" s="25"/>
      <c r="T7" s="25" t="n">
        <f aca="false">F44</f>
        <v>-1510350.70448108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0.35607740440332</v>
      </c>
      <c r="B8" s="27"/>
      <c r="C8" s="28" t="n">
        <f aca="false">D16</f>
        <v>682326.815321617</v>
      </c>
      <c r="D8" s="28"/>
      <c r="E8" s="28"/>
      <c r="F8" s="28"/>
      <c r="H8" s="29" t="n">
        <f aca="false">D19</f>
        <v>0.0647924370457287</v>
      </c>
      <c r="I8" s="29"/>
      <c r="J8" s="29"/>
      <c r="K8" s="29"/>
      <c r="L8" s="30" t="n">
        <f aca="false">'Break-even'!B6</f>
        <v>26</v>
      </c>
      <c r="M8" s="30"/>
      <c r="N8" s="30"/>
      <c r="O8" s="30"/>
      <c r="P8" s="31" t="n">
        <f aca="false">IF(F38&gt;=0,"Covered by funding raised",-F38)</f>
        <v>101982.828757265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SUMIF(Monthly!$C$5:$AL$5,B$11,Monthly!$C$37:$AL$37)</f>
        <v>1180182.39164623</v>
      </c>
      <c r="C12" s="36" t="n">
        <f aca="false">SUMIF(Monthly!$C$5:$AL$5,C$11,Monthly!$C$37:$AL$37)</f>
        <v>1846649.01829223</v>
      </c>
      <c r="D12" s="36" t="n">
        <f aca="false">SUMIF(Monthly!$C$5:$AL$5,D$11,Monthly!$C$37:$AL$37)</f>
        <v>2170291.60192013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SUMIF(Monthly!$C$5:$AL$5,B$11,Monthly!$C$46:$AL$46)</f>
        <v>999760.792729705</v>
      </c>
      <c r="C13" s="38" t="n">
        <f aca="false">SUMIF(Monthly!$C$5:$AL$5,C$11,Monthly!$C$46:$AL$46)</f>
        <v>1551921.0222885</v>
      </c>
      <c r="D13" s="38" t="n">
        <f aca="false">SUMIF(Monthly!$C$5:$AL$5,D$11,Monthly!$C$46:$AL$46)</f>
        <v>1813150.35132162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0.847123969825669</v>
      </c>
      <c r="C14" s="40" t="n">
        <f aca="false">IF(C12=0,0,C13/C12)</f>
        <v>0.840398476871209</v>
      </c>
      <c r="D14" s="40" t="n">
        <f aca="false">IF(D12=0,0,D13/D12)</f>
        <v>0.835440891775769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SUMIF(Monthly!$C$5:$AL$5,B$11,Monthly!$C$54:$AL$54)</f>
        <v>-1123040</v>
      </c>
      <c r="C15" s="36" t="n">
        <f aca="false">SUMIF(Monthly!$C$5:$AL$5,C$11,Monthly!$C$54:$AL$54)</f>
        <v>-1123611.2</v>
      </c>
      <c r="D15" s="36" t="n">
        <f aca="false">SUMIF(Monthly!$C$5:$AL$5,D$11,Monthly!$C$54:$AL$54)</f>
        <v>-1130823.536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SUMIF(Monthly!$C$5:$AL$5,B$11,Monthly!$C$55:$AL$55)</f>
        <v>-123279.207270295</v>
      </c>
      <c r="C16" s="38" t="n">
        <f aca="false">SUMIF(Monthly!$C$5:$AL$5,C$11,Monthly!$C$55:$AL$55)</f>
        <v>428309.8222885</v>
      </c>
      <c r="D16" s="38" t="n">
        <f aca="false">SUMIF(Monthly!$C$5:$AL$5,D$11,Monthly!$C$55:$AL$55)</f>
        <v>682326.815321617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-0.104457758515049</v>
      </c>
      <c r="C17" s="40" t="n">
        <f aca="false">IF(C12=0,0,C16/C12)</f>
        <v>0.231938943484019</v>
      </c>
      <c r="D17" s="40" t="n">
        <f aca="false">IF(D12=0,0,D16/D12)</f>
        <v>0.314394072537506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SUMIF(Monthly!$C$5:$AL$5,B$11,Monthly!$C$64:$AL$64)</f>
        <v>-709232.332270295</v>
      </c>
      <c r="C18" s="42" t="n">
        <f aca="false">SUMIF(Monthly!$C$5:$AL$5,C$11,Monthly!$C$64:$AL$64)</f>
        <v>-135565.177711501</v>
      </c>
      <c r="D18" s="42" t="n">
        <f aca="false">SUMIF(Monthly!$C$5:$AL$5,D$11,Monthly!$C$64:$AL$64)</f>
        <v>140618.481988284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-0.600951460800047</v>
      </c>
      <c r="C19" s="40" t="n">
        <f aca="false">IF(C12=0,0,C18/C12)</f>
        <v>-0.0734114476376625</v>
      </c>
      <c r="D19" s="40" t="n">
        <f aca="false">IF(D12=0,0,D18/D12)</f>
        <v>0.0647924370457287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SUMIF(Monthly!$C$5:$AL$5,B$11,Monthly!$C$94:$AL$94)</f>
        <v>-367780.63594592</v>
      </c>
      <c r="C20" s="36" t="n">
        <f aca="false">SUMIF(Monthly!$C$5:$AL$5,C$11,Monthly!$C$94:$AL$94)</f>
        <v>209654.47468913</v>
      </c>
      <c r="D20" s="36" t="n">
        <f aca="false">SUMIF(Monthly!$C$5:$AL$5,D$11,Monthly!$C$94:$AL$94)</f>
        <v>489150.476090791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SUMIF(Monthly!$C$5:$AL$5,B$11,Monthly!$C$95:$AL$95)</f>
        <v>-4100000</v>
      </c>
      <c r="C21" s="36" t="n">
        <f aca="false">SUMIF(Monthly!$C$5:$AL$5,C$11,Monthly!$C$95:$AL$95)</f>
        <v>-40000</v>
      </c>
      <c r="D21" s="36" t="n">
        <f aca="false">SUMIF(Monthly!$C$5:$AL$5,D$11,Monthly!$C$95:$AL$95)</f>
        <v>-40000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SUMIF(Monthly!$C$5:$AL$5,B$11,Monthly!$C$97:$AL$97)</f>
        <v>4825000</v>
      </c>
      <c r="C22" s="36" t="n">
        <f aca="false">SUMIF(Monthly!$C$5:$AL$5,C$11,Monthly!$C$97:$AL$97)</f>
        <v>-300000</v>
      </c>
      <c r="D22" s="36" t="n">
        <f aca="false">SUMIF(Monthly!$C$5:$AL$5,D$11,Monthly!$C$97:$AL$97)</f>
        <v>-300000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SUMIF(Monthly!$C$5:$AL$5,B$11,Monthly!$C$98:$AL$98)</f>
        <v>357219.364054081</v>
      </c>
      <c r="C23" s="38" t="n">
        <f aca="false">SUMIF(Monthly!$C$5:$AL$5,C$11,Monthly!$C$98:$AL$98)</f>
        <v>-130345.52531087</v>
      </c>
      <c r="D23" s="38" t="n">
        <f aca="false">SUMIF(Monthly!$C$5:$AL$5,D$11,Monthly!$C$98:$AL$98)</f>
        <v>149150.476090791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INDEX(Monthly!$C$100:$AL$100,B$11*12)</f>
        <v>357219.364054081</v>
      </c>
      <c r="C24" s="42" t="n">
        <f aca="false">INDEX(Monthly!$C$100:$AL$100,C$11*12)</f>
        <v>226873.838743211</v>
      </c>
      <c r="D24" s="42" t="n">
        <f aca="false">INDEX(Monthly!$C$100:$AL$100,D$11*12)</f>
        <v>376024.314834002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KPIs!B29</f>
        <v>972.089183697303</v>
      </c>
      <c r="C28" s="43" t="n">
        <f aca="false">KPIs!C29</f>
        <v>1660.55587289615</v>
      </c>
      <c r="D28" s="43" t="n">
        <f aca="false">KPIs!D29</f>
        <v>2124.50092018641</v>
      </c>
    </row>
    <row r="29" customFormat="false" ht="15" hidden="false" customHeight="false" outlineLevel="0" collapsed="false">
      <c r="A29" s="6" t="s">
        <v>59</v>
      </c>
      <c r="B29" s="43" t="n">
        <f aca="false">KPIs!B37</f>
        <v>255.65215282268</v>
      </c>
      <c r="C29" s="43" t="n">
        <f aca="false">KPIs!C37</f>
        <v>409.628713955018</v>
      </c>
      <c r="D29" s="43" t="n">
        <f aca="false">KPIs!D37</f>
        <v>485.277205819681</v>
      </c>
    </row>
    <row r="30" customFormat="false" ht="15" hidden="false" customHeight="false" outlineLevel="0" collapsed="false">
      <c r="A30" s="6" t="s">
        <v>60</v>
      </c>
      <c r="B30" s="44" t="n">
        <f aca="false">KPIs!B39</f>
        <v>0.301832529896906</v>
      </c>
      <c r="C30" s="44" t="n">
        <f aca="false">KPIs!C39</f>
        <v>0.483623038907931</v>
      </c>
      <c r="D30" s="44" t="n">
        <f aca="false">KPIs!D39</f>
        <v>0.572936488571052</v>
      </c>
    </row>
    <row r="31" customFormat="false" ht="15" hidden="false" customHeight="false" outlineLevel="0" collapsed="false">
      <c r="A31" s="6" t="s">
        <v>61</v>
      </c>
      <c r="B31" s="45" t="n">
        <f aca="false">KPIs!B45</f>
        <v>13.2654025173781</v>
      </c>
      <c r="C31" s="45" t="n">
        <f aca="false">KPIs!C45</f>
        <v>12.9543230624813</v>
      </c>
      <c r="D31" s="45" t="n">
        <f aca="false">KPIs!D45</f>
        <v>12.8513559789526</v>
      </c>
    </row>
    <row r="32" customFormat="false" ht="15" hidden="false" customHeight="false" outlineLevel="0" collapsed="false">
      <c r="A32" s="6" t="s">
        <v>62</v>
      </c>
      <c r="B32" s="46" t="n">
        <f aca="false">INDEX(Headcount!$C$10:$AL$10,B$27*12)</f>
        <v>11</v>
      </c>
      <c r="C32" s="46" t="n">
        <f aca="false">INDEX(Headcount!$C$10:$AL$10,C$27*12)</f>
        <v>11</v>
      </c>
      <c r="D32" s="46" t="n">
        <f aca="false">INDEX(Headcount!$C$10:$AL$10,D$27*12)</f>
        <v>11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Inputs!$E$69</f>
        <v>2100000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Inputs!$E$70</f>
        <v>3000000</v>
      </c>
    </row>
    <row r="37" customFormat="false" ht="15" hidden="false" customHeight="false" outlineLevel="0" collapsed="false">
      <c r="A37" s="6" t="s">
        <v>66</v>
      </c>
      <c r="B37" s="47"/>
      <c r="C37" s="47"/>
      <c r="D37" s="47"/>
      <c r="E37" s="47"/>
      <c r="F37" s="48" t="n">
        <f aca="false">'Break-even'!B12</f>
        <v>5201982.82875727</v>
      </c>
    </row>
    <row r="38" customFormat="false" ht="15" hidden="false" customHeight="false" outlineLevel="0" collapsed="false">
      <c r="A38" s="37" t="s">
        <v>67</v>
      </c>
      <c r="B38" s="37"/>
      <c r="C38" s="37"/>
      <c r="D38" s="37"/>
      <c r="E38" s="37"/>
      <c r="F38" s="38" t="n">
        <f aca="false">'Break-even'!B17</f>
        <v>-101982.828757265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26)</v>
      </c>
      <c r="B39" s="47"/>
      <c r="C39" s="47"/>
      <c r="D39" s="47"/>
      <c r="E39" s="47"/>
      <c r="F39" s="48" t="n">
        <f aca="false">'Break-even'!B18</f>
        <v>179017.171242736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'Break-even'!B21</f>
        <v>8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9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Valuation!B27</f>
        <v>-1525694.6872103</v>
      </c>
    </row>
    <row r="43" customFormat="false" ht="15" hidden="false" customHeight="false" outlineLevel="0" collapsed="false">
      <c r="A43" s="6" t="s">
        <v>71</v>
      </c>
      <c r="B43" s="47"/>
      <c r="C43" s="47"/>
      <c r="D43" s="47"/>
      <c r="E43" s="47"/>
      <c r="F43" s="48" t="n">
        <f aca="false">Valuation!C27</f>
        <v>-1495006.72175187</v>
      </c>
    </row>
    <row r="44" customFormat="false" ht="15" hidden="false" customHeight="false" outlineLevel="0" collapsed="false">
      <c r="A44" s="41" t="s">
        <v>72</v>
      </c>
      <c r="B44" s="41"/>
      <c r="C44" s="41"/>
      <c r="D44" s="41"/>
      <c r="E44" s="41"/>
      <c r="F44" s="42" t="n">
        <f aca="false">Valuation!B30</f>
        <v>-1510350.70448108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50" t="n">
        <v>1</v>
      </c>
      <c r="S2" s="50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1180182.39164623</v>
      </c>
      <c r="C7" s="36" t="n">
        <f aca="false">'P&amp;L'!C5</f>
        <v>1846649.01829223</v>
      </c>
      <c r="D7" s="36" t="n">
        <f aca="false">'P&amp;L'!D5</f>
        <v>2170291.60192013</v>
      </c>
      <c r="H7" s="36" t="n">
        <f aca="false">INDEX(Monthly!$C$37:$AL$37,($R$2-1)*12+1)</f>
        <v>47943.358</v>
      </c>
      <c r="I7" s="36" t="n">
        <f aca="false">INDEX(Monthly!$C$37:$AL$37,($R$2-1)*12+2)</f>
        <v>54448.9359022222</v>
      </c>
      <c r="J7" s="36" t="n">
        <f aca="false">INDEX(Monthly!$C$37:$AL$37,($R$2-1)*12+3)</f>
        <v>72773.4017994667</v>
      </c>
      <c r="K7" s="36" t="n">
        <f aca="false">INDEX(Monthly!$C$37:$AL$37,($R$2-1)*12+4)</f>
        <v>81051.8988385991</v>
      </c>
      <c r="L7" s="36" t="n">
        <f aca="false">INDEX(Monthly!$C$37:$AL$37,($R$2-1)*12+5)</f>
        <v>89490.2764406107</v>
      </c>
      <c r="M7" s="36" t="n">
        <f aca="false">INDEX(Monthly!$C$37:$AL$37,($R$2-1)*12+6)</f>
        <v>98082.1393829863</v>
      </c>
      <c r="N7" s="36" t="n">
        <f aca="false">INDEX(Monthly!$C$37:$AL$37,($R$2-1)*12+7)</f>
        <v>106821.348252111</v>
      </c>
      <c r="O7" s="36" t="n">
        <f aca="false">INDEX(Monthly!$C$37:$AL$37,($R$2-1)*12+8)</f>
        <v>115702.009210916</v>
      </c>
      <c r="P7" s="36" t="n">
        <f aca="false">INDEX(Monthly!$C$37:$AL$37,($R$2-1)*12+9)</f>
        <v>124718.464175812</v>
      </c>
      <c r="Q7" s="36" t="n">
        <f aca="false">INDEX(Monthly!$C$37:$AL$37,($R$2-1)*12+10)</f>
        <v>133865.281386558</v>
      </c>
      <c r="R7" s="36" t="n">
        <f aca="false">INDEX(Monthly!$C$37:$AL$37,($R$2-1)*12+11)</f>
        <v>136545.550131095</v>
      </c>
      <c r="S7" s="36" t="n">
        <f aca="false">INDEX(Monthly!$C$37:$AL$37,($R$2-1)*12+12)</f>
        <v>118739.728125852</v>
      </c>
    </row>
    <row r="8" customFormat="false" ht="15" hidden="false" customHeight="false" outlineLevel="0" collapsed="false">
      <c r="A8" s="52" t="s">
        <v>76</v>
      </c>
      <c r="B8" s="36" t="n">
        <f aca="false">'P&amp;L'!B6</f>
        <v>-180421.598916524</v>
      </c>
      <c r="C8" s="36" t="n">
        <f aca="false">'P&amp;L'!C6</f>
        <v>-294727.996003726</v>
      </c>
      <c r="D8" s="36" t="n">
        <f aca="false">'P&amp;L'!D6</f>
        <v>-357141.250598515</v>
      </c>
      <c r="H8" s="36" t="n">
        <f aca="false">INDEX(Monthly!$C$45:$AL$45,($R$2-1)*12+1)</f>
        <v>-7071.9457459</v>
      </c>
      <c r="I8" s="36" t="n">
        <f aca="false">INDEX(Monthly!$C$45:$AL$45,($R$2-1)*12+2)</f>
        <v>-8031.44880631956</v>
      </c>
      <c r="J8" s="36" t="n">
        <f aca="false">INDEX(Monthly!$C$45:$AL$45,($R$2-1)*12+3)</f>
        <v>-11076.8352569627</v>
      </c>
      <c r="K8" s="36" t="n">
        <f aca="false">INDEX(Monthly!$C$45:$AL$45,($R$2-1)*12+4)</f>
        <v>-12361.6968813842</v>
      </c>
      <c r="L8" s="36" t="n">
        <f aca="false">INDEX(Monthly!$C$45:$AL$45,($R$2-1)*12+5)</f>
        <v>-13678.7184810288</v>
      </c>
      <c r="M8" s="36" t="n">
        <f aca="false">INDEX(Monthly!$C$45:$AL$45,($R$2-1)*12+6)</f>
        <v>-15026.6136568877</v>
      </c>
      <c r="N8" s="36" t="n">
        <f aca="false">INDEX(Monthly!$C$45:$AL$45,($R$2-1)*12+7)</f>
        <v>-16404.1474659122</v>
      </c>
      <c r="O8" s="36" t="n">
        <f aca="false">INDEX(Monthly!$C$45:$AL$45,($R$2-1)*12+8)</f>
        <v>-17810.1343627757</v>
      </c>
      <c r="P8" s="36" t="n">
        <f aca="false">INDEX(Monthly!$C$45:$AL$45,($R$2-1)*12+9)</f>
        <v>-19243.4362239647</v>
      </c>
      <c r="Q8" s="36" t="n">
        <f aca="false">INDEX(Monthly!$C$45:$AL$45,($R$2-1)*12+10)</f>
        <v>-20702.9604509061</v>
      </c>
      <c r="R8" s="36" t="n">
        <f aca="false">INDEX(Monthly!$C$45:$AL$45,($R$2-1)*12+11)</f>
        <v>-21242.0965088698</v>
      </c>
      <c r="S8" s="36" t="n">
        <f aca="false">INDEX(Monthly!$C$45:$AL$45,($R$2-1)*12+12)</f>
        <v>-17771.5650756123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999760.792729705</v>
      </c>
      <c r="C9" s="38" t="n">
        <f aca="false">'P&amp;L'!C7</f>
        <v>1551921.0222885</v>
      </c>
      <c r="D9" s="38" t="n">
        <f aca="false">'P&amp;L'!D7</f>
        <v>1813150.35132162</v>
      </c>
      <c r="E9" s="37"/>
      <c r="F9" s="37"/>
      <c r="H9" s="38" t="n">
        <f aca="false">INDEX(Monthly!$C$46:$AL$46,($R$2-1)*12+1)</f>
        <v>40871.4122541</v>
      </c>
      <c r="I9" s="38" t="n">
        <f aca="false">INDEX(Monthly!$C$46:$AL$46,($R$2-1)*12+2)</f>
        <v>46417.4870959027</v>
      </c>
      <c r="J9" s="38" t="n">
        <f aca="false">INDEX(Monthly!$C$46:$AL$46,($R$2-1)*12+3)</f>
        <v>61696.566542504</v>
      </c>
      <c r="K9" s="38" t="n">
        <f aca="false">INDEX(Monthly!$C$46:$AL$46,($R$2-1)*12+4)</f>
        <v>68690.2019572149</v>
      </c>
      <c r="L9" s="38" t="n">
        <f aca="false">INDEX(Monthly!$C$46:$AL$46,($R$2-1)*12+5)</f>
        <v>75811.5579595819</v>
      </c>
      <c r="M9" s="38" t="n">
        <f aca="false">INDEX(Monthly!$C$46:$AL$46,($R$2-1)*12+6)</f>
        <v>83055.5257260986</v>
      </c>
      <c r="N9" s="38" t="n">
        <f aca="false">INDEX(Monthly!$C$46:$AL$46,($R$2-1)*12+7)</f>
        <v>90417.2007861991</v>
      </c>
      <c r="O9" s="38" t="n">
        <f aca="false">INDEX(Monthly!$C$46:$AL$46,($R$2-1)*12+8)</f>
        <v>97891.87484814</v>
      </c>
      <c r="P9" s="38" t="n">
        <f aca="false">INDEX(Monthly!$C$46:$AL$46,($R$2-1)*12+9)</f>
        <v>105475.027951848</v>
      </c>
      <c r="Q9" s="38" t="n">
        <f aca="false">INDEX(Monthly!$C$46:$AL$46,($R$2-1)*12+10)</f>
        <v>113162.320935652</v>
      </c>
      <c r="R9" s="38" t="n">
        <f aca="false">INDEX(Monthly!$C$46:$AL$46,($R$2-1)*12+11)</f>
        <v>115303.453622226</v>
      </c>
      <c r="S9" s="38" t="n">
        <f aca="false">INDEX(Monthly!$C$46:$AL$46,($R$2-1)*12+12)</f>
        <v>100968.163050239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0.847123969825669</v>
      </c>
      <c r="C10" s="40" t="n">
        <f aca="false">'P&amp;L'!C8</f>
        <v>0.840398476871209</v>
      </c>
      <c r="D10" s="40" t="n">
        <f aca="false">'P&amp;L'!D8</f>
        <v>0.835440891775769</v>
      </c>
      <c r="H10" s="40" t="n">
        <f aca="false">IF(H7=0,0,H9/H7)</f>
        <v>0.852493733419758</v>
      </c>
      <c r="I10" s="40" t="n">
        <f aca="false">IF(I7=0,0,I9/I7)</f>
        <v>0.852495761887024</v>
      </c>
      <c r="J10" s="40" t="n">
        <f aca="false">IF(J7=0,0,J9/J7)</f>
        <v>0.847790058138468</v>
      </c>
      <c r="K10" s="40" t="n">
        <f aca="false">IF(K7=0,0,K9/K7)</f>
        <v>0.847484179167716</v>
      </c>
      <c r="L10" s="40" t="n">
        <f aca="false">IF(L7=0,0,L9/L7)</f>
        <v>0.847148550377911</v>
      </c>
      <c r="M10" s="40" t="n">
        <f aca="false">IF(M7=0,0,M9/M7)</f>
        <v>0.84679561690419</v>
      </c>
      <c r="N10" s="40" t="n">
        <f aca="false">IF(N7=0,0,N9/N7)</f>
        <v>0.846433809960941</v>
      </c>
      <c r="O10" s="40" t="n">
        <f aca="false">IF(O7=0,0,O9/O7)</f>
        <v>0.846068927547237</v>
      </c>
      <c r="P10" s="40" t="n">
        <f aca="false">IF(P7=0,0,P9/P7)</f>
        <v>0.845704993634</v>
      </c>
      <c r="Q10" s="40" t="n">
        <f aca="false">IF(Q7=0,0,Q9/Q7)</f>
        <v>0.845344810570241</v>
      </c>
      <c r="R10" s="40" t="n">
        <f aca="false">IF(R7=0,0,R9/R7)</f>
        <v>0.844432158437418</v>
      </c>
      <c r="S10" s="40" t="n">
        <f aca="false">IF(S7=0,0,S9/S7)</f>
        <v>0.850331768851818</v>
      </c>
    </row>
    <row r="11" customFormat="false" ht="15" hidden="false" customHeight="false" outlineLevel="0" collapsed="false">
      <c r="A11" s="52" t="s">
        <v>77</v>
      </c>
      <c r="B11" s="36" t="n">
        <f aca="false">'P&amp;L'!B14</f>
        <v>-1123040</v>
      </c>
      <c r="C11" s="36" t="n">
        <f aca="false">'P&amp;L'!C14</f>
        <v>-1123611.2</v>
      </c>
      <c r="D11" s="36" t="n">
        <f aca="false">'P&amp;L'!D14</f>
        <v>-1130823.536</v>
      </c>
      <c r="H11" s="36" t="n">
        <f aca="false">INDEX(Monthly!$C$54:$AL$54,($R$2-1)*12+1)</f>
        <v>-93586.6666666667</v>
      </c>
      <c r="I11" s="36" t="n">
        <f aca="false">INDEX(Monthly!$C$54:$AL$54,($R$2-1)*12+2)</f>
        <v>-93586.6666666667</v>
      </c>
      <c r="J11" s="36" t="n">
        <f aca="false">INDEX(Monthly!$C$54:$AL$54,($R$2-1)*12+3)</f>
        <v>-93586.6666666667</v>
      </c>
      <c r="K11" s="36" t="n">
        <f aca="false">INDEX(Monthly!$C$54:$AL$54,($R$2-1)*12+4)</f>
        <v>-93586.6666666667</v>
      </c>
      <c r="L11" s="36" t="n">
        <f aca="false">INDEX(Monthly!$C$54:$AL$54,($R$2-1)*12+5)</f>
        <v>-93586.6666666667</v>
      </c>
      <c r="M11" s="36" t="n">
        <f aca="false">INDEX(Monthly!$C$54:$AL$54,($R$2-1)*12+6)</f>
        <v>-93586.6666666667</v>
      </c>
      <c r="N11" s="36" t="n">
        <f aca="false">INDEX(Monthly!$C$54:$AL$54,($R$2-1)*12+7)</f>
        <v>-93586.6666666667</v>
      </c>
      <c r="O11" s="36" t="n">
        <f aca="false">INDEX(Monthly!$C$54:$AL$54,($R$2-1)*12+8)</f>
        <v>-93586.6666666667</v>
      </c>
      <c r="P11" s="36" t="n">
        <f aca="false">INDEX(Monthly!$C$54:$AL$54,($R$2-1)*12+9)</f>
        <v>-93586.6666666667</v>
      </c>
      <c r="Q11" s="36" t="n">
        <f aca="false">INDEX(Monthly!$C$54:$AL$54,($R$2-1)*12+10)</f>
        <v>-93586.6666666667</v>
      </c>
      <c r="R11" s="36" t="n">
        <f aca="false">INDEX(Monthly!$C$54:$AL$54,($R$2-1)*12+11)</f>
        <v>-93586.6666666667</v>
      </c>
      <c r="S11" s="36" t="n">
        <f aca="false">INDEX(Monthly!$C$54:$AL$54,($R$2-1)*12+12)</f>
        <v>-93586.6666666667</v>
      </c>
    </row>
    <row r="12" customFormat="false" ht="15" hidden="false" customHeight="false" outlineLevel="0" collapsed="false">
      <c r="A12" s="37" t="s">
        <v>48</v>
      </c>
      <c r="B12" s="38" t="n">
        <f aca="false">'P&amp;L'!B15</f>
        <v>-123279.207270295</v>
      </c>
      <c r="C12" s="38" t="n">
        <f aca="false">'P&amp;L'!C15</f>
        <v>428309.8222885</v>
      </c>
      <c r="D12" s="38" t="n">
        <f aca="false">'P&amp;L'!D15</f>
        <v>682326.815321617</v>
      </c>
      <c r="E12" s="37"/>
      <c r="F12" s="37"/>
      <c r="H12" s="38" t="n">
        <f aca="false">INDEX(Monthly!$C$55:$AL$55,($R$2-1)*12+1)</f>
        <v>-52715.2544125667</v>
      </c>
      <c r="I12" s="38" t="n">
        <f aca="false">INDEX(Monthly!$C$55:$AL$55,($R$2-1)*12+2)</f>
        <v>-47169.179570764</v>
      </c>
      <c r="J12" s="38" t="n">
        <f aca="false">INDEX(Monthly!$C$55:$AL$55,($R$2-1)*12+3)</f>
        <v>-31890.1001241627</v>
      </c>
      <c r="K12" s="38" t="n">
        <f aca="false">INDEX(Monthly!$C$55:$AL$55,($R$2-1)*12+4)</f>
        <v>-24896.4647094518</v>
      </c>
      <c r="L12" s="38" t="n">
        <f aca="false">INDEX(Monthly!$C$55:$AL$55,($R$2-1)*12+5)</f>
        <v>-17775.1087070848</v>
      </c>
      <c r="M12" s="38" t="n">
        <f aca="false">INDEX(Monthly!$C$55:$AL$55,($R$2-1)*12+6)</f>
        <v>-10531.1409405681</v>
      </c>
      <c r="N12" s="38" t="n">
        <f aca="false">INDEX(Monthly!$C$55:$AL$55,($R$2-1)*12+7)</f>
        <v>-3169.46588046759</v>
      </c>
      <c r="O12" s="38" t="n">
        <f aca="false">INDEX(Monthly!$C$55:$AL$55,($R$2-1)*12+8)</f>
        <v>4305.20818147335</v>
      </c>
      <c r="P12" s="38" t="n">
        <f aca="false">INDEX(Monthly!$C$55:$AL$55,($R$2-1)*12+9)</f>
        <v>11888.3612851811</v>
      </c>
      <c r="Q12" s="38" t="n">
        <f aca="false">INDEX(Monthly!$C$55:$AL$55,($R$2-1)*12+10)</f>
        <v>19575.654268985</v>
      </c>
      <c r="R12" s="38" t="n">
        <f aca="false">INDEX(Monthly!$C$55:$AL$55,($R$2-1)*12+11)</f>
        <v>21716.7869555589</v>
      </c>
      <c r="S12" s="38" t="n">
        <f aca="false">INDEX(Monthly!$C$55:$AL$55,($R$2-1)*12+12)</f>
        <v>7381.49638357262</v>
      </c>
    </row>
    <row r="13" customFormat="false" ht="15" hidden="false" customHeight="false" outlineLevel="0" collapsed="false">
      <c r="A13" s="39" t="s">
        <v>49</v>
      </c>
      <c r="B13" s="40" t="n">
        <f aca="false">'P&amp;L'!B16</f>
        <v>-0.104457758515049</v>
      </c>
      <c r="C13" s="40" t="n">
        <f aca="false">'P&amp;L'!C16</f>
        <v>0.231938943484019</v>
      </c>
      <c r="D13" s="40" t="n">
        <f aca="false">'P&amp;L'!D16</f>
        <v>0.314394072537506</v>
      </c>
      <c r="H13" s="40" t="n">
        <f aca="false">IF(H7=0,0,H12/H7)</f>
        <v>-1.09953196045564</v>
      </c>
      <c r="I13" s="40" t="n">
        <f aca="false">IF(I7=0,0,I12/I7)</f>
        <v>-0.866301219466787</v>
      </c>
      <c r="J13" s="40" t="n">
        <f aca="false">IF(J7=0,0,J12/J7)</f>
        <v>-0.438210930582009</v>
      </c>
      <c r="K13" s="40" t="n">
        <f aca="false">IF(K7=0,0,K12/K7)</f>
        <v>-0.307166951869059</v>
      </c>
      <c r="L13" s="40" t="n">
        <f aca="false">IF(L7=0,0,L12/L7)</f>
        <v>-0.198626145924145</v>
      </c>
      <c r="M13" s="40" t="n">
        <f aca="false">IF(M7=0,0,M12/M7)</f>
        <v>-0.107370628402044</v>
      </c>
      <c r="N13" s="40" t="n">
        <f aca="false">IF(N7=0,0,N12/N7)</f>
        <v>-0.0296707159414171</v>
      </c>
      <c r="O13" s="40" t="n">
        <f aca="false">IF(O7=0,0,O12/O7)</f>
        <v>0.0372094504739783</v>
      </c>
      <c r="P13" s="40" t="n">
        <f aca="false">IF(P7=0,0,P12/P7)</f>
        <v>0.0953215818022131</v>
      </c>
      <c r="Q13" s="40" t="n">
        <f aca="false">IF(Q7=0,0,Q12/Q7)</f>
        <v>0.146233990368698</v>
      </c>
      <c r="R13" s="40" t="n">
        <f aca="false">IF(R7=0,0,R12/R7)</f>
        <v>0.159044267167322</v>
      </c>
      <c r="S13" s="40" t="n">
        <f aca="false">IF(S7=0,0,S12/S7)</f>
        <v>0.0621653468479313</v>
      </c>
    </row>
    <row r="14" customFormat="false" ht="15" hidden="false" customHeight="false" outlineLevel="0" collapsed="false">
      <c r="A14" s="52" t="s">
        <v>78</v>
      </c>
      <c r="B14" s="36" t="n">
        <f aca="false">'P&amp;L'!B17</f>
        <v>-341666.666666667</v>
      </c>
      <c r="C14" s="36" t="n">
        <f aca="false">'P&amp;L'!C17</f>
        <v>-345000</v>
      </c>
      <c r="D14" s="36" t="n">
        <f aca="false">'P&amp;L'!D17</f>
        <v>-348333.333333333</v>
      </c>
      <c r="H14" s="36" t="n">
        <f aca="false">INDEX(Monthly!$C$75:$AL$75,($R$2-1)*12+1)</f>
        <v>-28472.2222222222</v>
      </c>
      <c r="I14" s="36" t="n">
        <f aca="false">INDEX(Monthly!$C$75:$AL$75,($R$2-1)*12+2)</f>
        <v>-28472.2222222222</v>
      </c>
      <c r="J14" s="36" t="n">
        <f aca="false">INDEX(Monthly!$C$75:$AL$75,($R$2-1)*12+3)</f>
        <v>-28472.2222222222</v>
      </c>
      <c r="K14" s="36" t="n">
        <f aca="false">INDEX(Monthly!$C$75:$AL$75,($R$2-1)*12+4)</f>
        <v>-28472.2222222222</v>
      </c>
      <c r="L14" s="36" t="n">
        <f aca="false">INDEX(Monthly!$C$75:$AL$75,($R$2-1)*12+5)</f>
        <v>-28472.2222222222</v>
      </c>
      <c r="M14" s="36" t="n">
        <f aca="false">INDEX(Monthly!$C$75:$AL$75,($R$2-1)*12+6)</f>
        <v>-28472.2222222222</v>
      </c>
      <c r="N14" s="36" t="n">
        <f aca="false">INDEX(Monthly!$C$75:$AL$75,($R$2-1)*12+7)</f>
        <v>-28472.2222222222</v>
      </c>
      <c r="O14" s="36" t="n">
        <f aca="false">INDEX(Monthly!$C$75:$AL$75,($R$2-1)*12+8)</f>
        <v>-28472.2222222222</v>
      </c>
      <c r="P14" s="36" t="n">
        <f aca="false">INDEX(Monthly!$C$75:$AL$75,($R$2-1)*12+9)</f>
        <v>-28472.2222222222</v>
      </c>
      <c r="Q14" s="36" t="n">
        <f aca="false">INDEX(Monthly!$C$75:$AL$75,($R$2-1)*12+10)</f>
        <v>-28472.2222222222</v>
      </c>
      <c r="R14" s="36" t="n">
        <f aca="false">INDEX(Monthly!$C$75:$AL$75,($R$2-1)*12+11)</f>
        <v>-28472.2222222222</v>
      </c>
      <c r="S14" s="36" t="n">
        <f aca="false">INDEX(Monthly!$C$75:$AL$75,($R$2-1)*12+12)</f>
        <v>-28472.2222222222</v>
      </c>
    </row>
    <row r="15" customFormat="false" ht="15" hidden="false" customHeight="false" outlineLevel="0" collapsed="false">
      <c r="A15" s="37" t="s">
        <v>79</v>
      </c>
      <c r="B15" s="38" t="n">
        <f aca="false">'P&amp;L'!B18</f>
        <v>-464945.873936961</v>
      </c>
      <c r="C15" s="38" t="n">
        <f aca="false">'P&amp;L'!C18</f>
        <v>83309.8222884995</v>
      </c>
      <c r="D15" s="38" t="n">
        <f aca="false">'P&amp;L'!D18</f>
        <v>333993.481988284</v>
      </c>
      <c r="E15" s="37"/>
      <c r="F15" s="37"/>
      <c r="H15" s="38" t="n">
        <f aca="false">INDEX(Monthly!$C$58:$AL$58,($R$2-1)*12+1)</f>
        <v>-81187.4766347889</v>
      </c>
      <c r="I15" s="38" t="n">
        <f aca="false">INDEX(Monthly!$C$58:$AL$58,($R$2-1)*12+2)</f>
        <v>-75641.4017929862</v>
      </c>
      <c r="J15" s="38" t="n">
        <f aca="false">INDEX(Monthly!$C$58:$AL$58,($R$2-1)*12+3)</f>
        <v>-60362.3223463849</v>
      </c>
      <c r="K15" s="38" t="n">
        <f aca="false">INDEX(Monthly!$C$58:$AL$58,($R$2-1)*12+4)</f>
        <v>-53368.686931674</v>
      </c>
      <c r="L15" s="38" t="n">
        <f aca="false">INDEX(Monthly!$C$58:$AL$58,($R$2-1)*12+5)</f>
        <v>-46247.330929307</v>
      </c>
      <c r="M15" s="38" t="n">
        <f aca="false">INDEX(Monthly!$C$58:$AL$58,($R$2-1)*12+6)</f>
        <v>-39003.3631627903</v>
      </c>
      <c r="N15" s="38" t="n">
        <f aca="false">INDEX(Monthly!$C$58:$AL$58,($R$2-1)*12+7)</f>
        <v>-31641.6881026898</v>
      </c>
      <c r="O15" s="38" t="n">
        <f aca="false">INDEX(Monthly!$C$58:$AL$58,($R$2-1)*12+8)</f>
        <v>-24167.0140407489</v>
      </c>
      <c r="P15" s="38" t="n">
        <f aca="false">INDEX(Monthly!$C$58:$AL$58,($R$2-1)*12+9)</f>
        <v>-16583.8609370411</v>
      </c>
      <c r="Q15" s="38" t="n">
        <f aca="false">INDEX(Monthly!$C$58:$AL$58,($R$2-1)*12+10)</f>
        <v>-8896.56795323726</v>
      </c>
      <c r="R15" s="38" t="n">
        <f aca="false">INDEX(Monthly!$C$58:$AL$58,($R$2-1)*12+11)</f>
        <v>-6755.43526666334</v>
      </c>
      <c r="S15" s="38" t="n">
        <f aca="false">INDEX(Monthly!$C$58:$AL$58,($R$2-1)*12+12)</f>
        <v>-21090.7258386496</v>
      </c>
    </row>
    <row r="16" customFormat="false" ht="15" hidden="false" customHeight="false" outlineLevel="0" collapsed="false">
      <c r="A16" s="52" t="s">
        <v>80</v>
      </c>
      <c r="B16" s="36" t="n">
        <f aca="false">'P&amp;L'!B19</f>
        <v>-244286.458333333</v>
      </c>
      <c r="C16" s="36" t="n">
        <f aca="false">'P&amp;L'!C19</f>
        <v>-218875</v>
      </c>
      <c r="D16" s="36" t="n">
        <f aca="false">'P&amp;L'!D19</f>
        <v>-193375</v>
      </c>
      <c r="H16" s="36" t="n">
        <f aca="false">INDEX(Monthly!$C$59:$AL$59,($R$2-1)*12+1)</f>
        <v>-21250</v>
      </c>
      <c r="I16" s="36" t="n">
        <f aca="false">INDEX(Monthly!$C$59:$AL$59,($R$2-1)*12+2)</f>
        <v>-21161.4583333333</v>
      </c>
      <c r="J16" s="36" t="n">
        <f aca="false">INDEX(Monthly!$C$59:$AL$59,($R$2-1)*12+3)</f>
        <v>-20984.375</v>
      </c>
      <c r="K16" s="36" t="n">
        <f aca="false">INDEX(Monthly!$C$59:$AL$59,($R$2-1)*12+4)</f>
        <v>-20807.2916666667</v>
      </c>
      <c r="L16" s="36" t="n">
        <f aca="false">INDEX(Monthly!$C$59:$AL$59,($R$2-1)*12+5)</f>
        <v>-20630.2083333333</v>
      </c>
      <c r="M16" s="36" t="n">
        <f aca="false">INDEX(Monthly!$C$59:$AL$59,($R$2-1)*12+6)</f>
        <v>-20453.125</v>
      </c>
      <c r="N16" s="36" t="n">
        <f aca="false">INDEX(Monthly!$C$59:$AL$59,($R$2-1)*12+7)</f>
        <v>-20276.0416666667</v>
      </c>
      <c r="O16" s="36" t="n">
        <f aca="false">INDEX(Monthly!$C$59:$AL$59,($R$2-1)*12+8)</f>
        <v>-20098.9583333333</v>
      </c>
      <c r="P16" s="36" t="n">
        <f aca="false">INDEX(Monthly!$C$59:$AL$59,($R$2-1)*12+9)</f>
        <v>-19921.875</v>
      </c>
      <c r="Q16" s="36" t="n">
        <f aca="false">INDEX(Monthly!$C$59:$AL$59,($R$2-1)*12+10)</f>
        <v>-19744.7916666667</v>
      </c>
      <c r="R16" s="36" t="n">
        <f aca="false">INDEX(Monthly!$C$59:$AL$59,($R$2-1)*12+11)</f>
        <v>-19567.7083333333</v>
      </c>
      <c r="S16" s="36" t="n">
        <f aca="false">INDEX(Monthly!$C$59:$AL$59,($R$2-1)*12+12)</f>
        <v>-19390.625</v>
      </c>
    </row>
    <row r="17" customFormat="false" ht="15" hidden="false" customHeight="false" outlineLevel="0" collapsed="false">
      <c r="A17" s="52" t="s">
        <v>81</v>
      </c>
      <c r="B17" s="36" t="n">
        <f aca="false">'P&amp;L'!B20</f>
        <v>-709232.332270295</v>
      </c>
      <c r="C17" s="36" t="n">
        <f aca="false">'P&amp;L'!C20</f>
        <v>-135565.177711501</v>
      </c>
      <c r="D17" s="36" t="n">
        <f aca="false">'P&amp;L'!D20</f>
        <v>140618.481988284</v>
      </c>
      <c r="H17" s="36" t="n">
        <f aca="false">INDEX(Monthly!$C$60:$AL$60,($R$2-1)*12+1)</f>
        <v>-102437.476634789</v>
      </c>
      <c r="I17" s="36" t="n">
        <f aca="false">INDEX(Monthly!$C$60:$AL$60,($R$2-1)*12+2)</f>
        <v>-96802.8601263196</v>
      </c>
      <c r="J17" s="36" t="n">
        <f aca="false">INDEX(Monthly!$C$60:$AL$60,($R$2-1)*12+3)</f>
        <v>-81346.6973463849</v>
      </c>
      <c r="K17" s="36" t="n">
        <f aca="false">INDEX(Monthly!$C$60:$AL$60,($R$2-1)*12+4)</f>
        <v>-74175.9785983407</v>
      </c>
      <c r="L17" s="36" t="n">
        <f aca="false">INDEX(Monthly!$C$60:$AL$60,($R$2-1)*12+5)</f>
        <v>-66877.5392626404</v>
      </c>
      <c r="M17" s="36" t="n">
        <f aca="false">INDEX(Monthly!$C$60:$AL$60,($R$2-1)*12+6)</f>
        <v>-59456.4881627903</v>
      </c>
      <c r="N17" s="36" t="n">
        <f aca="false">INDEX(Monthly!$C$60:$AL$60,($R$2-1)*12+7)</f>
        <v>-51917.7297693565</v>
      </c>
      <c r="O17" s="36" t="n">
        <f aca="false">INDEX(Monthly!$C$60:$AL$60,($R$2-1)*12+8)</f>
        <v>-44265.9723740822</v>
      </c>
      <c r="P17" s="36" t="n">
        <f aca="false">INDEX(Monthly!$C$60:$AL$60,($R$2-1)*12+9)</f>
        <v>-36505.7359370411</v>
      </c>
      <c r="Q17" s="36" t="n">
        <f aca="false">INDEX(Monthly!$C$60:$AL$60,($R$2-1)*12+10)</f>
        <v>-28641.3596199039</v>
      </c>
      <c r="R17" s="36" t="n">
        <f aca="false">INDEX(Monthly!$C$60:$AL$60,($R$2-1)*12+11)</f>
        <v>-26323.1435999967</v>
      </c>
      <c r="S17" s="36" t="n">
        <f aca="false">INDEX(Monthly!$C$60:$AL$60,($R$2-1)*12+12)</f>
        <v>-40481.3508386496</v>
      </c>
    </row>
    <row r="18" customFormat="false" ht="15" hidden="false" customHeight="false" outlineLevel="0" collapsed="false">
      <c r="A18" s="52" t="s">
        <v>82</v>
      </c>
      <c r="B18" s="36" t="n">
        <f aca="false">'P&amp;L'!B21</f>
        <v>0</v>
      </c>
      <c r="C18" s="36" t="n">
        <f aca="false">'P&amp;L'!C21</f>
        <v>0</v>
      </c>
      <c r="D18" s="36" t="n">
        <f aca="false">'P&amp;L'!D21</f>
        <v>0</v>
      </c>
      <c r="H18" s="36" t="n">
        <f aca="false">INDEX(Monthly!$C$63:$AL$63,($R$2-1)*12+1)</f>
        <v>-0</v>
      </c>
      <c r="I18" s="36" t="n">
        <f aca="false">INDEX(Monthly!$C$63:$AL$63,($R$2-1)*12+2)</f>
        <v>-0</v>
      </c>
      <c r="J18" s="36" t="n">
        <f aca="false">INDEX(Monthly!$C$63:$AL$63,($R$2-1)*12+3)</f>
        <v>-0</v>
      </c>
      <c r="K18" s="36" t="n">
        <f aca="false">INDEX(Monthly!$C$63:$AL$63,($R$2-1)*12+4)</f>
        <v>-0</v>
      </c>
      <c r="L18" s="36" t="n">
        <f aca="false">INDEX(Monthly!$C$63:$AL$63,($R$2-1)*12+5)</f>
        <v>-0</v>
      </c>
      <c r="M18" s="36" t="n">
        <f aca="false">INDEX(Monthly!$C$63:$AL$63,($R$2-1)*12+6)</f>
        <v>-0</v>
      </c>
      <c r="N18" s="36" t="n">
        <f aca="false">INDEX(Monthly!$C$63:$AL$63,($R$2-1)*12+7)</f>
        <v>-0</v>
      </c>
      <c r="O18" s="36" t="n">
        <f aca="false">INDEX(Monthly!$C$63:$AL$63,($R$2-1)*12+8)</f>
        <v>-0</v>
      </c>
      <c r="P18" s="36" t="n">
        <f aca="false">INDEX(Monthly!$C$63:$AL$63,($R$2-1)*12+9)</f>
        <v>-0</v>
      </c>
      <c r="Q18" s="36" t="n">
        <f aca="false">INDEX(Monthly!$C$63:$AL$63,($R$2-1)*12+10)</f>
        <v>-0</v>
      </c>
      <c r="R18" s="36" t="n">
        <f aca="false">INDEX(Monthly!$C$63:$AL$63,($R$2-1)*12+11)</f>
        <v>-0</v>
      </c>
      <c r="S18" s="36" t="n">
        <f aca="false">INDEX(Monthly!$C$63:$AL$63,($R$2-1)*12+12)</f>
        <v>-0</v>
      </c>
    </row>
    <row r="19" customFormat="false" ht="15" hidden="false" customHeight="false" outlineLevel="0" collapsed="false">
      <c r="A19" s="41" t="s">
        <v>50</v>
      </c>
      <c r="B19" s="42" t="n">
        <f aca="false">'P&amp;L'!B22</f>
        <v>-709232.332270295</v>
      </c>
      <c r="C19" s="42" t="n">
        <f aca="false">'P&amp;L'!C22</f>
        <v>-135565.177711501</v>
      </c>
      <c r="D19" s="42" t="n">
        <f aca="false">'P&amp;L'!D22</f>
        <v>140618.481988284</v>
      </c>
      <c r="E19" s="41"/>
      <c r="F19" s="41"/>
      <c r="H19" s="42" t="n">
        <f aca="false">INDEX(Monthly!$C$64:$AL$64,($R$2-1)*12+1)</f>
        <v>-102437.476634789</v>
      </c>
      <c r="I19" s="42" t="n">
        <f aca="false">INDEX(Monthly!$C$64:$AL$64,($R$2-1)*12+2)</f>
        <v>-96802.8601263196</v>
      </c>
      <c r="J19" s="42" t="n">
        <f aca="false">INDEX(Monthly!$C$64:$AL$64,($R$2-1)*12+3)</f>
        <v>-81346.6973463849</v>
      </c>
      <c r="K19" s="42" t="n">
        <f aca="false">INDEX(Monthly!$C$64:$AL$64,($R$2-1)*12+4)</f>
        <v>-74175.9785983407</v>
      </c>
      <c r="L19" s="42" t="n">
        <f aca="false">INDEX(Monthly!$C$64:$AL$64,($R$2-1)*12+5)</f>
        <v>-66877.5392626404</v>
      </c>
      <c r="M19" s="42" t="n">
        <f aca="false">INDEX(Monthly!$C$64:$AL$64,($R$2-1)*12+6)</f>
        <v>-59456.4881627903</v>
      </c>
      <c r="N19" s="42" t="n">
        <f aca="false">INDEX(Monthly!$C$64:$AL$64,($R$2-1)*12+7)</f>
        <v>-51917.7297693565</v>
      </c>
      <c r="O19" s="42" t="n">
        <f aca="false">INDEX(Monthly!$C$64:$AL$64,($R$2-1)*12+8)</f>
        <v>-44265.9723740822</v>
      </c>
      <c r="P19" s="42" t="n">
        <f aca="false">INDEX(Monthly!$C$64:$AL$64,($R$2-1)*12+9)</f>
        <v>-36505.7359370411</v>
      </c>
      <c r="Q19" s="42" t="n">
        <f aca="false">INDEX(Monthly!$C$64:$AL$64,($R$2-1)*12+10)</f>
        <v>-28641.3596199039</v>
      </c>
      <c r="R19" s="42" t="n">
        <f aca="false">INDEX(Monthly!$C$64:$AL$64,($R$2-1)*12+11)</f>
        <v>-26323.1435999967</v>
      </c>
      <c r="S19" s="42" t="n">
        <f aca="false">INDEX(Monthly!$C$64:$AL$64,($R$2-1)*12+12)</f>
        <v>-40481.3508386496</v>
      </c>
    </row>
    <row r="20" customFormat="false" ht="15" hidden="false" customHeight="false" outlineLevel="0" collapsed="false">
      <c r="A20" s="39" t="s">
        <v>51</v>
      </c>
      <c r="B20" s="40" t="n">
        <f aca="false">'P&amp;L'!B23</f>
        <v>-0.600951460800047</v>
      </c>
      <c r="C20" s="40" t="n">
        <f aca="false">'P&amp;L'!C23</f>
        <v>-0.0734114476376625</v>
      </c>
      <c r="D20" s="40" t="n">
        <f aca="false">'P&amp;L'!D23</f>
        <v>0.0647924370457287</v>
      </c>
      <c r="H20" s="40" t="n">
        <f aca="false">IF(H7=0,0,H19/H7)</f>
        <v>-2.13663541537472</v>
      </c>
      <c r="I20" s="40" t="n">
        <f aca="false">IF(I7=0,0,I19/I7)</f>
        <v>-1.77786504956048</v>
      </c>
      <c r="J20" s="40" t="n">
        <f aca="false">IF(J7=0,0,J19/J7)</f>
        <v>-1.11780809107348</v>
      </c>
      <c r="K20" s="40" t="n">
        <f aca="false">IF(K7=0,0,K19/K7)</f>
        <v>-0.915166450894005</v>
      </c>
      <c r="L20" s="40" t="n">
        <f aca="false">IF(L7=0,0,L19/L7)</f>
        <v>-0.747316266332275</v>
      </c>
      <c r="M20" s="40" t="n">
        <f aca="false">IF(M7=0,0,M19/M7)</f>
        <v>-0.606190775780569</v>
      </c>
      <c r="N20" s="40" t="n">
        <f aca="false">IF(N7=0,0,N19/N7)</f>
        <v>-0.486023913935484</v>
      </c>
      <c r="O20" s="40" t="n">
        <f aca="false">IF(O7=0,0,O19/O7)</f>
        <v>-0.382586030060972</v>
      </c>
      <c r="P20" s="40" t="n">
        <f aca="false">IF(P7=0,0,P19/P7)</f>
        <v>-0.292705143366582</v>
      </c>
      <c r="Q20" s="40" t="n">
        <f aca="false">IF(Q7=0,0,Q19/Q7)</f>
        <v>-0.213956593698088</v>
      </c>
      <c r="R20" s="40" t="n">
        <f aca="false">IF(R7=0,0,R19/R7)</f>
        <v>-0.192779212319436</v>
      </c>
      <c r="S20" s="40" t="n">
        <f aca="false">IF(S7=0,0,S19/S7)</f>
        <v>-0.340925076026312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-367780.63594592</v>
      </c>
      <c r="C24" s="38" t="n">
        <f aca="false">'Cash Flow'!C10</f>
        <v>209654.47468913</v>
      </c>
      <c r="D24" s="38" t="n">
        <f aca="false">'Cash Flow'!D10</f>
        <v>489150.476090791</v>
      </c>
      <c r="E24" s="37"/>
      <c r="F24" s="37"/>
      <c r="H24" s="38" t="n">
        <f aca="false">INDEX(Monthly!$C$94:$AL$94,($R$2-1)*12+1)</f>
        <v>-74096.96845601</v>
      </c>
      <c r="I24" s="38" t="n">
        <f aca="false">INDEX(Monthly!$C$94:$AL$94,($R$2-1)*12+2)</f>
        <v>-68348.5584380637</v>
      </c>
      <c r="J24" s="38" t="n">
        <f aca="false">INDEX(Monthly!$C$94:$AL$94,($R$2-1)*12+3)</f>
        <v>-52776.4387220337</v>
      </c>
      <c r="K24" s="38" t="n">
        <f aca="false">INDEX(Monthly!$C$94:$AL$94,($R$2-1)*12+4)</f>
        <v>-45698.8828081446</v>
      </c>
      <c r="L24" s="38" t="n">
        <f aca="false">INDEX(Monthly!$C$94:$AL$94,($R$2-1)*12+5)</f>
        <v>-38397.1661873729</v>
      </c>
      <c r="M24" s="38" t="n">
        <f aca="false">INDEX(Monthly!$C$94:$AL$94,($R$2-1)*12+6)</f>
        <v>-30972.9688938543</v>
      </c>
      <c r="N24" s="38" t="n">
        <f aca="false">INDEX(Monthly!$C$94:$AL$94,($R$2-1)*12+7)</f>
        <v>-23431.1901544986</v>
      </c>
      <c r="O24" s="38" t="n">
        <f aca="false">INDEX(Monthly!$C$94:$AL$94,($R$2-1)*12+8)</f>
        <v>-15776.5332271394</v>
      </c>
      <c r="P24" s="38" t="n">
        <f aca="false">INDEX(Monthly!$C$94:$AL$94,($R$2-1)*12+9)</f>
        <v>-8013.5132392968</v>
      </c>
      <c r="Q24" s="38" t="n">
        <f aca="false">INDEX(Monthly!$C$94:$AL$94,($R$2-1)*12+10)</f>
        <v>-146.464713390115</v>
      </c>
      <c r="R24" s="38" t="n">
        <f aca="false">INDEX(Monthly!$C$94:$AL$94,($R$2-1)*12+11)</f>
        <v>2204.019664374</v>
      </c>
      <c r="S24" s="38" t="n">
        <f aca="false">INDEX(Monthly!$C$94:$AL$94,($R$2-1)*12+12)</f>
        <v>-12325.9707704894</v>
      </c>
    </row>
    <row r="25" customFormat="false" ht="15" hidden="false" customHeight="false" outlineLevel="0" collapsed="false">
      <c r="A25" s="52" t="s">
        <v>84</v>
      </c>
      <c r="B25" s="36" t="n">
        <f aca="false">'Cash Flow'!B11</f>
        <v>-4100000</v>
      </c>
      <c r="C25" s="36" t="n">
        <f aca="false">'Cash Flow'!C11</f>
        <v>-40000</v>
      </c>
      <c r="D25" s="36" t="n">
        <f aca="false">'Cash Flow'!D11</f>
        <v>-40000</v>
      </c>
      <c r="H25" s="36" t="n">
        <f aca="false">INDEX(Monthly!$C$95:$AL$95,($R$2-1)*12+1)</f>
        <v>-4100000</v>
      </c>
      <c r="I25" s="36" t="n">
        <f aca="false">INDEX(Monthly!$C$95:$AL$95,($R$2-1)*12+2)</f>
        <v>-0</v>
      </c>
      <c r="J25" s="36" t="n">
        <f aca="false">INDEX(Monthly!$C$95:$AL$95,($R$2-1)*12+3)</f>
        <v>-0</v>
      </c>
      <c r="K25" s="36" t="n">
        <f aca="false">INDEX(Monthly!$C$95:$AL$95,($R$2-1)*12+4)</f>
        <v>-0</v>
      </c>
      <c r="L25" s="36" t="n">
        <f aca="false">INDEX(Monthly!$C$95:$AL$95,($R$2-1)*12+5)</f>
        <v>-0</v>
      </c>
      <c r="M25" s="36" t="n">
        <f aca="false">INDEX(Monthly!$C$95:$AL$95,($R$2-1)*12+6)</f>
        <v>-0</v>
      </c>
      <c r="N25" s="36" t="n">
        <f aca="false">INDEX(Monthly!$C$95:$AL$95,($R$2-1)*12+7)</f>
        <v>-0</v>
      </c>
      <c r="O25" s="36" t="n">
        <f aca="false">INDEX(Monthly!$C$95:$AL$95,($R$2-1)*12+8)</f>
        <v>-0</v>
      </c>
      <c r="P25" s="36" t="n">
        <f aca="false">INDEX(Monthly!$C$95:$AL$95,($R$2-1)*12+9)</f>
        <v>-0</v>
      </c>
      <c r="Q25" s="36" t="n">
        <f aca="false">INDEX(Monthly!$C$95:$AL$95,($R$2-1)*12+10)</f>
        <v>-0</v>
      </c>
      <c r="R25" s="36" t="n">
        <f aca="false">INDEX(Monthly!$C$95:$AL$95,($R$2-1)*12+11)</f>
        <v>-0</v>
      </c>
      <c r="S25" s="36" t="n">
        <f aca="false">INDEX(Monthly!$C$95:$AL$95,($R$2-1)*12+12)</f>
        <v>-0</v>
      </c>
    </row>
    <row r="26" customFormat="false" ht="15" hidden="false" customHeight="false" outlineLevel="0" collapsed="false">
      <c r="A26" s="52" t="s">
        <v>64</v>
      </c>
      <c r="B26" s="36" t="n">
        <f aca="false">'Cash Flow'!B12</f>
        <v>2100000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INDEX(Monthly!$C$96:$AL$96,($R$2-1)*12+1)</f>
        <v>2100000</v>
      </c>
      <c r="I26" s="36" t="n">
        <f aca="false">INDEX(Monthly!$C$96:$AL$96,($R$2-1)*12+2)</f>
        <v>0</v>
      </c>
      <c r="J26" s="36" t="n">
        <f aca="false">INDEX(Monthly!$C$96:$AL$96,($R$2-1)*12+3)</f>
        <v>0</v>
      </c>
      <c r="K26" s="36" t="n">
        <f aca="false">INDEX(Monthly!$C$96:$AL$96,($R$2-1)*12+4)</f>
        <v>0</v>
      </c>
      <c r="L26" s="36" t="n">
        <f aca="false">INDEX(Monthly!$C$96:$AL$96,($R$2-1)*12+5)</f>
        <v>0</v>
      </c>
      <c r="M26" s="36" t="n">
        <f aca="false">INDEX(Monthly!$C$96:$AL$96,($R$2-1)*12+6)</f>
        <v>0</v>
      </c>
      <c r="N26" s="36" t="n">
        <f aca="false">INDEX(Monthly!$C$96:$AL$96,($R$2-1)*12+7)</f>
        <v>0</v>
      </c>
      <c r="O26" s="36" t="n">
        <f aca="false">INDEX(Monthly!$C$96:$AL$96,($R$2-1)*12+8)</f>
        <v>0</v>
      </c>
      <c r="P26" s="36" t="n">
        <f aca="false">INDEX(Monthly!$C$96:$AL$96,($R$2-1)*12+9)</f>
        <v>0</v>
      </c>
      <c r="Q26" s="36" t="n">
        <f aca="false">INDEX(Monthly!$C$96:$AL$96,($R$2-1)*12+10)</f>
        <v>0</v>
      </c>
      <c r="R26" s="36" t="n">
        <f aca="false">INDEX(Monthly!$C$96:$AL$96,($R$2-1)*12+11)</f>
        <v>0</v>
      </c>
      <c r="S26" s="36" t="n">
        <f aca="false">INDEX(Monthly!$C$96:$AL$96,($R$2-1)*12+12)</f>
        <v>0</v>
      </c>
    </row>
    <row r="27" customFormat="false" ht="15" hidden="false" customHeight="false" outlineLevel="0" collapsed="false">
      <c r="A27" s="52" t="s">
        <v>85</v>
      </c>
      <c r="B27" s="36" t="n">
        <f aca="false">'Cash Flow'!B13</f>
        <v>3000000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INDEX(Monthly!$C$81:$AL$81,($R$2-1)*12+1)</f>
        <v>3000000</v>
      </c>
      <c r="I27" s="36" t="n">
        <f aca="false">INDEX(Monthly!$C$81:$AL$81,($R$2-1)*12+2)</f>
        <v>0</v>
      </c>
      <c r="J27" s="36" t="n">
        <f aca="false">INDEX(Monthly!$C$81:$AL$81,($R$2-1)*12+3)</f>
        <v>0</v>
      </c>
      <c r="K27" s="36" t="n">
        <f aca="false">INDEX(Monthly!$C$81:$AL$81,($R$2-1)*12+4)</f>
        <v>0</v>
      </c>
      <c r="L27" s="36" t="n">
        <f aca="false">INDEX(Monthly!$C$81:$AL$81,($R$2-1)*12+5)</f>
        <v>0</v>
      </c>
      <c r="M27" s="36" t="n">
        <f aca="false">INDEX(Monthly!$C$81:$AL$81,($R$2-1)*12+6)</f>
        <v>0</v>
      </c>
      <c r="N27" s="36" t="n">
        <f aca="false">INDEX(Monthly!$C$81:$AL$81,($R$2-1)*12+7)</f>
        <v>0</v>
      </c>
      <c r="O27" s="36" t="n">
        <f aca="false">INDEX(Monthly!$C$81:$AL$81,($R$2-1)*12+8)</f>
        <v>0</v>
      </c>
      <c r="P27" s="36" t="n">
        <f aca="false">INDEX(Monthly!$C$81:$AL$81,($R$2-1)*12+9)</f>
        <v>0</v>
      </c>
      <c r="Q27" s="36" t="n">
        <f aca="false">INDEX(Monthly!$C$81:$AL$81,($R$2-1)*12+10)</f>
        <v>0</v>
      </c>
      <c r="R27" s="36" t="n">
        <f aca="false">INDEX(Monthly!$C$81:$AL$81,($R$2-1)*12+11)</f>
        <v>0</v>
      </c>
      <c r="S27" s="36" t="n">
        <f aca="false">INDEX(Monthly!$C$81:$AL$81,($R$2-1)*12+12)</f>
        <v>0</v>
      </c>
    </row>
    <row r="28" customFormat="false" ht="15" hidden="false" customHeight="false" outlineLevel="0" collapsed="false">
      <c r="A28" s="52" t="s">
        <v>86</v>
      </c>
      <c r="B28" s="36" t="n">
        <f aca="false">'Cash Flow'!B14</f>
        <v>-275000</v>
      </c>
      <c r="C28" s="36" t="n">
        <f aca="false">'Cash Flow'!C14</f>
        <v>-300000</v>
      </c>
      <c r="D28" s="36" t="n">
        <f aca="false">'Cash Flow'!D14</f>
        <v>-300000</v>
      </c>
      <c r="H28" s="36" t="n">
        <f aca="false">INDEX(Monthly!$C$82:$AL$82,($R$2-1)*12+1)</f>
        <v>-0</v>
      </c>
      <c r="I28" s="36" t="n">
        <f aca="false">INDEX(Monthly!$C$82:$AL$82,($R$2-1)*12+2)</f>
        <v>-25000</v>
      </c>
      <c r="J28" s="36" t="n">
        <f aca="false">INDEX(Monthly!$C$82:$AL$82,($R$2-1)*12+3)</f>
        <v>-25000</v>
      </c>
      <c r="K28" s="36" t="n">
        <f aca="false">INDEX(Monthly!$C$82:$AL$82,($R$2-1)*12+4)</f>
        <v>-25000</v>
      </c>
      <c r="L28" s="36" t="n">
        <f aca="false">INDEX(Monthly!$C$82:$AL$82,($R$2-1)*12+5)</f>
        <v>-25000</v>
      </c>
      <c r="M28" s="36" t="n">
        <f aca="false">INDEX(Monthly!$C$82:$AL$82,($R$2-1)*12+6)</f>
        <v>-25000</v>
      </c>
      <c r="N28" s="36" t="n">
        <f aca="false">INDEX(Monthly!$C$82:$AL$82,($R$2-1)*12+7)</f>
        <v>-25000</v>
      </c>
      <c r="O28" s="36" t="n">
        <f aca="false">INDEX(Monthly!$C$82:$AL$82,($R$2-1)*12+8)</f>
        <v>-25000</v>
      </c>
      <c r="P28" s="36" t="n">
        <f aca="false">INDEX(Monthly!$C$82:$AL$82,($R$2-1)*12+9)</f>
        <v>-25000</v>
      </c>
      <c r="Q28" s="36" t="n">
        <f aca="false">INDEX(Monthly!$C$82:$AL$82,($R$2-1)*12+10)</f>
        <v>-25000</v>
      </c>
      <c r="R28" s="36" t="n">
        <f aca="false">INDEX(Monthly!$C$82:$AL$82,($R$2-1)*12+11)</f>
        <v>-25000</v>
      </c>
      <c r="S28" s="36" t="n">
        <f aca="false">INDEX(Monthly!$C$82:$AL$82,($R$2-1)*12+12)</f>
        <v>-25000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4825000</v>
      </c>
      <c r="C29" s="38" t="n">
        <f aca="false">'Cash Flow'!C15</f>
        <v>-300000</v>
      </c>
      <c r="D29" s="38" t="n">
        <f aca="false">'Cash Flow'!D15</f>
        <v>-300000</v>
      </c>
      <c r="E29" s="37"/>
      <c r="F29" s="37"/>
      <c r="H29" s="38" t="n">
        <f aca="false">INDEX(Monthly!$C$97:$AL$97,($R$2-1)*12+1)</f>
        <v>5100000</v>
      </c>
      <c r="I29" s="38" t="n">
        <f aca="false">INDEX(Monthly!$C$97:$AL$97,($R$2-1)*12+2)</f>
        <v>-25000</v>
      </c>
      <c r="J29" s="38" t="n">
        <f aca="false">INDEX(Monthly!$C$97:$AL$97,($R$2-1)*12+3)</f>
        <v>-25000</v>
      </c>
      <c r="K29" s="38" t="n">
        <f aca="false">INDEX(Monthly!$C$97:$AL$97,($R$2-1)*12+4)</f>
        <v>-25000</v>
      </c>
      <c r="L29" s="38" t="n">
        <f aca="false">INDEX(Monthly!$C$97:$AL$97,($R$2-1)*12+5)</f>
        <v>-25000</v>
      </c>
      <c r="M29" s="38" t="n">
        <f aca="false">INDEX(Monthly!$C$97:$AL$97,($R$2-1)*12+6)</f>
        <v>-25000</v>
      </c>
      <c r="N29" s="38" t="n">
        <f aca="false">INDEX(Monthly!$C$97:$AL$97,($R$2-1)*12+7)</f>
        <v>-25000</v>
      </c>
      <c r="O29" s="38" t="n">
        <f aca="false">INDEX(Monthly!$C$97:$AL$97,($R$2-1)*12+8)</f>
        <v>-25000</v>
      </c>
      <c r="P29" s="38" t="n">
        <f aca="false">INDEX(Monthly!$C$97:$AL$97,($R$2-1)*12+9)</f>
        <v>-25000</v>
      </c>
      <c r="Q29" s="38" t="n">
        <f aca="false">INDEX(Monthly!$C$97:$AL$97,($R$2-1)*12+10)</f>
        <v>-25000</v>
      </c>
      <c r="R29" s="38" t="n">
        <f aca="false">INDEX(Monthly!$C$97:$AL$97,($R$2-1)*12+11)</f>
        <v>-25000</v>
      </c>
      <c r="S29" s="38" t="n">
        <f aca="false">INDEX(Monthly!$C$97:$AL$97,($R$2-1)*12+12)</f>
        <v>-25000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357219.364054081</v>
      </c>
      <c r="C30" s="38" t="n">
        <f aca="false">'Cash Flow'!C16</f>
        <v>-130345.52531087</v>
      </c>
      <c r="D30" s="38" t="n">
        <f aca="false">'Cash Flow'!D16</f>
        <v>149150.476090791</v>
      </c>
      <c r="E30" s="37"/>
      <c r="F30" s="37"/>
      <c r="H30" s="38" t="n">
        <f aca="false">INDEX(Monthly!$C$98:$AL$98,($R$2-1)*12+1)</f>
        <v>925903.03154399</v>
      </c>
      <c r="I30" s="38" t="n">
        <f aca="false">INDEX(Monthly!$C$98:$AL$98,($R$2-1)*12+2)</f>
        <v>-93348.5584380637</v>
      </c>
      <c r="J30" s="38" t="n">
        <f aca="false">INDEX(Monthly!$C$98:$AL$98,($R$2-1)*12+3)</f>
        <v>-77776.4387220337</v>
      </c>
      <c r="K30" s="38" t="n">
        <f aca="false">INDEX(Monthly!$C$98:$AL$98,($R$2-1)*12+4)</f>
        <v>-70698.8828081446</v>
      </c>
      <c r="L30" s="38" t="n">
        <f aca="false">INDEX(Monthly!$C$98:$AL$98,($R$2-1)*12+5)</f>
        <v>-63397.1661873729</v>
      </c>
      <c r="M30" s="38" t="n">
        <f aca="false">INDEX(Monthly!$C$98:$AL$98,($R$2-1)*12+6)</f>
        <v>-55972.9688938543</v>
      </c>
      <c r="N30" s="38" t="n">
        <f aca="false">INDEX(Monthly!$C$98:$AL$98,($R$2-1)*12+7)</f>
        <v>-48431.1901544986</v>
      </c>
      <c r="O30" s="38" t="n">
        <f aca="false">INDEX(Monthly!$C$98:$AL$98,($R$2-1)*12+8)</f>
        <v>-40776.5332271394</v>
      </c>
      <c r="P30" s="38" t="n">
        <f aca="false">INDEX(Monthly!$C$98:$AL$98,($R$2-1)*12+9)</f>
        <v>-33013.5132392968</v>
      </c>
      <c r="Q30" s="38" t="n">
        <f aca="false">INDEX(Monthly!$C$98:$AL$98,($R$2-1)*12+10)</f>
        <v>-25146.4647133901</v>
      </c>
      <c r="R30" s="38" t="n">
        <f aca="false">INDEX(Monthly!$C$98:$AL$98,($R$2-1)*12+11)</f>
        <v>-22795.980335626</v>
      </c>
      <c r="S30" s="38" t="n">
        <f aca="false">INDEX(Monthly!$C$98:$AL$98,($R$2-1)*12+12)</f>
        <v>-37325.9707704894</v>
      </c>
    </row>
    <row r="31" customFormat="false" ht="15" hidden="false" customHeight="false" outlineLevel="0" collapsed="false">
      <c r="A31" s="41" t="s">
        <v>87</v>
      </c>
      <c r="B31" s="42" t="n">
        <f aca="false">'Cash Flow'!B18</f>
        <v>357219.364054081</v>
      </c>
      <c r="C31" s="42" t="n">
        <f aca="false">'Cash Flow'!C18</f>
        <v>226873.838743211</v>
      </c>
      <c r="D31" s="42" t="n">
        <f aca="false">'Cash Flow'!D18</f>
        <v>376024.314834002</v>
      </c>
      <c r="E31" s="41"/>
      <c r="F31" s="41"/>
      <c r="H31" s="42" t="n">
        <f aca="false">INDEX(Monthly!$C$100:$AL$100,($R$2-1)*12+1)</f>
        <v>925903.03154399</v>
      </c>
      <c r="I31" s="42" t="n">
        <f aca="false">INDEX(Monthly!$C$100:$AL$100,($R$2-1)*12+2)</f>
        <v>832554.473105926</v>
      </c>
      <c r="J31" s="42" t="n">
        <f aca="false">INDEX(Monthly!$C$100:$AL$100,($R$2-1)*12+3)</f>
        <v>754778.034383893</v>
      </c>
      <c r="K31" s="42" t="n">
        <f aca="false">INDEX(Monthly!$C$100:$AL$100,($R$2-1)*12+4)</f>
        <v>684079.151575748</v>
      </c>
      <c r="L31" s="42" t="n">
        <f aca="false">INDEX(Monthly!$C$100:$AL$100,($R$2-1)*12+5)</f>
        <v>620681.985388375</v>
      </c>
      <c r="M31" s="42" t="n">
        <f aca="false">INDEX(Monthly!$C$100:$AL$100,($R$2-1)*12+6)</f>
        <v>564709.016494521</v>
      </c>
      <c r="N31" s="42" t="n">
        <f aca="false">INDEX(Monthly!$C$100:$AL$100,($R$2-1)*12+7)</f>
        <v>516277.826340022</v>
      </c>
      <c r="O31" s="42" t="n">
        <f aca="false">INDEX(Monthly!$C$100:$AL$100,($R$2-1)*12+8)</f>
        <v>475501.293112883</v>
      </c>
      <c r="P31" s="42" t="n">
        <f aca="false">INDEX(Monthly!$C$100:$AL$100,($R$2-1)*12+9)</f>
        <v>442487.779873586</v>
      </c>
      <c r="Q31" s="42" t="n">
        <f aca="false">INDEX(Monthly!$C$100:$AL$100,($R$2-1)*12+10)</f>
        <v>417341.315160196</v>
      </c>
      <c r="R31" s="42" t="n">
        <f aca="false">INDEX(Monthly!$C$100:$AL$100,($R$2-1)*12+11)</f>
        <v>394545.33482457</v>
      </c>
      <c r="S31" s="42" t="n">
        <f aca="false">INDEX(Monthly!$C$100:$AL$100,($R$2-1)*12+12)</f>
        <v>357219.364054081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89</v>
      </c>
      <c r="B41" s="36" t="n">
        <f aca="false">'Balance Sheet'!B5</f>
        <v>357219.364054081</v>
      </c>
      <c r="C41" s="36" t="n">
        <f aca="false">'Balance Sheet'!C5</f>
        <v>226873.838743211</v>
      </c>
      <c r="D41" s="36" t="n">
        <f aca="false">'Balance Sheet'!D5</f>
        <v>376024.314834002</v>
      </c>
      <c r="H41" s="36" t="n">
        <f aca="false">INDEX(Monthly!$C$100:$AL$100,($R$2-1)*12+1)</f>
        <v>925903.03154399</v>
      </c>
      <c r="I41" s="36" t="n">
        <f aca="false">INDEX(Monthly!$C$100:$AL$100,($R$2-1)*12+2)</f>
        <v>832554.473105926</v>
      </c>
      <c r="J41" s="36" t="n">
        <f aca="false">INDEX(Monthly!$C$100:$AL$100,($R$2-1)*12+3)</f>
        <v>754778.034383893</v>
      </c>
      <c r="K41" s="36" t="n">
        <f aca="false">INDEX(Monthly!$C$100:$AL$100,($R$2-1)*12+4)</f>
        <v>684079.151575748</v>
      </c>
      <c r="L41" s="36" t="n">
        <f aca="false">INDEX(Monthly!$C$100:$AL$100,($R$2-1)*12+5)</f>
        <v>620681.985388375</v>
      </c>
      <c r="M41" s="36" t="n">
        <f aca="false">INDEX(Monthly!$C$100:$AL$100,($R$2-1)*12+6)</f>
        <v>564709.016494521</v>
      </c>
      <c r="N41" s="36" t="n">
        <f aca="false">INDEX(Monthly!$C$100:$AL$100,($R$2-1)*12+7)</f>
        <v>516277.826340022</v>
      </c>
      <c r="O41" s="36" t="n">
        <f aca="false">INDEX(Monthly!$C$100:$AL$100,($R$2-1)*12+8)</f>
        <v>475501.293112883</v>
      </c>
      <c r="P41" s="36" t="n">
        <f aca="false">INDEX(Monthly!$C$100:$AL$100,($R$2-1)*12+9)</f>
        <v>442487.779873586</v>
      </c>
      <c r="Q41" s="36" t="n">
        <f aca="false">INDEX(Monthly!$C$100:$AL$100,($R$2-1)*12+10)</f>
        <v>417341.315160196</v>
      </c>
      <c r="R41" s="36" t="n">
        <f aca="false">INDEX(Monthly!$C$100:$AL$100,($R$2-1)*12+11)</f>
        <v>394545.33482457</v>
      </c>
      <c r="S41" s="36" t="n">
        <f aca="false">INDEX(Monthly!$C$100:$AL$100,($R$2-1)*12+12)</f>
        <v>357219.364054081</v>
      </c>
    </row>
    <row r="42" customFormat="false" ht="15" hidden="false" customHeight="false" outlineLevel="0" collapsed="false">
      <c r="A42" s="52" t="s">
        <v>90</v>
      </c>
      <c r="B42" s="36" t="n">
        <f aca="false">'Balance Sheet'!B6</f>
        <v>7915.98187505677</v>
      </c>
      <c r="C42" s="36" t="n">
        <f aca="false">'Balance Sheet'!C6</f>
        <v>9917.12501785728</v>
      </c>
      <c r="D42" s="36" t="n">
        <f aca="false">'Balance Sheet'!D6</f>
        <v>11443.8865260699</v>
      </c>
      <c r="H42" s="36" t="n">
        <f aca="false">INDEX(Monthly!$C$86:$AL$86,($R$2-1)*12+1)</f>
        <v>3196.22386666667</v>
      </c>
      <c r="I42" s="36" t="n">
        <f aca="false">INDEX(Monthly!$C$86:$AL$86,($R$2-1)*12+2)</f>
        <v>3629.92906014815</v>
      </c>
      <c r="J42" s="36" t="n">
        <f aca="false">INDEX(Monthly!$C$86:$AL$86,($R$2-1)*12+3)</f>
        <v>4851.56011996444</v>
      </c>
      <c r="K42" s="36" t="n">
        <f aca="false">INDEX(Monthly!$C$86:$AL$86,($R$2-1)*12+4)</f>
        <v>5403.45992257327</v>
      </c>
      <c r="L42" s="36" t="n">
        <f aca="false">INDEX(Monthly!$C$86:$AL$86,($R$2-1)*12+5)</f>
        <v>5966.01842937405</v>
      </c>
      <c r="M42" s="36" t="n">
        <f aca="false">INDEX(Monthly!$C$86:$AL$86,($R$2-1)*12+6)</f>
        <v>6538.80929219909</v>
      </c>
      <c r="N42" s="36" t="n">
        <f aca="false">INDEX(Monthly!$C$86:$AL$86,($R$2-1)*12+7)</f>
        <v>7121.42321680742</v>
      </c>
      <c r="O42" s="36" t="n">
        <f aca="false">INDEX(Monthly!$C$86:$AL$86,($R$2-1)*12+8)</f>
        <v>7713.46728072771</v>
      </c>
      <c r="P42" s="36" t="n">
        <f aca="false">INDEX(Monthly!$C$86:$AL$86,($R$2-1)*12+9)</f>
        <v>8314.5642783875</v>
      </c>
      <c r="Q42" s="36" t="n">
        <f aca="false">INDEX(Monthly!$C$86:$AL$86,($R$2-1)*12+10)</f>
        <v>8924.35209243718</v>
      </c>
      <c r="R42" s="36" t="n">
        <f aca="false">INDEX(Monthly!$C$86:$AL$86,($R$2-1)*12+11)</f>
        <v>9103.03667540636</v>
      </c>
      <c r="S42" s="36" t="n">
        <f aca="false">INDEX(Monthly!$C$86:$AL$86,($R$2-1)*12+12)</f>
        <v>7915.98187505677</v>
      </c>
    </row>
    <row r="43" customFormat="false" ht="15" hidden="false" customHeight="false" outlineLevel="0" collapsed="false">
      <c r="A43" s="52" t="s">
        <v>91</v>
      </c>
      <c r="B43" s="36" t="n">
        <f aca="false">'Balance Sheet'!B7</f>
        <v>4146.69851764287</v>
      </c>
      <c r="C43" s="36" t="n">
        <f aca="false">'Balance Sheet'!C7</f>
        <v>5342.51150256752</v>
      </c>
      <c r="D43" s="36" t="n">
        <f aca="false">'Balance Sheet'!D7</f>
        <v>6271.58503654501</v>
      </c>
      <c r="H43" s="36" t="n">
        <f aca="false">INDEX(Monthly!$C$87:$AL$87,($R$2-1)*12+1)</f>
        <v>1650.12067404333</v>
      </c>
      <c r="I43" s="36" t="n">
        <f aca="false">INDEX(Monthly!$C$87:$AL$87,($R$2-1)*12+2)</f>
        <v>1874.00472147456</v>
      </c>
      <c r="J43" s="36" t="n">
        <f aca="false">INDEX(Monthly!$C$87:$AL$87,($R$2-1)*12+3)</f>
        <v>2584.5948932913</v>
      </c>
      <c r="K43" s="36" t="n">
        <f aca="false">INDEX(Monthly!$C$87:$AL$87,($R$2-1)*12+4)</f>
        <v>2884.39593898965</v>
      </c>
      <c r="L43" s="36" t="n">
        <f aca="false">INDEX(Monthly!$C$87:$AL$87,($R$2-1)*12+5)</f>
        <v>3191.70097890673</v>
      </c>
      <c r="M43" s="36" t="n">
        <f aca="false">INDEX(Monthly!$C$87:$AL$87,($R$2-1)*12+6)</f>
        <v>3506.20985327379</v>
      </c>
      <c r="N43" s="36" t="n">
        <f aca="false">INDEX(Monthly!$C$87:$AL$87,($R$2-1)*12+7)</f>
        <v>3827.63440871284</v>
      </c>
      <c r="O43" s="36" t="n">
        <f aca="false">INDEX(Monthly!$C$87:$AL$87,($R$2-1)*12+8)</f>
        <v>4155.698017981</v>
      </c>
      <c r="P43" s="36" t="n">
        <f aca="false">INDEX(Monthly!$C$87:$AL$87,($R$2-1)*12+9)</f>
        <v>4490.13511892509</v>
      </c>
      <c r="Q43" s="36" t="n">
        <f aca="false">INDEX(Monthly!$C$87:$AL$87,($R$2-1)*12+10)</f>
        <v>4830.69077187809</v>
      </c>
      <c r="R43" s="36" t="n">
        <f aca="false">INDEX(Monthly!$C$87:$AL$87,($R$2-1)*12+11)</f>
        <v>4956.48918540296</v>
      </c>
      <c r="S43" s="36" t="n">
        <f aca="false">INDEX(Monthly!$C$87:$AL$87,($R$2-1)*12+12)</f>
        <v>4146.69851764287</v>
      </c>
    </row>
    <row r="44" customFormat="false" ht="15" hidden="false" customHeight="false" outlineLevel="0" collapsed="false">
      <c r="A44" s="52" t="s">
        <v>92</v>
      </c>
      <c r="B44" s="36" t="n">
        <f aca="false">'Balance Sheet'!B8</f>
        <v>3758333.33333333</v>
      </c>
      <c r="C44" s="36" t="n">
        <f aca="false">'Balance Sheet'!C8</f>
        <v>3453333.33333333</v>
      </c>
      <c r="D44" s="36" t="n">
        <f aca="false">'Balance Sheet'!D8</f>
        <v>3145000</v>
      </c>
      <c r="H44" s="36" t="n">
        <f aca="false">INDEX(Monthly!$C$77:$AL$77,($R$2-1)*12+1)</f>
        <v>4071527.77777778</v>
      </c>
      <c r="I44" s="36" t="n">
        <f aca="false">INDEX(Monthly!$C$77:$AL$77,($R$2-1)*12+2)</f>
        <v>4043055.55555556</v>
      </c>
      <c r="J44" s="36" t="n">
        <f aca="false">INDEX(Monthly!$C$77:$AL$77,($R$2-1)*12+3)</f>
        <v>4014583.33333333</v>
      </c>
      <c r="K44" s="36" t="n">
        <f aca="false">INDEX(Monthly!$C$77:$AL$77,($R$2-1)*12+4)</f>
        <v>3986111.11111111</v>
      </c>
      <c r="L44" s="36" t="n">
        <f aca="false">INDEX(Monthly!$C$77:$AL$77,($R$2-1)*12+5)</f>
        <v>3957638.88888889</v>
      </c>
      <c r="M44" s="36" t="n">
        <f aca="false">INDEX(Monthly!$C$77:$AL$77,($R$2-1)*12+6)</f>
        <v>3929166.66666667</v>
      </c>
      <c r="N44" s="36" t="n">
        <f aca="false">INDEX(Monthly!$C$77:$AL$77,($R$2-1)*12+7)</f>
        <v>3900694.44444444</v>
      </c>
      <c r="O44" s="36" t="n">
        <f aca="false">INDEX(Monthly!$C$77:$AL$77,($R$2-1)*12+8)</f>
        <v>3872222.22222222</v>
      </c>
      <c r="P44" s="36" t="n">
        <f aca="false">INDEX(Monthly!$C$77:$AL$77,($R$2-1)*12+9)</f>
        <v>3843750</v>
      </c>
      <c r="Q44" s="36" t="n">
        <f aca="false">INDEX(Monthly!$C$77:$AL$77,($R$2-1)*12+10)</f>
        <v>3815277.77777778</v>
      </c>
      <c r="R44" s="36" t="n">
        <f aca="false">INDEX(Monthly!$C$77:$AL$77,($R$2-1)*12+11)</f>
        <v>3786805.55555556</v>
      </c>
      <c r="S44" s="36" t="n">
        <f aca="false">INDEX(Monthly!$C$77:$AL$77,($R$2-1)*12+12)</f>
        <v>3758333.33333333</v>
      </c>
    </row>
    <row r="45" customFormat="false" ht="15" hidden="false" customHeight="false" outlineLevel="0" collapsed="false">
      <c r="A45" s="37" t="s">
        <v>93</v>
      </c>
      <c r="B45" s="38" t="n">
        <f aca="false">'Balance Sheet'!B9</f>
        <v>4127615.37778011</v>
      </c>
      <c r="C45" s="38" t="n">
        <f aca="false">'Balance Sheet'!C9</f>
        <v>3695466.80859697</v>
      </c>
      <c r="D45" s="38" t="n">
        <f aca="false">'Balance Sheet'!D9</f>
        <v>3538739.78639662</v>
      </c>
      <c r="E45" s="37"/>
      <c r="F45" s="37"/>
      <c r="H45" s="38" t="n">
        <f aca="false">INDEX(Monthly!$C$114:$AL$114,($R$2-1)*12+1)</f>
        <v>5002277.15386248</v>
      </c>
      <c r="I45" s="38" t="n">
        <f aca="false">INDEX(Monthly!$C$114:$AL$114,($R$2-1)*12+2)</f>
        <v>4881113.96244311</v>
      </c>
      <c r="J45" s="38" t="n">
        <f aca="false">INDEX(Monthly!$C$114:$AL$114,($R$2-1)*12+3)</f>
        <v>4776797.52273048</v>
      </c>
      <c r="K45" s="38" t="n">
        <f aca="false">INDEX(Monthly!$C$114:$AL$114,($R$2-1)*12+4)</f>
        <v>4678478.11854842</v>
      </c>
      <c r="L45" s="38" t="n">
        <f aca="false">INDEX(Monthly!$C$114:$AL$114,($R$2-1)*12+5)</f>
        <v>4587478.59368555</v>
      </c>
      <c r="M45" s="38" t="n">
        <f aca="false">INDEX(Monthly!$C$114:$AL$114,($R$2-1)*12+6)</f>
        <v>4503920.70230666</v>
      </c>
      <c r="N45" s="38" t="n">
        <f aca="false">INDEX(Monthly!$C$114:$AL$114,($R$2-1)*12+7)</f>
        <v>4427921.32840999</v>
      </c>
      <c r="O45" s="38" t="n">
        <f aca="false">INDEX(Monthly!$C$114:$AL$114,($R$2-1)*12+8)</f>
        <v>4359592.68063381</v>
      </c>
      <c r="P45" s="38" t="n">
        <f aca="false">INDEX(Monthly!$C$114:$AL$114,($R$2-1)*12+9)</f>
        <v>4299042.4792709</v>
      </c>
      <c r="Q45" s="38" t="n">
        <f aca="false">INDEX(Monthly!$C$114:$AL$114,($R$2-1)*12+10)</f>
        <v>4246374.13580229</v>
      </c>
      <c r="R45" s="38" t="n">
        <f aca="false">INDEX(Monthly!$C$114:$AL$114,($R$2-1)*12+11)</f>
        <v>4195410.41624094</v>
      </c>
      <c r="S45" s="38" t="n">
        <f aca="false">INDEX(Monthly!$C$114:$AL$114,($R$2-1)*12+12)</f>
        <v>4127615.37778011</v>
      </c>
    </row>
    <row r="46" customFormat="false" ht="15" hidden="false" customHeight="false" outlineLevel="0" collapsed="false">
      <c r="A46" s="52" t="s">
        <v>94</v>
      </c>
      <c r="B46" s="36" t="n">
        <f aca="false">'Balance Sheet'!B10</f>
        <v>11847.7100504082</v>
      </c>
      <c r="C46" s="36" t="n">
        <f aca="false">'Balance Sheet'!C10</f>
        <v>15264.3185787643</v>
      </c>
      <c r="D46" s="36" t="n">
        <f aca="false">'Balance Sheet'!D10</f>
        <v>17918.8143901286</v>
      </c>
      <c r="H46" s="36" t="n">
        <f aca="false">INDEX(Monthly!$C$88:$AL$88,($R$2-1)*12+1)</f>
        <v>4714.63049726667</v>
      </c>
      <c r="I46" s="36" t="n">
        <f aca="false">INDEX(Monthly!$C$88:$AL$88,($R$2-1)*12+2)</f>
        <v>5354.29920421304</v>
      </c>
      <c r="J46" s="36" t="n">
        <f aca="false">INDEX(Monthly!$C$88:$AL$88,($R$2-1)*12+3)</f>
        <v>7384.55683797515</v>
      </c>
      <c r="K46" s="36" t="n">
        <f aca="false">INDEX(Monthly!$C$88:$AL$88,($R$2-1)*12+4)</f>
        <v>8241.13125425614</v>
      </c>
      <c r="L46" s="36" t="n">
        <f aca="false">INDEX(Monthly!$C$88:$AL$88,($R$2-1)*12+5)</f>
        <v>9119.14565401923</v>
      </c>
      <c r="M46" s="36" t="n">
        <f aca="false">INDEX(Monthly!$C$88:$AL$88,($R$2-1)*12+6)</f>
        <v>10017.7424379251</v>
      </c>
      <c r="N46" s="36" t="n">
        <f aca="false">INDEX(Monthly!$C$88:$AL$88,($R$2-1)*12+7)</f>
        <v>10936.0983106081</v>
      </c>
      <c r="O46" s="36" t="n">
        <f aca="false">INDEX(Monthly!$C$88:$AL$88,($R$2-1)*12+8)</f>
        <v>11873.4229085171</v>
      </c>
      <c r="P46" s="36" t="n">
        <f aca="false">INDEX(Monthly!$C$88:$AL$88,($R$2-1)*12+9)</f>
        <v>12828.9574826431</v>
      </c>
      <c r="Q46" s="36" t="n">
        <f aca="false">INDEX(Monthly!$C$88:$AL$88,($R$2-1)*12+10)</f>
        <v>13801.9736339374</v>
      </c>
      <c r="R46" s="36" t="n">
        <f aca="false">INDEX(Monthly!$C$88:$AL$88,($R$2-1)*12+11)</f>
        <v>14161.3976725799</v>
      </c>
      <c r="S46" s="36" t="n">
        <f aca="false">INDEX(Monthly!$C$88:$AL$88,($R$2-1)*12+12)</f>
        <v>11847.7100504082</v>
      </c>
    </row>
    <row r="47" customFormat="false" ht="15" hidden="false" customHeight="false" outlineLevel="0" collapsed="false">
      <c r="A47" s="52" t="s">
        <v>95</v>
      </c>
      <c r="B47" s="36" t="n">
        <f aca="false">'Balance Sheet'!B11</f>
        <v>2725000</v>
      </c>
      <c r="C47" s="36" t="n">
        <f aca="false">'Balance Sheet'!C11</f>
        <v>2425000</v>
      </c>
      <c r="D47" s="36" t="n">
        <f aca="false">'Balance Sheet'!D11</f>
        <v>2125000</v>
      </c>
      <c r="H47" s="36" t="n">
        <f aca="false">INDEX(Monthly!$C$83:$AL$83,($R$2-1)*12+1)</f>
        <v>3000000</v>
      </c>
      <c r="I47" s="36" t="n">
        <f aca="false">INDEX(Monthly!$C$83:$AL$83,($R$2-1)*12+2)</f>
        <v>2975000</v>
      </c>
      <c r="J47" s="36" t="n">
        <f aca="false">INDEX(Monthly!$C$83:$AL$83,($R$2-1)*12+3)</f>
        <v>2950000</v>
      </c>
      <c r="K47" s="36" t="n">
        <f aca="false">INDEX(Monthly!$C$83:$AL$83,($R$2-1)*12+4)</f>
        <v>2925000</v>
      </c>
      <c r="L47" s="36" t="n">
        <f aca="false">INDEX(Monthly!$C$83:$AL$83,($R$2-1)*12+5)</f>
        <v>2900000</v>
      </c>
      <c r="M47" s="36" t="n">
        <f aca="false">INDEX(Monthly!$C$83:$AL$83,($R$2-1)*12+6)</f>
        <v>2875000</v>
      </c>
      <c r="N47" s="36" t="n">
        <f aca="false">INDEX(Monthly!$C$83:$AL$83,($R$2-1)*12+7)</f>
        <v>2850000</v>
      </c>
      <c r="O47" s="36" t="n">
        <f aca="false">INDEX(Monthly!$C$83:$AL$83,($R$2-1)*12+8)</f>
        <v>2825000</v>
      </c>
      <c r="P47" s="36" t="n">
        <f aca="false">INDEX(Monthly!$C$83:$AL$83,($R$2-1)*12+9)</f>
        <v>2800000</v>
      </c>
      <c r="Q47" s="36" t="n">
        <f aca="false">INDEX(Monthly!$C$83:$AL$83,($R$2-1)*12+10)</f>
        <v>2775000</v>
      </c>
      <c r="R47" s="36" t="n">
        <f aca="false">INDEX(Monthly!$C$83:$AL$83,($R$2-1)*12+11)</f>
        <v>2750000</v>
      </c>
      <c r="S47" s="36" t="n">
        <f aca="false">INDEX(Monthly!$C$83:$AL$83,($R$2-1)*12+12)</f>
        <v>2725000</v>
      </c>
    </row>
    <row r="48" customFormat="false" ht="15" hidden="false" customHeight="false" outlineLevel="0" collapsed="false">
      <c r="A48" s="37" t="s">
        <v>96</v>
      </c>
      <c r="B48" s="38" t="n">
        <f aca="false">'Balance Sheet'!B12</f>
        <v>2736847.71005041</v>
      </c>
      <c r="C48" s="38" t="n">
        <f aca="false">'Balance Sheet'!C12</f>
        <v>2440264.31857876</v>
      </c>
      <c r="D48" s="38" t="n">
        <f aca="false">'Balance Sheet'!D12</f>
        <v>2142918.81439013</v>
      </c>
      <c r="E48" s="37"/>
      <c r="F48" s="37"/>
      <c r="H48" s="38" t="n">
        <f aca="false">INDEX(Monthly!$C$115:$AL$115,($R$2-1)*12+1)</f>
        <v>3004714.63049727</v>
      </c>
      <c r="I48" s="38" t="n">
        <f aca="false">INDEX(Monthly!$C$115:$AL$115,($R$2-1)*12+2)</f>
        <v>2980354.29920421</v>
      </c>
      <c r="J48" s="38" t="n">
        <f aca="false">INDEX(Monthly!$C$115:$AL$115,($R$2-1)*12+3)</f>
        <v>2957384.55683798</v>
      </c>
      <c r="K48" s="38" t="n">
        <f aca="false">INDEX(Monthly!$C$115:$AL$115,($R$2-1)*12+4)</f>
        <v>2933241.13125426</v>
      </c>
      <c r="L48" s="38" t="n">
        <f aca="false">INDEX(Monthly!$C$115:$AL$115,($R$2-1)*12+5)</f>
        <v>2909119.14565402</v>
      </c>
      <c r="M48" s="38" t="n">
        <f aca="false">INDEX(Monthly!$C$115:$AL$115,($R$2-1)*12+6)</f>
        <v>2885017.74243793</v>
      </c>
      <c r="N48" s="38" t="n">
        <f aca="false">INDEX(Monthly!$C$115:$AL$115,($R$2-1)*12+7)</f>
        <v>2860936.09831061</v>
      </c>
      <c r="O48" s="38" t="n">
        <f aca="false">INDEX(Monthly!$C$115:$AL$115,($R$2-1)*12+8)</f>
        <v>2836873.42290852</v>
      </c>
      <c r="P48" s="38" t="n">
        <f aca="false">INDEX(Monthly!$C$115:$AL$115,($R$2-1)*12+9)</f>
        <v>2812828.95748264</v>
      </c>
      <c r="Q48" s="38" t="n">
        <f aca="false">INDEX(Monthly!$C$115:$AL$115,($R$2-1)*12+10)</f>
        <v>2788801.97363394</v>
      </c>
      <c r="R48" s="38" t="n">
        <f aca="false">INDEX(Monthly!$C$115:$AL$115,($R$2-1)*12+11)</f>
        <v>2764161.39767258</v>
      </c>
      <c r="S48" s="38" t="n">
        <f aca="false">INDEX(Monthly!$C$115:$AL$115,($R$2-1)*12+12)</f>
        <v>2736847.71005041</v>
      </c>
    </row>
    <row r="49" customFormat="false" ht="15" hidden="false" customHeight="false" outlineLevel="0" collapsed="false">
      <c r="A49" s="52" t="s">
        <v>97</v>
      </c>
      <c r="B49" s="36" t="n">
        <f aca="false">'Balance Sheet'!B13</f>
        <v>2100000</v>
      </c>
      <c r="C49" s="36" t="n">
        <f aca="false">'Balance Sheet'!C13</f>
        <v>2100000</v>
      </c>
      <c r="D49" s="36" t="n">
        <f aca="false">'Balance Sheet'!D13</f>
        <v>2100000</v>
      </c>
      <c r="H49" s="36" t="n">
        <f aca="false">INDEX(Monthly!$C$112:$AL$112,($R$2-1)*12+1)</f>
        <v>2100000</v>
      </c>
      <c r="I49" s="36" t="n">
        <f aca="false">INDEX(Monthly!$C$112:$AL$112,($R$2-1)*12+2)</f>
        <v>2100000</v>
      </c>
      <c r="J49" s="36" t="n">
        <f aca="false">INDEX(Monthly!$C$112:$AL$112,($R$2-1)*12+3)</f>
        <v>2100000</v>
      </c>
      <c r="K49" s="36" t="n">
        <f aca="false">INDEX(Monthly!$C$112:$AL$112,($R$2-1)*12+4)</f>
        <v>2100000</v>
      </c>
      <c r="L49" s="36" t="n">
        <f aca="false">INDEX(Monthly!$C$112:$AL$112,($R$2-1)*12+5)</f>
        <v>2100000</v>
      </c>
      <c r="M49" s="36" t="n">
        <f aca="false">INDEX(Monthly!$C$112:$AL$112,($R$2-1)*12+6)</f>
        <v>2100000</v>
      </c>
      <c r="N49" s="36" t="n">
        <f aca="false">INDEX(Monthly!$C$112:$AL$112,($R$2-1)*12+7)</f>
        <v>2100000</v>
      </c>
      <c r="O49" s="36" t="n">
        <f aca="false">INDEX(Monthly!$C$112:$AL$112,($R$2-1)*12+8)</f>
        <v>2100000</v>
      </c>
      <c r="P49" s="36" t="n">
        <f aca="false">INDEX(Monthly!$C$112:$AL$112,($R$2-1)*12+9)</f>
        <v>2100000</v>
      </c>
      <c r="Q49" s="36" t="n">
        <f aca="false">INDEX(Monthly!$C$112:$AL$112,($R$2-1)*12+10)</f>
        <v>2100000</v>
      </c>
      <c r="R49" s="36" t="n">
        <f aca="false">INDEX(Monthly!$C$112:$AL$112,($R$2-1)*12+11)</f>
        <v>2100000</v>
      </c>
      <c r="S49" s="36" t="n">
        <f aca="false">INDEX(Monthly!$C$112:$AL$112,($R$2-1)*12+12)</f>
        <v>2100000</v>
      </c>
    </row>
    <row r="50" customFormat="false" ht="15" hidden="false" customHeight="false" outlineLevel="0" collapsed="false">
      <c r="A50" s="52" t="s">
        <v>98</v>
      </c>
      <c r="B50" s="36" t="n">
        <f aca="false">'Balance Sheet'!B14</f>
        <v>-709232.332270295</v>
      </c>
      <c r="C50" s="36" t="n">
        <f aca="false">'Balance Sheet'!C14</f>
        <v>-844797.509981795</v>
      </c>
      <c r="D50" s="36" t="n">
        <f aca="false">'Balance Sheet'!D14</f>
        <v>-704179.027993512</v>
      </c>
      <c r="H50" s="36" t="n">
        <f aca="false">INDEX(Monthly!$C$113:$AL$113,($R$2-1)*12+1)</f>
        <v>-102437.476634789</v>
      </c>
      <c r="I50" s="36" t="n">
        <f aca="false">INDEX(Monthly!$C$113:$AL$113,($R$2-1)*12+2)</f>
        <v>-199240.336761108</v>
      </c>
      <c r="J50" s="36" t="n">
        <f aca="false">INDEX(Monthly!$C$113:$AL$113,($R$2-1)*12+3)</f>
        <v>-280587.034107493</v>
      </c>
      <c r="K50" s="36" t="n">
        <f aca="false">INDEX(Monthly!$C$113:$AL$113,($R$2-1)*12+4)</f>
        <v>-354763.012705834</v>
      </c>
      <c r="L50" s="36" t="n">
        <f aca="false">INDEX(Monthly!$C$113:$AL$113,($R$2-1)*12+5)</f>
        <v>-421640.551968474</v>
      </c>
      <c r="M50" s="36" t="n">
        <f aca="false">INDEX(Monthly!$C$113:$AL$113,($R$2-1)*12+6)</f>
        <v>-481097.040131265</v>
      </c>
      <c r="N50" s="36" t="n">
        <f aca="false">INDEX(Monthly!$C$113:$AL$113,($R$2-1)*12+7)</f>
        <v>-533014.769900621</v>
      </c>
      <c r="O50" s="36" t="n">
        <f aca="false">INDEX(Monthly!$C$113:$AL$113,($R$2-1)*12+8)</f>
        <v>-577280.742274703</v>
      </c>
      <c r="P50" s="36" t="n">
        <f aca="false">INDEX(Monthly!$C$113:$AL$113,($R$2-1)*12+9)</f>
        <v>-613786.478211745</v>
      </c>
      <c r="Q50" s="36" t="n">
        <f aca="false">INDEX(Monthly!$C$113:$AL$113,($R$2-1)*12+10)</f>
        <v>-642427.837831648</v>
      </c>
      <c r="R50" s="36" t="n">
        <f aca="false">INDEX(Monthly!$C$113:$AL$113,($R$2-1)*12+11)</f>
        <v>-668750.981431645</v>
      </c>
      <c r="S50" s="36" t="n">
        <f aca="false">INDEX(Monthly!$C$113:$AL$113,($R$2-1)*12+12)</f>
        <v>-709232.332270295</v>
      </c>
    </row>
    <row r="51" customFormat="false" ht="15" hidden="false" customHeight="false" outlineLevel="0" collapsed="false">
      <c r="A51" s="37" t="s">
        <v>99</v>
      </c>
      <c r="B51" s="38" t="n">
        <f aca="false">'Balance Sheet'!B15</f>
        <v>1390767.66772971</v>
      </c>
      <c r="C51" s="38" t="n">
        <f aca="false">'Balance Sheet'!C15</f>
        <v>1255202.4900182</v>
      </c>
      <c r="D51" s="38" t="n">
        <f aca="false">'Balance Sheet'!D15</f>
        <v>1395820.97200649</v>
      </c>
      <c r="E51" s="37"/>
      <c r="F51" s="37"/>
      <c r="H51" s="38" t="n">
        <f aca="false">INDEX(Monthly!$C$116:$AL$116,($R$2-1)*12+1)</f>
        <v>1997562.52336521</v>
      </c>
      <c r="I51" s="38" t="n">
        <f aca="false">INDEX(Monthly!$C$116:$AL$116,($R$2-1)*12+2)</f>
        <v>1900759.66323889</v>
      </c>
      <c r="J51" s="38" t="n">
        <f aca="false">INDEX(Monthly!$C$116:$AL$116,($R$2-1)*12+3)</f>
        <v>1819412.96589251</v>
      </c>
      <c r="K51" s="38" t="n">
        <f aca="false">INDEX(Monthly!$C$116:$AL$116,($R$2-1)*12+4)</f>
        <v>1745236.98729417</v>
      </c>
      <c r="L51" s="38" t="n">
        <f aca="false">INDEX(Monthly!$C$116:$AL$116,($R$2-1)*12+5)</f>
        <v>1678359.44803153</v>
      </c>
      <c r="M51" s="38" t="n">
        <f aca="false">INDEX(Monthly!$C$116:$AL$116,($R$2-1)*12+6)</f>
        <v>1618902.95986874</v>
      </c>
      <c r="N51" s="38" t="n">
        <f aca="false">INDEX(Monthly!$C$116:$AL$116,($R$2-1)*12+7)</f>
        <v>1566985.23009938</v>
      </c>
      <c r="O51" s="38" t="n">
        <f aca="false">INDEX(Monthly!$C$116:$AL$116,($R$2-1)*12+8)</f>
        <v>1522719.2577253</v>
      </c>
      <c r="P51" s="38" t="n">
        <f aca="false">INDEX(Monthly!$C$116:$AL$116,($R$2-1)*12+9)</f>
        <v>1486213.52178826</v>
      </c>
      <c r="Q51" s="38" t="n">
        <f aca="false">INDEX(Monthly!$C$116:$AL$116,($R$2-1)*12+10)</f>
        <v>1457572.16216835</v>
      </c>
      <c r="R51" s="38" t="n">
        <f aca="false">INDEX(Monthly!$C$116:$AL$116,($R$2-1)*12+11)</f>
        <v>1431249.01856836</v>
      </c>
      <c r="S51" s="38" t="n">
        <f aca="false">INDEX(Monthly!$C$116:$AL$116,($R$2-1)*12+12)</f>
        <v>1390767.66772971</v>
      </c>
    </row>
    <row r="52" customFormat="false" ht="15" hidden="false" customHeight="false" outlineLevel="0" collapsed="false">
      <c r="A52" s="41" t="s">
        <v>100</v>
      </c>
      <c r="B52" s="42" t="n">
        <f aca="false">'Balance Sheet'!B16</f>
        <v>4127615.37778011</v>
      </c>
      <c r="C52" s="42" t="n">
        <f aca="false">'Balance Sheet'!C16</f>
        <v>3695466.80859697</v>
      </c>
      <c r="D52" s="42" t="n">
        <f aca="false">'Balance Sheet'!D16</f>
        <v>3538739.78639662</v>
      </c>
      <c r="E52" s="41"/>
      <c r="F52" s="41"/>
      <c r="H52" s="42" t="n">
        <f aca="false">INDEX(Monthly!$C$117:$AL$117,($R$2-1)*12+1)</f>
        <v>5002277.15386248</v>
      </c>
      <c r="I52" s="42" t="n">
        <f aca="false">INDEX(Monthly!$C$117:$AL$117,($R$2-1)*12+2)</f>
        <v>4881113.9624431</v>
      </c>
      <c r="J52" s="42" t="n">
        <f aca="false">INDEX(Monthly!$C$117:$AL$117,($R$2-1)*12+3)</f>
        <v>4776797.52273048</v>
      </c>
      <c r="K52" s="42" t="n">
        <f aca="false">INDEX(Monthly!$C$117:$AL$117,($R$2-1)*12+4)</f>
        <v>4678478.11854842</v>
      </c>
      <c r="L52" s="42" t="n">
        <f aca="false">INDEX(Monthly!$C$117:$AL$117,($R$2-1)*12+5)</f>
        <v>4587478.59368555</v>
      </c>
      <c r="M52" s="42" t="n">
        <f aca="false">INDEX(Monthly!$C$117:$AL$117,($R$2-1)*12+6)</f>
        <v>4503920.70230666</v>
      </c>
      <c r="N52" s="42" t="n">
        <f aca="false">INDEX(Monthly!$C$117:$AL$117,($R$2-1)*12+7)</f>
        <v>4427921.32840999</v>
      </c>
      <c r="O52" s="42" t="n">
        <f aca="false">INDEX(Monthly!$C$117:$AL$117,($R$2-1)*12+8)</f>
        <v>4359592.68063381</v>
      </c>
      <c r="P52" s="42" t="n">
        <f aca="false">INDEX(Monthly!$C$117:$AL$117,($R$2-1)*12+9)</f>
        <v>4299042.4792709</v>
      </c>
      <c r="Q52" s="42" t="n">
        <f aca="false">INDEX(Monthly!$C$117:$AL$117,($R$2-1)*12+10)</f>
        <v>4246374.13580229</v>
      </c>
      <c r="R52" s="42" t="n">
        <f aca="false">INDEX(Monthly!$C$117:$AL$117,($R$2-1)*12+11)</f>
        <v>4195410.41624094</v>
      </c>
      <c r="S52" s="42" t="n">
        <f aca="false">INDEX(Monthly!$C$117:$AL$117,($R$2-1)*12+12)</f>
        <v>4127615.37778011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104</v>
      </c>
      <c r="B6" s="35" t="s">
        <v>105</v>
      </c>
      <c r="C6" s="35" t="s">
        <v>106</v>
      </c>
      <c r="D6" s="35" t="s">
        <v>107</v>
      </c>
      <c r="E6" s="35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200</v>
      </c>
      <c r="C7" s="53" t="n">
        <f aca="false">Inputs!$C$7</f>
        <v>240</v>
      </c>
      <c r="D7" s="53" t="n">
        <f aca="false">Inputs!$D$7</f>
        <v>280</v>
      </c>
      <c r="E7" s="54" t="n">
        <f aca="false">Inputs!$E$7</f>
        <v>240</v>
      </c>
    </row>
    <row r="8" customFormat="false" ht="15" hidden="false" customHeight="false" outlineLevel="0" collapsed="false">
      <c r="A8" s="6" t="s">
        <v>110</v>
      </c>
      <c r="B8" s="55" t="n">
        <f aca="false">Inputs!$B$28</f>
        <v>12</v>
      </c>
      <c r="C8" s="55" t="n">
        <f aca="false">Inputs!$C$28</f>
        <v>13</v>
      </c>
      <c r="D8" s="55" t="n">
        <f aca="false">Inputs!$D$28</f>
        <v>14</v>
      </c>
      <c r="E8" s="56" t="n">
        <f aca="false">Inputs!$E$28</f>
        <v>13</v>
      </c>
    </row>
    <row r="9" customFormat="false" ht="15" hidden="false" customHeight="false" outlineLevel="0" collapsed="false">
      <c r="A9" s="6" t="s">
        <v>111</v>
      </c>
      <c r="B9" s="57" t="n">
        <f aca="false">Inputs!$B$20</f>
        <v>150</v>
      </c>
      <c r="C9" s="57" t="n">
        <f aca="false">Inputs!$C$20</f>
        <v>250</v>
      </c>
      <c r="D9" s="57" t="n">
        <f aca="false">Inputs!$D$20</f>
        <v>350</v>
      </c>
      <c r="E9" s="58" t="n">
        <f aca="false">Inputs!$E$20</f>
        <v>250</v>
      </c>
    </row>
    <row r="10" customFormat="false" ht="15" hidden="false" customHeight="false" outlineLevel="0" collapsed="false">
      <c r="A10" s="6" t="s">
        <v>112</v>
      </c>
      <c r="B10" s="55" t="n">
        <f aca="false">Inputs!$B$30</f>
        <v>32</v>
      </c>
      <c r="C10" s="55" t="n">
        <f aca="false">Inputs!$C$30</f>
        <v>35</v>
      </c>
      <c r="D10" s="55" t="n">
        <f aca="false">Inputs!$D$30</f>
        <v>38</v>
      </c>
      <c r="E10" s="56" t="n">
        <f aca="false">Inputs!$E$30</f>
        <v>35</v>
      </c>
    </row>
    <row r="11" customFormat="false" ht="15" hidden="false" customHeight="false" outlineLevel="0" collapsed="false">
      <c r="A11" s="6" t="s">
        <v>113</v>
      </c>
      <c r="B11" s="59" t="n">
        <f aca="false">Inputs!$B$24</f>
        <v>0.05</v>
      </c>
      <c r="C11" s="59" t="n">
        <f aca="false">Inputs!$C$24</f>
        <v>0.04</v>
      </c>
      <c r="D11" s="59" t="n">
        <f aca="false">Inputs!$D$24</f>
        <v>0.032</v>
      </c>
      <c r="E11" s="60" t="n">
        <f aca="false">Inputs!$E$24</f>
        <v>0.04</v>
      </c>
    </row>
    <row r="12" customFormat="false" ht="15" hidden="false" customHeight="false" outlineLevel="0" collapsed="false">
      <c r="A12" s="6" t="s">
        <v>114</v>
      </c>
      <c r="B12" s="61" t="n">
        <f aca="false">Inputs!$B$42</f>
        <v>30000</v>
      </c>
      <c r="C12" s="61" t="n">
        <f aca="false">Inputs!$C$42</f>
        <v>30000</v>
      </c>
      <c r="D12" s="61" t="n">
        <f aca="false">Inputs!$D$42</f>
        <v>30000</v>
      </c>
      <c r="E12" s="62" t="n">
        <f aca="false">Inputs!$E$42</f>
        <v>30000</v>
      </c>
    </row>
    <row r="13" customFormat="false" ht="15" hidden="false" customHeight="false" outlineLevel="0" collapsed="false">
      <c r="A13" s="6" t="s">
        <v>115</v>
      </c>
      <c r="B13" s="61" t="n">
        <f aca="false">Inputs!$B$50</f>
        <v>1650000</v>
      </c>
      <c r="C13" s="61" t="n">
        <f aca="false">Inputs!$C$50</f>
        <v>1650000</v>
      </c>
      <c r="D13" s="61" t="n">
        <f aca="false">Inputs!$D$50</f>
        <v>1650000</v>
      </c>
      <c r="E13" s="62" t="n">
        <f aca="false">Inputs!$E$50</f>
        <v>1650000</v>
      </c>
    </row>
    <row r="14" customFormat="false" ht="15" hidden="false" customHeight="false" outlineLevel="0" collapsed="false">
      <c r="A14" s="6" t="s">
        <v>116</v>
      </c>
      <c r="B14" s="61" t="n">
        <f aca="false">Inputs!$B$69</f>
        <v>2100000</v>
      </c>
      <c r="C14" s="61" t="n">
        <f aca="false">Inputs!$C$69</f>
        <v>2100000</v>
      </c>
      <c r="D14" s="61" t="n">
        <f aca="false">Inputs!$D$69</f>
        <v>2100000</v>
      </c>
      <c r="E14" s="62" t="n">
        <f aca="false">Inputs!$E$69</f>
        <v>2100000</v>
      </c>
    </row>
    <row r="16" customFormat="false" ht="15.75" hidden="false" customHeight="true" outlineLevel="0" collapsed="false">
      <c r="A16" s="7" t="s">
        <v>117</v>
      </c>
      <c r="B16" s="7"/>
      <c r="C16" s="7"/>
      <c r="D16" s="7"/>
      <c r="E16" s="7"/>
    </row>
    <row r="17" customFormat="false" ht="15" hidden="false" customHeight="false" outlineLevel="0" collapsed="false">
      <c r="A17" s="33" t="s">
        <v>118</v>
      </c>
      <c r="B17" s="35" t="s">
        <v>105</v>
      </c>
      <c r="C17" s="35" t="s">
        <v>106</v>
      </c>
      <c r="D17" s="35" t="s">
        <v>107</v>
      </c>
      <c r="E17" s="35" t="s">
        <v>108</v>
      </c>
    </row>
    <row r="18" customFormat="false" ht="15" hidden="false" customHeight="false" outlineLevel="0" collapsed="false">
      <c r="A18" s="6" t="s">
        <v>119</v>
      </c>
      <c r="B18" s="63" t="n">
        <f aca="false">D31</f>
        <v>1373352.59957725</v>
      </c>
      <c r="C18" s="63" t="n">
        <f aca="false">D32</f>
        <v>2170291.60192013</v>
      </c>
      <c r="D18" s="63" t="n">
        <f aca="false">D33</f>
        <v>3275560.85962553</v>
      </c>
      <c r="E18" s="64" t="n">
        <f aca="false">'P&amp;L'!D5</f>
        <v>2170291.60192013</v>
      </c>
    </row>
    <row r="19" customFormat="false" ht="15" hidden="false" customHeight="false" outlineLevel="0" collapsed="false">
      <c r="A19" s="6" t="s">
        <v>120</v>
      </c>
      <c r="B19" s="63" t="n">
        <f aca="false">SUM(B31:D31)</f>
        <v>3330663.09992028</v>
      </c>
      <c r="C19" s="63" t="n">
        <f aca="false">SUM(B32:D32)</f>
        <v>5197123.01185859</v>
      </c>
      <c r="D19" s="63" t="n">
        <f aca="false">SUM(B33:D33)</f>
        <v>7627129.24911589</v>
      </c>
      <c r="E19" s="64" t="n">
        <f aca="false">SUM('P&amp;L'!$B$5:$D$5)</f>
        <v>5197123.01185859</v>
      </c>
    </row>
    <row r="20" customFormat="false" ht="15" hidden="false" customHeight="false" outlineLevel="0" collapsed="false">
      <c r="A20" s="6" t="s">
        <v>121</v>
      </c>
      <c r="B20" s="63" t="n">
        <f aca="false">D37</f>
        <v>-24636.2998835956</v>
      </c>
      <c r="C20" s="63" t="n">
        <f aca="false">D38</f>
        <v>682326.815321617</v>
      </c>
      <c r="D20" s="63" t="n">
        <f aca="false">D39</f>
        <v>1692015.58746952</v>
      </c>
      <c r="E20" s="64" t="n">
        <f aca="false">'P&amp;L'!D15</f>
        <v>682326.815321617</v>
      </c>
    </row>
    <row r="21" customFormat="false" ht="15" hidden="false" customHeight="false" outlineLevel="0" collapsed="false">
      <c r="A21" s="6" t="s">
        <v>122</v>
      </c>
      <c r="B21" s="65" t="n">
        <f aca="false">IF(B18=0,0,B20/B18)</f>
        <v>-0.0179388016531073</v>
      </c>
      <c r="C21" s="65" t="n">
        <f aca="false">IF(C18=0,0,C20/C18)</f>
        <v>0.314394072537506</v>
      </c>
      <c r="D21" s="65" t="n">
        <f aca="false">IF(D18=0,0,D20/D18)</f>
        <v>0.516557517927772</v>
      </c>
      <c r="E21" s="66" t="n">
        <f aca="false">IF(E18=0,0,E20/E18)</f>
        <v>0.314394072537506</v>
      </c>
    </row>
    <row r="22" customFormat="false" ht="15" hidden="false" customHeight="false" outlineLevel="0" collapsed="false">
      <c r="A22" s="6" t="s">
        <v>123</v>
      </c>
      <c r="B22" s="63" t="n">
        <f aca="false">D43</f>
        <v>-566344.633216929</v>
      </c>
      <c r="C22" s="63" t="n">
        <f aca="false">D44</f>
        <v>140618.481988284</v>
      </c>
      <c r="D22" s="63" t="n">
        <f aca="false">D45</f>
        <v>908742.730767589</v>
      </c>
      <c r="E22" s="64" t="n">
        <f aca="false">'P&amp;L'!D22</f>
        <v>140618.481988284</v>
      </c>
    </row>
    <row r="23" customFormat="false" ht="15" hidden="false" customHeight="false" outlineLevel="0" collapsed="false">
      <c r="A23" s="6" t="s">
        <v>124</v>
      </c>
      <c r="B23" s="63" t="n">
        <f aca="false">SUM(B43:D43)</f>
        <v>-2370448.03523605</v>
      </c>
      <c r="C23" s="63" t="n">
        <f aca="false">SUM(B44:D44)</f>
        <v>-704179.027993512</v>
      </c>
      <c r="D23" s="63" t="n">
        <f aca="false">SUM(B45:D45)</f>
        <v>1211875.96745087</v>
      </c>
      <c r="E23" s="64" t="n">
        <f aca="false">SUM('P&amp;L'!$B$22:$D$22)</f>
        <v>-704179.027993512</v>
      </c>
    </row>
    <row r="24" customFormat="false" ht="15" hidden="false" customHeight="false" outlineLevel="0" collapsed="false">
      <c r="A24" s="6" t="s">
        <v>125</v>
      </c>
      <c r="B24" s="63" t="n">
        <f aca="false">D49</f>
        <v>-1288612.08680362</v>
      </c>
      <c r="C24" s="63" t="n">
        <f aca="false">D50</f>
        <v>376024.314834002</v>
      </c>
      <c r="D24" s="63" t="n">
        <f aca="false">D51</f>
        <v>2288697.84087389</v>
      </c>
      <c r="E24" s="64" t="n">
        <f aca="false">'Balance Sheet'!D5</f>
        <v>376024.314834002</v>
      </c>
    </row>
    <row r="25" customFormat="false" ht="15" hidden="false" customHeight="false" outlineLevel="0" collapsed="false">
      <c r="A25" s="6" t="s">
        <v>126</v>
      </c>
      <c r="B25" s="63" t="n">
        <f aca="false">MIN('Scenario calc'!$C$102:$AL$102)</f>
        <v>-1288612.08680362</v>
      </c>
      <c r="C25" s="63" t="n">
        <f aca="false">MIN('Scenario calc'!$C$231:$AL$231)</f>
        <v>179017.171242736</v>
      </c>
      <c r="D25" s="63" t="n">
        <f aca="false">MIN('Scenario calc'!$C$360:$AL$360)</f>
        <v>777911.474722124</v>
      </c>
      <c r="E25" s="64" t="n">
        <f aca="false">'Break-even'!B18</f>
        <v>179017.171242736</v>
      </c>
    </row>
    <row r="26" customFormat="false" ht="15" hidden="false" customHeight="false" outlineLevel="0" collapsed="false">
      <c r="A26" s="6" t="s">
        <v>127</v>
      </c>
      <c r="B26" s="67" t="n">
        <f aca="false">MATCH(MIN('Scenario calc'!$C$102:$AL$102),'Scenario calc'!$C$102:$AL$102,0)</f>
        <v>36</v>
      </c>
      <c r="C26" s="67" t="n">
        <f aca="false">MATCH(MIN('Scenario calc'!$C$231:$AL$231),'Scenario calc'!$C$231:$AL$231,0)</f>
        <v>26</v>
      </c>
      <c r="D26" s="67" t="n">
        <f aca="false">MATCH(MIN('Scenario calc'!$C$360:$AL$360),'Scenario calc'!$C$360:$AL$360,0)</f>
        <v>7</v>
      </c>
      <c r="E26" s="68" t="n">
        <f aca="false">'Break-even'!B6</f>
        <v>26</v>
      </c>
    </row>
    <row r="27" customFormat="false" ht="15" hidden="false" customHeight="false" outlineLevel="0" collapsed="false">
      <c r="A27" s="4" t="s">
        <v>66</v>
      </c>
      <c r="B27" s="63" t="n">
        <f aca="false">SUMPRODUCT(--('Scenario calc'!$C$6:$AL$6&lt;=B26),'Scenario calc'!$C$74:$AL$74)-SUMPRODUCT(--('Scenario calc'!$C$6:$AL$6&lt;=B26),'Scenario calc'!$C$96:$AL$96)-SUMPRODUCT(--('Scenario calc'!$C$6:$AL$6&lt;=B26),'Scenario calc'!$C$84:$AL$84)+Inputs!$B$84</f>
        <v>6669612.08680362</v>
      </c>
      <c r="C27" s="63" t="n">
        <f aca="false">SUMPRODUCT(--('Scenario calc'!$C$135:$AL$135&lt;=C26),'Scenario calc'!$C$203:$AL$203)-SUMPRODUCT(--('Scenario calc'!$C$135:$AL$135&lt;=C26),'Scenario calc'!$C$225:$AL$225)-SUMPRODUCT(--('Scenario calc'!$C$135:$AL$135&lt;=C26),'Scenario calc'!$C$213:$AL$213)+Inputs!$C$84</f>
        <v>5201982.82875727</v>
      </c>
      <c r="D27" s="63" t="n">
        <f aca="false">SUMPRODUCT(--('Scenario calc'!$C$264:$AL$264&lt;=D26),'Scenario calc'!$C$332:$AL$332)-SUMPRODUCT(--('Scenario calc'!$C$264:$AL$264&lt;=D26),'Scenario calc'!$C$354:$AL$354)-SUMPRODUCT(--('Scenario calc'!$C$264:$AL$264&lt;=D26),'Scenario calc'!$C$342:$AL$342)+Inputs!$D$84</f>
        <v>4603088.52527788</v>
      </c>
      <c r="E27" s="64" t="n">
        <f aca="false">'Break-even'!B12</f>
        <v>5201982.82875727</v>
      </c>
    </row>
    <row r="29" customFormat="false" ht="15.75" hidden="false" customHeight="true" outlineLevel="0" collapsed="false">
      <c r="A29" s="7" t="s">
        <v>128</v>
      </c>
      <c r="B29" s="7"/>
      <c r="C29" s="7"/>
      <c r="D29" s="7"/>
      <c r="E29" s="7"/>
    </row>
    <row r="30" customFormat="false" ht="15" hidden="false" customHeight="false" outlineLevel="0" collapsed="false">
      <c r="A30" s="33" t="s">
        <v>129</v>
      </c>
      <c r="B30" s="34" t="n">
        <v>1</v>
      </c>
      <c r="C30" s="34" t="n">
        <v>2</v>
      </c>
      <c r="D30" s="34" t="n">
        <v>3</v>
      </c>
    </row>
    <row r="31" customFormat="false" ht="15" hidden="false" customHeight="false" outlineLevel="0" collapsed="false">
      <c r="A31" s="6" t="s">
        <v>105</v>
      </c>
      <c r="B31" s="63" t="n">
        <f aca="false">SUMIF('Scenario calc'!$C$7:$AL$7,B$30,'Scenario calc'!$C$39:$AL$39)</f>
        <v>723753.781752898</v>
      </c>
      <c r="C31" s="63" t="n">
        <f aca="false">SUMIF('Scenario calc'!$C$7:$AL$7,C$30,'Scenario calc'!$C$39:$AL$39)</f>
        <v>1233556.71859013</v>
      </c>
      <c r="D31" s="63" t="n">
        <f aca="false">SUMIF('Scenario calc'!$C$7:$AL$7,D$30,'Scenario calc'!$C$39:$AL$39)</f>
        <v>1373352.59957725</v>
      </c>
    </row>
    <row r="32" customFormat="false" ht="15" hidden="false" customHeight="false" outlineLevel="0" collapsed="false">
      <c r="A32" s="6" t="s">
        <v>106</v>
      </c>
      <c r="B32" s="63" t="n">
        <f aca="false">SUMIF('Scenario calc'!$C$136:$AL$136,B$30,'Scenario calc'!$C$168:$AL$168)</f>
        <v>1180182.39164623</v>
      </c>
      <c r="C32" s="63" t="n">
        <f aca="false">SUMIF('Scenario calc'!$C$136:$AL$136,C$30,'Scenario calc'!$C$168:$AL$168)</f>
        <v>1846649.01829223</v>
      </c>
      <c r="D32" s="63" t="n">
        <f aca="false">SUMIF('Scenario calc'!$C$136:$AL$136,D$30,'Scenario calc'!$C$168:$AL$168)</f>
        <v>2170291.60192013</v>
      </c>
    </row>
    <row r="33" customFormat="false" ht="15" hidden="false" customHeight="false" outlineLevel="0" collapsed="false">
      <c r="A33" s="6" t="s">
        <v>107</v>
      </c>
      <c r="B33" s="63" t="n">
        <f aca="false">SUMIF('Scenario calc'!$C$265:$AL$265,B$30,'Scenario calc'!$C$297:$AL$297)</f>
        <v>1713972.34882851</v>
      </c>
      <c r="C33" s="63" t="n">
        <f aca="false">SUMIF('Scenario calc'!$C$265:$AL$265,C$30,'Scenario calc'!$C$297:$AL$297)</f>
        <v>2637596.04066185</v>
      </c>
      <c r="D33" s="63" t="n">
        <f aca="false">SUMIF('Scenario calc'!$C$265:$AL$265,D$30,'Scenario calc'!$C$297:$AL$297)</f>
        <v>3275560.85962553</v>
      </c>
    </row>
    <row r="35" customFormat="false" ht="15.75" hidden="false" customHeight="true" outlineLevel="0" collapsed="false">
      <c r="A35" s="7" t="s">
        <v>130</v>
      </c>
      <c r="B35" s="7"/>
      <c r="C35" s="7"/>
      <c r="D35" s="7"/>
      <c r="E35" s="7"/>
    </row>
    <row r="36" customFormat="false" ht="15" hidden="false" customHeight="false" outlineLevel="0" collapsed="false">
      <c r="A36" s="33" t="s">
        <v>129</v>
      </c>
      <c r="B36" s="34" t="n">
        <v>1</v>
      </c>
      <c r="C36" s="34" t="n">
        <v>2</v>
      </c>
      <c r="D36" s="34" t="n">
        <v>3</v>
      </c>
    </row>
    <row r="37" customFormat="false" ht="15" hidden="false" customHeight="false" outlineLevel="0" collapsed="false">
      <c r="A37" s="6" t="s">
        <v>105</v>
      </c>
      <c r="B37" s="63" t="n">
        <f aca="false">SUMIF('Scenario calc'!$C$7:$AL$7,B$36,'Scenario calc'!$C$57:$AL$57)</f>
        <v>-533892.676207162</v>
      </c>
      <c r="C37" s="63" t="n">
        <f aca="false">SUMIF('Scenario calc'!$C$7:$AL$7,C$36,'Scenario calc'!$C$57:$AL$57)</f>
        <v>-120382.60081196</v>
      </c>
      <c r="D37" s="63" t="n">
        <f aca="false">SUMIF('Scenario calc'!$C$7:$AL$7,D$36,'Scenario calc'!$C$57:$AL$57)</f>
        <v>-24636.2998835956</v>
      </c>
    </row>
    <row r="38" customFormat="false" ht="15" hidden="false" customHeight="false" outlineLevel="0" collapsed="false">
      <c r="A38" s="6" t="s">
        <v>106</v>
      </c>
      <c r="B38" s="63" t="n">
        <f aca="false">SUMIF('Scenario calc'!$C$136:$AL$136,B$36,'Scenario calc'!$C$186:$AL$186)</f>
        <v>-123279.207270295</v>
      </c>
      <c r="C38" s="63" t="n">
        <f aca="false">SUMIF('Scenario calc'!$C$136:$AL$136,C$36,'Scenario calc'!$C$186:$AL$186)</f>
        <v>428309.8222885</v>
      </c>
      <c r="D38" s="63" t="n">
        <f aca="false">SUMIF('Scenario calc'!$C$136:$AL$136,D$36,'Scenario calc'!$C$186:$AL$186)</f>
        <v>682326.815321617</v>
      </c>
    </row>
    <row r="39" customFormat="false" ht="15" hidden="false" customHeight="false" outlineLevel="0" collapsed="false">
      <c r="A39" s="6" t="s">
        <v>107</v>
      </c>
      <c r="B39" s="63" t="n">
        <f aca="false">SUMIF('Scenario calc'!$C$265:$AL$265,B$36,'Scenario calc'!$C$315:$AL$315)</f>
        <v>374729.35474249</v>
      </c>
      <c r="C39" s="63" t="n">
        <f aca="false">SUMIF('Scenario calc'!$C$265:$AL$265,C$36,'Scenario calc'!$C$315:$AL$315)</f>
        <v>1158811.72808445</v>
      </c>
      <c r="D39" s="63" t="n">
        <f aca="false">SUMIF('Scenario calc'!$C$265:$AL$265,D$36,'Scenario calc'!$C$315:$AL$315)</f>
        <v>1692015.58746952</v>
      </c>
    </row>
    <row r="41" customFormat="false" ht="15.75" hidden="false" customHeight="true" outlineLevel="0" collapsed="false">
      <c r="A41" s="7" t="s">
        <v>131</v>
      </c>
      <c r="B41" s="7"/>
      <c r="C41" s="7"/>
      <c r="D41" s="7"/>
      <c r="E41" s="7"/>
    </row>
    <row r="42" customFormat="false" ht="15" hidden="false" customHeight="false" outlineLevel="0" collapsed="false">
      <c r="A42" s="33" t="s">
        <v>129</v>
      </c>
      <c r="B42" s="34" t="n">
        <v>1</v>
      </c>
      <c r="C42" s="34" t="n">
        <v>2</v>
      </c>
      <c r="D42" s="34" t="n">
        <v>3</v>
      </c>
    </row>
    <row r="43" customFormat="false" ht="15" hidden="false" customHeight="false" outlineLevel="0" collapsed="false">
      <c r="A43" s="6" t="s">
        <v>105</v>
      </c>
      <c r="B43" s="63" t="n">
        <f aca="false">SUMIF('Scenario calc'!$C$7:$AL$7,B$42,'Scenario calc'!$C$66:$AL$66)</f>
        <v>-1119845.80120716</v>
      </c>
      <c r="C43" s="63" t="n">
        <f aca="false">SUMIF('Scenario calc'!$C$7:$AL$7,C$42,'Scenario calc'!$C$66:$AL$66)</f>
        <v>-684257.60081196</v>
      </c>
      <c r="D43" s="63" t="n">
        <f aca="false">SUMIF('Scenario calc'!$C$7:$AL$7,D$42,'Scenario calc'!$C$66:$AL$66)</f>
        <v>-566344.633216929</v>
      </c>
    </row>
    <row r="44" customFormat="false" ht="15" hidden="false" customHeight="false" outlineLevel="0" collapsed="false">
      <c r="A44" s="6" t="s">
        <v>106</v>
      </c>
      <c r="B44" s="63" t="n">
        <f aca="false">SUMIF('Scenario calc'!$C$136:$AL$136,B$42,'Scenario calc'!$C$195:$AL$195)</f>
        <v>-709232.332270295</v>
      </c>
      <c r="C44" s="63" t="n">
        <f aca="false">SUMIF('Scenario calc'!$C$136:$AL$136,C$42,'Scenario calc'!$C$195:$AL$195)</f>
        <v>-135565.177711501</v>
      </c>
      <c r="D44" s="63" t="n">
        <f aca="false">SUMIF('Scenario calc'!$C$136:$AL$136,D$42,'Scenario calc'!$C$195:$AL$195)</f>
        <v>140618.481988284</v>
      </c>
    </row>
    <row r="45" customFormat="false" ht="15" hidden="false" customHeight="false" outlineLevel="0" collapsed="false">
      <c r="A45" s="6" t="s">
        <v>107</v>
      </c>
      <c r="B45" s="63" t="n">
        <f aca="false">SUMIF('Scenario calc'!$C$265:$AL$265,B$42,'Scenario calc'!$C$324:$AL$324)</f>
        <v>-211223.770257511</v>
      </c>
      <c r="C45" s="63" t="n">
        <f aca="false">SUMIF('Scenario calc'!$C$265:$AL$265,C$42,'Scenario calc'!$C$324:$AL$324)</f>
        <v>514357.00694079</v>
      </c>
      <c r="D45" s="63" t="n">
        <f aca="false">SUMIF('Scenario calc'!$C$265:$AL$265,D$42,'Scenario calc'!$C$324:$AL$324)</f>
        <v>908742.730767589</v>
      </c>
    </row>
    <row r="47" customFormat="false" ht="15.75" hidden="false" customHeight="true" outlineLevel="0" collapsed="false">
      <c r="A47" s="7" t="s">
        <v>132</v>
      </c>
      <c r="B47" s="7"/>
      <c r="C47" s="7"/>
      <c r="D47" s="7"/>
      <c r="E47" s="7"/>
    </row>
    <row r="48" customFormat="false" ht="15" hidden="false" customHeight="false" outlineLevel="0" collapsed="false">
      <c r="A48" s="33" t="s">
        <v>129</v>
      </c>
      <c r="B48" s="34" t="n">
        <v>1</v>
      </c>
      <c r="C48" s="34" t="n">
        <v>2</v>
      </c>
      <c r="D48" s="34" t="n">
        <v>3</v>
      </c>
    </row>
    <row r="49" customFormat="false" ht="15" hidden="false" customHeight="false" outlineLevel="0" collapsed="false">
      <c r="A49" s="6" t="s">
        <v>105</v>
      </c>
      <c r="B49" s="63" t="n">
        <f aca="false">INDEX('Scenario calc'!$C$102:$AL$102,B$48*12)</f>
        <v>-52322.2790208757</v>
      </c>
      <c r="C49" s="63" t="n">
        <f aca="false">INDEX('Scenario calc'!$C$102:$AL$102,C$48*12)</f>
        <v>-731025.649005202</v>
      </c>
      <c r="D49" s="63" t="n">
        <f aca="false">INDEX('Scenario calc'!$C$102:$AL$102,D$48*12)</f>
        <v>-1288612.08680362</v>
      </c>
    </row>
    <row r="50" customFormat="false" ht="15" hidden="false" customHeight="false" outlineLevel="0" collapsed="false">
      <c r="A50" s="6" t="s">
        <v>106</v>
      </c>
      <c r="B50" s="63" t="n">
        <f aca="false">INDEX('Scenario calc'!$C$231:$AL$231,B$48*12)</f>
        <v>357219.364054081</v>
      </c>
      <c r="C50" s="63" t="n">
        <f aca="false">INDEX('Scenario calc'!$C$231:$AL$231,C$48*12)</f>
        <v>226873.838743211</v>
      </c>
      <c r="D50" s="63" t="n">
        <f aca="false">INDEX('Scenario calc'!$C$231:$AL$231,D$48*12)</f>
        <v>376024.314834002</v>
      </c>
    </row>
    <row r="51" customFormat="false" ht="15" hidden="false" customHeight="false" outlineLevel="0" collapsed="false">
      <c r="A51" s="6" t="s">
        <v>107</v>
      </c>
      <c r="B51" s="63" t="n">
        <f aca="false">INDEX('Scenario calc'!$C$360:$AL$360,B$48*12)</f>
        <v>853302.314989332</v>
      </c>
      <c r="C51" s="63" t="n">
        <f aca="false">INDEX('Scenario calc'!$C$360:$AL$360,C$48*12)</f>
        <v>1372134.28837141</v>
      </c>
      <c r="D51" s="63" t="n">
        <f aca="false">INDEX('Scenario calc'!$C$360:$AL$360,D$48*12)</f>
        <v>2288697.84087389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133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134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136</v>
      </c>
      <c r="B5" s="7"/>
      <c r="C5" s="7"/>
      <c r="D5" s="7"/>
    </row>
    <row r="6" customFormat="false" ht="15" hidden="false" customHeight="false" outlineLevel="0" collapsed="false">
      <c r="A6" s="6" t="s">
        <v>127</v>
      </c>
      <c r="B6" s="67" t="n">
        <f aca="false">MATCH(MIN(Monthly!$C$100:$AL$100),Monthly!$C$100:$AL$100,0)</f>
        <v>26</v>
      </c>
    </row>
    <row r="7" customFormat="false" ht="15" hidden="false" customHeight="false" outlineLevel="0" collapsed="false">
      <c r="A7" s="6" t="s">
        <v>137</v>
      </c>
      <c r="B7" s="69" t="n">
        <f aca="false">SUMPRODUCT(--(Monthly!$C$4:$AL$4&lt;=$B$6),Monthly!$C$72:$AL$72)</f>
        <v>4180000</v>
      </c>
    </row>
    <row r="8" customFormat="false" ht="15" hidden="false" customHeight="false" outlineLevel="0" collapsed="false">
      <c r="A8" s="6" t="s">
        <v>138</v>
      </c>
      <c r="B8" s="69" t="n">
        <f aca="false">-SUMPRODUCT(--(Monthly!$C$4:$AL$4&lt;=$B$6),Monthly!$C$94:$AL$94)</f>
        <v>115982.828757265</v>
      </c>
      <c r="D8" s="18" t="s">
        <v>139</v>
      </c>
    </row>
    <row r="9" customFormat="false" ht="15" hidden="false" customHeight="false" outlineLevel="0" collapsed="false">
      <c r="A9" s="6" t="s">
        <v>140</v>
      </c>
      <c r="B9" s="69" t="n">
        <f aca="false">-SUMPRODUCT(--(Monthly!$C$4:$AL$4&lt;=$B$6),Monthly!$C$82:$AL$82)</f>
        <v>625000</v>
      </c>
    </row>
    <row r="10" customFormat="false" ht="15" hidden="false" customHeight="false" outlineLevel="0" collapsed="false">
      <c r="A10" s="4" t="s">
        <v>141</v>
      </c>
      <c r="B10" s="70" t="n">
        <f aca="false">B7+B8+B9</f>
        <v>4920982.82875727</v>
      </c>
    </row>
    <row r="11" customFormat="false" ht="15" hidden="false" customHeight="false" outlineLevel="0" collapsed="false">
      <c r="A11" s="6" t="s">
        <v>142</v>
      </c>
      <c r="B11" s="71" t="n">
        <f aca="false">Inputs!$E$84</f>
        <v>281000</v>
      </c>
      <c r="D11" s="18" t="s">
        <v>143</v>
      </c>
    </row>
    <row r="12" customFormat="false" ht="15" hidden="false" customHeight="false" outlineLevel="0" collapsed="false">
      <c r="A12" s="4" t="s">
        <v>144</v>
      </c>
      <c r="B12" s="70" t="n">
        <f aca="false">B10+B11</f>
        <v>5201982.82875727</v>
      </c>
    </row>
    <row r="14" customFormat="false" ht="15" hidden="false" customHeight="false" outlineLevel="0" collapsed="false">
      <c r="A14" s="6" t="s">
        <v>64</v>
      </c>
      <c r="B14" s="71" t="n">
        <f aca="false">Inputs!$E$69</f>
        <v>2100000</v>
      </c>
    </row>
    <row r="15" customFormat="false" ht="15" hidden="false" customHeight="false" outlineLevel="0" collapsed="false">
      <c r="A15" s="6" t="s">
        <v>65</v>
      </c>
      <c r="B15" s="71" t="n">
        <f aca="false">Inputs!$E$70</f>
        <v>3000000</v>
      </c>
    </row>
    <row r="16" customFormat="false" ht="15" hidden="false" customHeight="false" outlineLevel="0" collapsed="false">
      <c r="A16" s="4" t="s">
        <v>145</v>
      </c>
      <c r="B16" s="70" t="n">
        <f aca="false">B14+B15</f>
        <v>5100000</v>
      </c>
    </row>
    <row r="17" customFormat="false" ht="15" hidden="false" customHeight="false" outlineLevel="0" collapsed="false">
      <c r="A17" s="72" t="s">
        <v>67</v>
      </c>
      <c r="B17" s="73" t="n">
        <f aca="false">B16-B12</f>
        <v>-101982.828757265</v>
      </c>
      <c r="D17" s="18" t="s">
        <v>146</v>
      </c>
    </row>
    <row r="18" customFormat="false" ht="15" hidden="false" customHeight="false" outlineLevel="0" collapsed="false">
      <c r="A18" s="6" t="s">
        <v>147</v>
      </c>
      <c r="B18" s="69" t="n">
        <f aca="false">MIN(Monthly!$C$100:$AL$100)</f>
        <v>179017.171242736</v>
      </c>
      <c r="D18" s="18" t="s">
        <v>148</v>
      </c>
    </row>
    <row r="20" customFormat="false" ht="15.75" hidden="false" customHeight="true" outlineLevel="0" collapsed="false">
      <c r="A20" s="7" t="s">
        <v>149</v>
      </c>
      <c r="B20" s="7"/>
      <c r="C20" s="7"/>
      <c r="D20" s="7"/>
    </row>
    <row r="21" customFormat="false" ht="15" hidden="false" customHeight="false" outlineLevel="0" collapsed="false">
      <c r="A21" s="6" t="s">
        <v>150</v>
      </c>
      <c r="B21" s="67" t="n">
        <f aca="false">IFERROR(MATCH(1,Monthly!$C$101:$AL$101,0),"Not within horizon")</f>
        <v>8</v>
      </c>
    </row>
    <row r="22" customFormat="false" ht="15" hidden="false" customHeight="false" outlineLevel="0" collapsed="false">
      <c r="A22" s="6" t="s">
        <v>151</v>
      </c>
      <c r="B22" s="67" t="n">
        <f aca="false">IFERROR(MATCH(1,Monthly!$C$104:$AL$104,0),"Not within horizon")</f>
        <v>23</v>
      </c>
    </row>
    <row r="23" customFormat="false" ht="15" hidden="false" customHeight="false" outlineLevel="0" collapsed="false">
      <c r="A23" s="6" t="s">
        <v>152</v>
      </c>
      <c r="B23" s="67" t="str">
        <f aca="false">IF(MIN(Monthly!$C$106:$AL$106)&gt;=0,"No investment to pay back",IFERROR(MATCH(1,Monthly!$C$108:$AL$108,0),"Not within horizon"))</f>
        <v>Not within horizon</v>
      </c>
      <c r="D23" s="18" t="s">
        <v>153</v>
      </c>
    </row>
    <row r="25" customFormat="false" ht="15.75" hidden="false" customHeight="true" outlineLevel="0" collapsed="false">
      <c r="A25" s="7" t="s">
        <v>154</v>
      </c>
      <c r="B25" s="7"/>
      <c r="C25" s="7"/>
      <c r="D25" s="7"/>
    </row>
    <row r="26" customFormat="false" ht="15" hidden="false" customHeight="false" outlineLevel="0" collapsed="false">
      <c r="A26" s="74" t="s">
        <v>155</v>
      </c>
      <c r="B26" s="74" t="n">
        <v>1</v>
      </c>
      <c r="C26" s="74" t="n">
        <v>2</v>
      </c>
      <c r="D26" s="74" t="n">
        <v>3</v>
      </c>
    </row>
    <row r="27" customFormat="false" ht="15" hidden="false" customHeight="false" outlineLevel="0" collapsed="false">
      <c r="A27" s="33"/>
      <c r="B27" s="35" t="s">
        <v>156</v>
      </c>
      <c r="C27" s="35" t="s">
        <v>157</v>
      </c>
      <c r="D27" s="35" t="s">
        <v>158</v>
      </c>
    </row>
    <row r="28" customFormat="false" ht="15" hidden="false" customHeight="false" outlineLevel="0" collapsed="false">
      <c r="A28" s="4" t="s">
        <v>44</v>
      </c>
      <c r="B28" s="75" t="n">
        <f aca="false">SUMIF(Monthly!$C$5:$AL$5,B$26,Monthly!$C$37:$AL$37)</f>
        <v>1180182.39164623</v>
      </c>
      <c r="C28" s="75" t="n">
        <f aca="false">SUMIF(Monthly!$C$5:$AL$5,C$26,Monthly!$C$37:$AL$37)</f>
        <v>1846649.01829223</v>
      </c>
      <c r="D28" s="75" t="n">
        <f aca="false">SUMIF(Monthly!$C$5:$AL$5,D$26,Monthly!$C$37:$AL$37)</f>
        <v>2170291.60192013</v>
      </c>
    </row>
    <row r="29" customFormat="false" ht="15" hidden="false" customHeight="false" outlineLevel="0" collapsed="false">
      <c r="A29" s="6" t="s">
        <v>45</v>
      </c>
      <c r="B29" s="69" t="n">
        <f aca="false">SUMIF(Monthly!$C$5:$AL$5,B$26,Monthly!$C$46:$AL$46)</f>
        <v>999760.792729705</v>
      </c>
      <c r="C29" s="69" t="n">
        <f aca="false">SUMIF(Monthly!$C$5:$AL$5,C$26,Monthly!$C$46:$AL$46)</f>
        <v>1551921.0222885</v>
      </c>
      <c r="D29" s="69" t="n">
        <f aca="false">SUMIF(Monthly!$C$5:$AL$5,D$26,Monthly!$C$46:$AL$46)</f>
        <v>1813150.35132162</v>
      </c>
    </row>
    <row r="30" customFormat="false" ht="15" hidden="false" customHeight="false" outlineLevel="0" collapsed="false">
      <c r="A30" s="39" t="s">
        <v>159</v>
      </c>
      <c r="B30" s="76" t="n">
        <f aca="false">IF(B28=0,0,B29/B28)</f>
        <v>0.847123969825669</v>
      </c>
      <c r="C30" s="76" t="n">
        <f aca="false">IF(C28=0,0,C29/C28)</f>
        <v>0.840398476871209</v>
      </c>
      <c r="D30" s="76" t="n">
        <f aca="false">IF(D28=0,0,D29/D28)</f>
        <v>0.835440891775769</v>
      </c>
    </row>
    <row r="31" customFormat="false" ht="15" hidden="false" customHeight="false" outlineLevel="0" collapsed="false">
      <c r="A31" s="6" t="s">
        <v>160</v>
      </c>
      <c r="B31" s="69" t="n">
        <f aca="false">-SUMIF(Monthly!$C$5:$AL$5,B$26,Monthly!$C$54:$AL$54)</f>
        <v>1123040</v>
      </c>
      <c r="C31" s="69" t="n">
        <f aca="false">-SUMIF(Monthly!$C$5:$AL$5,C$26,Monthly!$C$54:$AL$54)</f>
        <v>1123611.2</v>
      </c>
      <c r="D31" s="69" t="n">
        <f aca="false">-SUMIF(Monthly!$C$5:$AL$5,D$26,Monthly!$C$54:$AL$54)</f>
        <v>1130823.536</v>
      </c>
    </row>
    <row r="32" customFormat="false" ht="15" hidden="false" customHeight="false" outlineLevel="0" collapsed="false">
      <c r="A32" s="4" t="s">
        <v>161</v>
      </c>
      <c r="B32" s="75" t="n">
        <f aca="false">IF(B30&gt;0,B31/B30,"n/a")</f>
        <v>1325709.15238193</v>
      </c>
      <c r="C32" s="75" t="n">
        <f aca="false">IF(C30&gt;0,C31/C30,"n/a")</f>
        <v>1336998.13948163</v>
      </c>
      <c r="D32" s="75" t="n">
        <f aca="false">IF(D30&gt;0,D31/D30,"n/a")</f>
        <v>1353564.98243267</v>
      </c>
    </row>
    <row r="33" customFormat="false" ht="15" hidden="false" customHeight="false" outlineLevel="0" collapsed="false">
      <c r="A33" s="39" t="s">
        <v>162</v>
      </c>
      <c r="B33" s="76" t="n">
        <f aca="false">IF(AND(ISNUMBER(B32),B28&gt;0),(B28-B32)/B28,"n/a")</f>
        <v>-0.123308703608688</v>
      </c>
      <c r="C33" s="76" t="n">
        <f aca="false">IF(AND(ISNUMBER(C32),C28&gt;0),(C28-C32)/C28,"n/a")</f>
        <v>0.275986867976634</v>
      </c>
      <c r="D33" s="76" t="n">
        <f aca="false">IF(AND(ISNUMBER(D32),D28&gt;0),(D28-D32)/D28,"n/a")</f>
        <v>0.376321144478871</v>
      </c>
    </row>
    <row r="35" customFormat="false" ht="15" hidden="false" customHeight="false" outlineLevel="0" collapsed="false">
      <c r="A35" s="3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164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165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167</v>
      </c>
      <c r="B6" s="77" t="n">
        <f aca="false">Inputs!$E$87</f>
        <v>0.25</v>
      </c>
    </row>
    <row r="7" customFormat="false" ht="15" hidden="false" customHeight="false" outlineLevel="0" collapsed="false">
      <c r="A7" s="39" t="s">
        <v>168</v>
      </c>
      <c r="B7" s="77" t="n">
        <f aca="false">Inputs!$E$88</f>
        <v>0.02</v>
      </c>
    </row>
    <row r="8" customFormat="false" ht="15" hidden="false" customHeight="false" outlineLevel="0" collapsed="false">
      <c r="A8" s="6" t="s">
        <v>169</v>
      </c>
      <c r="B8" s="78" t="n">
        <f aca="false">Inputs!$E$89</f>
        <v>4</v>
      </c>
    </row>
    <row r="9" customFormat="false" ht="15" hidden="false" customHeight="false" outlineLevel="0" collapsed="false">
      <c r="A9" s="39" t="s">
        <v>170</v>
      </c>
      <c r="B9" s="77" t="n">
        <f aca="false">Inputs!$E$81</f>
        <v>0.21</v>
      </c>
    </row>
    <row r="10" customFormat="false" ht="15" hidden="false" customHeight="false" outlineLevel="0" collapsed="false">
      <c r="A10" s="39" t="s">
        <v>171</v>
      </c>
      <c r="B10" s="77" t="n">
        <f aca="false">Inputs!$E$90</f>
        <v>0.01</v>
      </c>
    </row>
    <row r="11" customFormat="false" ht="15" hidden="false" customHeight="false" outlineLevel="0" collapsed="false">
      <c r="A11" s="39" t="s">
        <v>172</v>
      </c>
      <c r="B11" s="77" t="n">
        <f aca="false">Inputs!$E$91</f>
        <v>0.005</v>
      </c>
    </row>
    <row r="13" customFormat="false" ht="15.75" hidden="false" customHeight="true" outlineLevel="0" collapsed="false">
      <c r="A13" s="7" t="s">
        <v>173</v>
      </c>
      <c r="B13" s="7"/>
      <c r="C13" s="7"/>
      <c r="D13" s="7"/>
    </row>
    <row r="14" customFormat="false" ht="15" hidden="false" customHeight="false" outlineLevel="0" collapsed="false">
      <c r="A14" s="74" t="s">
        <v>155</v>
      </c>
      <c r="B14" s="74" t="n">
        <v>1</v>
      </c>
      <c r="C14" s="74" t="n">
        <v>2</v>
      </c>
      <c r="D14" s="74" t="n">
        <v>3</v>
      </c>
    </row>
    <row r="15" customFormat="false" ht="15" hidden="false" customHeight="false" outlineLevel="0" collapsed="false">
      <c r="A15" s="33"/>
      <c r="B15" s="35" t="s">
        <v>156</v>
      </c>
      <c r="C15" s="35" t="s">
        <v>157</v>
      </c>
      <c r="D15" s="35" t="s">
        <v>158</v>
      </c>
    </row>
    <row r="16" customFormat="false" ht="15" hidden="false" customHeight="false" outlineLevel="0" collapsed="false">
      <c r="A16" s="6" t="s">
        <v>48</v>
      </c>
      <c r="B16" s="69" t="n">
        <f aca="false">SUMIF(Monthly!$C$5:$AL$5,B$14,Monthly!$C$55:$AL$55)</f>
        <v>-123279.207270295</v>
      </c>
      <c r="C16" s="69" t="n">
        <f aca="false">SUMIF(Monthly!$C$5:$AL$5,C$14,Monthly!$C$55:$AL$55)</f>
        <v>428309.8222885</v>
      </c>
      <c r="D16" s="69" t="n">
        <f aca="false">SUMIF(Monthly!$C$5:$AL$5,D$14,Monthly!$C$55:$AL$55)</f>
        <v>682326.815321617</v>
      </c>
    </row>
    <row r="17" customFormat="false" ht="15" hidden="false" customHeight="false" outlineLevel="0" collapsed="false">
      <c r="A17" s="4" t="s">
        <v>174</v>
      </c>
      <c r="B17" s="75" t="n">
        <f aca="false">SUMIF(Monthly!$C$5:$AL$5,B$14,Monthly!$C$109:$AL$109)</f>
        <v>-4274794.33386259</v>
      </c>
      <c r="C17" s="75" t="n">
        <f aca="false">SUMIF(Monthly!$C$5:$AL$5,C$14,Monthly!$C$109:$AL$109)</f>
        <v>342565.724689131</v>
      </c>
      <c r="D17" s="75" t="n">
        <f aca="false">SUMIF(Monthly!$C$5:$AL$5,D$14,Monthly!$C$109:$AL$109)</f>
        <v>601916.726090791</v>
      </c>
    </row>
    <row r="18" customFormat="false" ht="15" hidden="false" customHeight="false" outlineLevel="0" collapsed="false">
      <c r="A18" s="6" t="s">
        <v>175</v>
      </c>
      <c r="B18" s="79" t="n">
        <f aca="false">1/(1+Inputs!$E$87)^B$14</f>
        <v>0.8</v>
      </c>
      <c r="C18" s="79" t="n">
        <f aca="false">1/(1+Inputs!$E$87)^C$14</f>
        <v>0.64</v>
      </c>
      <c r="D18" s="79" t="n">
        <f aca="false">1/(1+Inputs!$E$87)^D$14</f>
        <v>0.512</v>
      </c>
    </row>
    <row r="19" customFormat="false" ht="15" hidden="false" customHeight="false" outlineLevel="0" collapsed="false">
      <c r="A19" s="6" t="s">
        <v>176</v>
      </c>
      <c r="B19" s="69" t="n">
        <f aca="false">B17*B18</f>
        <v>-3419835.46709007</v>
      </c>
      <c r="C19" s="69" t="n">
        <f aca="false">C17*C18</f>
        <v>219242.063801044</v>
      </c>
      <c r="D19" s="69" t="n">
        <f aca="false">D17*D18</f>
        <v>308181.363758485</v>
      </c>
    </row>
    <row r="21" customFormat="false" ht="15.75" hidden="false" customHeight="true" outlineLevel="0" collapsed="false">
      <c r="A21" s="7" t="s">
        <v>177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178</v>
      </c>
      <c r="C22" s="35" t="s">
        <v>179</v>
      </c>
    </row>
    <row r="23" customFormat="false" ht="15" hidden="false" customHeight="false" outlineLevel="0" collapsed="false">
      <c r="A23" s="6" t="s">
        <v>180</v>
      </c>
      <c r="B23" s="69" t="n">
        <f aca="false">SUM($B$19:$D$19)</f>
        <v>-2892412.03953054</v>
      </c>
      <c r="C23" s="69" t="n">
        <f aca="false">B23</f>
        <v>-2892412.03953054</v>
      </c>
    </row>
    <row r="24" customFormat="false" ht="15" hidden="false" customHeight="false" outlineLevel="0" collapsed="false">
      <c r="A24" s="6" t="s">
        <v>181</v>
      </c>
      <c r="B24" s="69" t="n">
        <f aca="false">$D$17</f>
        <v>601916.726090791</v>
      </c>
      <c r="C24" s="69" t="n">
        <f aca="false">$D$16</f>
        <v>682326.815321617</v>
      </c>
    </row>
    <row r="25" customFormat="false" ht="15" hidden="false" customHeight="false" outlineLevel="0" collapsed="false">
      <c r="A25" s="6" t="s">
        <v>182</v>
      </c>
      <c r="B25" s="69" t="n">
        <f aca="false">IF($B$6&gt;$B$7,B24*(1+$B$7)/($B$6-$B$7),0)</f>
        <v>2669369.82875047</v>
      </c>
      <c r="C25" s="69" t="n">
        <f aca="false">C24*$B$8</f>
        <v>2729307.26128647</v>
      </c>
    </row>
    <row r="26" customFormat="false" ht="15" hidden="false" customHeight="false" outlineLevel="0" collapsed="false">
      <c r="A26" s="6" t="s">
        <v>183</v>
      </c>
      <c r="B26" s="69" t="n">
        <f aca="false">B25/(1+$B$6)^$D$14</f>
        <v>1366717.35232024</v>
      </c>
      <c r="C26" s="69" t="n">
        <f aca="false">C25/(1+$B$6)^$D$14</f>
        <v>1397405.31777867</v>
      </c>
    </row>
    <row r="27" customFormat="false" ht="15" hidden="false" customHeight="false" outlineLevel="0" collapsed="false">
      <c r="A27" s="4" t="s">
        <v>177</v>
      </c>
      <c r="B27" s="70" t="n">
        <f aca="false">B23+B26</f>
        <v>-1525694.6872103</v>
      </c>
      <c r="C27" s="70" t="n">
        <f aca="false">C23+C26</f>
        <v>-1495006.72175187</v>
      </c>
    </row>
    <row r="28" customFormat="false" ht="15" hidden="false" customHeight="false" outlineLevel="0" collapsed="false">
      <c r="A28" s="39" t="s">
        <v>184</v>
      </c>
      <c r="B28" s="76" t="n">
        <f aca="false">IF(B27&lt;&gt;0,B26/B27,0)</f>
        <v>-0.895800033766422</v>
      </c>
      <c r="C28" s="76" t="n">
        <f aca="false">IF(C27&lt;&gt;0,C26/C27,0)</f>
        <v>-0.934715073482195</v>
      </c>
    </row>
    <row r="29" customFormat="false" ht="15" hidden="false" customHeight="false" outlineLevel="0" collapsed="false">
      <c r="A29" s="6" t="s">
        <v>185</v>
      </c>
      <c r="B29" s="80" t="n">
        <f aca="false">IF(C24&gt;0,B25/C24,"n/a")</f>
        <v>3.91215729590262</v>
      </c>
      <c r="C29" s="76" t="n">
        <f aca="false">IF(C25+B24&lt;&gt;0,(C25*$B$6-B24)/(C25+B24),"n/a")</f>
        <v>0.0241383015778937</v>
      </c>
    </row>
    <row r="30" customFormat="false" ht="15" hidden="false" customHeight="false" outlineLevel="0" collapsed="false">
      <c r="A30" s="72" t="s">
        <v>186</v>
      </c>
      <c r="B30" s="73" t="n">
        <f aca="false">AVERAGE(B27,C27)</f>
        <v>-1510350.70448108</v>
      </c>
    </row>
    <row r="32" customFormat="false" ht="15.75" hidden="false" customHeight="true" outlineLevel="0" collapsed="false">
      <c r="A32" s="7" t="s">
        <v>187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188</v>
      </c>
      <c r="B33" s="81" t="n">
        <f aca="false">$B$7+(-2)*$B$11</f>
        <v>0.01</v>
      </c>
      <c r="C33" s="81" t="n">
        <f aca="false">$B$7+(-1)*$B$11</f>
        <v>0.015</v>
      </c>
      <c r="D33" s="81" t="n">
        <f aca="false">$B$7+(0)*$B$11</f>
        <v>0.02</v>
      </c>
      <c r="E33" s="81" t="n">
        <f aca="false">$B$7+(1)*$B$11</f>
        <v>0.025</v>
      </c>
      <c r="F33" s="81" t="n">
        <f aca="false">$B$7+(2)*$B$11</f>
        <v>0.03</v>
      </c>
    </row>
    <row r="34" customFormat="false" ht="15" hidden="false" customHeight="false" outlineLevel="0" collapsed="false">
      <c r="A34" s="76" t="n">
        <f aca="false">$B$6+(-2)*$B$10</f>
        <v>0.23</v>
      </c>
      <c r="B34" s="69" t="n">
        <f aca="false">IF($A34&gt;B$33,SUMPRODUCT($B$17:$D$17/(1+$A34)^$B$14:$D$14)+$D$17*(1+B$33)/($A34-B$33)/(1+$A34)^$D$14,"n/a")</f>
        <v>-1440575.17837752</v>
      </c>
      <c r="C34" s="69" t="n">
        <f aca="false">IF($A34&gt;C$33,SUMPRODUCT($B$17:$D$17/(1+$A34)^$B$14:$D$14)+$D$17*(1+C$33)/($A34-C$33)/(1+$A34)^$D$14,"n/a")</f>
        <v>-1398518.4919491</v>
      </c>
      <c r="D34" s="69" t="n">
        <f aca="false">IF($A34&gt;D$33,SUMPRODUCT($B$17:$D$17/(1+$A34)^$B$14:$D$14)+$D$17*(1+D$33)/($A34-D$33)/(1+$A34)^$D$14,"n/a")</f>
        <v>-1354459.10616696</v>
      </c>
      <c r="E34" s="69" t="n">
        <f aca="false">IF($A34&gt;E$33,SUMPRODUCT($B$17:$D$17/(1+$A34)^$B$14:$D$14)+$D$17*(1+E$33)/($A34-E$33)/(1+$A34)^$D$14,"n/a")</f>
        <v>-1308250.48205397</v>
      </c>
      <c r="F34" s="69" t="n">
        <f aca="false">IF($A34&gt;F$33,SUMPRODUCT($B$17:$D$17/(1+$A34)^$B$14:$D$14)+$D$17*(1+F$33)/($A34-F$33)/(1+$A34)^$D$14,"n/a")</f>
        <v>-1259731.42673534</v>
      </c>
    </row>
    <row r="35" customFormat="false" ht="15" hidden="false" customHeight="false" outlineLevel="0" collapsed="false">
      <c r="A35" s="76" t="n">
        <f aca="false">$B$6+(-1)*$B$10</f>
        <v>0.24</v>
      </c>
      <c r="B35" s="69" t="n">
        <f aca="false">IF($A35&gt;B$33,SUMPRODUCT($B$17:$D$17/(1+$A35)^$B$14:$D$14)+$D$17*(1+B$33)/($A35-B$33)/(1+$A35)^$D$14,"n/a")</f>
        <v>-1522600.15961724</v>
      </c>
      <c r="C35" s="69" t="n">
        <f aca="false">IF($A35&gt;C$33,SUMPRODUCT($B$17:$D$17/(1+$A35)^$B$14:$D$14)+$D$17*(1+C$33)/($A35-C$33)/(1+$A35)^$D$14,"n/a")</f>
        <v>-1484777.44537466</v>
      </c>
      <c r="D35" s="69" t="n">
        <f aca="false">IF($A35&gt;D$33,SUMPRODUCT($B$17:$D$17/(1+$A35)^$B$14:$D$14)+$D$17*(1+D$33)/($A35-D$33)/(1+$A35)^$D$14,"n/a")</f>
        <v>-1445235.51684832</v>
      </c>
      <c r="E35" s="69" t="n">
        <f aca="false">IF($A35&gt;E$33,SUMPRODUCT($B$17:$D$17/(1+$A35)^$B$14:$D$14)+$D$17*(1+E$33)/($A35-E$33)/(1+$A35)^$D$14,"n/a")</f>
        <v>-1403854.42885563</v>
      </c>
      <c r="F35" s="69" t="n">
        <f aca="false">IF($A35&gt;F$33,SUMPRODUCT($B$17:$D$17/(1+$A35)^$B$14:$D$14)+$D$17*(1+F$33)/($A35-F$33)/(1+$A35)^$D$14,"n/a")</f>
        <v>-1360502.8128633</v>
      </c>
    </row>
    <row r="36" customFormat="false" ht="15" hidden="false" customHeight="false" outlineLevel="0" collapsed="false">
      <c r="A36" s="76" t="n">
        <f aca="false">$B$6+(0)*$B$10</f>
        <v>0.25</v>
      </c>
      <c r="B36" s="69" t="n">
        <f aca="false">IF($A36&gt;B$33,SUMPRODUCT($B$17:$D$17/(1+$A36)^$B$14:$D$14)+$D$17*(1+B$33)/($A36-B$33)/(1+$A36)^$D$14,"n/a")</f>
        <v>-1595482.13371358</v>
      </c>
      <c r="C36" s="69" t="n">
        <f aca="false">IF($A36&gt;C$33,SUMPRODUCT($B$17:$D$17/(1+$A36)^$B$14:$D$14)+$D$17*(1+C$33)/($A36-C$33)/(1+$A36)^$D$14,"n/a")</f>
        <v>-1561330.83010559</v>
      </c>
      <c r="D36" s="69" t="n">
        <f aca="false">IF($A36&gt;D$33,SUMPRODUCT($B$17:$D$17/(1+$A36)^$B$14:$D$14)+$D$17*(1+D$33)/($A36-D$33)/(1+$A36)^$D$14,"n/a")</f>
        <v>-1525694.6872103</v>
      </c>
      <c r="E36" s="69" t="n">
        <f aca="false">IF($A36&gt;E$33,SUMPRODUCT($B$17:$D$17/(1+$A36)^$B$14:$D$14)+$D$17*(1+E$33)/($A36-E$33)/(1+$A36)^$D$14,"n/a")</f>
        <v>-1488474.71574189</v>
      </c>
      <c r="F36" s="69" t="n">
        <f aca="false">IF($A36&gt;F$33,SUMPRODUCT($B$17:$D$17/(1+$A36)^$B$14:$D$14)+$D$17*(1+F$33)/($A36-F$33)/(1+$A36)^$D$14,"n/a")</f>
        <v>-1449562.92738854</v>
      </c>
    </row>
    <row r="37" customFormat="false" ht="15" hidden="false" customHeight="false" outlineLevel="0" collapsed="false">
      <c r="A37" s="76" t="n">
        <f aca="false">$B$6+(1)*$B$10</f>
        <v>0.26</v>
      </c>
      <c r="B37" s="69" t="n">
        <f aca="false">IF($A37&gt;B$33,SUMPRODUCT($B$17:$D$17/(1+$A37)^$B$14:$D$14)+$D$17*(1+B$33)/($A37-B$33)/(1+$A37)^$D$14,"n/a")</f>
        <v>-1660373.03578645</v>
      </c>
      <c r="C37" s="69" t="n">
        <f aca="false">IF($A37&gt;C$33,SUMPRODUCT($B$17:$D$17/(1+$A37)^$B$14:$D$14)+$D$17*(1+C$33)/($A37-C$33)/(1+$A37)^$D$14,"n/a")</f>
        <v>-1629423.1370256</v>
      </c>
      <c r="D37" s="69" t="n">
        <f aca="false">IF($A37&gt;D$33,SUMPRODUCT($B$17:$D$17/(1+$A37)^$B$14:$D$14)+$D$17*(1+D$33)/($A37-D$33)/(1+$A37)^$D$14,"n/a")</f>
        <v>-1597183.65914972</v>
      </c>
      <c r="E37" s="69" t="n">
        <f aca="false">IF($A37&gt;E$33,SUMPRODUCT($B$17:$D$17/(1+$A37)^$B$14:$D$14)+$D$17*(1+E$33)/($A37-E$33)/(1+$A37)^$D$14,"n/a")</f>
        <v>-1563572.28859827</v>
      </c>
      <c r="F37" s="69" t="n">
        <f aca="false">IF($A37&gt;F$33,SUMPRODUCT($B$17:$D$17/(1+$A37)^$B$14:$D$14)+$D$17*(1+F$33)/($A37-F$33)/(1+$A37)^$D$14,"n/a")</f>
        <v>-1528499.5541098</v>
      </c>
    </row>
    <row r="38" customFormat="false" ht="15" hidden="false" customHeight="false" outlineLevel="0" collapsed="false">
      <c r="A38" s="76" t="n">
        <f aca="false">$B$6+(2)*$B$10</f>
        <v>0.27</v>
      </c>
      <c r="B38" s="69" t="n">
        <f aca="false">IF($A38&gt;B$33,SUMPRODUCT($B$17:$D$17/(1+$A38)^$B$14:$D$14)+$D$17*(1+B$33)/($A38-B$33)/(1+$A38)^$D$14,"n/a")</f>
        <v>-1718245.86037443</v>
      </c>
      <c r="C38" s="69" t="n">
        <f aca="false">IF($A38&gt;C$33,SUMPRODUCT($B$17:$D$17/(1+$A38)^$B$14:$D$14)+$D$17*(1+C$33)/($A38-C$33)/(1+$A38)^$D$14,"n/a")</f>
        <v>-1690101.884767</v>
      </c>
      <c r="D38" s="69" t="n">
        <f aca="false">IF($A38&gt;D$33,SUMPRODUCT($B$17:$D$17/(1+$A38)^$B$14:$D$14)+$D$17*(1+D$33)/($A38-D$33)/(1+$A38)^$D$14,"n/a")</f>
        <v>-1660832.15013528</v>
      </c>
      <c r="E38" s="69" t="n">
        <f aca="false">IF($A38&gt;E$33,SUMPRODUCT($B$17:$D$17/(1+$A38)^$B$14:$D$14)+$D$17*(1+E$33)/($A38-E$33)/(1+$A38)^$D$14,"n/a")</f>
        <v>-1630367.73245736</v>
      </c>
      <c r="F38" s="69" t="n">
        <f aca="false">IF($A38&gt;F$33,SUMPRODUCT($B$17:$D$17/(1+$A38)^$B$14:$D$14)+$D$17*(1+F$33)/($A38-F$33)/(1+$A38)^$D$14,"n/a")</f>
        <v>-1598633.96404286</v>
      </c>
    </row>
    <row r="40" customFormat="false" ht="15" hidden="false" customHeight="false" outlineLevel="0" collapsed="false">
      <c r="A40" s="39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190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191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192</v>
      </c>
      <c r="B5" s="7"/>
      <c r="C5" s="7"/>
    </row>
    <row r="6" customFormat="false" ht="15" hidden="false" customHeight="false" outlineLevel="0" collapsed="false">
      <c r="B6" s="35" t="s">
        <v>193</v>
      </c>
      <c r="C6" s="35" t="s">
        <v>194</v>
      </c>
    </row>
    <row r="7" customFormat="false" ht="15" hidden="false" customHeight="false" outlineLevel="0" collapsed="false">
      <c r="A7" s="6" t="s">
        <v>195</v>
      </c>
      <c r="B7" s="82" t="n">
        <f aca="false">Inputs!$E$69</f>
        <v>2100000</v>
      </c>
      <c r="C7" s="76" t="n">
        <f aca="false">IF($B$9=0,0,B7/$B$9)</f>
        <v>0.411764705882353</v>
      </c>
    </row>
    <row r="8" customFormat="false" ht="15" hidden="false" customHeight="false" outlineLevel="0" collapsed="false">
      <c r="A8" s="6" t="s">
        <v>196</v>
      </c>
      <c r="B8" s="82" t="n">
        <f aca="false">Inputs!$E$70</f>
        <v>3000000</v>
      </c>
      <c r="C8" s="76" t="n">
        <f aca="false">IF($B$9=0,0,B8/$B$9)</f>
        <v>0.588235294117647</v>
      </c>
    </row>
    <row r="9" customFormat="false" ht="15" hidden="false" customHeight="false" outlineLevel="0" collapsed="false">
      <c r="A9" s="4" t="s">
        <v>197</v>
      </c>
      <c r="B9" s="83" t="n">
        <f aca="false">B7+B8</f>
        <v>5100000</v>
      </c>
      <c r="C9" s="84" t="n">
        <f aca="false">IF(B9=0,0,1)</f>
        <v>1</v>
      </c>
    </row>
    <row r="10" customFormat="false" ht="15" hidden="false" customHeight="false" outlineLevel="0" collapsed="false">
      <c r="A10" s="6" t="s">
        <v>198</v>
      </c>
      <c r="B10" s="80" t="n">
        <f aca="false">IF(B7&lt;=0,IF(B8&gt;0,"n/a",0),B8/B7)</f>
        <v>1.42857142857143</v>
      </c>
      <c r="D10" s="18" t="s">
        <v>199</v>
      </c>
    </row>
    <row r="11" customFormat="false" ht="15" hidden="false" customHeight="false" outlineLevel="0" collapsed="false">
      <c r="A11" s="6" t="s">
        <v>200</v>
      </c>
      <c r="B11" s="82" t="n">
        <f aca="false">'Break-even'!B12</f>
        <v>5201982.82875727</v>
      </c>
    </row>
    <row r="12" customFormat="false" ht="15" hidden="false" customHeight="false" outlineLevel="0" collapsed="false">
      <c r="A12" s="72" t="s">
        <v>67</v>
      </c>
      <c r="B12" s="85" t="n">
        <f aca="false">'Break-even'!B17</f>
        <v>-101982.828757265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201</v>
      </c>
      <c r="B15" s="86" t="n">
        <v>12</v>
      </c>
      <c r="D15" s="18" t="s">
        <v>202</v>
      </c>
    </row>
    <row r="16" customFormat="false" ht="15" hidden="false" customHeight="false" outlineLevel="0" collapsed="false">
      <c r="A16" s="6" t="s">
        <v>203</v>
      </c>
      <c r="B16" s="67" t="n">
        <f aca="false">MIN(36,MAX(1,ROUND(B15,0)))</f>
        <v>12</v>
      </c>
    </row>
    <row r="17" customFormat="false" ht="15" hidden="false" customHeight="false" outlineLevel="0" collapsed="false">
      <c r="A17" s="33" t="s">
        <v>204</v>
      </c>
      <c r="B17" s="35" t="s">
        <v>193</v>
      </c>
      <c r="C17" s="35" t="s">
        <v>194</v>
      </c>
    </row>
    <row r="18" customFormat="false" ht="15" hidden="false" customHeight="false" outlineLevel="0" collapsed="false">
      <c r="A18" s="6" t="s">
        <v>64</v>
      </c>
      <c r="B18" s="63" t="n">
        <f aca="false">SUMPRODUCT(--(Monthly!$C$4:$AL$4&lt;=$B$16),Monthly!$C$96:$AL$96)</f>
        <v>2100000</v>
      </c>
      <c r="C18" s="76" t="n">
        <f aca="false">IF($B$21=0,0,B18/$B$21)</f>
        <v>0.411764705882353</v>
      </c>
    </row>
    <row r="19" customFormat="false" ht="15" hidden="false" customHeight="false" outlineLevel="0" collapsed="false">
      <c r="A19" s="6" t="s">
        <v>205</v>
      </c>
      <c r="B19" s="63" t="n">
        <f aca="false">SUMPRODUCT(--(Monthly!$C$4:$AL$4&lt;=$B$16),Monthly!$C$81:$AL$81)</f>
        <v>3000000</v>
      </c>
      <c r="C19" s="76" t="n">
        <f aca="false">IF($B$21=0,0,B19/$B$21)</f>
        <v>0.588235294117647</v>
      </c>
    </row>
    <row r="20" customFormat="false" ht="15" hidden="false" customHeight="false" outlineLevel="0" collapsed="false">
      <c r="A20" s="6" t="s">
        <v>206</v>
      </c>
      <c r="B20" s="63" t="n">
        <f aca="false">MAX(0,SUMPRODUCT(--(Monthly!$C$4:$AL$4&lt;=$B$16),Monthly!$C$94:$AL$94))</f>
        <v>0</v>
      </c>
      <c r="C20" s="76" t="n">
        <f aca="false">IF($B$21=0,0,B20/$B$21)</f>
        <v>0</v>
      </c>
    </row>
    <row r="21" customFormat="false" ht="15" hidden="false" customHeight="false" outlineLevel="0" collapsed="false">
      <c r="A21" s="4" t="s">
        <v>207</v>
      </c>
      <c r="B21" s="83" t="n">
        <f aca="false">SUM(B18:B20)</f>
        <v>5100000</v>
      </c>
      <c r="C21" s="84" t="n">
        <f aca="false">IF(B21=0,0,1)</f>
        <v>1</v>
      </c>
    </row>
    <row r="23" customFormat="false" ht="15" hidden="false" customHeight="false" outlineLevel="0" collapsed="false">
      <c r="A23" s="33" t="s">
        <v>208</v>
      </c>
      <c r="B23" s="35" t="s">
        <v>193</v>
      </c>
      <c r="C23" s="35" t="s">
        <v>194</v>
      </c>
    </row>
    <row r="24" customFormat="false" ht="15" hidden="false" customHeight="false" outlineLevel="0" collapsed="false">
      <c r="A24" s="6" t="s">
        <v>209</v>
      </c>
      <c r="B24" s="63" t="n">
        <f aca="false">MAX(0,-SUMPRODUCT(--(Monthly!$C$4:$AL$4&lt;=$B$16),Monthly!$C$94:$AL$94))</f>
        <v>367780.63594592</v>
      </c>
      <c r="C24" s="76" t="n">
        <f aca="false">IF($B$28=0,0,B24/$B$28)</f>
        <v>0.0721138501854744</v>
      </c>
    </row>
    <row r="25" customFormat="false" ht="15" hidden="false" customHeight="false" outlineLevel="0" collapsed="false">
      <c r="A25" s="6" t="s">
        <v>84</v>
      </c>
      <c r="B25" s="63" t="n">
        <f aca="false">-SUMPRODUCT(--(Monthly!$C$4:$AL$4&lt;=$B$16),Monthly!$C$95:$AL$95)</f>
        <v>4100000</v>
      </c>
      <c r="C25" s="76" t="n">
        <f aca="false">IF($B$28=0,0,B25/$B$28)</f>
        <v>0.803921568627451</v>
      </c>
    </row>
    <row r="26" customFormat="false" ht="15" hidden="false" customHeight="false" outlineLevel="0" collapsed="false">
      <c r="A26" s="6" t="s">
        <v>210</v>
      </c>
      <c r="B26" s="63" t="n">
        <f aca="false">-SUMPRODUCT(--(Monthly!$C$4:$AL$4&lt;=$B$16),Monthly!$C$82:$AL$82)</f>
        <v>275000</v>
      </c>
      <c r="C26" s="76" t="n">
        <f aca="false">IF($B$28=0,0,B26/$B$28)</f>
        <v>0.053921568627451</v>
      </c>
    </row>
    <row r="27" customFormat="false" ht="15" hidden="false" customHeight="false" outlineLevel="0" collapsed="false">
      <c r="A27" s="6" t="s">
        <v>211</v>
      </c>
      <c r="B27" s="63" t="n">
        <f aca="false">INDEX(Monthly!$C$100:$AL$100,$B$16)</f>
        <v>357219.364054081</v>
      </c>
      <c r="C27" s="76" t="n">
        <f aca="false">IF($B$28=0,0,B27/$B$28)</f>
        <v>0.0700430125596236</v>
      </c>
    </row>
    <row r="28" customFormat="false" ht="15" hidden="false" customHeight="false" outlineLevel="0" collapsed="false">
      <c r="A28" s="4" t="s">
        <v>212</v>
      </c>
      <c r="B28" s="83" t="n">
        <f aca="false">SUM(B24:B27)</f>
        <v>5100000</v>
      </c>
      <c r="C28" s="84" t="n">
        <f aca="false">IF(B28=0,0,1)</f>
        <v>1</v>
      </c>
    </row>
    <row r="29" customFormat="false" ht="15" hidden="false" customHeight="false" outlineLevel="0" collapsed="false">
      <c r="A29" s="6" t="s">
        <v>213</v>
      </c>
      <c r="B29" s="63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214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215</v>
      </c>
    </row>
    <row r="4" customFormat="false" ht="15.75" hidden="false" customHeight="true" outlineLevel="0" collapsed="false">
      <c r="A4" s="7" t="s">
        <v>216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217</v>
      </c>
    </row>
    <row r="6" customFormat="false" ht="15" hidden="false" customHeight="false" outlineLevel="0" collapsed="false">
      <c r="A6" s="39" t="s">
        <v>218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0.564714938439597</v>
      </c>
      <c r="D6" s="40" t="n">
        <f aca="false">IF(N('P&amp;L'!C5)&lt;=0,"n/a",'P&amp;L'!D5/'P&amp;L'!C5-1)</f>
        <v>0.175259391699247</v>
      </c>
      <c r="E6" s="87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0.847123969825669</v>
      </c>
      <c r="C7" s="40" t="n">
        <f aca="false">IF('P&amp;L'!C5&lt;=0,"n/a",'P&amp;L'!C7/'P&amp;L'!C5)</f>
        <v>0.840398476871209</v>
      </c>
      <c r="D7" s="40" t="n">
        <f aca="false">IF('P&amp;L'!D5&lt;=0,"n/a",'P&amp;L'!D7/'P&amp;L'!D5)</f>
        <v>0.835440891775769</v>
      </c>
      <c r="E7" s="87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IF('P&amp;L'!B5&lt;=0,"n/a",'P&amp;L'!B15/'P&amp;L'!B5)</f>
        <v>-0.104457758515049</v>
      </c>
      <c r="C8" s="40" t="n">
        <f aca="false">IF('P&amp;L'!C5&lt;=0,"n/a",'P&amp;L'!C15/'P&amp;L'!C5)</f>
        <v>0.231938943484019</v>
      </c>
      <c r="D8" s="40" t="n">
        <f aca="false">IF('P&amp;L'!D5&lt;=0,"n/a",'P&amp;L'!D15/'P&amp;L'!D5)</f>
        <v>0.314394072537506</v>
      </c>
      <c r="E8" s="87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IF('P&amp;L'!B5&lt;=0,"n/a",'P&amp;L'!B22/'P&amp;L'!B5)</f>
        <v>-0.600951460800047</v>
      </c>
      <c r="C9" s="40" t="n">
        <f aca="false">IF('P&amp;L'!C5&lt;=0,"n/a",'P&amp;L'!C22/'P&amp;L'!C5)</f>
        <v>-0.0734114476376625</v>
      </c>
      <c r="D9" s="40" t="n">
        <f aca="false">IF('P&amp;L'!D5&lt;=0,"n/a",'P&amp;L'!D22/'P&amp;L'!D5)</f>
        <v>0.0647924370457287</v>
      </c>
      <c r="E9" s="87"/>
    </row>
    <row r="10" customFormat="false" ht="15" hidden="false" customHeight="false" outlineLevel="0" collapsed="false">
      <c r="A10" s="39" t="s">
        <v>219</v>
      </c>
      <c r="B10" s="40" t="n">
        <f aca="false">IF('P&amp;L'!B5&lt;=0,"n/a",-SUMIF(Headcount!$C$5:$AL$5,B$5,Headcount!$C$15:$AL$15)/'P&amp;L'!B5)</f>
        <v>0.372010295279517</v>
      </c>
      <c r="C10" s="40" t="n">
        <f aca="false">IF('P&amp;L'!C5&lt;=0,"n/a",-SUMIF(Headcount!$C$5:$AL$5,C$5,Headcount!$C$15:$AL$15)/'P&amp;L'!C5)</f>
        <v>0.244882051500075</v>
      </c>
      <c r="D10" s="40" t="n">
        <f aca="false">IF('P&amp;L'!D5&lt;=0,"n/a",-SUMIF(Headcount!$C$5:$AL$5,D$5,Headcount!$C$15:$AL$15)/'P&amp;L'!D5)</f>
        <v>0.214615186082787</v>
      </c>
      <c r="E10" s="87"/>
    </row>
    <row r="11" customFormat="false" ht="15" hidden="false" customHeight="false" outlineLevel="0" collapsed="false">
      <c r="A11" s="39" t="s">
        <v>220</v>
      </c>
      <c r="B11" s="40" t="n">
        <f aca="false">IF('P&amp;L'!B5&lt;=0,"n/a",-'P&amp;L'!B13/'P&amp;L'!B5)</f>
        <v>0.1220150385392</v>
      </c>
      <c r="C11" s="40" t="n">
        <f aca="false">IF('P&amp;L'!C5&lt;=0,"n/a",-'P&amp;L'!C13/'P&amp;L'!C5)</f>
        <v>0.062383267669639</v>
      </c>
      <c r="D11" s="40" t="n">
        <f aca="false">IF('P&amp;L'!D5&lt;=0,"n/a",-'P&amp;L'!D13/'P&amp;L'!D5)</f>
        <v>0.0424643397774119</v>
      </c>
      <c r="E11" s="87"/>
    </row>
    <row r="12" customFormat="false" ht="15" hidden="false" customHeight="false" outlineLevel="0" collapsed="false">
      <c r="A12" s="39" t="s">
        <v>221</v>
      </c>
      <c r="B12" s="40" t="n">
        <f aca="false">IF('P&amp;L'!B5&lt;=0,"n/a",-'P&amp;L'!B14/'P&amp;L'!B5)</f>
        <v>0.951581728340717</v>
      </c>
      <c r="C12" s="40" t="n">
        <f aca="false">IF('P&amp;L'!C5&lt;=0,"n/a",-'P&amp;L'!C14/'P&amp;L'!C5)</f>
        <v>0.60845953338719</v>
      </c>
      <c r="D12" s="40" t="n">
        <f aca="false">IF('P&amp;L'!D5&lt;=0,"n/a",-'P&amp;L'!D14/'P&amp;L'!D5)</f>
        <v>0.521046819238263</v>
      </c>
      <c r="E12" s="87"/>
    </row>
    <row r="13" customFormat="false" ht="15" hidden="false" customHeight="false" outlineLevel="0" collapsed="false">
      <c r="A13" s="6" t="s">
        <v>222</v>
      </c>
      <c r="B13" s="88" t="n">
        <f aca="false">IF(('Balance Sheet'!B12-'Balance Sheet'!B11)&lt;=0,"n/a",('Balance Sheet'!B5+'Balance Sheet'!B6+'Balance Sheet'!B7)/('Balance Sheet'!B12-'Balance Sheet'!B11))</f>
        <v>31.1690649818068</v>
      </c>
      <c r="C13" s="88" t="n">
        <f aca="false">IF(('Balance Sheet'!C12-'Balance Sheet'!C11)&lt;=0,"n/a",('Balance Sheet'!C5+'Balance Sheet'!C6+'Balance Sheet'!C7)/('Balance Sheet'!C12-'Balance Sheet'!C11))</f>
        <v>15.8627110679209</v>
      </c>
      <c r="D13" s="88" t="n">
        <f aca="false">IF(('Balance Sheet'!D12-'Balance Sheet'!D11)&lt;=0,"n/a",('Balance Sheet'!D5+'Balance Sheet'!D6+'Balance Sheet'!D7)/('Balance Sheet'!D12-'Balance Sheet'!D11))</f>
        <v>21.9735400916664</v>
      </c>
      <c r="E13" s="89"/>
    </row>
    <row r="14" customFormat="false" ht="15" hidden="false" customHeight="false" outlineLevel="0" collapsed="false">
      <c r="A14" s="6" t="s">
        <v>223</v>
      </c>
      <c r="B14" s="88" t="n">
        <f aca="false">IF('Balance Sheet'!B15&lt;=0,"n/a",'Balance Sheet'!B11/'Balance Sheet'!B15)</f>
        <v>1.95934954718088</v>
      </c>
      <c r="C14" s="88" t="n">
        <f aca="false">IF('Balance Sheet'!C15&lt;=0,"n/a",'Balance Sheet'!C11/'Balance Sheet'!C15)</f>
        <v>1.93195920123201</v>
      </c>
      <c r="D14" s="88" t="n">
        <f aca="false">IF('Balance Sheet'!D15&lt;=0,"n/a",'Balance Sheet'!D11/'Balance Sheet'!D15)</f>
        <v>1.52240154190069</v>
      </c>
      <c r="E14" s="89"/>
    </row>
    <row r="15" customFormat="false" ht="15" hidden="false" customHeight="false" outlineLevel="0" collapsed="false">
      <c r="A15" s="39" t="s">
        <v>224</v>
      </c>
      <c r="B15" s="40" t="n">
        <f aca="false">IF('Balance Sheet'!B9&lt;=0,"n/a",'P&amp;L'!B22/'Balance Sheet'!B9)</f>
        <v>-0.171826167740399</v>
      </c>
      <c r="C15" s="40" t="n">
        <f aca="false">IF('Balance Sheet'!C9&lt;=0,"n/a",'P&amp;L'!C22/'Balance Sheet'!C9)</f>
        <v>-0.0366841821975313</v>
      </c>
      <c r="D15" s="40" t="n">
        <f aca="false">IF('Balance Sheet'!D9&lt;=0,"n/a",'P&amp;L'!D22/'Balance Sheet'!D9)</f>
        <v>0.0397368810582908</v>
      </c>
      <c r="E15" s="87"/>
    </row>
    <row r="16" customFormat="false" ht="15" hidden="false" customHeight="false" outlineLevel="0" collapsed="false">
      <c r="A16" s="39" t="s">
        <v>225</v>
      </c>
      <c r="B16" s="40" t="n">
        <f aca="false">IF('Balance Sheet'!B15&lt;=0,"n/a",'P&amp;L'!B22/'Balance Sheet'!B15)</f>
        <v>-0.50995744920361</v>
      </c>
      <c r="C16" s="40" t="n">
        <f aca="false">IF('Balance Sheet'!C15&lt;=0,"n/a",'P&amp;L'!C22/'Balance Sheet'!C15)</f>
        <v>-0.108002636060365</v>
      </c>
      <c r="D16" s="40" t="n">
        <f aca="false">IF('Balance Sheet'!D15&lt;=0,"n/a",'P&amp;L'!D22/'Balance Sheet'!D15)</f>
        <v>0.100742491199387</v>
      </c>
      <c r="E16" s="87"/>
    </row>
    <row r="18" customFormat="false" ht="15.75" hidden="false" customHeight="true" outlineLevel="0" collapsed="false">
      <c r="A18" s="7" t="s">
        <v>226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IF('P&amp;L'!B5&lt;=0,"n/a",'P&amp;L'!B22/'P&amp;L'!B5)</f>
        <v>-0.600951460800047</v>
      </c>
      <c r="C20" s="40" t="n">
        <f aca="false">IF('P&amp;L'!C5&lt;=0,"n/a",'P&amp;L'!C22/'P&amp;L'!C5)</f>
        <v>-0.0734114476376625</v>
      </c>
      <c r="D20" s="40" t="n">
        <f aca="false">IF('P&amp;L'!D5&lt;=0,"n/a",'P&amp;L'!D22/'P&amp;L'!D5)</f>
        <v>0.0647924370457287</v>
      </c>
    </row>
    <row r="21" customFormat="false" ht="15" hidden="false" customHeight="false" outlineLevel="0" collapsed="false">
      <c r="A21" s="52" t="s">
        <v>227</v>
      </c>
      <c r="B21" s="88" t="n">
        <f aca="false">IF('Balance Sheet'!B9&lt;=0,"n/a",'P&amp;L'!B5/'Balance Sheet'!B9)</f>
        <v>0.285923537837226</v>
      </c>
      <c r="C21" s="88" t="n">
        <f aca="false">IF('Balance Sheet'!C9&lt;=0,"n/a",'P&amp;L'!C5/'Balance Sheet'!C9)</f>
        <v>0.499706563186081</v>
      </c>
      <c r="D21" s="88" t="n">
        <f aca="false">IF('Balance Sheet'!D9&lt;=0,"n/a",'P&amp;L'!D5/'Balance Sheet'!D9)</f>
        <v>0.613295052171686</v>
      </c>
    </row>
    <row r="22" customFormat="false" ht="15" hidden="false" customHeight="false" outlineLevel="0" collapsed="false">
      <c r="A22" s="52" t="s">
        <v>228</v>
      </c>
      <c r="B22" s="88" t="n">
        <f aca="false">IF('Balance Sheet'!B15&lt;=0,"n/a",'Balance Sheet'!B9/'Balance Sheet'!B15)</f>
        <v>2.96786837482212</v>
      </c>
      <c r="C22" s="88" t="n">
        <f aca="false">IF('Balance Sheet'!C15&lt;=0,"n/a",'Balance Sheet'!C9/'Balance Sheet'!C15)</f>
        <v>2.94412004276965</v>
      </c>
      <c r="D22" s="88" t="n">
        <f aca="false">IF('Balance Sheet'!D15&lt;=0,"n/a",'Balance Sheet'!D9/'Balance Sheet'!D15)</f>
        <v>2.53523901515084</v>
      </c>
    </row>
    <row r="23" customFormat="false" ht="15" hidden="false" customHeight="false" outlineLevel="0" collapsed="false">
      <c r="A23" s="41" t="s">
        <v>229</v>
      </c>
      <c r="B23" s="90" t="n">
        <f aca="false">IF(AND(ISNUMBER(B20),ISNUMBER(B21),ISNUMBER(B22)),B20*B21*B22,"n/a")</f>
        <v>-0.50995744920361</v>
      </c>
      <c r="C23" s="90" t="n">
        <f aca="false">IF(AND(ISNUMBER(C20),ISNUMBER(C21),ISNUMBER(C22)),C20*C21*C22,"n/a")</f>
        <v>-0.108002636060365</v>
      </c>
      <c r="D23" s="90" t="n">
        <f aca="false">IF(AND(ISNUMBER(D20),ISNUMBER(D21),ISNUMBER(D22)),D20*D21*D22,"n/a")</f>
        <v>0.100742491199387</v>
      </c>
    </row>
    <row r="24" customFormat="false" ht="15" hidden="false" customHeight="false" outlineLevel="0" collapsed="false">
      <c r="A24" s="21" t="s">
        <v>230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231</v>
      </c>
      <c r="B26" s="7"/>
      <c r="C26" s="7"/>
      <c r="D26" s="7"/>
      <c r="E26" s="7"/>
    </row>
    <row r="27" customFormat="false" ht="15" hidden="false" customHeight="false" outlineLevel="0" collapsed="false">
      <c r="A27" s="74" t="s">
        <v>155</v>
      </c>
      <c r="B27" s="74" t="n">
        <v>1</v>
      </c>
      <c r="C27" s="74" t="n">
        <v>2</v>
      </c>
      <c r="D27" s="74" t="n">
        <v>3</v>
      </c>
    </row>
    <row r="28" customFormat="false" ht="15" hidden="false" customHeight="false" outlineLevel="0" collapsed="false">
      <c r="A28" s="33"/>
      <c r="B28" s="35" t="s">
        <v>156</v>
      </c>
      <c r="C28" s="35" t="s">
        <v>157</v>
      </c>
      <c r="D28" s="35" t="s">
        <v>158</v>
      </c>
      <c r="E28" s="35" t="s">
        <v>217</v>
      </c>
    </row>
    <row r="29" customFormat="false" ht="15" hidden="false" customHeight="false" outlineLevel="0" collapsed="false">
      <c r="A29" s="4" t="s">
        <v>58</v>
      </c>
      <c r="B29" s="91" t="n">
        <f aca="false">INDEX(Monthly!$C$19:$AL$19,B$27*12)</f>
        <v>972.089183697303</v>
      </c>
      <c r="C29" s="91" t="n">
        <f aca="false">INDEX(Monthly!$C$19:$AL$19,C$27*12)</f>
        <v>1660.55587289615</v>
      </c>
      <c r="D29" s="91" t="n">
        <f aca="false">INDEX(Monthly!$C$19:$AL$19,D$27*12)</f>
        <v>2124.50092018641</v>
      </c>
      <c r="E29" s="92"/>
    </row>
    <row r="30" customFormat="false" ht="15" hidden="false" customHeight="false" outlineLevel="0" collapsed="false">
      <c r="A30" s="6" t="s">
        <v>232</v>
      </c>
      <c r="B30" s="93" t="n">
        <f aca="false">SUMIF(Monthly!$C$5:$AL$5,B$27,Monthly!$C$16:$AL$16)</f>
        <v>981.453066666667</v>
      </c>
      <c r="C30" s="93" t="n">
        <f aca="false">SUMIF(Monthly!$C$5:$AL$5,C$27,Monthly!$C$16:$AL$16)</f>
        <v>1318.2048</v>
      </c>
      <c r="D30" s="93" t="n">
        <f aca="false">SUMIF(Monthly!$C$5:$AL$5,D$27,Monthly!$C$16:$AL$16)</f>
        <v>1370.350944</v>
      </c>
      <c r="E30" s="92"/>
    </row>
    <row r="31" customFormat="false" ht="15" hidden="false" customHeight="false" outlineLevel="0" collapsed="false">
      <c r="A31" s="6" t="s">
        <v>233</v>
      </c>
      <c r="B31" s="93" t="n">
        <f aca="false">SUMIF(Monthly!$C$5:$AL$5,B$27,Monthly!$C$18:$AL$18)</f>
        <v>-259.363882969363</v>
      </c>
      <c r="C31" s="93" t="n">
        <f aca="false">SUMIF(Monthly!$C$5:$AL$5,C$27,Monthly!$C$18:$AL$18)</f>
        <v>-629.73811080115</v>
      </c>
      <c r="D31" s="93" t="n">
        <f aca="false">SUMIF(Monthly!$C$5:$AL$5,D$27,Monthly!$C$18:$AL$18)</f>
        <v>-906.405896709748</v>
      </c>
      <c r="E31" s="92"/>
    </row>
    <row r="32" customFormat="false" ht="15" hidden="false" customHeight="false" outlineLevel="0" collapsed="false">
      <c r="A32" s="39" t="s">
        <v>234</v>
      </c>
      <c r="B32" s="94" t="n">
        <f aca="false">Inputs!$E$24</f>
        <v>0.04</v>
      </c>
      <c r="C32" s="94" t="n">
        <f aca="false">Inputs!$E$24</f>
        <v>0.04</v>
      </c>
      <c r="D32" s="94" t="n">
        <f aca="false">Inputs!$E$24</f>
        <v>0.04</v>
      </c>
      <c r="E32" s="95"/>
    </row>
    <row r="33" customFormat="false" ht="15" hidden="false" customHeight="false" outlineLevel="0" collapsed="false">
      <c r="A33" s="4" t="s">
        <v>235</v>
      </c>
      <c r="B33" s="91" t="n">
        <f aca="false">SUMIF(Monthly!$C$5:$AL$5,B$27,Monthly!$C$28:$AL$28)</f>
        <v>88966.9491822926</v>
      </c>
      <c r="C33" s="91" t="n">
        <f aca="false">SUMIF(Monthly!$C$5:$AL$5,C$27,Monthly!$C$28:$AL$28)</f>
        <v>142550.792456346</v>
      </c>
      <c r="D33" s="91" t="n">
        <f aca="false">SUMIF(Monthly!$C$5:$AL$5,D$27,Monthly!$C$28:$AL$28)</f>
        <v>168876.467625249</v>
      </c>
      <c r="E33" s="92"/>
    </row>
    <row r="34" customFormat="false" ht="15" hidden="false" customHeight="false" outlineLevel="0" collapsed="false">
      <c r="A34" s="6" t="s">
        <v>236</v>
      </c>
      <c r="B34" s="93" t="n">
        <f aca="false">SUMIF(Monthly!$C$5:$AL$5,B$27,Monthly!$C$26:$AL$26)</f>
        <v>64869.1333333333</v>
      </c>
      <c r="C34" s="93" t="n">
        <f aca="false">SUMIF(Monthly!$C$5:$AL$5,C$27,Monthly!$C$26:$AL$26)</f>
        <v>86025.6</v>
      </c>
      <c r="D34" s="93" t="n">
        <f aca="false">SUMIF(Monthly!$C$5:$AL$5,D$27,Monthly!$C$26:$AL$26)</f>
        <v>88606.368</v>
      </c>
      <c r="E34" s="92"/>
    </row>
    <row r="35" customFormat="false" ht="15" hidden="false" customHeight="false" outlineLevel="0" collapsed="false">
      <c r="A35" s="6" t="s">
        <v>237</v>
      </c>
      <c r="B35" s="93" t="n">
        <f aca="false">SUMIF(Monthly!$C$5:$AL$5,B$27,Monthly!$C$27:$AL$27)</f>
        <v>24097.8158489592</v>
      </c>
      <c r="C35" s="93" t="n">
        <f aca="false">SUMIF(Monthly!$C$5:$AL$5,C$27,Monthly!$C$27:$AL$27)</f>
        <v>56525.1924563461</v>
      </c>
      <c r="D35" s="93" t="n">
        <f aca="false">SUMIF(Monthly!$C$5:$AL$5,D$27,Monthly!$C$27:$AL$27)</f>
        <v>80270.0996252489</v>
      </c>
      <c r="E35" s="92"/>
    </row>
    <row r="36" customFormat="false" ht="15" hidden="false" customHeight="false" outlineLevel="0" collapsed="false">
      <c r="A36" s="39" t="s">
        <v>238</v>
      </c>
      <c r="B36" s="94" t="n">
        <f aca="false">IF(B33=0,0,B35/B33)</f>
        <v>0.270862562675753</v>
      </c>
      <c r="C36" s="94" t="n">
        <f aca="false">IF(C33=0,0,C35/C33)</f>
        <v>0.396526679945719</v>
      </c>
      <c r="D36" s="94" t="n">
        <f aca="false">IF(D33=0,0,D35/D33)</f>
        <v>0.475318442847674</v>
      </c>
      <c r="E36" s="95"/>
    </row>
    <row r="37" customFormat="false" ht="15" hidden="false" customHeight="false" outlineLevel="0" collapsed="false">
      <c r="A37" s="6" t="s">
        <v>59</v>
      </c>
      <c r="B37" s="93" t="n">
        <f aca="false">IF(Inputs!$E$9=0,0,B33/(Inputs!$E$9*12))</f>
        <v>255.65215282268</v>
      </c>
      <c r="C37" s="93" t="n">
        <f aca="false">IF(Inputs!$E$9=0,0,C33/(Inputs!$E$9*12))</f>
        <v>409.628713955018</v>
      </c>
      <c r="D37" s="93" t="n">
        <f aca="false">IF(Inputs!$E$9=0,0,D33/(Inputs!$E$9*12))</f>
        <v>485.277205819681</v>
      </c>
      <c r="E37" s="92"/>
    </row>
    <row r="38" customFormat="false" ht="15" hidden="false" customHeight="false" outlineLevel="0" collapsed="false">
      <c r="A38" s="6" t="s">
        <v>239</v>
      </c>
      <c r="B38" s="93" t="n">
        <f aca="false">SUMIF(Monthly!$C$5:$AL$5,B$27,Monthly!$C$24:$AL$24)</f>
        <v>294756</v>
      </c>
      <c r="C38" s="93" t="n">
        <f aca="false">SUMIF(Monthly!$C$5:$AL$5,C$27,Monthly!$C$24:$AL$24)</f>
        <v>294756</v>
      </c>
      <c r="D38" s="93" t="n">
        <f aca="false">SUMIF(Monthly!$C$5:$AL$5,D$27,Monthly!$C$24:$AL$24)</f>
        <v>294756</v>
      </c>
      <c r="E38" s="92"/>
    </row>
    <row r="39" customFormat="false" ht="15" hidden="false" customHeight="false" outlineLevel="0" collapsed="false">
      <c r="A39" s="39" t="s">
        <v>60</v>
      </c>
      <c r="B39" s="94" t="n">
        <f aca="false">IF(B38=0,0,B33/B38)</f>
        <v>0.301832529896906</v>
      </c>
      <c r="C39" s="94" t="n">
        <f aca="false">IF(C38=0,0,C33/C38)</f>
        <v>0.483623038907931</v>
      </c>
      <c r="D39" s="94" t="n">
        <f aca="false">IF(D38=0,0,D33/D38)</f>
        <v>0.572936488571052</v>
      </c>
      <c r="E39" s="95"/>
    </row>
    <row r="40" customFormat="false" ht="15" hidden="false" customHeight="false" outlineLevel="0" collapsed="false">
      <c r="A40" s="6" t="s">
        <v>240</v>
      </c>
      <c r="B40" s="93" t="n">
        <f aca="false">SUMIF(Monthly!$C$5:$AL$5,B$27,Monthly!$C$29:$AL$29)</f>
        <v>0</v>
      </c>
      <c r="C40" s="93" t="n">
        <f aca="false">SUMIF(Monthly!$C$5:$AL$5,C$27,Monthly!$C$29:$AL$29)</f>
        <v>0</v>
      </c>
      <c r="D40" s="93" t="n">
        <f aca="false">SUMIF(Monthly!$C$5:$AL$5,D$27,Monthly!$C$29:$AL$29)</f>
        <v>0</v>
      </c>
      <c r="E40" s="92"/>
    </row>
    <row r="41" customFormat="false" ht="15" hidden="false" customHeight="false" outlineLevel="0" collapsed="false">
      <c r="A41" s="4" t="s">
        <v>44</v>
      </c>
      <c r="B41" s="96" t="n">
        <f aca="false">SUMIF(Monthly!$C$5:$AL$5,B$27,Monthly!$C$37:$AL$37)</f>
        <v>1180182.39164623</v>
      </c>
      <c r="C41" s="96" t="n">
        <f aca="false">SUMIF(Monthly!$C$5:$AL$5,C$27,Monthly!$C$37:$AL$37)</f>
        <v>1846649.01829223</v>
      </c>
      <c r="D41" s="96" t="n">
        <f aca="false">SUMIF(Monthly!$C$5:$AL$5,D$27,Monthly!$C$37:$AL$37)</f>
        <v>2170291.60192013</v>
      </c>
      <c r="E41" s="97"/>
    </row>
    <row r="42" customFormat="false" ht="15" hidden="false" customHeight="false" outlineLevel="0" collapsed="false">
      <c r="A42" s="6" t="s">
        <v>241</v>
      </c>
      <c r="B42" s="36" t="n">
        <f aca="false">SUMIF(Monthly!$C$5:$AL$5,B$27,Monthly!$C$36:$AL$36)</f>
        <v>239579.958312896</v>
      </c>
      <c r="C42" s="36" t="n">
        <f aca="false">SUMIF(Monthly!$C$5:$AL$5,C$27,Monthly!$C$36:$AL$36)</f>
        <v>574330.394292226</v>
      </c>
      <c r="D42" s="36" t="n">
        <f aca="false">SUMIF(Monthly!$C$5:$AL$5,D$27,Monthly!$C$36:$AL$36)</f>
        <v>833593.655545733</v>
      </c>
      <c r="E42" s="97"/>
    </row>
    <row r="43" customFormat="false" ht="15" hidden="false" customHeight="false" outlineLevel="0" collapsed="false">
      <c r="A43" s="6" t="s">
        <v>242</v>
      </c>
      <c r="B43" s="36" t="n">
        <f aca="false">B41-B42</f>
        <v>940602.433333333</v>
      </c>
      <c r="C43" s="36" t="n">
        <f aca="false">C41-C42</f>
        <v>1272318.624</v>
      </c>
      <c r="D43" s="36" t="n">
        <f aca="false">D41-D42</f>
        <v>1336697.9463744</v>
      </c>
      <c r="E43" s="97"/>
    </row>
    <row r="44" customFormat="false" ht="15" hidden="false" customHeight="false" outlineLevel="0" collapsed="false">
      <c r="A44" s="39" t="s">
        <v>243</v>
      </c>
      <c r="B44" s="94" t="n">
        <f aca="false">IF(B41=0,0,B42/B41)</f>
        <v>0.203002485046999</v>
      </c>
      <c r="C44" s="94" t="n">
        <f aca="false">IF(C41=0,0,C42/C41)</f>
        <v>0.31101221109324</v>
      </c>
      <c r="D44" s="94" t="n">
        <f aca="false">IF(D41=0,0,D42/D41)</f>
        <v>0.384092927792847</v>
      </c>
      <c r="E44" s="95"/>
    </row>
    <row r="45" customFormat="false" ht="15" hidden="false" customHeight="false" outlineLevel="0" collapsed="false">
      <c r="A45" s="6" t="s">
        <v>244</v>
      </c>
      <c r="B45" s="98" t="n">
        <f aca="false">IF(B33=0,0,B41/B33)</f>
        <v>13.2654025173781</v>
      </c>
      <c r="C45" s="98" t="n">
        <f aca="false">IF(C33=0,0,C41/C33)</f>
        <v>12.9543230624813</v>
      </c>
      <c r="D45" s="98" t="n">
        <f aca="false">IF(D33=0,0,D41/D33)</f>
        <v>12.8513559789526</v>
      </c>
      <c r="E45" s="99"/>
    </row>
    <row r="46" customFormat="false" ht="15" hidden="false" customHeight="false" outlineLevel="0" collapsed="false">
      <c r="A46" s="6" t="s">
        <v>245</v>
      </c>
      <c r="B46" s="98" t="n">
        <f aca="false">IF(B35=0,0,B42/B35)</f>
        <v>9.94197813671329</v>
      </c>
      <c r="C46" s="98" t="n">
        <f aca="false">IF(C35=0,0,C42/C35)</f>
        <v>10.1606092670233</v>
      </c>
      <c r="D46" s="98" t="n">
        <f aca="false">IF(D35=0,0,D42/D35)</f>
        <v>10.3848588632314</v>
      </c>
      <c r="E46" s="99"/>
    </row>
    <row r="47" customFormat="false" ht="15" hidden="false" customHeight="false" outlineLevel="0" collapsed="false">
      <c r="A47" s="6" t="s">
        <v>246</v>
      </c>
      <c r="B47" s="36" t="n">
        <f aca="false">SUMIF(Monthly!$C$5:$AL$5,B$27,Monthly!$C$43:$AL$43)</f>
        <v>-145016.127167137</v>
      </c>
      <c r="C47" s="36" t="n">
        <f aca="false">SUMIF(Monthly!$C$5:$AL$5,C$27,Monthly!$C$43:$AL$43)</f>
        <v>-239328.525454959</v>
      </c>
      <c r="D47" s="36" t="n">
        <f aca="false">SUMIF(Monthly!$C$5:$AL$5,D$27,Monthly!$C$43:$AL$43)</f>
        <v>-292032.502540911</v>
      </c>
      <c r="E47" s="97"/>
    </row>
    <row r="48" customFormat="false" ht="15" hidden="false" customHeight="false" outlineLevel="0" collapsed="false">
      <c r="A48" s="6" t="s">
        <v>247</v>
      </c>
      <c r="B48" s="98" t="n">
        <f aca="false">IF(B33=0,0,-B47/B33)</f>
        <v>1.63</v>
      </c>
      <c r="C48" s="98" t="n">
        <f aca="false">IF(C33=0,0,-C47/C33)</f>
        <v>1.6789</v>
      </c>
      <c r="D48" s="98" t="n">
        <f aca="false">IF(D33=0,0,-D47/D33)</f>
        <v>1.729267</v>
      </c>
      <c r="E48" s="99"/>
    </row>
    <row r="49" customFormat="false" ht="15" hidden="false" customHeight="false" outlineLevel="0" collapsed="false">
      <c r="A49" s="6" t="s">
        <v>45</v>
      </c>
      <c r="B49" s="36" t="n">
        <f aca="false">SUMIF(Monthly!$C$5:$AL$5,B$27,Monthly!$C$46:$AL$46)</f>
        <v>999760.792729705</v>
      </c>
      <c r="C49" s="36" t="n">
        <f aca="false">SUMIF(Monthly!$C$5:$AL$5,C$27,Monthly!$C$46:$AL$46)</f>
        <v>1551921.0222885</v>
      </c>
      <c r="D49" s="36" t="n">
        <f aca="false">SUMIF(Monthly!$C$5:$AL$5,D$27,Monthly!$C$46:$AL$46)</f>
        <v>1813150.35132162</v>
      </c>
      <c r="E49" s="97"/>
    </row>
    <row r="50" customFormat="false" ht="15" hidden="false" customHeight="false" outlineLevel="0" collapsed="false">
      <c r="A50" s="39" t="s">
        <v>46</v>
      </c>
      <c r="B50" s="94" t="n">
        <f aca="false">IF(B41=0,0,B49/B41)</f>
        <v>0.847123969825669</v>
      </c>
      <c r="C50" s="94" t="n">
        <f aca="false">IF(C41=0,0,C49/C41)</f>
        <v>0.840398476871209</v>
      </c>
      <c r="D50" s="94" t="n">
        <f aca="false">IF(D41=0,0,D49/D41)</f>
        <v>0.835440891775769</v>
      </c>
      <c r="E50" s="95"/>
    </row>
    <row r="51" customFormat="false" ht="15" hidden="false" customHeight="false" outlineLevel="0" collapsed="false">
      <c r="A51" s="6" t="s">
        <v>48</v>
      </c>
      <c r="B51" s="36" t="n">
        <f aca="false">SUMIF(Monthly!$C$5:$AL$5,B$27,Monthly!$C$55:$AL$55)</f>
        <v>-123279.207270295</v>
      </c>
      <c r="C51" s="36" t="n">
        <f aca="false">SUMIF(Monthly!$C$5:$AL$5,C$27,Monthly!$C$55:$AL$55)</f>
        <v>428309.8222885</v>
      </c>
      <c r="D51" s="36" t="n">
        <f aca="false">SUMIF(Monthly!$C$5:$AL$5,D$27,Monthly!$C$55:$AL$55)</f>
        <v>682326.815321617</v>
      </c>
      <c r="E51" s="97"/>
    </row>
    <row r="52" customFormat="false" ht="15" hidden="false" customHeight="false" outlineLevel="0" collapsed="false">
      <c r="A52" s="39" t="s">
        <v>49</v>
      </c>
      <c r="B52" s="94" t="n">
        <f aca="false">IF(B41=0,0,B51/B41)</f>
        <v>-0.104457758515049</v>
      </c>
      <c r="C52" s="94" t="n">
        <f aca="false">IF(C41=0,0,C51/C41)</f>
        <v>0.231938943484019</v>
      </c>
      <c r="D52" s="94" t="n">
        <f aca="false">IF(D41=0,0,D51/D41)</f>
        <v>0.314394072537506</v>
      </c>
      <c r="E52" s="95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248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249</v>
      </c>
    </row>
    <row r="5" customFormat="false" ht="15" hidden="false" customHeight="false" outlineLevel="0" collapsed="false">
      <c r="A5" s="33" t="s">
        <v>104</v>
      </c>
      <c r="B5" s="35" t="s">
        <v>105</v>
      </c>
      <c r="C5" s="35" t="s">
        <v>106</v>
      </c>
      <c r="D5" s="35" t="s">
        <v>107</v>
      </c>
      <c r="E5" s="35" t="s">
        <v>108</v>
      </c>
      <c r="F5" s="33" t="s">
        <v>250</v>
      </c>
      <c r="G5" s="33" t="s">
        <v>251</v>
      </c>
    </row>
    <row r="6" customFormat="false" ht="15.75" hidden="false" customHeight="true" outlineLevel="0" collapsed="false">
      <c r="A6" s="7" t="s">
        <v>252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253</v>
      </c>
      <c r="B7" s="100" t="n">
        <v>200</v>
      </c>
      <c r="C7" s="100" t="n">
        <v>240</v>
      </c>
      <c r="D7" s="100" t="n">
        <v>280</v>
      </c>
      <c r="E7" s="101" t="n">
        <f aca="false">CHOOSE(Dashboard!$B$4,B7,C7,D7)</f>
        <v>240</v>
      </c>
      <c r="F7" s="39" t="s">
        <v>254</v>
      </c>
      <c r="G7" s="102" t="s">
        <v>255</v>
      </c>
    </row>
    <row r="8" customFormat="false" ht="15" hidden="false" customHeight="false" outlineLevel="0" collapsed="false">
      <c r="A8" s="6" t="s">
        <v>256</v>
      </c>
      <c r="B8" s="103" t="n">
        <v>0</v>
      </c>
      <c r="C8" s="103" t="n">
        <v>0.03</v>
      </c>
      <c r="D8" s="103" t="n">
        <v>0.06</v>
      </c>
      <c r="E8" s="104" t="n">
        <f aca="false">CHOOSE(Dashboard!$B$4,B8,C8,D8)</f>
        <v>0.03</v>
      </c>
      <c r="F8" s="39" t="s">
        <v>257</v>
      </c>
      <c r="G8" s="102" t="s">
        <v>255</v>
      </c>
    </row>
    <row r="9" customFormat="false" ht="15" hidden="false" customHeight="false" outlineLevel="0" collapsed="false">
      <c r="A9" s="6" t="s">
        <v>258</v>
      </c>
      <c r="B9" s="100" t="n">
        <v>29</v>
      </c>
      <c r="C9" s="100" t="n">
        <v>29</v>
      </c>
      <c r="D9" s="100" t="n">
        <v>29</v>
      </c>
      <c r="E9" s="101" t="n">
        <f aca="false">CHOOSE(Dashboard!$B$4,B9,C9,D9)</f>
        <v>29</v>
      </c>
      <c r="F9" s="39" t="s">
        <v>259</v>
      </c>
      <c r="G9" s="102"/>
    </row>
    <row r="10" customFormat="false" ht="15" hidden="false" customHeight="false" outlineLevel="0" collapsed="false">
      <c r="A10" s="6" t="s">
        <v>260</v>
      </c>
      <c r="B10" s="105" t="n">
        <v>12</v>
      </c>
      <c r="C10" s="105" t="n">
        <v>9</v>
      </c>
      <c r="D10" s="105" t="n">
        <v>7</v>
      </c>
      <c r="E10" s="106" t="n">
        <f aca="false">CHOOSE(Dashboard!$B$4,B10,C10,D10)</f>
        <v>9</v>
      </c>
      <c r="F10" s="39" t="s">
        <v>261</v>
      </c>
      <c r="G10" s="102" t="s">
        <v>262</v>
      </c>
    </row>
    <row r="11" customFormat="false" ht="15" hidden="false" customHeight="false" outlineLevel="0" collapsed="false">
      <c r="A11" s="6" t="s">
        <v>263</v>
      </c>
      <c r="B11" s="103" t="n">
        <v>0.35</v>
      </c>
      <c r="C11" s="103" t="n">
        <v>0.45</v>
      </c>
      <c r="D11" s="103" t="n">
        <v>0.55</v>
      </c>
      <c r="E11" s="104" t="n">
        <f aca="false">CHOOSE(Dashboard!$B$4,B11,C11,D11)</f>
        <v>0.45</v>
      </c>
      <c r="F11" s="39" t="s">
        <v>257</v>
      </c>
      <c r="G11" s="102" t="s">
        <v>255</v>
      </c>
    </row>
    <row r="12" customFormat="false" ht="15" hidden="false" customHeight="false" outlineLevel="0" collapsed="false">
      <c r="A12" s="6" t="s">
        <v>264</v>
      </c>
      <c r="B12" s="103" t="n">
        <v>0.2</v>
      </c>
      <c r="C12" s="103" t="n">
        <v>0.15</v>
      </c>
      <c r="D12" s="103" t="n">
        <v>0.1</v>
      </c>
      <c r="E12" s="104" t="n">
        <f aca="false">CHOOSE(Dashboard!$B$4,B12,C12,D12)</f>
        <v>0.15</v>
      </c>
      <c r="F12" s="39" t="s">
        <v>257</v>
      </c>
      <c r="G12" s="102" t="s">
        <v>262</v>
      </c>
    </row>
    <row r="14" customFormat="false" ht="15.75" hidden="false" customHeight="true" outlineLevel="0" collapsed="false">
      <c r="A14" s="7" t="s">
        <v>265</v>
      </c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6" t="s">
        <v>266</v>
      </c>
      <c r="B15" s="105" t="n">
        <v>140</v>
      </c>
      <c r="C15" s="105" t="n">
        <v>140</v>
      </c>
      <c r="D15" s="105" t="n">
        <v>140</v>
      </c>
      <c r="E15" s="106" t="n">
        <f aca="false">CHOOSE(Dashboard!$B$4,B15,C15,D15)</f>
        <v>140</v>
      </c>
      <c r="F15" s="39" t="s">
        <v>267</v>
      </c>
      <c r="G15" s="102"/>
    </row>
    <row r="16" customFormat="false" ht="15" hidden="false" customHeight="false" outlineLevel="0" collapsed="false">
      <c r="A16" s="6" t="s">
        <v>268</v>
      </c>
      <c r="B16" s="100" t="n">
        <v>11</v>
      </c>
      <c r="C16" s="100" t="n">
        <v>11</v>
      </c>
      <c r="D16" s="100" t="n">
        <v>11</v>
      </c>
      <c r="E16" s="101" t="n">
        <f aca="false">CHOOSE(Dashboard!$B$4,B16,C16,D16)</f>
        <v>11</v>
      </c>
      <c r="F16" s="39" t="s">
        <v>269</v>
      </c>
      <c r="G16" s="102"/>
    </row>
    <row r="17" customFormat="false" ht="15" hidden="false" customHeight="false" outlineLevel="0" collapsed="false">
      <c r="A17" s="6" t="s">
        <v>270</v>
      </c>
      <c r="B17" s="103" t="n">
        <v>0.55</v>
      </c>
      <c r="C17" s="103" t="n">
        <v>0.55</v>
      </c>
      <c r="D17" s="103" t="n">
        <v>0.55</v>
      </c>
      <c r="E17" s="104" t="n">
        <f aca="false">CHOOSE(Dashboard!$B$4,B17,C17,D17)</f>
        <v>0.55</v>
      </c>
      <c r="F17" s="39" t="s">
        <v>257</v>
      </c>
      <c r="G17" s="102"/>
    </row>
    <row r="19" customFormat="false" ht="15.75" hidden="false" customHeight="true" outlineLevel="0" collapsed="false">
      <c r="A19" s="7" t="s">
        <v>271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6" t="s">
        <v>272</v>
      </c>
      <c r="B20" s="105" t="n">
        <v>150</v>
      </c>
      <c r="C20" s="105" t="n">
        <v>250</v>
      </c>
      <c r="D20" s="105" t="n">
        <v>350</v>
      </c>
      <c r="E20" s="106" t="n">
        <f aca="false">CHOOSE(Dashboard!$B$4,B20,C20,D20)</f>
        <v>250</v>
      </c>
      <c r="F20" s="39" t="s">
        <v>273</v>
      </c>
      <c r="G20" s="102" t="s">
        <v>255</v>
      </c>
    </row>
    <row r="21" customFormat="false" ht="15" hidden="false" customHeight="false" outlineLevel="0" collapsed="false">
      <c r="A21" s="6" t="s">
        <v>274</v>
      </c>
      <c r="B21" s="100" t="n">
        <v>40</v>
      </c>
      <c r="C21" s="100" t="n">
        <v>50</v>
      </c>
      <c r="D21" s="100" t="n">
        <v>60</v>
      </c>
      <c r="E21" s="101" t="n">
        <f aca="false">CHOOSE(Dashboard!$B$4,B21,C21,D21)</f>
        <v>50</v>
      </c>
      <c r="F21" s="39" t="s">
        <v>273</v>
      </c>
      <c r="G21" s="102" t="s">
        <v>255</v>
      </c>
    </row>
    <row r="22" customFormat="false" ht="15" hidden="false" customHeight="false" outlineLevel="0" collapsed="false">
      <c r="A22" s="6" t="s">
        <v>275</v>
      </c>
      <c r="B22" s="103" t="n">
        <v>0</v>
      </c>
      <c r="C22" s="103" t="n">
        <v>0.05</v>
      </c>
      <c r="D22" s="103" t="n">
        <v>0.1</v>
      </c>
      <c r="E22" s="104" t="n">
        <f aca="false">CHOOSE(Dashboard!$B$4,B22,C22,D22)</f>
        <v>0.05</v>
      </c>
      <c r="F22" s="39" t="s">
        <v>257</v>
      </c>
      <c r="G22" s="102" t="s">
        <v>255</v>
      </c>
    </row>
    <row r="23" customFormat="false" ht="15" hidden="false" customHeight="false" outlineLevel="0" collapsed="false">
      <c r="A23" s="6" t="s">
        <v>276</v>
      </c>
      <c r="B23" s="103" t="n">
        <v>0.006</v>
      </c>
      <c r="C23" s="103" t="n">
        <v>0.008</v>
      </c>
      <c r="D23" s="103" t="n">
        <v>0.01</v>
      </c>
      <c r="E23" s="104" t="n">
        <f aca="false">CHOOSE(Dashboard!$B$4,B23,C23,D23)</f>
        <v>0.008</v>
      </c>
      <c r="F23" s="39" t="s">
        <v>257</v>
      </c>
      <c r="G23" s="102" t="s">
        <v>255</v>
      </c>
    </row>
    <row r="24" customFormat="false" ht="15" hidden="false" customHeight="false" outlineLevel="0" collapsed="false">
      <c r="A24" s="6" t="s">
        <v>234</v>
      </c>
      <c r="B24" s="103" t="n">
        <v>0.05</v>
      </c>
      <c r="C24" s="103" t="n">
        <v>0.04</v>
      </c>
      <c r="D24" s="103" t="n">
        <v>0.032</v>
      </c>
      <c r="E24" s="104" t="n">
        <f aca="false">CHOOSE(Dashboard!$B$4,B24,C24,D24)</f>
        <v>0.04</v>
      </c>
      <c r="F24" s="39" t="s">
        <v>257</v>
      </c>
      <c r="G24" s="102" t="s">
        <v>262</v>
      </c>
    </row>
    <row r="25" customFormat="false" ht="15" hidden="false" customHeight="false" outlineLevel="0" collapsed="false">
      <c r="A25" s="6" t="s">
        <v>277</v>
      </c>
      <c r="B25" s="100" t="n">
        <v>3.8</v>
      </c>
      <c r="C25" s="100" t="n">
        <v>3.5</v>
      </c>
      <c r="D25" s="100" t="n">
        <v>3.2</v>
      </c>
      <c r="E25" s="101" t="n">
        <f aca="false">CHOOSE(Dashboard!$B$4,B25,C25,D25)</f>
        <v>3.5</v>
      </c>
      <c r="F25" s="39" t="s">
        <v>278</v>
      </c>
      <c r="G25" s="102" t="s">
        <v>262</v>
      </c>
    </row>
    <row r="27" customFormat="false" ht="15.75" hidden="false" customHeight="true" outlineLevel="0" collapsed="false">
      <c r="A27" s="7" t="s">
        <v>279</v>
      </c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A28" s="6" t="s">
        <v>280</v>
      </c>
      <c r="B28" s="107" t="n">
        <v>12</v>
      </c>
      <c r="C28" s="107" t="n">
        <v>13</v>
      </c>
      <c r="D28" s="107" t="n">
        <v>14</v>
      </c>
      <c r="E28" s="108" t="n">
        <f aca="false">CHOOSE(Dashboard!$B$4,B28,C28,D28)</f>
        <v>13</v>
      </c>
      <c r="F28" s="39" t="s">
        <v>281</v>
      </c>
      <c r="G28" s="102" t="s">
        <v>255</v>
      </c>
    </row>
    <row r="29" customFormat="false" ht="15" hidden="false" customHeight="false" outlineLevel="0" collapsed="false">
      <c r="A29" s="6" t="s">
        <v>282</v>
      </c>
      <c r="B29" s="107" t="n">
        <v>1.2</v>
      </c>
      <c r="C29" s="107" t="n">
        <v>1.5</v>
      </c>
      <c r="D29" s="107" t="n">
        <v>1.8</v>
      </c>
      <c r="E29" s="108" t="n">
        <f aca="false">CHOOSE(Dashboard!$B$4,B29,C29,D29)</f>
        <v>1.5</v>
      </c>
      <c r="F29" s="39" t="s">
        <v>281</v>
      </c>
      <c r="G29" s="102" t="s">
        <v>255</v>
      </c>
    </row>
    <row r="30" customFormat="false" ht="15" hidden="false" customHeight="false" outlineLevel="0" collapsed="false">
      <c r="A30" s="6" t="s">
        <v>283</v>
      </c>
      <c r="B30" s="107" t="n">
        <v>32</v>
      </c>
      <c r="C30" s="107" t="n">
        <v>35</v>
      </c>
      <c r="D30" s="107" t="n">
        <v>38</v>
      </c>
      <c r="E30" s="108" t="n">
        <f aca="false">CHOOSE(Dashboard!$B$4,B30,C30,D30)</f>
        <v>35</v>
      </c>
      <c r="F30" s="39" t="s">
        <v>281</v>
      </c>
      <c r="G30" s="102" t="s">
        <v>255</v>
      </c>
    </row>
    <row r="31" customFormat="false" ht="15" hidden="false" customHeight="false" outlineLevel="0" collapsed="false">
      <c r="A31" s="6" t="s">
        <v>284</v>
      </c>
      <c r="B31" s="103" t="n">
        <v>0.01</v>
      </c>
      <c r="C31" s="103" t="n">
        <v>0.02</v>
      </c>
      <c r="D31" s="103" t="n">
        <v>0.03</v>
      </c>
      <c r="E31" s="104" t="n">
        <f aca="false">CHOOSE(Dashboard!$B$4,B31,C31,D31)</f>
        <v>0.02</v>
      </c>
      <c r="F31" s="39" t="s">
        <v>257</v>
      </c>
      <c r="G31" s="102" t="s">
        <v>255</v>
      </c>
    </row>
    <row r="33" customFormat="false" ht="15.75" hidden="false" customHeight="true" outlineLevel="0" collapsed="false">
      <c r="A33" s="7" t="s">
        <v>285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6" t="s">
        <v>286</v>
      </c>
      <c r="B34" s="107" t="n">
        <v>0.95</v>
      </c>
      <c r="C34" s="107" t="n">
        <v>0.85</v>
      </c>
      <c r="D34" s="107" t="n">
        <v>0.75</v>
      </c>
      <c r="E34" s="108" t="n">
        <f aca="false">CHOOSE(Dashboard!$B$4,B34,C34,D34)</f>
        <v>0.85</v>
      </c>
      <c r="F34" s="39" t="s">
        <v>281</v>
      </c>
      <c r="G34" s="102" t="s">
        <v>262</v>
      </c>
    </row>
    <row r="35" customFormat="false" ht="15" hidden="false" customHeight="false" outlineLevel="0" collapsed="false">
      <c r="A35" s="6" t="s">
        <v>287</v>
      </c>
      <c r="B35" s="100" t="n">
        <v>45</v>
      </c>
      <c r="C35" s="100" t="n">
        <v>40</v>
      </c>
      <c r="D35" s="100" t="n">
        <v>36</v>
      </c>
      <c r="E35" s="101" t="n">
        <f aca="false">CHOOSE(Dashboard!$B$4,B35,C35,D35)</f>
        <v>40</v>
      </c>
      <c r="F35" s="39" t="s">
        <v>288</v>
      </c>
      <c r="G35" s="102" t="s">
        <v>262</v>
      </c>
    </row>
    <row r="36" customFormat="false" ht="15" hidden="false" customHeight="false" outlineLevel="0" collapsed="false">
      <c r="A36" s="6" t="s">
        <v>289</v>
      </c>
      <c r="B36" s="107" t="n">
        <v>10</v>
      </c>
      <c r="C36" s="107" t="n">
        <v>9</v>
      </c>
      <c r="D36" s="107" t="n">
        <v>8</v>
      </c>
      <c r="E36" s="108" t="n">
        <f aca="false">CHOOSE(Dashboard!$B$4,B36,C36,D36)</f>
        <v>9</v>
      </c>
      <c r="F36" s="39" t="s">
        <v>281</v>
      </c>
      <c r="G36" s="102" t="s">
        <v>262</v>
      </c>
    </row>
    <row r="37" customFormat="false" ht="15" hidden="false" customHeight="false" outlineLevel="0" collapsed="false">
      <c r="A37" s="6" t="s">
        <v>290</v>
      </c>
      <c r="B37" s="107" t="n">
        <v>0.45</v>
      </c>
      <c r="C37" s="107" t="n">
        <v>0.42</v>
      </c>
      <c r="D37" s="107" t="n">
        <v>0.4</v>
      </c>
      <c r="E37" s="108" t="n">
        <f aca="false">CHOOSE(Dashboard!$B$4,B37,C37,D37)</f>
        <v>0.42</v>
      </c>
      <c r="F37" s="39" t="s">
        <v>281</v>
      </c>
      <c r="G37" s="102" t="s">
        <v>262</v>
      </c>
    </row>
    <row r="38" customFormat="false" ht="15" hidden="false" customHeight="false" outlineLevel="0" collapsed="false">
      <c r="A38" s="6" t="s">
        <v>291</v>
      </c>
      <c r="B38" s="103" t="n">
        <v>0.032</v>
      </c>
      <c r="C38" s="103" t="n">
        <v>0.03</v>
      </c>
      <c r="D38" s="103" t="n">
        <v>0.028</v>
      </c>
      <c r="E38" s="104" t="n">
        <f aca="false">CHOOSE(Dashboard!$B$4,B38,C38,D38)</f>
        <v>0.03</v>
      </c>
      <c r="F38" s="39" t="s">
        <v>257</v>
      </c>
      <c r="G38" s="102" t="s">
        <v>262</v>
      </c>
    </row>
    <row r="39" customFormat="false" ht="15" hidden="false" customHeight="false" outlineLevel="0" collapsed="false">
      <c r="A39" s="6" t="s">
        <v>292</v>
      </c>
      <c r="B39" s="103" t="n">
        <v>0.04</v>
      </c>
      <c r="C39" s="103" t="n">
        <v>0.03</v>
      </c>
      <c r="D39" s="103" t="n">
        <v>0.025</v>
      </c>
      <c r="E39" s="104" t="n">
        <f aca="false">CHOOSE(Dashboard!$B$4,B39,C39,D39)</f>
        <v>0.03</v>
      </c>
      <c r="F39" s="39" t="s">
        <v>257</v>
      </c>
      <c r="G39" s="102" t="s">
        <v>262</v>
      </c>
    </row>
    <row r="41" customFormat="false" ht="15.75" hidden="false" customHeight="true" outlineLevel="0" collapsed="false">
      <c r="A41" s="7" t="s">
        <v>293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294</v>
      </c>
      <c r="B42" s="109" t="n">
        <v>30000</v>
      </c>
      <c r="C42" s="109" t="n">
        <v>30000</v>
      </c>
      <c r="D42" s="109" t="n">
        <v>30000</v>
      </c>
      <c r="E42" s="110" t="n">
        <f aca="false">CHOOSE(Dashboard!$B$4,B42,C42,D42)</f>
        <v>30000</v>
      </c>
      <c r="F42" s="39" t="s">
        <v>281</v>
      </c>
      <c r="G42" s="102"/>
    </row>
    <row r="43" customFormat="false" ht="15" hidden="false" customHeight="false" outlineLevel="0" collapsed="false">
      <c r="A43" s="6" t="s">
        <v>295</v>
      </c>
      <c r="B43" s="103" t="n">
        <v>0.03</v>
      </c>
      <c r="C43" s="103" t="n">
        <v>0.03</v>
      </c>
      <c r="D43" s="103" t="n">
        <v>0.03</v>
      </c>
      <c r="E43" s="104" t="n">
        <f aca="false">CHOOSE(Dashboard!$B$4,B43,C43,D43)</f>
        <v>0.03</v>
      </c>
      <c r="F43" s="39" t="s">
        <v>257</v>
      </c>
      <c r="G43" s="102"/>
    </row>
    <row r="44" customFormat="false" ht="15" hidden="false" customHeight="false" outlineLevel="0" collapsed="false">
      <c r="A44" s="6" t="s">
        <v>296</v>
      </c>
      <c r="B44" s="109" t="n">
        <v>5500</v>
      </c>
      <c r="C44" s="109" t="n">
        <v>5500</v>
      </c>
      <c r="D44" s="109" t="n">
        <v>5500</v>
      </c>
      <c r="E44" s="110" t="n">
        <f aca="false">CHOOSE(Dashboard!$B$4,B44,C44,D44)</f>
        <v>5500</v>
      </c>
      <c r="F44" s="39" t="s">
        <v>281</v>
      </c>
      <c r="G44" s="102"/>
    </row>
    <row r="45" customFormat="false" ht="15" hidden="false" customHeight="false" outlineLevel="0" collapsed="false">
      <c r="A45" s="6" t="s">
        <v>297</v>
      </c>
      <c r="B45" s="109" t="n">
        <v>9500</v>
      </c>
      <c r="C45" s="109" t="n">
        <v>9500</v>
      </c>
      <c r="D45" s="109" t="n">
        <v>9500</v>
      </c>
      <c r="E45" s="110" t="n">
        <f aca="false">CHOOSE(Dashboard!$B$4,B45,C45,D45)</f>
        <v>9500</v>
      </c>
      <c r="F45" s="39" t="s">
        <v>281</v>
      </c>
      <c r="G45" s="102"/>
    </row>
    <row r="46" customFormat="false" ht="15" hidden="false" customHeight="false" outlineLevel="0" collapsed="false">
      <c r="A46" s="6" t="s">
        <v>298</v>
      </c>
      <c r="B46" s="109" t="n">
        <v>12000</v>
      </c>
      <c r="C46" s="109" t="n">
        <v>12000</v>
      </c>
      <c r="D46" s="109" t="n">
        <v>12000</v>
      </c>
      <c r="E46" s="110" t="n">
        <f aca="false">CHOOSE(Dashboard!$B$4,B46,C46,D46)</f>
        <v>12000</v>
      </c>
      <c r="F46" s="39" t="s">
        <v>281</v>
      </c>
      <c r="G46" s="102"/>
    </row>
    <row r="47" customFormat="false" ht="15" hidden="false" customHeight="false" outlineLevel="0" collapsed="false">
      <c r="A47" s="6" t="s">
        <v>299</v>
      </c>
      <c r="B47" s="103" t="n">
        <v>-0.3</v>
      </c>
      <c r="C47" s="103" t="n">
        <v>-0.2</v>
      </c>
      <c r="D47" s="103" t="n">
        <v>-0.1</v>
      </c>
      <c r="E47" s="104" t="n">
        <f aca="false">CHOOSE(Dashboard!$B$4,B47,C47,D47)</f>
        <v>-0.2</v>
      </c>
      <c r="F47" s="39" t="s">
        <v>257</v>
      </c>
      <c r="G47" s="102" t="s">
        <v>255</v>
      </c>
    </row>
    <row r="49" customFormat="false" ht="15.75" hidden="false" customHeight="true" outlineLevel="0" collapsed="false">
      <c r="A49" s="7" t="s">
        <v>84</v>
      </c>
      <c r="B49" s="7"/>
      <c r="C49" s="7"/>
      <c r="D49" s="7"/>
      <c r="E49" s="7"/>
      <c r="F49" s="7"/>
      <c r="G49" s="7"/>
    </row>
    <row r="50" customFormat="false" ht="15" hidden="false" customHeight="false" outlineLevel="0" collapsed="false">
      <c r="A50" s="6" t="s">
        <v>300</v>
      </c>
      <c r="B50" s="109" t="n">
        <v>1650000</v>
      </c>
      <c r="C50" s="109" t="n">
        <v>1650000</v>
      </c>
      <c r="D50" s="109" t="n">
        <v>1650000</v>
      </c>
      <c r="E50" s="110" t="n">
        <f aca="false">CHOOSE(Dashboard!$B$4,B50,C50,D50)</f>
        <v>1650000</v>
      </c>
      <c r="F50" s="39" t="s">
        <v>281</v>
      </c>
      <c r="G50" s="102"/>
    </row>
    <row r="51" customFormat="false" ht="15" hidden="false" customHeight="false" outlineLevel="0" collapsed="false">
      <c r="A51" s="6" t="s">
        <v>301</v>
      </c>
      <c r="B51" s="109" t="n">
        <v>2300000</v>
      </c>
      <c r="C51" s="109" t="n">
        <v>2300000</v>
      </c>
      <c r="D51" s="109" t="n">
        <v>2300000</v>
      </c>
      <c r="E51" s="110" t="n">
        <f aca="false">CHOOSE(Dashboard!$B$4,B51,C51,D51)</f>
        <v>2300000</v>
      </c>
      <c r="F51" s="39" t="s">
        <v>281</v>
      </c>
      <c r="G51" s="102"/>
    </row>
    <row r="52" customFormat="false" ht="15" hidden="false" customHeight="false" outlineLevel="0" collapsed="false">
      <c r="A52" s="6" t="s">
        <v>302</v>
      </c>
      <c r="B52" s="109" t="n">
        <v>150000</v>
      </c>
      <c r="C52" s="109" t="n">
        <v>150000</v>
      </c>
      <c r="D52" s="109" t="n">
        <v>150000</v>
      </c>
      <c r="E52" s="110" t="n">
        <f aca="false">CHOOSE(Dashboard!$B$4,B52,C52,D52)</f>
        <v>150000</v>
      </c>
      <c r="F52" s="39" t="s">
        <v>281</v>
      </c>
      <c r="G52" s="102"/>
    </row>
    <row r="53" customFormat="false" ht="15" hidden="false" customHeight="false" outlineLevel="0" collapsed="false">
      <c r="A53" s="6" t="s">
        <v>303</v>
      </c>
      <c r="B53" s="109" t="n">
        <v>0</v>
      </c>
      <c r="C53" s="109" t="n">
        <v>0</v>
      </c>
      <c r="D53" s="109" t="n">
        <v>0</v>
      </c>
      <c r="E53" s="110" t="n">
        <f aca="false">CHOOSE(Dashboard!$B$4,B53,C53,D53)</f>
        <v>0</v>
      </c>
      <c r="F53" s="39" t="s">
        <v>281</v>
      </c>
      <c r="G53" s="102"/>
    </row>
    <row r="54" customFormat="false" ht="15" hidden="false" customHeight="false" outlineLevel="0" collapsed="false">
      <c r="A54" s="6" t="s">
        <v>304</v>
      </c>
      <c r="B54" s="109" t="n">
        <v>40000</v>
      </c>
      <c r="C54" s="109" t="n">
        <v>40000</v>
      </c>
      <c r="D54" s="109" t="n">
        <v>40000</v>
      </c>
      <c r="E54" s="110" t="n">
        <f aca="false">CHOOSE(Dashboard!$B$4,B54,C54,D54)</f>
        <v>40000</v>
      </c>
      <c r="F54" s="39" t="s">
        <v>281</v>
      </c>
      <c r="G54" s="102"/>
    </row>
    <row r="56" customFormat="false" ht="15.75" hidden="false" customHeight="true" outlineLevel="0" collapsed="false">
      <c r="A56" s="7" t="s">
        <v>305</v>
      </c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6" t="s">
        <v>306</v>
      </c>
      <c r="B57" s="100" t="n">
        <v>1</v>
      </c>
      <c r="C57" s="100" t="n">
        <v>1</v>
      </c>
      <c r="D57" s="100" t="n">
        <v>1</v>
      </c>
      <c r="E57" s="101" t="n">
        <f aca="false">CHOOSE(Dashboard!$B$4,B57,C57,D57)</f>
        <v>1</v>
      </c>
      <c r="F57" s="39" t="s">
        <v>307</v>
      </c>
      <c r="G57" s="102" t="s">
        <v>255</v>
      </c>
    </row>
    <row r="58" customFormat="false" ht="15" hidden="false" customHeight="false" outlineLevel="0" collapsed="false">
      <c r="A58" s="6" t="s">
        <v>308</v>
      </c>
      <c r="B58" s="109" t="n">
        <v>72000</v>
      </c>
      <c r="C58" s="109" t="n">
        <v>72000</v>
      </c>
      <c r="D58" s="109" t="n">
        <v>72000</v>
      </c>
      <c r="E58" s="110" t="n">
        <f aca="false">CHOOSE(Dashboard!$B$4,B58,C58,D58)</f>
        <v>72000</v>
      </c>
      <c r="F58" s="39" t="s">
        <v>281</v>
      </c>
      <c r="G58" s="102"/>
    </row>
    <row r="59" customFormat="false" ht="15" hidden="false" customHeight="false" outlineLevel="0" collapsed="false">
      <c r="A59" s="6" t="s">
        <v>309</v>
      </c>
      <c r="B59" s="103" t="n">
        <v>0</v>
      </c>
      <c r="C59" s="103" t="n">
        <v>0</v>
      </c>
      <c r="D59" s="103" t="n">
        <v>0</v>
      </c>
      <c r="E59" s="104" t="n">
        <f aca="false">CHOOSE(Dashboard!$B$4,B59,C59,D59)</f>
        <v>0</v>
      </c>
      <c r="F59" s="39" t="s">
        <v>257</v>
      </c>
      <c r="G59" s="102" t="s">
        <v>255</v>
      </c>
    </row>
    <row r="60" customFormat="false" ht="15" hidden="false" customHeight="false" outlineLevel="0" collapsed="false">
      <c r="A60" s="6" t="s">
        <v>310</v>
      </c>
      <c r="B60" s="105" t="n">
        <v>1</v>
      </c>
      <c r="C60" s="105" t="n">
        <v>1</v>
      </c>
      <c r="D60" s="105" t="n">
        <v>1</v>
      </c>
      <c r="E60" s="106" t="n">
        <f aca="false">CHOOSE(Dashboard!$B$4,B60,C60,D60)</f>
        <v>1</v>
      </c>
      <c r="F60" s="39" t="s">
        <v>311</v>
      </c>
      <c r="G60" s="102"/>
    </row>
    <row r="61" customFormat="false" ht="15" hidden="false" customHeight="false" outlineLevel="0" collapsed="false">
      <c r="A61" s="6" t="s">
        <v>312</v>
      </c>
      <c r="B61" s="100" t="n">
        <v>10</v>
      </c>
      <c r="C61" s="100" t="n">
        <v>10</v>
      </c>
      <c r="D61" s="100" t="n">
        <v>10</v>
      </c>
      <c r="E61" s="101" t="n">
        <f aca="false">CHOOSE(Dashboard!$B$4,B61,C61,D61)</f>
        <v>10</v>
      </c>
      <c r="F61" s="39" t="s">
        <v>307</v>
      </c>
      <c r="G61" s="102" t="s">
        <v>255</v>
      </c>
    </row>
    <row r="62" customFormat="false" ht="15" hidden="false" customHeight="false" outlineLevel="0" collapsed="false">
      <c r="A62" s="6" t="s">
        <v>313</v>
      </c>
      <c r="B62" s="109" t="n">
        <v>32000</v>
      </c>
      <c r="C62" s="109" t="n">
        <v>32000</v>
      </c>
      <c r="D62" s="109" t="n">
        <v>32000</v>
      </c>
      <c r="E62" s="110" t="n">
        <f aca="false">CHOOSE(Dashboard!$B$4,B62,C62,D62)</f>
        <v>32000</v>
      </c>
      <c r="F62" s="39" t="s">
        <v>281</v>
      </c>
      <c r="G62" s="102"/>
    </row>
    <row r="63" customFormat="false" ht="15" hidden="false" customHeight="false" outlineLevel="0" collapsed="false">
      <c r="A63" s="6" t="s">
        <v>314</v>
      </c>
      <c r="B63" s="103" t="n">
        <v>0</v>
      </c>
      <c r="C63" s="103" t="n">
        <v>0</v>
      </c>
      <c r="D63" s="103" t="n">
        <v>0</v>
      </c>
      <c r="E63" s="104" t="n">
        <f aca="false">CHOOSE(Dashboard!$B$4,B63,C63,D63)</f>
        <v>0</v>
      </c>
      <c r="F63" s="39" t="s">
        <v>257</v>
      </c>
      <c r="G63" s="102" t="s">
        <v>255</v>
      </c>
    </row>
    <row r="64" customFormat="false" ht="15" hidden="false" customHeight="false" outlineLevel="0" collapsed="false">
      <c r="A64" s="6" t="s">
        <v>315</v>
      </c>
      <c r="B64" s="105" t="n">
        <v>1</v>
      </c>
      <c r="C64" s="105" t="n">
        <v>1</v>
      </c>
      <c r="D64" s="105" t="n">
        <v>1</v>
      </c>
      <c r="E64" s="106" t="n">
        <f aca="false">CHOOSE(Dashboard!$B$4,B64,C64,D64)</f>
        <v>1</v>
      </c>
      <c r="F64" s="39" t="s">
        <v>311</v>
      </c>
      <c r="G64" s="102"/>
    </row>
    <row r="65" customFormat="false" ht="15" hidden="false" customHeight="false" outlineLevel="0" collapsed="false">
      <c r="A65" s="6" t="s">
        <v>316</v>
      </c>
      <c r="B65" s="103" t="n">
        <v>0.12</v>
      </c>
      <c r="C65" s="103" t="n">
        <v>0.12</v>
      </c>
      <c r="D65" s="103" t="n">
        <v>0.12</v>
      </c>
      <c r="E65" s="104" t="n">
        <f aca="false">CHOOSE(Dashboard!$B$4,B65,C65,D65)</f>
        <v>0.12</v>
      </c>
      <c r="F65" s="39" t="s">
        <v>257</v>
      </c>
      <c r="G65" s="102"/>
    </row>
    <row r="66" customFormat="false" ht="15" hidden="false" customHeight="false" outlineLevel="0" collapsed="false">
      <c r="A66" s="6" t="s">
        <v>317</v>
      </c>
      <c r="B66" s="103" t="n">
        <v>0.03</v>
      </c>
      <c r="C66" s="103" t="n">
        <v>0.03</v>
      </c>
      <c r="D66" s="103" t="n">
        <v>0.03</v>
      </c>
      <c r="E66" s="104" t="n">
        <f aca="false">CHOOSE(Dashboard!$B$4,B66,C66,D66)</f>
        <v>0.03</v>
      </c>
      <c r="F66" s="39" t="s">
        <v>257</v>
      </c>
      <c r="G66" s="102"/>
    </row>
    <row r="68" customFormat="false" ht="15.75" hidden="false" customHeight="true" outlineLevel="0" collapsed="false">
      <c r="A68" s="7" t="s">
        <v>318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319</v>
      </c>
      <c r="B69" s="109" t="n">
        <v>2100000</v>
      </c>
      <c r="C69" s="109" t="n">
        <v>2100000</v>
      </c>
      <c r="D69" s="109" t="n">
        <v>2100000</v>
      </c>
      <c r="E69" s="110" t="n">
        <f aca="false">CHOOSE(Dashboard!$B$4,B69,C69,D69)</f>
        <v>2100000</v>
      </c>
      <c r="F69" s="39" t="s">
        <v>281</v>
      </c>
      <c r="G69" s="102"/>
    </row>
    <row r="70" customFormat="false" ht="15" hidden="false" customHeight="false" outlineLevel="0" collapsed="false">
      <c r="A70" s="6" t="s">
        <v>320</v>
      </c>
      <c r="B70" s="109" t="n">
        <v>3000000</v>
      </c>
      <c r="C70" s="109" t="n">
        <v>3000000</v>
      </c>
      <c r="D70" s="109" t="n">
        <v>3000000</v>
      </c>
      <c r="E70" s="110" t="n">
        <f aca="false">CHOOSE(Dashboard!$B$4,B70,C70,D70)</f>
        <v>3000000</v>
      </c>
      <c r="F70" s="39" t="s">
        <v>281</v>
      </c>
      <c r="G70" s="102"/>
    </row>
    <row r="71" customFormat="false" ht="15" hidden="false" customHeight="false" outlineLevel="0" collapsed="false">
      <c r="A71" s="6" t="s">
        <v>321</v>
      </c>
      <c r="B71" s="103" t="n">
        <v>0.085</v>
      </c>
      <c r="C71" s="103" t="n">
        <v>0.085</v>
      </c>
      <c r="D71" s="103" t="n">
        <v>0.085</v>
      </c>
      <c r="E71" s="104" t="n">
        <f aca="false">CHOOSE(Dashboard!$B$4,B71,C71,D71)</f>
        <v>0.085</v>
      </c>
      <c r="F71" s="39" t="s">
        <v>257</v>
      </c>
      <c r="G71" s="102"/>
    </row>
    <row r="72" customFormat="false" ht="15" hidden="false" customHeight="false" outlineLevel="0" collapsed="false">
      <c r="A72" s="6" t="s">
        <v>322</v>
      </c>
      <c r="B72" s="105" t="n">
        <v>10</v>
      </c>
      <c r="C72" s="105" t="n">
        <v>10</v>
      </c>
      <c r="D72" s="105" t="n">
        <v>10</v>
      </c>
      <c r="E72" s="106" t="n">
        <f aca="false">CHOOSE(Dashboard!$B$4,B72,C72,D72)</f>
        <v>10</v>
      </c>
      <c r="F72" s="39" t="s">
        <v>323</v>
      </c>
      <c r="G72" s="102"/>
    </row>
    <row r="74" customFormat="false" ht="15.75" hidden="false" customHeight="true" outlineLevel="0" collapsed="false">
      <c r="A74" s="7" t="s">
        <v>324</v>
      </c>
      <c r="B74" s="7"/>
      <c r="C74" s="7"/>
      <c r="D74" s="7"/>
      <c r="E74" s="7"/>
      <c r="F74" s="7"/>
      <c r="G74" s="7"/>
    </row>
    <row r="75" customFormat="false" ht="15" hidden="false" customHeight="false" outlineLevel="0" collapsed="false">
      <c r="A75" s="6" t="s">
        <v>325</v>
      </c>
      <c r="B75" s="105" t="n">
        <v>2</v>
      </c>
      <c r="C75" s="105" t="n">
        <v>2</v>
      </c>
      <c r="D75" s="105" t="n">
        <v>2</v>
      </c>
      <c r="E75" s="106" t="n">
        <f aca="false">CHOOSE(Dashboard!$B$4,B75,C75,D75)</f>
        <v>2</v>
      </c>
      <c r="F75" s="39" t="s">
        <v>259</v>
      </c>
      <c r="G75" s="102"/>
    </row>
    <row r="76" customFormat="false" ht="15" hidden="false" customHeight="false" outlineLevel="0" collapsed="false">
      <c r="A76" s="6" t="s">
        <v>326</v>
      </c>
      <c r="B76" s="105" t="n">
        <v>7</v>
      </c>
      <c r="C76" s="105" t="n">
        <v>7</v>
      </c>
      <c r="D76" s="105" t="n">
        <v>7</v>
      </c>
      <c r="E76" s="106" t="n">
        <f aca="false">CHOOSE(Dashboard!$B$4,B76,C76,D76)</f>
        <v>7</v>
      </c>
      <c r="F76" s="39" t="s">
        <v>259</v>
      </c>
      <c r="G76" s="102"/>
    </row>
    <row r="77" customFormat="false" ht="15" hidden="false" customHeight="false" outlineLevel="0" collapsed="false">
      <c r="A77" s="6" t="s">
        <v>327</v>
      </c>
      <c r="B77" s="105" t="n">
        <v>20</v>
      </c>
      <c r="C77" s="105" t="n">
        <v>20</v>
      </c>
      <c r="D77" s="105" t="n">
        <v>20</v>
      </c>
      <c r="E77" s="106" t="n">
        <f aca="false">CHOOSE(Dashboard!$B$4,B77,C77,D77)</f>
        <v>20</v>
      </c>
      <c r="F77" s="39" t="s">
        <v>259</v>
      </c>
      <c r="G77" s="102"/>
    </row>
    <row r="79" customFormat="false" ht="15.75" hidden="false" customHeight="true" outlineLevel="0" collapsed="false">
      <c r="A79" s="7" t="s">
        <v>328</v>
      </c>
      <c r="B79" s="7"/>
      <c r="C79" s="7"/>
      <c r="D79" s="7"/>
      <c r="E79" s="7"/>
      <c r="F79" s="7"/>
      <c r="G79" s="7"/>
    </row>
    <row r="80" customFormat="false" ht="15" hidden="false" customHeight="false" outlineLevel="0" collapsed="false">
      <c r="A80" s="6" t="s">
        <v>329</v>
      </c>
      <c r="B80" s="105" t="n">
        <v>12</v>
      </c>
      <c r="C80" s="105" t="n">
        <v>12</v>
      </c>
      <c r="D80" s="105" t="n">
        <v>12</v>
      </c>
      <c r="E80" s="106" t="n">
        <f aca="false">CHOOSE(Dashboard!$B$4,B80,C80,D80)</f>
        <v>12</v>
      </c>
      <c r="F80" s="39" t="s">
        <v>323</v>
      </c>
      <c r="G80" s="102"/>
    </row>
    <row r="81" customFormat="false" ht="15" hidden="false" customHeight="false" outlineLevel="0" collapsed="false">
      <c r="A81" s="6" t="s">
        <v>330</v>
      </c>
      <c r="B81" s="103" t="n">
        <v>0.21</v>
      </c>
      <c r="C81" s="103" t="n">
        <v>0.21</v>
      </c>
      <c r="D81" s="103" t="n">
        <v>0.21</v>
      </c>
      <c r="E81" s="104" t="n">
        <f aca="false">CHOOSE(Dashboard!$B$4,B81,C81,D81)</f>
        <v>0.21</v>
      </c>
      <c r="F81" s="39" t="s">
        <v>257</v>
      </c>
      <c r="G81" s="102"/>
    </row>
    <row r="83" customFormat="false" ht="15.75" hidden="false" customHeight="true" outlineLevel="0" collapsed="false">
      <c r="A83" s="7" t="s">
        <v>331</v>
      </c>
      <c r="B83" s="7"/>
      <c r="C83" s="7"/>
      <c r="D83" s="7"/>
      <c r="E83" s="7"/>
      <c r="F83" s="7"/>
      <c r="G83" s="7"/>
    </row>
    <row r="84" customFormat="false" ht="15" hidden="false" customHeight="false" outlineLevel="0" collapsed="false">
      <c r="A84" s="6" t="s">
        <v>142</v>
      </c>
      <c r="B84" s="109" t="n">
        <v>281000</v>
      </c>
      <c r="C84" s="109" t="n">
        <v>281000</v>
      </c>
      <c r="D84" s="109" t="n">
        <v>281000</v>
      </c>
      <c r="E84" s="110" t="n">
        <f aca="false">CHOOSE(Dashboard!$B$4,B84,C84,D84)</f>
        <v>281000</v>
      </c>
      <c r="F84" s="39" t="s">
        <v>281</v>
      </c>
      <c r="G84" s="102" t="s">
        <v>332</v>
      </c>
    </row>
    <row r="86" customFormat="false" ht="15.75" hidden="false" customHeight="true" outlineLevel="0" collapsed="false">
      <c r="A86" s="7" t="s">
        <v>333</v>
      </c>
      <c r="B86" s="7"/>
      <c r="C86" s="7"/>
      <c r="D86" s="7"/>
      <c r="E86" s="7"/>
      <c r="F86" s="7"/>
      <c r="G86" s="7"/>
    </row>
    <row r="87" customFormat="false" ht="15" hidden="false" customHeight="false" outlineLevel="0" collapsed="false">
      <c r="A87" s="6" t="s">
        <v>167</v>
      </c>
      <c r="B87" s="103" t="n">
        <v>0.3</v>
      </c>
      <c r="C87" s="103" t="n">
        <v>0.25</v>
      </c>
      <c r="D87" s="103" t="n">
        <v>0.2</v>
      </c>
      <c r="E87" s="104" t="n">
        <f aca="false">CHOOSE(Dashboard!$B$4,B87,C87,D87)</f>
        <v>0.25</v>
      </c>
      <c r="F87" s="39" t="s">
        <v>257</v>
      </c>
      <c r="G87" s="102" t="s">
        <v>262</v>
      </c>
    </row>
    <row r="88" customFormat="false" ht="15" hidden="false" customHeight="false" outlineLevel="0" collapsed="false">
      <c r="A88" s="6" t="s">
        <v>334</v>
      </c>
      <c r="B88" s="103" t="n">
        <v>0.01</v>
      </c>
      <c r="C88" s="103" t="n">
        <v>0.02</v>
      </c>
      <c r="D88" s="103" t="n">
        <v>0.03</v>
      </c>
      <c r="E88" s="104" t="n">
        <f aca="false">CHOOSE(Dashboard!$B$4,B88,C88,D88)</f>
        <v>0.02</v>
      </c>
      <c r="F88" s="39" t="s">
        <v>257</v>
      </c>
      <c r="G88" s="102" t="s">
        <v>255</v>
      </c>
    </row>
    <row r="89" customFormat="false" ht="15" hidden="false" customHeight="false" outlineLevel="0" collapsed="false">
      <c r="A89" s="6" t="s">
        <v>169</v>
      </c>
      <c r="B89" s="111" t="n">
        <v>3</v>
      </c>
      <c r="C89" s="111" t="n">
        <v>4</v>
      </c>
      <c r="D89" s="111" t="n">
        <v>5</v>
      </c>
      <c r="E89" s="112" t="n">
        <f aca="false">CHOOSE(Dashboard!$B$4,B89,C89,D89)</f>
        <v>4</v>
      </c>
      <c r="F89" s="39" t="s">
        <v>335</v>
      </c>
      <c r="G89" s="102" t="s">
        <v>255</v>
      </c>
    </row>
    <row r="90" customFormat="false" ht="15" hidden="false" customHeight="false" outlineLevel="0" collapsed="false">
      <c r="A90" s="6" t="s">
        <v>336</v>
      </c>
      <c r="B90" s="103" t="n">
        <v>0.01</v>
      </c>
      <c r="C90" s="103" t="n">
        <v>0.01</v>
      </c>
      <c r="D90" s="103" t="n">
        <v>0.01</v>
      </c>
      <c r="E90" s="104" t="n">
        <f aca="false">CHOOSE(Dashboard!$B$4,B90,C90,D90)</f>
        <v>0.01</v>
      </c>
      <c r="F90" s="39" t="s">
        <v>257</v>
      </c>
      <c r="G90" s="102"/>
    </row>
    <row r="91" customFormat="false" ht="15" hidden="false" customHeight="false" outlineLevel="0" collapsed="false">
      <c r="A91" s="6" t="s">
        <v>337</v>
      </c>
      <c r="B91" s="103" t="n">
        <v>0.005</v>
      </c>
      <c r="C91" s="103" t="n">
        <v>0.005</v>
      </c>
      <c r="D91" s="103" t="n">
        <v>0.005</v>
      </c>
      <c r="E91" s="104" t="n">
        <f aca="false">CHOOSE(Dashboard!$B$4,B91,C91,D91)</f>
        <v>0.005</v>
      </c>
      <c r="F91" s="39" t="s">
        <v>257</v>
      </c>
      <c r="G91" s="102"/>
    </row>
    <row r="93" customFormat="false" ht="15" hidden="false" customHeight="false" outlineLevel="0" collapsed="false">
      <c r="A93" s="21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74" t="s">
        <v>155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156</v>
      </c>
      <c r="C4" s="35" t="s">
        <v>157</v>
      </c>
      <c r="D4" s="35" t="s">
        <v>158</v>
      </c>
    </row>
    <row r="5" customFormat="false" ht="15" hidden="false" customHeight="false" outlineLevel="0" collapsed="false">
      <c r="A5" s="4" t="s">
        <v>44</v>
      </c>
      <c r="B5" s="75" t="n">
        <f aca="false">SUMIF(Monthly!$C$5:$AL$5,B$3,Monthly!$C$37:$AL$37)</f>
        <v>1180182.39164623</v>
      </c>
      <c r="C5" s="75" t="n">
        <f aca="false">SUMIF(Monthly!$C$5:$AL$5,C$3,Monthly!$C$37:$AL$37)</f>
        <v>1846649.01829223</v>
      </c>
      <c r="D5" s="75" t="n">
        <f aca="false">SUMIF(Monthly!$C$5:$AL$5,D$3,Monthly!$C$37:$AL$37)</f>
        <v>2170291.60192013</v>
      </c>
    </row>
    <row r="6" customFormat="false" ht="15" hidden="false" customHeight="false" outlineLevel="0" collapsed="false">
      <c r="A6" s="6" t="s">
        <v>76</v>
      </c>
      <c r="B6" s="69" t="n">
        <f aca="false">SUMIF(Monthly!$C$5:$AL$5,B$3,Monthly!$C$45:$AL$45)</f>
        <v>-180421.598916524</v>
      </c>
      <c r="C6" s="69" t="n">
        <f aca="false">SUMIF(Monthly!$C$5:$AL$5,C$3,Monthly!$C$45:$AL$45)</f>
        <v>-294727.996003726</v>
      </c>
      <c r="D6" s="69" t="n">
        <f aca="false">SUMIF(Monthly!$C$5:$AL$5,D$3,Monthly!$C$45:$AL$45)</f>
        <v>-357141.250598515</v>
      </c>
    </row>
    <row r="7" customFormat="false" ht="15" hidden="false" customHeight="false" outlineLevel="0" collapsed="false">
      <c r="A7" s="113" t="s">
        <v>45</v>
      </c>
      <c r="B7" s="70" t="n">
        <f aca="false">SUMIF(Monthly!$C$5:$AL$5,B$3,Monthly!$C$46:$AL$46)</f>
        <v>999760.792729705</v>
      </c>
      <c r="C7" s="70" t="n">
        <f aca="false">SUMIF(Monthly!$C$5:$AL$5,C$3,Monthly!$C$46:$AL$46)</f>
        <v>1551921.0222885</v>
      </c>
      <c r="D7" s="70" t="n">
        <f aca="false">SUMIF(Monthly!$C$5:$AL$5,D$3,Monthly!$C$46:$AL$46)</f>
        <v>1813150.35132162</v>
      </c>
    </row>
    <row r="8" customFormat="false" ht="15" hidden="false" customHeight="false" outlineLevel="0" collapsed="false">
      <c r="A8" s="39" t="s">
        <v>46</v>
      </c>
      <c r="B8" s="76" t="n">
        <f aca="false">IF(B5=0,0,B7/B5)</f>
        <v>0.847123969825669</v>
      </c>
      <c r="C8" s="76" t="n">
        <f aca="false">IF(C5=0,0,C7/C5)</f>
        <v>0.840398476871209</v>
      </c>
      <c r="D8" s="76" t="n">
        <f aca="false">IF(D5=0,0,D7/D5)</f>
        <v>0.835440891775769</v>
      </c>
    </row>
    <row r="9" customFormat="false" ht="15" hidden="false" customHeight="false" outlineLevel="0" collapsed="false">
      <c r="A9" s="6" t="s">
        <v>340</v>
      </c>
      <c r="B9" s="69" t="n">
        <f aca="false">SUMIF(Monthly!$C$5:$AL$5,B$3,Monthly!$C$49:$AL$49)</f>
        <v>-439040</v>
      </c>
      <c r="C9" s="69" t="n">
        <f aca="false">SUMIF(Monthly!$C$5:$AL$5,C$3,Monthly!$C$49:$AL$49)</f>
        <v>-452211.2</v>
      </c>
      <c r="D9" s="69" t="n">
        <f aca="false">SUMIF(Monthly!$C$5:$AL$5,D$3,Monthly!$C$49:$AL$49)</f>
        <v>-465777.536</v>
      </c>
    </row>
    <row r="10" customFormat="false" ht="15" hidden="false" customHeight="false" outlineLevel="0" collapsed="false">
      <c r="A10" s="6" t="s">
        <v>341</v>
      </c>
      <c r="B10" s="69" t="n">
        <f aca="false">SUMIF(Monthly!$C$5:$AL$5,B$3,Monthly!$C$50:$AL$50)</f>
        <v>-360000</v>
      </c>
      <c r="C10" s="69" t="n">
        <f aca="false">SUMIF(Monthly!$C$5:$AL$5,C$3,Monthly!$C$50:$AL$50)</f>
        <v>-370800</v>
      </c>
      <c r="D10" s="69" t="n">
        <f aca="false">SUMIF(Monthly!$C$5:$AL$5,D$3,Monthly!$C$50:$AL$50)</f>
        <v>-381924</v>
      </c>
    </row>
    <row r="11" customFormat="false" ht="15" hidden="false" customHeight="false" outlineLevel="0" collapsed="false">
      <c r="A11" s="6" t="s">
        <v>342</v>
      </c>
      <c r="B11" s="69" t="n">
        <f aca="false">SUMIF(Monthly!$C$5:$AL$5,B$3,Monthly!$C$51:$AL$51)</f>
        <v>-66000</v>
      </c>
      <c r="C11" s="69" t="n">
        <f aca="false">SUMIF(Monthly!$C$5:$AL$5,C$3,Monthly!$C$51:$AL$51)</f>
        <v>-67980</v>
      </c>
      <c r="D11" s="69" t="n">
        <f aca="false">SUMIF(Monthly!$C$5:$AL$5,D$3,Monthly!$C$51:$AL$51)</f>
        <v>-70019.4</v>
      </c>
    </row>
    <row r="12" customFormat="false" ht="15" hidden="false" customHeight="false" outlineLevel="0" collapsed="false">
      <c r="A12" s="6" t="s">
        <v>343</v>
      </c>
      <c r="B12" s="69" t="n">
        <f aca="false">SUMIF(Monthly!$C$5:$AL$5,B$3,Monthly!$C$52:$AL$52)</f>
        <v>-114000</v>
      </c>
      <c r="C12" s="69" t="n">
        <f aca="false">SUMIF(Monthly!$C$5:$AL$5,C$3,Monthly!$C$52:$AL$52)</f>
        <v>-117420</v>
      </c>
      <c r="D12" s="69" t="n">
        <f aca="false">SUMIF(Monthly!$C$5:$AL$5,D$3,Monthly!$C$52:$AL$52)</f>
        <v>-120942.6</v>
      </c>
    </row>
    <row r="13" customFormat="false" ht="15" hidden="false" customHeight="false" outlineLevel="0" collapsed="false">
      <c r="A13" s="6" t="s">
        <v>344</v>
      </c>
      <c r="B13" s="69" t="n">
        <f aca="false">SUMIF(Monthly!$C$5:$AL$5,B$3,Monthly!$C$53:$AL$53)</f>
        <v>-144000</v>
      </c>
      <c r="C13" s="69" t="n">
        <f aca="false">SUMIF(Monthly!$C$5:$AL$5,C$3,Monthly!$C$53:$AL$53)</f>
        <v>-115200</v>
      </c>
      <c r="D13" s="69" t="n">
        <f aca="false">SUMIF(Monthly!$C$5:$AL$5,D$3,Monthly!$C$53:$AL$53)</f>
        <v>-92160</v>
      </c>
    </row>
    <row r="14" customFormat="false" ht="15" hidden="false" customHeight="false" outlineLevel="0" collapsed="false">
      <c r="A14" s="113" t="s">
        <v>77</v>
      </c>
      <c r="B14" s="70" t="n">
        <f aca="false">SUMIF(Monthly!$C$5:$AL$5,B$3,Monthly!$C$54:$AL$54)</f>
        <v>-1123040</v>
      </c>
      <c r="C14" s="70" t="n">
        <f aca="false">SUMIF(Monthly!$C$5:$AL$5,C$3,Monthly!$C$54:$AL$54)</f>
        <v>-1123611.2</v>
      </c>
      <c r="D14" s="70" t="n">
        <f aca="false">SUMIF(Monthly!$C$5:$AL$5,D$3,Monthly!$C$54:$AL$54)</f>
        <v>-1130823.536</v>
      </c>
    </row>
    <row r="15" customFormat="false" ht="15" hidden="false" customHeight="false" outlineLevel="0" collapsed="false">
      <c r="A15" s="113" t="s">
        <v>48</v>
      </c>
      <c r="B15" s="70" t="n">
        <f aca="false">SUMIF(Monthly!$C$5:$AL$5,B$3,Monthly!$C$55:$AL$55)</f>
        <v>-123279.207270295</v>
      </c>
      <c r="C15" s="70" t="n">
        <f aca="false">SUMIF(Monthly!$C$5:$AL$5,C$3,Monthly!$C$55:$AL$55)</f>
        <v>428309.8222885</v>
      </c>
      <c r="D15" s="70" t="n">
        <f aca="false">SUMIF(Monthly!$C$5:$AL$5,D$3,Monthly!$C$55:$AL$55)</f>
        <v>682326.815321617</v>
      </c>
    </row>
    <row r="16" customFormat="false" ht="15" hidden="false" customHeight="false" outlineLevel="0" collapsed="false">
      <c r="A16" s="39" t="s">
        <v>49</v>
      </c>
      <c r="B16" s="76" t="n">
        <f aca="false">IF(B5=0,0,B15/B5)</f>
        <v>-0.104457758515049</v>
      </c>
      <c r="C16" s="76" t="n">
        <f aca="false">IF(C5=0,0,C15/C5)</f>
        <v>0.231938943484019</v>
      </c>
      <c r="D16" s="76" t="n">
        <f aca="false">IF(D5=0,0,D15/D5)</f>
        <v>0.314394072537506</v>
      </c>
    </row>
    <row r="17" customFormat="false" ht="15" hidden="false" customHeight="false" outlineLevel="0" collapsed="false">
      <c r="A17" s="6" t="s">
        <v>78</v>
      </c>
      <c r="B17" s="69" t="n">
        <f aca="false">SUMIF(Monthly!$C$5:$AL$5,B$3,Monthly!$C$75:$AL$75)</f>
        <v>-341666.666666667</v>
      </c>
      <c r="C17" s="69" t="n">
        <f aca="false">SUMIF(Monthly!$C$5:$AL$5,C$3,Monthly!$C$75:$AL$75)</f>
        <v>-345000</v>
      </c>
      <c r="D17" s="69" t="n">
        <f aca="false">SUMIF(Monthly!$C$5:$AL$5,D$3,Monthly!$C$75:$AL$75)</f>
        <v>-348333.333333333</v>
      </c>
    </row>
    <row r="18" customFormat="false" ht="15" hidden="false" customHeight="false" outlineLevel="0" collapsed="false">
      <c r="A18" s="4" t="s">
        <v>79</v>
      </c>
      <c r="B18" s="75" t="n">
        <f aca="false">SUMIF(Monthly!$C$5:$AL$5,B$3,Monthly!$C$58:$AL$58)</f>
        <v>-464945.873936961</v>
      </c>
      <c r="C18" s="75" t="n">
        <f aca="false">SUMIF(Monthly!$C$5:$AL$5,C$3,Monthly!$C$58:$AL$58)</f>
        <v>83309.8222884995</v>
      </c>
      <c r="D18" s="75" t="n">
        <f aca="false">SUMIF(Monthly!$C$5:$AL$5,D$3,Monthly!$C$58:$AL$58)</f>
        <v>333993.481988284</v>
      </c>
    </row>
    <row r="19" customFormat="false" ht="15" hidden="false" customHeight="false" outlineLevel="0" collapsed="false">
      <c r="A19" s="6" t="s">
        <v>80</v>
      </c>
      <c r="B19" s="69" t="n">
        <f aca="false">SUMIF(Monthly!$C$5:$AL$5,B$3,Monthly!$C$59:$AL$59)</f>
        <v>-244286.458333333</v>
      </c>
      <c r="C19" s="69" t="n">
        <f aca="false">SUMIF(Monthly!$C$5:$AL$5,C$3,Monthly!$C$59:$AL$59)</f>
        <v>-218875</v>
      </c>
      <c r="D19" s="69" t="n">
        <f aca="false">SUMIF(Monthly!$C$5:$AL$5,D$3,Monthly!$C$59:$AL$59)</f>
        <v>-193375</v>
      </c>
    </row>
    <row r="20" customFormat="false" ht="15" hidden="false" customHeight="false" outlineLevel="0" collapsed="false">
      <c r="A20" s="114" t="s">
        <v>81</v>
      </c>
      <c r="B20" s="115" t="n">
        <f aca="false">SUMIF(Monthly!$C$5:$AL$5,B$3,Monthly!$C$60:$AL$60)</f>
        <v>-709232.332270295</v>
      </c>
      <c r="C20" s="115" t="n">
        <f aca="false">SUMIF(Monthly!$C$5:$AL$5,C$3,Monthly!$C$60:$AL$60)</f>
        <v>-135565.177711501</v>
      </c>
      <c r="D20" s="115" t="n">
        <f aca="false">SUMIF(Monthly!$C$5:$AL$5,D$3,Monthly!$C$60:$AL$60)</f>
        <v>140618.481988284</v>
      </c>
    </row>
    <row r="21" customFormat="false" ht="15" hidden="false" customHeight="false" outlineLevel="0" collapsed="false">
      <c r="A21" s="6" t="s">
        <v>82</v>
      </c>
      <c r="B21" s="69" t="n">
        <f aca="false">SUMIF(Monthly!$C$5:$AL$5,B$3,Monthly!$C$63:$AL$63)</f>
        <v>0</v>
      </c>
      <c r="C21" s="69" t="n">
        <f aca="false">SUMIF(Monthly!$C$5:$AL$5,C$3,Monthly!$C$63:$AL$63)</f>
        <v>0</v>
      </c>
      <c r="D21" s="69" t="n">
        <f aca="false">SUMIF(Monthly!$C$5:$AL$5,D$3,Monthly!$C$63:$AL$63)</f>
        <v>0</v>
      </c>
    </row>
    <row r="22" customFormat="false" ht="15" hidden="false" customHeight="false" outlineLevel="0" collapsed="false">
      <c r="A22" s="72" t="s">
        <v>50</v>
      </c>
      <c r="B22" s="73" t="n">
        <f aca="false">SUMIF(Monthly!$C$5:$AL$5,B$3,Monthly!$C$64:$AL$64)</f>
        <v>-709232.332270295</v>
      </c>
      <c r="C22" s="73" t="n">
        <f aca="false">SUMIF(Monthly!$C$5:$AL$5,C$3,Monthly!$C$64:$AL$64)</f>
        <v>-135565.177711501</v>
      </c>
      <c r="D22" s="73" t="n">
        <f aca="false">SUMIF(Monthly!$C$5:$AL$5,D$3,Monthly!$C$64:$AL$64)</f>
        <v>140618.481988284</v>
      </c>
    </row>
    <row r="23" customFormat="false" ht="15" hidden="false" customHeight="false" outlineLevel="0" collapsed="false">
      <c r="A23" s="39" t="s">
        <v>51</v>
      </c>
      <c r="B23" s="76" t="n">
        <f aca="false">IF(B5=0,0,B22/B5)</f>
        <v>-0.600951460800047</v>
      </c>
      <c r="C23" s="76" t="n">
        <f aca="false">IF(C5=0,0,C22/C5)</f>
        <v>-0.0734114476376625</v>
      </c>
      <c r="D23" s="76" t="n">
        <f aca="false">IF(D5=0,0,D22/D5)</f>
        <v>0.0647924370457287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74" t="s">
        <v>155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156</v>
      </c>
      <c r="C4" s="35" t="s">
        <v>157</v>
      </c>
      <c r="D4" s="35" t="s">
        <v>158</v>
      </c>
    </row>
    <row r="5" customFormat="false" ht="15" hidden="false" customHeight="false" outlineLevel="0" collapsed="false">
      <c r="A5" s="6" t="s">
        <v>50</v>
      </c>
      <c r="B5" s="69" t="n">
        <f aca="false">SUMIF(Monthly!$C$5:$AL$5,B$3,Monthly!$C$64:$AL$64)</f>
        <v>-709232.332270295</v>
      </c>
      <c r="C5" s="69" t="n">
        <f aca="false">SUMIF(Monthly!$C$5:$AL$5,C$3,Monthly!$C$64:$AL$64)</f>
        <v>-135565.177711501</v>
      </c>
      <c r="D5" s="69" t="n">
        <f aca="false">SUMIF(Monthly!$C$5:$AL$5,D$3,Monthly!$C$64:$AL$64)</f>
        <v>140618.481988284</v>
      </c>
    </row>
    <row r="6" customFormat="false" ht="15" hidden="false" customHeight="false" outlineLevel="0" collapsed="false">
      <c r="A6" s="6" t="s">
        <v>345</v>
      </c>
      <c r="B6" s="69" t="n">
        <f aca="false">-SUMIF(Monthly!$C$5:$AL$5,B$3,Monthly!$C$75:$AL$75)</f>
        <v>341666.666666667</v>
      </c>
      <c r="C6" s="69" t="n">
        <f aca="false">-SUMIF(Monthly!$C$5:$AL$5,C$3,Monthly!$C$75:$AL$75)</f>
        <v>345000</v>
      </c>
      <c r="D6" s="69" t="n">
        <f aca="false">-SUMIF(Monthly!$C$5:$AL$5,D$3,Monthly!$C$75:$AL$75)</f>
        <v>348333.333333333</v>
      </c>
    </row>
    <row r="7" customFormat="false" ht="15" hidden="false" customHeight="false" outlineLevel="0" collapsed="false">
      <c r="A7" s="6" t="s">
        <v>346</v>
      </c>
      <c r="B7" s="69" t="n">
        <f aca="false">SUMIF(Monthly!$C$5:$AL$5,B$3,Monthly!$C$89:$AL$89)</f>
        <v>-7915.98187505677</v>
      </c>
      <c r="C7" s="69" t="n">
        <f aca="false">SUMIF(Monthly!$C$5:$AL$5,C$3,Monthly!$C$89:$AL$89)</f>
        <v>-2001.14314280051</v>
      </c>
      <c r="D7" s="69" t="n">
        <f aca="false">SUMIF(Monthly!$C$5:$AL$5,D$3,Monthly!$C$89:$AL$89)</f>
        <v>-1526.76150821267</v>
      </c>
    </row>
    <row r="8" customFormat="false" ht="15" hidden="false" customHeight="false" outlineLevel="0" collapsed="false">
      <c r="A8" s="6" t="s">
        <v>347</v>
      </c>
      <c r="B8" s="69" t="n">
        <f aca="false">SUMIF(Monthly!$C$5:$AL$5,B$3,Monthly!$C$90:$AL$90)</f>
        <v>-4146.69851764287</v>
      </c>
      <c r="C8" s="69" t="n">
        <f aca="false">SUMIF(Monthly!$C$5:$AL$5,C$3,Monthly!$C$90:$AL$90)</f>
        <v>-1195.81298492465</v>
      </c>
      <c r="D8" s="69" t="n">
        <f aca="false">SUMIF(Monthly!$C$5:$AL$5,D$3,Monthly!$C$90:$AL$90)</f>
        <v>-929.073533977494</v>
      </c>
    </row>
    <row r="9" customFormat="false" ht="15" hidden="false" customHeight="false" outlineLevel="0" collapsed="false">
      <c r="A9" s="6" t="s">
        <v>348</v>
      </c>
      <c r="B9" s="69" t="n">
        <f aca="false">SUMIF(Monthly!$C$5:$AL$5,B$3,Monthly!$C$91:$AL$91)</f>
        <v>11847.7100504082</v>
      </c>
      <c r="C9" s="69" t="n">
        <f aca="false">SUMIF(Monthly!$C$5:$AL$5,C$3,Monthly!$C$91:$AL$91)</f>
        <v>3416.60852835615</v>
      </c>
      <c r="D9" s="69" t="n">
        <f aca="false">SUMIF(Monthly!$C$5:$AL$5,D$3,Monthly!$C$91:$AL$91)</f>
        <v>2654.49581136427</v>
      </c>
    </row>
    <row r="10" customFormat="false" ht="15" hidden="false" customHeight="false" outlineLevel="0" collapsed="false">
      <c r="A10" s="113" t="s">
        <v>52</v>
      </c>
      <c r="B10" s="70" t="n">
        <f aca="false">SUMIF(Monthly!$C$5:$AL$5,B$3,Monthly!$C$94:$AL$94)</f>
        <v>-367780.63594592</v>
      </c>
      <c r="C10" s="70" t="n">
        <f aca="false">SUMIF(Monthly!$C$5:$AL$5,C$3,Monthly!$C$94:$AL$94)</f>
        <v>209654.47468913</v>
      </c>
      <c r="D10" s="70" t="n">
        <f aca="false">SUMIF(Monthly!$C$5:$AL$5,D$3,Monthly!$C$94:$AL$94)</f>
        <v>489150.476090791</v>
      </c>
    </row>
    <row r="11" customFormat="false" ht="15" hidden="false" customHeight="false" outlineLevel="0" collapsed="false">
      <c r="A11" s="6" t="s">
        <v>84</v>
      </c>
      <c r="B11" s="69" t="n">
        <f aca="false">SUMIF(Monthly!$C$5:$AL$5,B$3,Monthly!$C$95:$AL$95)</f>
        <v>-4100000</v>
      </c>
      <c r="C11" s="69" t="n">
        <f aca="false">SUMIF(Monthly!$C$5:$AL$5,C$3,Monthly!$C$95:$AL$95)</f>
        <v>-40000</v>
      </c>
      <c r="D11" s="69" t="n">
        <f aca="false">SUMIF(Monthly!$C$5:$AL$5,D$3,Monthly!$C$95:$AL$95)</f>
        <v>-40000</v>
      </c>
    </row>
    <row r="12" customFormat="false" ht="15" hidden="false" customHeight="false" outlineLevel="0" collapsed="false">
      <c r="A12" s="6" t="s">
        <v>64</v>
      </c>
      <c r="B12" s="69" t="n">
        <f aca="false">SUMIF(Monthly!$C$5:$AL$5,B$3,Monthly!$C$96:$AL$96)</f>
        <v>2100000</v>
      </c>
      <c r="C12" s="69" t="n">
        <f aca="false">SUMIF(Monthly!$C$5:$AL$5,C$3,Monthly!$C$96:$AL$96)</f>
        <v>0</v>
      </c>
      <c r="D12" s="69" t="n">
        <f aca="false">SUMIF(Monthly!$C$5:$AL$5,D$3,Monthly!$C$96:$AL$96)</f>
        <v>0</v>
      </c>
    </row>
    <row r="13" customFormat="false" ht="15" hidden="false" customHeight="false" outlineLevel="0" collapsed="false">
      <c r="A13" s="6" t="s">
        <v>85</v>
      </c>
      <c r="B13" s="69" t="n">
        <f aca="false">SUMIF(Monthly!$C$5:$AL$5,B$3,Monthly!$C$81:$AL$81)</f>
        <v>3000000</v>
      </c>
      <c r="C13" s="69" t="n">
        <f aca="false">SUMIF(Monthly!$C$5:$AL$5,C$3,Monthly!$C$81:$AL$81)</f>
        <v>0</v>
      </c>
      <c r="D13" s="69" t="n">
        <f aca="false">SUMIF(Monthly!$C$5:$AL$5,D$3,Monthly!$C$81:$AL$81)</f>
        <v>0</v>
      </c>
    </row>
    <row r="14" customFormat="false" ht="15" hidden="false" customHeight="false" outlineLevel="0" collapsed="false">
      <c r="A14" s="6" t="s">
        <v>86</v>
      </c>
      <c r="B14" s="69" t="n">
        <f aca="false">SUMIF(Monthly!$C$5:$AL$5,B$3,Monthly!$C$82:$AL$82)</f>
        <v>-275000</v>
      </c>
      <c r="C14" s="69" t="n">
        <f aca="false">SUMIF(Monthly!$C$5:$AL$5,C$3,Monthly!$C$82:$AL$82)</f>
        <v>-300000</v>
      </c>
      <c r="D14" s="69" t="n">
        <f aca="false">SUMIF(Monthly!$C$5:$AL$5,D$3,Monthly!$C$82:$AL$82)</f>
        <v>-300000</v>
      </c>
    </row>
    <row r="15" customFormat="false" ht="15" hidden="false" customHeight="false" outlineLevel="0" collapsed="false">
      <c r="A15" s="113" t="s">
        <v>54</v>
      </c>
      <c r="B15" s="70" t="n">
        <f aca="false">SUMIF(Monthly!$C$5:$AL$5,B$3,Monthly!$C$97:$AL$97)</f>
        <v>4825000</v>
      </c>
      <c r="C15" s="70" t="n">
        <f aca="false">SUMIF(Monthly!$C$5:$AL$5,C$3,Monthly!$C$97:$AL$97)</f>
        <v>-300000</v>
      </c>
      <c r="D15" s="70" t="n">
        <f aca="false">SUMIF(Monthly!$C$5:$AL$5,D$3,Monthly!$C$97:$AL$97)</f>
        <v>-300000</v>
      </c>
    </row>
    <row r="16" customFormat="false" ht="15" hidden="false" customHeight="false" outlineLevel="0" collapsed="false">
      <c r="A16" s="4" t="s">
        <v>55</v>
      </c>
      <c r="B16" s="75" t="n">
        <f aca="false">SUMIF(Monthly!$C$5:$AL$5,B$3,Monthly!$C$98:$AL$98)</f>
        <v>357219.364054081</v>
      </c>
      <c r="C16" s="75" t="n">
        <f aca="false">SUMIF(Monthly!$C$5:$AL$5,C$3,Monthly!$C$98:$AL$98)</f>
        <v>-130345.52531087</v>
      </c>
      <c r="D16" s="75" t="n">
        <f aca="false">SUMIF(Monthly!$C$5:$AL$5,D$3,Monthly!$C$98:$AL$98)</f>
        <v>149150.476090791</v>
      </c>
    </row>
    <row r="17" customFormat="false" ht="15" hidden="false" customHeight="false" outlineLevel="0" collapsed="false">
      <c r="A17" s="6" t="s">
        <v>349</v>
      </c>
      <c r="B17" s="69" t="n">
        <f aca="false">INDEX(Monthly!$C$99:$AL$99,(B$3-1)*12+1)</f>
        <v>0</v>
      </c>
      <c r="C17" s="69" t="n">
        <f aca="false">INDEX(Monthly!$C$99:$AL$99,(C$3-1)*12+1)</f>
        <v>357219.364054081</v>
      </c>
      <c r="D17" s="69" t="n">
        <f aca="false">INDEX(Monthly!$C$99:$AL$99,(D$3-1)*12+1)</f>
        <v>226873.838743211</v>
      </c>
    </row>
    <row r="18" customFormat="false" ht="15" hidden="false" customHeight="false" outlineLevel="0" collapsed="false">
      <c r="A18" s="72" t="s">
        <v>87</v>
      </c>
      <c r="B18" s="73" t="n">
        <f aca="false">INDEX(Monthly!$C$100:$AL$100,B$3*12)</f>
        <v>357219.364054081</v>
      </c>
      <c r="C18" s="73" t="n">
        <f aca="false">INDEX(Monthly!$C$100:$AL$100,C$3*12)</f>
        <v>226873.838743211</v>
      </c>
      <c r="D18" s="73" t="n">
        <f aca="false">INDEX(Monthly!$C$100:$AL$100,D$3*12)</f>
        <v>376024.314834002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74" t="s">
        <v>155</v>
      </c>
      <c r="B3" s="74" t="n">
        <v>1</v>
      </c>
      <c r="C3" s="74" t="n">
        <v>2</v>
      </c>
      <c r="D3" s="74" t="n">
        <v>3</v>
      </c>
    </row>
    <row r="4" customFormat="false" ht="15" hidden="false" customHeight="false" outlineLevel="0" collapsed="false">
      <c r="A4" s="33"/>
      <c r="B4" s="35" t="s">
        <v>156</v>
      </c>
      <c r="C4" s="35" t="s">
        <v>157</v>
      </c>
      <c r="D4" s="35" t="s">
        <v>158</v>
      </c>
    </row>
    <row r="5" customFormat="false" ht="15" hidden="false" customHeight="false" outlineLevel="0" collapsed="false">
      <c r="A5" s="6" t="s">
        <v>89</v>
      </c>
      <c r="B5" s="69" t="n">
        <f aca="false">INDEX(Monthly!$C$100:$AL$100,B$3*12)</f>
        <v>357219.364054081</v>
      </c>
      <c r="C5" s="69" t="n">
        <f aca="false">INDEX(Monthly!$C$100:$AL$100,C$3*12)</f>
        <v>226873.838743211</v>
      </c>
      <c r="D5" s="69" t="n">
        <f aca="false">INDEX(Monthly!$C$100:$AL$100,D$3*12)</f>
        <v>376024.314834002</v>
      </c>
    </row>
    <row r="6" customFormat="false" ht="15" hidden="false" customHeight="false" outlineLevel="0" collapsed="false">
      <c r="A6" s="6" t="s">
        <v>90</v>
      </c>
      <c r="B6" s="69" t="n">
        <f aca="false">INDEX(Monthly!$C$86:$AL$86,B$3*12)</f>
        <v>7915.98187505677</v>
      </c>
      <c r="C6" s="69" t="n">
        <f aca="false">INDEX(Monthly!$C$86:$AL$86,C$3*12)</f>
        <v>9917.12501785728</v>
      </c>
      <c r="D6" s="69" t="n">
        <f aca="false">INDEX(Monthly!$C$86:$AL$86,D$3*12)</f>
        <v>11443.8865260699</v>
      </c>
    </row>
    <row r="7" customFormat="false" ht="15" hidden="false" customHeight="false" outlineLevel="0" collapsed="false">
      <c r="A7" s="6" t="s">
        <v>91</v>
      </c>
      <c r="B7" s="69" t="n">
        <f aca="false">INDEX(Monthly!$C$87:$AL$87,B$3*12)</f>
        <v>4146.69851764287</v>
      </c>
      <c r="C7" s="69" t="n">
        <f aca="false">INDEX(Monthly!$C$87:$AL$87,C$3*12)</f>
        <v>5342.51150256752</v>
      </c>
      <c r="D7" s="69" t="n">
        <f aca="false">INDEX(Monthly!$C$87:$AL$87,D$3*12)</f>
        <v>6271.58503654501</v>
      </c>
    </row>
    <row r="8" customFormat="false" ht="15" hidden="false" customHeight="false" outlineLevel="0" collapsed="false">
      <c r="A8" s="6" t="s">
        <v>92</v>
      </c>
      <c r="B8" s="69" t="n">
        <f aca="false">INDEX(Monthly!$C$77:$AL$77,B$3*12)</f>
        <v>3758333.33333333</v>
      </c>
      <c r="C8" s="69" t="n">
        <f aca="false">INDEX(Monthly!$C$77:$AL$77,C$3*12)</f>
        <v>3453333.33333333</v>
      </c>
      <c r="D8" s="69" t="n">
        <f aca="false">INDEX(Monthly!$C$77:$AL$77,D$3*12)</f>
        <v>3145000</v>
      </c>
    </row>
    <row r="9" customFormat="false" ht="15" hidden="false" customHeight="false" outlineLevel="0" collapsed="false">
      <c r="A9" s="113" t="s">
        <v>93</v>
      </c>
      <c r="B9" s="70" t="n">
        <f aca="false">INDEX(Monthly!$C$114:$AL$114,B$3*12)</f>
        <v>4127615.37778011</v>
      </c>
      <c r="C9" s="70" t="n">
        <f aca="false">INDEX(Monthly!$C$114:$AL$114,C$3*12)</f>
        <v>3695466.80859697</v>
      </c>
      <c r="D9" s="70" t="n">
        <f aca="false">INDEX(Monthly!$C$114:$AL$114,D$3*12)</f>
        <v>3538739.78639662</v>
      </c>
    </row>
    <row r="10" customFormat="false" ht="15" hidden="false" customHeight="false" outlineLevel="0" collapsed="false">
      <c r="A10" s="6" t="s">
        <v>94</v>
      </c>
      <c r="B10" s="69" t="n">
        <f aca="false">INDEX(Monthly!$C$88:$AL$88,B$3*12)</f>
        <v>11847.7100504082</v>
      </c>
      <c r="C10" s="69" t="n">
        <f aca="false">INDEX(Monthly!$C$88:$AL$88,C$3*12)</f>
        <v>15264.3185787643</v>
      </c>
      <c r="D10" s="69" t="n">
        <f aca="false">INDEX(Monthly!$C$88:$AL$88,D$3*12)</f>
        <v>17918.8143901286</v>
      </c>
    </row>
    <row r="11" customFormat="false" ht="15" hidden="false" customHeight="false" outlineLevel="0" collapsed="false">
      <c r="A11" s="6" t="s">
        <v>95</v>
      </c>
      <c r="B11" s="69" t="n">
        <f aca="false">INDEX(Monthly!$C$83:$AL$83,B$3*12)</f>
        <v>2725000</v>
      </c>
      <c r="C11" s="69" t="n">
        <f aca="false">INDEX(Monthly!$C$83:$AL$83,C$3*12)</f>
        <v>2425000</v>
      </c>
      <c r="D11" s="69" t="n">
        <f aca="false">INDEX(Monthly!$C$83:$AL$83,D$3*12)</f>
        <v>2125000</v>
      </c>
    </row>
    <row r="12" customFormat="false" ht="15" hidden="false" customHeight="false" outlineLevel="0" collapsed="false">
      <c r="A12" s="114" t="s">
        <v>96</v>
      </c>
      <c r="B12" s="115" t="n">
        <f aca="false">INDEX(Monthly!$C$115:$AL$115,B$3*12)</f>
        <v>2736847.71005041</v>
      </c>
      <c r="C12" s="115" t="n">
        <f aca="false">INDEX(Monthly!$C$115:$AL$115,C$3*12)</f>
        <v>2440264.31857876</v>
      </c>
      <c r="D12" s="115" t="n">
        <f aca="false">INDEX(Monthly!$C$115:$AL$115,D$3*12)</f>
        <v>2142918.81439013</v>
      </c>
    </row>
    <row r="13" customFormat="false" ht="15" hidden="false" customHeight="false" outlineLevel="0" collapsed="false">
      <c r="A13" s="6" t="s">
        <v>97</v>
      </c>
      <c r="B13" s="69" t="n">
        <f aca="false">INDEX(Monthly!$C$112:$AL$112,B$3*12)</f>
        <v>2100000</v>
      </c>
      <c r="C13" s="69" t="n">
        <f aca="false">INDEX(Monthly!$C$112:$AL$112,C$3*12)</f>
        <v>2100000</v>
      </c>
      <c r="D13" s="69" t="n">
        <f aca="false">INDEX(Monthly!$C$112:$AL$112,D$3*12)</f>
        <v>2100000</v>
      </c>
    </row>
    <row r="14" customFormat="false" ht="15" hidden="false" customHeight="false" outlineLevel="0" collapsed="false">
      <c r="A14" s="6" t="s">
        <v>98</v>
      </c>
      <c r="B14" s="69" t="n">
        <f aca="false">INDEX(Monthly!$C$113:$AL$113,B$3*12)</f>
        <v>-709232.332270295</v>
      </c>
      <c r="C14" s="69" t="n">
        <f aca="false">INDEX(Monthly!$C$113:$AL$113,C$3*12)</f>
        <v>-844797.509981795</v>
      </c>
      <c r="D14" s="69" t="n">
        <f aca="false">INDEX(Monthly!$C$113:$AL$113,D$3*12)</f>
        <v>-704179.027993512</v>
      </c>
    </row>
    <row r="15" customFormat="false" ht="15" hidden="false" customHeight="false" outlineLevel="0" collapsed="false">
      <c r="A15" s="114" t="s">
        <v>99</v>
      </c>
      <c r="B15" s="115" t="n">
        <f aca="false">INDEX(Monthly!$C$116:$AL$116,B$3*12)</f>
        <v>1390767.66772971</v>
      </c>
      <c r="C15" s="115" t="n">
        <f aca="false">INDEX(Monthly!$C$116:$AL$116,C$3*12)</f>
        <v>1255202.4900182</v>
      </c>
      <c r="D15" s="115" t="n">
        <f aca="false">INDEX(Monthly!$C$116:$AL$116,D$3*12)</f>
        <v>1395820.97200649</v>
      </c>
    </row>
    <row r="16" customFormat="false" ht="15" hidden="false" customHeight="false" outlineLevel="0" collapsed="false">
      <c r="A16" s="72" t="s">
        <v>100</v>
      </c>
      <c r="B16" s="73" t="n">
        <f aca="false">INDEX(Monthly!$C$117:$AL$117,B$3*12)</f>
        <v>4127615.37778011</v>
      </c>
      <c r="C16" s="73" t="n">
        <f aca="false">INDEX(Monthly!$C$117:$AL$117,C$3*12)</f>
        <v>3695466.80859697</v>
      </c>
      <c r="D16" s="73" t="n">
        <f aca="false">INDEX(Monthly!$C$117:$AL$117,D$3*12)</f>
        <v>3538739.78639662</v>
      </c>
    </row>
    <row r="17" customFormat="false" ht="15" hidden="false" customHeight="false" outlineLevel="0" collapsed="false">
      <c r="A17" s="6" t="s">
        <v>350</v>
      </c>
      <c r="B17" s="69" t="n">
        <f aca="false">INDEX(Monthly!$C$118:$AL$118,B$3*12)</f>
        <v>0</v>
      </c>
      <c r="C17" s="69" t="n">
        <f aca="false">INDEX(Monthly!$C$118:$AL$118,C$3*12)</f>
        <v>0</v>
      </c>
      <c r="D17" s="69" t="n">
        <f aca="false">INDEX(Monthly!$C$118:$AL$118,D$3*12)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351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352</v>
      </c>
    </row>
    <row r="3" customFormat="false" ht="15" hidden="false" customHeight="false" outlineLevel="0" collapsed="false">
      <c r="A3" s="33" t="s">
        <v>353</v>
      </c>
      <c r="C3" s="35" t="s">
        <v>354</v>
      </c>
      <c r="D3" s="35" t="s">
        <v>355</v>
      </c>
      <c r="E3" s="35" t="s">
        <v>356</v>
      </c>
      <c r="F3" s="35" t="s">
        <v>357</v>
      </c>
      <c r="G3" s="35" t="s">
        <v>358</v>
      </c>
      <c r="H3" s="35" t="s">
        <v>359</v>
      </c>
      <c r="I3" s="35" t="s">
        <v>360</v>
      </c>
      <c r="J3" s="35" t="s">
        <v>361</v>
      </c>
      <c r="K3" s="35" t="s">
        <v>362</v>
      </c>
      <c r="L3" s="35" t="s">
        <v>363</v>
      </c>
      <c r="M3" s="35" t="s">
        <v>364</v>
      </c>
      <c r="N3" s="35" t="s">
        <v>365</v>
      </c>
      <c r="O3" s="35" t="s">
        <v>366</v>
      </c>
      <c r="P3" s="35" t="s">
        <v>367</v>
      </c>
      <c r="Q3" s="35" t="s">
        <v>368</v>
      </c>
      <c r="R3" s="35" t="s">
        <v>369</v>
      </c>
      <c r="S3" s="35" t="s">
        <v>370</v>
      </c>
      <c r="T3" s="35" t="s">
        <v>371</v>
      </c>
      <c r="U3" s="35" t="s">
        <v>372</v>
      </c>
      <c r="V3" s="35" t="s">
        <v>373</v>
      </c>
      <c r="W3" s="35" t="s">
        <v>374</v>
      </c>
      <c r="X3" s="35" t="s">
        <v>375</v>
      </c>
      <c r="Y3" s="35" t="s">
        <v>376</v>
      </c>
      <c r="Z3" s="35" t="s">
        <v>377</v>
      </c>
      <c r="AA3" s="35" t="s">
        <v>378</v>
      </c>
      <c r="AB3" s="35" t="s">
        <v>379</v>
      </c>
      <c r="AC3" s="35" t="s">
        <v>380</v>
      </c>
      <c r="AD3" s="35" t="s">
        <v>381</v>
      </c>
      <c r="AE3" s="35" t="s">
        <v>382</v>
      </c>
      <c r="AF3" s="35" t="s">
        <v>383</v>
      </c>
      <c r="AG3" s="35" t="s">
        <v>384</v>
      </c>
      <c r="AH3" s="35" t="s">
        <v>385</v>
      </c>
      <c r="AI3" s="35" t="s">
        <v>386</v>
      </c>
      <c r="AJ3" s="35" t="s">
        <v>387</v>
      </c>
      <c r="AK3" s="35" t="s">
        <v>388</v>
      </c>
      <c r="AL3" s="35" t="s">
        <v>389</v>
      </c>
    </row>
    <row r="4" customFormat="false" ht="15" hidden="false" customHeight="false" outlineLevel="0" collapsed="false">
      <c r="A4" s="74" t="s">
        <v>390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</row>
    <row r="5" customFormat="false" ht="15" hidden="false" customHeight="false" outlineLevel="0" collapsed="false">
      <c r="A5" s="74" t="s">
        <v>155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</row>
    <row r="7" customFormat="false" ht="15.75" hidden="false" customHeight="true" outlineLevel="0" collapsed="false">
      <c r="A7" s="7" t="s">
        <v>391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6" t="s">
        <v>392</v>
      </c>
      <c r="C8" s="117" t="n">
        <f aca="false">MAX(0,MIN(1,Inputs!$E$10-(C$4-1)*1))</f>
        <v>1</v>
      </c>
      <c r="D8" s="117" t="n">
        <f aca="false">MAX(0,MIN(1,Inputs!$E$10-(D$4-1)*1))</f>
        <v>1</v>
      </c>
      <c r="E8" s="117" t="n">
        <f aca="false">MAX(0,MIN(1,Inputs!$E$10-(E$4-1)*1))</f>
        <v>1</v>
      </c>
      <c r="F8" s="117" t="n">
        <f aca="false">MAX(0,MIN(1,Inputs!$E$10-(F$4-1)*1))</f>
        <v>1</v>
      </c>
      <c r="G8" s="117" t="n">
        <f aca="false">MAX(0,MIN(1,Inputs!$E$10-(G$4-1)*1))</f>
        <v>1</v>
      </c>
      <c r="H8" s="117" t="n">
        <f aca="false">MAX(0,MIN(1,Inputs!$E$10-(H$4-1)*1))</f>
        <v>1</v>
      </c>
      <c r="I8" s="117" t="n">
        <f aca="false">MAX(0,MIN(1,Inputs!$E$10-(I$4-1)*1))</f>
        <v>1</v>
      </c>
      <c r="J8" s="117" t="n">
        <f aca="false">MAX(0,MIN(1,Inputs!$E$10-(J$4-1)*1))</f>
        <v>1</v>
      </c>
      <c r="K8" s="117" t="n">
        <f aca="false">MAX(0,MIN(1,Inputs!$E$10-(K$4-1)*1))</f>
        <v>1</v>
      </c>
      <c r="L8" s="117" t="n">
        <f aca="false">MAX(0,MIN(1,Inputs!$E$10-(L$4-1)*1))</f>
        <v>0</v>
      </c>
      <c r="M8" s="117" t="n">
        <f aca="false">MAX(0,MIN(1,Inputs!$E$10-(M$4-1)*1))</f>
        <v>0</v>
      </c>
      <c r="N8" s="117" t="n">
        <f aca="false">MAX(0,MIN(1,Inputs!$E$10-(N$4-1)*1))</f>
        <v>0</v>
      </c>
      <c r="O8" s="117" t="n">
        <f aca="false">MAX(0,MIN(1,Inputs!$E$10-(O$4-1)*1))</f>
        <v>0</v>
      </c>
      <c r="P8" s="117" t="n">
        <f aca="false">MAX(0,MIN(1,Inputs!$E$10-(P$4-1)*1))</f>
        <v>0</v>
      </c>
      <c r="Q8" s="117" t="n">
        <f aca="false">MAX(0,MIN(1,Inputs!$E$10-(Q$4-1)*1))</f>
        <v>0</v>
      </c>
      <c r="R8" s="117" t="n">
        <f aca="false">MAX(0,MIN(1,Inputs!$E$10-(R$4-1)*1))</f>
        <v>0</v>
      </c>
      <c r="S8" s="117" t="n">
        <f aca="false">MAX(0,MIN(1,Inputs!$E$10-(S$4-1)*1))</f>
        <v>0</v>
      </c>
      <c r="T8" s="117" t="n">
        <f aca="false">MAX(0,MIN(1,Inputs!$E$10-(T$4-1)*1))</f>
        <v>0</v>
      </c>
      <c r="U8" s="117" t="n">
        <f aca="false">MAX(0,MIN(1,Inputs!$E$10-(U$4-1)*1))</f>
        <v>0</v>
      </c>
      <c r="V8" s="117" t="n">
        <f aca="false">MAX(0,MIN(1,Inputs!$E$10-(V$4-1)*1))</f>
        <v>0</v>
      </c>
      <c r="W8" s="117" t="n">
        <f aca="false">MAX(0,MIN(1,Inputs!$E$10-(W$4-1)*1))</f>
        <v>0</v>
      </c>
      <c r="X8" s="117" t="n">
        <f aca="false">MAX(0,MIN(1,Inputs!$E$10-(X$4-1)*1))</f>
        <v>0</v>
      </c>
      <c r="Y8" s="117" t="n">
        <f aca="false">MAX(0,MIN(1,Inputs!$E$10-(Y$4-1)*1))</f>
        <v>0</v>
      </c>
      <c r="Z8" s="117" t="n">
        <f aca="false">MAX(0,MIN(1,Inputs!$E$10-(Z$4-1)*1))</f>
        <v>0</v>
      </c>
      <c r="AA8" s="117" t="n">
        <f aca="false">MAX(0,MIN(1,Inputs!$E$10-(AA$4-1)*1))</f>
        <v>0</v>
      </c>
      <c r="AB8" s="117" t="n">
        <f aca="false">MAX(0,MIN(1,Inputs!$E$10-(AB$4-1)*1))</f>
        <v>0</v>
      </c>
      <c r="AC8" s="117" t="n">
        <f aca="false">MAX(0,MIN(1,Inputs!$E$10-(AC$4-1)*1))</f>
        <v>0</v>
      </c>
      <c r="AD8" s="117" t="n">
        <f aca="false">MAX(0,MIN(1,Inputs!$E$10-(AD$4-1)*1))</f>
        <v>0</v>
      </c>
      <c r="AE8" s="117" t="n">
        <f aca="false">MAX(0,MIN(1,Inputs!$E$10-(AE$4-1)*1))</f>
        <v>0</v>
      </c>
      <c r="AF8" s="117" t="n">
        <f aca="false">MAX(0,MIN(1,Inputs!$E$10-(AF$4-1)*1))</f>
        <v>0</v>
      </c>
      <c r="AG8" s="117" t="n">
        <f aca="false">MAX(0,MIN(1,Inputs!$E$10-(AG$4-1)*1))</f>
        <v>0</v>
      </c>
      <c r="AH8" s="117" t="n">
        <f aca="false">MAX(0,MIN(1,Inputs!$E$10-(AH$4-1)*1))</f>
        <v>0</v>
      </c>
      <c r="AI8" s="117" t="n">
        <f aca="false">MAX(0,MIN(1,Inputs!$E$10-(AI$4-1)*1))</f>
        <v>0</v>
      </c>
      <c r="AJ8" s="117" t="n">
        <f aca="false">MAX(0,MIN(1,Inputs!$E$10-(AJ$4-1)*1))</f>
        <v>0</v>
      </c>
      <c r="AK8" s="117" t="n">
        <f aca="false">MAX(0,MIN(1,Inputs!$E$10-(AK$4-1)*1))</f>
        <v>0</v>
      </c>
      <c r="AL8" s="117" t="n">
        <f aca="false">MAX(0,MIN(1,Inputs!$E$10-(AL$4-1)*1))</f>
        <v>0</v>
      </c>
    </row>
    <row r="9" customFormat="false" ht="15" hidden="false" customHeight="false" outlineLevel="0" collapsed="false">
      <c r="A9" s="39" t="s">
        <v>393</v>
      </c>
      <c r="C9" s="76" t="n">
        <f aca="false">IF(Inputs!$E$10&lt;=0,1,(C8*Inputs!$E$11+(1-Inputs!$E$11)/MAX(1,Inputs!$E$10)*(C8*(C$4-1)*1+C8*(C8-1)/2)+1-C8)/1)</f>
        <v>0.45</v>
      </c>
      <c r="D9" s="76" t="n">
        <f aca="false">IF(Inputs!$E$10&lt;=0,1,(D8*Inputs!$E$11+(1-Inputs!$E$11)/MAX(1,Inputs!$E$10)*(D8*(D$4-1)*1+D8*(D8-1)/2)+1-D8)/1)</f>
        <v>0.511111111111111</v>
      </c>
      <c r="E9" s="76" t="n">
        <f aca="false">IF(Inputs!$E$10&lt;=0,1,(E8*Inputs!$E$11+(1-Inputs!$E$11)/MAX(1,Inputs!$E$10)*(E8*(E$4-1)*1+E8*(E8-1)/2)+1-E8)/1)</f>
        <v>0.572222222222222</v>
      </c>
      <c r="F9" s="76" t="n">
        <f aca="false">IF(Inputs!$E$10&lt;=0,1,(F8*Inputs!$E$11+(1-Inputs!$E$11)/MAX(1,Inputs!$E$10)*(F8*(F$4-1)*1+F8*(F8-1)/2)+1-F8)/1)</f>
        <v>0.633333333333333</v>
      </c>
      <c r="G9" s="76" t="n">
        <f aca="false">IF(Inputs!$E$10&lt;=0,1,(G8*Inputs!$E$11+(1-Inputs!$E$11)/MAX(1,Inputs!$E$10)*(G8*(G$4-1)*1+G8*(G8-1)/2)+1-G8)/1)</f>
        <v>0.694444444444444</v>
      </c>
      <c r="H9" s="76" t="n">
        <f aca="false">IF(Inputs!$E$10&lt;=0,1,(H8*Inputs!$E$11+(1-Inputs!$E$11)/MAX(1,Inputs!$E$10)*(H8*(H$4-1)*1+H8*(H8-1)/2)+1-H8)/1)</f>
        <v>0.755555555555556</v>
      </c>
      <c r="I9" s="76" t="n">
        <f aca="false">IF(Inputs!$E$10&lt;=0,1,(I8*Inputs!$E$11+(1-Inputs!$E$11)/MAX(1,Inputs!$E$10)*(I8*(I$4-1)*1+I8*(I8-1)/2)+1-I8)/1)</f>
        <v>0.816666666666667</v>
      </c>
      <c r="J9" s="76" t="n">
        <f aca="false">IF(Inputs!$E$10&lt;=0,1,(J8*Inputs!$E$11+(1-Inputs!$E$11)/MAX(1,Inputs!$E$10)*(J8*(J$4-1)*1+J8*(J8-1)/2)+1-J8)/1)</f>
        <v>0.877777777777778</v>
      </c>
      <c r="K9" s="76" t="n">
        <f aca="false">IF(Inputs!$E$10&lt;=0,1,(K8*Inputs!$E$11+(1-Inputs!$E$11)/MAX(1,Inputs!$E$10)*(K8*(K$4-1)*1+K8*(K8-1)/2)+1-K8)/1)</f>
        <v>0.938888888888889</v>
      </c>
      <c r="L9" s="76" t="n">
        <f aca="false">IF(Inputs!$E$10&lt;=0,1,(L8*Inputs!$E$11+(1-Inputs!$E$11)/MAX(1,Inputs!$E$10)*(L8*(L$4-1)*1+L8*(L8-1)/2)+1-L8)/1)</f>
        <v>1</v>
      </c>
      <c r="M9" s="76" t="n">
        <f aca="false">IF(Inputs!$E$10&lt;=0,1,(M8*Inputs!$E$11+(1-Inputs!$E$11)/MAX(1,Inputs!$E$10)*(M8*(M$4-1)*1+M8*(M8-1)/2)+1-M8)/1)</f>
        <v>1</v>
      </c>
      <c r="N9" s="76" t="n">
        <f aca="false">IF(Inputs!$E$10&lt;=0,1,(N8*Inputs!$E$11+(1-Inputs!$E$11)/MAX(1,Inputs!$E$10)*(N8*(N$4-1)*1+N8*(N8-1)/2)+1-N8)/1)</f>
        <v>1</v>
      </c>
      <c r="O9" s="76" t="n">
        <f aca="false">IF(Inputs!$E$10&lt;=0,1,(O8*Inputs!$E$11+(1-Inputs!$E$11)/MAX(1,Inputs!$E$10)*(O8*(O$4-1)*1+O8*(O8-1)/2)+1-O8)/1)</f>
        <v>1</v>
      </c>
      <c r="P9" s="76" t="n">
        <f aca="false">IF(Inputs!$E$10&lt;=0,1,(P8*Inputs!$E$11+(1-Inputs!$E$11)/MAX(1,Inputs!$E$10)*(P8*(P$4-1)*1+P8*(P8-1)/2)+1-P8)/1)</f>
        <v>1</v>
      </c>
      <c r="Q9" s="76" t="n">
        <f aca="false">IF(Inputs!$E$10&lt;=0,1,(Q8*Inputs!$E$11+(1-Inputs!$E$11)/MAX(1,Inputs!$E$10)*(Q8*(Q$4-1)*1+Q8*(Q8-1)/2)+1-Q8)/1)</f>
        <v>1</v>
      </c>
      <c r="R9" s="76" t="n">
        <f aca="false">IF(Inputs!$E$10&lt;=0,1,(R8*Inputs!$E$11+(1-Inputs!$E$11)/MAX(1,Inputs!$E$10)*(R8*(R$4-1)*1+R8*(R8-1)/2)+1-R8)/1)</f>
        <v>1</v>
      </c>
      <c r="S9" s="76" t="n">
        <f aca="false">IF(Inputs!$E$10&lt;=0,1,(S8*Inputs!$E$11+(1-Inputs!$E$11)/MAX(1,Inputs!$E$10)*(S8*(S$4-1)*1+S8*(S8-1)/2)+1-S8)/1)</f>
        <v>1</v>
      </c>
      <c r="T9" s="76" t="n">
        <f aca="false">IF(Inputs!$E$10&lt;=0,1,(T8*Inputs!$E$11+(1-Inputs!$E$11)/MAX(1,Inputs!$E$10)*(T8*(T$4-1)*1+T8*(T8-1)/2)+1-T8)/1)</f>
        <v>1</v>
      </c>
      <c r="U9" s="76" t="n">
        <f aca="false">IF(Inputs!$E$10&lt;=0,1,(U8*Inputs!$E$11+(1-Inputs!$E$11)/MAX(1,Inputs!$E$10)*(U8*(U$4-1)*1+U8*(U8-1)/2)+1-U8)/1)</f>
        <v>1</v>
      </c>
      <c r="V9" s="76" t="n">
        <f aca="false">IF(Inputs!$E$10&lt;=0,1,(V8*Inputs!$E$11+(1-Inputs!$E$11)/MAX(1,Inputs!$E$10)*(V8*(V$4-1)*1+V8*(V8-1)/2)+1-V8)/1)</f>
        <v>1</v>
      </c>
      <c r="W9" s="76" t="n">
        <f aca="false">IF(Inputs!$E$10&lt;=0,1,(W8*Inputs!$E$11+(1-Inputs!$E$11)/MAX(1,Inputs!$E$10)*(W8*(W$4-1)*1+W8*(W8-1)/2)+1-W8)/1)</f>
        <v>1</v>
      </c>
      <c r="X9" s="76" t="n">
        <f aca="false">IF(Inputs!$E$10&lt;=0,1,(X8*Inputs!$E$11+(1-Inputs!$E$11)/MAX(1,Inputs!$E$10)*(X8*(X$4-1)*1+X8*(X8-1)/2)+1-X8)/1)</f>
        <v>1</v>
      </c>
      <c r="Y9" s="76" t="n">
        <f aca="false">IF(Inputs!$E$10&lt;=0,1,(Y8*Inputs!$E$11+(1-Inputs!$E$11)/MAX(1,Inputs!$E$10)*(Y8*(Y$4-1)*1+Y8*(Y8-1)/2)+1-Y8)/1)</f>
        <v>1</v>
      </c>
      <c r="Z9" s="76" t="n">
        <f aca="false">IF(Inputs!$E$10&lt;=0,1,(Z8*Inputs!$E$11+(1-Inputs!$E$11)/MAX(1,Inputs!$E$10)*(Z8*(Z$4-1)*1+Z8*(Z8-1)/2)+1-Z8)/1)</f>
        <v>1</v>
      </c>
      <c r="AA9" s="76" t="n">
        <f aca="false">IF(Inputs!$E$10&lt;=0,1,(AA8*Inputs!$E$11+(1-Inputs!$E$11)/MAX(1,Inputs!$E$10)*(AA8*(AA$4-1)*1+AA8*(AA8-1)/2)+1-AA8)/1)</f>
        <v>1</v>
      </c>
      <c r="AB9" s="76" t="n">
        <f aca="false">IF(Inputs!$E$10&lt;=0,1,(AB8*Inputs!$E$11+(1-Inputs!$E$11)/MAX(1,Inputs!$E$10)*(AB8*(AB$4-1)*1+AB8*(AB8-1)/2)+1-AB8)/1)</f>
        <v>1</v>
      </c>
      <c r="AC9" s="76" t="n">
        <f aca="false">IF(Inputs!$E$10&lt;=0,1,(AC8*Inputs!$E$11+(1-Inputs!$E$11)/MAX(1,Inputs!$E$10)*(AC8*(AC$4-1)*1+AC8*(AC8-1)/2)+1-AC8)/1)</f>
        <v>1</v>
      </c>
      <c r="AD9" s="76" t="n">
        <f aca="false">IF(Inputs!$E$10&lt;=0,1,(AD8*Inputs!$E$11+(1-Inputs!$E$11)/MAX(1,Inputs!$E$10)*(AD8*(AD$4-1)*1+AD8*(AD8-1)/2)+1-AD8)/1)</f>
        <v>1</v>
      </c>
      <c r="AE9" s="76" t="n">
        <f aca="false">IF(Inputs!$E$10&lt;=0,1,(AE8*Inputs!$E$11+(1-Inputs!$E$11)/MAX(1,Inputs!$E$10)*(AE8*(AE$4-1)*1+AE8*(AE8-1)/2)+1-AE8)/1)</f>
        <v>1</v>
      </c>
      <c r="AF9" s="76" t="n">
        <f aca="false">IF(Inputs!$E$10&lt;=0,1,(AF8*Inputs!$E$11+(1-Inputs!$E$11)/MAX(1,Inputs!$E$10)*(AF8*(AF$4-1)*1+AF8*(AF8-1)/2)+1-AF8)/1)</f>
        <v>1</v>
      </c>
      <c r="AG9" s="76" t="n">
        <f aca="false">IF(Inputs!$E$10&lt;=0,1,(AG8*Inputs!$E$11+(1-Inputs!$E$11)/MAX(1,Inputs!$E$10)*(AG8*(AG$4-1)*1+AG8*(AG8-1)/2)+1-AG8)/1)</f>
        <v>1</v>
      </c>
      <c r="AH9" s="76" t="n">
        <f aca="false">IF(Inputs!$E$10&lt;=0,1,(AH8*Inputs!$E$11+(1-Inputs!$E$11)/MAX(1,Inputs!$E$10)*(AH8*(AH$4-1)*1+AH8*(AH8-1)/2)+1-AH8)/1)</f>
        <v>1</v>
      </c>
      <c r="AI9" s="76" t="n">
        <f aca="false">IF(Inputs!$E$10&lt;=0,1,(AI8*Inputs!$E$11+(1-Inputs!$E$11)/MAX(1,Inputs!$E$10)*(AI8*(AI$4-1)*1+AI8*(AI8-1)/2)+1-AI8)/1)</f>
        <v>1</v>
      </c>
      <c r="AJ9" s="76" t="n">
        <f aca="false">IF(Inputs!$E$10&lt;=0,1,(AJ8*Inputs!$E$11+(1-Inputs!$E$11)/MAX(1,Inputs!$E$10)*(AJ8*(AJ$4-1)*1+AJ8*(AJ8-1)/2)+1-AJ8)/1)</f>
        <v>1</v>
      </c>
      <c r="AK9" s="76" t="n">
        <f aca="false">IF(Inputs!$E$10&lt;=0,1,(AK8*Inputs!$E$11+(1-Inputs!$E$11)/MAX(1,Inputs!$E$10)*(AK8*(AK$4-1)*1+AK8*(AK8-1)/2)+1-AK8)/1)</f>
        <v>1</v>
      </c>
      <c r="AL9" s="76" t="n">
        <f aca="false">IF(Inputs!$E$10&lt;=0,1,(AL8*Inputs!$E$11+(1-Inputs!$E$11)/MAX(1,Inputs!$E$10)*(AL8*(AL$4-1)*1+AL8*(AL8-1)/2)+1-AL8)/1)</f>
        <v>1</v>
      </c>
    </row>
    <row r="10" customFormat="false" ht="15" hidden="false" customHeight="false" outlineLevel="0" collapsed="false">
      <c r="A10" s="6" t="s">
        <v>394</v>
      </c>
      <c r="C10" s="79" t="n">
        <f aca="false">IF(OR(MOD(C$4-1,12)&gt;=11,MOD(C$4-1,12)&lt;=1),1-Inputs!$E$12,1+Inputs!$E$12/3)</f>
        <v>0.85</v>
      </c>
      <c r="D10" s="79" t="n">
        <f aca="false">IF(OR(MOD(D$4-1,12)&gt;=11,MOD(D$4-1,12)&lt;=1),1-Inputs!$E$12,1+Inputs!$E$12/3)</f>
        <v>0.85</v>
      </c>
      <c r="E10" s="79" t="n">
        <f aca="false">IF(OR(MOD(E$4-1,12)&gt;=11,MOD(E$4-1,12)&lt;=1),1-Inputs!$E$12,1+Inputs!$E$12/3)</f>
        <v>1.05</v>
      </c>
      <c r="F10" s="79" t="n">
        <f aca="false">IF(OR(MOD(F$4-1,12)&gt;=11,MOD(F$4-1,12)&lt;=1),1-Inputs!$E$12,1+Inputs!$E$12/3)</f>
        <v>1.05</v>
      </c>
      <c r="G10" s="79" t="n">
        <f aca="false">IF(OR(MOD(G$4-1,12)&gt;=11,MOD(G$4-1,12)&lt;=1),1-Inputs!$E$12,1+Inputs!$E$12/3)</f>
        <v>1.05</v>
      </c>
      <c r="H10" s="79" t="n">
        <f aca="false">IF(OR(MOD(H$4-1,12)&gt;=11,MOD(H$4-1,12)&lt;=1),1-Inputs!$E$12,1+Inputs!$E$12/3)</f>
        <v>1.05</v>
      </c>
      <c r="I10" s="79" t="n">
        <f aca="false">IF(OR(MOD(I$4-1,12)&gt;=11,MOD(I$4-1,12)&lt;=1),1-Inputs!$E$12,1+Inputs!$E$12/3)</f>
        <v>1.05</v>
      </c>
      <c r="J10" s="79" t="n">
        <f aca="false">IF(OR(MOD(J$4-1,12)&gt;=11,MOD(J$4-1,12)&lt;=1),1-Inputs!$E$12,1+Inputs!$E$12/3)</f>
        <v>1.05</v>
      </c>
      <c r="K10" s="79" t="n">
        <f aca="false">IF(OR(MOD(K$4-1,12)&gt;=11,MOD(K$4-1,12)&lt;=1),1-Inputs!$E$12,1+Inputs!$E$12/3)</f>
        <v>1.05</v>
      </c>
      <c r="L10" s="79" t="n">
        <f aca="false">IF(OR(MOD(L$4-1,12)&gt;=11,MOD(L$4-1,12)&lt;=1),1-Inputs!$E$12,1+Inputs!$E$12/3)</f>
        <v>1.05</v>
      </c>
      <c r="M10" s="79" t="n">
        <f aca="false">IF(OR(MOD(M$4-1,12)&gt;=11,MOD(M$4-1,12)&lt;=1),1-Inputs!$E$12,1+Inputs!$E$12/3)</f>
        <v>1.05</v>
      </c>
      <c r="N10" s="79" t="n">
        <f aca="false">IF(OR(MOD(N$4-1,12)&gt;=11,MOD(N$4-1,12)&lt;=1),1-Inputs!$E$12,1+Inputs!$E$12/3)</f>
        <v>0.85</v>
      </c>
      <c r="O10" s="79" t="n">
        <f aca="false">IF(OR(MOD(O$4-1,12)&gt;=11,MOD(O$4-1,12)&lt;=1),1-Inputs!$E$12,1+Inputs!$E$12/3)</f>
        <v>0.85</v>
      </c>
      <c r="P10" s="79" t="n">
        <f aca="false">IF(OR(MOD(P$4-1,12)&gt;=11,MOD(P$4-1,12)&lt;=1),1-Inputs!$E$12,1+Inputs!$E$12/3)</f>
        <v>0.85</v>
      </c>
      <c r="Q10" s="79" t="n">
        <f aca="false">IF(OR(MOD(Q$4-1,12)&gt;=11,MOD(Q$4-1,12)&lt;=1),1-Inputs!$E$12,1+Inputs!$E$12/3)</f>
        <v>1.05</v>
      </c>
      <c r="R10" s="79" t="n">
        <f aca="false">IF(OR(MOD(R$4-1,12)&gt;=11,MOD(R$4-1,12)&lt;=1),1-Inputs!$E$12,1+Inputs!$E$12/3)</f>
        <v>1.05</v>
      </c>
      <c r="S10" s="79" t="n">
        <f aca="false">IF(OR(MOD(S$4-1,12)&gt;=11,MOD(S$4-1,12)&lt;=1),1-Inputs!$E$12,1+Inputs!$E$12/3)</f>
        <v>1.05</v>
      </c>
      <c r="T10" s="79" t="n">
        <f aca="false">IF(OR(MOD(T$4-1,12)&gt;=11,MOD(T$4-1,12)&lt;=1),1-Inputs!$E$12,1+Inputs!$E$12/3)</f>
        <v>1.05</v>
      </c>
      <c r="U10" s="79" t="n">
        <f aca="false">IF(OR(MOD(U$4-1,12)&gt;=11,MOD(U$4-1,12)&lt;=1),1-Inputs!$E$12,1+Inputs!$E$12/3)</f>
        <v>1.05</v>
      </c>
      <c r="V10" s="79" t="n">
        <f aca="false">IF(OR(MOD(V$4-1,12)&gt;=11,MOD(V$4-1,12)&lt;=1),1-Inputs!$E$12,1+Inputs!$E$12/3)</f>
        <v>1.05</v>
      </c>
      <c r="W10" s="79" t="n">
        <f aca="false">IF(OR(MOD(W$4-1,12)&gt;=11,MOD(W$4-1,12)&lt;=1),1-Inputs!$E$12,1+Inputs!$E$12/3)</f>
        <v>1.05</v>
      </c>
      <c r="X10" s="79" t="n">
        <f aca="false">IF(OR(MOD(X$4-1,12)&gt;=11,MOD(X$4-1,12)&lt;=1),1-Inputs!$E$12,1+Inputs!$E$12/3)</f>
        <v>1.05</v>
      </c>
      <c r="Y10" s="79" t="n">
        <f aca="false">IF(OR(MOD(Y$4-1,12)&gt;=11,MOD(Y$4-1,12)&lt;=1),1-Inputs!$E$12,1+Inputs!$E$12/3)</f>
        <v>1.05</v>
      </c>
      <c r="Z10" s="79" t="n">
        <f aca="false">IF(OR(MOD(Z$4-1,12)&gt;=11,MOD(Z$4-1,12)&lt;=1),1-Inputs!$E$12,1+Inputs!$E$12/3)</f>
        <v>0.85</v>
      </c>
      <c r="AA10" s="79" t="n">
        <f aca="false">IF(OR(MOD(AA$4-1,12)&gt;=11,MOD(AA$4-1,12)&lt;=1),1-Inputs!$E$12,1+Inputs!$E$12/3)</f>
        <v>0.85</v>
      </c>
      <c r="AB10" s="79" t="n">
        <f aca="false">IF(OR(MOD(AB$4-1,12)&gt;=11,MOD(AB$4-1,12)&lt;=1),1-Inputs!$E$12,1+Inputs!$E$12/3)</f>
        <v>0.85</v>
      </c>
      <c r="AC10" s="79" t="n">
        <f aca="false">IF(OR(MOD(AC$4-1,12)&gt;=11,MOD(AC$4-1,12)&lt;=1),1-Inputs!$E$12,1+Inputs!$E$12/3)</f>
        <v>1.05</v>
      </c>
      <c r="AD10" s="79" t="n">
        <f aca="false">IF(OR(MOD(AD$4-1,12)&gt;=11,MOD(AD$4-1,12)&lt;=1),1-Inputs!$E$12,1+Inputs!$E$12/3)</f>
        <v>1.05</v>
      </c>
      <c r="AE10" s="79" t="n">
        <f aca="false">IF(OR(MOD(AE$4-1,12)&gt;=11,MOD(AE$4-1,12)&lt;=1),1-Inputs!$E$12,1+Inputs!$E$12/3)</f>
        <v>1.05</v>
      </c>
      <c r="AF10" s="79" t="n">
        <f aca="false">IF(OR(MOD(AF$4-1,12)&gt;=11,MOD(AF$4-1,12)&lt;=1),1-Inputs!$E$12,1+Inputs!$E$12/3)</f>
        <v>1.05</v>
      </c>
      <c r="AG10" s="79" t="n">
        <f aca="false">IF(OR(MOD(AG$4-1,12)&gt;=11,MOD(AG$4-1,12)&lt;=1),1-Inputs!$E$12,1+Inputs!$E$12/3)</f>
        <v>1.05</v>
      </c>
      <c r="AH10" s="79" t="n">
        <f aca="false">IF(OR(MOD(AH$4-1,12)&gt;=11,MOD(AH$4-1,12)&lt;=1),1-Inputs!$E$12,1+Inputs!$E$12/3)</f>
        <v>1.05</v>
      </c>
      <c r="AI10" s="79" t="n">
        <f aca="false">IF(OR(MOD(AI$4-1,12)&gt;=11,MOD(AI$4-1,12)&lt;=1),1-Inputs!$E$12,1+Inputs!$E$12/3)</f>
        <v>1.05</v>
      </c>
      <c r="AJ10" s="79" t="n">
        <f aca="false">IF(OR(MOD(AJ$4-1,12)&gt;=11,MOD(AJ$4-1,12)&lt;=1),1-Inputs!$E$12,1+Inputs!$E$12/3)</f>
        <v>1.05</v>
      </c>
      <c r="AK10" s="79" t="n">
        <f aca="false">IF(OR(MOD(AK$4-1,12)&gt;=11,MOD(AK$4-1,12)&lt;=1),1-Inputs!$E$12,1+Inputs!$E$12/3)</f>
        <v>1.05</v>
      </c>
      <c r="AL10" s="79" t="n">
        <f aca="false">IF(OR(MOD(AL$4-1,12)&gt;=11,MOD(AL$4-1,12)&lt;=1),1-Inputs!$E$12,1+Inputs!$E$12/3)</f>
        <v>0.85</v>
      </c>
    </row>
    <row r="11" customFormat="false" ht="15" hidden="false" customHeight="false" outlineLevel="0" collapsed="false">
      <c r="A11" s="6" t="s">
        <v>395</v>
      </c>
      <c r="C11" s="118" t="n">
        <f aca="false">Inputs!$E$7*(1+Inputs!$E$8)^(C$5-1)*Inputs!$E$9*1*C9*C10</f>
        <v>2662.2</v>
      </c>
      <c r="D11" s="118" t="n">
        <f aca="false">Inputs!$E$7*(1+Inputs!$E$8)^(D$5-1)*Inputs!$E$9*1*D9*D10</f>
        <v>3023.73333333333</v>
      </c>
      <c r="E11" s="118" t="n">
        <f aca="false">Inputs!$E$7*(1+Inputs!$E$8)^(E$5-1)*Inputs!$E$9*1*E9*E10</f>
        <v>4181.8</v>
      </c>
      <c r="F11" s="118" t="n">
        <f aca="false">Inputs!$E$7*(1+Inputs!$E$8)^(F$5-1)*Inputs!$E$9*1*F9*F10</f>
        <v>4628.4</v>
      </c>
      <c r="G11" s="118" t="n">
        <f aca="false">Inputs!$E$7*(1+Inputs!$E$8)^(G$5-1)*Inputs!$E$9*1*G9*G10</f>
        <v>5075</v>
      </c>
      <c r="H11" s="118" t="n">
        <f aca="false">Inputs!$E$7*(1+Inputs!$E$8)^(H$5-1)*Inputs!$E$9*1*H9*H10</f>
        <v>5521.6</v>
      </c>
      <c r="I11" s="118" t="n">
        <f aca="false">Inputs!$E$7*(1+Inputs!$E$8)^(I$5-1)*Inputs!$E$9*1*I9*I10</f>
        <v>5968.2</v>
      </c>
      <c r="J11" s="118" t="n">
        <f aca="false">Inputs!$E$7*(1+Inputs!$E$8)^(J$5-1)*Inputs!$E$9*1*J9*J10</f>
        <v>6414.8</v>
      </c>
      <c r="K11" s="118" t="n">
        <f aca="false">Inputs!$E$7*(1+Inputs!$E$8)^(K$5-1)*Inputs!$E$9*1*K9*K10</f>
        <v>6861.4</v>
      </c>
      <c r="L11" s="118" t="n">
        <f aca="false">Inputs!$E$7*(1+Inputs!$E$8)^(L$5-1)*Inputs!$E$9*1*L9*L10</f>
        <v>7308</v>
      </c>
      <c r="M11" s="118" t="n">
        <f aca="false">Inputs!$E$7*(1+Inputs!$E$8)^(M$5-1)*Inputs!$E$9*1*M9*M10</f>
        <v>7308</v>
      </c>
      <c r="N11" s="118" t="n">
        <f aca="false">Inputs!$E$7*(1+Inputs!$E$8)^(N$5-1)*Inputs!$E$9*1*N9*N10</f>
        <v>5916</v>
      </c>
      <c r="O11" s="118" t="n">
        <f aca="false">Inputs!$E$7*(1+Inputs!$E$8)^(O$5-1)*Inputs!$E$9*1*O9*O10</f>
        <v>6093.48</v>
      </c>
      <c r="P11" s="118" t="n">
        <f aca="false">Inputs!$E$7*(1+Inputs!$E$8)^(P$5-1)*Inputs!$E$9*1*P9*P10</f>
        <v>6093.48</v>
      </c>
      <c r="Q11" s="118" t="n">
        <f aca="false">Inputs!$E$7*(1+Inputs!$E$8)^(Q$5-1)*Inputs!$E$9*1*Q9*Q10</f>
        <v>7527.24</v>
      </c>
      <c r="R11" s="118" t="n">
        <f aca="false">Inputs!$E$7*(1+Inputs!$E$8)^(R$5-1)*Inputs!$E$9*1*R9*R10</f>
        <v>7527.24</v>
      </c>
      <c r="S11" s="118" t="n">
        <f aca="false">Inputs!$E$7*(1+Inputs!$E$8)^(S$5-1)*Inputs!$E$9*1*S9*S10</f>
        <v>7527.24</v>
      </c>
      <c r="T11" s="118" t="n">
        <f aca="false">Inputs!$E$7*(1+Inputs!$E$8)^(T$5-1)*Inputs!$E$9*1*T9*T10</f>
        <v>7527.24</v>
      </c>
      <c r="U11" s="118" t="n">
        <f aca="false">Inputs!$E$7*(1+Inputs!$E$8)^(U$5-1)*Inputs!$E$9*1*U9*U10</f>
        <v>7527.24</v>
      </c>
      <c r="V11" s="118" t="n">
        <f aca="false">Inputs!$E$7*(1+Inputs!$E$8)^(V$5-1)*Inputs!$E$9*1*V9*V10</f>
        <v>7527.24</v>
      </c>
      <c r="W11" s="118" t="n">
        <f aca="false">Inputs!$E$7*(1+Inputs!$E$8)^(W$5-1)*Inputs!$E$9*1*W9*W10</f>
        <v>7527.24</v>
      </c>
      <c r="X11" s="118" t="n">
        <f aca="false">Inputs!$E$7*(1+Inputs!$E$8)^(X$5-1)*Inputs!$E$9*1*X9*X10</f>
        <v>7527.24</v>
      </c>
      <c r="Y11" s="118" t="n">
        <f aca="false">Inputs!$E$7*(1+Inputs!$E$8)^(Y$5-1)*Inputs!$E$9*1*Y9*Y10</f>
        <v>7527.24</v>
      </c>
      <c r="Z11" s="118" t="n">
        <f aca="false">Inputs!$E$7*(1+Inputs!$E$8)^(Z$5-1)*Inputs!$E$9*1*Z9*Z10</f>
        <v>6093.48</v>
      </c>
      <c r="AA11" s="118" t="n">
        <f aca="false">Inputs!$E$7*(1+Inputs!$E$8)^(AA$5-1)*Inputs!$E$9*1*AA9*AA10</f>
        <v>6276.2844</v>
      </c>
      <c r="AB11" s="118" t="n">
        <f aca="false">Inputs!$E$7*(1+Inputs!$E$8)^(AB$5-1)*Inputs!$E$9*1*AB9*AB10</f>
        <v>6276.2844</v>
      </c>
      <c r="AC11" s="118" t="n">
        <f aca="false">Inputs!$E$7*(1+Inputs!$E$8)^(AC$5-1)*Inputs!$E$9*1*AC9*AC10</f>
        <v>7753.0572</v>
      </c>
      <c r="AD11" s="118" t="n">
        <f aca="false">Inputs!$E$7*(1+Inputs!$E$8)^(AD$5-1)*Inputs!$E$9*1*AD9*AD10</f>
        <v>7753.0572</v>
      </c>
      <c r="AE11" s="118" t="n">
        <f aca="false">Inputs!$E$7*(1+Inputs!$E$8)^(AE$5-1)*Inputs!$E$9*1*AE9*AE10</f>
        <v>7753.0572</v>
      </c>
      <c r="AF11" s="118" t="n">
        <f aca="false">Inputs!$E$7*(1+Inputs!$E$8)^(AF$5-1)*Inputs!$E$9*1*AF9*AF10</f>
        <v>7753.0572</v>
      </c>
      <c r="AG11" s="118" t="n">
        <f aca="false">Inputs!$E$7*(1+Inputs!$E$8)^(AG$5-1)*Inputs!$E$9*1*AG9*AG10</f>
        <v>7753.0572</v>
      </c>
      <c r="AH11" s="118" t="n">
        <f aca="false">Inputs!$E$7*(1+Inputs!$E$8)^(AH$5-1)*Inputs!$E$9*1*AH9*AH10</f>
        <v>7753.0572</v>
      </c>
      <c r="AI11" s="118" t="n">
        <f aca="false">Inputs!$E$7*(1+Inputs!$E$8)^(AI$5-1)*Inputs!$E$9*1*AI9*AI10</f>
        <v>7753.0572</v>
      </c>
      <c r="AJ11" s="118" t="n">
        <f aca="false">Inputs!$E$7*(1+Inputs!$E$8)^(AJ$5-1)*Inputs!$E$9*1*AJ9*AJ10</f>
        <v>7753.0572</v>
      </c>
      <c r="AK11" s="118" t="n">
        <f aca="false">Inputs!$E$7*(1+Inputs!$E$8)^(AK$5-1)*Inputs!$E$9*1*AK9*AK10</f>
        <v>7753.0572</v>
      </c>
      <c r="AL11" s="118" t="n">
        <f aca="false">Inputs!$E$7*(1+Inputs!$E$8)^(AL$5-1)*Inputs!$E$9*1*AL9*AL10</f>
        <v>6276.2844</v>
      </c>
    </row>
    <row r="13" customFormat="false" ht="15.75" hidden="false" customHeight="true" outlineLevel="0" collapsed="false">
      <c r="A13" s="7" t="s">
        <v>396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397</v>
      </c>
      <c r="C14" s="117" t="n">
        <f aca="false">C11*Inputs!$E$23</f>
        <v>21.2976</v>
      </c>
      <c r="D14" s="117" t="n">
        <f aca="false">D11*Inputs!$E$23</f>
        <v>24.1898666666667</v>
      </c>
      <c r="E14" s="117" t="n">
        <f aca="false">E11*Inputs!$E$23</f>
        <v>33.4544</v>
      </c>
      <c r="F14" s="117" t="n">
        <f aca="false">F11*Inputs!$E$23</f>
        <v>37.0272</v>
      </c>
      <c r="G14" s="117" t="n">
        <f aca="false">G11*Inputs!$E$23</f>
        <v>40.6</v>
      </c>
      <c r="H14" s="117" t="n">
        <f aca="false">H11*Inputs!$E$23</f>
        <v>44.1728</v>
      </c>
      <c r="I14" s="117" t="n">
        <f aca="false">I11*Inputs!$E$23</f>
        <v>47.7456</v>
      </c>
      <c r="J14" s="117" t="n">
        <f aca="false">J11*Inputs!$E$23</f>
        <v>51.3184</v>
      </c>
      <c r="K14" s="117" t="n">
        <f aca="false">K11*Inputs!$E$23</f>
        <v>54.8912</v>
      </c>
      <c r="L14" s="117" t="n">
        <f aca="false">L11*Inputs!$E$23</f>
        <v>58.464</v>
      </c>
      <c r="M14" s="117" t="n">
        <f aca="false">M11*Inputs!$E$23</f>
        <v>58.464</v>
      </c>
      <c r="N14" s="117" t="n">
        <f aca="false">N11*Inputs!$E$23</f>
        <v>47.328</v>
      </c>
      <c r="O14" s="117" t="n">
        <f aca="false">O11*Inputs!$E$23</f>
        <v>48.74784</v>
      </c>
      <c r="P14" s="117" t="n">
        <f aca="false">P11*Inputs!$E$23</f>
        <v>48.74784</v>
      </c>
      <c r="Q14" s="117" t="n">
        <f aca="false">Q11*Inputs!$E$23</f>
        <v>60.21792</v>
      </c>
      <c r="R14" s="117" t="n">
        <f aca="false">R11*Inputs!$E$23</f>
        <v>60.21792</v>
      </c>
      <c r="S14" s="117" t="n">
        <f aca="false">S11*Inputs!$E$23</f>
        <v>60.21792</v>
      </c>
      <c r="T14" s="117" t="n">
        <f aca="false">T11*Inputs!$E$23</f>
        <v>60.21792</v>
      </c>
      <c r="U14" s="117" t="n">
        <f aca="false">U11*Inputs!$E$23</f>
        <v>60.21792</v>
      </c>
      <c r="V14" s="117" t="n">
        <f aca="false">V11*Inputs!$E$23</f>
        <v>60.21792</v>
      </c>
      <c r="W14" s="117" t="n">
        <f aca="false">W11*Inputs!$E$23</f>
        <v>60.21792</v>
      </c>
      <c r="X14" s="117" t="n">
        <f aca="false">X11*Inputs!$E$23</f>
        <v>60.21792</v>
      </c>
      <c r="Y14" s="117" t="n">
        <f aca="false">Y11*Inputs!$E$23</f>
        <v>60.21792</v>
      </c>
      <c r="Z14" s="117" t="n">
        <f aca="false">Z11*Inputs!$E$23</f>
        <v>48.74784</v>
      </c>
      <c r="AA14" s="117" t="n">
        <f aca="false">AA11*Inputs!$E$23</f>
        <v>50.2102752</v>
      </c>
      <c r="AB14" s="117" t="n">
        <f aca="false">AB11*Inputs!$E$23</f>
        <v>50.2102752</v>
      </c>
      <c r="AC14" s="117" t="n">
        <f aca="false">AC11*Inputs!$E$23</f>
        <v>62.0244576</v>
      </c>
      <c r="AD14" s="117" t="n">
        <f aca="false">AD11*Inputs!$E$23</f>
        <v>62.0244576</v>
      </c>
      <c r="AE14" s="117" t="n">
        <f aca="false">AE11*Inputs!$E$23</f>
        <v>62.0244576</v>
      </c>
      <c r="AF14" s="117" t="n">
        <f aca="false">AF11*Inputs!$E$23</f>
        <v>62.0244576</v>
      </c>
      <c r="AG14" s="117" t="n">
        <f aca="false">AG11*Inputs!$E$23</f>
        <v>62.0244576</v>
      </c>
      <c r="AH14" s="117" t="n">
        <f aca="false">AH11*Inputs!$E$23</f>
        <v>62.0244576</v>
      </c>
      <c r="AI14" s="117" t="n">
        <f aca="false">AI11*Inputs!$E$23</f>
        <v>62.0244576</v>
      </c>
      <c r="AJ14" s="117" t="n">
        <f aca="false">AJ11*Inputs!$E$23</f>
        <v>62.0244576</v>
      </c>
      <c r="AK14" s="117" t="n">
        <f aca="false">AK11*Inputs!$E$23</f>
        <v>62.0244576</v>
      </c>
      <c r="AL14" s="117" t="n">
        <f aca="false">AL11*Inputs!$E$23</f>
        <v>50.2102752</v>
      </c>
    </row>
    <row r="15" customFormat="false" ht="15" hidden="false" customHeight="false" outlineLevel="0" collapsed="false">
      <c r="A15" s="6" t="s">
        <v>398</v>
      </c>
      <c r="C15" s="117" t="n">
        <f aca="false">Inputs!$E$21*(1+Inputs!$E$22)^(C$5-1)*1*C9</f>
        <v>22.5</v>
      </c>
      <c r="D15" s="117" t="n">
        <f aca="false">Inputs!$E$21*(1+Inputs!$E$22)^(D$5-1)*1*D9</f>
        <v>25.5555555555556</v>
      </c>
      <c r="E15" s="117" t="n">
        <f aca="false">Inputs!$E$21*(1+Inputs!$E$22)^(E$5-1)*1*E9</f>
        <v>28.6111111111111</v>
      </c>
      <c r="F15" s="117" t="n">
        <f aca="false">Inputs!$E$21*(1+Inputs!$E$22)^(F$5-1)*1*F9</f>
        <v>31.6666666666667</v>
      </c>
      <c r="G15" s="117" t="n">
        <f aca="false">Inputs!$E$21*(1+Inputs!$E$22)^(G$5-1)*1*G9</f>
        <v>34.7222222222222</v>
      </c>
      <c r="H15" s="117" t="n">
        <f aca="false">Inputs!$E$21*(1+Inputs!$E$22)^(H$5-1)*1*H9</f>
        <v>37.7777777777778</v>
      </c>
      <c r="I15" s="117" t="n">
        <f aca="false">Inputs!$E$21*(1+Inputs!$E$22)^(I$5-1)*1*I9</f>
        <v>40.8333333333333</v>
      </c>
      <c r="J15" s="117" t="n">
        <f aca="false">Inputs!$E$21*(1+Inputs!$E$22)^(J$5-1)*1*J9</f>
        <v>43.8888888888889</v>
      </c>
      <c r="K15" s="117" t="n">
        <f aca="false">Inputs!$E$21*(1+Inputs!$E$22)^(K$5-1)*1*K9</f>
        <v>46.9444444444444</v>
      </c>
      <c r="L15" s="117" t="n">
        <f aca="false">Inputs!$E$21*(1+Inputs!$E$22)^(L$5-1)*1*L9</f>
        <v>50</v>
      </c>
      <c r="M15" s="117" t="n">
        <f aca="false">Inputs!$E$21*(1+Inputs!$E$22)^(M$5-1)*1*M9</f>
        <v>50</v>
      </c>
      <c r="N15" s="117" t="n">
        <f aca="false">Inputs!$E$21*(1+Inputs!$E$22)^(N$5-1)*1*N9</f>
        <v>50</v>
      </c>
      <c r="O15" s="117" t="n">
        <f aca="false">Inputs!$E$21*(1+Inputs!$E$22)^(O$5-1)*1*O9</f>
        <v>52.5</v>
      </c>
      <c r="P15" s="117" t="n">
        <f aca="false">Inputs!$E$21*(1+Inputs!$E$22)^(P$5-1)*1*P9</f>
        <v>52.5</v>
      </c>
      <c r="Q15" s="117" t="n">
        <f aca="false">Inputs!$E$21*(1+Inputs!$E$22)^(Q$5-1)*1*Q9</f>
        <v>52.5</v>
      </c>
      <c r="R15" s="117" t="n">
        <f aca="false">Inputs!$E$21*(1+Inputs!$E$22)^(R$5-1)*1*R9</f>
        <v>52.5</v>
      </c>
      <c r="S15" s="117" t="n">
        <f aca="false">Inputs!$E$21*(1+Inputs!$E$22)^(S$5-1)*1*S9</f>
        <v>52.5</v>
      </c>
      <c r="T15" s="117" t="n">
        <f aca="false">Inputs!$E$21*(1+Inputs!$E$22)^(T$5-1)*1*T9</f>
        <v>52.5</v>
      </c>
      <c r="U15" s="117" t="n">
        <f aca="false">Inputs!$E$21*(1+Inputs!$E$22)^(U$5-1)*1*U9</f>
        <v>52.5</v>
      </c>
      <c r="V15" s="117" t="n">
        <f aca="false">Inputs!$E$21*(1+Inputs!$E$22)^(V$5-1)*1*V9</f>
        <v>52.5</v>
      </c>
      <c r="W15" s="117" t="n">
        <f aca="false">Inputs!$E$21*(1+Inputs!$E$22)^(W$5-1)*1*W9</f>
        <v>52.5</v>
      </c>
      <c r="X15" s="117" t="n">
        <f aca="false">Inputs!$E$21*(1+Inputs!$E$22)^(X$5-1)*1*X9</f>
        <v>52.5</v>
      </c>
      <c r="Y15" s="117" t="n">
        <f aca="false">Inputs!$E$21*(1+Inputs!$E$22)^(Y$5-1)*1*Y9</f>
        <v>52.5</v>
      </c>
      <c r="Z15" s="117" t="n">
        <f aca="false">Inputs!$E$21*(1+Inputs!$E$22)^(Z$5-1)*1*Z9</f>
        <v>52.5</v>
      </c>
      <c r="AA15" s="117" t="n">
        <f aca="false">Inputs!$E$21*(1+Inputs!$E$22)^(AA$5-1)*1*AA9</f>
        <v>55.125</v>
      </c>
      <c r="AB15" s="117" t="n">
        <f aca="false">Inputs!$E$21*(1+Inputs!$E$22)^(AB$5-1)*1*AB9</f>
        <v>55.125</v>
      </c>
      <c r="AC15" s="117" t="n">
        <f aca="false">Inputs!$E$21*(1+Inputs!$E$22)^(AC$5-1)*1*AC9</f>
        <v>55.125</v>
      </c>
      <c r="AD15" s="117" t="n">
        <f aca="false">Inputs!$E$21*(1+Inputs!$E$22)^(AD$5-1)*1*AD9</f>
        <v>55.125</v>
      </c>
      <c r="AE15" s="117" t="n">
        <f aca="false">Inputs!$E$21*(1+Inputs!$E$22)^(AE$5-1)*1*AE9</f>
        <v>55.125</v>
      </c>
      <c r="AF15" s="117" t="n">
        <f aca="false">Inputs!$E$21*(1+Inputs!$E$22)^(AF$5-1)*1*AF9</f>
        <v>55.125</v>
      </c>
      <c r="AG15" s="117" t="n">
        <f aca="false">Inputs!$E$21*(1+Inputs!$E$22)^(AG$5-1)*1*AG9</f>
        <v>55.125</v>
      </c>
      <c r="AH15" s="117" t="n">
        <f aca="false">Inputs!$E$21*(1+Inputs!$E$22)^(AH$5-1)*1*AH9</f>
        <v>55.125</v>
      </c>
      <c r="AI15" s="117" t="n">
        <f aca="false">Inputs!$E$21*(1+Inputs!$E$22)^(AI$5-1)*1*AI9</f>
        <v>55.125</v>
      </c>
      <c r="AJ15" s="117" t="n">
        <f aca="false">Inputs!$E$21*(1+Inputs!$E$22)^(AJ$5-1)*1*AJ9</f>
        <v>55.125</v>
      </c>
      <c r="AK15" s="117" t="n">
        <f aca="false">Inputs!$E$21*(1+Inputs!$E$22)^(AK$5-1)*1*AK9</f>
        <v>55.125</v>
      </c>
      <c r="AL15" s="117" t="n">
        <f aca="false">Inputs!$E$21*(1+Inputs!$E$22)^(AL$5-1)*1*AL9</f>
        <v>55.125</v>
      </c>
    </row>
    <row r="16" customFormat="false" ht="15" hidden="false" customHeight="false" outlineLevel="0" collapsed="false">
      <c r="A16" s="4" t="s">
        <v>399</v>
      </c>
      <c r="C16" s="119" t="n">
        <f aca="false">C14+C15</f>
        <v>43.7976</v>
      </c>
      <c r="D16" s="119" t="n">
        <f aca="false">D14+D15</f>
        <v>49.7454222222222</v>
      </c>
      <c r="E16" s="119" t="n">
        <f aca="false">E14+E15</f>
        <v>62.0655111111111</v>
      </c>
      <c r="F16" s="119" t="n">
        <f aca="false">F14+F15</f>
        <v>68.6938666666667</v>
      </c>
      <c r="G16" s="119" t="n">
        <f aca="false">G14+G15</f>
        <v>75.3222222222222</v>
      </c>
      <c r="H16" s="119" t="n">
        <f aca="false">H14+H15</f>
        <v>81.9505777777778</v>
      </c>
      <c r="I16" s="119" t="n">
        <f aca="false">I14+I15</f>
        <v>88.5789333333333</v>
      </c>
      <c r="J16" s="119" t="n">
        <f aca="false">J14+J15</f>
        <v>95.2072888888889</v>
      </c>
      <c r="K16" s="119" t="n">
        <f aca="false">K14+K15</f>
        <v>101.835644444444</v>
      </c>
      <c r="L16" s="119" t="n">
        <f aca="false">L14+L15</f>
        <v>108.464</v>
      </c>
      <c r="M16" s="119" t="n">
        <f aca="false">M14+M15</f>
        <v>108.464</v>
      </c>
      <c r="N16" s="119" t="n">
        <f aca="false">N14+N15</f>
        <v>97.328</v>
      </c>
      <c r="O16" s="119" t="n">
        <f aca="false">O14+O15</f>
        <v>101.24784</v>
      </c>
      <c r="P16" s="119" t="n">
        <f aca="false">P14+P15</f>
        <v>101.24784</v>
      </c>
      <c r="Q16" s="119" t="n">
        <f aca="false">Q14+Q15</f>
        <v>112.71792</v>
      </c>
      <c r="R16" s="119" t="n">
        <f aca="false">R14+R15</f>
        <v>112.71792</v>
      </c>
      <c r="S16" s="119" t="n">
        <f aca="false">S14+S15</f>
        <v>112.71792</v>
      </c>
      <c r="T16" s="119" t="n">
        <f aca="false">T14+T15</f>
        <v>112.71792</v>
      </c>
      <c r="U16" s="119" t="n">
        <f aca="false">U14+U15</f>
        <v>112.71792</v>
      </c>
      <c r="V16" s="119" t="n">
        <f aca="false">V14+V15</f>
        <v>112.71792</v>
      </c>
      <c r="W16" s="119" t="n">
        <f aca="false">W14+W15</f>
        <v>112.71792</v>
      </c>
      <c r="X16" s="119" t="n">
        <f aca="false">X14+X15</f>
        <v>112.71792</v>
      </c>
      <c r="Y16" s="119" t="n">
        <f aca="false">Y14+Y15</f>
        <v>112.71792</v>
      </c>
      <c r="Z16" s="119" t="n">
        <f aca="false">Z14+Z15</f>
        <v>101.24784</v>
      </c>
      <c r="AA16" s="119" t="n">
        <f aca="false">AA14+AA15</f>
        <v>105.3352752</v>
      </c>
      <c r="AB16" s="119" t="n">
        <f aca="false">AB14+AB15</f>
        <v>105.3352752</v>
      </c>
      <c r="AC16" s="119" t="n">
        <f aca="false">AC14+AC15</f>
        <v>117.1494576</v>
      </c>
      <c r="AD16" s="119" t="n">
        <f aca="false">AD14+AD15</f>
        <v>117.1494576</v>
      </c>
      <c r="AE16" s="119" t="n">
        <f aca="false">AE14+AE15</f>
        <v>117.1494576</v>
      </c>
      <c r="AF16" s="119" t="n">
        <f aca="false">AF14+AF15</f>
        <v>117.1494576</v>
      </c>
      <c r="AG16" s="119" t="n">
        <f aca="false">AG14+AG15</f>
        <v>117.1494576</v>
      </c>
      <c r="AH16" s="119" t="n">
        <f aca="false">AH14+AH15</f>
        <v>117.1494576</v>
      </c>
      <c r="AI16" s="119" t="n">
        <f aca="false">AI14+AI15</f>
        <v>117.1494576</v>
      </c>
      <c r="AJ16" s="119" t="n">
        <f aca="false">AJ14+AJ15</f>
        <v>117.1494576</v>
      </c>
      <c r="AK16" s="119" t="n">
        <f aca="false">AK14+AK15</f>
        <v>117.1494576</v>
      </c>
      <c r="AL16" s="119" t="n">
        <f aca="false">AL14+AL15</f>
        <v>105.3352752</v>
      </c>
    </row>
    <row r="17" customFormat="false" ht="15" hidden="false" customHeight="false" outlineLevel="0" collapsed="false">
      <c r="A17" s="6" t="s">
        <v>400</v>
      </c>
      <c r="C17" s="120" t="n">
        <f aca="false">Inputs!$E$20</f>
        <v>250</v>
      </c>
      <c r="D17" s="117" t="n">
        <f aca="false">C19</f>
        <v>283.7976</v>
      </c>
      <c r="E17" s="117" t="n">
        <f aca="false">D19</f>
        <v>322.191118222222</v>
      </c>
      <c r="F17" s="117" t="n">
        <f aca="false">E19</f>
        <v>371.368984604444</v>
      </c>
      <c r="G17" s="117" t="n">
        <f aca="false">F19</f>
        <v>425.208091886933</v>
      </c>
      <c r="H17" s="117" t="n">
        <f aca="false">G19</f>
        <v>483.521990433678</v>
      </c>
      <c r="I17" s="117" t="n">
        <f aca="false">H19</f>
        <v>546.131688594109</v>
      </c>
      <c r="J17" s="117" t="n">
        <f aca="false">I19</f>
        <v>612.865354383678</v>
      </c>
      <c r="K17" s="117" t="n">
        <f aca="false">J19</f>
        <v>683.55802909722</v>
      </c>
      <c r="L17" s="117" t="n">
        <f aca="false">K19</f>
        <v>758.051352377775</v>
      </c>
      <c r="M17" s="117" t="n">
        <f aca="false">L19</f>
        <v>836.193298282664</v>
      </c>
      <c r="N17" s="117" t="n">
        <f aca="false">M19</f>
        <v>911.209566351358</v>
      </c>
      <c r="O17" s="117" t="n">
        <f aca="false">N19</f>
        <v>972.089183697303</v>
      </c>
      <c r="P17" s="117" t="n">
        <f aca="false">O19</f>
        <v>1034.45345634941</v>
      </c>
      <c r="Q17" s="117" t="n">
        <f aca="false">P19</f>
        <v>1094.32315809543</v>
      </c>
      <c r="R17" s="117" t="n">
        <f aca="false">Q19</f>
        <v>1163.26815177162</v>
      </c>
      <c r="S17" s="117" t="n">
        <f aca="false">R19</f>
        <v>1229.45534570075</v>
      </c>
      <c r="T17" s="117" t="n">
        <f aca="false">S19</f>
        <v>1292.99505187272</v>
      </c>
      <c r="U17" s="117" t="n">
        <f aca="false">T19</f>
        <v>1353.99316979781</v>
      </c>
      <c r="V17" s="117" t="n">
        <f aca="false">U19</f>
        <v>1412.5513630059</v>
      </c>
      <c r="W17" s="117" t="n">
        <f aca="false">V19</f>
        <v>1468.76722848567</v>
      </c>
      <c r="X17" s="117" t="n">
        <f aca="false">W19</f>
        <v>1522.73445934624</v>
      </c>
      <c r="Y17" s="117" t="n">
        <f aca="false">X19</f>
        <v>1574.54300097239</v>
      </c>
      <c r="Z17" s="117" t="n">
        <f aca="false">Y19</f>
        <v>1624.27920093349</v>
      </c>
      <c r="AA17" s="117" t="n">
        <f aca="false">Z19</f>
        <v>1660.55587289615</v>
      </c>
      <c r="AB17" s="117" t="n">
        <f aca="false">AA19</f>
        <v>1699.46891318031</v>
      </c>
      <c r="AC17" s="117" t="n">
        <f aca="false">AB19</f>
        <v>1736.82543185309</v>
      </c>
      <c r="AD17" s="117" t="n">
        <f aca="false">AC19</f>
        <v>1784.50187217897</v>
      </c>
      <c r="AE17" s="117" t="n">
        <f aca="false">AD19</f>
        <v>1830.27125489181</v>
      </c>
      <c r="AF17" s="117" t="n">
        <f aca="false">AE19</f>
        <v>1874.20986229614</v>
      </c>
      <c r="AG17" s="117" t="n">
        <f aca="false">AF19</f>
        <v>1916.39092540429</v>
      </c>
      <c r="AH17" s="117" t="n">
        <f aca="false">AG19</f>
        <v>1956.88474598812</v>
      </c>
      <c r="AI17" s="117" t="n">
        <f aca="false">AH19</f>
        <v>1995.7588137486</v>
      </c>
      <c r="AJ17" s="117" t="n">
        <f aca="false">AI19</f>
        <v>2033.07791879865</v>
      </c>
      <c r="AK17" s="117" t="n">
        <f aca="false">AJ19</f>
        <v>2068.90425964671</v>
      </c>
      <c r="AL17" s="117" t="n">
        <f aca="false">AK19</f>
        <v>2103.29754686084</v>
      </c>
    </row>
    <row r="18" customFormat="false" ht="15" hidden="false" customHeight="false" outlineLevel="0" collapsed="false">
      <c r="A18" s="6" t="s">
        <v>401</v>
      </c>
      <c r="C18" s="117" t="n">
        <f aca="false">C19-C17-C16</f>
        <v>-10</v>
      </c>
      <c r="D18" s="117" t="n">
        <f aca="false">D19-D17-D16</f>
        <v>-11.351904</v>
      </c>
      <c r="E18" s="117" t="n">
        <f aca="false">E19-E17-E16</f>
        <v>-12.8876447288889</v>
      </c>
      <c r="F18" s="117" t="n">
        <f aca="false">F19-F17-F16</f>
        <v>-14.8547593841778</v>
      </c>
      <c r="G18" s="117" t="n">
        <f aca="false">G19-G17-G16</f>
        <v>-17.0083236754773</v>
      </c>
      <c r="H18" s="117" t="n">
        <f aca="false">H19-H17-H16</f>
        <v>-19.3408796173471</v>
      </c>
      <c r="I18" s="117" t="n">
        <f aca="false">I19-I17-I16</f>
        <v>-21.8452675437644</v>
      </c>
      <c r="J18" s="117" t="n">
        <f aca="false">J19-J17-J16</f>
        <v>-24.5146141753471</v>
      </c>
      <c r="K18" s="117" t="n">
        <f aca="false">K19-K17-K16</f>
        <v>-27.3423211638887</v>
      </c>
      <c r="L18" s="117" t="n">
        <f aca="false">L19-L17-L16</f>
        <v>-30.322054095111</v>
      </c>
      <c r="M18" s="117" t="n">
        <f aca="false">M19-M17-M16</f>
        <v>-33.4477319313067</v>
      </c>
      <c r="N18" s="117" t="n">
        <f aca="false">N19-N17-N16</f>
        <v>-36.4483826540543</v>
      </c>
      <c r="O18" s="117" t="n">
        <f aca="false">O19-O17-O16</f>
        <v>-38.883567347892</v>
      </c>
      <c r="P18" s="117" t="n">
        <f aca="false">P19-P17-P16</f>
        <v>-41.3781382539764</v>
      </c>
      <c r="Q18" s="117" t="n">
        <f aca="false">Q19-Q17-Q16</f>
        <v>-43.7729263238175</v>
      </c>
      <c r="R18" s="117" t="n">
        <f aca="false">R19-R17-R16</f>
        <v>-46.5307260708648</v>
      </c>
      <c r="S18" s="117" t="n">
        <f aca="false">S19-S17-S16</f>
        <v>-49.17821382803</v>
      </c>
      <c r="T18" s="117" t="n">
        <f aca="false">T19-T17-T16</f>
        <v>-51.719802074909</v>
      </c>
      <c r="U18" s="117" t="n">
        <f aca="false">U19-U17-U16</f>
        <v>-54.1597267919126</v>
      </c>
      <c r="V18" s="117" t="n">
        <f aca="false">V19-V17-V16</f>
        <v>-56.502054520236</v>
      </c>
      <c r="W18" s="117" t="n">
        <f aca="false">W19-W17-W16</f>
        <v>-58.7506891394266</v>
      </c>
      <c r="X18" s="117" t="n">
        <f aca="false">X19-X17-X16</f>
        <v>-60.9093783738496</v>
      </c>
      <c r="Y18" s="117" t="n">
        <f aca="false">Y19-Y17-Y16</f>
        <v>-62.9817200388956</v>
      </c>
      <c r="Z18" s="117" t="n">
        <f aca="false">Z19-Z17-Z16</f>
        <v>-64.9711680373398</v>
      </c>
      <c r="AA18" s="117" t="n">
        <f aca="false">AA19-AA17-AA16</f>
        <v>-66.4222349158462</v>
      </c>
      <c r="AB18" s="117" t="n">
        <f aca="false">AB19-AB17-AB16</f>
        <v>-67.9787565272124</v>
      </c>
      <c r="AC18" s="117" t="n">
        <f aca="false">AC19-AC17-AC16</f>
        <v>-69.4730172741238</v>
      </c>
      <c r="AD18" s="117" t="n">
        <f aca="false">AD19-AD17-AD16</f>
        <v>-71.3800748871588</v>
      </c>
      <c r="AE18" s="117" t="n">
        <f aca="false">AE19-AE17-AE16</f>
        <v>-73.2108501956725</v>
      </c>
      <c r="AF18" s="117" t="n">
        <f aca="false">AF19-AF17-AF16</f>
        <v>-74.9683944918456</v>
      </c>
      <c r="AG18" s="117" t="n">
        <f aca="false">AG19-AG17-AG16</f>
        <v>-76.6556370161718</v>
      </c>
      <c r="AH18" s="117" t="n">
        <f aca="false">AH19-AH17-AH16</f>
        <v>-78.2753898395249</v>
      </c>
      <c r="AI18" s="117" t="n">
        <f aca="false">AI19-AI17-AI16</f>
        <v>-79.8303525499439</v>
      </c>
      <c r="AJ18" s="117" t="n">
        <f aca="false">AJ19-AJ17-AJ16</f>
        <v>-81.3231167519462</v>
      </c>
      <c r="AK18" s="117" t="n">
        <f aca="false">AK19-AK17-AK16</f>
        <v>-82.7561703858682</v>
      </c>
      <c r="AL18" s="117" t="n">
        <f aca="false">AL19-AL17-AL16</f>
        <v>-84.1319018744338</v>
      </c>
    </row>
    <row r="19" customFormat="false" ht="15" hidden="false" customHeight="false" outlineLevel="0" collapsed="false">
      <c r="A19" s="4" t="s">
        <v>402</v>
      </c>
      <c r="C19" s="119" t="n">
        <f aca="false">C17*(1-Inputs!$E$24)+C16</f>
        <v>283.7976</v>
      </c>
      <c r="D19" s="119" t="n">
        <f aca="false">D17*(1-Inputs!$E$24)+D16</f>
        <v>322.191118222222</v>
      </c>
      <c r="E19" s="119" t="n">
        <f aca="false">E17*(1-Inputs!$E$24)+E16</f>
        <v>371.368984604444</v>
      </c>
      <c r="F19" s="119" t="n">
        <f aca="false">F17*(1-Inputs!$E$24)+F16</f>
        <v>425.208091886933</v>
      </c>
      <c r="G19" s="119" t="n">
        <f aca="false">G17*(1-Inputs!$E$24)+G16</f>
        <v>483.521990433678</v>
      </c>
      <c r="H19" s="119" t="n">
        <f aca="false">H17*(1-Inputs!$E$24)+H16</f>
        <v>546.131688594109</v>
      </c>
      <c r="I19" s="119" t="n">
        <f aca="false">I17*(1-Inputs!$E$24)+I16</f>
        <v>612.865354383678</v>
      </c>
      <c r="J19" s="119" t="n">
        <f aca="false">J17*(1-Inputs!$E$24)+J16</f>
        <v>683.55802909722</v>
      </c>
      <c r="K19" s="119" t="n">
        <f aca="false">K17*(1-Inputs!$E$24)+K16</f>
        <v>758.051352377775</v>
      </c>
      <c r="L19" s="119" t="n">
        <f aca="false">L17*(1-Inputs!$E$24)+L16</f>
        <v>836.193298282664</v>
      </c>
      <c r="M19" s="119" t="n">
        <f aca="false">M17*(1-Inputs!$E$24)+M16</f>
        <v>911.209566351358</v>
      </c>
      <c r="N19" s="119" t="n">
        <f aca="false">N17*(1-Inputs!$E$24)+N16</f>
        <v>972.089183697303</v>
      </c>
      <c r="O19" s="119" t="n">
        <f aca="false">O17*(1-Inputs!$E$24)+O16</f>
        <v>1034.45345634941</v>
      </c>
      <c r="P19" s="119" t="n">
        <f aca="false">P17*(1-Inputs!$E$24)+P16</f>
        <v>1094.32315809543</v>
      </c>
      <c r="Q19" s="119" t="n">
        <f aca="false">Q17*(1-Inputs!$E$24)+Q16</f>
        <v>1163.26815177162</v>
      </c>
      <c r="R19" s="119" t="n">
        <f aca="false">R17*(1-Inputs!$E$24)+R16</f>
        <v>1229.45534570075</v>
      </c>
      <c r="S19" s="119" t="n">
        <f aca="false">S17*(1-Inputs!$E$24)+S16</f>
        <v>1292.99505187272</v>
      </c>
      <c r="T19" s="119" t="n">
        <f aca="false">T17*(1-Inputs!$E$24)+T16</f>
        <v>1353.99316979781</v>
      </c>
      <c r="U19" s="119" t="n">
        <f aca="false">U17*(1-Inputs!$E$24)+U16</f>
        <v>1412.5513630059</v>
      </c>
      <c r="V19" s="119" t="n">
        <f aca="false">V17*(1-Inputs!$E$24)+V16</f>
        <v>1468.76722848567</v>
      </c>
      <c r="W19" s="119" t="n">
        <f aca="false">W17*(1-Inputs!$E$24)+W16</f>
        <v>1522.73445934624</v>
      </c>
      <c r="X19" s="119" t="n">
        <f aca="false">X17*(1-Inputs!$E$24)+X16</f>
        <v>1574.54300097239</v>
      </c>
      <c r="Y19" s="119" t="n">
        <f aca="false">Y17*(1-Inputs!$E$24)+Y16</f>
        <v>1624.27920093349</v>
      </c>
      <c r="Z19" s="119" t="n">
        <f aca="false">Z17*(1-Inputs!$E$24)+Z16</f>
        <v>1660.55587289615</v>
      </c>
      <c r="AA19" s="119" t="n">
        <f aca="false">AA17*(1-Inputs!$E$24)+AA16</f>
        <v>1699.46891318031</v>
      </c>
      <c r="AB19" s="119" t="n">
        <f aca="false">AB17*(1-Inputs!$E$24)+AB16</f>
        <v>1736.82543185309</v>
      </c>
      <c r="AC19" s="119" t="n">
        <f aca="false">AC17*(1-Inputs!$E$24)+AC16</f>
        <v>1784.50187217897</v>
      </c>
      <c r="AD19" s="119" t="n">
        <f aca="false">AD17*(1-Inputs!$E$24)+AD16</f>
        <v>1830.27125489181</v>
      </c>
      <c r="AE19" s="119" t="n">
        <f aca="false">AE17*(1-Inputs!$E$24)+AE16</f>
        <v>1874.20986229614</v>
      </c>
      <c r="AF19" s="119" t="n">
        <f aca="false">AF17*(1-Inputs!$E$24)+AF16</f>
        <v>1916.39092540429</v>
      </c>
      <c r="AG19" s="119" t="n">
        <f aca="false">AG17*(1-Inputs!$E$24)+AG16</f>
        <v>1956.88474598812</v>
      </c>
      <c r="AH19" s="119" t="n">
        <f aca="false">AH17*(1-Inputs!$E$24)+AH16</f>
        <v>1995.7588137486</v>
      </c>
      <c r="AI19" s="119" t="n">
        <f aca="false">AI17*(1-Inputs!$E$24)+AI16</f>
        <v>2033.07791879865</v>
      </c>
      <c r="AJ19" s="119" t="n">
        <f aca="false">AJ17*(1-Inputs!$E$24)+AJ16</f>
        <v>2068.90425964671</v>
      </c>
      <c r="AK19" s="119" t="n">
        <f aca="false">AK17*(1-Inputs!$E$24)+AK16</f>
        <v>2103.29754686084</v>
      </c>
      <c r="AL19" s="119" t="n">
        <f aca="false">AL17*(1-Inputs!$E$24)+AL16</f>
        <v>2124.50092018641</v>
      </c>
    </row>
    <row r="20" customFormat="false" ht="15" hidden="false" customHeight="false" outlineLevel="0" collapsed="false">
      <c r="A20" s="6" t="s">
        <v>403</v>
      </c>
      <c r="C20" s="117" t="n">
        <f aca="false">(C17+C19)/2</f>
        <v>266.8988</v>
      </c>
      <c r="D20" s="117" t="n">
        <f aca="false">(D17+D19)/2</f>
        <v>302.994359111111</v>
      </c>
      <c r="E20" s="117" t="n">
        <f aca="false">(E17+E19)/2</f>
        <v>346.780051413333</v>
      </c>
      <c r="F20" s="117" t="n">
        <f aca="false">(F17+F19)/2</f>
        <v>398.288538245689</v>
      </c>
      <c r="G20" s="117" t="n">
        <f aca="false">(G17+G19)/2</f>
        <v>454.365041160306</v>
      </c>
      <c r="H20" s="117" t="n">
        <f aca="false">(H17+H19)/2</f>
        <v>514.826839513893</v>
      </c>
      <c r="I20" s="117" t="n">
        <f aca="false">(I17+I19)/2</f>
        <v>579.498521488893</v>
      </c>
      <c r="J20" s="117" t="n">
        <f aca="false">(J17+J19)/2</f>
        <v>648.211691740449</v>
      </c>
      <c r="K20" s="117" t="n">
        <f aca="false">(K17+K19)/2</f>
        <v>720.804690737497</v>
      </c>
      <c r="L20" s="117" t="n">
        <f aca="false">(L17+L19)/2</f>
        <v>797.12232533022</v>
      </c>
      <c r="M20" s="117" t="n">
        <f aca="false">(M17+M19)/2</f>
        <v>873.701432317011</v>
      </c>
      <c r="N20" s="117" t="n">
        <f aca="false">(N17+N19)/2</f>
        <v>941.64937502433</v>
      </c>
      <c r="O20" s="117" t="n">
        <f aca="false">(O17+O19)/2</f>
        <v>1003.27132002336</v>
      </c>
      <c r="P20" s="117" t="n">
        <f aca="false">(P17+P19)/2</f>
        <v>1064.38830722242</v>
      </c>
      <c r="Q20" s="117" t="n">
        <f aca="false">(Q17+Q19)/2</f>
        <v>1128.79565493353</v>
      </c>
      <c r="R20" s="117" t="n">
        <f aca="false">(R17+R19)/2</f>
        <v>1196.36174873618</v>
      </c>
      <c r="S20" s="117" t="n">
        <f aca="false">(S17+S19)/2</f>
        <v>1261.22519878674</v>
      </c>
      <c r="T20" s="117" t="n">
        <f aca="false">(T17+T19)/2</f>
        <v>1323.49411083527</v>
      </c>
      <c r="U20" s="117" t="n">
        <f aca="false">(U17+U19)/2</f>
        <v>1383.27226640186</v>
      </c>
      <c r="V20" s="117" t="n">
        <f aca="false">(V17+V19)/2</f>
        <v>1440.65929574578</v>
      </c>
      <c r="W20" s="117" t="n">
        <f aca="false">(W17+W19)/2</f>
        <v>1495.75084391595</v>
      </c>
      <c r="X20" s="117" t="n">
        <f aca="false">(X17+X19)/2</f>
        <v>1548.63873015931</v>
      </c>
      <c r="Y20" s="117" t="n">
        <f aca="false">(Y17+Y19)/2</f>
        <v>1599.41110095294</v>
      </c>
      <c r="Z20" s="117" t="n">
        <f aca="false">(Z17+Z19)/2</f>
        <v>1642.41753691482</v>
      </c>
      <c r="AA20" s="117" t="n">
        <f aca="false">(AA17+AA19)/2</f>
        <v>1680.01239303823</v>
      </c>
      <c r="AB20" s="117" t="n">
        <f aca="false">(AB17+AB19)/2</f>
        <v>1718.1471725167</v>
      </c>
      <c r="AC20" s="117" t="n">
        <f aca="false">(AC17+AC19)/2</f>
        <v>1760.66365201603</v>
      </c>
      <c r="AD20" s="117" t="n">
        <f aca="false">(AD17+AD19)/2</f>
        <v>1807.38656353539</v>
      </c>
      <c r="AE20" s="117" t="n">
        <f aca="false">(AE17+AE19)/2</f>
        <v>1852.24055859398</v>
      </c>
      <c r="AF20" s="117" t="n">
        <f aca="false">(AF17+AF19)/2</f>
        <v>1895.30039385022</v>
      </c>
      <c r="AG20" s="117" t="n">
        <f aca="false">(AG17+AG19)/2</f>
        <v>1936.63783569621</v>
      </c>
      <c r="AH20" s="117" t="n">
        <f aca="false">(AH17+AH19)/2</f>
        <v>1976.32177986836</v>
      </c>
      <c r="AI20" s="117" t="n">
        <f aca="false">(AI17+AI19)/2</f>
        <v>2014.41836627363</v>
      </c>
      <c r="AJ20" s="117" t="n">
        <f aca="false">(AJ17+AJ19)/2</f>
        <v>2050.99108922268</v>
      </c>
      <c r="AK20" s="117" t="n">
        <f aca="false">(AK17+AK19)/2</f>
        <v>2086.10090325377</v>
      </c>
      <c r="AL20" s="117" t="n">
        <f aca="false">(AL17+AL19)/2</f>
        <v>2113.89923352362</v>
      </c>
    </row>
    <row r="22" customFormat="false" ht="15.75" hidden="false" customHeight="true" outlineLevel="0" collapsed="false">
      <c r="A22" s="7" t="s">
        <v>404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6" t="s">
        <v>405</v>
      </c>
      <c r="C23" s="118" t="n">
        <f aca="false">C20*Inputs!$E$25*C10*1</f>
        <v>794.02393</v>
      </c>
      <c r="D23" s="118" t="n">
        <f aca="false">D20*Inputs!$E$25*D10*1</f>
        <v>901.408218355555</v>
      </c>
      <c r="E23" s="118" t="n">
        <f aca="false">E20*Inputs!$E$25*E10*1</f>
        <v>1274.416688944</v>
      </c>
      <c r="F23" s="118" t="n">
        <f aca="false">F20*Inputs!$E$25*F10*1</f>
        <v>1463.71037805291</v>
      </c>
      <c r="G23" s="118" t="n">
        <f aca="false">G20*Inputs!$E$25*G10*1</f>
        <v>1669.79152626412</v>
      </c>
      <c r="H23" s="118" t="n">
        <f aca="false">H20*Inputs!$E$25*H10*1</f>
        <v>1891.98863521356</v>
      </c>
      <c r="I23" s="118" t="n">
        <f aca="false">I20*Inputs!$E$25*I10*1</f>
        <v>2129.65706647168</v>
      </c>
      <c r="J23" s="118" t="n">
        <f aca="false">J20*Inputs!$E$25*J10*1</f>
        <v>2382.17796714615</v>
      </c>
      <c r="K23" s="118" t="n">
        <f aca="false">K20*Inputs!$E$25*K10*1</f>
        <v>2648.9572384603</v>
      </c>
      <c r="L23" s="118" t="n">
        <f aca="false">L20*Inputs!$E$25*L10*1</f>
        <v>2929.42454558856</v>
      </c>
      <c r="M23" s="118" t="n">
        <f aca="false">M20*Inputs!$E$25*M10*1</f>
        <v>3210.85276376502</v>
      </c>
      <c r="N23" s="118" t="n">
        <f aca="false">N20*Inputs!$E$25*N10*1</f>
        <v>2801.40689069738</v>
      </c>
      <c r="O23" s="118" t="n">
        <f aca="false">O20*Inputs!$E$25*O10*1</f>
        <v>2984.73217706949</v>
      </c>
      <c r="P23" s="118" t="n">
        <f aca="false">P20*Inputs!$E$25*P10*1</f>
        <v>3166.55521398671</v>
      </c>
      <c r="Q23" s="118" t="n">
        <f aca="false">Q20*Inputs!$E$25*Q10*1</f>
        <v>4148.32403188071</v>
      </c>
      <c r="R23" s="118" t="n">
        <f aca="false">R20*Inputs!$E$25*R10*1</f>
        <v>4396.62942660548</v>
      </c>
      <c r="S23" s="118" t="n">
        <f aca="false">S20*Inputs!$E$25*S10*1</f>
        <v>4635.00260554126</v>
      </c>
      <c r="T23" s="118" t="n">
        <f aca="false">T20*Inputs!$E$25*T10*1</f>
        <v>4863.84085731961</v>
      </c>
      <c r="U23" s="118" t="n">
        <f aca="false">U20*Inputs!$E$25*U10*1</f>
        <v>5083.52557902683</v>
      </c>
      <c r="V23" s="118" t="n">
        <f aca="false">V20*Inputs!$E$25*V10*1</f>
        <v>5294.42291186575</v>
      </c>
      <c r="W23" s="118" t="n">
        <f aca="false">W20*Inputs!$E$25*W10*1</f>
        <v>5496.88435139112</v>
      </c>
      <c r="X23" s="118" t="n">
        <f aca="false">X20*Inputs!$E$25*X10*1</f>
        <v>5691.24733333548</v>
      </c>
      <c r="Y23" s="118" t="n">
        <f aca="false">Y20*Inputs!$E$25*Y10*1</f>
        <v>5877.83579600206</v>
      </c>
      <c r="Z23" s="118" t="n">
        <f aca="false">Z20*Inputs!$E$25*Z10*1</f>
        <v>4886.1921723216</v>
      </c>
      <c r="AA23" s="118" t="n">
        <f aca="false">AA20*Inputs!$E$25*AA10*1</f>
        <v>4998.03686928874</v>
      </c>
      <c r="AB23" s="118" t="n">
        <f aca="false">AB20*Inputs!$E$25*AB10*1</f>
        <v>5111.48783823719</v>
      </c>
      <c r="AC23" s="118" t="n">
        <f aca="false">AC20*Inputs!$E$25*AC10*1</f>
        <v>6470.43892115892</v>
      </c>
      <c r="AD23" s="118" t="n">
        <f aca="false">AD20*Inputs!$E$25*AD10*1</f>
        <v>6642.14562099257</v>
      </c>
      <c r="AE23" s="118" t="n">
        <f aca="false">AE20*Inputs!$E$25*AE10*1</f>
        <v>6806.98405283286</v>
      </c>
      <c r="AF23" s="118" t="n">
        <f aca="false">AF20*Inputs!$E$25*AF10*1</f>
        <v>6965.22894739955</v>
      </c>
      <c r="AG23" s="118" t="n">
        <f aca="false">AG20*Inputs!$E$25*AG10*1</f>
        <v>7117.14404618357</v>
      </c>
      <c r="AH23" s="118" t="n">
        <f aca="false">AH20*Inputs!$E$25*AH10*1</f>
        <v>7262.98254101622</v>
      </c>
      <c r="AI23" s="118" t="n">
        <f aca="false">AI20*Inputs!$E$25*AI10*1</f>
        <v>7402.98749605557</v>
      </c>
      <c r="AJ23" s="118" t="n">
        <f aca="false">AJ20*Inputs!$E$25*AJ10*1</f>
        <v>7537.39225289335</v>
      </c>
      <c r="AK23" s="118" t="n">
        <f aca="false">AK20*Inputs!$E$25*AK10*1</f>
        <v>7666.42081945762</v>
      </c>
      <c r="AL23" s="118" t="n">
        <f aca="false">AL20*Inputs!$E$25*AL10*1</f>
        <v>6288.85021973278</v>
      </c>
    </row>
    <row r="24" customFormat="false" ht="15" hidden="false" customHeight="false" outlineLevel="0" collapsed="false">
      <c r="A24" s="6" t="s">
        <v>406</v>
      </c>
      <c r="C24" s="118" t="n">
        <f aca="false">Inputs!$E$15*Inputs!$E$16*Inputs!$E$17*Inputs!$E$9*1</f>
        <v>24563</v>
      </c>
      <c r="D24" s="118" t="n">
        <f aca="false">Inputs!$E$15*Inputs!$E$16*Inputs!$E$17*Inputs!$E$9*1</f>
        <v>24563</v>
      </c>
      <c r="E24" s="118" t="n">
        <f aca="false">Inputs!$E$15*Inputs!$E$16*Inputs!$E$17*Inputs!$E$9*1</f>
        <v>24563</v>
      </c>
      <c r="F24" s="118" t="n">
        <f aca="false">Inputs!$E$15*Inputs!$E$16*Inputs!$E$17*Inputs!$E$9*1</f>
        <v>24563</v>
      </c>
      <c r="G24" s="118" t="n">
        <f aca="false">Inputs!$E$15*Inputs!$E$16*Inputs!$E$17*Inputs!$E$9*1</f>
        <v>24563</v>
      </c>
      <c r="H24" s="118" t="n">
        <f aca="false">Inputs!$E$15*Inputs!$E$16*Inputs!$E$17*Inputs!$E$9*1</f>
        <v>24563</v>
      </c>
      <c r="I24" s="118" t="n">
        <f aca="false">Inputs!$E$15*Inputs!$E$16*Inputs!$E$17*Inputs!$E$9*1</f>
        <v>24563</v>
      </c>
      <c r="J24" s="118" t="n">
        <f aca="false">Inputs!$E$15*Inputs!$E$16*Inputs!$E$17*Inputs!$E$9*1</f>
        <v>24563</v>
      </c>
      <c r="K24" s="118" t="n">
        <f aca="false">Inputs!$E$15*Inputs!$E$16*Inputs!$E$17*Inputs!$E$9*1</f>
        <v>24563</v>
      </c>
      <c r="L24" s="118" t="n">
        <f aca="false">Inputs!$E$15*Inputs!$E$16*Inputs!$E$17*Inputs!$E$9*1</f>
        <v>24563</v>
      </c>
      <c r="M24" s="118" t="n">
        <f aca="false">Inputs!$E$15*Inputs!$E$16*Inputs!$E$17*Inputs!$E$9*1</f>
        <v>24563</v>
      </c>
      <c r="N24" s="118" t="n">
        <f aca="false">Inputs!$E$15*Inputs!$E$16*Inputs!$E$17*Inputs!$E$9*1</f>
        <v>24563</v>
      </c>
      <c r="O24" s="118" t="n">
        <f aca="false">Inputs!$E$15*Inputs!$E$16*Inputs!$E$17*Inputs!$E$9*1</f>
        <v>24563</v>
      </c>
      <c r="P24" s="118" t="n">
        <f aca="false">Inputs!$E$15*Inputs!$E$16*Inputs!$E$17*Inputs!$E$9*1</f>
        <v>24563</v>
      </c>
      <c r="Q24" s="118" t="n">
        <f aca="false">Inputs!$E$15*Inputs!$E$16*Inputs!$E$17*Inputs!$E$9*1</f>
        <v>24563</v>
      </c>
      <c r="R24" s="118" t="n">
        <f aca="false">Inputs!$E$15*Inputs!$E$16*Inputs!$E$17*Inputs!$E$9*1</f>
        <v>24563</v>
      </c>
      <c r="S24" s="118" t="n">
        <f aca="false">Inputs!$E$15*Inputs!$E$16*Inputs!$E$17*Inputs!$E$9*1</f>
        <v>24563</v>
      </c>
      <c r="T24" s="118" t="n">
        <f aca="false">Inputs!$E$15*Inputs!$E$16*Inputs!$E$17*Inputs!$E$9*1</f>
        <v>24563</v>
      </c>
      <c r="U24" s="118" t="n">
        <f aca="false">Inputs!$E$15*Inputs!$E$16*Inputs!$E$17*Inputs!$E$9*1</f>
        <v>24563</v>
      </c>
      <c r="V24" s="118" t="n">
        <f aca="false">Inputs!$E$15*Inputs!$E$16*Inputs!$E$17*Inputs!$E$9*1</f>
        <v>24563</v>
      </c>
      <c r="W24" s="118" t="n">
        <f aca="false">Inputs!$E$15*Inputs!$E$16*Inputs!$E$17*Inputs!$E$9*1</f>
        <v>24563</v>
      </c>
      <c r="X24" s="118" t="n">
        <f aca="false">Inputs!$E$15*Inputs!$E$16*Inputs!$E$17*Inputs!$E$9*1</f>
        <v>24563</v>
      </c>
      <c r="Y24" s="118" t="n">
        <f aca="false">Inputs!$E$15*Inputs!$E$16*Inputs!$E$17*Inputs!$E$9*1</f>
        <v>24563</v>
      </c>
      <c r="Z24" s="118" t="n">
        <f aca="false">Inputs!$E$15*Inputs!$E$16*Inputs!$E$17*Inputs!$E$9*1</f>
        <v>24563</v>
      </c>
      <c r="AA24" s="118" t="n">
        <f aca="false">Inputs!$E$15*Inputs!$E$16*Inputs!$E$17*Inputs!$E$9*1</f>
        <v>24563</v>
      </c>
      <c r="AB24" s="118" t="n">
        <f aca="false">Inputs!$E$15*Inputs!$E$16*Inputs!$E$17*Inputs!$E$9*1</f>
        <v>24563</v>
      </c>
      <c r="AC24" s="118" t="n">
        <f aca="false">Inputs!$E$15*Inputs!$E$16*Inputs!$E$17*Inputs!$E$9*1</f>
        <v>24563</v>
      </c>
      <c r="AD24" s="118" t="n">
        <f aca="false">Inputs!$E$15*Inputs!$E$16*Inputs!$E$17*Inputs!$E$9*1</f>
        <v>24563</v>
      </c>
      <c r="AE24" s="118" t="n">
        <f aca="false">Inputs!$E$15*Inputs!$E$16*Inputs!$E$17*Inputs!$E$9*1</f>
        <v>24563</v>
      </c>
      <c r="AF24" s="118" t="n">
        <f aca="false">Inputs!$E$15*Inputs!$E$16*Inputs!$E$17*Inputs!$E$9*1</f>
        <v>24563</v>
      </c>
      <c r="AG24" s="118" t="n">
        <f aca="false">Inputs!$E$15*Inputs!$E$16*Inputs!$E$17*Inputs!$E$9*1</f>
        <v>24563</v>
      </c>
      <c r="AH24" s="118" t="n">
        <f aca="false">Inputs!$E$15*Inputs!$E$16*Inputs!$E$17*Inputs!$E$9*1</f>
        <v>24563</v>
      </c>
      <c r="AI24" s="118" t="n">
        <f aca="false">Inputs!$E$15*Inputs!$E$16*Inputs!$E$17*Inputs!$E$9*1</f>
        <v>24563</v>
      </c>
      <c r="AJ24" s="118" t="n">
        <f aca="false">Inputs!$E$15*Inputs!$E$16*Inputs!$E$17*Inputs!$E$9*1</f>
        <v>24563</v>
      </c>
      <c r="AK24" s="118" t="n">
        <f aca="false">Inputs!$E$15*Inputs!$E$16*Inputs!$E$17*Inputs!$E$9*1</f>
        <v>24563</v>
      </c>
      <c r="AL24" s="118" t="n">
        <f aca="false">Inputs!$E$15*Inputs!$E$16*Inputs!$E$17*Inputs!$E$9*1</f>
        <v>24563</v>
      </c>
    </row>
    <row r="25" customFormat="false" ht="15" hidden="false" customHeight="false" outlineLevel="0" collapsed="false">
      <c r="A25" s="39" t="s">
        <v>407</v>
      </c>
      <c r="C25" s="76" t="n">
        <f aca="false">MIN(1,C24/MAX(1,C11+C23))</f>
        <v>1</v>
      </c>
      <c r="D25" s="76" t="n">
        <f aca="false">MIN(1,D24/MAX(1,D11+D23))</f>
        <v>1</v>
      </c>
      <c r="E25" s="76" t="n">
        <f aca="false">MIN(1,E24/MAX(1,E11+E23))</f>
        <v>1</v>
      </c>
      <c r="F25" s="76" t="n">
        <f aca="false">MIN(1,F24/MAX(1,F11+F23))</f>
        <v>1</v>
      </c>
      <c r="G25" s="76" t="n">
        <f aca="false">MIN(1,G24/MAX(1,G11+G23))</f>
        <v>1</v>
      </c>
      <c r="H25" s="76" t="n">
        <f aca="false">MIN(1,H24/MAX(1,H11+H23))</f>
        <v>1</v>
      </c>
      <c r="I25" s="76" t="n">
        <f aca="false">MIN(1,I24/MAX(1,I11+I23))</f>
        <v>1</v>
      </c>
      <c r="J25" s="76" t="n">
        <f aca="false">MIN(1,J24/MAX(1,J11+J23))</f>
        <v>1</v>
      </c>
      <c r="K25" s="76" t="n">
        <f aca="false">MIN(1,K24/MAX(1,K11+K23))</f>
        <v>1</v>
      </c>
      <c r="L25" s="76" t="n">
        <f aca="false">MIN(1,L24/MAX(1,L11+L23))</f>
        <v>1</v>
      </c>
      <c r="M25" s="76" t="n">
        <f aca="false">MIN(1,M24/MAX(1,M11+M23))</f>
        <v>1</v>
      </c>
      <c r="N25" s="76" t="n">
        <f aca="false">MIN(1,N24/MAX(1,N11+N23))</f>
        <v>1</v>
      </c>
      <c r="O25" s="76" t="n">
        <f aca="false">MIN(1,O24/MAX(1,O11+O23))</f>
        <v>1</v>
      </c>
      <c r="P25" s="76" t="n">
        <f aca="false">MIN(1,P24/MAX(1,P11+P23))</f>
        <v>1</v>
      </c>
      <c r="Q25" s="76" t="n">
        <f aca="false">MIN(1,Q24/MAX(1,Q11+Q23))</f>
        <v>1</v>
      </c>
      <c r="R25" s="76" t="n">
        <f aca="false">MIN(1,R24/MAX(1,R11+R23))</f>
        <v>1</v>
      </c>
      <c r="S25" s="76" t="n">
        <f aca="false">MIN(1,S24/MAX(1,S11+S23))</f>
        <v>1</v>
      </c>
      <c r="T25" s="76" t="n">
        <f aca="false">MIN(1,T24/MAX(1,T11+T23))</f>
        <v>1</v>
      </c>
      <c r="U25" s="76" t="n">
        <f aca="false">MIN(1,U24/MAX(1,U11+U23))</f>
        <v>1</v>
      </c>
      <c r="V25" s="76" t="n">
        <f aca="false">MIN(1,V24/MAX(1,V11+V23))</f>
        <v>1</v>
      </c>
      <c r="W25" s="76" t="n">
        <f aca="false">MIN(1,W24/MAX(1,W11+W23))</f>
        <v>1</v>
      </c>
      <c r="X25" s="76" t="n">
        <f aca="false">MIN(1,X24/MAX(1,X11+X23))</f>
        <v>1</v>
      </c>
      <c r="Y25" s="76" t="n">
        <f aca="false">MIN(1,Y24/MAX(1,Y11+Y23))</f>
        <v>1</v>
      </c>
      <c r="Z25" s="76" t="n">
        <f aca="false">MIN(1,Z24/MAX(1,Z11+Z23))</f>
        <v>1</v>
      </c>
      <c r="AA25" s="76" t="n">
        <f aca="false">MIN(1,AA24/MAX(1,AA11+AA23))</f>
        <v>1</v>
      </c>
      <c r="AB25" s="76" t="n">
        <f aca="false">MIN(1,AB24/MAX(1,AB11+AB23))</f>
        <v>1</v>
      </c>
      <c r="AC25" s="76" t="n">
        <f aca="false">MIN(1,AC24/MAX(1,AC11+AC23))</f>
        <v>1</v>
      </c>
      <c r="AD25" s="76" t="n">
        <f aca="false">MIN(1,AD24/MAX(1,AD11+AD23))</f>
        <v>1</v>
      </c>
      <c r="AE25" s="76" t="n">
        <f aca="false">MIN(1,AE24/MAX(1,AE11+AE23))</f>
        <v>1</v>
      </c>
      <c r="AF25" s="76" t="n">
        <f aca="false">MIN(1,AF24/MAX(1,AF11+AF23))</f>
        <v>1</v>
      </c>
      <c r="AG25" s="76" t="n">
        <f aca="false">MIN(1,AG24/MAX(1,AG11+AG23))</f>
        <v>1</v>
      </c>
      <c r="AH25" s="76" t="n">
        <f aca="false">MIN(1,AH24/MAX(1,AH11+AH23))</f>
        <v>1</v>
      </c>
      <c r="AI25" s="76" t="n">
        <f aca="false">MIN(1,AI24/MAX(1,AI11+AI23))</f>
        <v>1</v>
      </c>
      <c r="AJ25" s="76" t="n">
        <f aca="false">MIN(1,AJ24/MAX(1,AJ11+AJ23))</f>
        <v>1</v>
      </c>
      <c r="AK25" s="76" t="n">
        <f aca="false">MIN(1,AK24/MAX(1,AK11+AK23))</f>
        <v>1</v>
      </c>
      <c r="AL25" s="76" t="n">
        <f aca="false">MIN(1,AL24/MAX(1,AL11+AL23))</f>
        <v>1</v>
      </c>
    </row>
    <row r="26" customFormat="false" ht="15" hidden="false" customHeight="false" outlineLevel="0" collapsed="false">
      <c r="A26" s="6" t="s">
        <v>236</v>
      </c>
      <c r="C26" s="118" t="n">
        <f aca="false">C11*C25</f>
        <v>2662.2</v>
      </c>
      <c r="D26" s="118" t="n">
        <f aca="false">D11*D25</f>
        <v>3023.73333333333</v>
      </c>
      <c r="E26" s="118" t="n">
        <f aca="false">E11*E25</f>
        <v>4181.8</v>
      </c>
      <c r="F26" s="118" t="n">
        <f aca="false">F11*F25</f>
        <v>4628.4</v>
      </c>
      <c r="G26" s="118" t="n">
        <f aca="false">G11*G25</f>
        <v>5075</v>
      </c>
      <c r="H26" s="118" t="n">
        <f aca="false">H11*H25</f>
        <v>5521.6</v>
      </c>
      <c r="I26" s="118" t="n">
        <f aca="false">I11*I25</f>
        <v>5968.2</v>
      </c>
      <c r="J26" s="118" t="n">
        <f aca="false">J11*J25</f>
        <v>6414.8</v>
      </c>
      <c r="K26" s="118" t="n">
        <f aca="false">K11*K25</f>
        <v>6861.4</v>
      </c>
      <c r="L26" s="118" t="n">
        <f aca="false">L11*L25</f>
        <v>7308</v>
      </c>
      <c r="M26" s="118" t="n">
        <f aca="false">M11*M25</f>
        <v>7308</v>
      </c>
      <c r="N26" s="118" t="n">
        <f aca="false">N11*N25</f>
        <v>5916</v>
      </c>
      <c r="O26" s="118" t="n">
        <f aca="false">O11*O25</f>
        <v>6093.48</v>
      </c>
      <c r="P26" s="118" t="n">
        <f aca="false">P11*P25</f>
        <v>6093.48</v>
      </c>
      <c r="Q26" s="118" t="n">
        <f aca="false">Q11*Q25</f>
        <v>7527.24</v>
      </c>
      <c r="R26" s="118" t="n">
        <f aca="false">R11*R25</f>
        <v>7527.24</v>
      </c>
      <c r="S26" s="118" t="n">
        <f aca="false">S11*S25</f>
        <v>7527.24</v>
      </c>
      <c r="T26" s="118" t="n">
        <f aca="false">T11*T25</f>
        <v>7527.24</v>
      </c>
      <c r="U26" s="118" t="n">
        <f aca="false">U11*U25</f>
        <v>7527.24</v>
      </c>
      <c r="V26" s="118" t="n">
        <f aca="false">V11*V25</f>
        <v>7527.24</v>
      </c>
      <c r="W26" s="118" t="n">
        <f aca="false">W11*W25</f>
        <v>7527.24</v>
      </c>
      <c r="X26" s="118" t="n">
        <f aca="false">X11*X25</f>
        <v>7527.24</v>
      </c>
      <c r="Y26" s="118" t="n">
        <f aca="false">Y11*Y25</f>
        <v>7527.24</v>
      </c>
      <c r="Z26" s="118" t="n">
        <f aca="false">Z11*Z25</f>
        <v>6093.48</v>
      </c>
      <c r="AA26" s="118" t="n">
        <f aca="false">AA11*AA25</f>
        <v>6276.2844</v>
      </c>
      <c r="AB26" s="118" t="n">
        <f aca="false">AB11*AB25</f>
        <v>6276.2844</v>
      </c>
      <c r="AC26" s="118" t="n">
        <f aca="false">AC11*AC25</f>
        <v>7753.0572</v>
      </c>
      <c r="AD26" s="118" t="n">
        <f aca="false">AD11*AD25</f>
        <v>7753.0572</v>
      </c>
      <c r="AE26" s="118" t="n">
        <f aca="false">AE11*AE25</f>
        <v>7753.0572</v>
      </c>
      <c r="AF26" s="118" t="n">
        <f aca="false">AF11*AF25</f>
        <v>7753.0572</v>
      </c>
      <c r="AG26" s="118" t="n">
        <f aca="false">AG11*AG25</f>
        <v>7753.0572</v>
      </c>
      <c r="AH26" s="118" t="n">
        <f aca="false">AH11*AH25</f>
        <v>7753.0572</v>
      </c>
      <c r="AI26" s="118" t="n">
        <f aca="false">AI11*AI25</f>
        <v>7753.0572</v>
      </c>
      <c r="AJ26" s="118" t="n">
        <f aca="false">AJ11*AJ25</f>
        <v>7753.0572</v>
      </c>
      <c r="AK26" s="118" t="n">
        <f aca="false">AK11*AK25</f>
        <v>7753.0572</v>
      </c>
      <c r="AL26" s="118" t="n">
        <f aca="false">AL11*AL25</f>
        <v>6276.2844</v>
      </c>
    </row>
    <row r="27" customFormat="false" ht="15" hidden="false" customHeight="false" outlineLevel="0" collapsed="false">
      <c r="A27" s="6" t="s">
        <v>237</v>
      </c>
      <c r="C27" s="118" t="n">
        <f aca="false">C23*C25</f>
        <v>794.02393</v>
      </c>
      <c r="D27" s="118" t="n">
        <f aca="false">D23*D25</f>
        <v>901.408218355555</v>
      </c>
      <c r="E27" s="118" t="n">
        <f aca="false">E23*E25</f>
        <v>1274.416688944</v>
      </c>
      <c r="F27" s="118" t="n">
        <f aca="false">F23*F25</f>
        <v>1463.71037805291</v>
      </c>
      <c r="G27" s="118" t="n">
        <f aca="false">G23*G25</f>
        <v>1669.79152626412</v>
      </c>
      <c r="H27" s="118" t="n">
        <f aca="false">H23*H25</f>
        <v>1891.98863521356</v>
      </c>
      <c r="I27" s="118" t="n">
        <f aca="false">I23*I25</f>
        <v>2129.65706647168</v>
      </c>
      <c r="J27" s="118" t="n">
        <f aca="false">J23*J25</f>
        <v>2382.17796714615</v>
      </c>
      <c r="K27" s="118" t="n">
        <f aca="false">K23*K25</f>
        <v>2648.9572384603</v>
      </c>
      <c r="L27" s="118" t="n">
        <f aca="false">L23*L25</f>
        <v>2929.42454558856</v>
      </c>
      <c r="M27" s="118" t="n">
        <f aca="false">M23*M25</f>
        <v>3210.85276376502</v>
      </c>
      <c r="N27" s="118" t="n">
        <f aca="false">N23*N25</f>
        <v>2801.40689069738</v>
      </c>
      <c r="O27" s="118" t="n">
        <f aca="false">O23*O25</f>
        <v>2984.73217706949</v>
      </c>
      <c r="P27" s="118" t="n">
        <f aca="false">P23*P25</f>
        <v>3166.55521398671</v>
      </c>
      <c r="Q27" s="118" t="n">
        <f aca="false">Q23*Q25</f>
        <v>4148.32403188071</v>
      </c>
      <c r="R27" s="118" t="n">
        <f aca="false">R23*R25</f>
        <v>4396.62942660548</v>
      </c>
      <c r="S27" s="118" t="n">
        <f aca="false">S23*S25</f>
        <v>4635.00260554126</v>
      </c>
      <c r="T27" s="118" t="n">
        <f aca="false">T23*T25</f>
        <v>4863.84085731961</v>
      </c>
      <c r="U27" s="118" t="n">
        <f aca="false">U23*U25</f>
        <v>5083.52557902683</v>
      </c>
      <c r="V27" s="118" t="n">
        <f aca="false">V23*V25</f>
        <v>5294.42291186575</v>
      </c>
      <c r="W27" s="118" t="n">
        <f aca="false">W23*W25</f>
        <v>5496.88435139112</v>
      </c>
      <c r="X27" s="118" t="n">
        <f aca="false">X23*X25</f>
        <v>5691.24733333548</v>
      </c>
      <c r="Y27" s="118" t="n">
        <f aca="false">Y23*Y25</f>
        <v>5877.83579600206</v>
      </c>
      <c r="Z27" s="118" t="n">
        <f aca="false">Z23*Z25</f>
        <v>4886.1921723216</v>
      </c>
      <c r="AA27" s="118" t="n">
        <f aca="false">AA23*AA25</f>
        <v>4998.03686928874</v>
      </c>
      <c r="AB27" s="118" t="n">
        <f aca="false">AB23*AB25</f>
        <v>5111.48783823719</v>
      </c>
      <c r="AC27" s="118" t="n">
        <f aca="false">AC23*AC25</f>
        <v>6470.43892115892</v>
      </c>
      <c r="AD27" s="118" t="n">
        <f aca="false">AD23*AD25</f>
        <v>6642.14562099257</v>
      </c>
      <c r="AE27" s="118" t="n">
        <f aca="false">AE23*AE25</f>
        <v>6806.98405283286</v>
      </c>
      <c r="AF27" s="118" t="n">
        <f aca="false">AF23*AF25</f>
        <v>6965.22894739955</v>
      </c>
      <c r="AG27" s="118" t="n">
        <f aca="false">AG23*AG25</f>
        <v>7117.14404618357</v>
      </c>
      <c r="AH27" s="118" t="n">
        <f aca="false">AH23*AH25</f>
        <v>7262.98254101622</v>
      </c>
      <c r="AI27" s="118" t="n">
        <f aca="false">AI23*AI25</f>
        <v>7402.98749605557</v>
      </c>
      <c r="AJ27" s="118" t="n">
        <f aca="false">AJ23*AJ25</f>
        <v>7537.39225289335</v>
      </c>
      <c r="AK27" s="118" t="n">
        <f aca="false">AK23*AK25</f>
        <v>7666.42081945762</v>
      </c>
      <c r="AL27" s="118" t="n">
        <f aca="false">AL23*AL25</f>
        <v>6288.85021973278</v>
      </c>
    </row>
    <row r="28" customFormat="false" ht="15" hidden="false" customHeight="false" outlineLevel="0" collapsed="false">
      <c r="A28" s="4" t="s">
        <v>408</v>
      </c>
      <c r="C28" s="121" t="n">
        <f aca="false">C26+C27</f>
        <v>3456.22393</v>
      </c>
      <c r="D28" s="121" t="n">
        <f aca="false">D26+D27</f>
        <v>3925.14155168889</v>
      </c>
      <c r="E28" s="121" t="n">
        <f aca="false">E26+E27</f>
        <v>5456.216688944</v>
      </c>
      <c r="F28" s="121" t="n">
        <f aca="false">F26+F27</f>
        <v>6092.11037805291</v>
      </c>
      <c r="G28" s="121" t="n">
        <f aca="false">G26+G27</f>
        <v>6744.79152626412</v>
      </c>
      <c r="H28" s="121" t="n">
        <f aca="false">H26+H27</f>
        <v>7413.58863521356</v>
      </c>
      <c r="I28" s="121" t="n">
        <f aca="false">I26+I27</f>
        <v>8097.85706647168</v>
      </c>
      <c r="J28" s="121" t="n">
        <f aca="false">J26+J27</f>
        <v>8796.97796714615</v>
      </c>
      <c r="K28" s="121" t="n">
        <f aca="false">K26+K27</f>
        <v>9510.3572384603</v>
      </c>
      <c r="L28" s="121" t="n">
        <f aca="false">L26+L27</f>
        <v>10237.4245455886</v>
      </c>
      <c r="M28" s="121" t="n">
        <f aca="false">M26+M27</f>
        <v>10518.852763765</v>
      </c>
      <c r="N28" s="121" t="n">
        <f aca="false">N26+N27</f>
        <v>8717.40689069738</v>
      </c>
      <c r="O28" s="121" t="n">
        <f aca="false">O26+O27</f>
        <v>9078.21217706949</v>
      </c>
      <c r="P28" s="121" t="n">
        <f aca="false">P26+P27</f>
        <v>9260.03521398671</v>
      </c>
      <c r="Q28" s="121" t="n">
        <f aca="false">Q26+Q27</f>
        <v>11675.5640318807</v>
      </c>
      <c r="R28" s="121" t="n">
        <f aca="false">R26+R27</f>
        <v>11923.8694266055</v>
      </c>
      <c r="S28" s="121" t="n">
        <f aca="false">S26+S27</f>
        <v>12162.2426055413</v>
      </c>
      <c r="T28" s="121" t="n">
        <f aca="false">T26+T27</f>
        <v>12391.0808573196</v>
      </c>
      <c r="U28" s="121" t="n">
        <f aca="false">U26+U27</f>
        <v>12610.7655790268</v>
      </c>
      <c r="V28" s="121" t="n">
        <f aca="false">V26+V27</f>
        <v>12821.6629118658</v>
      </c>
      <c r="W28" s="121" t="n">
        <f aca="false">W26+W27</f>
        <v>13024.1243513911</v>
      </c>
      <c r="X28" s="121" t="n">
        <f aca="false">X26+X27</f>
        <v>13218.4873333355</v>
      </c>
      <c r="Y28" s="121" t="n">
        <f aca="false">Y26+Y27</f>
        <v>13405.0757960021</v>
      </c>
      <c r="Z28" s="121" t="n">
        <f aca="false">Z26+Z27</f>
        <v>10979.6721723216</v>
      </c>
      <c r="AA28" s="121" t="n">
        <f aca="false">AA26+AA27</f>
        <v>11274.3212692887</v>
      </c>
      <c r="AB28" s="121" t="n">
        <f aca="false">AB26+AB27</f>
        <v>11387.7722382372</v>
      </c>
      <c r="AC28" s="121" t="n">
        <f aca="false">AC26+AC27</f>
        <v>14223.4961211589</v>
      </c>
      <c r="AD28" s="121" t="n">
        <f aca="false">AD26+AD27</f>
        <v>14395.2028209926</v>
      </c>
      <c r="AE28" s="121" t="n">
        <f aca="false">AE26+AE27</f>
        <v>14560.0412528329</v>
      </c>
      <c r="AF28" s="121" t="n">
        <f aca="false">AF26+AF27</f>
        <v>14718.2861473995</v>
      </c>
      <c r="AG28" s="121" t="n">
        <f aca="false">AG26+AG27</f>
        <v>14870.2012461836</v>
      </c>
      <c r="AH28" s="121" t="n">
        <f aca="false">AH26+AH27</f>
        <v>15016.0397410162</v>
      </c>
      <c r="AI28" s="121" t="n">
        <f aca="false">AI26+AI27</f>
        <v>15156.0446960556</v>
      </c>
      <c r="AJ28" s="121" t="n">
        <f aca="false">AJ26+AJ27</f>
        <v>15290.4494528934</v>
      </c>
      <c r="AK28" s="121" t="n">
        <f aca="false">AK26+AK27</f>
        <v>15419.4780194576</v>
      </c>
      <c r="AL28" s="121" t="n">
        <f aca="false">AL26+AL27</f>
        <v>12565.1346197328</v>
      </c>
    </row>
    <row r="29" customFormat="false" ht="15" hidden="false" customHeight="false" outlineLevel="0" collapsed="false">
      <c r="A29" s="6" t="s">
        <v>240</v>
      </c>
      <c r="C29" s="118" t="n">
        <f aca="false">C11+C23-C28</f>
        <v>0</v>
      </c>
      <c r="D29" s="118" t="n">
        <f aca="false">D11+D23-D28</f>
        <v>0</v>
      </c>
      <c r="E29" s="118" t="n">
        <f aca="false">E11+E23-E28</f>
        <v>0</v>
      </c>
      <c r="F29" s="118" t="n">
        <f aca="false">F11+F23-F28</f>
        <v>0</v>
      </c>
      <c r="G29" s="118" t="n">
        <f aca="false">G11+G23-G28</f>
        <v>0</v>
      </c>
      <c r="H29" s="118" t="n">
        <f aca="false">H11+H23-H28</f>
        <v>0</v>
      </c>
      <c r="I29" s="118" t="n">
        <f aca="false">I11+I23-I28</f>
        <v>0</v>
      </c>
      <c r="J29" s="118" t="n">
        <f aca="false">J11+J23-J28</f>
        <v>0</v>
      </c>
      <c r="K29" s="118" t="n">
        <f aca="false">K11+K23-K28</f>
        <v>0</v>
      </c>
      <c r="L29" s="118" t="n">
        <f aca="false">L11+L23-L28</f>
        <v>0</v>
      </c>
      <c r="M29" s="118" t="n">
        <f aca="false">M11+M23-M28</f>
        <v>0</v>
      </c>
      <c r="N29" s="118" t="n">
        <f aca="false">N11+N23-N28</f>
        <v>0</v>
      </c>
      <c r="O29" s="118" t="n">
        <f aca="false">O11+O23-O28</f>
        <v>0</v>
      </c>
      <c r="P29" s="118" t="n">
        <f aca="false">P11+P23-P28</f>
        <v>0</v>
      </c>
      <c r="Q29" s="118" t="n">
        <f aca="false">Q11+Q23-Q28</f>
        <v>0</v>
      </c>
      <c r="R29" s="118" t="n">
        <f aca="false">R11+R23-R28</f>
        <v>0</v>
      </c>
      <c r="S29" s="118" t="n">
        <f aca="false">S11+S23-S28</f>
        <v>0</v>
      </c>
      <c r="T29" s="118" t="n">
        <f aca="false">T11+T23-T28</f>
        <v>0</v>
      </c>
      <c r="U29" s="118" t="n">
        <f aca="false">U11+U23-U28</f>
        <v>0</v>
      </c>
      <c r="V29" s="118" t="n">
        <f aca="false">V11+V23-V28</f>
        <v>0</v>
      </c>
      <c r="W29" s="118" t="n">
        <f aca="false">W11+W23-W28</f>
        <v>0</v>
      </c>
      <c r="X29" s="118" t="n">
        <f aca="false">X11+X23-X28</f>
        <v>0</v>
      </c>
      <c r="Y29" s="118" t="n">
        <f aca="false">Y11+Y23-Y28</f>
        <v>0</v>
      </c>
      <c r="Z29" s="118" t="n">
        <f aca="false">Z11+Z23-Z28</f>
        <v>0</v>
      </c>
      <c r="AA29" s="118" t="n">
        <f aca="false">AA11+AA23-AA28</f>
        <v>0</v>
      </c>
      <c r="AB29" s="118" t="n">
        <f aca="false">AB11+AB23-AB28</f>
        <v>0</v>
      </c>
      <c r="AC29" s="118" t="n">
        <f aca="false">AC11+AC23-AC28</f>
        <v>0</v>
      </c>
      <c r="AD29" s="118" t="n">
        <f aca="false">AD11+AD23-AD28</f>
        <v>0</v>
      </c>
      <c r="AE29" s="118" t="n">
        <f aca="false">AE11+AE23-AE28</f>
        <v>0</v>
      </c>
      <c r="AF29" s="118" t="n">
        <f aca="false">AF11+AF23-AF28</f>
        <v>0</v>
      </c>
      <c r="AG29" s="118" t="n">
        <f aca="false">AG11+AG23-AG28</f>
        <v>0</v>
      </c>
      <c r="AH29" s="118" t="n">
        <f aca="false">AH11+AH23-AH28</f>
        <v>0</v>
      </c>
      <c r="AI29" s="118" t="n">
        <f aca="false">AI11+AI23-AI28</f>
        <v>0</v>
      </c>
      <c r="AJ29" s="118" t="n">
        <f aca="false">AJ11+AJ23-AJ28</f>
        <v>0</v>
      </c>
      <c r="AK29" s="118" t="n">
        <f aca="false">AK11+AK23-AK28</f>
        <v>0</v>
      </c>
      <c r="AL29" s="118" t="n">
        <f aca="false">AL11+AL23-AL28</f>
        <v>0</v>
      </c>
    </row>
    <row r="31" customFormat="false" ht="15.75" hidden="false" customHeight="true" outlineLevel="0" collapsed="false">
      <c r="A31" s="7" t="s">
        <v>44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409</v>
      </c>
      <c r="C32" s="122" t="n">
        <f aca="false">Inputs!$E$28*(1+Inputs!$E$31)^(C$5-1)</f>
        <v>13</v>
      </c>
      <c r="D32" s="122" t="n">
        <f aca="false">Inputs!$E$28*(1+Inputs!$E$31)^(D$5-1)</f>
        <v>13</v>
      </c>
      <c r="E32" s="122" t="n">
        <f aca="false">Inputs!$E$28*(1+Inputs!$E$31)^(E$5-1)</f>
        <v>13</v>
      </c>
      <c r="F32" s="122" t="n">
        <f aca="false">Inputs!$E$28*(1+Inputs!$E$31)^(F$5-1)</f>
        <v>13</v>
      </c>
      <c r="G32" s="122" t="n">
        <f aca="false">Inputs!$E$28*(1+Inputs!$E$31)^(G$5-1)</f>
        <v>13</v>
      </c>
      <c r="H32" s="122" t="n">
        <f aca="false">Inputs!$E$28*(1+Inputs!$E$31)^(H$5-1)</f>
        <v>13</v>
      </c>
      <c r="I32" s="122" t="n">
        <f aca="false">Inputs!$E$28*(1+Inputs!$E$31)^(I$5-1)</f>
        <v>13</v>
      </c>
      <c r="J32" s="122" t="n">
        <f aca="false">Inputs!$E$28*(1+Inputs!$E$31)^(J$5-1)</f>
        <v>13</v>
      </c>
      <c r="K32" s="122" t="n">
        <f aca="false">Inputs!$E$28*(1+Inputs!$E$31)^(K$5-1)</f>
        <v>13</v>
      </c>
      <c r="L32" s="122" t="n">
        <f aca="false">Inputs!$E$28*(1+Inputs!$E$31)^(L$5-1)</f>
        <v>13</v>
      </c>
      <c r="M32" s="122" t="n">
        <f aca="false">Inputs!$E$28*(1+Inputs!$E$31)^(M$5-1)</f>
        <v>13</v>
      </c>
      <c r="N32" s="122" t="n">
        <f aca="false">Inputs!$E$28*(1+Inputs!$E$31)^(N$5-1)</f>
        <v>13</v>
      </c>
      <c r="O32" s="122" t="n">
        <f aca="false">Inputs!$E$28*(1+Inputs!$E$31)^(O$5-1)</f>
        <v>13.26</v>
      </c>
      <c r="P32" s="122" t="n">
        <f aca="false">Inputs!$E$28*(1+Inputs!$E$31)^(P$5-1)</f>
        <v>13.26</v>
      </c>
      <c r="Q32" s="122" t="n">
        <f aca="false">Inputs!$E$28*(1+Inputs!$E$31)^(Q$5-1)</f>
        <v>13.26</v>
      </c>
      <c r="R32" s="122" t="n">
        <f aca="false">Inputs!$E$28*(1+Inputs!$E$31)^(R$5-1)</f>
        <v>13.26</v>
      </c>
      <c r="S32" s="122" t="n">
        <f aca="false">Inputs!$E$28*(1+Inputs!$E$31)^(S$5-1)</f>
        <v>13.26</v>
      </c>
      <c r="T32" s="122" t="n">
        <f aca="false">Inputs!$E$28*(1+Inputs!$E$31)^(T$5-1)</f>
        <v>13.26</v>
      </c>
      <c r="U32" s="122" t="n">
        <f aca="false">Inputs!$E$28*(1+Inputs!$E$31)^(U$5-1)</f>
        <v>13.26</v>
      </c>
      <c r="V32" s="122" t="n">
        <f aca="false">Inputs!$E$28*(1+Inputs!$E$31)^(V$5-1)</f>
        <v>13.26</v>
      </c>
      <c r="W32" s="122" t="n">
        <f aca="false">Inputs!$E$28*(1+Inputs!$E$31)^(W$5-1)</f>
        <v>13.26</v>
      </c>
      <c r="X32" s="122" t="n">
        <f aca="false">Inputs!$E$28*(1+Inputs!$E$31)^(X$5-1)</f>
        <v>13.26</v>
      </c>
      <c r="Y32" s="122" t="n">
        <f aca="false">Inputs!$E$28*(1+Inputs!$E$31)^(Y$5-1)</f>
        <v>13.26</v>
      </c>
      <c r="Z32" s="122" t="n">
        <f aca="false">Inputs!$E$28*(1+Inputs!$E$31)^(Z$5-1)</f>
        <v>13.26</v>
      </c>
      <c r="AA32" s="122" t="n">
        <f aca="false">Inputs!$E$28*(1+Inputs!$E$31)^(AA$5-1)</f>
        <v>13.5252</v>
      </c>
      <c r="AB32" s="122" t="n">
        <f aca="false">Inputs!$E$28*(1+Inputs!$E$31)^(AB$5-1)</f>
        <v>13.5252</v>
      </c>
      <c r="AC32" s="122" t="n">
        <f aca="false">Inputs!$E$28*(1+Inputs!$E$31)^(AC$5-1)</f>
        <v>13.5252</v>
      </c>
      <c r="AD32" s="122" t="n">
        <f aca="false">Inputs!$E$28*(1+Inputs!$E$31)^(AD$5-1)</f>
        <v>13.5252</v>
      </c>
      <c r="AE32" s="122" t="n">
        <f aca="false">Inputs!$E$28*(1+Inputs!$E$31)^(AE$5-1)</f>
        <v>13.5252</v>
      </c>
      <c r="AF32" s="122" t="n">
        <f aca="false">Inputs!$E$28*(1+Inputs!$E$31)^(AF$5-1)</f>
        <v>13.5252</v>
      </c>
      <c r="AG32" s="122" t="n">
        <f aca="false">Inputs!$E$28*(1+Inputs!$E$31)^(AG$5-1)</f>
        <v>13.5252</v>
      </c>
      <c r="AH32" s="122" t="n">
        <f aca="false">Inputs!$E$28*(1+Inputs!$E$31)^(AH$5-1)</f>
        <v>13.5252</v>
      </c>
      <c r="AI32" s="122" t="n">
        <f aca="false">Inputs!$E$28*(1+Inputs!$E$31)^(AI$5-1)</f>
        <v>13.5252</v>
      </c>
      <c r="AJ32" s="122" t="n">
        <f aca="false">Inputs!$E$28*(1+Inputs!$E$31)^(AJ$5-1)</f>
        <v>13.5252</v>
      </c>
      <c r="AK32" s="122" t="n">
        <f aca="false">Inputs!$E$28*(1+Inputs!$E$31)^(AK$5-1)</f>
        <v>13.5252</v>
      </c>
      <c r="AL32" s="122" t="n">
        <f aca="false">Inputs!$E$28*(1+Inputs!$E$31)^(AL$5-1)</f>
        <v>13.5252</v>
      </c>
    </row>
    <row r="33" customFormat="false" ht="15" hidden="false" customHeight="false" outlineLevel="0" collapsed="false">
      <c r="A33" s="6" t="s">
        <v>410</v>
      </c>
      <c r="C33" s="122" t="n">
        <f aca="false">Inputs!$E$30*(1+Inputs!$E$31)^(C$5-1)</f>
        <v>35</v>
      </c>
      <c r="D33" s="122" t="n">
        <f aca="false">Inputs!$E$30*(1+Inputs!$E$31)^(D$5-1)</f>
        <v>35</v>
      </c>
      <c r="E33" s="122" t="n">
        <f aca="false">Inputs!$E$30*(1+Inputs!$E$31)^(E$5-1)</f>
        <v>35</v>
      </c>
      <c r="F33" s="122" t="n">
        <f aca="false">Inputs!$E$30*(1+Inputs!$E$31)^(F$5-1)</f>
        <v>35</v>
      </c>
      <c r="G33" s="122" t="n">
        <f aca="false">Inputs!$E$30*(1+Inputs!$E$31)^(G$5-1)</f>
        <v>35</v>
      </c>
      <c r="H33" s="122" t="n">
        <f aca="false">Inputs!$E$30*(1+Inputs!$E$31)^(H$5-1)</f>
        <v>35</v>
      </c>
      <c r="I33" s="122" t="n">
        <f aca="false">Inputs!$E$30*(1+Inputs!$E$31)^(I$5-1)</f>
        <v>35</v>
      </c>
      <c r="J33" s="122" t="n">
        <f aca="false">Inputs!$E$30*(1+Inputs!$E$31)^(J$5-1)</f>
        <v>35</v>
      </c>
      <c r="K33" s="122" t="n">
        <f aca="false">Inputs!$E$30*(1+Inputs!$E$31)^(K$5-1)</f>
        <v>35</v>
      </c>
      <c r="L33" s="122" t="n">
        <f aca="false">Inputs!$E$30*(1+Inputs!$E$31)^(L$5-1)</f>
        <v>35</v>
      </c>
      <c r="M33" s="122" t="n">
        <f aca="false">Inputs!$E$30*(1+Inputs!$E$31)^(M$5-1)</f>
        <v>35</v>
      </c>
      <c r="N33" s="122" t="n">
        <f aca="false">Inputs!$E$30*(1+Inputs!$E$31)^(N$5-1)</f>
        <v>35</v>
      </c>
      <c r="O33" s="122" t="n">
        <f aca="false">Inputs!$E$30*(1+Inputs!$E$31)^(O$5-1)</f>
        <v>35.7</v>
      </c>
      <c r="P33" s="122" t="n">
        <f aca="false">Inputs!$E$30*(1+Inputs!$E$31)^(P$5-1)</f>
        <v>35.7</v>
      </c>
      <c r="Q33" s="122" t="n">
        <f aca="false">Inputs!$E$30*(1+Inputs!$E$31)^(Q$5-1)</f>
        <v>35.7</v>
      </c>
      <c r="R33" s="122" t="n">
        <f aca="false">Inputs!$E$30*(1+Inputs!$E$31)^(R$5-1)</f>
        <v>35.7</v>
      </c>
      <c r="S33" s="122" t="n">
        <f aca="false">Inputs!$E$30*(1+Inputs!$E$31)^(S$5-1)</f>
        <v>35.7</v>
      </c>
      <c r="T33" s="122" t="n">
        <f aca="false">Inputs!$E$30*(1+Inputs!$E$31)^(T$5-1)</f>
        <v>35.7</v>
      </c>
      <c r="U33" s="122" t="n">
        <f aca="false">Inputs!$E$30*(1+Inputs!$E$31)^(U$5-1)</f>
        <v>35.7</v>
      </c>
      <c r="V33" s="122" t="n">
        <f aca="false">Inputs!$E$30*(1+Inputs!$E$31)^(V$5-1)</f>
        <v>35.7</v>
      </c>
      <c r="W33" s="122" t="n">
        <f aca="false">Inputs!$E$30*(1+Inputs!$E$31)^(W$5-1)</f>
        <v>35.7</v>
      </c>
      <c r="X33" s="122" t="n">
        <f aca="false">Inputs!$E$30*(1+Inputs!$E$31)^(X$5-1)</f>
        <v>35.7</v>
      </c>
      <c r="Y33" s="122" t="n">
        <f aca="false">Inputs!$E$30*(1+Inputs!$E$31)^(Y$5-1)</f>
        <v>35.7</v>
      </c>
      <c r="Z33" s="122" t="n">
        <f aca="false">Inputs!$E$30*(1+Inputs!$E$31)^(Z$5-1)</f>
        <v>35.7</v>
      </c>
      <c r="AA33" s="122" t="n">
        <f aca="false">Inputs!$E$30*(1+Inputs!$E$31)^(AA$5-1)</f>
        <v>36.414</v>
      </c>
      <c r="AB33" s="122" t="n">
        <f aca="false">Inputs!$E$30*(1+Inputs!$E$31)^(AB$5-1)</f>
        <v>36.414</v>
      </c>
      <c r="AC33" s="122" t="n">
        <f aca="false">Inputs!$E$30*(1+Inputs!$E$31)^(AC$5-1)</f>
        <v>36.414</v>
      </c>
      <c r="AD33" s="122" t="n">
        <f aca="false">Inputs!$E$30*(1+Inputs!$E$31)^(AD$5-1)</f>
        <v>36.414</v>
      </c>
      <c r="AE33" s="122" t="n">
        <f aca="false">Inputs!$E$30*(1+Inputs!$E$31)^(AE$5-1)</f>
        <v>36.414</v>
      </c>
      <c r="AF33" s="122" t="n">
        <f aca="false">Inputs!$E$30*(1+Inputs!$E$31)^(AF$5-1)</f>
        <v>36.414</v>
      </c>
      <c r="AG33" s="122" t="n">
        <f aca="false">Inputs!$E$30*(1+Inputs!$E$31)^(AG$5-1)</f>
        <v>36.414</v>
      </c>
      <c r="AH33" s="122" t="n">
        <f aca="false">Inputs!$E$30*(1+Inputs!$E$31)^(AH$5-1)</f>
        <v>36.414</v>
      </c>
      <c r="AI33" s="122" t="n">
        <f aca="false">Inputs!$E$30*(1+Inputs!$E$31)^(AI$5-1)</f>
        <v>36.414</v>
      </c>
      <c r="AJ33" s="122" t="n">
        <f aca="false">Inputs!$E$30*(1+Inputs!$E$31)^(AJ$5-1)</f>
        <v>36.414</v>
      </c>
      <c r="AK33" s="122" t="n">
        <f aca="false">Inputs!$E$30*(1+Inputs!$E$31)^(AK$5-1)</f>
        <v>36.414</v>
      </c>
      <c r="AL33" s="122" t="n">
        <f aca="false">Inputs!$E$30*(1+Inputs!$E$31)^(AL$5-1)</f>
        <v>36.414</v>
      </c>
    </row>
    <row r="34" customFormat="false" ht="15" hidden="false" customHeight="false" outlineLevel="0" collapsed="false">
      <c r="A34" s="6" t="s">
        <v>411</v>
      </c>
      <c r="C34" s="69" t="n">
        <f aca="false">C26*C32</f>
        <v>34608.6</v>
      </c>
      <c r="D34" s="69" t="n">
        <f aca="false">D26*D32</f>
        <v>39308.5333333333</v>
      </c>
      <c r="E34" s="69" t="n">
        <f aca="false">E26*E32</f>
        <v>54363.4</v>
      </c>
      <c r="F34" s="69" t="n">
        <f aca="false">F26*F32</f>
        <v>60169.2</v>
      </c>
      <c r="G34" s="69" t="n">
        <f aca="false">G26*G32</f>
        <v>65975</v>
      </c>
      <c r="H34" s="69" t="n">
        <f aca="false">H26*H32</f>
        <v>71780.8</v>
      </c>
      <c r="I34" s="69" t="n">
        <f aca="false">I26*I32</f>
        <v>77586.6</v>
      </c>
      <c r="J34" s="69" t="n">
        <f aca="false">J26*J32</f>
        <v>83392.4</v>
      </c>
      <c r="K34" s="69" t="n">
        <f aca="false">K26*K32</f>
        <v>89198.2</v>
      </c>
      <c r="L34" s="69" t="n">
        <f aca="false">L26*L32</f>
        <v>95004</v>
      </c>
      <c r="M34" s="69" t="n">
        <f aca="false">M26*M32</f>
        <v>95004</v>
      </c>
      <c r="N34" s="69" t="n">
        <f aca="false">N26*N32</f>
        <v>76908</v>
      </c>
      <c r="O34" s="69" t="n">
        <f aca="false">O26*O32</f>
        <v>80799.5448</v>
      </c>
      <c r="P34" s="69" t="n">
        <f aca="false">P26*P32</f>
        <v>80799.5448</v>
      </c>
      <c r="Q34" s="69" t="n">
        <f aca="false">Q26*Q32</f>
        <v>99811.2024</v>
      </c>
      <c r="R34" s="69" t="n">
        <f aca="false">R26*R32</f>
        <v>99811.2024</v>
      </c>
      <c r="S34" s="69" t="n">
        <f aca="false">S26*S32</f>
        <v>99811.2024</v>
      </c>
      <c r="T34" s="69" t="n">
        <f aca="false">T26*T32</f>
        <v>99811.2024</v>
      </c>
      <c r="U34" s="69" t="n">
        <f aca="false">U26*U32</f>
        <v>99811.2024</v>
      </c>
      <c r="V34" s="69" t="n">
        <f aca="false">V26*V32</f>
        <v>99811.2024</v>
      </c>
      <c r="W34" s="69" t="n">
        <f aca="false">W26*W32</f>
        <v>99811.2024</v>
      </c>
      <c r="X34" s="69" t="n">
        <f aca="false">X26*X32</f>
        <v>99811.2024</v>
      </c>
      <c r="Y34" s="69" t="n">
        <f aca="false">Y26*Y32</f>
        <v>99811.2024</v>
      </c>
      <c r="Z34" s="69" t="n">
        <f aca="false">Z26*Z32</f>
        <v>80799.5448</v>
      </c>
      <c r="AA34" s="69" t="n">
        <f aca="false">AA26*AA32</f>
        <v>84888.00176688</v>
      </c>
      <c r="AB34" s="69" t="n">
        <f aca="false">AB26*AB32</f>
        <v>84888.00176688</v>
      </c>
      <c r="AC34" s="69" t="n">
        <f aca="false">AC26*AC32</f>
        <v>104861.64924144</v>
      </c>
      <c r="AD34" s="69" t="n">
        <f aca="false">AD26*AD32</f>
        <v>104861.64924144</v>
      </c>
      <c r="AE34" s="69" t="n">
        <f aca="false">AE26*AE32</f>
        <v>104861.64924144</v>
      </c>
      <c r="AF34" s="69" t="n">
        <f aca="false">AF26*AF32</f>
        <v>104861.64924144</v>
      </c>
      <c r="AG34" s="69" t="n">
        <f aca="false">AG26*AG32</f>
        <v>104861.64924144</v>
      </c>
      <c r="AH34" s="69" t="n">
        <f aca="false">AH26*AH32</f>
        <v>104861.64924144</v>
      </c>
      <c r="AI34" s="69" t="n">
        <f aca="false">AI26*AI32</f>
        <v>104861.64924144</v>
      </c>
      <c r="AJ34" s="69" t="n">
        <f aca="false">AJ26*AJ32</f>
        <v>104861.64924144</v>
      </c>
      <c r="AK34" s="69" t="n">
        <f aca="false">AK26*AK32</f>
        <v>104861.64924144</v>
      </c>
      <c r="AL34" s="69" t="n">
        <f aca="false">AL26*AL32</f>
        <v>84888.00176688</v>
      </c>
    </row>
    <row r="35" customFormat="false" ht="15" hidden="false" customHeight="false" outlineLevel="0" collapsed="false">
      <c r="A35" s="6" t="s">
        <v>412</v>
      </c>
      <c r="C35" s="69" t="n">
        <f aca="false">C26*Inputs!$E$29*(1+Inputs!$E$31)^(C$5-1)</f>
        <v>3993.3</v>
      </c>
      <c r="D35" s="69" t="n">
        <f aca="false">D26*Inputs!$E$29*(1+Inputs!$E$31)^(D$5-1)</f>
        <v>4535.6</v>
      </c>
      <c r="E35" s="69" t="n">
        <f aca="false">E26*Inputs!$E$29*(1+Inputs!$E$31)^(E$5-1)</f>
        <v>6272.7</v>
      </c>
      <c r="F35" s="69" t="n">
        <f aca="false">F26*Inputs!$E$29*(1+Inputs!$E$31)^(F$5-1)</f>
        <v>6942.6</v>
      </c>
      <c r="G35" s="69" t="n">
        <f aca="false">G26*Inputs!$E$29*(1+Inputs!$E$31)^(G$5-1)</f>
        <v>7612.5</v>
      </c>
      <c r="H35" s="69" t="n">
        <f aca="false">H26*Inputs!$E$29*(1+Inputs!$E$31)^(H$5-1)</f>
        <v>8282.4</v>
      </c>
      <c r="I35" s="69" t="n">
        <f aca="false">I26*Inputs!$E$29*(1+Inputs!$E$31)^(I$5-1)</f>
        <v>8952.3</v>
      </c>
      <c r="J35" s="69" t="n">
        <f aca="false">J26*Inputs!$E$29*(1+Inputs!$E$31)^(J$5-1)</f>
        <v>9622.2</v>
      </c>
      <c r="K35" s="69" t="n">
        <f aca="false">K26*Inputs!$E$29*(1+Inputs!$E$31)^(K$5-1)</f>
        <v>10292.1</v>
      </c>
      <c r="L35" s="69" t="n">
        <f aca="false">L26*Inputs!$E$29*(1+Inputs!$E$31)^(L$5-1)</f>
        <v>10962</v>
      </c>
      <c r="M35" s="69" t="n">
        <f aca="false">M26*Inputs!$E$29*(1+Inputs!$E$31)^(M$5-1)</f>
        <v>10962</v>
      </c>
      <c r="N35" s="69" t="n">
        <f aca="false">N26*Inputs!$E$29*(1+Inputs!$E$31)^(N$5-1)</f>
        <v>8874</v>
      </c>
      <c r="O35" s="69" t="n">
        <f aca="false">O26*Inputs!$E$29*(1+Inputs!$E$31)^(O$5-1)</f>
        <v>9323.0244</v>
      </c>
      <c r="P35" s="69" t="n">
        <f aca="false">P26*Inputs!$E$29*(1+Inputs!$E$31)^(P$5-1)</f>
        <v>9323.0244</v>
      </c>
      <c r="Q35" s="69" t="n">
        <f aca="false">Q26*Inputs!$E$29*(1+Inputs!$E$31)^(Q$5-1)</f>
        <v>11516.6772</v>
      </c>
      <c r="R35" s="69" t="n">
        <f aca="false">R26*Inputs!$E$29*(1+Inputs!$E$31)^(R$5-1)</f>
        <v>11516.6772</v>
      </c>
      <c r="S35" s="69" t="n">
        <f aca="false">S26*Inputs!$E$29*(1+Inputs!$E$31)^(S$5-1)</f>
        <v>11516.6772</v>
      </c>
      <c r="T35" s="69" t="n">
        <f aca="false">T26*Inputs!$E$29*(1+Inputs!$E$31)^(T$5-1)</f>
        <v>11516.6772</v>
      </c>
      <c r="U35" s="69" t="n">
        <f aca="false">U26*Inputs!$E$29*(1+Inputs!$E$31)^(U$5-1)</f>
        <v>11516.6772</v>
      </c>
      <c r="V35" s="69" t="n">
        <f aca="false">V26*Inputs!$E$29*(1+Inputs!$E$31)^(V$5-1)</f>
        <v>11516.6772</v>
      </c>
      <c r="W35" s="69" t="n">
        <f aca="false">W26*Inputs!$E$29*(1+Inputs!$E$31)^(W$5-1)</f>
        <v>11516.6772</v>
      </c>
      <c r="X35" s="69" t="n">
        <f aca="false">X26*Inputs!$E$29*(1+Inputs!$E$31)^(X$5-1)</f>
        <v>11516.6772</v>
      </c>
      <c r="Y35" s="69" t="n">
        <f aca="false">Y26*Inputs!$E$29*(1+Inputs!$E$31)^(Y$5-1)</f>
        <v>11516.6772</v>
      </c>
      <c r="Z35" s="69" t="n">
        <f aca="false">Z26*Inputs!$E$29*(1+Inputs!$E$31)^(Z$5-1)</f>
        <v>9323.0244</v>
      </c>
      <c r="AA35" s="69" t="n">
        <f aca="false">AA26*Inputs!$E$29*(1+Inputs!$E$31)^(AA$5-1)</f>
        <v>9794.76943464</v>
      </c>
      <c r="AB35" s="69" t="n">
        <f aca="false">AB26*Inputs!$E$29*(1+Inputs!$E$31)^(AB$5-1)</f>
        <v>9794.76943464</v>
      </c>
      <c r="AC35" s="69" t="n">
        <f aca="false">AC26*Inputs!$E$29*(1+Inputs!$E$31)^(AC$5-1)</f>
        <v>12099.42106632</v>
      </c>
      <c r="AD35" s="69" t="n">
        <f aca="false">AD26*Inputs!$E$29*(1+Inputs!$E$31)^(AD$5-1)</f>
        <v>12099.42106632</v>
      </c>
      <c r="AE35" s="69" t="n">
        <f aca="false">AE26*Inputs!$E$29*(1+Inputs!$E$31)^(AE$5-1)</f>
        <v>12099.42106632</v>
      </c>
      <c r="AF35" s="69" t="n">
        <f aca="false">AF26*Inputs!$E$29*(1+Inputs!$E$31)^(AF$5-1)</f>
        <v>12099.42106632</v>
      </c>
      <c r="AG35" s="69" t="n">
        <f aca="false">AG26*Inputs!$E$29*(1+Inputs!$E$31)^(AG$5-1)</f>
        <v>12099.42106632</v>
      </c>
      <c r="AH35" s="69" t="n">
        <f aca="false">AH26*Inputs!$E$29*(1+Inputs!$E$31)^(AH$5-1)</f>
        <v>12099.42106632</v>
      </c>
      <c r="AI35" s="69" t="n">
        <f aca="false">AI26*Inputs!$E$29*(1+Inputs!$E$31)^(AI$5-1)</f>
        <v>12099.42106632</v>
      </c>
      <c r="AJ35" s="69" t="n">
        <f aca="false">AJ26*Inputs!$E$29*(1+Inputs!$E$31)^(AJ$5-1)</f>
        <v>12099.42106632</v>
      </c>
      <c r="AK35" s="69" t="n">
        <f aca="false">AK26*Inputs!$E$29*(1+Inputs!$E$31)^(AK$5-1)</f>
        <v>12099.42106632</v>
      </c>
      <c r="AL35" s="69" t="n">
        <f aca="false">AL26*Inputs!$E$29*(1+Inputs!$E$31)^(AL$5-1)</f>
        <v>9794.76943464</v>
      </c>
    </row>
    <row r="36" customFormat="false" ht="15" hidden="false" customHeight="false" outlineLevel="0" collapsed="false">
      <c r="A36" s="6" t="s">
        <v>241</v>
      </c>
      <c r="C36" s="69" t="n">
        <f aca="false">C20*C33*1</f>
        <v>9341.458</v>
      </c>
      <c r="D36" s="69" t="n">
        <f aca="false">D20*D33*1</f>
        <v>10604.8025688889</v>
      </c>
      <c r="E36" s="69" t="n">
        <f aca="false">E20*E33*1</f>
        <v>12137.3017994667</v>
      </c>
      <c r="F36" s="69" t="n">
        <f aca="false">F20*F33*1</f>
        <v>13940.0988385991</v>
      </c>
      <c r="G36" s="69" t="n">
        <f aca="false">G20*G33*1</f>
        <v>15902.7764406107</v>
      </c>
      <c r="H36" s="69" t="n">
        <f aca="false">H20*H33*1</f>
        <v>18018.9393829863</v>
      </c>
      <c r="I36" s="69" t="n">
        <f aca="false">I20*I33*1</f>
        <v>20282.4482521113</v>
      </c>
      <c r="J36" s="69" t="n">
        <f aca="false">J20*J33*1</f>
        <v>22687.4092109157</v>
      </c>
      <c r="K36" s="69" t="n">
        <f aca="false">K20*K33*1</f>
        <v>25228.1641758124</v>
      </c>
      <c r="L36" s="69" t="n">
        <f aca="false">L20*L33*1</f>
        <v>27899.2813865577</v>
      </c>
      <c r="M36" s="69" t="n">
        <f aca="false">M20*M33*1</f>
        <v>30579.5501310954</v>
      </c>
      <c r="N36" s="69" t="n">
        <f aca="false">N20*N33*1</f>
        <v>32957.7281258516</v>
      </c>
      <c r="O36" s="69" t="n">
        <f aca="false">O20*O33*1</f>
        <v>35816.7861248339</v>
      </c>
      <c r="P36" s="69" t="n">
        <f aca="false">P20*P33*1</f>
        <v>37998.6625678405</v>
      </c>
      <c r="Q36" s="69" t="n">
        <f aca="false">Q20*Q33*1</f>
        <v>40298.0048811269</v>
      </c>
      <c r="R36" s="69" t="n">
        <f aca="false">R20*R33*1</f>
        <v>42710.1144298818</v>
      </c>
      <c r="S36" s="69" t="n">
        <f aca="false">S20*S33*1</f>
        <v>45025.7395966865</v>
      </c>
      <c r="T36" s="69" t="n">
        <f aca="false">T20*T33*1</f>
        <v>47248.7397568191</v>
      </c>
      <c r="U36" s="69" t="n">
        <f aca="false">U20*U33*1</f>
        <v>49382.8199105463</v>
      </c>
      <c r="V36" s="69" t="n">
        <f aca="false">V20*V33*1</f>
        <v>51431.5368581245</v>
      </c>
      <c r="W36" s="69" t="n">
        <f aca="false">W20*W33*1</f>
        <v>53398.3051277995</v>
      </c>
      <c r="X36" s="69" t="n">
        <f aca="false">X20*X33*1</f>
        <v>55286.4026666875</v>
      </c>
      <c r="Y36" s="69" t="n">
        <f aca="false">Y20*Y33*1</f>
        <v>57098.97630402</v>
      </c>
      <c r="Z36" s="69" t="n">
        <f aca="false">Z20*Z33*1</f>
        <v>58634.3060678592</v>
      </c>
      <c r="AA36" s="69" t="n">
        <f aca="false">AA20*AA33*1</f>
        <v>61175.9712800941</v>
      </c>
      <c r="AB36" s="69" t="n">
        <f aca="false">AB20*AB33*1</f>
        <v>62564.6111400232</v>
      </c>
      <c r="AC36" s="69" t="n">
        <f aca="false">AC20*AC33*1</f>
        <v>64112.8062245118</v>
      </c>
      <c r="AD36" s="69" t="n">
        <f aca="false">AD20*AD33*1</f>
        <v>65814.1743245778</v>
      </c>
      <c r="AE36" s="69" t="n">
        <f aca="false">AE20*AE33*1</f>
        <v>67447.487700641</v>
      </c>
      <c r="AF36" s="69" t="n">
        <f aca="false">AF20*AF33*1</f>
        <v>69015.4685416618</v>
      </c>
      <c r="AG36" s="69" t="n">
        <f aca="false">AG20*AG33*1</f>
        <v>70520.7301490417</v>
      </c>
      <c r="AH36" s="69" t="n">
        <f aca="false">AH20*AH33*1</f>
        <v>71965.7812921265</v>
      </c>
      <c r="AI36" s="69" t="n">
        <f aca="false">AI20*AI33*1</f>
        <v>73353.0303894878</v>
      </c>
      <c r="AJ36" s="69" t="n">
        <f aca="false">AJ20*AJ33*1</f>
        <v>74684.7895229547</v>
      </c>
      <c r="AK36" s="69" t="n">
        <f aca="false">AK20*AK33*1</f>
        <v>75963.2782910829</v>
      </c>
      <c r="AL36" s="69" t="n">
        <f aca="false">AL20*AL33*1</f>
        <v>76975.5266895292</v>
      </c>
    </row>
    <row r="37" customFormat="false" ht="15" hidden="false" customHeight="false" outlineLevel="0" collapsed="false">
      <c r="A37" s="113" t="s">
        <v>44</v>
      </c>
      <c r="C37" s="70" t="n">
        <f aca="false">C34+C35+C36</f>
        <v>47943.358</v>
      </c>
      <c r="D37" s="70" t="n">
        <f aca="false">D34+D35+D36</f>
        <v>54448.9359022222</v>
      </c>
      <c r="E37" s="70" t="n">
        <f aca="false">E34+E35+E36</f>
        <v>72773.4017994667</v>
      </c>
      <c r="F37" s="70" t="n">
        <f aca="false">F34+F35+F36</f>
        <v>81051.8988385991</v>
      </c>
      <c r="G37" s="70" t="n">
        <f aca="false">G34+G35+G36</f>
        <v>89490.2764406107</v>
      </c>
      <c r="H37" s="70" t="n">
        <f aca="false">H34+H35+H36</f>
        <v>98082.1393829863</v>
      </c>
      <c r="I37" s="70" t="n">
        <f aca="false">I34+I35+I36</f>
        <v>106821.348252111</v>
      </c>
      <c r="J37" s="70" t="n">
        <f aca="false">J34+J35+J36</f>
        <v>115702.009210916</v>
      </c>
      <c r="K37" s="70" t="n">
        <f aca="false">K34+K35+K36</f>
        <v>124718.464175812</v>
      </c>
      <c r="L37" s="70" t="n">
        <f aca="false">L34+L35+L36</f>
        <v>133865.281386558</v>
      </c>
      <c r="M37" s="70" t="n">
        <f aca="false">M34+M35+M36</f>
        <v>136545.550131095</v>
      </c>
      <c r="N37" s="70" t="n">
        <f aca="false">N34+N35+N36</f>
        <v>118739.728125852</v>
      </c>
      <c r="O37" s="70" t="n">
        <f aca="false">O34+O35+O36</f>
        <v>125939.355324834</v>
      </c>
      <c r="P37" s="70" t="n">
        <f aca="false">P34+P35+P36</f>
        <v>128121.23176784</v>
      </c>
      <c r="Q37" s="70" t="n">
        <f aca="false">Q34+Q35+Q36</f>
        <v>151625.884481127</v>
      </c>
      <c r="R37" s="70" t="n">
        <f aca="false">R34+R35+R36</f>
        <v>154037.994029882</v>
      </c>
      <c r="S37" s="70" t="n">
        <f aca="false">S34+S35+S36</f>
        <v>156353.619196687</v>
      </c>
      <c r="T37" s="70" t="n">
        <f aca="false">T34+T35+T36</f>
        <v>158576.619356819</v>
      </c>
      <c r="U37" s="70" t="n">
        <f aca="false">U34+U35+U36</f>
        <v>160710.699510546</v>
      </c>
      <c r="V37" s="70" t="n">
        <f aca="false">V34+V35+V36</f>
        <v>162759.416458124</v>
      </c>
      <c r="W37" s="70" t="n">
        <f aca="false">W34+W35+W36</f>
        <v>164726.1847278</v>
      </c>
      <c r="X37" s="70" t="n">
        <f aca="false">X34+X35+X36</f>
        <v>166614.282266688</v>
      </c>
      <c r="Y37" s="70" t="n">
        <f aca="false">Y34+Y35+Y36</f>
        <v>168426.85590402</v>
      </c>
      <c r="Z37" s="70" t="n">
        <f aca="false">Z34+Z35+Z36</f>
        <v>148756.875267859</v>
      </c>
      <c r="AA37" s="70" t="n">
        <f aca="false">AA34+AA35+AA36</f>
        <v>155858.742481614</v>
      </c>
      <c r="AB37" s="70" t="n">
        <f aca="false">AB34+AB35+AB36</f>
        <v>157247.382341543</v>
      </c>
      <c r="AC37" s="70" t="n">
        <f aca="false">AC34+AC35+AC36</f>
        <v>181073.876532272</v>
      </c>
      <c r="AD37" s="70" t="n">
        <f aca="false">AD34+AD35+AD36</f>
        <v>182775.244632338</v>
      </c>
      <c r="AE37" s="70" t="n">
        <f aca="false">AE34+AE35+AE36</f>
        <v>184408.558008401</v>
      </c>
      <c r="AF37" s="70" t="n">
        <f aca="false">AF34+AF35+AF36</f>
        <v>185976.538849422</v>
      </c>
      <c r="AG37" s="70" t="n">
        <f aca="false">AG34+AG35+AG36</f>
        <v>187481.800456802</v>
      </c>
      <c r="AH37" s="70" t="n">
        <f aca="false">AH34+AH35+AH36</f>
        <v>188926.851599886</v>
      </c>
      <c r="AI37" s="70" t="n">
        <f aca="false">AI34+AI35+AI36</f>
        <v>190314.100697248</v>
      </c>
      <c r="AJ37" s="70" t="n">
        <f aca="false">AJ34+AJ35+AJ36</f>
        <v>191645.859830715</v>
      </c>
      <c r="AK37" s="70" t="n">
        <f aca="false">AK34+AK35+AK36</f>
        <v>192924.348598843</v>
      </c>
      <c r="AL37" s="70" t="n">
        <f aca="false">AL34+AL35+AL36</f>
        <v>171658.297891049</v>
      </c>
    </row>
    <row r="39" customFormat="false" ht="15.75" hidden="false" customHeight="true" outlineLevel="0" collapsed="false">
      <c r="A39" s="7" t="s">
        <v>76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customFormat="false" ht="15" hidden="false" customHeight="false" outlineLevel="0" collapsed="false">
      <c r="A40" s="6" t="s">
        <v>413</v>
      </c>
      <c r="C40" s="69" t="n">
        <f aca="false">-C28*Inputs!$E$34*(1+Inputs!$E$39)^(C$5-1)</f>
        <v>-2937.7903405</v>
      </c>
      <c r="D40" s="69" t="n">
        <f aca="false">-D28*Inputs!$E$34*(1+Inputs!$E$39)^(D$5-1)</f>
        <v>-3336.37031893556</v>
      </c>
      <c r="E40" s="69" t="n">
        <f aca="false">-E28*Inputs!$E$34*(1+Inputs!$E$39)^(E$5-1)</f>
        <v>-4637.7841856024</v>
      </c>
      <c r="F40" s="69" t="n">
        <f aca="false">-F28*Inputs!$E$34*(1+Inputs!$E$39)^(F$5-1)</f>
        <v>-5178.29382134497</v>
      </c>
      <c r="G40" s="69" t="n">
        <f aca="false">-G28*Inputs!$E$34*(1+Inputs!$E$39)^(G$5-1)</f>
        <v>-5733.07279732451</v>
      </c>
      <c r="H40" s="69" t="n">
        <f aca="false">-H28*Inputs!$E$34*(1+Inputs!$E$39)^(H$5-1)</f>
        <v>-6301.55033993153</v>
      </c>
      <c r="I40" s="69" t="n">
        <f aca="false">-I28*Inputs!$E$34*(1+Inputs!$E$39)^(I$5-1)</f>
        <v>-6883.17850650093</v>
      </c>
      <c r="J40" s="69" t="n">
        <f aca="false">-J28*Inputs!$E$34*(1+Inputs!$E$39)^(J$5-1)</f>
        <v>-7477.43127207423</v>
      </c>
      <c r="K40" s="69" t="n">
        <f aca="false">-K28*Inputs!$E$34*(1+Inputs!$E$39)^(K$5-1)</f>
        <v>-8083.80365269126</v>
      </c>
      <c r="L40" s="69" t="n">
        <f aca="false">-L28*Inputs!$E$34*(1+Inputs!$E$39)^(L$5-1)</f>
        <v>-8701.81086375027</v>
      </c>
      <c r="M40" s="69" t="n">
        <f aca="false">-M28*Inputs!$E$34*(1+Inputs!$E$39)^(M$5-1)</f>
        <v>-8941.02484920026</v>
      </c>
      <c r="N40" s="69" t="n">
        <f aca="false">-N28*Inputs!$E$34*(1+Inputs!$E$39)^(N$5-1)</f>
        <v>-7409.79585709278</v>
      </c>
      <c r="O40" s="69" t="n">
        <f aca="false">-O28*Inputs!$E$34*(1+Inputs!$E$39)^(O$5-1)</f>
        <v>-7947.97476102434</v>
      </c>
      <c r="P40" s="69" t="n">
        <f aca="false">-P28*Inputs!$E$34*(1+Inputs!$E$39)^(P$5-1)</f>
        <v>-8107.16082984536</v>
      </c>
      <c r="Q40" s="69" t="n">
        <f aca="false">-Q28*Inputs!$E$34*(1+Inputs!$E$39)^(Q$5-1)</f>
        <v>-10221.9563099116</v>
      </c>
      <c r="R40" s="69" t="n">
        <f aca="false">-R28*Inputs!$E$34*(1+Inputs!$E$39)^(R$5-1)</f>
        <v>-10439.3476829931</v>
      </c>
      <c r="S40" s="69" t="n">
        <f aca="false">-S28*Inputs!$E$34*(1+Inputs!$E$39)^(S$5-1)</f>
        <v>-10648.0434011514</v>
      </c>
      <c r="T40" s="69" t="n">
        <f aca="false">-T28*Inputs!$E$34*(1+Inputs!$E$39)^(T$5-1)</f>
        <v>-10848.3912905833</v>
      </c>
      <c r="U40" s="69" t="n">
        <f aca="false">-U28*Inputs!$E$34*(1+Inputs!$E$39)^(U$5-1)</f>
        <v>-11040.725264438</v>
      </c>
      <c r="V40" s="69" t="n">
        <f aca="false">-V28*Inputs!$E$34*(1+Inputs!$E$39)^(V$5-1)</f>
        <v>-11225.3658793385</v>
      </c>
      <c r="W40" s="69" t="n">
        <f aca="false">-W28*Inputs!$E$34*(1+Inputs!$E$39)^(W$5-1)</f>
        <v>-11402.6208696429</v>
      </c>
      <c r="X40" s="69" t="n">
        <f aca="false">-X28*Inputs!$E$34*(1+Inputs!$E$39)^(X$5-1)</f>
        <v>-11572.7856603352</v>
      </c>
      <c r="Y40" s="69" t="n">
        <f aca="false">-Y28*Inputs!$E$34*(1+Inputs!$E$39)^(Y$5-1)</f>
        <v>-11736.1438593998</v>
      </c>
      <c r="Z40" s="69" t="n">
        <f aca="false">-Z28*Inputs!$E$34*(1+Inputs!$E$39)^(Z$5-1)</f>
        <v>-9612.70298686756</v>
      </c>
      <c r="AA40" s="69" t="n">
        <f aca="false">-AA28*Inputs!$E$34*(1+Inputs!$E$39)^(AA$5-1)</f>
        <v>-10166.7883194002</v>
      </c>
      <c r="AB40" s="69" t="n">
        <f aca="false">-AB28*Inputs!$E$34*(1+Inputs!$E$39)^(AB$5-1)</f>
        <v>-10269.094432414</v>
      </c>
      <c r="AC40" s="69" t="n">
        <f aca="false">-AC28*Inputs!$E$34*(1+Inputs!$E$39)^(AC$5-1)</f>
        <v>-12826.2509796969</v>
      </c>
      <c r="AD40" s="69" t="n">
        <f aca="false">-AD28*Inputs!$E$34*(1+Inputs!$E$39)^(AD$5-1)</f>
        <v>-12981.0900718724</v>
      </c>
      <c r="AE40" s="69" t="n">
        <f aca="false">-AE28*Inputs!$E$34*(1+Inputs!$E$39)^(AE$5-1)</f>
        <v>-13129.7356003608</v>
      </c>
      <c r="AF40" s="69" t="n">
        <f aca="false">-AF28*Inputs!$E$34*(1+Inputs!$E$39)^(AF$5-1)</f>
        <v>-13272.4353077098</v>
      </c>
      <c r="AG40" s="69" t="n">
        <f aca="false">-AG28*Inputs!$E$34*(1+Inputs!$E$39)^(AG$5-1)</f>
        <v>-13409.4270267647</v>
      </c>
      <c r="AH40" s="69" t="n">
        <f aca="false">-AH28*Inputs!$E$34*(1+Inputs!$E$39)^(AH$5-1)</f>
        <v>-13540.9390770575</v>
      </c>
      <c r="AI40" s="69" t="n">
        <f aca="false">-AI28*Inputs!$E$34*(1+Inputs!$E$39)^(AI$5-1)</f>
        <v>-13667.1906453386</v>
      </c>
      <c r="AJ40" s="69" t="n">
        <f aca="false">-AJ28*Inputs!$E$34*(1+Inputs!$E$39)^(AJ$5-1)</f>
        <v>-13788.3921508884</v>
      </c>
      <c r="AK40" s="69" t="n">
        <f aca="false">-AK28*Inputs!$E$34*(1+Inputs!$E$39)^(AK$5-1)</f>
        <v>-13904.7455962162</v>
      </c>
      <c r="AL40" s="69" t="n">
        <f aca="false">-AL28*Inputs!$E$34*(1+Inputs!$E$39)^(AL$5-1)</f>
        <v>-11330.7986203633</v>
      </c>
    </row>
    <row r="41" customFormat="false" ht="15" hidden="false" customHeight="false" outlineLevel="0" collapsed="false">
      <c r="A41" s="6" t="s">
        <v>414</v>
      </c>
      <c r="C41" s="69" t="n">
        <f aca="false">-C28*Inputs!$E$35/1000*Inputs!$E$36*(1+Inputs!$E$39)^(C$5-1)</f>
        <v>-1244.2406148</v>
      </c>
      <c r="D41" s="69" t="n">
        <f aca="false">-D28*Inputs!$E$35/1000*Inputs!$E$36*(1+Inputs!$E$39)^(D$5-1)</f>
        <v>-1413.050958608</v>
      </c>
      <c r="E41" s="69" t="n">
        <f aca="false">-E28*Inputs!$E$35/1000*Inputs!$E$36*(1+Inputs!$E$39)^(E$5-1)</f>
        <v>-1964.23800801984</v>
      </c>
      <c r="F41" s="69" t="n">
        <f aca="false">-F28*Inputs!$E$35/1000*Inputs!$E$36*(1+Inputs!$E$39)^(F$5-1)</f>
        <v>-2193.15973609905</v>
      </c>
      <c r="G41" s="69" t="n">
        <f aca="false">-G28*Inputs!$E$35/1000*Inputs!$E$36*(1+Inputs!$E$39)^(G$5-1)</f>
        <v>-2428.12494945509</v>
      </c>
      <c r="H41" s="69" t="n">
        <f aca="false">-H28*Inputs!$E$35/1000*Inputs!$E$36*(1+Inputs!$E$39)^(H$5-1)</f>
        <v>-2668.89190867688</v>
      </c>
      <c r="I41" s="69" t="n">
        <f aca="false">-I28*Inputs!$E$35/1000*Inputs!$E$36*(1+Inputs!$E$39)^(I$5-1)</f>
        <v>-2915.22854392981</v>
      </c>
      <c r="J41" s="69" t="n">
        <f aca="false">-J28*Inputs!$E$35/1000*Inputs!$E$36*(1+Inputs!$E$39)^(J$5-1)</f>
        <v>-3166.91206817261</v>
      </c>
      <c r="K41" s="69" t="n">
        <f aca="false">-K28*Inputs!$E$35/1000*Inputs!$E$36*(1+Inputs!$E$39)^(K$5-1)</f>
        <v>-3423.72860584571</v>
      </c>
      <c r="L41" s="69" t="n">
        <f aca="false">-L28*Inputs!$E$35/1000*Inputs!$E$36*(1+Inputs!$E$39)^(L$5-1)</f>
        <v>-3685.47283641188</v>
      </c>
      <c r="M41" s="69" t="n">
        <f aca="false">-M28*Inputs!$E$35/1000*Inputs!$E$36*(1+Inputs!$E$39)^(M$5-1)</f>
        <v>-3786.78699495541</v>
      </c>
      <c r="N41" s="69" t="n">
        <f aca="false">-N28*Inputs!$E$35/1000*Inputs!$E$36*(1+Inputs!$E$39)^(N$5-1)</f>
        <v>-3138.26648065106</v>
      </c>
      <c r="O41" s="69" t="n">
        <f aca="false">-O28*Inputs!$E$35/1000*Inputs!$E$36*(1+Inputs!$E$39)^(O$5-1)</f>
        <v>-3366.20107525737</v>
      </c>
      <c r="P41" s="69" t="n">
        <f aca="false">-P28*Inputs!$E$35/1000*Inputs!$E$36*(1+Inputs!$E$39)^(P$5-1)</f>
        <v>-3433.62105734627</v>
      </c>
      <c r="Q41" s="69" t="n">
        <f aca="false">-Q28*Inputs!$E$35/1000*Inputs!$E$36*(1+Inputs!$E$39)^(Q$5-1)</f>
        <v>-4329.29914302137</v>
      </c>
      <c r="R41" s="69" t="n">
        <f aca="false">-R28*Inputs!$E$35/1000*Inputs!$E$36*(1+Inputs!$E$39)^(R$5-1)</f>
        <v>-4421.37078338531</v>
      </c>
      <c r="S41" s="69" t="n">
        <f aca="false">-S28*Inputs!$E$35/1000*Inputs!$E$36*(1+Inputs!$E$39)^(S$5-1)</f>
        <v>-4509.7595581347</v>
      </c>
      <c r="T41" s="69" t="n">
        <f aca="false">-T28*Inputs!$E$35/1000*Inputs!$E$36*(1+Inputs!$E$39)^(T$5-1)</f>
        <v>-4594.61278189411</v>
      </c>
      <c r="U41" s="69" t="n">
        <f aca="false">-U28*Inputs!$E$35/1000*Inputs!$E$36*(1+Inputs!$E$39)^(U$5-1)</f>
        <v>-4676.07187670315</v>
      </c>
      <c r="V41" s="69" t="n">
        <f aca="false">-V28*Inputs!$E$35/1000*Inputs!$E$36*(1+Inputs!$E$39)^(V$5-1)</f>
        <v>-4754.27260771982</v>
      </c>
      <c r="W41" s="69" t="n">
        <f aca="false">-W28*Inputs!$E$35/1000*Inputs!$E$36*(1+Inputs!$E$39)^(W$5-1)</f>
        <v>-4829.34530949583</v>
      </c>
      <c r="X41" s="69" t="n">
        <f aca="false">-X28*Inputs!$E$35/1000*Inputs!$E$36*(1+Inputs!$E$39)^(X$5-1)</f>
        <v>-4901.4151032008</v>
      </c>
      <c r="Y41" s="69" t="n">
        <f aca="false">-Y28*Inputs!$E$35/1000*Inputs!$E$36*(1+Inputs!$E$39)^(Y$5-1)</f>
        <v>-4970.60210515756</v>
      </c>
      <c r="Z41" s="69" t="n">
        <f aca="false">-Z28*Inputs!$E$35/1000*Inputs!$E$36*(1+Inputs!$E$39)^(Z$5-1)</f>
        <v>-4071.26244149685</v>
      </c>
      <c r="AA41" s="69" t="n">
        <f aca="false">-AA28*Inputs!$E$35/1000*Inputs!$E$36*(1+Inputs!$E$39)^(AA$5-1)</f>
        <v>-4305.93387645183</v>
      </c>
      <c r="AB41" s="69" t="n">
        <f aca="false">-AB28*Inputs!$E$35/1000*Inputs!$E$36*(1+Inputs!$E$39)^(AB$5-1)</f>
        <v>-4349.2635243165</v>
      </c>
      <c r="AC41" s="69" t="n">
        <f aca="false">-AC28*Inputs!$E$35/1000*Inputs!$E$36*(1+Inputs!$E$39)^(AC$5-1)</f>
        <v>-5432.2945325775</v>
      </c>
      <c r="AD41" s="69" t="n">
        <f aca="false">-AD28*Inputs!$E$35/1000*Inputs!$E$36*(1+Inputs!$E$39)^(AD$5-1)</f>
        <v>-5497.87344220477</v>
      </c>
      <c r="AE41" s="69" t="n">
        <f aca="false">-AE28*Inputs!$E$35/1000*Inputs!$E$36*(1+Inputs!$E$39)^(AE$5-1)</f>
        <v>-5560.82919544694</v>
      </c>
      <c r="AF41" s="69" t="n">
        <f aca="false">-AF28*Inputs!$E$35/1000*Inputs!$E$36*(1+Inputs!$E$39)^(AF$5-1)</f>
        <v>-5621.26671855943</v>
      </c>
      <c r="AG41" s="69" t="n">
        <f aca="false">-AG28*Inputs!$E$35/1000*Inputs!$E$36*(1+Inputs!$E$39)^(AG$5-1)</f>
        <v>-5679.28674074741</v>
      </c>
      <c r="AH41" s="69" t="n">
        <f aca="false">-AH28*Inputs!$E$35/1000*Inputs!$E$36*(1+Inputs!$E$39)^(AH$5-1)</f>
        <v>-5734.98596204788</v>
      </c>
      <c r="AI41" s="69" t="n">
        <f aca="false">-AI28*Inputs!$E$35/1000*Inputs!$E$36*(1+Inputs!$E$39)^(AI$5-1)</f>
        <v>-5788.45721449633</v>
      </c>
      <c r="AJ41" s="69" t="n">
        <f aca="false">-AJ28*Inputs!$E$35/1000*Inputs!$E$36*(1+Inputs!$E$39)^(AJ$5-1)</f>
        <v>-5839.78961684684</v>
      </c>
      <c r="AK41" s="69" t="n">
        <f aca="false">-AK28*Inputs!$E$35/1000*Inputs!$E$36*(1+Inputs!$E$39)^(AK$5-1)</f>
        <v>-5889.06872310333</v>
      </c>
      <c r="AL41" s="69" t="n">
        <f aca="false">-AL28*Inputs!$E$35/1000*Inputs!$E$36*(1+Inputs!$E$39)^(AL$5-1)</f>
        <v>-4798.92647450682</v>
      </c>
    </row>
    <row r="42" customFormat="false" ht="15" hidden="false" customHeight="false" outlineLevel="0" collapsed="false">
      <c r="A42" s="6" t="s">
        <v>415</v>
      </c>
      <c r="C42" s="69" t="n">
        <f aca="false">-C28*Inputs!$E$37*(1+Inputs!$E$39)^(C$5-1)</f>
        <v>-1451.6140506</v>
      </c>
      <c r="D42" s="69" t="n">
        <f aca="false">-D28*Inputs!$E$37*(1+Inputs!$E$39)^(D$5-1)</f>
        <v>-1648.55945170933</v>
      </c>
      <c r="E42" s="69" t="n">
        <f aca="false">-E28*Inputs!$E$37*(1+Inputs!$E$39)^(E$5-1)</f>
        <v>-2291.61100935648</v>
      </c>
      <c r="F42" s="69" t="n">
        <f aca="false">-F28*Inputs!$E$37*(1+Inputs!$E$39)^(F$5-1)</f>
        <v>-2558.68635878222</v>
      </c>
      <c r="G42" s="69" t="n">
        <f aca="false">-G28*Inputs!$E$37*(1+Inputs!$E$39)^(G$5-1)</f>
        <v>-2832.81244103093</v>
      </c>
      <c r="H42" s="69" t="n">
        <f aca="false">-H28*Inputs!$E$37*(1+Inputs!$E$39)^(H$5-1)</f>
        <v>-3113.70722678969</v>
      </c>
      <c r="I42" s="69" t="n">
        <f aca="false">-I28*Inputs!$E$37*(1+Inputs!$E$39)^(I$5-1)</f>
        <v>-3401.09996791811</v>
      </c>
      <c r="J42" s="69" t="n">
        <f aca="false">-J28*Inputs!$E$37*(1+Inputs!$E$39)^(J$5-1)</f>
        <v>-3694.73074620138</v>
      </c>
      <c r="K42" s="69" t="n">
        <f aca="false">-K28*Inputs!$E$37*(1+Inputs!$E$39)^(K$5-1)</f>
        <v>-3994.35004015333</v>
      </c>
      <c r="L42" s="69" t="n">
        <f aca="false">-L28*Inputs!$E$37*(1+Inputs!$E$39)^(L$5-1)</f>
        <v>-4299.71830914719</v>
      </c>
      <c r="M42" s="69" t="n">
        <f aca="false">-M28*Inputs!$E$37*(1+Inputs!$E$39)^(M$5-1)</f>
        <v>-4417.91816078131</v>
      </c>
      <c r="N42" s="69" t="n">
        <f aca="false">-N28*Inputs!$E$37*(1+Inputs!$E$39)^(N$5-1)</f>
        <v>-3661.3108940929</v>
      </c>
      <c r="O42" s="69" t="n">
        <f aca="false">-O28*Inputs!$E$37*(1+Inputs!$E$39)^(O$5-1)</f>
        <v>-3927.23458780026</v>
      </c>
      <c r="P42" s="69" t="n">
        <f aca="false">-P28*Inputs!$E$37*(1+Inputs!$E$39)^(P$5-1)</f>
        <v>-4005.89123357065</v>
      </c>
      <c r="Q42" s="69" t="n">
        <f aca="false">-Q28*Inputs!$E$37*(1+Inputs!$E$39)^(Q$5-1)</f>
        <v>-5050.8490001916</v>
      </c>
      <c r="R42" s="69" t="n">
        <f aca="false">-R28*Inputs!$E$37*(1+Inputs!$E$39)^(R$5-1)</f>
        <v>-5158.26591394953</v>
      </c>
      <c r="S42" s="69" t="n">
        <f aca="false">-S28*Inputs!$E$37*(1+Inputs!$E$39)^(S$5-1)</f>
        <v>-5261.38615115715</v>
      </c>
      <c r="T42" s="69" t="n">
        <f aca="false">-T28*Inputs!$E$37*(1+Inputs!$E$39)^(T$5-1)</f>
        <v>-5360.38157887646</v>
      </c>
      <c r="U42" s="69" t="n">
        <f aca="false">-U28*Inputs!$E$37*(1+Inputs!$E$39)^(U$5-1)</f>
        <v>-5455.41718948701</v>
      </c>
      <c r="V42" s="69" t="n">
        <f aca="false">-V28*Inputs!$E$37*(1+Inputs!$E$39)^(V$5-1)</f>
        <v>-5546.65137567313</v>
      </c>
      <c r="W42" s="69" t="n">
        <f aca="false">-W28*Inputs!$E$37*(1+Inputs!$E$39)^(W$5-1)</f>
        <v>-5634.2361944118</v>
      </c>
      <c r="X42" s="69" t="n">
        <f aca="false">-X28*Inputs!$E$37*(1+Inputs!$E$39)^(X$5-1)</f>
        <v>-5718.31762040093</v>
      </c>
      <c r="Y42" s="69" t="n">
        <f aca="false">-Y28*Inputs!$E$37*(1+Inputs!$E$39)^(Y$5-1)</f>
        <v>-5799.03578935049</v>
      </c>
      <c r="Z42" s="69" t="n">
        <f aca="false">-Z28*Inputs!$E$37*(1+Inputs!$E$39)^(Z$5-1)</f>
        <v>-4749.80618174632</v>
      </c>
      <c r="AA42" s="69" t="n">
        <f aca="false">-AA28*Inputs!$E$37*(1+Inputs!$E$39)^(AA$5-1)</f>
        <v>-5023.58952252714</v>
      </c>
      <c r="AB42" s="69" t="n">
        <f aca="false">-AB28*Inputs!$E$37*(1+Inputs!$E$39)^(AB$5-1)</f>
        <v>-5074.14077836925</v>
      </c>
      <c r="AC42" s="69" t="n">
        <f aca="false">-AC28*Inputs!$E$37*(1+Inputs!$E$39)^(AC$5-1)</f>
        <v>-6337.67695467375</v>
      </c>
      <c r="AD42" s="69" t="n">
        <f aca="false">-AD28*Inputs!$E$37*(1+Inputs!$E$39)^(AD$5-1)</f>
        <v>-6414.18568257223</v>
      </c>
      <c r="AE42" s="69" t="n">
        <f aca="false">-AE28*Inputs!$E$37*(1+Inputs!$E$39)^(AE$5-1)</f>
        <v>-6487.63406135476</v>
      </c>
      <c r="AF42" s="69" t="n">
        <f aca="false">-AF28*Inputs!$E$37*(1+Inputs!$E$39)^(AF$5-1)</f>
        <v>-6558.144504986</v>
      </c>
      <c r="AG42" s="69" t="n">
        <f aca="false">-AG28*Inputs!$E$37*(1+Inputs!$E$39)^(AG$5-1)</f>
        <v>-6625.83453087198</v>
      </c>
      <c r="AH42" s="69" t="n">
        <f aca="false">-AH28*Inputs!$E$37*(1+Inputs!$E$39)^(AH$5-1)</f>
        <v>-6690.81695572253</v>
      </c>
      <c r="AI42" s="69" t="n">
        <f aca="false">-AI28*Inputs!$E$37*(1+Inputs!$E$39)^(AI$5-1)</f>
        <v>-6753.20008357905</v>
      </c>
      <c r="AJ42" s="69" t="n">
        <f aca="false">-AJ28*Inputs!$E$37*(1+Inputs!$E$39)^(AJ$5-1)</f>
        <v>-6813.08788632131</v>
      </c>
      <c r="AK42" s="69" t="n">
        <f aca="false">-AK28*Inputs!$E$37*(1+Inputs!$E$39)^(AK$5-1)</f>
        <v>-6870.58017695389</v>
      </c>
      <c r="AL42" s="69" t="n">
        <f aca="false">-AL28*Inputs!$E$37*(1+Inputs!$E$39)^(AL$5-1)</f>
        <v>-5598.74755359129</v>
      </c>
    </row>
    <row r="43" customFormat="false" ht="15" hidden="false" customHeight="false" outlineLevel="0" collapsed="false">
      <c r="A43" s="6" t="s">
        <v>246</v>
      </c>
      <c r="C43" s="69" t="n">
        <f aca="false">C40+C41+C42</f>
        <v>-5633.6450059</v>
      </c>
      <c r="D43" s="69" t="n">
        <f aca="false">D40+D41+D42</f>
        <v>-6397.98072925289</v>
      </c>
      <c r="E43" s="69" t="n">
        <f aca="false">E40+E41+E42</f>
        <v>-8893.63320297872</v>
      </c>
      <c r="F43" s="69" t="n">
        <f aca="false">F40+F41+F42</f>
        <v>-9930.13991622624</v>
      </c>
      <c r="G43" s="69" t="n">
        <f aca="false">G40+G41+G42</f>
        <v>-10994.0101878105</v>
      </c>
      <c r="H43" s="69" t="n">
        <f aca="false">H40+H41+H42</f>
        <v>-12084.1494753981</v>
      </c>
      <c r="I43" s="69" t="n">
        <f aca="false">I40+I41+I42</f>
        <v>-13199.5070183488</v>
      </c>
      <c r="J43" s="69" t="n">
        <f aca="false">J40+J41+J42</f>
        <v>-14339.0740864482</v>
      </c>
      <c r="K43" s="69" t="n">
        <f aca="false">K40+K41+K42</f>
        <v>-15501.8822986903</v>
      </c>
      <c r="L43" s="69" t="n">
        <f aca="false">L40+L41+L42</f>
        <v>-16687.0020093093</v>
      </c>
      <c r="M43" s="69" t="n">
        <f aca="false">M40+M41+M42</f>
        <v>-17145.730004937</v>
      </c>
      <c r="N43" s="69" t="n">
        <f aca="false">N40+N41+N42</f>
        <v>-14209.3732318367</v>
      </c>
      <c r="O43" s="69" t="n">
        <f aca="false">O40+O41+O42</f>
        <v>-15241.410424082</v>
      </c>
      <c r="P43" s="69" t="n">
        <f aca="false">P40+P41+P42</f>
        <v>-15546.6731207623</v>
      </c>
      <c r="Q43" s="69" t="n">
        <f aca="false">Q40+Q41+Q42</f>
        <v>-19602.1044531245</v>
      </c>
      <c r="R43" s="69" t="n">
        <f aca="false">R40+R41+R42</f>
        <v>-20018.9843803279</v>
      </c>
      <c r="S43" s="69" t="n">
        <f aca="false">S40+S41+S42</f>
        <v>-20419.1891104432</v>
      </c>
      <c r="T43" s="69" t="n">
        <f aca="false">T40+T41+T42</f>
        <v>-20803.3856513539</v>
      </c>
      <c r="U43" s="69" t="n">
        <f aca="false">U40+U41+U42</f>
        <v>-21172.2143306281</v>
      </c>
      <c r="V43" s="69" t="n">
        <f aca="false">V40+V41+V42</f>
        <v>-21526.2898627314</v>
      </c>
      <c r="W43" s="69" t="n">
        <f aca="false">W40+W41+W42</f>
        <v>-21866.2023735506</v>
      </c>
      <c r="X43" s="69" t="n">
        <f aca="false">X40+X41+X42</f>
        <v>-22192.5183839369</v>
      </c>
      <c r="Y43" s="69" t="n">
        <f aca="false">Y40+Y41+Y42</f>
        <v>-22505.7817539079</v>
      </c>
      <c r="Z43" s="69" t="n">
        <f aca="false">Z40+Z41+Z42</f>
        <v>-18433.7716101107</v>
      </c>
      <c r="AA43" s="69" t="n">
        <f aca="false">AA40+AA41+AA42</f>
        <v>-19496.3117183791</v>
      </c>
      <c r="AB43" s="69" t="n">
        <f aca="false">AB40+AB41+AB42</f>
        <v>-19692.4987350997</v>
      </c>
      <c r="AC43" s="69" t="n">
        <f aca="false">AC40+AC41+AC42</f>
        <v>-24596.2224669481</v>
      </c>
      <c r="AD43" s="69" t="n">
        <f aca="false">AD40+AD41+AD42</f>
        <v>-24893.1491966494</v>
      </c>
      <c r="AE43" s="69" t="n">
        <f aca="false">AE40+AE41+AE42</f>
        <v>-25178.1988571625</v>
      </c>
      <c r="AF43" s="69" t="n">
        <f aca="false">AF40+AF41+AF42</f>
        <v>-25451.8465312552</v>
      </c>
      <c r="AG43" s="69" t="n">
        <f aca="false">AG40+AG41+AG42</f>
        <v>-25714.5482983841</v>
      </c>
      <c r="AH43" s="69" t="n">
        <f aca="false">AH40+AH41+AH42</f>
        <v>-25966.7419948279</v>
      </c>
      <c r="AI43" s="69" t="n">
        <f aca="false">AI40+AI41+AI42</f>
        <v>-26208.8479434139</v>
      </c>
      <c r="AJ43" s="69" t="n">
        <f aca="false">AJ40+AJ41+AJ42</f>
        <v>-26441.2696540565</v>
      </c>
      <c r="AK43" s="69" t="n">
        <f aca="false">AK40+AK41+AK42</f>
        <v>-26664.3944962734</v>
      </c>
      <c r="AL43" s="69" t="n">
        <f aca="false">AL40+AL41+AL42</f>
        <v>-21728.4726484614</v>
      </c>
    </row>
    <row r="44" customFormat="false" ht="15" hidden="false" customHeight="false" outlineLevel="0" collapsed="false">
      <c r="A44" s="6" t="s">
        <v>416</v>
      </c>
      <c r="C44" s="69" t="n">
        <f aca="false">-C37*Inputs!$E$38</f>
        <v>-1438.30074</v>
      </c>
      <c r="D44" s="69" t="n">
        <f aca="false">-D37*Inputs!$E$38</f>
        <v>-1633.46807706667</v>
      </c>
      <c r="E44" s="69" t="n">
        <f aca="false">-E37*Inputs!$E$38</f>
        <v>-2183.202053984</v>
      </c>
      <c r="F44" s="69" t="n">
        <f aca="false">-F37*Inputs!$E$38</f>
        <v>-2431.55696515797</v>
      </c>
      <c r="G44" s="69" t="n">
        <f aca="false">-G37*Inputs!$E$38</f>
        <v>-2684.70829321832</v>
      </c>
      <c r="H44" s="69" t="n">
        <f aca="false">-H37*Inputs!$E$38</f>
        <v>-2942.46418148959</v>
      </c>
      <c r="I44" s="69" t="n">
        <f aca="false">-I37*Inputs!$E$38</f>
        <v>-3204.64044756334</v>
      </c>
      <c r="J44" s="69" t="n">
        <f aca="false">-J37*Inputs!$E$38</f>
        <v>-3471.06027632747</v>
      </c>
      <c r="K44" s="69" t="n">
        <f aca="false">-K37*Inputs!$E$38</f>
        <v>-3741.55392527437</v>
      </c>
      <c r="L44" s="69" t="n">
        <f aca="false">-L37*Inputs!$E$38</f>
        <v>-4015.95844159673</v>
      </c>
      <c r="M44" s="69" t="n">
        <f aca="false">-M37*Inputs!$E$38</f>
        <v>-4096.36650393286</v>
      </c>
      <c r="N44" s="69" t="n">
        <f aca="false">-N37*Inputs!$E$38</f>
        <v>-3562.19184377555</v>
      </c>
      <c r="O44" s="69" t="n">
        <f aca="false">-O37*Inputs!$E$38</f>
        <v>-3778.18065974502</v>
      </c>
      <c r="P44" s="69" t="n">
        <f aca="false">-P37*Inputs!$E$38</f>
        <v>-3843.63695303521</v>
      </c>
      <c r="Q44" s="69" t="n">
        <f aca="false">-Q37*Inputs!$E$38</f>
        <v>-4548.77653443381</v>
      </c>
      <c r="R44" s="69" t="n">
        <f aca="false">-R37*Inputs!$E$38</f>
        <v>-4621.13982089645</v>
      </c>
      <c r="S44" s="69" t="n">
        <f aca="false">-S37*Inputs!$E$38</f>
        <v>-4690.6085759006</v>
      </c>
      <c r="T44" s="69" t="n">
        <f aca="false">-T37*Inputs!$E$38</f>
        <v>-4757.29858070457</v>
      </c>
      <c r="U44" s="69" t="n">
        <f aca="false">-U37*Inputs!$E$38</f>
        <v>-4821.32098531639</v>
      </c>
      <c r="V44" s="69" t="n">
        <f aca="false">-V37*Inputs!$E$38</f>
        <v>-4882.78249374373</v>
      </c>
      <c r="W44" s="69" t="n">
        <f aca="false">-W37*Inputs!$E$38</f>
        <v>-4941.78554183399</v>
      </c>
      <c r="X44" s="69" t="n">
        <f aca="false">-X37*Inputs!$E$38</f>
        <v>-4998.42846800063</v>
      </c>
      <c r="Y44" s="69" t="n">
        <f aca="false">-Y37*Inputs!$E$38</f>
        <v>-5052.8056771206</v>
      </c>
      <c r="Z44" s="69" t="n">
        <f aca="false">-Z37*Inputs!$E$38</f>
        <v>-4462.70625803578</v>
      </c>
      <c r="AA44" s="69" t="n">
        <f aca="false">-AA37*Inputs!$E$38</f>
        <v>-4675.76227444842</v>
      </c>
      <c r="AB44" s="69" t="n">
        <f aca="false">-AB37*Inputs!$E$38</f>
        <v>-4717.42147024629</v>
      </c>
      <c r="AC44" s="69" t="n">
        <f aca="false">-AC37*Inputs!$E$38</f>
        <v>-5432.21629596816</v>
      </c>
      <c r="AD44" s="69" t="n">
        <f aca="false">-AD37*Inputs!$E$38</f>
        <v>-5483.25733897013</v>
      </c>
      <c r="AE44" s="69" t="n">
        <f aca="false">-AE37*Inputs!$E$38</f>
        <v>-5532.25674025203</v>
      </c>
      <c r="AF44" s="69" t="n">
        <f aca="false">-AF37*Inputs!$E$38</f>
        <v>-5579.29616548265</v>
      </c>
      <c r="AG44" s="69" t="n">
        <f aca="false">-AG37*Inputs!$E$38</f>
        <v>-5624.45401370405</v>
      </c>
      <c r="AH44" s="69" t="n">
        <f aca="false">-AH37*Inputs!$E$38</f>
        <v>-5667.80554799659</v>
      </c>
      <c r="AI44" s="69" t="n">
        <f aca="false">-AI37*Inputs!$E$38</f>
        <v>-5709.42302091743</v>
      </c>
      <c r="AJ44" s="69" t="n">
        <f aca="false">-AJ37*Inputs!$E$38</f>
        <v>-5749.37579492144</v>
      </c>
      <c r="AK44" s="69" t="n">
        <f aca="false">-AK37*Inputs!$E$38</f>
        <v>-5787.73045796529</v>
      </c>
      <c r="AL44" s="69" t="n">
        <f aca="false">-AL37*Inputs!$E$38</f>
        <v>-5149.74893673148</v>
      </c>
    </row>
    <row r="45" customFormat="false" ht="15" hidden="false" customHeight="false" outlineLevel="0" collapsed="false">
      <c r="A45" s="4" t="s">
        <v>76</v>
      </c>
      <c r="C45" s="75" t="n">
        <f aca="false">C43+C44</f>
        <v>-7071.9457459</v>
      </c>
      <c r="D45" s="75" t="n">
        <f aca="false">D43+D44</f>
        <v>-8031.44880631956</v>
      </c>
      <c r="E45" s="75" t="n">
        <f aca="false">E43+E44</f>
        <v>-11076.8352569627</v>
      </c>
      <c r="F45" s="75" t="n">
        <f aca="false">F43+F44</f>
        <v>-12361.6968813842</v>
      </c>
      <c r="G45" s="75" t="n">
        <f aca="false">G43+G44</f>
        <v>-13678.7184810288</v>
      </c>
      <c r="H45" s="75" t="n">
        <f aca="false">H43+H44</f>
        <v>-15026.6136568877</v>
      </c>
      <c r="I45" s="75" t="n">
        <f aca="false">I43+I44</f>
        <v>-16404.1474659122</v>
      </c>
      <c r="J45" s="75" t="n">
        <f aca="false">J43+J44</f>
        <v>-17810.1343627757</v>
      </c>
      <c r="K45" s="75" t="n">
        <f aca="false">K43+K44</f>
        <v>-19243.4362239647</v>
      </c>
      <c r="L45" s="75" t="n">
        <f aca="false">L43+L44</f>
        <v>-20702.9604509061</v>
      </c>
      <c r="M45" s="75" t="n">
        <f aca="false">M43+M44</f>
        <v>-21242.0965088698</v>
      </c>
      <c r="N45" s="75" t="n">
        <f aca="false">N43+N44</f>
        <v>-17771.5650756123</v>
      </c>
      <c r="O45" s="75" t="n">
        <f aca="false">O43+O44</f>
        <v>-19019.591083827</v>
      </c>
      <c r="P45" s="75" t="n">
        <f aca="false">P43+P44</f>
        <v>-19390.3100737975</v>
      </c>
      <c r="Q45" s="75" t="n">
        <f aca="false">Q43+Q44</f>
        <v>-24150.8809875583</v>
      </c>
      <c r="R45" s="75" t="n">
        <f aca="false">R43+R44</f>
        <v>-24640.1242012244</v>
      </c>
      <c r="S45" s="75" t="n">
        <f aca="false">S43+S44</f>
        <v>-25109.7976863438</v>
      </c>
      <c r="T45" s="75" t="n">
        <f aca="false">T43+T44</f>
        <v>-25560.6842320585</v>
      </c>
      <c r="U45" s="75" t="n">
        <f aca="false">U43+U44</f>
        <v>-25993.5353159445</v>
      </c>
      <c r="V45" s="75" t="n">
        <f aca="false">V43+V44</f>
        <v>-26409.0723564752</v>
      </c>
      <c r="W45" s="75" t="n">
        <f aca="false">W43+W44</f>
        <v>-26807.9879153845</v>
      </c>
      <c r="X45" s="75" t="n">
        <f aca="false">X43+X44</f>
        <v>-27190.9468519376</v>
      </c>
      <c r="Y45" s="75" t="n">
        <f aca="false">Y43+Y44</f>
        <v>-27558.5874310285</v>
      </c>
      <c r="Z45" s="75" t="n">
        <f aca="false">Z43+Z44</f>
        <v>-22896.4778681465</v>
      </c>
      <c r="AA45" s="75" t="n">
        <f aca="false">AA43+AA44</f>
        <v>-24172.0739928275</v>
      </c>
      <c r="AB45" s="75" t="n">
        <f aca="false">AB43+AB44</f>
        <v>-24409.920205346</v>
      </c>
      <c r="AC45" s="75" t="n">
        <f aca="false">AC43+AC44</f>
        <v>-30028.4387629163</v>
      </c>
      <c r="AD45" s="75" t="n">
        <f aca="false">AD43+AD44</f>
        <v>-30376.4065356195</v>
      </c>
      <c r="AE45" s="75" t="n">
        <f aca="false">AE43+AE44</f>
        <v>-30710.4555974146</v>
      </c>
      <c r="AF45" s="75" t="n">
        <f aca="false">AF43+AF44</f>
        <v>-31031.1426967378</v>
      </c>
      <c r="AG45" s="75" t="n">
        <f aca="false">AG43+AG44</f>
        <v>-31339.0023120882</v>
      </c>
      <c r="AH45" s="75" t="n">
        <f aca="false">AH43+AH44</f>
        <v>-31634.5475428245</v>
      </c>
      <c r="AI45" s="75" t="n">
        <f aca="false">AI43+AI44</f>
        <v>-31918.2709643314</v>
      </c>
      <c r="AJ45" s="75" t="n">
        <f aca="false">AJ43+AJ44</f>
        <v>-32190.645448978</v>
      </c>
      <c r="AK45" s="75" t="n">
        <f aca="false">AK43+AK44</f>
        <v>-32452.1249542387</v>
      </c>
      <c r="AL45" s="75" t="n">
        <f aca="false">AL43+AL44</f>
        <v>-26878.2215851929</v>
      </c>
    </row>
    <row r="46" customFormat="false" ht="15" hidden="false" customHeight="false" outlineLevel="0" collapsed="false">
      <c r="A46" s="113" t="s">
        <v>45</v>
      </c>
      <c r="C46" s="70" t="n">
        <f aca="false">C37+C45</f>
        <v>40871.4122541</v>
      </c>
      <c r="D46" s="70" t="n">
        <f aca="false">D37+D45</f>
        <v>46417.4870959027</v>
      </c>
      <c r="E46" s="70" t="n">
        <f aca="false">E37+E45</f>
        <v>61696.566542504</v>
      </c>
      <c r="F46" s="70" t="n">
        <f aca="false">F37+F45</f>
        <v>68690.2019572149</v>
      </c>
      <c r="G46" s="70" t="n">
        <f aca="false">G37+G45</f>
        <v>75811.5579595819</v>
      </c>
      <c r="H46" s="70" t="n">
        <f aca="false">H37+H45</f>
        <v>83055.5257260986</v>
      </c>
      <c r="I46" s="70" t="n">
        <f aca="false">I37+I45</f>
        <v>90417.2007861991</v>
      </c>
      <c r="J46" s="70" t="n">
        <f aca="false">J37+J45</f>
        <v>97891.87484814</v>
      </c>
      <c r="K46" s="70" t="n">
        <f aca="false">K37+K45</f>
        <v>105475.027951848</v>
      </c>
      <c r="L46" s="70" t="n">
        <f aca="false">L37+L45</f>
        <v>113162.320935652</v>
      </c>
      <c r="M46" s="70" t="n">
        <f aca="false">M37+M45</f>
        <v>115303.453622226</v>
      </c>
      <c r="N46" s="70" t="n">
        <f aca="false">N37+N45</f>
        <v>100968.163050239</v>
      </c>
      <c r="O46" s="70" t="n">
        <f aca="false">O37+O45</f>
        <v>106919.764241007</v>
      </c>
      <c r="P46" s="70" t="n">
        <f aca="false">P37+P45</f>
        <v>108730.921694043</v>
      </c>
      <c r="Q46" s="70" t="n">
        <f aca="false">Q37+Q45</f>
        <v>127475.003493569</v>
      </c>
      <c r="R46" s="70" t="n">
        <f aca="false">R37+R45</f>
        <v>129397.869828657</v>
      </c>
      <c r="S46" s="70" t="n">
        <f aca="false">S37+S45</f>
        <v>131243.821510343</v>
      </c>
      <c r="T46" s="70" t="n">
        <f aca="false">T37+T45</f>
        <v>133015.935124761</v>
      </c>
      <c r="U46" s="70" t="n">
        <f aca="false">U37+U45</f>
        <v>134717.164194602</v>
      </c>
      <c r="V46" s="70" t="n">
        <f aca="false">V37+V45</f>
        <v>136350.344101649</v>
      </c>
      <c r="W46" s="70" t="n">
        <f aca="false">W37+W45</f>
        <v>137918.196812415</v>
      </c>
      <c r="X46" s="70" t="n">
        <f aca="false">X37+X45</f>
        <v>139423.33541475</v>
      </c>
      <c r="Y46" s="70" t="n">
        <f aca="false">Y37+Y45</f>
        <v>140868.268472992</v>
      </c>
      <c r="Z46" s="70" t="n">
        <f aca="false">Z37+Z45</f>
        <v>125860.397399713</v>
      </c>
      <c r="AA46" s="70" t="n">
        <f aca="false">AA37+AA45</f>
        <v>131686.668488787</v>
      </c>
      <c r="AB46" s="70" t="n">
        <f aca="false">AB37+AB45</f>
        <v>132837.462136197</v>
      </c>
      <c r="AC46" s="70" t="n">
        <f aca="false">AC37+AC45</f>
        <v>151045.437769356</v>
      </c>
      <c r="AD46" s="70" t="n">
        <f aca="false">AD37+AD45</f>
        <v>152398.838096718</v>
      </c>
      <c r="AE46" s="70" t="n">
        <f aca="false">AE37+AE45</f>
        <v>153698.102410987</v>
      </c>
      <c r="AF46" s="70" t="n">
        <f aca="false">AF37+AF45</f>
        <v>154945.396152684</v>
      </c>
      <c r="AG46" s="70" t="n">
        <f aca="false">AG37+AG45</f>
        <v>156142.798144714</v>
      </c>
      <c r="AH46" s="70" t="n">
        <f aca="false">AH37+AH45</f>
        <v>157292.304057062</v>
      </c>
      <c r="AI46" s="70" t="n">
        <f aca="false">AI37+AI45</f>
        <v>158395.829732916</v>
      </c>
      <c r="AJ46" s="70" t="n">
        <f aca="false">AJ37+AJ45</f>
        <v>159455.214381737</v>
      </c>
      <c r="AK46" s="70" t="n">
        <f aca="false">AK37+AK45</f>
        <v>160472.223644604</v>
      </c>
      <c r="AL46" s="70" t="n">
        <f aca="false">AL37+AL45</f>
        <v>144780.076305856</v>
      </c>
    </row>
    <row r="48" customFormat="false" ht="15.75" hidden="false" customHeight="true" outlineLevel="0" collapsed="false">
      <c r="A48" s="7" t="s">
        <v>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6" t="s">
        <v>340</v>
      </c>
      <c r="C49" s="71" t="n">
        <f aca="false">Headcount!C15</f>
        <v>-36586.6666666667</v>
      </c>
      <c r="D49" s="71" t="n">
        <f aca="false">Headcount!D15</f>
        <v>-36586.6666666667</v>
      </c>
      <c r="E49" s="71" t="n">
        <f aca="false">Headcount!E15</f>
        <v>-36586.6666666667</v>
      </c>
      <c r="F49" s="71" t="n">
        <f aca="false">Headcount!F15</f>
        <v>-36586.6666666667</v>
      </c>
      <c r="G49" s="71" t="n">
        <f aca="false">Headcount!G15</f>
        <v>-36586.6666666667</v>
      </c>
      <c r="H49" s="71" t="n">
        <f aca="false">Headcount!H15</f>
        <v>-36586.6666666667</v>
      </c>
      <c r="I49" s="71" t="n">
        <f aca="false">Headcount!I15</f>
        <v>-36586.6666666667</v>
      </c>
      <c r="J49" s="71" t="n">
        <f aca="false">Headcount!J15</f>
        <v>-36586.6666666667</v>
      </c>
      <c r="K49" s="71" t="n">
        <f aca="false">Headcount!K15</f>
        <v>-36586.6666666667</v>
      </c>
      <c r="L49" s="71" t="n">
        <f aca="false">Headcount!L15</f>
        <v>-36586.6666666667</v>
      </c>
      <c r="M49" s="71" t="n">
        <f aca="false">Headcount!M15</f>
        <v>-36586.6666666667</v>
      </c>
      <c r="N49" s="71" t="n">
        <f aca="false">Headcount!N15</f>
        <v>-36586.6666666667</v>
      </c>
      <c r="O49" s="71" t="n">
        <f aca="false">Headcount!O15</f>
        <v>-37684.2666666667</v>
      </c>
      <c r="P49" s="71" t="n">
        <f aca="false">Headcount!P15</f>
        <v>-37684.2666666667</v>
      </c>
      <c r="Q49" s="71" t="n">
        <f aca="false">Headcount!Q15</f>
        <v>-37684.2666666667</v>
      </c>
      <c r="R49" s="71" t="n">
        <f aca="false">Headcount!R15</f>
        <v>-37684.2666666667</v>
      </c>
      <c r="S49" s="71" t="n">
        <f aca="false">Headcount!S15</f>
        <v>-37684.2666666667</v>
      </c>
      <c r="T49" s="71" t="n">
        <f aca="false">Headcount!T15</f>
        <v>-37684.2666666667</v>
      </c>
      <c r="U49" s="71" t="n">
        <f aca="false">Headcount!U15</f>
        <v>-37684.2666666667</v>
      </c>
      <c r="V49" s="71" t="n">
        <f aca="false">Headcount!V15</f>
        <v>-37684.2666666667</v>
      </c>
      <c r="W49" s="71" t="n">
        <f aca="false">Headcount!W15</f>
        <v>-37684.2666666667</v>
      </c>
      <c r="X49" s="71" t="n">
        <f aca="false">Headcount!X15</f>
        <v>-37684.2666666667</v>
      </c>
      <c r="Y49" s="71" t="n">
        <f aca="false">Headcount!Y15</f>
        <v>-37684.2666666667</v>
      </c>
      <c r="Z49" s="71" t="n">
        <f aca="false">Headcount!Z15</f>
        <v>-37684.2666666667</v>
      </c>
      <c r="AA49" s="71" t="n">
        <f aca="false">Headcount!AA15</f>
        <v>-38814.7946666667</v>
      </c>
      <c r="AB49" s="71" t="n">
        <f aca="false">Headcount!AB15</f>
        <v>-38814.7946666667</v>
      </c>
      <c r="AC49" s="71" t="n">
        <f aca="false">Headcount!AC15</f>
        <v>-38814.7946666667</v>
      </c>
      <c r="AD49" s="71" t="n">
        <f aca="false">Headcount!AD15</f>
        <v>-38814.7946666667</v>
      </c>
      <c r="AE49" s="71" t="n">
        <f aca="false">Headcount!AE15</f>
        <v>-38814.7946666667</v>
      </c>
      <c r="AF49" s="71" t="n">
        <f aca="false">Headcount!AF15</f>
        <v>-38814.7946666667</v>
      </c>
      <c r="AG49" s="71" t="n">
        <f aca="false">Headcount!AG15</f>
        <v>-38814.7946666667</v>
      </c>
      <c r="AH49" s="71" t="n">
        <f aca="false">Headcount!AH15</f>
        <v>-38814.7946666667</v>
      </c>
      <c r="AI49" s="71" t="n">
        <f aca="false">Headcount!AI15</f>
        <v>-38814.7946666667</v>
      </c>
      <c r="AJ49" s="71" t="n">
        <f aca="false">Headcount!AJ15</f>
        <v>-38814.7946666667</v>
      </c>
      <c r="AK49" s="71" t="n">
        <f aca="false">Headcount!AK15</f>
        <v>-38814.7946666667</v>
      </c>
      <c r="AL49" s="71" t="n">
        <f aca="false">Headcount!AL15</f>
        <v>-38814.7946666667</v>
      </c>
    </row>
    <row r="50" customFormat="false" ht="15" hidden="false" customHeight="false" outlineLevel="0" collapsed="false">
      <c r="A50" s="6" t="s">
        <v>341</v>
      </c>
      <c r="C50" s="69" t="n">
        <f aca="false">-Inputs!$E$42*(1+Inputs!$E$43)^(C$5-1)*1</f>
        <v>-30000</v>
      </c>
      <c r="D50" s="69" t="n">
        <f aca="false">-Inputs!$E$42*(1+Inputs!$E$43)^(D$5-1)*1</f>
        <v>-30000</v>
      </c>
      <c r="E50" s="69" t="n">
        <f aca="false">-Inputs!$E$42*(1+Inputs!$E$43)^(E$5-1)*1</f>
        <v>-30000</v>
      </c>
      <c r="F50" s="69" t="n">
        <f aca="false">-Inputs!$E$42*(1+Inputs!$E$43)^(F$5-1)*1</f>
        <v>-30000</v>
      </c>
      <c r="G50" s="69" t="n">
        <f aca="false">-Inputs!$E$42*(1+Inputs!$E$43)^(G$5-1)*1</f>
        <v>-30000</v>
      </c>
      <c r="H50" s="69" t="n">
        <f aca="false">-Inputs!$E$42*(1+Inputs!$E$43)^(H$5-1)*1</f>
        <v>-30000</v>
      </c>
      <c r="I50" s="69" t="n">
        <f aca="false">-Inputs!$E$42*(1+Inputs!$E$43)^(I$5-1)*1</f>
        <v>-30000</v>
      </c>
      <c r="J50" s="69" t="n">
        <f aca="false">-Inputs!$E$42*(1+Inputs!$E$43)^(J$5-1)*1</f>
        <v>-30000</v>
      </c>
      <c r="K50" s="69" t="n">
        <f aca="false">-Inputs!$E$42*(1+Inputs!$E$43)^(K$5-1)*1</f>
        <v>-30000</v>
      </c>
      <c r="L50" s="69" t="n">
        <f aca="false">-Inputs!$E$42*(1+Inputs!$E$43)^(L$5-1)*1</f>
        <v>-30000</v>
      </c>
      <c r="M50" s="69" t="n">
        <f aca="false">-Inputs!$E$42*(1+Inputs!$E$43)^(M$5-1)*1</f>
        <v>-30000</v>
      </c>
      <c r="N50" s="69" t="n">
        <f aca="false">-Inputs!$E$42*(1+Inputs!$E$43)^(N$5-1)*1</f>
        <v>-30000</v>
      </c>
      <c r="O50" s="69" t="n">
        <f aca="false">-Inputs!$E$42*(1+Inputs!$E$43)^(O$5-1)*1</f>
        <v>-30900</v>
      </c>
      <c r="P50" s="69" t="n">
        <f aca="false">-Inputs!$E$42*(1+Inputs!$E$43)^(P$5-1)*1</f>
        <v>-30900</v>
      </c>
      <c r="Q50" s="69" t="n">
        <f aca="false">-Inputs!$E$42*(1+Inputs!$E$43)^(Q$5-1)*1</f>
        <v>-30900</v>
      </c>
      <c r="R50" s="69" t="n">
        <f aca="false">-Inputs!$E$42*(1+Inputs!$E$43)^(R$5-1)*1</f>
        <v>-30900</v>
      </c>
      <c r="S50" s="69" t="n">
        <f aca="false">-Inputs!$E$42*(1+Inputs!$E$43)^(S$5-1)*1</f>
        <v>-30900</v>
      </c>
      <c r="T50" s="69" t="n">
        <f aca="false">-Inputs!$E$42*(1+Inputs!$E$43)^(T$5-1)*1</f>
        <v>-30900</v>
      </c>
      <c r="U50" s="69" t="n">
        <f aca="false">-Inputs!$E$42*(1+Inputs!$E$43)^(U$5-1)*1</f>
        <v>-30900</v>
      </c>
      <c r="V50" s="69" t="n">
        <f aca="false">-Inputs!$E$42*(1+Inputs!$E$43)^(V$5-1)*1</f>
        <v>-30900</v>
      </c>
      <c r="W50" s="69" t="n">
        <f aca="false">-Inputs!$E$42*(1+Inputs!$E$43)^(W$5-1)*1</f>
        <v>-30900</v>
      </c>
      <c r="X50" s="69" t="n">
        <f aca="false">-Inputs!$E$42*(1+Inputs!$E$43)^(X$5-1)*1</f>
        <v>-30900</v>
      </c>
      <c r="Y50" s="69" t="n">
        <f aca="false">-Inputs!$E$42*(1+Inputs!$E$43)^(Y$5-1)*1</f>
        <v>-30900</v>
      </c>
      <c r="Z50" s="69" t="n">
        <f aca="false">-Inputs!$E$42*(1+Inputs!$E$43)^(Z$5-1)*1</f>
        <v>-30900</v>
      </c>
      <c r="AA50" s="69" t="n">
        <f aca="false">-Inputs!$E$42*(1+Inputs!$E$43)^(AA$5-1)*1</f>
        <v>-31827</v>
      </c>
      <c r="AB50" s="69" t="n">
        <f aca="false">-Inputs!$E$42*(1+Inputs!$E$43)^(AB$5-1)*1</f>
        <v>-31827</v>
      </c>
      <c r="AC50" s="69" t="n">
        <f aca="false">-Inputs!$E$42*(1+Inputs!$E$43)^(AC$5-1)*1</f>
        <v>-31827</v>
      </c>
      <c r="AD50" s="69" t="n">
        <f aca="false">-Inputs!$E$42*(1+Inputs!$E$43)^(AD$5-1)*1</f>
        <v>-31827</v>
      </c>
      <c r="AE50" s="69" t="n">
        <f aca="false">-Inputs!$E$42*(1+Inputs!$E$43)^(AE$5-1)*1</f>
        <v>-31827</v>
      </c>
      <c r="AF50" s="69" t="n">
        <f aca="false">-Inputs!$E$42*(1+Inputs!$E$43)^(AF$5-1)*1</f>
        <v>-31827</v>
      </c>
      <c r="AG50" s="69" t="n">
        <f aca="false">-Inputs!$E$42*(1+Inputs!$E$43)^(AG$5-1)*1</f>
        <v>-31827</v>
      </c>
      <c r="AH50" s="69" t="n">
        <f aca="false">-Inputs!$E$42*(1+Inputs!$E$43)^(AH$5-1)*1</f>
        <v>-31827</v>
      </c>
      <c r="AI50" s="69" t="n">
        <f aca="false">-Inputs!$E$42*(1+Inputs!$E$43)^(AI$5-1)*1</f>
        <v>-31827</v>
      </c>
      <c r="AJ50" s="69" t="n">
        <f aca="false">-Inputs!$E$42*(1+Inputs!$E$43)^(AJ$5-1)*1</f>
        <v>-31827</v>
      </c>
      <c r="AK50" s="69" t="n">
        <f aca="false">-Inputs!$E$42*(1+Inputs!$E$43)^(AK$5-1)*1</f>
        <v>-31827</v>
      </c>
      <c r="AL50" s="69" t="n">
        <f aca="false">-Inputs!$E$42*(1+Inputs!$E$43)^(AL$5-1)*1</f>
        <v>-31827</v>
      </c>
    </row>
    <row r="51" customFormat="false" ht="15" hidden="false" customHeight="false" outlineLevel="0" collapsed="false">
      <c r="A51" s="6" t="s">
        <v>342</v>
      </c>
      <c r="C51" s="69" t="n">
        <f aca="false">-Inputs!$E$44*(1+Inputs!$E$39)^(C$5-1)*1</f>
        <v>-5500</v>
      </c>
      <c r="D51" s="69" t="n">
        <f aca="false">-Inputs!$E$44*(1+Inputs!$E$39)^(D$5-1)*1</f>
        <v>-5500</v>
      </c>
      <c r="E51" s="69" t="n">
        <f aca="false">-Inputs!$E$44*(1+Inputs!$E$39)^(E$5-1)*1</f>
        <v>-5500</v>
      </c>
      <c r="F51" s="69" t="n">
        <f aca="false">-Inputs!$E$44*(1+Inputs!$E$39)^(F$5-1)*1</f>
        <v>-5500</v>
      </c>
      <c r="G51" s="69" t="n">
        <f aca="false">-Inputs!$E$44*(1+Inputs!$E$39)^(G$5-1)*1</f>
        <v>-5500</v>
      </c>
      <c r="H51" s="69" t="n">
        <f aca="false">-Inputs!$E$44*(1+Inputs!$E$39)^(H$5-1)*1</f>
        <v>-5500</v>
      </c>
      <c r="I51" s="69" t="n">
        <f aca="false">-Inputs!$E$44*(1+Inputs!$E$39)^(I$5-1)*1</f>
        <v>-5500</v>
      </c>
      <c r="J51" s="69" t="n">
        <f aca="false">-Inputs!$E$44*(1+Inputs!$E$39)^(J$5-1)*1</f>
        <v>-5500</v>
      </c>
      <c r="K51" s="69" t="n">
        <f aca="false">-Inputs!$E$44*(1+Inputs!$E$39)^(K$5-1)*1</f>
        <v>-5500</v>
      </c>
      <c r="L51" s="69" t="n">
        <f aca="false">-Inputs!$E$44*(1+Inputs!$E$39)^(L$5-1)*1</f>
        <v>-5500</v>
      </c>
      <c r="M51" s="69" t="n">
        <f aca="false">-Inputs!$E$44*(1+Inputs!$E$39)^(M$5-1)*1</f>
        <v>-5500</v>
      </c>
      <c r="N51" s="69" t="n">
        <f aca="false">-Inputs!$E$44*(1+Inputs!$E$39)^(N$5-1)*1</f>
        <v>-5500</v>
      </c>
      <c r="O51" s="69" t="n">
        <f aca="false">-Inputs!$E$44*(1+Inputs!$E$39)^(O$5-1)*1</f>
        <v>-5665</v>
      </c>
      <c r="P51" s="69" t="n">
        <f aca="false">-Inputs!$E$44*(1+Inputs!$E$39)^(P$5-1)*1</f>
        <v>-5665</v>
      </c>
      <c r="Q51" s="69" t="n">
        <f aca="false">-Inputs!$E$44*(1+Inputs!$E$39)^(Q$5-1)*1</f>
        <v>-5665</v>
      </c>
      <c r="R51" s="69" t="n">
        <f aca="false">-Inputs!$E$44*(1+Inputs!$E$39)^(R$5-1)*1</f>
        <v>-5665</v>
      </c>
      <c r="S51" s="69" t="n">
        <f aca="false">-Inputs!$E$44*(1+Inputs!$E$39)^(S$5-1)*1</f>
        <v>-5665</v>
      </c>
      <c r="T51" s="69" t="n">
        <f aca="false">-Inputs!$E$44*(1+Inputs!$E$39)^(T$5-1)*1</f>
        <v>-5665</v>
      </c>
      <c r="U51" s="69" t="n">
        <f aca="false">-Inputs!$E$44*(1+Inputs!$E$39)^(U$5-1)*1</f>
        <v>-5665</v>
      </c>
      <c r="V51" s="69" t="n">
        <f aca="false">-Inputs!$E$44*(1+Inputs!$E$39)^(V$5-1)*1</f>
        <v>-5665</v>
      </c>
      <c r="W51" s="69" t="n">
        <f aca="false">-Inputs!$E$44*(1+Inputs!$E$39)^(W$5-1)*1</f>
        <v>-5665</v>
      </c>
      <c r="X51" s="69" t="n">
        <f aca="false">-Inputs!$E$44*(1+Inputs!$E$39)^(X$5-1)*1</f>
        <v>-5665</v>
      </c>
      <c r="Y51" s="69" t="n">
        <f aca="false">-Inputs!$E$44*(1+Inputs!$E$39)^(Y$5-1)*1</f>
        <v>-5665</v>
      </c>
      <c r="Z51" s="69" t="n">
        <f aca="false">-Inputs!$E$44*(1+Inputs!$E$39)^(Z$5-1)*1</f>
        <v>-5665</v>
      </c>
      <c r="AA51" s="69" t="n">
        <f aca="false">-Inputs!$E$44*(1+Inputs!$E$39)^(AA$5-1)*1</f>
        <v>-5834.95</v>
      </c>
      <c r="AB51" s="69" t="n">
        <f aca="false">-Inputs!$E$44*(1+Inputs!$E$39)^(AB$5-1)*1</f>
        <v>-5834.95</v>
      </c>
      <c r="AC51" s="69" t="n">
        <f aca="false">-Inputs!$E$44*(1+Inputs!$E$39)^(AC$5-1)*1</f>
        <v>-5834.95</v>
      </c>
      <c r="AD51" s="69" t="n">
        <f aca="false">-Inputs!$E$44*(1+Inputs!$E$39)^(AD$5-1)*1</f>
        <v>-5834.95</v>
      </c>
      <c r="AE51" s="69" t="n">
        <f aca="false">-Inputs!$E$44*(1+Inputs!$E$39)^(AE$5-1)*1</f>
        <v>-5834.95</v>
      </c>
      <c r="AF51" s="69" t="n">
        <f aca="false">-Inputs!$E$44*(1+Inputs!$E$39)^(AF$5-1)*1</f>
        <v>-5834.95</v>
      </c>
      <c r="AG51" s="69" t="n">
        <f aca="false">-Inputs!$E$44*(1+Inputs!$E$39)^(AG$5-1)*1</f>
        <v>-5834.95</v>
      </c>
      <c r="AH51" s="69" t="n">
        <f aca="false">-Inputs!$E$44*(1+Inputs!$E$39)^(AH$5-1)*1</f>
        <v>-5834.95</v>
      </c>
      <c r="AI51" s="69" t="n">
        <f aca="false">-Inputs!$E$44*(1+Inputs!$E$39)^(AI$5-1)*1</f>
        <v>-5834.95</v>
      </c>
      <c r="AJ51" s="69" t="n">
        <f aca="false">-Inputs!$E$44*(1+Inputs!$E$39)^(AJ$5-1)*1</f>
        <v>-5834.95</v>
      </c>
      <c r="AK51" s="69" t="n">
        <f aca="false">-Inputs!$E$44*(1+Inputs!$E$39)^(AK$5-1)*1</f>
        <v>-5834.95</v>
      </c>
      <c r="AL51" s="69" t="n">
        <f aca="false">-Inputs!$E$44*(1+Inputs!$E$39)^(AL$5-1)*1</f>
        <v>-5834.95</v>
      </c>
    </row>
    <row r="52" customFormat="false" ht="15" hidden="false" customHeight="false" outlineLevel="0" collapsed="false">
      <c r="A52" s="6" t="s">
        <v>343</v>
      </c>
      <c r="C52" s="69" t="n">
        <f aca="false">-Inputs!$E$45*(1+Inputs!$E$39)^(C$5-1)*1</f>
        <v>-9500</v>
      </c>
      <c r="D52" s="69" t="n">
        <f aca="false">-Inputs!$E$45*(1+Inputs!$E$39)^(D$5-1)*1</f>
        <v>-9500</v>
      </c>
      <c r="E52" s="69" t="n">
        <f aca="false">-Inputs!$E$45*(1+Inputs!$E$39)^(E$5-1)*1</f>
        <v>-9500</v>
      </c>
      <c r="F52" s="69" t="n">
        <f aca="false">-Inputs!$E$45*(1+Inputs!$E$39)^(F$5-1)*1</f>
        <v>-9500</v>
      </c>
      <c r="G52" s="69" t="n">
        <f aca="false">-Inputs!$E$45*(1+Inputs!$E$39)^(G$5-1)*1</f>
        <v>-9500</v>
      </c>
      <c r="H52" s="69" t="n">
        <f aca="false">-Inputs!$E$45*(1+Inputs!$E$39)^(H$5-1)*1</f>
        <v>-9500</v>
      </c>
      <c r="I52" s="69" t="n">
        <f aca="false">-Inputs!$E$45*(1+Inputs!$E$39)^(I$5-1)*1</f>
        <v>-9500</v>
      </c>
      <c r="J52" s="69" t="n">
        <f aca="false">-Inputs!$E$45*(1+Inputs!$E$39)^(J$5-1)*1</f>
        <v>-9500</v>
      </c>
      <c r="K52" s="69" t="n">
        <f aca="false">-Inputs!$E$45*(1+Inputs!$E$39)^(K$5-1)*1</f>
        <v>-9500</v>
      </c>
      <c r="L52" s="69" t="n">
        <f aca="false">-Inputs!$E$45*(1+Inputs!$E$39)^(L$5-1)*1</f>
        <v>-9500</v>
      </c>
      <c r="M52" s="69" t="n">
        <f aca="false">-Inputs!$E$45*(1+Inputs!$E$39)^(M$5-1)*1</f>
        <v>-9500</v>
      </c>
      <c r="N52" s="69" t="n">
        <f aca="false">-Inputs!$E$45*(1+Inputs!$E$39)^(N$5-1)*1</f>
        <v>-9500</v>
      </c>
      <c r="O52" s="69" t="n">
        <f aca="false">-Inputs!$E$45*(1+Inputs!$E$39)^(O$5-1)*1</f>
        <v>-9785</v>
      </c>
      <c r="P52" s="69" t="n">
        <f aca="false">-Inputs!$E$45*(1+Inputs!$E$39)^(P$5-1)*1</f>
        <v>-9785</v>
      </c>
      <c r="Q52" s="69" t="n">
        <f aca="false">-Inputs!$E$45*(1+Inputs!$E$39)^(Q$5-1)*1</f>
        <v>-9785</v>
      </c>
      <c r="R52" s="69" t="n">
        <f aca="false">-Inputs!$E$45*(1+Inputs!$E$39)^(R$5-1)*1</f>
        <v>-9785</v>
      </c>
      <c r="S52" s="69" t="n">
        <f aca="false">-Inputs!$E$45*(1+Inputs!$E$39)^(S$5-1)*1</f>
        <v>-9785</v>
      </c>
      <c r="T52" s="69" t="n">
        <f aca="false">-Inputs!$E$45*(1+Inputs!$E$39)^(T$5-1)*1</f>
        <v>-9785</v>
      </c>
      <c r="U52" s="69" t="n">
        <f aca="false">-Inputs!$E$45*(1+Inputs!$E$39)^(U$5-1)*1</f>
        <v>-9785</v>
      </c>
      <c r="V52" s="69" t="n">
        <f aca="false">-Inputs!$E$45*(1+Inputs!$E$39)^(V$5-1)*1</f>
        <v>-9785</v>
      </c>
      <c r="W52" s="69" t="n">
        <f aca="false">-Inputs!$E$45*(1+Inputs!$E$39)^(W$5-1)*1</f>
        <v>-9785</v>
      </c>
      <c r="X52" s="69" t="n">
        <f aca="false">-Inputs!$E$45*(1+Inputs!$E$39)^(X$5-1)*1</f>
        <v>-9785</v>
      </c>
      <c r="Y52" s="69" t="n">
        <f aca="false">-Inputs!$E$45*(1+Inputs!$E$39)^(Y$5-1)*1</f>
        <v>-9785</v>
      </c>
      <c r="Z52" s="69" t="n">
        <f aca="false">-Inputs!$E$45*(1+Inputs!$E$39)^(Z$5-1)*1</f>
        <v>-9785</v>
      </c>
      <c r="AA52" s="69" t="n">
        <f aca="false">-Inputs!$E$45*(1+Inputs!$E$39)^(AA$5-1)*1</f>
        <v>-10078.55</v>
      </c>
      <c r="AB52" s="69" t="n">
        <f aca="false">-Inputs!$E$45*(1+Inputs!$E$39)^(AB$5-1)*1</f>
        <v>-10078.55</v>
      </c>
      <c r="AC52" s="69" t="n">
        <f aca="false">-Inputs!$E$45*(1+Inputs!$E$39)^(AC$5-1)*1</f>
        <v>-10078.55</v>
      </c>
      <c r="AD52" s="69" t="n">
        <f aca="false">-Inputs!$E$45*(1+Inputs!$E$39)^(AD$5-1)*1</f>
        <v>-10078.55</v>
      </c>
      <c r="AE52" s="69" t="n">
        <f aca="false">-Inputs!$E$45*(1+Inputs!$E$39)^(AE$5-1)*1</f>
        <v>-10078.55</v>
      </c>
      <c r="AF52" s="69" t="n">
        <f aca="false">-Inputs!$E$45*(1+Inputs!$E$39)^(AF$5-1)*1</f>
        <v>-10078.55</v>
      </c>
      <c r="AG52" s="69" t="n">
        <f aca="false">-Inputs!$E$45*(1+Inputs!$E$39)^(AG$5-1)*1</f>
        <v>-10078.55</v>
      </c>
      <c r="AH52" s="69" t="n">
        <f aca="false">-Inputs!$E$45*(1+Inputs!$E$39)^(AH$5-1)*1</f>
        <v>-10078.55</v>
      </c>
      <c r="AI52" s="69" t="n">
        <f aca="false">-Inputs!$E$45*(1+Inputs!$E$39)^(AI$5-1)*1</f>
        <v>-10078.55</v>
      </c>
      <c r="AJ52" s="69" t="n">
        <f aca="false">-Inputs!$E$45*(1+Inputs!$E$39)^(AJ$5-1)*1</f>
        <v>-10078.55</v>
      </c>
      <c r="AK52" s="69" t="n">
        <f aca="false">-Inputs!$E$45*(1+Inputs!$E$39)^(AK$5-1)*1</f>
        <v>-10078.55</v>
      </c>
      <c r="AL52" s="69" t="n">
        <f aca="false">-Inputs!$E$45*(1+Inputs!$E$39)^(AL$5-1)*1</f>
        <v>-10078.55</v>
      </c>
    </row>
    <row r="53" customFormat="false" ht="15" hidden="false" customHeight="false" outlineLevel="0" collapsed="false">
      <c r="A53" s="6" t="s">
        <v>344</v>
      </c>
      <c r="C53" s="69" t="n">
        <f aca="false">-Inputs!$E$46*(1+Inputs!$E$47)^(C$5-1)*1</f>
        <v>-12000</v>
      </c>
      <c r="D53" s="69" t="n">
        <f aca="false">-Inputs!$E$46*(1+Inputs!$E$47)^(D$5-1)*1</f>
        <v>-12000</v>
      </c>
      <c r="E53" s="69" t="n">
        <f aca="false">-Inputs!$E$46*(1+Inputs!$E$47)^(E$5-1)*1</f>
        <v>-12000</v>
      </c>
      <c r="F53" s="69" t="n">
        <f aca="false">-Inputs!$E$46*(1+Inputs!$E$47)^(F$5-1)*1</f>
        <v>-12000</v>
      </c>
      <c r="G53" s="69" t="n">
        <f aca="false">-Inputs!$E$46*(1+Inputs!$E$47)^(G$5-1)*1</f>
        <v>-12000</v>
      </c>
      <c r="H53" s="69" t="n">
        <f aca="false">-Inputs!$E$46*(1+Inputs!$E$47)^(H$5-1)*1</f>
        <v>-12000</v>
      </c>
      <c r="I53" s="69" t="n">
        <f aca="false">-Inputs!$E$46*(1+Inputs!$E$47)^(I$5-1)*1</f>
        <v>-12000</v>
      </c>
      <c r="J53" s="69" t="n">
        <f aca="false">-Inputs!$E$46*(1+Inputs!$E$47)^(J$5-1)*1</f>
        <v>-12000</v>
      </c>
      <c r="K53" s="69" t="n">
        <f aca="false">-Inputs!$E$46*(1+Inputs!$E$47)^(K$5-1)*1</f>
        <v>-12000</v>
      </c>
      <c r="L53" s="69" t="n">
        <f aca="false">-Inputs!$E$46*(1+Inputs!$E$47)^(L$5-1)*1</f>
        <v>-12000</v>
      </c>
      <c r="M53" s="69" t="n">
        <f aca="false">-Inputs!$E$46*(1+Inputs!$E$47)^(M$5-1)*1</f>
        <v>-12000</v>
      </c>
      <c r="N53" s="69" t="n">
        <f aca="false">-Inputs!$E$46*(1+Inputs!$E$47)^(N$5-1)*1</f>
        <v>-12000</v>
      </c>
      <c r="O53" s="69" t="n">
        <f aca="false">-Inputs!$E$46*(1+Inputs!$E$47)^(O$5-1)*1</f>
        <v>-9600</v>
      </c>
      <c r="P53" s="69" t="n">
        <f aca="false">-Inputs!$E$46*(1+Inputs!$E$47)^(P$5-1)*1</f>
        <v>-9600</v>
      </c>
      <c r="Q53" s="69" t="n">
        <f aca="false">-Inputs!$E$46*(1+Inputs!$E$47)^(Q$5-1)*1</f>
        <v>-9600</v>
      </c>
      <c r="R53" s="69" t="n">
        <f aca="false">-Inputs!$E$46*(1+Inputs!$E$47)^(R$5-1)*1</f>
        <v>-9600</v>
      </c>
      <c r="S53" s="69" t="n">
        <f aca="false">-Inputs!$E$46*(1+Inputs!$E$47)^(S$5-1)*1</f>
        <v>-9600</v>
      </c>
      <c r="T53" s="69" t="n">
        <f aca="false">-Inputs!$E$46*(1+Inputs!$E$47)^(T$5-1)*1</f>
        <v>-9600</v>
      </c>
      <c r="U53" s="69" t="n">
        <f aca="false">-Inputs!$E$46*(1+Inputs!$E$47)^(U$5-1)*1</f>
        <v>-9600</v>
      </c>
      <c r="V53" s="69" t="n">
        <f aca="false">-Inputs!$E$46*(1+Inputs!$E$47)^(V$5-1)*1</f>
        <v>-9600</v>
      </c>
      <c r="W53" s="69" t="n">
        <f aca="false">-Inputs!$E$46*(1+Inputs!$E$47)^(W$5-1)*1</f>
        <v>-9600</v>
      </c>
      <c r="X53" s="69" t="n">
        <f aca="false">-Inputs!$E$46*(1+Inputs!$E$47)^(X$5-1)*1</f>
        <v>-9600</v>
      </c>
      <c r="Y53" s="69" t="n">
        <f aca="false">-Inputs!$E$46*(1+Inputs!$E$47)^(Y$5-1)*1</f>
        <v>-9600</v>
      </c>
      <c r="Z53" s="69" t="n">
        <f aca="false">-Inputs!$E$46*(1+Inputs!$E$47)^(Z$5-1)*1</f>
        <v>-9600</v>
      </c>
      <c r="AA53" s="69" t="n">
        <f aca="false">-Inputs!$E$46*(1+Inputs!$E$47)^(AA$5-1)*1</f>
        <v>-7680</v>
      </c>
      <c r="AB53" s="69" t="n">
        <f aca="false">-Inputs!$E$46*(1+Inputs!$E$47)^(AB$5-1)*1</f>
        <v>-7680</v>
      </c>
      <c r="AC53" s="69" t="n">
        <f aca="false">-Inputs!$E$46*(1+Inputs!$E$47)^(AC$5-1)*1</f>
        <v>-7680</v>
      </c>
      <c r="AD53" s="69" t="n">
        <f aca="false">-Inputs!$E$46*(1+Inputs!$E$47)^(AD$5-1)*1</f>
        <v>-7680</v>
      </c>
      <c r="AE53" s="69" t="n">
        <f aca="false">-Inputs!$E$46*(1+Inputs!$E$47)^(AE$5-1)*1</f>
        <v>-7680</v>
      </c>
      <c r="AF53" s="69" t="n">
        <f aca="false">-Inputs!$E$46*(1+Inputs!$E$47)^(AF$5-1)*1</f>
        <v>-7680</v>
      </c>
      <c r="AG53" s="69" t="n">
        <f aca="false">-Inputs!$E$46*(1+Inputs!$E$47)^(AG$5-1)*1</f>
        <v>-7680</v>
      </c>
      <c r="AH53" s="69" t="n">
        <f aca="false">-Inputs!$E$46*(1+Inputs!$E$47)^(AH$5-1)*1</f>
        <v>-7680</v>
      </c>
      <c r="AI53" s="69" t="n">
        <f aca="false">-Inputs!$E$46*(1+Inputs!$E$47)^(AI$5-1)*1</f>
        <v>-7680</v>
      </c>
      <c r="AJ53" s="69" t="n">
        <f aca="false">-Inputs!$E$46*(1+Inputs!$E$47)^(AJ$5-1)*1</f>
        <v>-7680</v>
      </c>
      <c r="AK53" s="69" t="n">
        <f aca="false">-Inputs!$E$46*(1+Inputs!$E$47)^(AK$5-1)*1</f>
        <v>-7680</v>
      </c>
      <c r="AL53" s="69" t="n">
        <f aca="false">-Inputs!$E$46*(1+Inputs!$E$47)^(AL$5-1)*1</f>
        <v>-7680</v>
      </c>
    </row>
    <row r="54" customFormat="false" ht="15" hidden="false" customHeight="false" outlineLevel="0" collapsed="false">
      <c r="A54" s="113" t="s">
        <v>77</v>
      </c>
      <c r="C54" s="70" t="n">
        <f aca="false">C49+C50+C51+C52+C53</f>
        <v>-93586.6666666667</v>
      </c>
      <c r="D54" s="70" t="n">
        <f aca="false">D49+D50+D51+D52+D53</f>
        <v>-93586.6666666667</v>
      </c>
      <c r="E54" s="70" t="n">
        <f aca="false">E49+E50+E51+E52+E53</f>
        <v>-93586.6666666667</v>
      </c>
      <c r="F54" s="70" t="n">
        <f aca="false">F49+F50+F51+F52+F53</f>
        <v>-93586.6666666667</v>
      </c>
      <c r="G54" s="70" t="n">
        <f aca="false">G49+G50+G51+G52+G53</f>
        <v>-93586.6666666667</v>
      </c>
      <c r="H54" s="70" t="n">
        <f aca="false">H49+H50+H51+H52+H53</f>
        <v>-93586.6666666667</v>
      </c>
      <c r="I54" s="70" t="n">
        <f aca="false">I49+I50+I51+I52+I53</f>
        <v>-93586.6666666667</v>
      </c>
      <c r="J54" s="70" t="n">
        <f aca="false">J49+J50+J51+J52+J53</f>
        <v>-93586.6666666667</v>
      </c>
      <c r="K54" s="70" t="n">
        <f aca="false">K49+K50+K51+K52+K53</f>
        <v>-93586.6666666667</v>
      </c>
      <c r="L54" s="70" t="n">
        <f aca="false">L49+L50+L51+L52+L53</f>
        <v>-93586.6666666667</v>
      </c>
      <c r="M54" s="70" t="n">
        <f aca="false">M49+M50+M51+M52+M53</f>
        <v>-93586.6666666667</v>
      </c>
      <c r="N54" s="70" t="n">
        <f aca="false">N49+N50+N51+N52+N53</f>
        <v>-93586.6666666667</v>
      </c>
      <c r="O54" s="70" t="n">
        <f aca="false">O49+O50+O51+O52+O53</f>
        <v>-93634.2666666667</v>
      </c>
      <c r="P54" s="70" t="n">
        <f aca="false">P49+P50+P51+P52+P53</f>
        <v>-93634.2666666667</v>
      </c>
      <c r="Q54" s="70" t="n">
        <f aca="false">Q49+Q50+Q51+Q52+Q53</f>
        <v>-93634.2666666667</v>
      </c>
      <c r="R54" s="70" t="n">
        <f aca="false">R49+R50+R51+R52+R53</f>
        <v>-93634.2666666667</v>
      </c>
      <c r="S54" s="70" t="n">
        <f aca="false">S49+S50+S51+S52+S53</f>
        <v>-93634.2666666667</v>
      </c>
      <c r="T54" s="70" t="n">
        <f aca="false">T49+T50+T51+T52+T53</f>
        <v>-93634.2666666667</v>
      </c>
      <c r="U54" s="70" t="n">
        <f aca="false">U49+U50+U51+U52+U53</f>
        <v>-93634.2666666667</v>
      </c>
      <c r="V54" s="70" t="n">
        <f aca="false">V49+V50+V51+V52+V53</f>
        <v>-93634.2666666667</v>
      </c>
      <c r="W54" s="70" t="n">
        <f aca="false">W49+W50+W51+W52+W53</f>
        <v>-93634.2666666667</v>
      </c>
      <c r="X54" s="70" t="n">
        <f aca="false">X49+X50+X51+X52+X53</f>
        <v>-93634.2666666667</v>
      </c>
      <c r="Y54" s="70" t="n">
        <f aca="false">Y49+Y50+Y51+Y52+Y53</f>
        <v>-93634.2666666667</v>
      </c>
      <c r="Z54" s="70" t="n">
        <f aca="false">Z49+Z50+Z51+Z52+Z53</f>
        <v>-93634.2666666667</v>
      </c>
      <c r="AA54" s="70" t="n">
        <f aca="false">AA49+AA50+AA51+AA52+AA53</f>
        <v>-94235.2946666667</v>
      </c>
      <c r="AB54" s="70" t="n">
        <f aca="false">AB49+AB50+AB51+AB52+AB53</f>
        <v>-94235.2946666667</v>
      </c>
      <c r="AC54" s="70" t="n">
        <f aca="false">AC49+AC50+AC51+AC52+AC53</f>
        <v>-94235.2946666667</v>
      </c>
      <c r="AD54" s="70" t="n">
        <f aca="false">AD49+AD50+AD51+AD52+AD53</f>
        <v>-94235.2946666667</v>
      </c>
      <c r="AE54" s="70" t="n">
        <f aca="false">AE49+AE50+AE51+AE52+AE53</f>
        <v>-94235.2946666667</v>
      </c>
      <c r="AF54" s="70" t="n">
        <f aca="false">AF49+AF50+AF51+AF52+AF53</f>
        <v>-94235.2946666667</v>
      </c>
      <c r="AG54" s="70" t="n">
        <f aca="false">AG49+AG50+AG51+AG52+AG53</f>
        <v>-94235.2946666667</v>
      </c>
      <c r="AH54" s="70" t="n">
        <f aca="false">AH49+AH50+AH51+AH52+AH53</f>
        <v>-94235.2946666667</v>
      </c>
      <c r="AI54" s="70" t="n">
        <f aca="false">AI49+AI50+AI51+AI52+AI53</f>
        <v>-94235.2946666667</v>
      </c>
      <c r="AJ54" s="70" t="n">
        <f aca="false">AJ49+AJ50+AJ51+AJ52+AJ53</f>
        <v>-94235.2946666667</v>
      </c>
      <c r="AK54" s="70" t="n">
        <f aca="false">AK49+AK50+AK51+AK52+AK53</f>
        <v>-94235.2946666667</v>
      </c>
      <c r="AL54" s="70" t="n">
        <f aca="false">AL49+AL50+AL51+AL52+AL53</f>
        <v>-94235.2946666667</v>
      </c>
    </row>
    <row r="55" customFormat="false" ht="15" hidden="false" customHeight="false" outlineLevel="0" collapsed="false">
      <c r="A55" s="113" t="s">
        <v>48</v>
      </c>
      <c r="C55" s="70" t="n">
        <f aca="false">C46+C54</f>
        <v>-52715.2544125667</v>
      </c>
      <c r="D55" s="70" t="n">
        <f aca="false">D46+D54</f>
        <v>-47169.179570764</v>
      </c>
      <c r="E55" s="70" t="n">
        <f aca="false">E46+E54</f>
        <v>-31890.1001241627</v>
      </c>
      <c r="F55" s="70" t="n">
        <f aca="false">F46+F54</f>
        <v>-24896.4647094518</v>
      </c>
      <c r="G55" s="70" t="n">
        <f aca="false">G46+G54</f>
        <v>-17775.1087070848</v>
      </c>
      <c r="H55" s="70" t="n">
        <f aca="false">H46+H54</f>
        <v>-10531.1409405681</v>
      </c>
      <c r="I55" s="70" t="n">
        <f aca="false">I46+I54</f>
        <v>-3169.46588046759</v>
      </c>
      <c r="J55" s="70" t="n">
        <f aca="false">J46+J54</f>
        <v>4305.20818147335</v>
      </c>
      <c r="K55" s="70" t="n">
        <f aca="false">K46+K54</f>
        <v>11888.3612851811</v>
      </c>
      <c r="L55" s="70" t="n">
        <f aca="false">L46+L54</f>
        <v>19575.654268985</v>
      </c>
      <c r="M55" s="70" t="n">
        <f aca="false">M46+M54</f>
        <v>21716.7869555589</v>
      </c>
      <c r="N55" s="70" t="n">
        <f aca="false">N46+N54</f>
        <v>7381.49638357262</v>
      </c>
      <c r="O55" s="70" t="n">
        <f aca="false">O46+O54</f>
        <v>13285.4975743402</v>
      </c>
      <c r="P55" s="70" t="n">
        <f aca="false">P46+P54</f>
        <v>15096.6550273763</v>
      </c>
      <c r="Q55" s="70" t="n">
        <f aca="false">Q46+Q54</f>
        <v>33840.7368269019</v>
      </c>
      <c r="R55" s="70" t="n">
        <f aca="false">R46+R54</f>
        <v>35763.6031619908</v>
      </c>
      <c r="S55" s="70" t="n">
        <f aca="false">S46+S54</f>
        <v>37609.554843676</v>
      </c>
      <c r="T55" s="70" t="n">
        <f aca="false">T46+T54</f>
        <v>39381.668458094</v>
      </c>
      <c r="U55" s="70" t="n">
        <f aca="false">U46+U54</f>
        <v>41082.8975279352</v>
      </c>
      <c r="V55" s="70" t="n">
        <f aca="false">V46+V54</f>
        <v>42716.0774349827</v>
      </c>
      <c r="W55" s="70" t="n">
        <f aca="false">W46+W54</f>
        <v>44283.9301457483</v>
      </c>
      <c r="X55" s="70" t="n">
        <f aca="false">X46+X54</f>
        <v>45789.0687480833</v>
      </c>
      <c r="Y55" s="70" t="n">
        <f aca="false">Y46+Y54</f>
        <v>47234.0018063249</v>
      </c>
      <c r="Z55" s="70" t="n">
        <f aca="false">Z46+Z54</f>
        <v>32226.130733046</v>
      </c>
      <c r="AA55" s="70" t="n">
        <f aca="false">AA46+AA54</f>
        <v>37451.3738221199</v>
      </c>
      <c r="AB55" s="70" t="n">
        <f aca="false">AB46+AB54</f>
        <v>38602.1674695305</v>
      </c>
      <c r="AC55" s="70" t="n">
        <f aca="false">AC46+AC54</f>
        <v>56810.1431026889</v>
      </c>
      <c r="AD55" s="70" t="n">
        <f aca="false">AD46+AD54</f>
        <v>58163.5434300516</v>
      </c>
      <c r="AE55" s="70" t="n">
        <f aca="false">AE46+AE54</f>
        <v>59462.8077443198</v>
      </c>
      <c r="AF55" s="70" t="n">
        <f aca="false">AF46+AF54</f>
        <v>60710.1014860173</v>
      </c>
      <c r="AG55" s="70" t="n">
        <f aca="false">AG46+AG54</f>
        <v>61907.5034780469</v>
      </c>
      <c r="AH55" s="70" t="n">
        <f aca="false">AH46+AH54</f>
        <v>63057.0093903953</v>
      </c>
      <c r="AI55" s="70" t="n">
        <f aca="false">AI46+AI54</f>
        <v>64160.5350662498</v>
      </c>
      <c r="AJ55" s="70" t="n">
        <f aca="false">AJ46+AJ54</f>
        <v>65219.9197150701</v>
      </c>
      <c r="AK55" s="70" t="n">
        <f aca="false">AK46+AK54</f>
        <v>66236.9289779375</v>
      </c>
      <c r="AL55" s="70" t="n">
        <f aca="false">AL46+AL54</f>
        <v>50544.7816391896</v>
      </c>
    </row>
    <row r="57" customFormat="false" ht="15.75" hidden="false" customHeight="true" outlineLevel="0" collapsed="false">
      <c r="A57" s="7" t="s">
        <v>417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4" t="s">
        <v>79</v>
      </c>
      <c r="C58" s="75" t="n">
        <f aca="false">C55+C75</f>
        <v>-81187.4766347889</v>
      </c>
      <c r="D58" s="75" t="n">
        <f aca="false">D55+D75</f>
        <v>-75641.4017929862</v>
      </c>
      <c r="E58" s="75" t="n">
        <f aca="false">E55+E75</f>
        <v>-60362.3223463849</v>
      </c>
      <c r="F58" s="75" t="n">
        <f aca="false">F55+F75</f>
        <v>-53368.686931674</v>
      </c>
      <c r="G58" s="75" t="n">
        <f aca="false">G55+G75</f>
        <v>-46247.330929307</v>
      </c>
      <c r="H58" s="75" t="n">
        <f aca="false">H55+H75</f>
        <v>-39003.3631627903</v>
      </c>
      <c r="I58" s="75" t="n">
        <f aca="false">I55+I75</f>
        <v>-31641.6881026898</v>
      </c>
      <c r="J58" s="75" t="n">
        <f aca="false">J55+J75</f>
        <v>-24167.0140407489</v>
      </c>
      <c r="K58" s="75" t="n">
        <f aca="false">K55+K75</f>
        <v>-16583.8609370411</v>
      </c>
      <c r="L58" s="75" t="n">
        <f aca="false">L55+L75</f>
        <v>-8896.56795323726</v>
      </c>
      <c r="M58" s="75" t="n">
        <f aca="false">M55+M75</f>
        <v>-6755.43526666334</v>
      </c>
      <c r="N58" s="75" t="n">
        <f aca="false">N55+N75</f>
        <v>-21090.7258386496</v>
      </c>
      <c r="O58" s="75" t="n">
        <f aca="false">O55+O75</f>
        <v>-15464.5024256598</v>
      </c>
      <c r="P58" s="75" t="n">
        <f aca="false">P55+P75</f>
        <v>-13653.3449726237</v>
      </c>
      <c r="Q58" s="75" t="n">
        <f aca="false">Q55+Q75</f>
        <v>5090.73682690191</v>
      </c>
      <c r="R58" s="75" t="n">
        <f aca="false">R55+R75</f>
        <v>7013.60316199076</v>
      </c>
      <c r="S58" s="75" t="n">
        <f aca="false">S55+S75</f>
        <v>8859.55484367604</v>
      </c>
      <c r="T58" s="75" t="n">
        <f aca="false">T55+T75</f>
        <v>10631.6684580939</v>
      </c>
      <c r="U58" s="75" t="n">
        <f aca="false">U55+U75</f>
        <v>12332.8975279352</v>
      </c>
      <c r="V58" s="75" t="n">
        <f aca="false">V55+V75</f>
        <v>13966.0774349827</v>
      </c>
      <c r="W58" s="75" t="n">
        <f aca="false">W55+W75</f>
        <v>15533.9301457483</v>
      </c>
      <c r="X58" s="75" t="n">
        <f aca="false">X55+X75</f>
        <v>17039.0687480833</v>
      </c>
      <c r="Y58" s="75" t="n">
        <f aca="false">Y55+Y75</f>
        <v>18484.0018063249</v>
      </c>
      <c r="Z58" s="75" t="n">
        <f aca="false">Z55+Z75</f>
        <v>3476.13073304603</v>
      </c>
      <c r="AA58" s="75" t="n">
        <f aca="false">AA55+AA75</f>
        <v>8423.59604434211</v>
      </c>
      <c r="AB58" s="75" t="n">
        <f aca="false">AB55+AB75</f>
        <v>9574.38969175272</v>
      </c>
      <c r="AC58" s="75" t="n">
        <f aca="false">AC55+AC75</f>
        <v>27782.3653249111</v>
      </c>
      <c r="AD58" s="75" t="n">
        <f aca="false">AD55+AD75</f>
        <v>29135.7656522738</v>
      </c>
      <c r="AE58" s="75" t="n">
        <f aca="false">AE55+AE75</f>
        <v>30435.0299665421</v>
      </c>
      <c r="AF58" s="75" t="n">
        <f aca="false">AF55+AF75</f>
        <v>31682.3237082395</v>
      </c>
      <c r="AG58" s="75" t="n">
        <f aca="false">AG55+AG75</f>
        <v>32879.7257002691</v>
      </c>
      <c r="AH58" s="75" t="n">
        <f aca="false">AH55+AH75</f>
        <v>34029.2316126175</v>
      </c>
      <c r="AI58" s="75" t="n">
        <f aca="false">AI55+AI75</f>
        <v>35132.757288472</v>
      </c>
      <c r="AJ58" s="75" t="n">
        <f aca="false">AJ55+AJ75</f>
        <v>36192.1419372923</v>
      </c>
      <c r="AK58" s="75" t="n">
        <f aca="false">AK55+AK75</f>
        <v>37209.1512001598</v>
      </c>
      <c r="AL58" s="75" t="n">
        <f aca="false">AL55+AL75</f>
        <v>21517.0038614118</v>
      </c>
    </row>
    <row r="59" customFormat="false" ht="15" hidden="false" customHeight="false" outlineLevel="0" collapsed="false">
      <c r="A59" s="6" t="s">
        <v>418</v>
      </c>
      <c r="C59" s="69" t="n">
        <f aca="false">-(C80+C81+C83)/2*Inputs!$E$71/12</f>
        <v>-21250</v>
      </c>
      <c r="D59" s="69" t="n">
        <f aca="false">-(D80+D81+D83)/2*Inputs!$E$71/12</f>
        <v>-21161.4583333333</v>
      </c>
      <c r="E59" s="69" t="n">
        <f aca="false">-(E80+E81+E83)/2*Inputs!$E$71/12</f>
        <v>-20984.375</v>
      </c>
      <c r="F59" s="69" t="n">
        <f aca="false">-(F80+F81+F83)/2*Inputs!$E$71/12</f>
        <v>-20807.2916666667</v>
      </c>
      <c r="G59" s="69" t="n">
        <f aca="false">-(G80+G81+G83)/2*Inputs!$E$71/12</f>
        <v>-20630.2083333333</v>
      </c>
      <c r="H59" s="69" t="n">
        <f aca="false">-(H80+H81+H83)/2*Inputs!$E$71/12</f>
        <v>-20453.125</v>
      </c>
      <c r="I59" s="69" t="n">
        <f aca="false">-(I80+I81+I83)/2*Inputs!$E$71/12</f>
        <v>-20276.0416666667</v>
      </c>
      <c r="J59" s="69" t="n">
        <f aca="false">-(J80+J81+J83)/2*Inputs!$E$71/12</f>
        <v>-20098.9583333333</v>
      </c>
      <c r="K59" s="69" t="n">
        <f aca="false">-(K80+K81+K83)/2*Inputs!$E$71/12</f>
        <v>-19921.875</v>
      </c>
      <c r="L59" s="69" t="n">
        <f aca="false">-(L80+L81+L83)/2*Inputs!$E$71/12</f>
        <v>-19744.7916666667</v>
      </c>
      <c r="M59" s="69" t="n">
        <f aca="false">-(M80+M81+M83)/2*Inputs!$E$71/12</f>
        <v>-19567.7083333333</v>
      </c>
      <c r="N59" s="69" t="n">
        <f aca="false">-(N80+N81+N83)/2*Inputs!$E$71/12</f>
        <v>-19390.625</v>
      </c>
      <c r="O59" s="69" t="n">
        <f aca="false">-(O80+O81+O83)/2*Inputs!$E$71/12</f>
        <v>-19213.5416666667</v>
      </c>
      <c r="P59" s="69" t="n">
        <f aca="false">-(P80+P81+P83)/2*Inputs!$E$71/12</f>
        <v>-19036.4583333333</v>
      </c>
      <c r="Q59" s="69" t="n">
        <f aca="false">-(Q80+Q81+Q83)/2*Inputs!$E$71/12</f>
        <v>-18859.375</v>
      </c>
      <c r="R59" s="69" t="n">
        <f aca="false">-(R80+R81+R83)/2*Inputs!$E$71/12</f>
        <v>-18682.2916666667</v>
      </c>
      <c r="S59" s="69" t="n">
        <f aca="false">-(S80+S81+S83)/2*Inputs!$E$71/12</f>
        <v>-18505.2083333333</v>
      </c>
      <c r="T59" s="69" t="n">
        <f aca="false">-(T80+T81+T83)/2*Inputs!$E$71/12</f>
        <v>-18328.125</v>
      </c>
      <c r="U59" s="69" t="n">
        <f aca="false">-(U80+U81+U83)/2*Inputs!$E$71/12</f>
        <v>-18151.0416666667</v>
      </c>
      <c r="V59" s="69" t="n">
        <f aca="false">-(V80+V81+V83)/2*Inputs!$E$71/12</f>
        <v>-17973.9583333333</v>
      </c>
      <c r="W59" s="69" t="n">
        <f aca="false">-(W80+W81+W83)/2*Inputs!$E$71/12</f>
        <v>-17796.875</v>
      </c>
      <c r="X59" s="69" t="n">
        <f aca="false">-(X80+X81+X83)/2*Inputs!$E$71/12</f>
        <v>-17619.7916666667</v>
      </c>
      <c r="Y59" s="69" t="n">
        <f aca="false">-(Y80+Y81+Y83)/2*Inputs!$E$71/12</f>
        <v>-17442.7083333333</v>
      </c>
      <c r="Z59" s="69" t="n">
        <f aca="false">-(Z80+Z81+Z83)/2*Inputs!$E$71/12</f>
        <v>-17265.625</v>
      </c>
      <c r="AA59" s="69" t="n">
        <f aca="false">-(AA80+AA81+AA83)/2*Inputs!$E$71/12</f>
        <v>-17088.5416666667</v>
      </c>
      <c r="AB59" s="69" t="n">
        <f aca="false">-(AB80+AB81+AB83)/2*Inputs!$E$71/12</f>
        <v>-16911.4583333333</v>
      </c>
      <c r="AC59" s="69" t="n">
        <f aca="false">-(AC80+AC81+AC83)/2*Inputs!$E$71/12</f>
        <v>-16734.375</v>
      </c>
      <c r="AD59" s="69" t="n">
        <f aca="false">-(AD80+AD81+AD83)/2*Inputs!$E$71/12</f>
        <v>-16557.2916666667</v>
      </c>
      <c r="AE59" s="69" t="n">
        <f aca="false">-(AE80+AE81+AE83)/2*Inputs!$E$71/12</f>
        <v>-16380.2083333333</v>
      </c>
      <c r="AF59" s="69" t="n">
        <f aca="false">-(AF80+AF81+AF83)/2*Inputs!$E$71/12</f>
        <v>-16203.125</v>
      </c>
      <c r="AG59" s="69" t="n">
        <f aca="false">-(AG80+AG81+AG83)/2*Inputs!$E$71/12</f>
        <v>-16026.0416666667</v>
      </c>
      <c r="AH59" s="69" t="n">
        <f aca="false">-(AH80+AH81+AH83)/2*Inputs!$E$71/12</f>
        <v>-15848.9583333333</v>
      </c>
      <c r="AI59" s="69" t="n">
        <f aca="false">-(AI80+AI81+AI83)/2*Inputs!$E$71/12</f>
        <v>-15671.875</v>
      </c>
      <c r="AJ59" s="69" t="n">
        <f aca="false">-(AJ80+AJ81+AJ83)/2*Inputs!$E$71/12</f>
        <v>-15494.7916666667</v>
      </c>
      <c r="AK59" s="69" t="n">
        <f aca="false">-(AK80+AK81+AK83)/2*Inputs!$E$71/12</f>
        <v>-15317.7083333333</v>
      </c>
      <c r="AL59" s="69" t="n">
        <f aca="false">-(AL80+AL81+AL83)/2*Inputs!$E$71/12</f>
        <v>-15140.625</v>
      </c>
    </row>
    <row r="60" customFormat="false" ht="15" hidden="false" customHeight="false" outlineLevel="0" collapsed="false">
      <c r="A60" s="113" t="s">
        <v>81</v>
      </c>
      <c r="C60" s="70" t="n">
        <f aca="false">C58+C59</f>
        <v>-102437.476634789</v>
      </c>
      <c r="D60" s="70" t="n">
        <f aca="false">D58+D59</f>
        <v>-96802.8601263196</v>
      </c>
      <c r="E60" s="70" t="n">
        <f aca="false">E58+E59</f>
        <v>-81346.6973463849</v>
      </c>
      <c r="F60" s="70" t="n">
        <f aca="false">F58+F59</f>
        <v>-74175.9785983407</v>
      </c>
      <c r="G60" s="70" t="n">
        <f aca="false">G58+G59</f>
        <v>-66877.5392626404</v>
      </c>
      <c r="H60" s="70" t="n">
        <f aca="false">H58+H59</f>
        <v>-59456.4881627903</v>
      </c>
      <c r="I60" s="70" t="n">
        <f aca="false">I58+I59</f>
        <v>-51917.7297693565</v>
      </c>
      <c r="J60" s="70" t="n">
        <f aca="false">J58+J59</f>
        <v>-44265.9723740822</v>
      </c>
      <c r="K60" s="70" t="n">
        <f aca="false">K58+K59</f>
        <v>-36505.7359370411</v>
      </c>
      <c r="L60" s="70" t="n">
        <f aca="false">L58+L59</f>
        <v>-28641.3596199039</v>
      </c>
      <c r="M60" s="70" t="n">
        <f aca="false">M58+M59</f>
        <v>-26323.1435999967</v>
      </c>
      <c r="N60" s="70" t="n">
        <f aca="false">N58+N59</f>
        <v>-40481.3508386496</v>
      </c>
      <c r="O60" s="70" t="n">
        <f aca="false">O58+O59</f>
        <v>-34678.0440923265</v>
      </c>
      <c r="P60" s="70" t="n">
        <f aca="false">P58+P59</f>
        <v>-32689.803305957</v>
      </c>
      <c r="Q60" s="70" t="n">
        <f aca="false">Q58+Q59</f>
        <v>-13768.6381730981</v>
      </c>
      <c r="R60" s="70" t="n">
        <f aca="false">R58+R59</f>
        <v>-11668.6885046759</v>
      </c>
      <c r="S60" s="70" t="n">
        <f aca="false">S58+S59</f>
        <v>-9645.65348965729</v>
      </c>
      <c r="T60" s="70" t="n">
        <f aca="false">T58+T59</f>
        <v>-7696.45654190606</v>
      </c>
      <c r="U60" s="70" t="n">
        <f aca="false">U58+U59</f>
        <v>-5818.14413873151</v>
      </c>
      <c r="V60" s="70" t="n">
        <f aca="false">V58+V59</f>
        <v>-4007.88089835067</v>
      </c>
      <c r="W60" s="70" t="n">
        <f aca="false">W58+W59</f>
        <v>-2262.94485425172</v>
      </c>
      <c r="X60" s="70" t="n">
        <f aca="false">X58+X59</f>
        <v>-580.722918583382</v>
      </c>
      <c r="Y60" s="70" t="n">
        <f aca="false">Y58+Y59</f>
        <v>1041.29347299157</v>
      </c>
      <c r="Z60" s="70" t="n">
        <f aca="false">Z58+Z59</f>
        <v>-13789.494266954</v>
      </c>
      <c r="AA60" s="70" t="n">
        <f aca="false">AA58+AA59</f>
        <v>-8664.94562232456</v>
      </c>
      <c r="AB60" s="70" t="n">
        <f aca="false">AB58+AB59</f>
        <v>-7337.06864158062</v>
      </c>
      <c r="AC60" s="70" t="n">
        <f aca="false">AC58+AC59</f>
        <v>11047.9903249111</v>
      </c>
      <c r="AD60" s="70" t="n">
        <f aca="false">AD58+AD59</f>
        <v>12578.4739856072</v>
      </c>
      <c r="AE60" s="70" t="n">
        <f aca="false">AE58+AE59</f>
        <v>14054.8216332087</v>
      </c>
      <c r="AF60" s="70" t="n">
        <f aca="false">AF58+AF59</f>
        <v>15479.1987082395</v>
      </c>
      <c r="AG60" s="70" t="n">
        <f aca="false">AG58+AG59</f>
        <v>16853.6840336025</v>
      </c>
      <c r="AH60" s="70" t="n">
        <f aca="false">AH58+AH59</f>
        <v>18180.2732792842</v>
      </c>
      <c r="AI60" s="70" t="n">
        <f aca="false">AI58+AI59</f>
        <v>19460.882288472</v>
      </c>
      <c r="AJ60" s="70" t="n">
        <f aca="false">AJ58+AJ59</f>
        <v>20697.3502706256</v>
      </c>
      <c r="AK60" s="70" t="n">
        <f aca="false">AK58+AK59</f>
        <v>21891.4428668264</v>
      </c>
      <c r="AL60" s="70" t="n">
        <f aca="false">AL58+AL59</f>
        <v>6376.37886141181</v>
      </c>
    </row>
    <row r="61" customFormat="false" ht="15" hidden="false" customHeight="false" outlineLevel="0" collapsed="false">
      <c r="A61" s="116" t="s">
        <v>419</v>
      </c>
      <c r="C61" s="69" t="n">
        <f aca="false">C60</f>
        <v>-102437.476634789</v>
      </c>
      <c r="D61" s="69" t="n">
        <f aca="false">C61+D60</f>
        <v>-199240.336761108</v>
      </c>
      <c r="E61" s="69" t="n">
        <f aca="false">D61+E60</f>
        <v>-280587.034107493</v>
      </c>
      <c r="F61" s="69" t="n">
        <f aca="false">E61+F60</f>
        <v>-354763.012705834</v>
      </c>
      <c r="G61" s="69" t="n">
        <f aca="false">F61+G60</f>
        <v>-421640.551968474</v>
      </c>
      <c r="H61" s="69" t="n">
        <f aca="false">G61+H60</f>
        <v>-481097.040131265</v>
      </c>
      <c r="I61" s="69" t="n">
        <f aca="false">H61+I60</f>
        <v>-533014.769900621</v>
      </c>
      <c r="J61" s="69" t="n">
        <f aca="false">I61+J60</f>
        <v>-577280.742274703</v>
      </c>
      <c r="K61" s="69" t="n">
        <f aca="false">J61+K60</f>
        <v>-613786.478211745</v>
      </c>
      <c r="L61" s="69" t="n">
        <f aca="false">K61+L60</f>
        <v>-642427.837831648</v>
      </c>
      <c r="M61" s="69" t="n">
        <f aca="false">L61+M60</f>
        <v>-668750.981431645</v>
      </c>
      <c r="N61" s="69" t="n">
        <f aca="false">M61+N60</f>
        <v>-709232.332270295</v>
      </c>
      <c r="O61" s="69" t="n">
        <f aca="false">N61+O60</f>
        <v>-743910.376362621</v>
      </c>
      <c r="P61" s="69" t="n">
        <f aca="false">O61+P60</f>
        <v>-776600.179668578</v>
      </c>
      <c r="Q61" s="69" t="n">
        <f aca="false">P61+Q60</f>
        <v>-790368.817841676</v>
      </c>
      <c r="R61" s="69" t="n">
        <f aca="false">Q61+R60</f>
        <v>-802037.506346352</v>
      </c>
      <c r="S61" s="69" t="n">
        <f aca="false">R61+S60</f>
        <v>-811683.159836009</v>
      </c>
      <c r="T61" s="69" t="n">
        <f aca="false">S61+T60</f>
        <v>-819379.616377916</v>
      </c>
      <c r="U61" s="69" t="n">
        <f aca="false">T61+U60</f>
        <v>-825197.760516647</v>
      </c>
      <c r="V61" s="69" t="n">
        <f aca="false">U61+V60</f>
        <v>-829205.641414998</v>
      </c>
      <c r="W61" s="69" t="n">
        <f aca="false">V61+W60</f>
        <v>-831468.586269249</v>
      </c>
      <c r="X61" s="69" t="n">
        <f aca="false">W61+X60</f>
        <v>-832049.309187833</v>
      </c>
      <c r="Y61" s="69" t="n">
        <f aca="false">X61+Y60</f>
        <v>-831008.015714841</v>
      </c>
      <c r="Z61" s="69" t="n">
        <f aca="false">Y61+Z60</f>
        <v>-844797.509981795</v>
      </c>
      <c r="AA61" s="69" t="n">
        <f aca="false">Z61+AA60</f>
        <v>-853462.45560412</v>
      </c>
      <c r="AB61" s="69" t="n">
        <f aca="false">AA61+AB60</f>
        <v>-860799.5242457</v>
      </c>
      <c r="AC61" s="69" t="n">
        <f aca="false">AB61+AC60</f>
        <v>-849751.533920789</v>
      </c>
      <c r="AD61" s="69" t="n">
        <f aca="false">AC61+AD60</f>
        <v>-837173.059935182</v>
      </c>
      <c r="AE61" s="69" t="n">
        <f aca="false">AD61+AE60</f>
        <v>-823118.238301974</v>
      </c>
      <c r="AF61" s="69" t="n">
        <f aca="false">AE61+AF60</f>
        <v>-807639.039593734</v>
      </c>
      <c r="AG61" s="69" t="n">
        <f aca="false">AF61+AG60</f>
        <v>-790785.355560132</v>
      </c>
      <c r="AH61" s="69" t="n">
        <f aca="false">AG61+AH60</f>
        <v>-772605.082280848</v>
      </c>
      <c r="AI61" s="69" t="n">
        <f aca="false">AH61+AI60</f>
        <v>-753144.199992375</v>
      </c>
      <c r="AJ61" s="69" t="n">
        <f aca="false">AI61+AJ60</f>
        <v>-732446.84972175</v>
      </c>
      <c r="AK61" s="69" t="n">
        <f aca="false">AJ61+AK60</f>
        <v>-710555.406854923</v>
      </c>
      <c r="AL61" s="69" t="n">
        <f aca="false">AK61+AL60</f>
        <v>-704179.027993512</v>
      </c>
    </row>
    <row r="62" customFormat="false" ht="15" hidden="false" customHeight="false" outlineLevel="0" collapsed="false">
      <c r="A62" s="116" t="s">
        <v>420</v>
      </c>
      <c r="C62" s="69" t="n">
        <f aca="false">MAX(0,C61)</f>
        <v>0</v>
      </c>
      <c r="D62" s="69" t="n">
        <f aca="false">MAX(C62,D61)</f>
        <v>0</v>
      </c>
      <c r="E62" s="69" t="n">
        <f aca="false">MAX(D62,E61)</f>
        <v>0</v>
      </c>
      <c r="F62" s="69" t="n">
        <f aca="false">MAX(E62,F61)</f>
        <v>0</v>
      </c>
      <c r="G62" s="69" t="n">
        <f aca="false">MAX(F62,G61)</f>
        <v>0</v>
      </c>
      <c r="H62" s="69" t="n">
        <f aca="false">MAX(G62,H61)</f>
        <v>0</v>
      </c>
      <c r="I62" s="69" t="n">
        <f aca="false">MAX(H62,I61)</f>
        <v>0</v>
      </c>
      <c r="J62" s="69" t="n">
        <f aca="false">MAX(I62,J61)</f>
        <v>0</v>
      </c>
      <c r="K62" s="69" t="n">
        <f aca="false">MAX(J62,K61)</f>
        <v>0</v>
      </c>
      <c r="L62" s="69" t="n">
        <f aca="false">MAX(K62,L61)</f>
        <v>0</v>
      </c>
      <c r="M62" s="69" t="n">
        <f aca="false">MAX(L62,M61)</f>
        <v>0</v>
      </c>
      <c r="N62" s="69" t="n">
        <f aca="false">MAX(M62,N61)</f>
        <v>0</v>
      </c>
      <c r="O62" s="69" t="n">
        <f aca="false">MAX(N62,O61)</f>
        <v>0</v>
      </c>
      <c r="P62" s="69" t="n">
        <f aca="false">MAX(O62,P61)</f>
        <v>0</v>
      </c>
      <c r="Q62" s="69" t="n">
        <f aca="false">MAX(P62,Q61)</f>
        <v>0</v>
      </c>
      <c r="R62" s="69" t="n">
        <f aca="false">MAX(Q62,R61)</f>
        <v>0</v>
      </c>
      <c r="S62" s="69" t="n">
        <f aca="false">MAX(R62,S61)</f>
        <v>0</v>
      </c>
      <c r="T62" s="69" t="n">
        <f aca="false">MAX(S62,T61)</f>
        <v>0</v>
      </c>
      <c r="U62" s="69" t="n">
        <f aca="false">MAX(T62,U61)</f>
        <v>0</v>
      </c>
      <c r="V62" s="69" t="n">
        <f aca="false">MAX(U62,V61)</f>
        <v>0</v>
      </c>
      <c r="W62" s="69" t="n">
        <f aca="false">MAX(V62,W61)</f>
        <v>0</v>
      </c>
      <c r="X62" s="69" t="n">
        <f aca="false">MAX(W62,X61)</f>
        <v>0</v>
      </c>
      <c r="Y62" s="69" t="n">
        <f aca="false">MAX(X62,Y61)</f>
        <v>0</v>
      </c>
      <c r="Z62" s="69" t="n">
        <f aca="false">MAX(Y62,Z61)</f>
        <v>0</v>
      </c>
      <c r="AA62" s="69" t="n">
        <f aca="false">MAX(Z62,AA61)</f>
        <v>0</v>
      </c>
      <c r="AB62" s="69" t="n">
        <f aca="false">MAX(AA62,AB61)</f>
        <v>0</v>
      </c>
      <c r="AC62" s="69" t="n">
        <f aca="false">MAX(AB62,AC61)</f>
        <v>0</v>
      </c>
      <c r="AD62" s="69" t="n">
        <f aca="false">MAX(AC62,AD61)</f>
        <v>0</v>
      </c>
      <c r="AE62" s="69" t="n">
        <f aca="false">MAX(AD62,AE61)</f>
        <v>0</v>
      </c>
      <c r="AF62" s="69" t="n">
        <f aca="false">MAX(AE62,AF61)</f>
        <v>0</v>
      </c>
      <c r="AG62" s="69" t="n">
        <f aca="false">MAX(AF62,AG61)</f>
        <v>0</v>
      </c>
      <c r="AH62" s="69" t="n">
        <f aca="false">MAX(AG62,AH61)</f>
        <v>0</v>
      </c>
      <c r="AI62" s="69" t="n">
        <f aca="false">MAX(AH62,AI61)</f>
        <v>0</v>
      </c>
      <c r="AJ62" s="69" t="n">
        <f aca="false">MAX(AI62,AJ61)</f>
        <v>0</v>
      </c>
      <c r="AK62" s="69" t="n">
        <f aca="false">MAX(AJ62,AK61)</f>
        <v>0</v>
      </c>
      <c r="AL62" s="69" t="n">
        <f aca="false">MAX(AK62,AL61)</f>
        <v>0</v>
      </c>
    </row>
    <row r="63" customFormat="false" ht="15" hidden="false" customHeight="false" outlineLevel="0" collapsed="false">
      <c r="A63" s="6" t="s">
        <v>82</v>
      </c>
      <c r="C63" s="69" t="n">
        <f aca="false">-C62*Inputs!$E$81</f>
        <v>-0</v>
      </c>
      <c r="D63" s="69" t="n">
        <f aca="false">-(D62-C62)*Inputs!$E$81</f>
        <v>-0</v>
      </c>
      <c r="E63" s="69" t="n">
        <f aca="false">-(E62-D62)*Inputs!$E$81</f>
        <v>-0</v>
      </c>
      <c r="F63" s="69" t="n">
        <f aca="false">-(F62-E62)*Inputs!$E$81</f>
        <v>-0</v>
      </c>
      <c r="G63" s="69" t="n">
        <f aca="false">-(G62-F62)*Inputs!$E$81</f>
        <v>-0</v>
      </c>
      <c r="H63" s="69" t="n">
        <f aca="false">-(H62-G62)*Inputs!$E$81</f>
        <v>-0</v>
      </c>
      <c r="I63" s="69" t="n">
        <f aca="false">-(I62-H62)*Inputs!$E$81</f>
        <v>-0</v>
      </c>
      <c r="J63" s="69" t="n">
        <f aca="false">-(J62-I62)*Inputs!$E$81</f>
        <v>-0</v>
      </c>
      <c r="K63" s="69" t="n">
        <f aca="false">-(K62-J62)*Inputs!$E$81</f>
        <v>-0</v>
      </c>
      <c r="L63" s="69" t="n">
        <f aca="false">-(L62-K62)*Inputs!$E$81</f>
        <v>-0</v>
      </c>
      <c r="M63" s="69" t="n">
        <f aca="false">-(M62-L62)*Inputs!$E$81</f>
        <v>-0</v>
      </c>
      <c r="N63" s="69" t="n">
        <f aca="false">-(N62-M62)*Inputs!$E$81</f>
        <v>-0</v>
      </c>
      <c r="O63" s="69" t="n">
        <f aca="false">-(O62-N62)*Inputs!$E$81</f>
        <v>-0</v>
      </c>
      <c r="P63" s="69" t="n">
        <f aca="false">-(P62-O62)*Inputs!$E$81</f>
        <v>-0</v>
      </c>
      <c r="Q63" s="69" t="n">
        <f aca="false">-(Q62-P62)*Inputs!$E$81</f>
        <v>-0</v>
      </c>
      <c r="R63" s="69" t="n">
        <f aca="false">-(R62-Q62)*Inputs!$E$81</f>
        <v>-0</v>
      </c>
      <c r="S63" s="69" t="n">
        <f aca="false">-(S62-R62)*Inputs!$E$81</f>
        <v>-0</v>
      </c>
      <c r="T63" s="69" t="n">
        <f aca="false">-(T62-S62)*Inputs!$E$81</f>
        <v>-0</v>
      </c>
      <c r="U63" s="69" t="n">
        <f aca="false">-(U62-T62)*Inputs!$E$81</f>
        <v>-0</v>
      </c>
      <c r="V63" s="69" t="n">
        <f aca="false">-(V62-U62)*Inputs!$E$81</f>
        <v>-0</v>
      </c>
      <c r="W63" s="69" t="n">
        <f aca="false">-(W62-V62)*Inputs!$E$81</f>
        <v>-0</v>
      </c>
      <c r="X63" s="69" t="n">
        <f aca="false">-(X62-W62)*Inputs!$E$81</f>
        <v>-0</v>
      </c>
      <c r="Y63" s="69" t="n">
        <f aca="false">-(Y62-X62)*Inputs!$E$81</f>
        <v>-0</v>
      </c>
      <c r="Z63" s="69" t="n">
        <f aca="false">-(Z62-Y62)*Inputs!$E$81</f>
        <v>-0</v>
      </c>
      <c r="AA63" s="69" t="n">
        <f aca="false">-(AA62-Z62)*Inputs!$E$81</f>
        <v>-0</v>
      </c>
      <c r="AB63" s="69" t="n">
        <f aca="false">-(AB62-AA62)*Inputs!$E$81</f>
        <v>-0</v>
      </c>
      <c r="AC63" s="69" t="n">
        <f aca="false">-(AC62-AB62)*Inputs!$E$81</f>
        <v>-0</v>
      </c>
      <c r="AD63" s="69" t="n">
        <f aca="false">-(AD62-AC62)*Inputs!$E$81</f>
        <v>-0</v>
      </c>
      <c r="AE63" s="69" t="n">
        <f aca="false">-(AE62-AD62)*Inputs!$E$81</f>
        <v>-0</v>
      </c>
      <c r="AF63" s="69" t="n">
        <f aca="false">-(AF62-AE62)*Inputs!$E$81</f>
        <v>-0</v>
      </c>
      <c r="AG63" s="69" t="n">
        <f aca="false">-(AG62-AF62)*Inputs!$E$81</f>
        <v>-0</v>
      </c>
      <c r="AH63" s="69" t="n">
        <f aca="false">-(AH62-AG62)*Inputs!$E$81</f>
        <v>-0</v>
      </c>
      <c r="AI63" s="69" t="n">
        <f aca="false">-(AI62-AH62)*Inputs!$E$81</f>
        <v>-0</v>
      </c>
      <c r="AJ63" s="69" t="n">
        <f aca="false">-(AJ62-AI62)*Inputs!$E$81</f>
        <v>-0</v>
      </c>
      <c r="AK63" s="69" t="n">
        <f aca="false">-(AK62-AJ62)*Inputs!$E$81</f>
        <v>-0</v>
      </c>
      <c r="AL63" s="69" t="n">
        <f aca="false">-(AL62-AK62)*Inputs!$E$81</f>
        <v>-0</v>
      </c>
    </row>
    <row r="64" customFormat="false" ht="15" hidden="false" customHeight="false" outlineLevel="0" collapsed="false">
      <c r="A64" s="113" t="s">
        <v>50</v>
      </c>
      <c r="C64" s="70" t="n">
        <f aca="false">C60+C63</f>
        <v>-102437.476634789</v>
      </c>
      <c r="D64" s="70" t="n">
        <f aca="false">D60+D63</f>
        <v>-96802.8601263196</v>
      </c>
      <c r="E64" s="70" t="n">
        <f aca="false">E60+E63</f>
        <v>-81346.6973463849</v>
      </c>
      <c r="F64" s="70" t="n">
        <f aca="false">F60+F63</f>
        <v>-74175.9785983407</v>
      </c>
      <c r="G64" s="70" t="n">
        <f aca="false">G60+G63</f>
        <v>-66877.5392626404</v>
      </c>
      <c r="H64" s="70" t="n">
        <f aca="false">H60+H63</f>
        <v>-59456.4881627903</v>
      </c>
      <c r="I64" s="70" t="n">
        <f aca="false">I60+I63</f>
        <v>-51917.7297693565</v>
      </c>
      <c r="J64" s="70" t="n">
        <f aca="false">J60+J63</f>
        <v>-44265.9723740822</v>
      </c>
      <c r="K64" s="70" t="n">
        <f aca="false">K60+K63</f>
        <v>-36505.7359370411</v>
      </c>
      <c r="L64" s="70" t="n">
        <f aca="false">L60+L63</f>
        <v>-28641.3596199039</v>
      </c>
      <c r="M64" s="70" t="n">
        <f aca="false">M60+M63</f>
        <v>-26323.1435999967</v>
      </c>
      <c r="N64" s="70" t="n">
        <f aca="false">N60+N63</f>
        <v>-40481.3508386496</v>
      </c>
      <c r="O64" s="70" t="n">
        <f aca="false">O60+O63</f>
        <v>-34678.0440923265</v>
      </c>
      <c r="P64" s="70" t="n">
        <f aca="false">P60+P63</f>
        <v>-32689.803305957</v>
      </c>
      <c r="Q64" s="70" t="n">
        <f aca="false">Q60+Q63</f>
        <v>-13768.6381730981</v>
      </c>
      <c r="R64" s="70" t="n">
        <f aca="false">R60+R63</f>
        <v>-11668.6885046759</v>
      </c>
      <c r="S64" s="70" t="n">
        <f aca="false">S60+S63</f>
        <v>-9645.65348965729</v>
      </c>
      <c r="T64" s="70" t="n">
        <f aca="false">T60+T63</f>
        <v>-7696.45654190606</v>
      </c>
      <c r="U64" s="70" t="n">
        <f aca="false">U60+U63</f>
        <v>-5818.14413873151</v>
      </c>
      <c r="V64" s="70" t="n">
        <f aca="false">V60+V63</f>
        <v>-4007.88089835067</v>
      </c>
      <c r="W64" s="70" t="n">
        <f aca="false">W60+W63</f>
        <v>-2262.94485425172</v>
      </c>
      <c r="X64" s="70" t="n">
        <f aca="false">X60+X63</f>
        <v>-580.722918583382</v>
      </c>
      <c r="Y64" s="70" t="n">
        <f aca="false">Y60+Y63</f>
        <v>1041.29347299157</v>
      </c>
      <c r="Z64" s="70" t="n">
        <f aca="false">Z60+Z63</f>
        <v>-13789.494266954</v>
      </c>
      <c r="AA64" s="70" t="n">
        <f aca="false">AA60+AA63</f>
        <v>-8664.94562232456</v>
      </c>
      <c r="AB64" s="70" t="n">
        <f aca="false">AB60+AB63</f>
        <v>-7337.06864158062</v>
      </c>
      <c r="AC64" s="70" t="n">
        <f aca="false">AC60+AC63</f>
        <v>11047.9903249111</v>
      </c>
      <c r="AD64" s="70" t="n">
        <f aca="false">AD60+AD63</f>
        <v>12578.4739856072</v>
      </c>
      <c r="AE64" s="70" t="n">
        <f aca="false">AE60+AE63</f>
        <v>14054.8216332087</v>
      </c>
      <c r="AF64" s="70" t="n">
        <f aca="false">AF60+AF63</f>
        <v>15479.1987082395</v>
      </c>
      <c r="AG64" s="70" t="n">
        <f aca="false">AG60+AG63</f>
        <v>16853.6840336025</v>
      </c>
      <c r="AH64" s="70" t="n">
        <f aca="false">AH60+AH63</f>
        <v>18180.2732792842</v>
      </c>
      <c r="AI64" s="70" t="n">
        <f aca="false">AI60+AI63</f>
        <v>19460.882288472</v>
      </c>
      <c r="AJ64" s="70" t="n">
        <f aca="false">AJ60+AJ63</f>
        <v>20697.3502706256</v>
      </c>
      <c r="AK64" s="70" t="n">
        <f aca="false">AK60+AK63</f>
        <v>21891.4428668264</v>
      </c>
      <c r="AL64" s="70" t="n">
        <f aca="false">AL60+AL63</f>
        <v>6376.37886141181</v>
      </c>
    </row>
    <row r="66" customFormat="false" ht="15.75" hidden="false" customHeight="true" outlineLevel="0" collapsed="false">
      <c r="A66" s="7" t="s">
        <v>421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customFormat="false" ht="15" hidden="false" customHeight="false" outlineLevel="0" collapsed="false">
      <c r="A67" s="6" t="s">
        <v>422</v>
      </c>
      <c r="C67" s="69" t="n">
        <f aca="false">IF(C$4=1,Inputs!$E$50,0)</f>
        <v>1650000</v>
      </c>
      <c r="D67" s="69" t="n">
        <f aca="false">IF(D$4=1,Inputs!$E$50,0)</f>
        <v>0</v>
      </c>
      <c r="E67" s="69" t="n">
        <f aca="false">IF(E$4=1,Inputs!$E$50,0)</f>
        <v>0</v>
      </c>
      <c r="F67" s="69" t="n">
        <f aca="false">IF(F$4=1,Inputs!$E$50,0)</f>
        <v>0</v>
      </c>
      <c r="G67" s="69" t="n">
        <f aca="false">IF(G$4=1,Inputs!$E$50,0)</f>
        <v>0</v>
      </c>
      <c r="H67" s="69" t="n">
        <f aca="false">IF(H$4=1,Inputs!$E$50,0)</f>
        <v>0</v>
      </c>
      <c r="I67" s="69" t="n">
        <f aca="false">IF(I$4=1,Inputs!$E$50,0)</f>
        <v>0</v>
      </c>
      <c r="J67" s="69" t="n">
        <f aca="false">IF(J$4=1,Inputs!$E$50,0)</f>
        <v>0</v>
      </c>
      <c r="K67" s="69" t="n">
        <f aca="false">IF(K$4=1,Inputs!$E$50,0)</f>
        <v>0</v>
      </c>
      <c r="L67" s="69" t="n">
        <f aca="false">IF(L$4=1,Inputs!$E$50,0)</f>
        <v>0</v>
      </c>
      <c r="M67" s="69" t="n">
        <f aca="false">IF(M$4=1,Inputs!$E$50,0)</f>
        <v>0</v>
      </c>
      <c r="N67" s="69" t="n">
        <f aca="false">IF(N$4=1,Inputs!$E$50,0)</f>
        <v>0</v>
      </c>
      <c r="O67" s="69" t="n">
        <f aca="false">IF(O$4=1,Inputs!$E$50,0)</f>
        <v>0</v>
      </c>
      <c r="P67" s="69" t="n">
        <f aca="false">IF(P$4=1,Inputs!$E$50,0)</f>
        <v>0</v>
      </c>
      <c r="Q67" s="69" t="n">
        <f aca="false">IF(Q$4=1,Inputs!$E$50,0)</f>
        <v>0</v>
      </c>
      <c r="R67" s="69" t="n">
        <f aca="false">IF(R$4=1,Inputs!$E$50,0)</f>
        <v>0</v>
      </c>
      <c r="S67" s="69" t="n">
        <f aca="false">IF(S$4=1,Inputs!$E$50,0)</f>
        <v>0</v>
      </c>
      <c r="T67" s="69" t="n">
        <f aca="false">IF(T$4=1,Inputs!$E$50,0)</f>
        <v>0</v>
      </c>
      <c r="U67" s="69" t="n">
        <f aca="false">IF(U$4=1,Inputs!$E$50,0)</f>
        <v>0</v>
      </c>
      <c r="V67" s="69" t="n">
        <f aca="false">IF(V$4=1,Inputs!$E$50,0)</f>
        <v>0</v>
      </c>
      <c r="W67" s="69" t="n">
        <f aca="false">IF(W$4=1,Inputs!$E$50,0)</f>
        <v>0</v>
      </c>
      <c r="X67" s="69" t="n">
        <f aca="false">IF(X$4=1,Inputs!$E$50,0)</f>
        <v>0</v>
      </c>
      <c r="Y67" s="69" t="n">
        <f aca="false">IF(Y$4=1,Inputs!$E$50,0)</f>
        <v>0</v>
      </c>
      <c r="Z67" s="69" t="n">
        <f aca="false">IF(Z$4=1,Inputs!$E$50,0)</f>
        <v>0</v>
      </c>
      <c r="AA67" s="69" t="n">
        <f aca="false">IF(AA$4=1,Inputs!$E$50,0)</f>
        <v>0</v>
      </c>
      <c r="AB67" s="69" t="n">
        <f aca="false">IF(AB$4=1,Inputs!$E$50,0)</f>
        <v>0</v>
      </c>
      <c r="AC67" s="69" t="n">
        <f aca="false">IF(AC$4=1,Inputs!$E$50,0)</f>
        <v>0</v>
      </c>
      <c r="AD67" s="69" t="n">
        <f aca="false">IF(AD$4=1,Inputs!$E$50,0)</f>
        <v>0</v>
      </c>
      <c r="AE67" s="69" t="n">
        <f aca="false">IF(AE$4=1,Inputs!$E$50,0)</f>
        <v>0</v>
      </c>
      <c r="AF67" s="69" t="n">
        <f aca="false">IF(AF$4=1,Inputs!$E$50,0)</f>
        <v>0</v>
      </c>
      <c r="AG67" s="69" t="n">
        <f aca="false">IF(AG$4=1,Inputs!$E$50,0)</f>
        <v>0</v>
      </c>
      <c r="AH67" s="69" t="n">
        <f aca="false">IF(AH$4=1,Inputs!$E$50,0)</f>
        <v>0</v>
      </c>
      <c r="AI67" s="69" t="n">
        <f aca="false">IF(AI$4=1,Inputs!$E$50,0)</f>
        <v>0</v>
      </c>
      <c r="AJ67" s="69" t="n">
        <f aca="false">IF(AJ$4=1,Inputs!$E$50,0)</f>
        <v>0</v>
      </c>
      <c r="AK67" s="69" t="n">
        <f aca="false">IF(AK$4=1,Inputs!$E$50,0)</f>
        <v>0</v>
      </c>
      <c r="AL67" s="69" t="n">
        <f aca="false">IF(AL$4=1,Inputs!$E$50,0)</f>
        <v>0</v>
      </c>
    </row>
    <row r="68" customFormat="false" ht="15" hidden="false" customHeight="false" outlineLevel="0" collapsed="false">
      <c r="A68" s="6" t="s">
        <v>423</v>
      </c>
      <c r="C68" s="69" t="n">
        <f aca="false">IF(C$4=1,Inputs!$E$51,0)</f>
        <v>2300000</v>
      </c>
      <c r="D68" s="69" t="n">
        <f aca="false">IF(D$4=1,Inputs!$E$51,0)</f>
        <v>0</v>
      </c>
      <c r="E68" s="69" t="n">
        <f aca="false">IF(E$4=1,Inputs!$E$51,0)</f>
        <v>0</v>
      </c>
      <c r="F68" s="69" t="n">
        <f aca="false">IF(F$4=1,Inputs!$E$51,0)</f>
        <v>0</v>
      </c>
      <c r="G68" s="69" t="n">
        <f aca="false">IF(G$4=1,Inputs!$E$51,0)</f>
        <v>0</v>
      </c>
      <c r="H68" s="69" t="n">
        <f aca="false">IF(H$4=1,Inputs!$E$51,0)</f>
        <v>0</v>
      </c>
      <c r="I68" s="69" t="n">
        <f aca="false">IF(I$4=1,Inputs!$E$51,0)</f>
        <v>0</v>
      </c>
      <c r="J68" s="69" t="n">
        <f aca="false">IF(J$4=1,Inputs!$E$51,0)</f>
        <v>0</v>
      </c>
      <c r="K68" s="69" t="n">
        <f aca="false">IF(K$4=1,Inputs!$E$51,0)</f>
        <v>0</v>
      </c>
      <c r="L68" s="69" t="n">
        <f aca="false">IF(L$4=1,Inputs!$E$51,0)</f>
        <v>0</v>
      </c>
      <c r="M68" s="69" t="n">
        <f aca="false">IF(M$4=1,Inputs!$E$51,0)</f>
        <v>0</v>
      </c>
      <c r="N68" s="69" t="n">
        <f aca="false">IF(N$4=1,Inputs!$E$51,0)</f>
        <v>0</v>
      </c>
      <c r="O68" s="69" t="n">
        <f aca="false">IF(O$4=1,Inputs!$E$51,0)</f>
        <v>0</v>
      </c>
      <c r="P68" s="69" t="n">
        <f aca="false">IF(P$4=1,Inputs!$E$51,0)</f>
        <v>0</v>
      </c>
      <c r="Q68" s="69" t="n">
        <f aca="false">IF(Q$4=1,Inputs!$E$51,0)</f>
        <v>0</v>
      </c>
      <c r="R68" s="69" t="n">
        <f aca="false">IF(R$4=1,Inputs!$E$51,0)</f>
        <v>0</v>
      </c>
      <c r="S68" s="69" t="n">
        <f aca="false">IF(S$4=1,Inputs!$E$51,0)</f>
        <v>0</v>
      </c>
      <c r="T68" s="69" t="n">
        <f aca="false">IF(T$4=1,Inputs!$E$51,0)</f>
        <v>0</v>
      </c>
      <c r="U68" s="69" t="n">
        <f aca="false">IF(U$4=1,Inputs!$E$51,0)</f>
        <v>0</v>
      </c>
      <c r="V68" s="69" t="n">
        <f aca="false">IF(V$4=1,Inputs!$E$51,0)</f>
        <v>0</v>
      </c>
      <c r="W68" s="69" t="n">
        <f aca="false">IF(W$4=1,Inputs!$E$51,0)</f>
        <v>0</v>
      </c>
      <c r="X68" s="69" t="n">
        <f aca="false">IF(X$4=1,Inputs!$E$51,0)</f>
        <v>0</v>
      </c>
      <c r="Y68" s="69" t="n">
        <f aca="false">IF(Y$4=1,Inputs!$E$51,0)</f>
        <v>0</v>
      </c>
      <c r="Z68" s="69" t="n">
        <f aca="false">IF(Z$4=1,Inputs!$E$51,0)</f>
        <v>0</v>
      </c>
      <c r="AA68" s="69" t="n">
        <f aca="false">IF(AA$4=1,Inputs!$E$51,0)</f>
        <v>0</v>
      </c>
      <c r="AB68" s="69" t="n">
        <f aca="false">IF(AB$4=1,Inputs!$E$51,0)</f>
        <v>0</v>
      </c>
      <c r="AC68" s="69" t="n">
        <f aca="false">IF(AC$4=1,Inputs!$E$51,0)</f>
        <v>0</v>
      </c>
      <c r="AD68" s="69" t="n">
        <f aca="false">IF(AD$4=1,Inputs!$E$51,0)</f>
        <v>0</v>
      </c>
      <c r="AE68" s="69" t="n">
        <f aca="false">IF(AE$4=1,Inputs!$E$51,0)</f>
        <v>0</v>
      </c>
      <c r="AF68" s="69" t="n">
        <f aca="false">IF(AF$4=1,Inputs!$E$51,0)</f>
        <v>0</v>
      </c>
      <c r="AG68" s="69" t="n">
        <f aca="false">IF(AG$4=1,Inputs!$E$51,0)</f>
        <v>0</v>
      </c>
      <c r="AH68" s="69" t="n">
        <f aca="false">IF(AH$4=1,Inputs!$E$51,0)</f>
        <v>0</v>
      </c>
      <c r="AI68" s="69" t="n">
        <f aca="false">IF(AI$4=1,Inputs!$E$51,0)</f>
        <v>0</v>
      </c>
      <c r="AJ68" s="69" t="n">
        <f aca="false">IF(AJ$4=1,Inputs!$E$51,0)</f>
        <v>0</v>
      </c>
      <c r="AK68" s="69" t="n">
        <f aca="false">IF(AK$4=1,Inputs!$E$51,0)</f>
        <v>0</v>
      </c>
      <c r="AL68" s="69" t="n">
        <f aca="false">IF(AL$4=1,Inputs!$E$51,0)</f>
        <v>0</v>
      </c>
    </row>
    <row r="69" customFormat="false" ht="15" hidden="false" customHeight="false" outlineLevel="0" collapsed="false">
      <c r="A69" s="6" t="s">
        <v>424</v>
      </c>
      <c r="C69" s="69" t="n">
        <f aca="false">IF(C$4=1,Inputs!$E$52,0)</f>
        <v>150000</v>
      </c>
      <c r="D69" s="69" t="n">
        <f aca="false">IF(D$4=1,Inputs!$E$52,0)</f>
        <v>0</v>
      </c>
      <c r="E69" s="69" t="n">
        <f aca="false">IF(E$4=1,Inputs!$E$52,0)</f>
        <v>0</v>
      </c>
      <c r="F69" s="69" t="n">
        <f aca="false">IF(F$4=1,Inputs!$E$52,0)</f>
        <v>0</v>
      </c>
      <c r="G69" s="69" t="n">
        <f aca="false">IF(G$4=1,Inputs!$E$52,0)</f>
        <v>0</v>
      </c>
      <c r="H69" s="69" t="n">
        <f aca="false">IF(H$4=1,Inputs!$E$52,0)</f>
        <v>0</v>
      </c>
      <c r="I69" s="69" t="n">
        <f aca="false">IF(I$4=1,Inputs!$E$52,0)</f>
        <v>0</v>
      </c>
      <c r="J69" s="69" t="n">
        <f aca="false">IF(J$4=1,Inputs!$E$52,0)</f>
        <v>0</v>
      </c>
      <c r="K69" s="69" t="n">
        <f aca="false">IF(K$4=1,Inputs!$E$52,0)</f>
        <v>0</v>
      </c>
      <c r="L69" s="69" t="n">
        <f aca="false">IF(L$4=1,Inputs!$E$52,0)</f>
        <v>0</v>
      </c>
      <c r="M69" s="69" t="n">
        <f aca="false">IF(M$4=1,Inputs!$E$52,0)</f>
        <v>0</v>
      </c>
      <c r="N69" s="69" t="n">
        <f aca="false">IF(N$4=1,Inputs!$E$52,0)</f>
        <v>0</v>
      </c>
      <c r="O69" s="69" t="n">
        <f aca="false">IF(O$4=1,Inputs!$E$52,0)</f>
        <v>0</v>
      </c>
      <c r="P69" s="69" t="n">
        <f aca="false">IF(P$4=1,Inputs!$E$52,0)</f>
        <v>0</v>
      </c>
      <c r="Q69" s="69" t="n">
        <f aca="false">IF(Q$4=1,Inputs!$E$52,0)</f>
        <v>0</v>
      </c>
      <c r="R69" s="69" t="n">
        <f aca="false">IF(R$4=1,Inputs!$E$52,0)</f>
        <v>0</v>
      </c>
      <c r="S69" s="69" t="n">
        <f aca="false">IF(S$4=1,Inputs!$E$52,0)</f>
        <v>0</v>
      </c>
      <c r="T69" s="69" t="n">
        <f aca="false">IF(T$4=1,Inputs!$E$52,0)</f>
        <v>0</v>
      </c>
      <c r="U69" s="69" t="n">
        <f aca="false">IF(U$4=1,Inputs!$E$52,0)</f>
        <v>0</v>
      </c>
      <c r="V69" s="69" t="n">
        <f aca="false">IF(V$4=1,Inputs!$E$52,0)</f>
        <v>0</v>
      </c>
      <c r="W69" s="69" t="n">
        <f aca="false">IF(W$4=1,Inputs!$E$52,0)</f>
        <v>0</v>
      </c>
      <c r="X69" s="69" t="n">
        <f aca="false">IF(X$4=1,Inputs!$E$52,0)</f>
        <v>0</v>
      </c>
      <c r="Y69" s="69" t="n">
        <f aca="false">IF(Y$4=1,Inputs!$E$52,0)</f>
        <v>0</v>
      </c>
      <c r="Z69" s="69" t="n">
        <f aca="false">IF(Z$4=1,Inputs!$E$52,0)</f>
        <v>0</v>
      </c>
      <c r="AA69" s="69" t="n">
        <f aca="false">IF(AA$4=1,Inputs!$E$52,0)</f>
        <v>0</v>
      </c>
      <c r="AB69" s="69" t="n">
        <f aca="false">IF(AB$4=1,Inputs!$E$52,0)</f>
        <v>0</v>
      </c>
      <c r="AC69" s="69" t="n">
        <f aca="false">IF(AC$4=1,Inputs!$E$52,0)</f>
        <v>0</v>
      </c>
      <c r="AD69" s="69" t="n">
        <f aca="false">IF(AD$4=1,Inputs!$E$52,0)</f>
        <v>0</v>
      </c>
      <c r="AE69" s="69" t="n">
        <f aca="false">IF(AE$4=1,Inputs!$E$52,0)</f>
        <v>0</v>
      </c>
      <c r="AF69" s="69" t="n">
        <f aca="false">IF(AF$4=1,Inputs!$E$52,0)</f>
        <v>0</v>
      </c>
      <c r="AG69" s="69" t="n">
        <f aca="false">IF(AG$4=1,Inputs!$E$52,0)</f>
        <v>0</v>
      </c>
      <c r="AH69" s="69" t="n">
        <f aca="false">IF(AH$4=1,Inputs!$E$52,0)</f>
        <v>0</v>
      </c>
      <c r="AI69" s="69" t="n">
        <f aca="false">IF(AI$4=1,Inputs!$E$52,0)</f>
        <v>0</v>
      </c>
      <c r="AJ69" s="69" t="n">
        <f aca="false">IF(AJ$4=1,Inputs!$E$52,0)</f>
        <v>0</v>
      </c>
      <c r="AK69" s="69" t="n">
        <f aca="false">IF(AK$4=1,Inputs!$E$52,0)</f>
        <v>0</v>
      </c>
      <c r="AL69" s="69" t="n">
        <f aca="false">IF(AL$4=1,Inputs!$E$52,0)</f>
        <v>0</v>
      </c>
    </row>
    <row r="70" customFormat="false" ht="15" hidden="false" customHeight="false" outlineLevel="0" collapsed="false">
      <c r="A70" s="6" t="s">
        <v>425</v>
      </c>
      <c r="C70" s="69" t="n">
        <f aca="false">IF(C$4=1,Inputs!$E$53,0)</f>
        <v>0</v>
      </c>
      <c r="D70" s="69" t="n">
        <f aca="false">IF(D$4=1,Inputs!$E$53,0)</f>
        <v>0</v>
      </c>
      <c r="E70" s="69" t="n">
        <f aca="false">IF(E$4=1,Inputs!$E$53,0)</f>
        <v>0</v>
      </c>
      <c r="F70" s="69" t="n">
        <f aca="false">IF(F$4=1,Inputs!$E$53,0)</f>
        <v>0</v>
      </c>
      <c r="G70" s="69" t="n">
        <f aca="false">IF(G$4=1,Inputs!$E$53,0)</f>
        <v>0</v>
      </c>
      <c r="H70" s="69" t="n">
        <f aca="false">IF(H$4=1,Inputs!$E$53,0)</f>
        <v>0</v>
      </c>
      <c r="I70" s="69" t="n">
        <f aca="false">IF(I$4=1,Inputs!$E$53,0)</f>
        <v>0</v>
      </c>
      <c r="J70" s="69" t="n">
        <f aca="false">IF(J$4=1,Inputs!$E$53,0)</f>
        <v>0</v>
      </c>
      <c r="K70" s="69" t="n">
        <f aca="false">IF(K$4=1,Inputs!$E$53,0)</f>
        <v>0</v>
      </c>
      <c r="L70" s="69" t="n">
        <f aca="false">IF(L$4=1,Inputs!$E$53,0)</f>
        <v>0</v>
      </c>
      <c r="M70" s="69" t="n">
        <f aca="false">IF(M$4=1,Inputs!$E$53,0)</f>
        <v>0</v>
      </c>
      <c r="N70" s="69" t="n">
        <f aca="false">IF(N$4=1,Inputs!$E$53,0)</f>
        <v>0</v>
      </c>
      <c r="O70" s="69" t="n">
        <f aca="false">IF(O$4=1,Inputs!$E$53,0)</f>
        <v>0</v>
      </c>
      <c r="P70" s="69" t="n">
        <f aca="false">IF(P$4=1,Inputs!$E$53,0)</f>
        <v>0</v>
      </c>
      <c r="Q70" s="69" t="n">
        <f aca="false">IF(Q$4=1,Inputs!$E$53,0)</f>
        <v>0</v>
      </c>
      <c r="R70" s="69" t="n">
        <f aca="false">IF(R$4=1,Inputs!$E$53,0)</f>
        <v>0</v>
      </c>
      <c r="S70" s="69" t="n">
        <f aca="false">IF(S$4=1,Inputs!$E$53,0)</f>
        <v>0</v>
      </c>
      <c r="T70" s="69" t="n">
        <f aca="false">IF(T$4=1,Inputs!$E$53,0)</f>
        <v>0</v>
      </c>
      <c r="U70" s="69" t="n">
        <f aca="false">IF(U$4=1,Inputs!$E$53,0)</f>
        <v>0</v>
      </c>
      <c r="V70" s="69" t="n">
        <f aca="false">IF(V$4=1,Inputs!$E$53,0)</f>
        <v>0</v>
      </c>
      <c r="W70" s="69" t="n">
        <f aca="false">IF(W$4=1,Inputs!$E$53,0)</f>
        <v>0</v>
      </c>
      <c r="X70" s="69" t="n">
        <f aca="false">IF(X$4=1,Inputs!$E$53,0)</f>
        <v>0</v>
      </c>
      <c r="Y70" s="69" t="n">
        <f aca="false">IF(Y$4=1,Inputs!$E$53,0)</f>
        <v>0</v>
      </c>
      <c r="Z70" s="69" t="n">
        <f aca="false">IF(Z$4=1,Inputs!$E$53,0)</f>
        <v>0</v>
      </c>
      <c r="AA70" s="69" t="n">
        <f aca="false">IF(AA$4=1,Inputs!$E$53,0)</f>
        <v>0</v>
      </c>
      <c r="AB70" s="69" t="n">
        <f aca="false">IF(AB$4=1,Inputs!$E$53,0)</f>
        <v>0</v>
      </c>
      <c r="AC70" s="69" t="n">
        <f aca="false">IF(AC$4=1,Inputs!$E$53,0)</f>
        <v>0</v>
      </c>
      <c r="AD70" s="69" t="n">
        <f aca="false">IF(AD$4=1,Inputs!$E$53,0)</f>
        <v>0</v>
      </c>
      <c r="AE70" s="69" t="n">
        <f aca="false">IF(AE$4=1,Inputs!$E$53,0)</f>
        <v>0</v>
      </c>
      <c r="AF70" s="69" t="n">
        <f aca="false">IF(AF$4=1,Inputs!$E$53,0)</f>
        <v>0</v>
      </c>
      <c r="AG70" s="69" t="n">
        <f aca="false">IF(AG$4=1,Inputs!$E$53,0)</f>
        <v>0</v>
      </c>
      <c r="AH70" s="69" t="n">
        <f aca="false">IF(AH$4=1,Inputs!$E$53,0)</f>
        <v>0</v>
      </c>
      <c r="AI70" s="69" t="n">
        <f aca="false">IF(AI$4=1,Inputs!$E$53,0)</f>
        <v>0</v>
      </c>
      <c r="AJ70" s="69" t="n">
        <f aca="false">IF(AJ$4=1,Inputs!$E$53,0)</f>
        <v>0</v>
      </c>
      <c r="AK70" s="69" t="n">
        <f aca="false">IF(AK$4=1,Inputs!$E$53,0)</f>
        <v>0</v>
      </c>
      <c r="AL70" s="69" t="n">
        <f aca="false">IF(AL$4=1,Inputs!$E$53,0)</f>
        <v>0</v>
      </c>
    </row>
    <row r="71" customFormat="false" ht="15" hidden="false" customHeight="false" outlineLevel="0" collapsed="false">
      <c r="A71" s="6" t="s">
        <v>426</v>
      </c>
      <c r="C71" s="69" t="n">
        <f aca="false">IF(AND(C$5&gt;1,MOD(C$4-1,12)=0),Inputs!$E$54,0)</f>
        <v>0</v>
      </c>
      <c r="D71" s="69" t="n">
        <f aca="false">IF(AND(D$5&gt;1,MOD(D$4-1,12)=0),Inputs!$E$54,0)</f>
        <v>0</v>
      </c>
      <c r="E71" s="69" t="n">
        <f aca="false">IF(AND(E$5&gt;1,MOD(E$4-1,12)=0),Inputs!$E$54,0)</f>
        <v>0</v>
      </c>
      <c r="F71" s="69" t="n">
        <f aca="false">IF(AND(F$5&gt;1,MOD(F$4-1,12)=0),Inputs!$E$54,0)</f>
        <v>0</v>
      </c>
      <c r="G71" s="69" t="n">
        <f aca="false">IF(AND(G$5&gt;1,MOD(G$4-1,12)=0),Inputs!$E$54,0)</f>
        <v>0</v>
      </c>
      <c r="H71" s="69" t="n">
        <f aca="false">IF(AND(H$5&gt;1,MOD(H$4-1,12)=0),Inputs!$E$54,0)</f>
        <v>0</v>
      </c>
      <c r="I71" s="69" t="n">
        <f aca="false">IF(AND(I$5&gt;1,MOD(I$4-1,12)=0),Inputs!$E$54,0)</f>
        <v>0</v>
      </c>
      <c r="J71" s="69" t="n">
        <f aca="false">IF(AND(J$5&gt;1,MOD(J$4-1,12)=0),Inputs!$E$54,0)</f>
        <v>0</v>
      </c>
      <c r="K71" s="69" t="n">
        <f aca="false">IF(AND(K$5&gt;1,MOD(K$4-1,12)=0),Inputs!$E$54,0)</f>
        <v>0</v>
      </c>
      <c r="L71" s="69" t="n">
        <f aca="false">IF(AND(L$5&gt;1,MOD(L$4-1,12)=0),Inputs!$E$54,0)</f>
        <v>0</v>
      </c>
      <c r="M71" s="69" t="n">
        <f aca="false">IF(AND(M$5&gt;1,MOD(M$4-1,12)=0),Inputs!$E$54,0)</f>
        <v>0</v>
      </c>
      <c r="N71" s="69" t="n">
        <f aca="false">IF(AND(N$5&gt;1,MOD(N$4-1,12)=0),Inputs!$E$54,0)</f>
        <v>0</v>
      </c>
      <c r="O71" s="69" t="n">
        <f aca="false">IF(AND(O$5&gt;1,MOD(O$4-1,12)=0),Inputs!$E$54,0)</f>
        <v>40000</v>
      </c>
      <c r="P71" s="69" t="n">
        <f aca="false">IF(AND(P$5&gt;1,MOD(P$4-1,12)=0),Inputs!$E$54,0)</f>
        <v>0</v>
      </c>
      <c r="Q71" s="69" t="n">
        <f aca="false">IF(AND(Q$5&gt;1,MOD(Q$4-1,12)=0),Inputs!$E$54,0)</f>
        <v>0</v>
      </c>
      <c r="R71" s="69" t="n">
        <f aca="false">IF(AND(R$5&gt;1,MOD(R$4-1,12)=0),Inputs!$E$54,0)</f>
        <v>0</v>
      </c>
      <c r="S71" s="69" t="n">
        <f aca="false">IF(AND(S$5&gt;1,MOD(S$4-1,12)=0),Inputs!$E$54,0)</f>
        <v>0</v>
      </c>
      <c r="T71" s="69" t="n">
        <f aca="false">IF(AND(T$5&gt;1,MOD(T$4-1,12)=0),Inputs!$E$54,0)</f>
        <v>0</v>
      </c>
      <c r="U71" s="69" t="n">
        <f aca="false">IF(AND(U$5&gt;1,MOD(U$4-1,12)=0),Inputs!$E$54,0)</f>
        <v>0</v>
      </c>
      <c r="V71" s="69" t="n">
        <f aca="false">IF(AND(V$5&gt;1,MOD(V$4-1,12)=0),Inputs!$E$54,0)</f>
        <v>0</v>
      </c>
      <c r="W71" s="69" t="n">
        <f aca="false">IF(AND(W$5&gt;1,MOD(W$4-1,12)=0),Inputs!$E$54,0)</f>
        <v>0</v>
      </c>
      <c r="X71" s="69" t="n">
        <f aca="false">IF(AND(X$5&gt;1,MOD(X$4-1,12)=0),Inputs!$E$54,0)</f>
        <v>0</v>
      </c>
      <c r="Y71" s="69" t="n">
        <f aca="false">IF(AND(Y$5&gt;1,MOD(Y$4-1,12)=0),Inputs!$E$54,0)</f>
        <v>0</v>
      </c>
      <c r="Z71" s="69" t="n">
        <f aca="false">IF(AND(Z$5&gt;1,MOD(Z$4-1,12)=0),Inputs!$E$54,0)</f>
        <v>0</v>
      </c>
      <c r="AA71" s="69" t="n">
        <f aca="false">IF(AND(AA$5&gt;1,MOD(AA$4-1,12)=0),Inputs!$E$54,0)</f>
        <v>40000</v>
      </c>
      <c r="AB71" s="69" t="n">
        <f aca="false">IF(AND(AB$5&gt;1,MOD(AB$4-1,12)=0),Inputs!$E$54,0)</f>
        <v>0</v>
      </c>
      <c r="AC71" s="69" t="n">
        <f aca="false">IF(AND(AC$5&gt;1,MOD(AC$4-1,12)=0),Inputs!$E$54,0)</f>
        <v>0</v>
      </c>
      <c r="AD71" s="69" t="n">
        <f aca="false">IF(AND(AD$5&gt;1,MOD(AD$4-1,12)=0),Inputs!$E$54,0)</f>
        <v>0</v>
      </c>
      <c r="AE71" s="69" t="n">
        <f aca="false">IF(AND(AE$5&gt;1,MOD(AE$4-1,12)=0),Inputs!$E$54,0)</f>
        <v>0</v>
      </c>
      <c r="AF71" s="69" t="n">
        <f aca="false">IF(AND(AF$5&gt;1,MOD(AF$4-1,12)=0),Inputs!$E$54,0)</f>
        <v>0</v>
      </c>
      <c r="AG71" s="69" t="n">
        <f aca="false">IF(AND(AG$5&gt;1,MOD(AG$4-1,12)=0),Inputs!$E$54,0)</f>
        <v>0</v>
      </c>
      <c r="AH71" s="69" t="n">
        <f aca="false">IF(AND(AH$5&gt;1,MOD(AH$4-1,12)=0),Inputs!$E$54,0)</f>
        <v>0</v>
      </c>
      <c r="AI71" s="69" t="n">
        <f aca="false">IF(AND(AI$5&gt;1,MOD(AI$4-1,12)=0),Inputs!$E$54,0)</f>
        <v>0</v>
      </c>
      <c r="AJ71" s="69" t="n">
        <f aca="false">IF(AND(AJ$5&gt;1,MOD(AJ$4-1,12)=0),Inputs!$E$54,0)</f>
        <v>0</v>
      </c>
      <c r="AK71" s="69" t="n">
        <f aca="false">IF(AND(AK$5&gt;1,MOD(AK$4-1,12)=0),Inputs!$E$54,0)</f>
        <v>0</v>
      </c>
      <c r="AL71" s="69" t="n">
        <f aca="false">IF(AND(AL$5&gt;1,MOD(AL$4-1,12)=0),Inputs!$E$54,0)</f>
        <v>0</v>
      </c>
    </row>
    <row r="72" customFormat="false" ht="15" hidden="false" customHeight="false" outlineLevel="0" collapsed="false">
      <c r="A72" s="4" t="s">
        <v>84</v>
      </c>
      <c r="C72" s="75" t="n">
        <f aca="false">C67+C68+C69+C70+C71</f>
        <v>4100000</v>
      </c>
      <c r="D72" s="75" t="n">
        <f aca="false">D67+D68+D69+D70+D71</f>
        <v>0</v>
      </c>
      <c r="E72" s="75" t="n">
        <f aca="false">E67+E68+E69+E70+E71</f>
        <v>0</v>
      </c>
      <c r="F72" s="75" t="n">
        <f aca="false">F67+F68+F69+F70+F71</f>
        <v>0</v>
      </c>
      <c r="G72" s="75" t="n">
        <f aca="false">G67+G68+G69+G70+G71</f>
        <v>0</v>
      </c>
      <c r="H72" s="75" t="n">
        <f aca="false">H67+H68+H69+H70+H71</f>
        <v>0</v>
      </c>
      <c r="I72" s="75" t="n">
        <f aca="false">I67+I68+I69+I70+I71</f>
        <v>0</v>
      </c>
      <c r="J72" s="75" t="n">
        <f aca="false">J67+J68+J69+J70+J71</f>
        <v>0</v>
      </c>
      <c r="K72" s="75" t="n">
        <f aca="false">K67+K68+K69+K70+K71</f>
        <v>0</v>
      </c>
      <c r="L72" s="75" t="n">
        <f aca="false">L67+L68+L69+L70+L71</f>
        <v>0</v>
      </c>
      <c r="M72" s="75" t="n">
        <f aca="false">M67+M68+M69+M70+M71</f>
        <v>0</v>
      </c>
      <c r="N72" s="75" t="n">
        <f aca="false">N67+N68+N69+N70+N71</f>
        <v>0</v>
      </c>
      <c r="O72" s="75" t="n">
        <f aca="false">O67+O68+O69+O70+O71</f>
        <v>40000</v>
      </c>
      <c r="P72" s="75" t="n">
        <f aca="false">P67+P68+P69+P70+P71</f>
        <v>0</v>
      </c>
      <c r="Q72" s="75" t="n">
        <f aca="false">Q67+Q68+Q69+Q70+Q71</f>
        <v>0</v>
      </c>
      <c r="R72" s="75" t="n">
        <f aca="false">R67+R68+R69+R70+R71</f>
        <v>0</v>
      </c>
      <c r="S72" s="75" t="n">
        <f aca="false">S67+S68+S69+S70+S71</f>
        <v>0</v>
      </c>
      <c r="T72" s="75" t="n">
        <f aca="false">T67+T68+T69+T70+T71</f>
        <v>0</v>
      </c>
      <c r="U72" s="75" t="n">
        <f aca="false">U67+U68+U69+U70+U71</f>
        <v>0</v>
      </c>
      <c r="V72" s="75" t="n">
        <f aca="false">V67+V68+V69+V70+V71</f>
        <v>0</v>
      </c>
      <c r="W72" s="75" t="n">
        <f aca="false">W67+W68+W69+W70+W71</f>
        <v>0</v>
      </c>
      <c r="X72" s="75" t="n">
        <f aca="false">X67+X68+X69+X70+X71</f>
        <v>0</v>
      </c>
      <c r="Y72" s="75" t="n">
        <f aca="false">Y67+Y68+Y69+Y70+Y71</f>
        <v>0</v>
      </c>
      <c r="Z72" s="75" t="n">
        <f aca="false">Z67+Z68+Z69+Z70+Z71</f>
        <v>0</v>
      </c>
      <c r="AA72" s="75" t="n">
        <f aca="false">AA67+AA68+AA69+AA70+AA71</f>
        <v>40000</v>
      </c>
      <c r="AB72" s="75" t="n">
        <f aca="false">AB67+AB68+AB69+AB70+AB71</f>
        <v>0</v>
      </c>
      <c r="AC72" s="75" t="n">
        <f aca="false">AC67+AC68+AC69+AC70+AC71</f>
        <v>0</v>
      </c>
      <c r="AD72" s="75" t="n">
        <f aca="false">AD67+AD68+AD69+AD70+AD71</f>
        <v>0</v>
      </c>
      <c r="AE72" s="75" t="n">
        <f aca="false">AE67+AE68+AE69+AE70+AE71</f>
        <v>0</v>
      </c>
      <c r="AF72" s="75" t="n">
        <f aca="false">AF67+AF68+AF69+AF70+AF71</f>
        <v>0</v>
      </c>
      <c r="AG72" s="75" t="n">
        <f aca="false">AG67+AG68+AG69+AG70+AG71</f>
        <v>0</v>
      </c>
      <c r="AH72" s="75" t="n">
        <f aca="false">AH67+AH68+AH69+AH70+AH71</f>
        <v>0</v>
      </c>
      <c r="AI72" s="75" t="n">
        <f aca="false">AI67+AI68+AI69+AI70+AI71</f>
        <v>0</v>
      </c>
      <c r="AJ72" s="75" t="n">
        <f aca="false">AJ67+AJ68+AJ69+AJ70+AJ71</f>
        <v>0</v>
      </c>
      <c r="AK72" s="75" t="n">
        <f aca="false">AK67+AK68+AK69+AK70+AK71</f>
        <v>0</v>
      </c>
      <c r="AL72" s="75" t="n">
        <f aca="false">AL67+AL68+AL69+AL70+AL71</f>
        <v>0</v>
      </c>
    </row>
    <row r="73" customFormat="false" ht="15" hidden="false" customHeight="false" outlineLevel="0" collapsed="false">
      <c r="A73" s="6" t="s">
        <v>427</v>
      </c>
      <c r="C73" s="69" t="n">
        <f aca="false">C72</f>
        <v>4100000</v>
      </c>
      <c r="D73" s="69" t="n">
        <f aca="false">C73+D72</f>
        <v>4100000</v>
      </c>
      <c r="E73" s="69" t="n">
        <f aca="false">D73+E72</f>
        <v>4100000</v>
      </c>
      <c r="F73" s="69" t="n">
        <f aca="false">E73+F72</f>
        <v>4100000</v>
      </c>
      <c r="G73" s="69" t="n">
        <f aca="false">F73+G72</f>
        <v>4100000</v>
      </c>
      <c r="H73" s="69" t="n">
        <f aca="false">G73+H72</f>
        <v>4100000</v>
      </c>
      <c r="I73" s="69" t="n">
        <f aca="false">H73+I72</f>
        <v>4100000</v>
      </c>
      <c r="J73" s="69" t="n">
        <f aca="false">I73+J72</f>
        <v>4100000</v>
      </c>
      <c r="K73" s="69" t="n">
        <f aca="false">J73+K72</f>
        <v>4100000</v>
      </c>
      <c r="L73" s="69" t="n">
        <f aca="false">K73+L72</f>
        <v>4100000</v>
      </c>
      <c r="M73" s="69" t="n">
        <f aca="false">L73+M72</f>
        <v>4100000</v>
      </c>
      <c r="N73" s="69" t="n">
        <f aca="false">M73+N72</f>
        <v>4100000</v>
      </c>
      <c r="O73" s="69" t="n">
        <f aca="false">N73+O72</f>
        <v>4140000</v>
      </c>
      <c r="P73" s="69" t="n">
        <f aca="false">O73+P72</f>
        <v>4140000</v>
      </c>
      <c r="Q73" s="69" t="n">
        <f aca="false">P73+Q72</f>
        <v>4140000</v>
      </c>
      <c r="R73" s="69" t="n">
        <f aca="false">Q73+R72</f>
        <v>4140000</v>
      </c>
      <c r="S73" s="69" t="n">
        <f aca="false">R73+S72</f>
        <v>4140000</v>
      </c>
      <c r="T73" s="69" t="n">
        <f aca="false">S73+T72</f>
        <v>4140000</v>
      </c>
      <c r="U73" s="69" t="n">
        <f aca="false">T73+U72</f>
        <v>4140000</v>
      </c>
      <c r="V73" s="69" t="n">
        <f aca="false">U73+V72</f>
        <v>4140000</v>
      </c>
      <c r="W73" s="69" t="n">
        <f aca="false">V73+W72</f>
        <v>4140000</v>
      </c>
      <c r="X73" s="69" t="n">
        <f aca="false">W73+X72</f>
        <v>4140000</v>
      </c>
      <c r="Y73" s="69" t="n">
        <f aca="false">X73+Y72</f>
        <v>4140000</v>
      </c>
      <c r="Z73" s="69" t="n">
        <f aca="false">Y73+Z72</f>
        <v>4140000</v>
      </c>
      <c r="AA73" s="69" t="n">
        <f aca="false">Z73+AA72</f>
        <v>4180000</v>
      </c>
      <c r="AB73" s="69" t="n">
        <f aca="false">AA73+AB72</f>
        <v>4180000</v>
      </c>
      <c r="AC73" s="69" t="n">
        <f aca="false">AB73+AC72</f>
        <v>4180000</v>
      </c>
      <c r="AD73" s="69" t="n">
        <f aca="false">AC73+AD72</f>
        <v>4180000</v>
      </c>
      <c r="AE73" s="69" t="n">
        <f aca="false">AD73+AE72</f>
        <v>4180000</v>
      </c>
      <c r="AF73" s="69" t="n">
        <f aca="false">AE73+AF72</f>
        <v>4180000</v>
      </c>
      <c r="AG73" s="69" t="n">
        <f aca="false">AF73+AG72</f>
        <v>4180000</v>
      </c>
      <c r="AH73" s="69" t="n">
        <f aca="false">AG73+AH72</f>
        <v>4180000</v>
      </c>
      <c r="AI73" s="69" t="n">
        <f aca="false">AH73+AI72</f>
        <v>4180000</v>
      </c>
      <c r="AJ73" s="69" t="n">
        <f aca="false">AI73+AJ72</f>
        <v>4180000</v>
      </c>
      <c r="AK73" s="69" t="n">
        <f aca="false">AJ73+AK72</f>
        <v>4180000</v>
      </c>
      <c r="AL73" s="69" t="n">
        <f aca="false">AK73+AL72</f>
        <v>4180000</v>
      </c>
    </row>
    <row r="74" customFormat="false" ht="15" hidden="false" customHeight="false" outlineLevel="0" collapsed="false">
      <c r="A74" s="6" t="s">
        <v>428</v>
      </c>
      <c r="C74" s="69" t="n">
        <f aca="false">C70</f>
        <v>0</v>
      </c>
      <c r="D74" s="69" t="n">
        <f aca="false">C74+D70</f>
        <v>0</v>
      </c>
      <c r="E74" s="69" t="n">
        <f aca="false">D74+E70</f>
        <v>0</v>
      </c>
      <c r="F74" s="69" t="n">
        <f aca="false">E74+F70</f>
        <v>0</v>
      </c>
      <c r="G74" s="69" t="n">
        <f aca="false">F74+G70</f>
        <v>0</v>
      </c>
      <c r="H74" s="69" t="n">
        <f aca="false">G74+H70</f>
        <v>0</v>
      </c>
      <c r="I74" s="69" t="n">
        <f aca="false">H74+I70</f>
        <v>0</v>
      </c>
      <c r="J74" s="69" t="n">
        <f aca="false">I74+J70</f>
        <v>0</v>
      </c>
      <c r="K74" s="69" t="n">
        <f aca="false">J74+K70</f>
        <v>0</v>
      </c>
      <c r="L74" s="69" t="n">
        <f aca="false">K74+L70</f>
        <v>0</v>
      </c>
      <c r="M74" s="69" t="n">
        <f aca="false">L74+M70</f>
        <v>0</v>
      </c>
      <c r="N74" s="69" t="n">
        <f aca="false">M74+N70</f>
        <v>0</v>
      </c>
      <c r="O74" s="69" t="n">
        <f aca="false">N74+O70</f>
        <v>0</v>
      </c>
      <c r="P74" s="69" t="n">
        <f aca="false">O74+P70</f>
        <v>0</v>
      </c>
      <c r="Q74" s="69" t="n">
        <f aca="false">P74+Q70</f>
        <v>0</v>
      </c>
      <c r="R74" s="69" t="n">
        <f aca="false">Q74+R70</f>
        <v>0</v>
      </c>
      <c r="S74" s="69" t="n">
        <f aca="false">R74+S70</f>
        <v>0</v>
      </c>
      <c r="T74" s="69" t="n">
        <f aca="false">S74+T70</f>
        <v>0</v>
      </c>
      <c r="U74" s="69" t="n">
        <f aca="false">T74+U70</f>
        <v>0</v>
      </c>
      <c r="V74" s="69" t="n">
        <f aca="false">U74+V70</f>
        <v>0</v>
      </c>
      <c r="W74" s="69" t="n">
        <f aca="false">V74+W70</f>
        <v>0</v>
      </c>
      <c r="X74" s="69" t="n">
        <f aca="false">W74+X70</f>
        <v>0</v>
      </c>
      <c r="Y74" s="69" t="n">
        <f aca="false">X74+Y70</f>
        <v>0</v>
      </c>
      <c r="Z74" s="69" t="n">
        <f aca="false">Y74+Z70</f>
        <v>0</v>
      </c>
      <c r="AA74" s="69" t="n">
        <f aca="false">Z74+AA70</f>
        <v>0</v>
      </c>
      <c r="AB74" s="69" t="n">
        <f aca="false">AA74+AB70</f>
        <v>0</v>
      </c>
      <c r="AC74" s="69" t="n">
        <f aca="false">AB74+AC70</f>
        <v>0</v>
      </c>
      <c r="AD74" s="69" t="n">
        <f aca="false">AC74+AD70</f>
        <v>0</v>
      </c>
      <c r="AE74" s="69" t="n">
        <f aca="false">AD74+AE70</f>
        <v>0</v>
      </c>
      <c r="AF74" s="69" t="n">
        <f aca="false">AE74+AF70</f>
        <v>0</v>
      </c>
      <c r="AG74" s="69" t="n">
        <f aca="false">AF74+AG70</f>
        <v>0</v>
      </c>
      <c r="AH74" s="69" t="n">
        <f aca="false">AG74+AH70</f>
        <v>0</v>
      </c>
      <c r="AI74" s="69" t="n">
        <f aca="false">AH74+AI70</f>
        <v>0</v>
      </c>
      <c r="AJ74" s="69" t="n">
        <f aca="false">AI74+AJ70</f>
        <v>0</v>
      </c>
      <c r="AK74" s="69" t="n">
        <f aca="false">AJ74+AK70</f>
        <v>0</v>
      </c>
      <c r="AL74" s="69" t="n">
        <f aca="false">AK74+AL70</f>
        <v>0</v>
      </c>
    </row>
    <row r="75" customFormat="false" ht="15" hidden="false" customHeight="false" outlineLevel="0" collapsed="false">
      <c r="A75" s="6" t="s">
        <v>78</v>
      </c>
      <c r="C75" s="69" t="n">
        <f aca="false">-MIN((C73-C74)/MAX(1,Inputs!$E$80*12),C72-C74)</f>
        <v>-28472.2222222222</v>
      </c>
      <c r="D75" s="69" t="n">
        <f aca="false">-MIN((D73-D74)/MAX(1,Inputs!$E$80*12),C77+D72-D74)</f>
        <v>-28472.2222222222</v>
      </c>
      <c r="E75" s="69" t="n">
        <f aca="false">-MIN((E73-E74)/MAX(1,Inputs!$E$80*12),D77+E72-E74)</f>
        <v>-28472.2222222222</v>
      </c>
      <c r="F75" s="69" t="n">
        <f aca="false">-MIN((F73-F74)/MAX(1,Inputs!$E$80*12),E77+F72-F74)</f>
        <v>-28472.2222222222</v>
      </c>
      <c r="G75" s="69" t="n">
        <f aca="false">-MIN((G73-G74)/MAX(1,Inputs!$E$80*12),F77+G72-G74)</f>
        <v>-28472.2222222222</v>
      </c>
      <c r="H75" s="69" t="n">
        <f aca="false">-MIN((H73-H74)/MAX(1,Inputs!$E$80*12),G77+H72-H74)</f>
        <v>-28472.2222222222</v>
      </c>
      <c r="I75" s="69" t="n">
        <f aca="false">-MIN((I73-I74)/MAX(1,Inputs!$E$80*12),H77+I72-I74)</f>
        <v>-28472.2222222222</v>
      </c>
      <c r="J75" s="69" t="n">
        <f aca="false">-MIN((J73-J74)/MAX(1,Inputs!$E$80*12),I77+J72-J74)</f>
        <v>-28472.2222222222</v>
      </c>
      <c r="K75" s="69" t="n">
        <f aca="false">-MIN((K73-K74)/MAX(1,Inputs!$E$80*12),J77+K72-K74)</f>
        <v>-28472.2222222222</v>
      </c>
      <c r="L75" s="69" t="n">
        <f aca="false">-MIN((L73-L74)/MAX(1,Inputs!$E$80*12),K77+L72-L74)</f>
        <v>-28472.2222222222</v>
      </c>
      <c r="M75" s="69" t="n">
        <f aca="false">-MIN((M73-M74)/MAX(1,Inputs!$E$80*12),L77+M72-M74)</f>
        <v>-28472.2222222222</v>
      </c>
      <c r="N75" s="69" t="n">
        <f aca="false">-MIN((N73-N74)/MAX(1,Inputs!$E$80*12),M77+N72-N74)</f>
        <v>-28472.2222222222</v>
      </c>
      <c r="O75" s="69" t="n">
        <f aca="false">-MIN((O73-O74)/MAX(1,Inputs!$E$80*12),N77+O72-O74)</f>
        <v>-28750</v>
      </c>
      <c r="P75" s="69" t="n">
        <f aca="false">-MIN((P73-P74)/MAX(1,Inputs!$E$80*12),O77+P72-P74)</f>
        <v>-28750</v>
      </c>
      <c r="Q75" s="69" t="n">
        <f aca="false">-MIN((Q73-Q74)/MAX(1,Inputs!$E$80*12),P77+Q72-Q74)</f>
        <v>-28750</v>
      </c>
      <c r="R75" s="69" t="n">
        <f aca="false">-MIN((R73-R74)/MAX(1,Inputs!$E$80*12),Q77+R72-R74)</f>
        <v>-28750</v>
      </c>
      <c r="S75" s="69" t="n">
        <f aca="false">-MIN((S73-S74)/MAX(1,Inputs!$E$80*12),R77+S72-S74)</f>
        <v>-28750</v>
      </c>
      <c r="T75" s="69" t="n">
        <f aca="false">-MIN((T73-T74)/MAX(1,Inputs!$E$80*12),S77+T72-T74)</f>
        <v>-28750</v>
      </c>
      <c r="U75" s="69" t="n">
        <f aca="false">-MIN((U73-U74)/MAX(1,Inputs!$E$80*12),T77+U72-U74)</f>
        <v>-28750</v>
      </c>
      <c r="V75" s="69" t="n">
        <f aca="false">-MIN((V73-V74)/MAX(1,Inputs!$E$80*12),U77+V72-V74)</f>
        <v>-28750</v>
      </c>
      <c r="W75" s="69" t="n">
        <f aca="false">-MIN((W73-W74)/MAX(1,Inputs!$E$80*12),V77+W72-W74)</f>
        <v>-28750</v>
      </c>
      <c r="X75" s="69" t="n">
        <f aca="false">-MIN((X73-X74)/MAX(1,Inputs!$E$80*12),W77+X72-X74)</f>
        <v>-28750</v>
      </c>
      <c r="Y75" s="69" t="n">
        <f aca="false">-MIN((Y73-Y74)/MAX(1,Inputs!$E$80*12),X77+Y72-Y74)</f>
        <v>-28750</v>
      </c>
      <c r="Z75" s="69" t="n">
        <f aca="false">-MIN((Z73-Z74)/MAX(1,Inputs!$E$80*12),Y77+Z72-Z74)</f>
        <v>-28750</v>
      </c>
      <c r="AA75" s="69" t="n">
        <f aca="false">-MIN((AA73-AA74)/MAX(1,Inputs!$E$80*12),Z77+AA72-AA74)</f>
        <v>-29027.7777777778</v>
      </c>
      <c r="AB75" s="69" t="n">
        <f aca="false">-MIN((AB73-AB74)/MAX(1,Inputs!$E$80*12),AA77+AB72-AB74)</f>
        <v>-29027.7777777778</v>
      </c>
      <c r="AC75" s="69" t="n">
        <f aca="false">-MIN((AC73-AC74)/MAX(1,Inputs!$E$80*12),AB77+AC72-AC74)</f>
        <v>-29027.7777777778</v>
      </c>
      <c r="AD75" s="69" t="n">
        <f aca="false">-MIN((AD73-AD74)/MAX(1,Inputs!$E$80*12),AC77+AD72-AD74)</f>
        <v>-29027.7777777778</v>
      </c>
      <c r="AE75" s="69" t="n">
        <f aca="false">-MIN((AE73-AE74)/MAX(1,Inputs!$E$80*12),AD77+AE72-AE74)</f>
        <v>-29027.7777777778</v>
      </c>
      <c r="AF75" s="69" t="n">
        <f aca="false">-MIN((AF73-AF74)/MAX(1,Inputs!$E$80*12),AE77+AF72-AF74)</f>
        <v>-29027.7777777778</v>
      </c>
      <c r="AG75" s="69" t="n">
        <f aca="false">-MIN((AG73-AG74)/MAX(1,Inputs!$E$80*12),AF77+AG72-AG74)</f>
        <v>-29027.7777777778</v>
      </c>
      <c r="AH75" s="69" t="n">
        <f aca="false">-MIN((AH73-AH74)/MAX(1,Inputs!$E$80*12),AG77+AH72-AH74)</f>
        <v>-29027.7777777778</v>
      </c>
      <c r="AI75" s="69" t="n">
        <f aca="false">-MIN((AI73-AI74)/MAX(1,Inputs!$E$80*12),AH77+AI72-AI74)</f>
        <v>-29027.7777777778</v>
      </c>
      <c r="AJ75" s="69" t="n">
        <f aca="false">-MIN((AJ73-AJ74)/MAX(1,Inputs!$E$80*12),AI77+AJ72-AJ74)</f>
        <v>-29027.7777777778</v>
      </c>
      <c r="AK75" s="69" t="n">
        <f aca="false">-MIN((AK73-AK74)/MAX(1,Inputs!$E$80*12),AJ77+AK72-AK74)</f>
        <v>-29027.7777777778</v>
      </c>
      <c r="AL75" s="69" t="n">
        <f aca="false">-MIN((AL73-AL74)/MAX(1,Inputs!$E$80*12),AK77+AL72-AL74)</f>
        <v>-29027.7777777778</v>
      </c>
    </row>
    <row r="76" customFormat="false" ht="15" hidden="false" customHeight="false" outlineLevel="0" collapsed="false">
      <c r="A76" s="6" t="s">
        <v>429</v>
      </c>
      <c r="C76" s="69" t="n">
        <f aca="false">C75</f>
        <v>-28472.2222222222</v>
      </c>
      <c r="D76" s="69" t="n">
        <f aca="false">C76+D75</f>
        <v>-56944.4444444444</v>
      </c>
      <c r="E76" s="69" t="n">
        <f aca="false">D76+E75</f>
        <v>-85416.6666666667</v>
      </c>
      <c r="F76" s="69" t="n">
        <f aca="false">E76+F75</f>
        <v>-113888.888888889</v>
      </c>
      <c r="G76" s="69" t="n">
        <f aca="false">F76+G75</f>
        <v>-142361.111111111</v>
      </c>
      <c r="H76" s="69" t="n">
        <f aca="false">G76+H75</f>
        <v>-170833.333333333</v>
      </c>
      <c r="I76" s="69" t="n">
        <f aca="false">H76+I75</f>
        <v>-199305.555555556</v>
      </c>
      <c r="J76" s="69" t="n">
        <f aca="false">I76+J75</f>
        <v>-227777.777777778</v>
      </c>
      <c r="K76" s="69" t="n">
        <f aca="false">J76+K75</f>
        <v>-256250</v>
      </c>
      <c r="L76" s="69" t="n">
        <f aca="false">K76+L75</f>
        <v>-284722.222222222</v>
      </c>
      <c r="M76" s="69" t="n">
        <f aca="false">L76+M75</f>
        <v>-313194.444444445</v>
      </c>
      <c r="N76" s="69" t="n">
        <f aca="false">M76+N75</f>
        <v>-341666.666666667</v>
      </c>
      <c r="O76" s="69" t="n">
        <f aca="false">N76+O75</f>
        <v>-370416.666666667</v>
      </c>
      <c r="P76" s="69" t="n">
        <f aca="false">O76+P75</f>
        <v>-399166.666666667</v>
      </c>
      <c r="Q76" s="69" t="n">
        <f aca="false">P76+Q75</f>
        <v>-427916.666666667</v>
      </c>
      <c r="R76" s="69" t="n">
        <f aca="false">Q76+R75</f>
        <v>-456666.666666667</v>
      </c>
      <c r="S76" s="69" t="n">
        <f aca="false">R76+S75</f>
        <v>-485416.666666667</v>
      </c>
      <c r="T76" s="69" t="n">
        <f aca="false">S76+T75</f>
        <v>-514166.666666667</v>
      </c>
      <c r="U76" s="69" t="n">
        <f aca="false">T76+U75</f>
        <v>-542916.666666667</v>
      </c>
      <c r="V76" s="69" t="n">
        <f aca="false">U76+V75</f>
        <v>-571666.666666667</v>
      </c>
      <c r="W76" s="69" t="n">
        <f aca="false">V76+W75</f>
        <v>-600416.666666667</v>
      </c>
      <c r="X76" s="69" t="n">
        <f aca="false">W76+X75</f>
        <v>-629166.666666667</v>
      </c>
      <c r="Y76" s="69" t="n">
        <f aca="false">X76+Y75</f>
        <v>-657916.666666667</v>
      </c>
      <c r="Z76" s="69" t="n">
        <f aca="false">Y76+Z75</f>
        <v>-686666.666666667</v>
      </c>
      <c r="AA76" s="69" t="n">
        <f aca="false">Z76+AA75</f>
        <v>-715694.444444445</v>
      </c>
      <c r="AB76" s="69" t="n">
        <f aca="false">AA76+AB75</f>
        <v>-744722.222222222</v>
      </c>
      <c r="AC76" s="69" t="n">
        <f aca="false">AB76+AC75</f>
        <v>-773750</v>
      </c>
      <c r="AD76" s="69" t="n">
        <f aca="false">AC76+AD75</f>
        <v>-802777.777777778</v>
      </c>
      <c r="AE76" s="69" t="n">
        <f aca="false">AD76+AE75</f>
        <v>-831805.555555556</v>
      </c>
      <c r="AF76" s="69" t="n">
        <f aca="false">AE76+AF75</f>
        <v>-860833.333333333</v>
      </c>
      <c r="AG76" s="69" t="n">
        <f aca="false">AF76+AG75</f>
        <v>-889861.111111111</v>
      </c>
      <c r="AH76" s="69" t="n">
        <f aca="false">AG76+AH75</f>
        <v>-918888.888888889</v>
      </c>
      <c r="AI76" s="69" t="n">
        <f aca="false">AH76+AI75</f>
        <v>-947916.666666667</v>
      </c>
      <c r="AJ76" s="69" t="n">
        <f aca="false">AI76+AJ75</f>
        <v>-976944.444444444</v>
      </c>
      <c r="AK76" s="69" t="n">
        <f aca="false">AJ76+AK75</f>
        <v>-1005972.22222222</v>
      </c>
      <c r="AL76" s="69" t="n">
        <f aca="false">AK76+AL75</f>
        <v>-1035000</v>
      </c>
    </row>
    <row r="77" customFormat="false" ht="15" hidden="false" customHeight="false" outlineLevel="0" collapsed="false">
      <c r="A77" s="4" t="s">
        <v>92</v>
      </c>
      <c r="C77" s="75" t="n">
        <f aca="false">C73+C76</f>
        <v>4071527.77777778</v>
      </c>
      <c r="D77" s="75" t="n">
        <f aca="false">D73+D76</f>
        <v>4043055.55555556</v>
      </c>
      <c r="E77" s="75" t="n">
        <f aca="false">E73+E76</f>
        <v>4014583.33333333</v>
      </c>
      <c r="F77" s="75" t="n">
        <f aca="false">F73+F76</f>
        <v>3986111.11111111</v>
      </c>
      <c r="G77" s="75" t="n">
        <f aca="false">G73+G76</f>
        <v>3957638.88888889</v>
      </c>
      <c r="H77" s="75" t="n">
        <f aca="false">H73+H76</f>
        <v>3929166.66666667</v>
      </c>
      <c r="I77" s="75" t="n">
        <f aca="false">I73+I76</f>
        <v>3900694.44444444</v>
      </c>
      <c r="J77" s="75" t="n">
        <f aca="false">J73+J76</f>
        <v>3872222.22222222</v>
      </c>
      <c r="K77" s="75" t="n">
        <f aca="false">K73+K76</f>
        <v>3843750</v>
      </c>
      <c r="L77" s="75" t="n">
        <f aca="false">L73+L76</f>
        <v>3815277.77777778</v>
      </c>
      <c r="M77" s="75" t="n">
        <f aca="false">M73+M76</f>
        <v>3786805.55555556</v>
      </c>
      <c r="N77" s="75" t="n">
        <f aca="false">N73+N76</f>
        <v>3758333.33333333</v>
      </c>
      <c r="O77" s="75" t="n">
        <f aca="false">O73+O76</f>
        <v>3769583.33333333</v>
      </c>
      <c r="P77" s="75" t="n">
        <f aca="false">P73+P76</f>
        <v>3740833.33333333</v>
      </c>
      <c r="Q77" s="75" t="n">
        <f aca="false">Q73+Q76</f>
        <v>3712083.33333333</v>
      </c>
      <c r="R77" s="75" t="n">
        <f aca="false">R73+R76</f>
        <v>3683333.33333333</v>
      </c>
      <c r="S77" s="75" t="n">
        <f aca="false">S73+S76</f>
        <v>3654583.33333333</v>
      </c>
      <c r="T77" s="75" t="n">
        <f aca="false">T73+T76</f>
        <v>3625833.33333333</v>
      </c>
      <c r="U77" s="75" t="n">
        <f aca="false">U73+U76</f>
        <v>3597083.33333333</v>
      </c>
      <c r="V77" s="75" t="n">
        <f aca="false">V73+V76</f>
        <v>3568333.33333333</v>
      </c>
      <c r="W77" s="75" t="n">
        <f aca="false">W73+W76</f>
        <v>3539583.33333333</v>
      </c>
      <c r="X77" s="75" t="n">
        <f aca="false">X73+X76</f>
        <v>3510833.33333333</v>
      </c>
      <c r="Y77" s="75" t="n">
        <f aca="false">Y73+Y76</f>
        <v>3482083.33333333</v>
      </c>
      <c r="Z77" s="75" t="n">
        <f aca="false">Z73+Z76</f>
        <v>3453333.33333333</v>
      </c>
      <c r="AA77" s="75" t="n">
        <f aca="false">AA73+AA76</f>
        <v>3464305.55555556</v>
      </c>
      <c r="AB77" s="75" t="n">
        <f aca="false">AB73+AB76</f>
        <v>3435277.77777778</v>
      </c>
      <c r="AC77" s="75" t="n">
        <f aca="false">AC73+AC76</f>
        <v>3406250</v>
      </c>
      <c r="AD77" s="75" t="n">
        <f aca="false">AD73+AD76</f>
        <v>3377222.22222222</v>
      </c>
      <c r="AE77" s="75" t="n">
        <f aca="false">AE73+AE76</f>
        <v>3348194.44444444</v>
      </c>
      <c r="AF77" s="75" t="n">
        <f aca="false">AF73+AF76</f>
        <v>3319166.66666667</v>
      </c>
      <c r="AG77" s="75" t="n">
        <f aca="false">AG73+AG76</f>
        <v>3290138.88888889</v>
      </c>
      <c r="AH77" s="75" t="n">
        <f aca="false">AH73+AH76</f>
        <v>3261111.11111111</v>
      </c>
      <c r="AI77" s="75" t="n">
        <f aca="false">AI73+AI76</f>
        <v>3232083.33333333</v>
      </c>
      <c r="AJ77" s="75" t="n">
        <f aca="false">AJ73+AJ76</f>
        <v>3203055.55555556</v>
      </c>
      <c r="AK77" s="75" t="n">
        <f aca="false">AK73+AK76</f>
        <v>3174027.77777778</v>
      </c>
      <c r="AL77" s="75" t="n">
        <f aca="false">AL73+AL76</f>
        <v>3145000</v>
      </c>
    </row>
    <row r="79" customFormat="false" ht="15.75" hidden="false" customHeight="true" outlineLevel="0" collapsed="false">
      <c r="A79" s="7" t="s">
        <v>430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customFormat="false" ht="15" hidden="false" customHeight="false" outlineLevel="0" collapsed="false">
      <c r="A80" s="6" t="s">
        <v>431</v>
      </c>
      <c r="C80" s="69" t="n">
        <f aca="false">0</f>
        <v>0</v>
      </c>
      <c r="D80" s="69" t="n">
        <f aca="false">C83</f>
        <v>3000000</v>
      </c>
      <c r="E80" s="69" t="n">
        <f aca="false">D83</f>
        <v>2975000</v>
      </c>
      <c r="F80" s="69" t="n">
        <f aca="false">E83</f>
        <v>2950000</v>
      </c>
      <c r="G80" s="69" t="n">
        <f aca="false">F83</f>
        <v>2925000</v>
      </c>
      <c r="H80" s="69" t="n">
        <f aca="false">G83</f>
        <v>2900000</v>
      </c>
      <c r="I80" s="69" t="n">
        <f aca="false">H83</f>
        <v>2875000</v>
      </c>
      <c r="J80" s="69" t="n">
        <f aca="false">I83</f>
        <v>2850000</v>
      </c>
      <c r="K80" s="69" t="n">
        <f aca="false">J83</f>
        <v>2825000</v>
      </c>
      <c r="L80" s="69" t="n">
        <f aca="false">K83</f>
        <v>2800000</v>
      </c>
      <c r="M80" s="69" t="n">
        <f aca="false">L83</f>
        <v>2775000</v>
      </c>
      <c r="N80" s="69" t="n">
        <f aca="false">M83</f>
        <v>2750000</v>
      </c>
      <c r="O80" s="69" t="n">
        <f aca="false">N83</f>
        <v>2725000</v>
      </c>
      <c r="P80" s="69" t="n">
        <f aca="false">O83</f>
        <v>2700000</v>
      </c>
      <c r="Q80" s="69" t="n">
        <f aca="false">P83</f>
        <v>2675000</v>
      </c>
      <c r="R80" s="69" t="n">
        <f aca="false">Q83</f>
        <v>2650000</v>
      </c>
      <c r="S80" s="69" t="n">
        <f aca="false">R83</f>
        <v>2625000</v>
      </c>
      <c r="T80" s="69" t="n">
        <f aca="false">S83</f>
        <v>2600000</v>
      </c>
      <c r="U80" s="69" t="n">
        <f aca="false">T83</f>
        <v>2575000</v>
      </c>
      <c r="V80" s="69" t="n">
        <f aca="false">U83</f>
        <v>2550000</v>
      </c>
      <c r="W80" s="69" t="n">
        <f aca="false">V83</f>
        <v>2525000</v>
      </c>
      <c r="X80" s="69" t="n">
        <f aca="false">W83</f>
        <v>2500000</v>
      </c>
      <c r="Y80" s="69" t="n">
        <f aca="false">X83</f>
        <v>2475000</v>
      </c>
      <c r="Z80" s="69" t="n">
        <f aca="false">Y83</f>
        <v>2450000</v>
      </c>
      <c r="AA80" s="69" t="n">
        <f aca="false">Z83</f>
        <v>2425000</v>
      </c>
      <c r="AB80" s="69" t="n">
        <f aca="false">AA83</f>
        <v>2400000</v>
      </c>
      <c r="AC80" s="69" t="n">
        <f aca="false">AB83</f>
        <v>2375000</v>
      </c>
      <c r="AD80" s="69" t="n">
        <f aca="false">AC83</f>
        <v>2350000</v>
      </c>
      <c r="AE80" s="69" t="n">
        <f aca="false">AD83</f>
        <v>2325000</v>
      </c>
      <c r="AF80" s="69" t="n">
        <f aca="false">AE83</f>
        <v>2300000</v>
      </c>
      <c r="AG80" s="69" t="n">
        <f aca="false">AF83</f>
        <v>2275000</v>
      </c>
      <c r="AH80" s="69" t="n">
        <f aca="false">AG83</f>
        <v>2250000</v>
      </c>
      <c r="AI80" s="69" t="n">
        <f aca="false">AH83</f>
        <v>2225000</v>
      </c>
      <c r="AJ80" s="69" t="n">
        <f aca="false">AI83</f>
        <v>2200000</v>
      </c>
      <c r="AK80" s="69" t="n">
        <f aca="false">AJ83</f>
        <v>2175000</v>
      </c>
      <c r="AL80" s="69" t="n">
        <f aca="false">AK83</f>
        <v>2150000</v>
      </c>
    </row>
    <row r="81" customFormat="false" ht="15" hidden="false" customHeight="false" outlineLevel="0" collapsed="false">
      <c r="A81" s="6" t="s">
        <v>85</v>
      </c>
      <c r="C81" s="69" t="n">
        <f aca="false">IF(C$4=1,Inputs!$E$70,0)</f>
        <v>3000000</v>
      </c>
      <c r="D81" s="69" t="n">
        <f aca="false">IF(D$4=1,Inputs!$E$70,0)</f>
        <v>0</v>
      </c>
      <c r="E81" s="69" t="n">
        <f aca="false">IF(E$4=1,Inputs!$E$70,0)</f>
        <v>0</v>
      </c>
      <c r="F81" s="69" t="n">
        <f aca="false">IF(F$4=1,Inputs!$E$70,0)</f>
        <v>0</v>
      </c>
      <c r="G81" s="69" t="n">
        <f aca="false">IF(G$4=1,Inputs!$E$70,0)</f>
        <v>0</v>
      </c>
      <c r="H81" s="69" t="n">
        <f aca="false">IF(H$4=1,Inputs!$E$70,0)</f>
        <v>0</v>
      </c>
      <c r="I81" s="69" t="n">
        <f aca="false">IF(I$4=1,Inputs!$E$70,0)</f>
        <v>0</v>
      </c>
      <c r="J81" s="69" t="n">
        <f aca="false">IF(J$4=1,Inputs!$E$70,0)</f>
        <v>0</v>
      </c>
      <c r="K81" s="69" t="n">
        <f aca="false">IF(K$4=1,Inputs!$E$70,0)</f>
        <v>0</v>
      </c>
      <c r="L81" s="69" t="n">
        <f aca="false">IF(L$4=1,Inputs!$E$70,0)</f>
        <v>0</v>
      </c>
      <c r="M81" s="69" t="n">
        <f aca="false">IF(M$4=1,Inputs!$E$70,0)</f>
        <v>0</v>
      </c>
      <c r="N81" s="69" t="n">
        <f aca="false">IF(N$4=1,Inputs!$E$70,0)</f>
        <v>0</v>
      </c>
      <c r="O81" s="69" t="n">
        <f aca="false">IF(O$4=1,Inputs!$E$70,0)</f>
        <v>0</v>
      </c>
      <c r="P81" s="69" t="n">
        <f aca="false">IF(P$4=1,Inputs!$E$70,0)</f>
        <v>0</v>
      </c>
      <c r="Q81" s="69" t="n">
        <f aca="false">IF(Q$4=1,Inputs!$E$70,0)</f>
        <v>0</v>
      </c>
      <c r="R81" s="69" t="n">
        <f aca="false">IF(R$4=1,Inputs!$E$70,0)</f>
        <v>0</v>
      </c>
      <c r="S81" s="69" t="n">
        <f aca="false">IF(S$4=1,Inputs!$E$70,0)</f>
        <v>0</v>
      </c>
      <c r="T81" s="69" t="n">
        <f aca="false">IF(T$4=1,Inputs!$E$70,0)</f>
        <v>0</v>
      </c>
      <c r="U81" s="69" t="n">
        <f aca="false">IF(U$4=1,Inputs!$E$70,0)</f>
        <v>0</v>
      </c>
      <c r="V81" s="69" t="n">
        <f aca="false">IF(V$4=1,Inputs!$E$70,0)</f>
        <v>0</v>
      </c>
      <c r="W81" s="69" t="n">
        <f aca="false">IF(W$4=1,Inputs!$E$70,0)</f>
        <v>0</v>
      </c>
      <c r="X81" s="69" t="n">
        <f aca="false">IF(X$4=1,Inputs!$E$70,0)</f>
        <v>0</v>
      </c>
      <c r="Y81" s="69" t="n">
        <f aca="false">IF(Y$4=1,Inputs!$E$70,0)</f>
        <v>0</v>
      </c>
      <c r="Z81" s="69" t="n">
        <f aca="false">IF(Z$4=1,Inputs!$E$70,0)</f>
        <v>0</v>
      </c>
      <c r="AA81" s="69" t="n">
        <f aca="false">IF(AA$4=1,Inputs!$E$70,0)</f>
        <v>0</v>
      </c>
      <c r="AB81" s="69" t="n">
        <f aca="false">IF(AB$4=1,Inputs!$E$70,0)</f>
        <v>0</v>
      </c>
      <c r="AC81" s="69" t="n">
        <f aca="false">IF(AC$4=1,Inputs!$E$70,0)</f>
        <v>0</v>
      </c>
      <c r="AD81" s="69" t="n">
        <f aca="false">IF(AD$4=1,Inputs!$E$70,0)</f>
        <v>0</v>
      </c>
      <c r="AE81" s="69" t="n">
        <f aca="false">IF(AE$4=1,Inputs!$E$70,0)</f>
        <v>0</v>
      </c>
      <c r="AF81" s="69" t="n">
        <f aca="false">IF(AF$4=1,Inputs!$E$70,0)</f>
        <v>0</v>
      </c>
      <c r="AG81" s="69" t="n">
        <f aca="false">IF(AG$4=1,Inputs!$E$70,0)</f>
        <v>0</v>
      </c>
      <c r="AH81" s="69" t="n">
        <f aca="false">IF(AH$4=1,Inputs!$E$70,0)</f>
        <v>0</v>
      </c>
      <c r="AI81" s="69" t="n">
        <f aca="false">IF(AI$4=1,Inputs!$E$70,0)</f>
        <v>0</v>
      </c>
      <c r="AJ81" s="69" t="n">
        <f aca="false">IF(AJ$4=1,Inputs!$E$70,0)</f>
        <v>0</v>
      </c>
      <c r="AK81" s="69" t="n">
        <f aca="false">IF(AK$4=1,Inputs!$E$70,0)</f>
        <v>0</v>
      </c>
      <c r="AL81" s="69" t="n">
        <f aca="false">IF(AL$4=1,Inputs!$E$70,0)</f>
        <v>0</v>
      </c>
    </row>
    <row r="82" customFormat="false" ht="15" hidden="false" customHeight="false" outlineLevel="0" collapsed="false">
      <c r="A82" s="6" t="s">
        <v>86</v>
      </c>
      <c r="C82" s="69" t="n">
        <f aca="false">-MIN(C80,Inputs!$E$70/MAX(1,Inputs!$E$72*12))</f>
        <v>-0</v>
      </c>
      <c r="D82" s="69" t="n">
        <f aca="false">-MIN(D80,Inputs!$E$70/MAX(1,Inputs!$E$72*12))</f>
        <v>-25000</v>
      </c>
      <c r="E82" s="69" t="n">
        <f aca="false">-MIN(E80,Inputs!$E$70/MAX(1,Inputs!$E$72*12))</f>
        <v>-25000</v>
      </c>
      <c r="F82" s="69" t="n">
        <f aca="false">-MIN(F80,Inputs!$E$70/MAX(1,Inputs!$E$72*12))</f>
        <v>-25000</v>
      </c>
      <c r="G82" s="69" t="n">
        <f aca="false">-MIN(G80,Inputs!$E$70/MAX(1,Inputs!$E$72*12))</f>
        <v>-25000</v>
      </c>
      <c r="H82" s="69" t="n">
        <f aca="false">-MIN(H80,Inputs!$E$70/MAX(1,Inputs!$E$72*12))</f>
        <v>-25000</v>
      </c>
      <c r="I82" s="69" t="n">
        <f aca="false">-MIN(I80,Inputs!$E$70/MAX(1,Inputs!$E$72*12))</f>
        <v>-25000</v>
      </c>
      <c r="J82" s="69" t="n">
        <f aca="false">-MIN(J80,Inputs!$E$70/MAX(1,Inputs!$E$72*12))</f>
        <v>-25000</v>
      </c>
      <c r="K82" s="69" t="n">
        <f aca="false">-MIN(K80,Inputs!$E$70/MAX(1,Inputs!$E$72*12))</f>
        <v>-25000</v>
      </c>
      <c r="L82" s="69" t="n">
        <f aca="false">-MIN(L80,Inputs!$E$70/MAX(1,Inputs!$E$72*12))</f>
        <v>-25000</v>
      </c>
      <c r="M82" s="69" t="n">
        <f aca="false">-MIN(M80,Inputs!$E$70/MAX(1,Inputs!$E$72*12))</f>
        <v>-25000</v>
      </c>
      <c r="N82" s="69" t="n">
        <f aca="false">-MIN(N80,Inputs!$E$70/MAX(1,Inputs!$E$72*12))</f>
        <v>-25000</v>
      </c>
      <c r="O82" s="69" t="n">
        <f aca="false">-MIN(O80,Inputs!$E$70/MAX(1,Inputs!$E$72*12))</f>
        <v>-25000</v>
      </c>
      <c r="P82" s="69" t="n">
        <f aca="false">-MIN(P80,Inputs!$E$70/MAX(1,Inputs!$E$72*12))</f>
        <v>-25000</v>
      </c>
      <c r="Q82" s="69" t="n">
        <f aca="false">-MIN(Q80,Inputs!$E$70/MAX(1,Inputs!$E$72*12))</f>
        <v>-25000</v>
      </c>
      <c r="R82" s="69" t="n">
        <f aca="false">-MIN(R80,Inputs!$E$70/MAX(1,Inputs!$E$72*12))</f>
        <v>-25000</v>
      </c>
      <c r="S82" s="69" t="n">
        <f aca="false">-MIN(S80,Inputs!$E$70/MAX(1,Inputs!$E$72*12))</f>
        <v>-25000</v>
      </c>
      <c r="T82" s="69" t="n">
        <f aca="false">-MIN(T80,Inputs!$E$70/MAX(1,Inputs!$E$72*12))</f>
        <v>-25000</v>
      </c>
      <c r="U82" s="69" t="n">
        <f aca="false">-MIN(U80,Inputs!$E$70/MAX(1,Inputs!$E$72*12))</f>
        <v>-25000</v>
      </c>
      <c r="V82" s="69" t="n">
        <f aca="false">-MIN(V80,Inputs!$E$70/MAX(1,Inputs!$E$72*12))</f>
        <v>-25000</v>
      </c>
      <c r="W82" s="69" t="n">
        <f aca="false">-MIN(W80,Inputs!$E$70/MAX(1,Inputs!$E$72*12))</f>
        <v>-25000</v>
      </c>
      <c r="X82" s="69" t="n">
        <f aca="false">-MIN(X80,Inputs!$E$70/MAX(1,Inputs!$E$72*12))</f>
        <v>-25000</v>
      </c>
      <c r="Y82" s="69" t="n">
        <f aca="false">-MIN(Y80,Inputs!$E$70/MAX(1,Inputs!$E$72*12))</f>
        <v>-25000</v>
      </c>
      <c r="Z82" s="69" t="n">
        <f aca="false">-MIN(Z80,Inputs!$E$70/MAX(1,Inputs!$E$72*12))</f>
        <v>-25000</v>
      </c>
      <c r="AA82" s="69" t="n">
        <f aca="false">-MIN(AA80,Inputs!$E$70/MAX(1,Inputs!$E$72*12))</f>
        <v>-25000</v>
      </c>
      <c r="AB82" s="69" t="n">
        <f aca="false">-MIN(AB80,Inputs!$E$70/MAX(1,Inputs!$E$72*12))</f>
        <v>-25000</v>
      </c>
      <c r="AC82" s="69" t="n">
        <f aca="false">-MIN(AC80,Inputs!$E$70/MAX(1,Inputs!$E$72*12))</f>
        <v>-25000</v>
      </c>
      <c r="AD82" s="69" t="n">
        <f aca="false">-MIN(AD80,Inputs!$E$70/MAX(1,Inputs!$E$72*12))</f>
        <v>-25000</v>
      </c>
      <c r="AE82" s="69" t="n">
        <f aca="false">-MIN(AE80,Inputs!$E$70/MAX(1,Inputs!$E$72*12))</f>
        <v>-25000</v>
      </c>
      <c r="AF82" s="69" t="n">
        <f aca="false">-MIN(AF80,Inputs!$E$70/MAX(1,Inputs!$E$72*12))</f>
        <v>-25000</v>
      </c>
      <c r="AG82" s="69" t="n">
        <f aca="false">-MIN(AG80,Inputs!$E$70/MAX(1,Inputs!$E$72*12))</f>
        <v>-25000</v>
      </c>
      <c r="AH82" s="69" t="n">
        <f aca="false">-MIN(AH80,Inputs!$E$70/MAX(1,Inputs!$E$72*12))</f>
        <v>-25000</v>
      </c>
      <c r="AI82" s="69" t="n">
        <f aca="false">-MIN(AI80,Inputs!$E$70/MAX(1,Inputs!$E$72*12))</f>
        <v>-25000</v>
      </c>
      <c r="AJ82" s="69" t="n">
        <f aca="false">-MIN(AJ80,Inputs!$E$70/MAX(1,Inputs!$E$72*12))</f>
        <v>-25000</v>
      </c>
      <c r="AK82" s="69" t="n">
        <f aca="false">-MIN(AK80,Inputs!$E$70/MAX(1,Inputs!$E$72*12))</f>
        <v>-25000</v>
      </c>
      <c r="AL82" s="69" t="n">
        <f aca="false">-MIN(AL80,Inputs!$E$70/MAX(1,Inputs!$E$72*12))</f>
        <v>-25000</v>
      </c>
    </row>
    <row r="83" customFormat="false" ht="15" hidden="false" customHeight="false" outlineLevel="0" collapsed="false">
      <c r="A83" s="4" t="s">
        <v>432</v>
      </c>
      <c r="C83" s="75" t="n">
        <f aca="false">C80+C81+C82</f>
        <v>3000000</v>
      </c>
      <c r="D83" s="75" t="n">
        <f aca="false">D80+D81+D82</f>
        <v>2975000</v>
      </c>
      <c r="E83" s="75" t="n">
        <f aca="false">E80+E81+E82</f>
        <v>2950000</v>
      </c>
      <c r="F83" s="75" t="n">
        <f aca="false">F80+F81+F82</f>
        <v>2925000</v>
      </c>
      <c r="G83" s="75" t="n">
        <f aca="false">G80+G81+G82</f>
        <v>2900000</v>
      </c>
      <c r="H83" s="75" t="n">
        <f aca="false">H80+H81+H82</f>
        <v>2875000</v>
      </c>
      <c r="I83" s="75" t="n">
        <f aca="false">I80+I81+I82</f>
        <v>2850000</v>
      </c>
      <c r="J83" s="75" t="n">
        <f aca="false">J80+J81+J82</f>
        <v>2825000</v>
      </c>
      <c r="K83" s="75" t="n">
        <f aca="false">K80+K81+K82</f>
        <v>2800000</v>
      </c>
      <c r="L83" s="75" t="n">
        <f aca="false">L80+L81+L82</f>
        <v>2775000</v>
      </c>
      <c r="M83" s="75" t="n">
        <f aca="false">M80+M81+M82</f>
        <v>2750000</v>
      </c>
      <c r="N83" s="75" t="n">
        <f aca="false">N80+N81+N82</f>
        <v>2725000</v>
      </c>
      <c r="O83" s="75" t="n">
        <f aca="false">O80+O81+O82</f>
        <v>2700000</v>
      </c>
      <c r="P83" s="75" t="n">
        <f aca="false">P80+P81+P82</f>
        <v>2675000</v>
      </c>
      <c r="Q83" s="75" t="n">
        <f aca="false">Q80+Q81+Q82</f>
        <v>2650000</v>
      </c>
      <c r="R83" s="75" t="n">
        <f aca="false">R80+R81+R82</f>
        <v>2625000</v>
      </c>
      <c r="S83" s="75" t="n">
        <f aca="false">S80+S81+S82</f>
        <v>2600000</v>
      </c>
      <c r="T83" s="75" t="n">
        <f aca="false">T80+T81+T82</f>
        <v>2575000</v>
      </c>
      <c r="U83" s="75" t="n">
        <f aca="false">U80+U81+U82</f>
        <v>2550000</v>
      </c>
      <c r="V83" s="75" t="n">
        <f aca="false">V80+V81+V82</f>
        <v>2525000</v>
      </c>
      <c r="W83" s="75" t="n">
        <f aca="false">W80+W81+W82</f>
        <v>2500000</v>
      </c>
      <c r="X83" s="75" t="n">
        <f aca="false">X80+X81+X82</f>
        <v>2475000</v>
      </c>
      <c r="Y83" s="75" t="n">
        <f aca="false">Y80+Y81+Y82</f>
        <v>2450000</v>
      </c>
      <c r="Z83" s="75" t="n">
        <f aca="false">Z80+Z81+Z82</f>
        <v>2425000</v>
      </c>
      <c r="AA83" s="75" t="n">
        <f aca="false">AA80+AA81+AA82</f>
        <v>2400000</v>
      </c>
      <c r="AB83" s="75" t="n">
        <f aca="false">AB80+AB81+AB82</f>
        <v>2375000</v>
      </c>
      <c r="AC83" s="75" t="n">
        <f aca="false">AC80+AC81+AC82</f>
        <v>2350000</v>
      </c>
      <c r="AD83" s="75" t="n">
        <f aca="false">AD80+AD81+AD82</f>
        <v>2325000</v>
      </c>
      <c r="AE83" s="75" t="n">
        <f aca="false">AE80+AE81+AE82</f>
        <v>2300000</v>
      </c>
      <c r="AF83" s="75" t="n">
        <f aca="false">AF80+AF81+AF82</f>
        <v>2275000</v>
      </c>
      <c r="AG83" s="75" t="n">
        <f aca="false">AG80+AG81+AG82</f>
        <v>2250000</v>
      </c>
      <c r="AH83" s="75" t="n">
        <f aca="false">AH80+AH81+AH82</f>
        <v>2225000</v>
      </c>
      <c r="AI83" s="75" t="n">
        <f aca="false">AI80+AI81+AI82</f>
        <v>2200000</v>
      </c>
      <c r="AJ83" s="75" t="n">
        <f aca="false">AJ80+AJ81+AJ82</f>
        <v>2175000</v>
      </c>
      <c r="AK83" s="75" t="n">
        <f aca="false">AK80+AK81+AK82</f>
        <v>2150000</v>
      </c>
      <c r="AL83" s="75" t="n">
        <f aca="false">AL80+AL81+AL82</f>
        <v>2125000</v>
      </c>
    </row>
    <row r="85" customFormat="false" ht="15.75" hidden="false" customHeight="true" outlineLevel="0" collapsed="false">
      <c r="A85" s="7" t="s">
        <v>324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6" t="s">
        <v>90</v>
      </c>
      <c r="C86" s="69" t="n">
        <f aca="false">C37*Inputs!$E$75/30</f>
        <v>3196.22386666667</v>
      </c>
      <c r="D86" s="69" t="n">
        <f aca="false">D37*Inputs!$E$75/30</f>
        <v>3629.92906014815</v>
      </c>
      <c r="E86" s="69" t="n">
        <f aca="false">E37*Inputs!$E$75/30</f>
        <v>4851.56011996444</v>
      </c>
      <c r="F86" s="69" t="n">
        <f aca="false">F37*Inputs!$E$75/30</f>
        <v>5403.45992257327</v>
      </c>
      <c r="G86" s="69" t="n">
        <f aca="false">G37*Inputs!$E$75/30</f>
        <v>5966.01842937405</v>
      </c>
      <c r="H86" s="69" t="n">
        <f aca="false">H37*Inputs!$E$75/30</f>
        <v>6538.80929219909</v>
      </c>
      <c r="I86" s="69" t="n">
        <f aca="false">I37*Inputs!$E$75/30</f>
        <v>7121.42321680742</v>
      </c>
      <c r="J86" s="69" t="n">
        <f aca="false">J37*Inputs!$E$75/30</f>
        <v>7713.46728072771</v>
      </c>
      <c r="K86" s="69" t="n">
        <f aca="false">K37*Inputs!$E$75/30</f>
        <v>8314.5642783875</v>
      </c>
      <c r="L86" s="69" t="n">
        <f aca="false">L37*Inputs!$E$75/30</f>
        <v>8924.35209243718</v>
      </c>
      <c r="M86" s="69" t="n">
        <f aca="false">M37*Inputs!$E$75/30</f>
        <v>9103.03667540636</v>
      </c>
      <c r="N86" s="69" t="n">
        <f aca="false">N37*Inputs!$E$75/30</f>
        <v>7915.98187505677</v>
      </c>
      <c r="O86" s="69" t="n">
        <f aca="false">O37*Inputs!$E$75/30</f>
        <v>8395.95702165559</v>
      </c>
      <c r="P86" s="69" t="n">
        <f aca="false">P37*Inputs!$E$75/30</f>
        <v>8541.41545118937</v>
      </c>
      <c r="Q86" s="69" t="n">
        <f aca="false">Q37*Inputs!$E$75/30</f>
        <v>10108.3922987418</v>
      </c>
      <c r="R86" s="69" t="n">
        <f aca="false">R37*Inputs!$E$75/30</f>
        <v>10269.1996019921</v>
      </c>
      <c r="S86" s="69" t="n">
        <f aca="false">S37*Inputs!$E$75/30</f>
        <v>10423.5746131124</v>
      </c>
      <c r="T86" s="69" t="n">
        <f aca="false">T37*Inputs!$E$75/30</f>
        <v>10571.7746237879</v>
      </c>
      <c r="U86" s="69" t="n">
        <f aca="false">U37*Inputs!$E$75/30</f>
        <v>10714.0466340364</v>
      </c>
      <c r="V86" s="69" t="n">
        <f aca="false">V37*Inputs!$E$75/30</f>
        <v>10850.627763875</v>
      </c>
      <c r="W86" s="69" t="n">
        <f aca="false">W37*Inputs!$E$75/30</f>
        <v>10981.74564852</v>
      </c>
      <c r="X86" s="69" t="n">
        <f aca="false">X37*Inputs!$E$75/30</f>
        <v>11107.6188177792</v>
      </c>
      <c r="Y86" s="69" t="n">
        <f aca="false">Y37*Inputs!$E$75/30</f>
        <v>11228.457060268</v>
      </c>
      <c r="Z86" s="69" t="n">
        <f aca="false">Z37*Inputs!$E$75/30</f>
        <v>9917.12501785728</v>
      </c>
      <c r="AA86" s="69" t="n">
        <f aca="false">AA37*Inputs!$E$75/30</f>
        <v>10390.5828321076</v>
      </c>
      <c r="AB86" s="69" t="n">
        <f aca="false">AB37*Inputs!$E$75/30</f>
        <v>10483.1588227695</v>
      </c>
      <c r="AC86" s="69" t="n">
        <f aca="false">AC37*Inputs!$E$75/30</f>
        <v>12071.5917688181</v>
      </c>
      <c r="AD86" s="69" t="n">
        <f aca="false">AD37*Inputs!$E$75/30</f>
        <v>12185.0163088225</v>
      </c>
      <c r="AE86" s="69" t="n">
        <f aca="false">AE37*Inputs!$E$75/30</f>
        <v>12293.9038672267</v>
      </c>
      <c r="AF86" s="69" t="n">
        <f aca="false">AF37*Inputs!$E$75/30</f>
        <v>12398.4359232948</v>
      </c>
      <c r="AG86" s="69" t="n">
        <f aca="false">AG37*Inputs!$E$75/30</f>
        <v>12498.7866971201</v>
      </c>
      <c r="AH86" s="69" t="n">
        <f aca="false">AH37*Inputs!$E$75/30</f>
        <v>12595.1234399924</v>
      </c>
      <c r="AI86" s="69" t="n">
        <f aca="false">AI37*Inputs!$E$75/30</f>
        <v>12687.6067131499</v>
      </c>
      <c r="AJ86" s="69" t="n">
        <f aca="false">AJ37*Inputs!$E$75/30</f>
        <v>12776.390655381</v>
      </c>
      <c r="AK86" s="69" t="n">
        <f aca="false">AK37*Inputs!$E$75/30</f>
        <v>12861.6232399229</v>
      </c>
      <c r="AL86" s="69" t="n">
        <f aca="false">AL37*Inputs!$E$75/30</f>
        <v>11443.8865260699</v>
      </c>
    </row>
    <row r="87" customFormat="false" ht="15" hidden="false" customHeight="false" outlineLevel="0" collapsed="false">
      <c r="A87" s="6" t="s">
        <v>91</v>
      </c>
      <c r="C87" s="69" t="n">
        <f aca="false">-C45*Inputs!$E$76/30</f>
        <v>1650.12067404333</v>
      </c>
      <c r="D87" s="69" t="n">
        <f aca="false">-D45*Inputs!$E$76/30</f>
        <v>1874.00472147456</v>
      </c>
      <c r="E87" s="69" t="n">
        <f aca="false">-E45*Inputs!$E$76/30</f>
        <v>2584.5948932913</v>
      </c>
      <c r="F87" s="69" t="n">
        <f aca="false">-F45*Inputs!$E$76/30</f>
        <v>2884.39593898965</v>
      </c>
      <c r="G87" s="69" t="n">
        <f aca="false">-G45*Inputs!$E$76/30</f>
        <v>3191.70097890673</v>
      </c>
      <c r="H87" s="69" t="n">
        <f aca="false">-H45*Inputs!$E$76/30</f>
        <v>3506.20985327379</v>
      </c>
      <c r="I87" s="69" t="n">
        <f aca="false">-I45*Inputs!$E$76/30</f>
        <v>3827.63440871284</v>
      </c>
      <c r="J87" s="69" t="n">
        <f aca="false">-J45*Inputs!$E$76/30</f>
        <v>4155.698017981</v>
      </c>
      <c r="K87" s="69" t="n">
        <f aca="false">-K45*Inputs!$E$76/30</f>
        <v>4490.13511892509</v>
      </c>
      <c r="L87" s="69" t="n">
        <f aca="false">-L45*Inputs!$E$76/30</f>
        <v>4830.69077187809</v>
      </c>
      <c r="M87" s="69" t="n">
        <f aca="false">-M45*Inputs!$E$76/30</f>
        <v>4956.48918540296</v>
      </c>
      <c r="N87" s="69" t="n">
        <f aca="false">-N45*Inputs!$E$76/30</f>
        <v>4146.69851764287</v>
      </c>
      <c r="O87" s="69" t="n">
        <f aca="false">-O45*Inputs!$E$76/30</f>
        <v>4437.9045862263</v>
      </c>
      <c r="P87" s="69" t="n">
        <f aca="false">-P45*Inputs!$E$76/30</f>
        <v>4524.40568388608</v>
      </c>
      <c r="Q87" s="69" t="n">
        <f aca="false">-Q45*Inputs!$E$76/30</f>
        <v>5635.20556376361</v>
      </c>
      <c r="R87" s="69" t="n">
        <f aca="false">-R45*Inputs!$E$76/30</f>
        <v>5749.36231361903</v>
      </c>
      <c r="S87" s="69" t="n">
        <f aca="false">-S45*Inputs!$E$76/30</f>
        <v>5858.95279348023</v>
      </c>
      <c r="T87" s="69" t="n">
        <f aca="false">-T45*Inputs!$E$76/30</f>
        <v>5964.15965414698</v>
      </c>
      <c r="U87" s="69" t="n">
        <f aca="false">-U45*Inputs!$E$76/30</f>
        <v>6065.15824038706</v>
      </c>
      <c r="V87" s="69" t="n">
        <f aca="false">-V45*Inputs!$E$76/30</f>
        <v>6162.11688317754</v>
      </c>
      <c r="W87" s="69" t="n">
        <f aca="false">-W45*Inputs!$E$76/30</f>
        <v>6255.19718025639</v>
      </c>
      <c r="X87" s="69" t="n">
        <f aca="false">-X45*Inputs!$E$76/30</f>
        <v>6344.5542654521</v>
      </c>
      <c r="Y87" s="69" t="n">
        <f aca="false">-Y45*Inputs!$E$76/30</f>
        <v>6430.33706723997</v>
      </c>
      <c r="Z87" s="69" t="n">
        <f aca="false">-Z45*Inputs!$E$76/30</f>
        <v>5342.51150256752</v>
      </c>
      <c r="AA87" s="69" t="n">
        <f aca="false">-AA45*Inputs!$E$76/30</f>
        <v>5640.15059832643</v>
      </c>
      <c r="AB87" s="69" t="n">
        <f aca="false">-AB45*Inputs!$E$76/30</f>
        <v>5695.64804791407</v>
      </c>
      <c r="AC87" s="69" t="n">
        <f aca="false">-AC45*Inputs!$E$76/30</f>
        <v>7006.63571134713</v>
      </c>
      <c r="AD87" s="69" t="n">
        <f aca="false">-AD45*Inputs!$E$76/30</f>
        <v>7087.82819164455</v>
      </c>
      <c r="AE87" s="69" t="n">
        <f aca="false">-AE45*Inputs!$E$76/30</f>
        <v>7165.77297273006</v>
      </c>
      <c r="AF87" s="69" t="n">
        <f aca="false">-AF45*Inputs!$E$76/30</f>
        <v>7240.59996257216</v>
      </c>
      <c r="AG87" s="69" t="n">
        <f aca="false">-AG45*Inputs!$E$76/30</f>
        <v>7312.43387282057</v>
      </c>
      <c r="AH87" s="69" t="n">
        <f aca="false">-AH45*Inputs!$E$76/30</f>
        <v>7381.39442665905</v>
      </c>
      <c r="AI87" s="69" t="n">
        <f aca="false">-AI45*Inputs!$E$76/30</f>
        <v>7447.59655834399</v>
      </c>
      <c r="AJ87" s="69" t="n">
        <f aca="false">-AJ45*Inputs!$E$76/30</f>
        <v>7511.15060476153</v>
      </c>
      <c r="AK87" s="69" t="n">
        <f aca="false">-AK45*Inputs!$E$76/30</f>
        <v>7572.16248932236</v>
      </c>
      <c r="AL87" s="69" t="n">
        <f aca="false">-AL45*Inputs!$E$76/30</f>
        <v>6271.58503654501</v>
      </c>
    </row>
    <row r="88" customFormat="false" ht="15" hidden="false" customHeight="false" outlineLevel="0" collapsed="false">
      <c r="A88" s="6" t="s">
        <v>94</v>
      </c>
      <c r="C88" s="69" t="n">
        <f aca="false">-C45*Inputs!$E$77/30</f>
        <v>4714.63049726667</v>
      </c>
      <c r="D88" s="69" t="n">
        <f aca="false">-D45*Inputs!$E$77/30</f>
        <v>5354.29920421304</v>
      </c>
      <c r="E88" s="69" t="n">
        <f aca="false">-E45*Inputs!$E$77/30</f>
        <v>7384.55683797515</v>
      </c>
      <c r="F88" s="69" t="n">
        <f aca="false">-F45*Inputs!$E$77/30</f>
        <v>8241.13125425614</v>
      </c>
      <c r="G88" s="69" t="n">
        <f aca="false">-G45*Inputs!$E$77/30</f>
        <v>9119.14565401923</v>
      </c>
      <c r="H88" s="69" t="n">
        <f aca="false">-H45*Inputs!$E$77/30</f>
        <v>10017.7424379251</v>
      </c>
      <c r="I88" s="69" t="n">
        <f aca="false">-I45*Inputs!$E$77/30</f>
        <v>10936.0983106081</v>
      </c>
      <c r="J88" s="69" t="n">
        <f aca="false">-J45*Inputs!$E$77/30</f>
        <v>11873.4229085171</v>
      </c>
      <c r="K88" s="69" t="n">
        <f aca="false">-K45*Inputs!$E$77/30</f>
        <v>12828.9574826431</v>
      </c>
      <c r="L88" s="69" t="n">
        <f aca="false">-L45*Inputs!$E$77/30</f>
        <v>13801.9736339374</v>
      </c>
      <c r="M88" s="69" t="n">
        <f aca="false">-M45*Inputs!$E$77/30</f>
        <v>14161.3976725799</v>
      </c>
      <c r="N88" s="69" t="n">
        <f aca="false">-N45*Inputs!$E$77/30</f>
        <v>11847.7100504082</v>
      </c>
      <c r="O88" s="69" t="n">
        <f aca="false">-O45*Inputs!$E$77/30</f>
        <v>12679.727389218</v>
      </c>
      <c r="P88" s="69" t="n">
        <f aca="false">-P45*Inputs!$E$77/30</f>
        <v>12926.8733825317</v>
      </c>
      <c r="Q88" s="69" t="n">
        <f aca="false">-Q45*Inputs!$E$77/30</f>
        <v>16100.5873250389</v>
      </c>
      <c r="R88" s="69" t="n">
        <f aca="false">-R45*Inputs!$E$77/30</f>
        <v>16426.7494674829</v>
      </c>
      <c r="S88" s="69" t="n">
        <f aca="false">-S45*Inputs!$E$77/30</f>
        <v>16739.8651242292</v>
      </c>
      <c r="T88" s="69" t="n">
        <f aca="false">-T45*Inputs!$E$77/30</f>
        <v>17040.4561547056</v>
      </c>
      <c r="U88" s="69" t="n">
        <f aca="false">-U45*Inputs!$E$77/30</f>
        <v>17329.023543963</v>
      </c>
      <c r="V88" s="69" t="n">
        <f aca="false">-V45*Inputs!$E$77/30</f>
        <v>17606.0482376501</v>
      </c>
      <c r="W88" s="69" t="n">
        <f aca="false">-W45*Inputs!$E$77/30</f>
        <v>17871.9919435897</v>
      </c>
      <c r="X88" s="69" t="n">
        <f aca="false">-X45*Inputs!$E$77/30</f>
        <v>18127.2979012917</v>
      </c>
      <c r="Y88" s="69" t="n">
        <f aca="false">-Y45*Inputs!$E$77/30</f>
        <v>18372.3916206856</v>
      </c>
      <c r="Z88" s="69" t="n">
        <f aca="false">-Z45*Inputs!$E$77/30</f>
        <v>15264.3185787643</v>
      </c>
      <c r="AA88" s="69" t="n">
        <f aca="false">-AA45*Inputs!$E$77/30</f>
        <v>16114.7159952184</v>
      </c>
      <c r="AB88" s="69" t="n">
        <f aca="false">-AB45*Inputs!$E$77/30</f>
        <v>16273.2801368973</v>
      </c>
      <c r="AC88" s="69" t="n">
        <f aca="false">-AC45*Inputs!$E$77/30</f>
        <v>20018.9591752775</v>
      </c>
      <c r="AD88" s="69" t="n">
        <f aca="false">-AD45*Inputs!$E$77/30</f>
        <v>20250.937690413</v>
      </c>
      <c r="AE88" s="69" t="n">
        <f aca="false">-AE45*Inputs!$E$77/30</f>
        <v>20473.637064943</v>
      </c>
      <c r="AF88" s="69" t="n">
        <f aca="false">-AF45*Inputs!$E$77/30</f>
        <v>20687.4284644919</v>
      </c>
      <c r="AG88" s="69" t="n">
        <f aca="false">-AG45*Inputs!$E$77/30</f>
        <v>20892.6682080588</v>
      </c>
      <c r="AH88" s="69" t="n">
        <f aca="false">-AH45*Inputs!$E$77/30</f>
        <v>21089.698361883</v>
      </c>
      <c r="AI88" s="69" t="n">
        <f aca="false">-AI45*Inputs!$E$77/30</f>
        <v>21278.8473095542</v>
      </c>
      <c r="AJ88" s="69" t="n">
        <f aca="false">-AJ45*Inputs!$E$77/30</f>
        <v>21460.4302993186</v>
      </c>
      <c r="AK88" s="69" t="n">
        <f aca="false">-AK45*Inputs!$E$77/30</f>
        <v>21634.7499694925</v>
      </c>
      <c r="AL88" s="69" t="n">
        <f aca="false">-AL45*Inputs!$E$77/30</f>
        <v>17918.8143901286</v>
      </c>
    </row>
    <row r="89" customFormat="false" ht="15" hidden="false" customHeight="false" outlineLevel="0" collapsed="false">
      <c r="A89" s="6" t="s">
        <v>346</v>
      </c>
      <c r="C89" s="69" t="n">
        <f aca="false">-C86</f>
        <v>-3196.22386666667</v>
      </c>
      <c r="D89" s="69" t="n">
        <f aca="false">C86-D86</f>
        <v>-433.705193481482</v>
      </c>
      <c r="E89" s="69" t="n">
        <f aca="false">D86-E86</f>
        <v>-1221.6310598163</v>
      </c>
      <c r="F89" s="69" t="n">
        <f aca="false">E86-F86</f>
        <v>-551.899802608829</v>
      </c>
      <c r="G89" s="69" t="n">
        <f aca="false">F86-G86</f>
        <v>-562.558506800773</v>
      </c>
      <c r="H89" s="69" t="n">
        <f aca="false">G86-H86</f>
        <v>-572.790862825039</v>
      </c>
      <c r="I89" s="69" t="n">
        <f aca="false">H86-I86</f>
        <v>-582.613924608332</v>
      </c>
      <c r="J89" s="69" t="n">
        <f aca="false">I86-J86</f>
        <v>-592.044063920296</v>
      </c>
      <c r="K89" s="69" t="n">
        <f aca="false">J86-K86</f>
        <v>-601.096997659782</v>
      </c>
      <c r="L89" s="69" t="n">
        <f aca="false">K86-L86</f>
        <v>-609.787814049685</v>
      </c>
      <c r="M89" s="69" t="n">
        <f aca="false">L86-M86</f>
        <v>-178.684582969179</v>
      </c>
      <c r="N89" s="69" t="n">
        <f aca="false">M86-N86</f>
        <v>1187.05480034959</v>
      </c>
      <c r="O89" s="69" t="n">
        <f aca="false">N86-O86</f>
        <v>-479.975146598818</v>
      </c>
      <c r="P89" s="69" t="n">
        <f aca="false">O86-P86</f>
        <v>-145.458429533775</v>
      </c>
      <c r="Q89" s="69" t="n">
        <f aca="false">P86-Q86</f>
        <v>-1566.97684755243</v>
      </c>
      <c r="R89" s="69" t="n">
        <f aca="false">Q86-R86</f>
        <v>-160.807303250327</v>
      </c>
      <c r="S89" s="69" t="n">
        <f aca="false">R86-S86</f>
        <v>-154.375011120315</v>
      </c>
      <c r="T89" s="69" t="n">
        <f aca="false">S86-T86</f>
        <v>-148.200010675502</v>
      </c>
      <c r="U89" s="69" t="n">
        <f aca="false">T86-U86</f>
        <v>-142.272010248485</v>
      </c>
      <c r="V89" s="69" t="n">
        <f aca="false">U86-V86</f>
        <v>-136.581129838542</v>
      </c>
      <c r="W89" s="69" t="n">
        <f aca="false">V86-W86</f>
        <v>-131.117884645002</v>
      </c>
      <c r="X89" s="69" t="n">
        <f aca="false">W86-X86</f>
        <v>-125.873169259201</v>
      </c>
      <c r="Y89" s="69" t="n">
        <f aca="false">X86-Y86</f>
        <v>-120.838242488833</v>
      </c>
      <c r="Z89" s="69" t="n">
        <f aca="false">Y86-Z86</f>
        <v>1311.33204241072</v>
      </c>
      <c r="AA89" s="69" t="n">
        <f aca="false">Z86-AA86</f>
        <v>-473.457814250329</v>
      </c>
      <c r="AB89" s="69" t="n">
        <f aca="false">AA86-AB86</f>
        <v>-92.5759906619351</v>
      </c>
      <c r="AC89" s="69" t="n">
        <f aca="false">AB86-AC86</f>
        <v>-1588.43294604858</v>
      </c>
      <c r="AD89" s="69" t="n">
        <f aca="false">AC86-AD86</f>
        <v>-113.424540004396</v>
      </c>
      <c r="AE89" s="69" t="n">
        <f aca="false">AD86-AE86</f>
        <v>-108.887558404218</v>
      </c>
      <c r="AF89" s="69" t="n">
        <f aca="false">AE86-AF86</f>
        <v>-104.53205606805</v>
      </c>
      <c r="AG89" s="69" t="n">
        <f aca="false">AF86-AG86</f>
        <v>-100.350773825328</v>
      </c>
      <c r="AH89" s="69" t="n">
        <f aca="false">AG86-AH86</f>
        <v>-96.3367428723159</v>
      </c>
      <c r="AI89" s="69" t="n">
        <f aca="false">AH86-AI86</f>
        <v>-92.4832731574225</v>
      </c>
      <c r="AJ89" s="69" t="n">
        <f aca="false">AI86-AJ86</f>
        <v>-88.7839422311281</v>
      </c>
      <c r="AK89" s="69" t="n">
        <f aca="false">AJ86-AK86</f>
        <v>-85.23258454188</v>
      </c>
      <c r="AL89" s="69" t="n">
        <f aca="false">AK86-AL86</f>
        <v>1417.73671385292</v>
      </c>
    </row>
    <row r="90" customFormat="false" ht="15" hidden="false" customHeight="false" outlineLevel="0" collapsed="false">
      <c r="A90" s="6" t="s">
        <v>347</v>
      </c>
      <c r="C90" s="69" t="n">
        <f aca="false">-C87</f>
        <v>-1650.12067404333</v>
      </c>
      <c r="D90" s="69" t="n">
        <f aca="false">C87-D87</f>
        <v>-223.88404743123</v>
      </c>
      <c r="E90" s="69" t="n">
        <f aca="false">D87-E87</f>
        <v>-710.590171816739</v>
      </c>
      <c r="F90" s="69" t="n">
        <f aca="false">E87-F87</f>
        <v>-299.801045698348</v>
      </c>
      <c r="G90" s="69" t="n">
        <f aca="false">F87-G87</f>
        <v>-307.30503991708</v>
      </c>
      <c r="H90" s="69" t="n">
        <f aca="false">G87-H87</f>
        <v>-314.508874367064</v>
      </c>
      <c r="I90" s="69" t="n">
        <f aca="false">H87-I87</f>
        <v>-321.424555439047</v>
      </c>
      <c r="J90" s="69" t="n">
        <f aca="false">I87-J87</f>
        <v>-328.063609268154</v>
      </c>
      <c r="K90" s="69" t="n">
        <f aca="false">J87-K87</f>
        <v>-334.437100944093</v>
      </c>
      <c r="L90" s="69" t="n">
        <f aca="false">K87-L87</f>
        <v>-340.555652952998</v>
      </c>
      <c r="M90" s="69" t="n">
        <f aca="false">L87-M87</f>
        <v>-125.798413524875</v>
      </c>
      <c r="N90" s="69" t="n">
        <f aca="false">M87-N87</f>
        <v>809.790667760095</v>
      </c>
      <c r="O90" s="69" t="n">
        <f aca="false">N87-O87</f>
        <v>-291.206068583429</v>
      </c>
      <c r="P90" s="69" t="n">
        <f aca="false">O87-P87</f>
        <v>-86.5010976597878</v>
      </c>
      <c r="Q90" s="69" t="n">
        <f aca="false">P87-Q87</f>
        <v>-1110.79987987753</v>
      </c>
      <c r="R90" s="69" t="n">
        <f aca="false">Q87-R87</f>
        <v>-114.156749855415</v>
      </c>
      <c r="S90" s="69" t="n">
        <f aca="false">R87-S87</f>
        <v>-109.5904798612</v>
      </c>
      <c r="T90" s="69" t="n">
        <f aca="false">S87-T87</f>
        <v>-105.206860666752</v>
      </c>
      <c r="U90" s="69" t="n">
        <f aca="false">T87-U87</f>
        <v>-100.998586240079</v>
      </c>
      <c r="V90" s="69" t="n">
        <f aca="false">U87-V87</f>
        <v>-96.9586427904787</v>
      </c>
      <c r="W90" s="69" t="n">
        <f aca="false">V87-W87</f>
        <v>-93.0802970788591</v>
      </c>
      <c r="X90" s="69" t="n">
        <f aca="false">W87-X87</f>
        <v>-89.3570851957029</v>
      </c>
      <c r="Y90" s="69" t="n">
        <f aca="false">X87-Y87</f>
        <v>-85.7828017878774</v>
      </c>
      <c r="Z90" s="69" t="n">
        <f aca="false">Y87-Z87</f>
        <v>1087.82556467245</v>
      </c>
      <c r="AA90" s="69" t="n">
        <f aca="false">Z87-AA87</f>
        <v>-297.639095758907</v>
      </c>
      <c r="AB90" s="69" t="n">
        <f aca="false">AA87-AB87</f>
        <v>-55.4974495876395</v>
      </c>
      <c r="AC90" s="69" t="n">
        <f aca="false">AB87-AC87</f>
        <v>-1310.98766343307</v>
      </c>
      <c r="AD90" s="69" t="n">
        <f aca="false">AC87-AD87</f>
        <v>-81.1924802974136</v>
      </c>
      <c r="AE90" s="69" t="n">
        <f aca="false">AD87-AE87</f>
        <v>-77.9447810855181</v>
      </c>
      <c r="AF90" s="69" t="n">
        <f aca="false">AE87-AF87</f>
        <v>-74.8269898420958</v>
      </c>
      <c r="AG90" s="69" t="n">
        <f aca="false">AF87-AG87</f>
        <v>-71.8339102484142</v>
      </c>
      <c r="AH90" s="69" t="n">
        <f aca="false">AG87-AH87</f>
        <v>-68.960553838474</v>
      </c>
      <c r="AI90" s="69" t="n">
        <f aca="false">AH87-AI87</f>
        <v>-66.2021316849387</v>
      </c>
      <c r="AJ90" s="69" t="n">
        <f aca="false">AI87-AJ87</f>
        <v>-63.554046417541</v>
      </c>
      <c r="AK90" s="69" t="n">
        <f aca="false">AJ87-AK87</f>
        <v>-61.0118845608367</v>
      </c>
      <c r="AL90" s="69" t="n">
        <f aca="false">AK87-AL87</f>
        <v>1300.57745277735</v>
      </c>
    </row>
    <row r="91" customFormat="false" ht="15" hidden="false" customHeight="false" outlineLevel="0" collapsed="false">
      <c r="A91" s="6" t="s">
        <v>348</v>
      </c>
      <c r="C91" s="69" t="n">
        <f aca="false">C88</f>
        <v>4714.63049726667</v>
      </c>
      <c r="D91" s="69" t="n">
        <f aca="false">D88-C88</f>
        <v>639.668706946371</v>
      </c>
      <c r="E91" s="69" t="n">
        <f aca="false">E88-D88</f>
        <v>2030.25763376211</v>
      </c>
      <c r="F91" s="69" t="n">
        <f aca="false">F88-E88</f>
        <v>856.574416280994</v>
      </c>
      <c r="G91" s="69" t="n">
        <f aca="false">G88-F88</f>
        <v>878.014399763088</v>
      </c>
      <c r="H91" s="69" t="n">
        <f aca="false">H88-G88</f>
        <v>898.596783905898</v>
      </c>
      <c r="I91" s="69" t="n">
        <f aca="false">I88-H88</f>
        <v>918.355872682992</v>
      </c>
      <c r="J91" s="69" t="n">
        <f aca="false">J88-I88</f>
        <v>937.32459790901</v>
      </c>
      <c r="K91" s="69" t="n">
        <f aca="false">K88-J88</f>
        <v>955.534574125983</v>
      </c>
      <c r="L91" s="69" t="n">
        <f aca="false">L88-K88</f>
        <v>973.016151294276</v>
      </c>
      <c r="M91" s="69" t="n">
        <f aca="false">M88-L88</f>
        <v>359.424038642504</v>
      </c>
      <c r="N91" s="69" t="n">
        <f aca="false">N88-M88</f>
        <v>-2313.68762217171</v>
      </c>
      <c r="O91" s="69" t="n">
        <f aca="false">O88-N88</f>
        <v>832.017338809799</v>
      </c>
      <c r="P91" s="69" t="n">
        <f aca="false">P88-O88</f>
        <v>247.145993313681</v>
      </c>
      <c r="Q91" s="69" t="n">
        <f aca="false">Q88-P88</f>
        <v>3173.71394250722</v>
      </c>
      <c r="R91" s="69" t="n">
        <f aca="false">R88-Q88</f>
        <v>326.16214244404</v>
      </c>
      <c r="S91" s="69" t="n">
        <f aca="false">S88-R88</f>
        <v>313.115656746286</v>
      </c>
      <c r="T91" s="69" t="n">
        <f aca="false">T88-S88</f>
        <v>300.591030476433</v>
      </c>
      <c r="U91" s="69" t="n">
        <f aca="false">U88-T88</f>
        <v>288.567389257369</v>
      </c>
      <c r="V91" s="69" t="n">
        <f aca="false">V88-U88</f>
        <v>277.024693687083</v>
      </c>
      <c r="W91" s="69" t="n">
        <f aca="false">W88-V88</f>
        <v>265.943705939601</v>
      </c>
      <c r="X91" s="69" t="n">
        <f aca="false">X88-W88</f>
        <v>255.305957702007</v>
      </c>
      <c r="Y91" s="69" t="n">
        <f aca="false">Y88-X88</f>
        <v>245.093719393935</v>
      </c>
      <c r="Z91" s="69" t="n">
        <f aca="false">Z88-Y88</f>
        <v>-3108.0730419213</v>
      </c>
      <c r="AA91" s="69" t="n">
        <f aca="false">AA88-Z88</f>
        <v>850.397416454023</v>
      </c>
      <c r="AB91" s="69" t="n">
        <f aca="false">AB88-AA88</f>
        <v>158.564141678966</v>
      </c>
      <c r="AC91" s="69" t="n">
        <f aca="false">AC88-AB88</f>
        <v>3745.67903838019</v>
      </c>
      <c r="AD91" s="69" t="n">
        <f aca="false">AD88-AC88</f>
        <v>231.97851513547</v>
      </c>
      <c r="AE91" s="69" t="n">
        <f aca="false">AE88-AD88</f>
        <v>222.69937453005</v>
      </c>
      <c r="AF91" s="69" t="n">
        <f aca="false">AF88-AE88</f>
        <v>213.791399548849</v>
      </c>
      <c r="AG91" s="69" t="n">
        <f aca="false">AG88-AF88</f>
        <v>205.23974356689</v>
      </c>
      <c r="AH91" s="69" t="n">
        <f aca="false">AH88-AG88</f>
        <v>197.03015382422</v>
      </c>
      <c r="AI91" s="69" t="n">
        <f aca="false">AI88-AH88</f>
        <v>189.148947671249</v>
      </c>
      <c r="AJ91" s="69" t="n">
        <f aca="false">AJ88-AI88</f>
        <v>181.582989764403</v>
      </c>
      <c r="AK91" s="69" t="n">
        <f aca="false">AK88-AJ88</f>
        <v>174.319670173823</v>
      </c>
      <c r="AL91" s="69" t="n">
        <f aca="false">AL88-AK88</f>
        <v>-3715.93557936386</v>
      </c>
    </row>
    <row r="93" customFormat="false" ht="15.75" hidden="false" customHeight="true" outlineLevel="0" collapsed="false">
      <c r="A93" s="7" t="s">
        <v>433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4" t="s">
        <v>52</v>
      </c>
      <c r="C94" s="75" t="n">
        <f aca="false">C64-C75+C89+C90+C91</f>
        <v>-74096.96845601</v>
      </c>
      <c r="D94" s="75" t="n">
        <f aca="false">D64-D75+D89+D90+D91</f>
        <v>-68348.5584380637</v>
      </c>
      <c r="E94" s="75" t="n">
        <f aca="false">E64-E75+E89+E90+E91</f>
        <v>-52776.4387220337</v>
      </c>
      <c r="F94" s="75" t="n">
        <f aca="false">F64-F75+F89+F90+F91</f>
        <v>-45698.8828081446</v>
      </c>
      <c r="G94" s="75" t="n">
        <f aca="false">G64-G75+G89+G90+G91</f>
        <v>-38397.1661873729</v>
      </c>
      <c r="H94" s="75" t="n">
        <f aca="false">H64-H75+H89+H90+H91</f>
        <v>-30972.9688938543</v>
      </c>
      <c r="I94" s="75" t="n">
        <f aca="false">I64-I75+I89+I90+I91</f>
        <v>-23431.1901544986</v>
      </c>
      <c r="J94" s="75" t="n">
        <f aca="false">J64-J75+J89+J90+J91</f>
        <v>-15776.5332271394</v>
      </c>
      <c r="K94" s="75" t="n">
        <f aca="false">K64-K75+K89+K90+K91</f>
        <v>-8013.5132392968</v>
      </c>
      <c r="L94" s="75" t="n">
        <f aca="false">L64-L75+L89+L90+L91</f>
        <v>-146.464713390115</v>
      </c>
      <c r="M94" s="75" t="n">
        <f aca="false">M64-M75+M89+M90+M91</f>
        <v>2204.019664374</v>
      </c>
      <c r="N94" s="75" t="n">
        <f aca="false">N64-N75+N89+N90+N91</f>
        <v>-12325.9707704894</v>
      </c>
      <c r="O94" s="75" t="n">
        <f aca="false">O64-O75+O89+O90+O91</f>
        <v>-5867.20796869892</v>
      </c>
      <c r="P94" s="75" t="n">
        <f aca="false">P64-P75+P89+P90+P91</f>
        <v>-3924.6168398369</v>
      </c>
      <c r="Q94" s="75" t="n">
        <f aca="false">Q64-Q75+Q89+Q90+Q91</f>
        <v>15477.2990419792</v>
      </c>
      <c r="R94" s="75" t="n">
        <f aca="false">R64-R75+R89+R90+R91</f>
        <v>17132.5095846624</v>
      </c>
      <c r="S94" s="75" t="n">
        <f aca="false">S64-S75+S89+S90+S91</f>
        <v>19153.4966761075</v>
      </c>
      <c r="T94" s="75" t="n">
        <f aca="false">T64-T75+T89+T90+T91</f>
        <v>21100.7276172281</v>
      </c>
      <c r="U94" s="75" t="n">
        <f aca="false">U64-U75+U89+U90+U91</f>
        <v>22977.1526540373</v>
      </c>
      <c r="V94" s="75" t="n">
        <f aca="false">V64-V75+V89+V90+V91</f>
        <v>24785.6040227074</v>
      </c>
      <c r="W94" s="75" t="n">
        <f aca="false">W64-W75+W89+W90+W91</f>
        <v>26528.800669964</v>
      </c>
      <c r="X94" s="75" t="n">
        <f aca="false">X64-X75+X89+X90+X91</f>
        <v>28209.3527846637</v>
      </c>
      <c r="Y94" s="75" t="n">
        <f aca="false">Y64-Y75+Y89+Y90+Y91</f>
        <v>29829.7661481088</v>
      </c>
      <c r="Z94" s="75" t="n">
        <f aca="false">Z64-Z75+Z89+Z90+Z91</f>
        <v>14251.5902982079</v>
      </c>
      <c r="AA94" s="75" t="n">
        <f aca="false">AA64-AA75+AA89+AA90+AA91</f>
        <v>20442.132661898</v>
      </c>
      <c r="AB94" s="75" t="n">
        <f aca="false">AB64-AB75+AB89+AB90+AB91</f>
        <v>21701.1998376266</v>
      </c>
      <c r="AC94" s="75" t="n">
        <f aca="false">AC64-AC75+AC89+AC90+AC91</f>
        <v>40922.0265315874</v>
      </c>
      <c r="AD94" s="75" t="n">
        <f aca="false">AD64-AD75+AD89+AD90+AD91</f>
        <v>41643.6132582186</v>
      </c>
      <c r="AE94" s="75" t="n">
        <f aca="false">AE64-AE75+AE89+AE90+AE91</f>
        <v>43118.4664460268</v>
      </c>
      <c r="AF94" s="75" t="n">
        <f aca="false">AF64-AF75+AF89+AF90+AF91</f>
        <v>44541.408839656</v>
      </c>
      <c r="AG94" s="75" t="n">
        <f aca="false">AG64-AG75+AG89+AG90+AG91</f>
        <v>45914.5168708734</v>
      </c>
      <c r="AH94" s="75" t="n">
        <f aca="false">AH64-AH75+AH89+AH90+AH91</f>
        <v>47239.7839141754</v>
      </c>
      <c r="AI94" s="75" t="n">
        <f aca="false">AI64-AI75+AI89+AI90+AI91</f>
        <v>48519.1236090787</v>
      </c>
      <c r="AJ94" s="75" t="n">
        <f aca="false">AJ64-AJ75+AJ89+AJ90+AJ91</f>
        <v>49754.3730495191</v>
      </c>
      <c r="AK94" s="75" t="n">
        <f aca="false">AK64-AK75+AK89+AK90+AK91</f>
        <v>50947.2958456753</v>
      </c>
      <c r="AL94" s="75" t="n">
        <f aca="false">AL64-AL75+AL89+AL90+AL91</f>
        <v>34406.535226456</v>
      </c>
    </row>
    <row r="95" customFormat="false" ht="15" hidden="false" customHeight="false" outlineLevel="0" collapsed="false">
      <c r="A95" s="6" t="s">
        <v>434</v>
      </c>
      <c r="C95" s="69" t="n">
        <f aca="false">-C72</f>
        <v>-4100000</v>
      </c>
      <c r="D95" s="69" t="n">
        <f aca="false">-D72</f>
        <v>-0</v>
      </c>
      <c r="E95" s="69" t="n">
        <f aca="false">-E72</f>
        <v>-0</v>
      </c>
      <c r="F95" s="69" t="n">
        <f aca="false">-F72</f>
        <v>-0</v>
      </c>
      <c r="G95" s="69" t="n">
        <f aca="false">-G72</f>
        <v>-0</v>
      </c>
      <c r="H95" s="69" t="n">
        <f aca="false">-H72</f>
        <v>-0</v>
      </c>
      <c r="I95" s="69" t="n">
        <f aca="false">-I72</f>
        <v>-0</v>
      </c>
      <c r="J95" s="69" t="n">
        <f aca="false">-J72</f>
        <v>-0</v>
      </c>
      <c r="K95" s="69" t="n">
        <f aca="false">-K72</f>
        <v>-0</v>
      </c>
      <c r="L95" s="69" t="n">
        <f aca="false">-L72</f>
        <v>-0</v>
      </c>
      <c r="M95" s="69" t="n">
        <f aca="false">-M72</f>
        <v>-0</v>
      </c>
      <c r="N95" s="69" t="n">
        <f aca="false">-N72</f>
        <v>-0</v>
      </c>
      <c r="O95" s="69" t="n">
        <f aca="false">-O72</f>
        <v>-40000</v>
      </c>
      <c r="P95" s="69" t="n">
        <f aca="false">-P72</f>
        <v>-0</v>
      </c>
      <c r="Q95" s="69" t="n">
        <f aca="false">-Q72</f>
        <v>-0</v>
      </c>
      <c r="R95" s="69" t="n">
        <f aca="false">-R72</f>
        <v>-0</v>
      </c>
      <c r="S95" s="69" t="n">
        <f aca="false">-S72</f>
        <v>-0</v>
      </c>
      <c r="T95" s="69" t="n">
        <f aca="false">-T72</f>
        <v>-0</v>
      </c>
      <c r="U95" s="69" t="n">
        <f aca="false">-U72</f>
        <v>-0</v>
      </c>
      <c r="V95" s="69" t="n">
        <f aca="false">-V72</f>
        <v>-0</v>
      </c>
      <c r="W95" s="69" t="n">
        <f aca="false">-W72</f>
        <v>-0</v>
      </c>
      <c r="X95" s="69" t="n">
        <f aca="false">-X72</f>
        <v>-0</v>
      </c>
      <c r="Y95" s="69" t="n">
        <f aca="false">-Y72</f>
        <v>-0</v>
      </c>
      <c r="Z95" s="69" t="n">
        <f aca="false">-Z72</f>
        <v>-0</v>
      </c>
      <c r="AA95" s="69" t="n">
        <f aca="false">-AA72</f>
        <v>-40000</v>
      </c>
      <c r="AB95" s="69" t="n">
        <f aca="false">-AB72</f>
        <v>-0</v>
      </c>
      <c r="AC95" s="69" t="n">
        <f aca="false">-AC72</f>
        <v>-0</v>
      </c>
      <c r="AD95" s="69" t="n">
        <f aca="false">-AD72</f>
        <v>-0</v>
      </c>
      <c r="AE95" s="69" t="n">
        <f aca="false">-AE72</f>
        <v>-0</v>
      </c>
      <c r="AF95" s="69" t="n">
        <f aca="false">-AF72</f>
        <v>-0</v>
      </c>
      <c r="AG95" s="69" t="n">
        <f aca="false">-AG72</f>
        <v>-0</v>
      </c>
      <c r="AH95" s="69" t="n">
        <f aca="false">-AH72</f>
        <v>-0</v>
      </c>
      <c r="AI95" s="69" t="n">
        <f aca="false">-AI72</f>
        <v>-0</v>
      </c>
      <c r="AJ95" s="69" t="n">
        <f aca="false">-AJ72</f>
        <v>-0</v>
      </c>
      <c r="AK95" s="69" t="n">
        <f aca="false">-AK72</f>
        <v>-0</v>
      </c>
      <c r="AL95" s="69" t="n">
        <f aca="false">-AL72</f>
        <v>-0</v>
      </c>
    </row>
    <row r="96" customFormat="false" ht="15" hidden="false" customHeight="false" outlineLevel="0" collapsed="false">
      <c r="A96" s="6" t="s">
        <v>64</v>
      </c>
      <c r="C96" s="69" t="n">
        <f aca="false">IF(C$4=1,Inputs!$E$69,0)</f>
        <v>2100000</v>
      </c>
      <c r="D96" s="69" t="n">
        <f aca="false">IF(D$4=1,Inputs!$E$69,0)</f>
        <v>0</v>
      </c>
      <c r="E96" s="69" t="n">
        <f aca="false">IF(E$4=1,Inputs!$E$69,0)</f>
        <v>0</v>
      </c>
      <c r="F96" s="69" t="n">
        <f aca="false">IF(F$4=1,Inputs!$E$69,0)</f>
        <v>0</v>
      </c>
      <c r="G96" s="69" t="n">
        <f aca="false">IF(G$4=1,Inputs!$E$69,0)</f>
        <v>0</v>
      </c>
      <c r="H96" s="69" t="n">
        <f aca="false">IF(H$4=1,Inputs!$E$69,0)</f>
        <v>0</v>
      </c>
      <c r="I96" s="69" t="n">
        <f aca="false">IF(I$4=1,Inputs!$E$69,0)</f>
        <v>0</v>
      </c>
      <c r="J96" s="69" t="n">
        <f aca="false">IF(J$4=1,Inputs!$E$69,0)</f>
        <v>0</v>
      </c>
      <c r="K96" s="69" t="n">
        <f aca="false">IF(K$4=1,Inputs!$E$69,0)</f>
        <v>0</v>
      </c>
      <c r="L96" s="69" t="n">
        <f aca="false">IF(L$4=1,Inputs!$E$69,0)</f>
        <v>0</v>
      </c>
      <c r="M96" s="69" t="n">
        <f aca="false">IF(M$4=1,Inputs!$E$69,0)</f>
        <v>0</v>
      </c>
      <c r="N96" s="69" t="n">
        <f aca="false">IF(N$4=1,Inputs!$E$69,0)</f>
        <v>0</v>
      </c>
      <c r="O96" s="69" t="n">
        <f aca="false">IF(O$4=1,Inputs!$E$69,0)</f>
        <v>0</v>
      </c>
      <c r="P96" s="69" t="n">
        <f aca="false">IF(P$4=1,Inputs!$E$69,0)</f>
        <v>0</v>
      </c>
      <c r="Q96" s="69" t="n">
        <f aca="false">IF(Q$4=1,Inputs!$E$69,0)</f>
        <v>0</v>
      </c>
      <c r="R96" s="69" t="n">
        <f aca="false">IF(R$4=1,Inputs!$E$69,0)</f>
        <v>0</v>
      </c>
      <c r="S96" s="69" t="n">
        <f aca="false">IF(S$4=1,Inputs!$E$69,0)</f>
        <v>0</v>
      </c>
      <c r="T96" s="69" t="n">
        <f aca="false">IF(T$4=1,Inputs!$E$69,0)</f>
        <v>0</v>
      </c>
      <c r="U96" s="69" t="n">
        <f aca="false">IF(U$4=1,Inputs!$E$69,0)</f>
        <v>0</v>
      </c>
      <c r="V96" s="69" t="n">
        <f aca="false">IF(V$4=1,Inputs!$E$69,0)</f>
        <v>0</v>
      </c>
      <c r="W96" s="69" t="n">
        <f aca="false">IF(W$4=1,Inputs!$E$69,0)</f>
        <v>0</v>
      </c>
      <c r="X96" s="69" t="n">
        <f aca="false">IF(X$4=1,Inputs!$E$69,0)</f>
        <v>0</v>
      </c>
      <c r="Y96" s="69" t="n">
        <f aca="false">IF(Y$4=1,Inputs!$E$69,0)</f>
        <v>0</v>
      </c>
      <c r="Z96" s="69" t="n">
        <f aca="false">IF(Z$4=1,Inputs!$E$69,0)</f>
        <v>0</v>
      </c>
      <c r="AA96" s="69" t="n">
        <f aca="false">IF(AA$4=1,Inputs!$E$69,0)</f>
        <v>0</v>
      </c>
      <c r="AB96" s="69" t="n">
        <f aca="false">IF(AB$4=1,Inputs!$E$69,0)</f>
        <v>0</v>
      </c>
      <c r="AC96" s="69" t="n">
        <f aca="false">IF(AC$4=1,Inputs!$E$69,0)</f>
        <v>0</v>
      </c>
      <c r="AD96" s="69" t="n">
        <f aca="false">IF(AD$4=1,Inputs!$E$69,0)</f>
        <v>0</v>
      </c>
      <c r="AE96" s="69" t="n">
        <f aca="false">IF(AE$4=1,Inputs!$E$69,0)</f>
        <v>0</v>
      </c>
      <c r="AF96" s="69" t="n">
        <f aca="false">IF(AF$4=1,Inputs!$E$69,0)</f>
        <v>0</v>
      </c>
      <c r="AG96" s="69" t="n">
        <f aca="false">IF(AG$4=1,Inputs!$E$69,0)</f>
        <v>0</v>
      </c>
      <c r="AH96" s="69" t="n">
        <f aca="false">IF(AH$4=1,Inputs!$E$69,0)</f>
        <v>0</v>
      </c>
      <c r="AI96" s="69" t="n">
        <f aca="false">IF(AI$4=1,Inputs!$E$69,0)</f>
        <v>0</v>
      </c>
      <c r="AJ96" s="69" t="n">
        <f aca="false">IF(AJ$4=1,Inputs!$E$69,0)</f>
        <v>0</v>
      </c>
      <c r="AK96" s="69" t="n">
        <f aca="false">IF(AK$4=1,Inputs!$E$69,0)</f>
        <v>0</v>
      </c>
      <c r="AL96" s="69" t="n">
        <f aca="false">IF(AL$4=1,Inputs!$E$69,0)</f>
        <v>0</v>
      </c>
    </row>
    <row r="97" customFormat="false" ht="15" hidden="false" customHeight="false" outlineLevel="0" collapsed="false">
      <c r="A97" s="6" t="s">
        <v>54</v>
      </c>
      <c r="C97" s="69" t="n">
        <f aca="false">C96+C81+C82</f>
        <v>5100000</v>
      </c>
      <c r="D97" s="69" t="n">
        <f aca="false">D96+D81+D82</f>
        <v>-25000</v>
      </c>
      <c r="E97" s="69" t="n">
        <f aca="false">E96+E81+E82</f>
        <v>-25000</v>
      </c>
      <c r="F97" s="69" t="n">
        <f aca="false">F96+F81+F82</f>
        <v>-25000</v>
      </c>
      <c r="G97" s="69" t="n">
        <f aca="false">G96+G81+G82</f>
        <v>-25000</v>
      </c>
      <c r="H97" s="69" t="n">
        <f aca="false">H96+H81+H82</f>
        <v>-25000</v>
      </c>
      <c r="I97" s="69" t="n">
        <f aca="false">I96+I81+I82</f>
        <v>-25000</v>
      </c>
      <c r="J97" s="69" t="n">
        <f aca="false">J96+J81+J82</f>
        <v>-25000</v>
      </c>
      <c r="K97" s="69" t="n">
        <f aca="false">K96+K81+K82</f>
        <v>-25000</v>
      </c>
      <c r="L97" s="69" t="n">
        <f aca="false">L96+L81+L82</f>
        <v>-25000</v>
      </c>
      <c r="M97" s="69" t="n">
        <f aca="false">M96+M81+M82</f>
        <v>-25000</v>
      </c>
      <c r="N97" s="69" t="n">
        <f aca="false">N96+N81+N82</f>
        <v>-25000</v>
      </c>
      <c r="O97" s="69" t="n">
        <f aca="false">O96+O81+O82</f>
        <v>-25000</v>
      </c>
      <c r="P97" s="69" t="n">
        <f aca="false">P96+P81+P82</f>
        <v>-25000</v>
      </c>
      <c r="Q97" s="69" t="n">
        <f aca="false">Q96+Q81+Q82</f>
        <v>-25000</v>
      </c>
      <c r="R97" s="69" t="n">
        <f aca="false">R96+R81+R82</f>
        <v>-25000</v>
      </c>
      <c r="S97" s="69" t="n">
        <f aca="false">S96+S81+S82</f>
        <v>-25000</v>
      </c>
      <c r="T97" s="69" t="n">
        <f aca="false">T96+T81+T82</f>
        <v>-25000</v>
      </c>
      <c r="U97" s="69" t="n">
        <f aca="false">U96+U81+U82</f>
        <v>-25000</v>
      </c>
      <c r="V97" s="69" t="n">
        <f aca="false">V96+V81+V82</f>
        <v>-25000</v>
      </c>
      <c r="W97" s="69" t="n">
        <f aca="false">W96+W81+W82</f>
        <v>-25000</v>
      </c>
      <c r="X97" s="69" t="n">
        <f aca="false">X96+X81+X82</f>
        <v>-25000</v>
      </c>
      <c r="Y97" s="69" t="n">
        <f aca="false">Y96+Y81+Y82</f>
        <v>-25000</v>
      </c>
      <c r="Z97" s="69" t="n">
        <f aca="false">Z96+Z81+Z82</f>
        <v>-25000</v>
      </c>
      <c r="AA97" s="69" t="n">
        <f aca="false">AA96+AA81+AA82</f>
        <v>-25000</v>
      </c>
      <c r="AB97" s="69" t="n">
        <f aca="false">AB96+AB81+AB82</f>
        <v>-25000</v>
      </c>
      <c r="AC97" s="69" t="n">
        <f aca="false">AC96+AC81+AC82</f>
        <v>-25000</v>
      </c>
      <c r="AD97" s="69" t="n">
        <f aca="false">AD96+AD81+AD82</f>
        <v>-25000</v>
      </c>
      <c r="AE97" s="69" t="n">
        <f aca="false">AE96+AE81+AE82</f>
        <v>-25000</v>
      </c>
      <c r="AF97" s="69" t="n">
        <f aca="false">AF96+AF81+AF82</f>
        <v>-25000</v>
      </c>
      <c r="AG97" s="69" t="n">
        <f aca="false">AG96+AG81+AG82</f>
        <v>-25000</v>
      </c>
      <c r="AH97" s="69" t="n">
        <f aca="false">AH96+AH81+AH82</f>
        <v>-25000</v>
      </c>
      <c r="AI97" s="69" t="n">
        <f aca="false">AI96+AI81+AI82</f>
        <v>-25000</v>
      </c>
      <c r="AJ97" s="69" t="n">
        <f aca="false">AJ96+AJ81+AJ82</f>
        <v>-25000</v>
      </c>
      <c r="AK97" s="69" t="n">
        <f aca="false">AK96+AK81+AK82</f>
        <v>-25000</v>
      </c>
      <c r="AL97" s="69" t="n">
        <f aca="false">AL96+AL81+AL82</f>
        <v>-25000</v>
      </c>
    </row>
    <row r="98" customFormat="false" ht="15" hidden="false" customHeight="false" outlineLevel="0" collapsed="false">
      <c r="A98" s="113" t="s">
        <v>435</v>
      </c>
      <c r="C98" s="70" t="n">
        <f aca="false">C94+C95+C97</f>
        <v>925903.03154399</v>
      </c>
      <c r="D98" s="70" t="n">
        <f aca="false">D94+D95+D97</f>
        <v>-93348.5584380637</v>
      </c>
      <c r="E98" s="70" t="n">
        <f aca="false">E94+E95+E97</f>
        <v>-77776.4387220337</v>
      </c>
      <c r="F98" s="70" t="n">
        <f aca="false">F94+F95+F97</f>
        <v>-70698.8828081446</v>
      </c>
      <c r="G98" s="70" t="n">
        <f aca="false">G94+G95+G97</f>
        <v>-63397.1661873729</v>
      </c>
      <c r="H98" s="70" t="n">
        <f aca="false">H94+H95+H97</f>
        <v>-55972.9688938543</v>
      </c>
      <c r="I98" s="70" t="n">
        <f aca="false">I94+I95+I97</f>
        <v>-48431.1901544986</v>
      </c>
      <c r="J98" s="70" t="n">
        <f aca="false">J94+J95+J97</f>
        <v>-40776.5332271394</v>
      </c>
      <c r="K98" s="70" t="n">
        <f aca="false">K94+K95+K97</f>
        <v>-33013.5132392968</v>
      </c>
      <c r="L98" s="70" t="n">
        <f aca="false">L94+L95+L97</f>
        <v>-25146.4647133901</v>
      </c>
      <c r="M98" s="70" t="n">
        <f aca="false">M94+M95+M97</f>
        <v>-22795.980335626</v>
      </c>
      <c r="N98" s="70" t="n">
        <f aca="false">N94+N95+N97</f>
        <v>-37325.9707704894</v>
      </c>
      <c r="O98" s="70" t="n">
        <f aca="false">O94+O95+O97</f>
        <v>-70867.2079686989</v>
      </c>
      <c r="P98" s="70" t="n">
        <f aca="false">P94+P95+P97</f>
        <v>-28924.6168398369</v>
      </c>
      <c r="Q98" s="70" t="n">
        <f aca="false">Q94+Q95+Q97</f>
        <v>-9522.70095802083</v>
      </c>
      <c r="R98" s="70" t="n">
        <f aca="false">R94+R95+R97</f>
        <v>-7867.49041533761</v>
      </c>
      <c r="S98" s="70" t="n">
        <f aca="false">S94+S95+S97</f>
        <v>-5846.50332389252</v>
      </c>
      <c r="T98" s="70" t="n">
        <f aca="false">T94+T95+T97</f>
        <v>-3899.27238277188</v>
      </c>
      <c r="U98" s="70" t="n">
        <f aca="false">U94+U95+U97</f>
        <v>-2022.84734596271</v>
      </c>
      <c r="V98" s="70" t="n">
        <f aca="false">V94+V95+V97</f>
        <v>-214.395977292606</v>
      </c>
      <c r="W98" s="70" t="n">
        <f aca="false">W94+W95+W97</f>
        <v>1528.80066996402</v>
      </c>
      <c r="X98" s="70" t="n">
        <f aca="false">X94+X95+X97</f>
        <v>3209.35278466372</v>
      </c>
      <c r="Y98" s="70" t="n">
        <f aca="false">Y94+Y95+Y97</f>
        <v>4829.76614810879</v>
      </c>
      <c r="Z98" s="70" t="n">
        <f aca="false">Z94+Z95+Z97</f>
        <v>-10748.4097017921</v>
      </c>
      <c r="AA98" s="70" t="n">
        <f aca="false">AA94+AA95+AA97</f>
        <v>-44557.867338102</v>
      </c>
      <c r="AB98" s="70" t="n">
        <f aca="false">AB94+AB95+AB97</f>
        <v>-3298.80016237345</v>
      </c>
      <c r="AC98" s="70" t="n">
        <f aca="false">AC94+AC95+AC97</f>
        <v>15922.0265315874</v>
      </c>
      <c r="AD98" s="70" t="n">
        <f aca="false">AD94+AD95+AD97</f>
        <v>16643.6132582186</v>
      </c>
      <c r="AE98" s="70" t="n">
        <f aca="false">AE94+AE95+AE97</f>
        <v>18118.4664460268</v>
      </c>
      <c r="AF98" s="70" t="n">
        <f aca="false">AF94+AF95+AF97</f>
        <v>19541.408839656</v>
      </c>
      <c r="AG98" s="70" t="n">
        <f aca="false">AG94+AG95+AG97</f>
        <v>20914.5168708734</v>
      </c>
      <c r="AH98" s="70" t="n">
        <f aca="false">AH94+AH95+AH97</f>
        <v>22239.7839141754</v>
      </c>
      <c r="AI98" s="70" t="n">
        <f aca="false">AI94+AI95+AI97</f>
        <v>23519.1236090787</v>
      </c>
      <c r="AJ98" s="70" t="n">
        <f aca="false">AJ94+AJ95+AJ97</f>
        <v>24754.3730495191</v>
      </c>
      <c r="AK98" s="70" t="n">
        <f aca="false">AK94+AK95+AK97</f>
        <v>25947.2958456753</v>
      </c>
      <c r="AL98" s="70" t="n">
        <f aca="false">AL94+AL95+AL97</f>
        <v>9406.535226456</v>
      </c>
    </row>
    <row r="99" customFormat="false" ht="15" hidden="false" customHeight="false" outlineLevel="0" collapsed="false">
      <c r="A99" s="6" t="s">
        <v>349</v>
      </c>
      <c r="C99" s="69" t="n">
        <f aca="false">0</f>
        <v>0</v>
      </c>
      <c r="D99" s="69" t="n">
        <f aca="false">C100</f>
        <v>925903.03154399</v>
      </c>
      <c r="E99" s="69" t="n">
        <f aca="false">D100</f>
        <v>832554.473105926</v>
      </c>
      <c r="F99" s="69" t="n">
        <f aca="false">E100</f>
        <v>754778.034383893</v>
      </c>
      <c r="G99" s="69" t="n">
        <f aca="false">F100</f>
        <v>684079.151575748</v>
      </c>
      <c r="H99" s="69" t="n">
        <f aca="false">G100</f>
        <v>620681.985388375</v>
      </c>
      <c r="I99" s="69" t="n">
        <f aca="false">H100</f>
        <v>564709.016494521</v>
      </c>
      <c r="J99" s="69" t="n">
        <f aca="false">I100</f>
        <v>516277.826340022</v>
      </c>
      <c r="K99" s="69" t="n">
        <f aca="false">J100</f>
        <v>475501.293112883</v>
      </c>
      <c r="L99" s="69" t="n">
        <f aca="false">K100</f>
        <v>442487.779873586</v>
      </c>
      <c r="M99" s="69" t="n">
        <f aca="false">L100</f>
        <v>417341.315160196</v>
      </c>
      <c r="N99" s="69" t="n">
        <f aca="false">M100</f>
        <v>394545.33482457</v>
      </c>
      <c r="O99" s="69" t="n">
        <f aca="false">N100</f>
        <v>357219.364054081</v>
      </c>
      <c r="P99" s="69" t="n">
        <f aca="false">O100</f>
        <v>286352.156085382</v>
      </c>
      <c r="Q99" s="69" t="n">
        <f aca="false">P100</f>
        <v>257427.539245545</v>
      </c>
      <c r="R99" s="69" t="n">
        <f aca="false">Q100</f>
        <v>247904.838287524</v>
      </c>
      <c r="S99" s="69" t="n">
        <f aca="false">R100</f>
        <v>240037.347872186</v>
      </c>
      <c r="T99" s="69" t="n">
        <f aca="false">S100</f>
        <v>234190.844548294</v>
      </c>
      <c r="U99" s="69" t="n">
        <f aca="false">T100</f>
        <v>230291.572165522</v>
      </c>
      <c r="V99" s="69" t="n">
        <f aca="false">U100</f>
        <v>228268.724819559</v>
      </c>
      <c r="W99" s="69" t="n">
        <f aca="false">V100</f>
        <v>228054.328842267</v>
      </c>
      <c r="X99" s="69" t="n">
        <f aca="false">W100</f>
        <v>229583.129512231</v>
      </c>
      <c r="Y99" s="69" t="n">
        <f aca="false">X100</f>
        <v>232792.482296894</v>
      </c>
      <c r="Z99" s="69" t="n">
        <f aca="false">Y100</f>
        <v>237622.248445003</v>
      </c>
      <c r="AA99" s="69" t="n">
        <f aca="false">Z100</f>
        <v>226873.838743211</v>
      </c>
      <c r="AB99" s="69" t="n">
        <f aca="false">AA100</f>
        <v>182315.971405109</v>
      </c>
      <c r="AC99" s="69" t="n">
        <f aca="false">AB100</f>
        <v>179017.171242736</v>
      </c>
      <c r="AD99" s="69" t="n">
        <f aca="false">AC100</f>
        <v>194939.197774323</v>
      </c>
      <c r="AE99" s="69" t="n">
        <f aca="false">AD100</f>
        <v>211582.811032542</v>
      </c>
      <c r="AF99" s="69" t="n">
        <f aca="false">AE100</f>
        <v>229701.277478568</v>
      </c>
      <c r="AG99" s="69" t="n">
        <f aca="false">AF100</f>
        <v>249242.686318224</v>
      </c>
      <c r="AH99" s="69" t="n">
        <f aca="false">AG100</f>
        <v>270157.203189098</v>
      </c>
      <c r="AI99" s="69" t="n">
        <f aca="false">AH100</f>
        <v>292396.987103273</v>
      </c>
      <c r="AJ99" s="69" t="n">
        <f aca="false">AI100</f>
        <v>315916.110712352</v>
      </c>
      <c r="AK99" s="69" t="n">
        <f aca="false">AJ100</f>
        <v>340670.483761871</v>
      </c>
      <c r="AL99" s="69" t="n">
        <f aca="false">AK100</f>
        <v>366617.779607546</v>
      </c>
    </row>
    <row r="100" customFormat="false" ht="15" hidden="false" customHeight="false" outlineLevel="0" collapsed="false">
      <c r="A100" s="113" t="s">
        <v>87</v>
      </c>
      <c r="C100" s="70" t="n">
        <f aca="false">C99+C98</f>
        <v>925903.03154399</v>
      </c>
      <c r="D100" s="70" t="n">
        <f aca="false">D99+D98</f>
        <v>832554.473105926</v>
      </c>
      <c r="E100" s="70" t="n">
        <f aca="false">E99+E98</f>
        <v>754778.034383893</v>
      </c>
      <c r="F100" s="70" t="n">
        <f aca="false">F99+F98</f>
        <v>684079.151575748</v>
      </c>
      <c r="G100" s="70" t="n">
        <f aca="false">G99+G98</f>
        <v>620681.985388375</v>
      </c>
      <c r="H100" s="70" t="n">
        <f aca="false">H99+H98</f>
        <v>564709.016494521</v>
      </c>
      <c r="I100" s="70" t="n">
        <f aca="false">I99+I98</f>
        <v>516277.826340022</v>
      </c>
      <c r="J100" s="70" t="n">
        <f aca="false">J99+J98</f>
        <v>475501.293112883</v>
      </c>
      <c r="K100" s="70" t="n">
        <f aca="false">K99+K98</f>
        <v>442487.779873586</v>
      </c>
      <c r="L100" s="70" t="n">
        <f aca="false">L99+L98</f>
        <v>417341.315160196</v>
      </c>
      <c r="M100" s="70" t="n">
        <f aca="false">M99+M98</f>
        <v>394545.33482457</v>
      </c>
      <c r="N100" s="70" t="n">
        <f aca="false">N99+N98</f>
        <v>357219.364054081</v>
      </c>
      <c r="O100" s="70" t="n">
        <f aca="false">O99+O98</f>
        <v>286352.156085382</v>
      </c>
      <c r="P100" s="70" t="n">
        <f aca="false">P99+P98</f>
        <v>257427.539245545</v>
      </c>
      <c r="Q100" s="70" t="n">
        <f aca="false">Q99+Q98</f>
        <v>247904.838287524</v>
      </c>
      <c r="R100" s="70" t="n">
        <f aca="false">R99+R98</f>
        <v>240037.347872186</v>
      </c>
      <c r="S100" s="70" t="n">
        <f aca="false">S99+S98</f>
        <v>234190.844548294</v>
      </c>
      <c r="T100" s="70" t="n">
        <f aca="false">T99+T98</f>
        <v>230291.572165522</v>
      </c>
      <c r="U100" s="70" t="n">
        <f aca="false">U99+U98</f>
        <v>228268.724819559</v>
      </c>
      <c r="V100" s="70" t="n">
        <f aca="false">V99+V98</f>
        <v>228054.328842267</v>
      </c>
      <c r="W100" s="70" t="n">
        <f aca="false">W99+W98</f>
        <v>229583.129512231</v>
      </c>
      <c r="X100" s="70" t="n">
        <f aca="false">X99+X98</f>
        <v>232792.482296894</v>
      </c>
      <c r="Y100" s="70" t="n">
        <f aca="false">Y99+Y98</f>
        <v>237622.248445003</v>
      </c>
      <c r="Z100" s="70" t="n">
        <f aca="false">Z99+Z98</f>
        <v>226873.838743211</v>
      </c>
      <c r="AA100" s="70" t="n">
        <f aca="false">AA99+AA98</f>
        <v>182315.971405109</v>
      </c>
      <c r="AB100" s="70" t="n">
        <f aca="false">AB99+AB98</f>
        <v>179017.171242736</v>
      </c>
      <c r="AC100" s="70" t="n">
        <f aca="false">AC99+AC98</f>
        <v>194939.197774323</v>
      </c>
      <c r="AD100" s="70" t="n">
        <f aca="false">AD99+AD98</f>
        <v>211582.811032542</v>
      </c>
      <c r="AE100" s="70" t="n">
        <f aca="false">AE99+AE98</f>
        <v>229701.277478568</v>
      </c>
      <c r="AF100" s="70" t="n">
        <f aca="false">AF99+AF98</f>
        <v>249242.686318224</v>
      </c>
      <c r="AG100" s="70" t="n">
        <f aca="false">AG99+AG98</f>
        <v>270157.203189098</v>
      </c>
      <c r="AH100" s="70" t="n">
        <f aca="false">AH99+AH98</f>
        <v>292396.987103273</v>
      </c>
      <c r="AI100" s="70" t="n">
        <f aca="false">AI99+AI98</f>
        <v>315916.110712352</v>
      </c>
      <c r="AJ100" s="70" t="n">
        <f aca="false">AJ99+AJ98</f>
        <v>340670.483761871</v>
      </c>
      <c r="AK100" s="70" t="n">
        <f aca="false">AK99+AK98</f>
        <v>366617.779607546</v>
      </c>
      <c r="AL100" s="70" t="n">
        <f aca="false">AL99+AL98</f>
        <v>376024.314834002</v>
      </c>
    </row>
    <row r="101" customFormat="false" ht="15" hidden="false" customHeight="false" outlineLevel="0" collapsed="false">
      <c r="A101" s="116" t="s">
        <v>436</v>
      </c>
      <c r="C101" s="118" t="n">
        <f aca="false">IF(C55&gt;0,1,0)</f>
        <v>0</v>
      </c>
      <c r="D101" s="118" t="n">
        <f aca="false">IF(D55&gt;0,1,0)</f>
        <v>0</v>
      </c>
      <c r="E101" s="118" t="n">
        <f aca="false">IF(E55&gt;0,1,0)</f>
        <v>0</v>
      </c>
      <c r="F101" s="118" t="n">
        <f aca="false">IF(F55&gt;0,1,0)</f>
        <v>0</v>
      </c>
      <c r="G101" s="118" t="n">
        <f aca="false">IF(G55&gt;0,1,0)</f>
        <v>0</v>
      </c>
      <c r="H101" s="118" t="n">
        <f aca="false">IF(H55&gt;0,1,0)</f>
        <v>0</v>
      </c>
      <c r="I101" s="118" t="n">
        <f aca="false">IF(I55&gt;0,1,0)</f>
        <v>0</v>
      </c>
      <c r="J101" s="118" t="n">
        <f aca="false">IF(J55&gt;0,1,0)</f>
        <v>1</v>
      </c>
      <c r="K101" s="118" t="n">
        <f aca="false">IF(K55&gt;0,1,0)</f>
        <v>1</v>
      </c>
      <c r="L101" s="118" t="n">
        <f aca="false">IF(L55&gt;0,1,0)</f>
        <v>1</v>
      </c>
      <c r="M101" s="118" t="n">
        <f aca="false">IF(M55&gt;0,1,0)</f>
        <v>1</v>
      </c>
      <c r="N101" s="118" t="n">
        <f aca="false">IF(N55&gt;0,1,0)</f>
        <v>1</v>
      </c>
      <c r="O101" s="118" t="n">
        <f aca="false">IF(O55&gt;0,1,0)</f>
        <v>1</v>
      </c>
      <c r="P101" s="118" t="n">
        <f aca="false">IF(P55&gt;0,1,0)</f>
        <v>1</v>
      </c>
      <c r="Q101" s="118" t="n">
        <f aca="false">IF(Q55&gt;0,1,0)</f>
        <v>1</v>
      </c>
      <c r="R101" s="118" t="n">
        <f aca="false">IF(R55&gt;0,1,0)</f>
        <v>1</v>
      </c>
      <c r="S101" s="118" t="n">
        <f aca="false">IF(S55&gt;0,1,0)</f>
        <v>1</v>
      </c>
      <c r="T101" s="118" t="n">
        <f aca="false">IF(T55&gt;0,1,0)</f>
        <v>1</v>
      </c>
      <c r="U101" s="118" t="n">
        <f aca="false">IF(U55&gt;0,1,0)</f>
        <v>1</v>
      </c>
      <c r="V101" s="118" t="n">
        <f aca="false">IF(V55&gt;0,1,0)</f>
        <v>1</v>
      </c>
      <c r="W101" s="118" t="n">
        <f aca="false">IF(W55&gt;0,1,0)</f>
        <v>1</v>
      </c>
      <c r="X101" s="118" t="n">
        <f aca="false">IF(X55&gt;0,1,0)</f>
        <v>1</v>
      </c>
      <c r="Y101" s="118" t="n">
        <f aca="false">IF(Y55&gt;0,1,0)</f>
        <v>1</v>
      </c>
      <c r="Z101" s="118" t="n">
        <f aca="false">IF(Z55&gt;0,1,0)</f>
        <v>1</v>
      </c>
      <c r="AA101" s="118" t="n">
        <f aca="false">IF(AA55&gt;0,1,0)</f>
        <v>1</v>
      </c>
      <c r="AB101" s="118" t="n">
        <f aca="false">IF(AB55&gt;0,1,0)</f>
        <v>1</v>
      </c>
      <c r="AC101" s="118" t="n">
        <f aca="false">IF(AC55&gt;0,1,0)</f>
        <v>1</v>
      </c>
      <c r="AD101" s="118" t="n">
        <f aca="false">IF(AD55&gt;0,1,0)</f>
        <v>1</v>
      </c>
      <c r="AE101" s="118" t="n">
        <f aca="false">IF(AE55&gt;0,1,0)</f>
        <v>1</v>
      </c>
      <c r="AF101" s="118" t="n">
        <f aca="false">IF(AF55&gt;0,1,0)</f>
        <v>1</v>
      </c>
      <c r="AG101" s="118" t="n">
        <f aca="false">IF(AG55&gt;0,1,0)</f>
        <v>1</v>
      </c>
      <c r="AH101" s="118" t="n">
        <f aca="false">IF(AH55&gt;0,1,0)</f>
        <v>1</v>
      </c>
      <c r="AI101" s="118" t="n">
        <f aca="false">IF(AI55&gt;0,1,0)</f>
        <v>1</v>
      </c>
      <c r="AJ101" s="118" t="n">
        <f aca="false">IF(AJ55&gt;0,1,0)</f>
        <v>1</v>
      </c>
      <c r="AK101" s="118" t="n">
        <f aca="false">IF(AK55&gt;0,1,0)</f>
        <v>1</v>
      </c>
      <c r="AL101" s="118" t="n">
        <f aca="false">IF(AL55&gt;0,1,0)</f>
        <v>1</v>
      </c>
    </row>
    <row r="103" customFormat="false" ht="15.75" hidden="false" customHeight="true" outlineLevel="0" collapsed="false">
      <c r="A103" s="7" t="s">
        <v>437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customFormat="false" ht="15" hidden="false" customHeight="false" outlineLevel="0" collapsed="false">
      <c r="A104" s="116" t="s">
        <v>438</v>
      </c>
      <c r="C104" s="118" t="n">
        <f aca="false">IF(C64&gt;0,1,0)</f>
        <v>0</v>
      </c>
      <c r="D104" s="118" t="n">
        <f aca="false">IF(D64&gt;0,1,0)</f>
        <v>0</v>
      </c>
      <c r="E104" s="118" t="n">
        <f aca="false">IF(E64&gt;0,1,0)</f>
        <v>0</v>
      </c>
      <c r="F104" s="118" t="n">
        <f aca="false">IF(F64&gt;0,1,0)</f>
        <v>0</v>
      </c>
      <c r="G104" s="118" t="n">
        <f aca="false">IF(G64&gt;0,1,0)</f>
        <v>0</v>
      </c>
      <c r="H104" s="118" t="n">
        <f aca="false">IF(H64&gt;0,1,0)</f>
        <v>0</v>
      </c>
      <c r="I104" s="118" t="n">
        <f aca="false">IF(I64&gt;0,1,0)</f>
        <v>0</v>
      </c>
      <c r="J104" s="118" t="n">
        <f aca="false">IF(J64&gt;0,1,0)</f>
        <v>0</v>
      </c>
      <c r="K104" s="118" t="n">
        <f aca="false">IF(K64&gt;0,1,0)</f>
        <v>0</v>
      </c>
      <c r="L104" s="118" t="n">
        <f aca="false">IF(L64&gt;0,1,0)</f>
        <v>0</v>
      </c>
      <c r="M104" s="118" t="n">
        <f aca="false">IF(M64&gt;0,1,0)</f>
        <v>0</v>
      </c>
      <c r="N104" s="118" t="n">
        <f aca="false">IF(N64&gt;0,1,0)</f>
        <v>0</v>
      </c>
      <c r="O104" s="118" t="n">
        <f aca="false">IF(O64&gt;0,1,0)</f>
        <v>0</v>
      </c>
      <c r="P104" s="118" t="n">
        <f aca="false">IF(P64&gt;0,1,0)</f>
        <v>0</v>
      </c>
      <c r="Q104" s="118" t="n">
        <f aca="false">IF(Q64&gt;0,1,0)</f>
        <v>0</v>
      </c>
      <c r="R104" s="118" t="n">
        <f aca="false">IF(R64&gt;0,1,0)</f>
        <v>0</v>
      </c>
      <c r="S104" s="118" t="n">
        <f aca="false">IF(S64&gt;0,1,0)</f>
        <v>0</v>
      </c>
      <c r="T104" s="118" t="n">
        <f aca="false">IF(T64&gt;0,1,0)</f>
        <v>0</v>
      </c>
      <c r="U104" s="118" t="n">
        <f aca="false">IF(U64&gt;0,1,0)</f>
        <v>0</v>
      </c>
      <c r="V104" s="118" t="n">
        <f aca="false">IF(V64&gt;0,1,0)</f>
        <v>0</v>
      </c>
      <c r="W104" s="118" t="n">
        <f aca="false">IF(W64&gt;0,1,0)</f>
        <v>0</v>
      </c>
      <c r="X104" s="118" t="n">
        <f aca="false">IF(X64&gt;0,1,0)</f>
        <v>0</v>
      </c>
      <c r="Y104" s="118" t="n">
        <f aca="false">IF(Y64&gt;0,1,0)</f>
        <v>1</v>
      </c>
      <c r="Z104" s="118" t="n">
        <f aca="false">IF(Z64&gt;0,1,0)</f>
        <v>0</v>
      </c>
      <c r="AA104" s="118" t="n">
        <f aca="false">IF(AA64&gt;0,1,0)</f>
        <v>0</v>
      </c>
      <c r="AB104" s="118" t="n">
        <f aca="false">IF(AB64&gt;0,1,0)</f>
        <v>0</v>
      </c>
      <c r="AC104" s="118" t="n">
        <f aca="false">IF(AC64&gt;0,1,0)</f>
        <v>1</v>
      </c>
      <c r="AD104" s="118" t="n">
        <f aca="false">IF(AD64&gt;0,1,0)</f>
        <v>1</v>
      </c>
      <c r="AE104" s="118" t="n">
        <f aca="false">IF(AE64&gt;0,1,0)</f>
        <v>1</v>
      </c>
      <c r="AF104" s="118" t="n">
        <f aca="false">IF(AF64&gt;0,1,0)</f>
        <v>1</v>
      </c>
      <c r="AG104" s="118" t="n">
        <f aca="false">IF(AG64&gt;0,1,0)</f>
        <v>1</v>
      </c>
      <c r="AH104" s="118" t="n">
        <f aca="false">IF(AH64&gt;0,1,0)</f>
        <v>1</v>
      </c>
      <c r="AI104" s="118" t="n">
        <f aca="false">IF(AI64&gt;0,1,0)</f>
        <v>1</v>
      </c>
      <c r="AJ104" s="118" t="n">
        <f aca="false">IF(AJ64&gt;0,1,0)</f>
        <v>1</v>
      </c>
      <c r="AK104" s="118" t="n">
        <f aca="false">IF(AK64&gt;0,1,0)</f>
        <v>1</v>
      </c>
      <c r="AL104" s="118" t="n">
        <f aca="false">IF(AL64&gt;0,1,0)</f>
        <v>1</v>
      </c>
    </row>
    <row r="105" customFormat="false" ht="15" hidden="false" customHeight="false" outlineLevel="0" collapsed="false">
      <c r="A105" s="6" t="s">
        <v>439</v>
      </c>
      <c r="C105" s="69" t="n">
        <f aca="false">C94+C95</f>
        <v>-4174096.96845601</v>
      </c>
      <c r="D105" s="69" t="n">
        <f aca="false">D94+D95</f>
        <v>-68348.5584380637</v>
      </c>
      <c r="E105" s="69" t="n">
        <f aca="false">E94+E95</f>
        <v>-52776.4387220337</v>
      </c>
      <c r="F105" s="69" t="n">
        <f aca="false">F94+F95</f>
        <v>-45698.8828081446</v>
      </c>
      <c r="G105" s="69" t="n">
        <f aca="false">G94+G95</f>
        <v>-38397.1661873729</v>
      </c>
      <c r="H105" s="69" t="n">
        <f aca="false">H94+H95</f>
        <v>-30972.9688938543</v>
      </c>
      <c r="I105" s="69" t="n">
        <f aca="false">I94+I95</f>
        <v>-23431.1901544986</v>
      </c>
      <c r="J105" s="69" t="n">
        <f aca="false">J94+J95</f>
        <v>-15776.5332271394</v>
      </c>
      <c r="K105" s="69" t="n">
        <f aca="false">K94+K95</f>
        <v>-8013.5132392968</v>
      </c>
      <c r="L105" s="69" t="n">
        <f aca="false">L94+L95</f>
        <v>-146.464713390115</v>
      </c>
      <c r="M105" s="69" t="n">
        <f aca="false">M94+M95</f>
        <v>2204.019664374</v>
      </c>
      <c r="N105" s="69" t="n">
        <f aca="false">N94+N95</f>
        <v>-12325.9707704894</v>
      </c>
      <c r="O105" s="69" t="n">
        <f aca="false">O94+O95</f>
        <v>-45867.2079686989</v>
      </c>
      <c r="P105" s="69" t="n">
        <f aca="false">P94+P95</f>
        <v>-3924.6168398369</v>
      </c>
      <c r="Q105" s="69" t="n">
        <f aca="false">Q94+Q95</f>
        <v>15477.2990419792</v>
      </c>
      <c r="R105" s="69" t="n">
        <f aca="false">R94+R95</f>
        <v>17132.5095846624</v>
      </c>
      <c r="S105" s="69" t="n">
        <f aca="false">S94+S95</f>
        <v>19153.4966761075</v>
      </c>
      <c r="T105" s="69" t="n">
        <f aca="false">T94+T95</f>
        <v>21100.7276172281</v>
      </c>
      <c r="U105" s="69" t="n">
        <f aca="false">U94+U95</f>
        <v>22977.1526540373</v>
      </c>
      <c r="V105" s="69" t="n">
        <f aca="false">V94+V95</f>
        <v>24785.6040227074</v>
      </c>
      <c r="W105" s="69" t="n">
        <f aca="false">W94+W95</f>
        <v>26528.800669964</v>
      </c>
      <c r="X105" s="69" t="n">
        <f aca="false">X94+X95</f>
        <v>28209.3527846637</v>
      </c>
      <c r="Y105" s="69" t="n">
        <f aca="false">Y94+Y95</f>
        <v>29829.7661481088</v>
      </c>
      <c r="Z105" s="69" t="n">
        <f aca="false">Z94+Z95</f>
        <v>14251.5902982079</v>
      </c>
      <c r="AA105" s="69" t="n">
        <f aca="false">AA94+AA95</f>
        <v>-19557.867338102</v>
      </c>
      <c r="AB105" s="69" t="n">
        <f aca="false">AB94+AB95</f>
        <v>21701.1998376266</v>
      </c>
      <c r="AC105" s="69" t="n">
        <f aca="false">AC94+AC95</f>
        <v>40922.0265315874</v>
      </c>
      <c r="AD105" s="69" t="n">
        <f aca="false">AD94+AD95</f>
        <v>41643.6132582186</v>
      </c>
      <c r="AE105" s="69" t="n">
        <f aca="false">AE94+AE95</f>
        <v>43118.4664460268</v>
      </c>
      <c r="AF105" s="69" t="n">
        <f aca="false">AF94+AF95</f>
        <v>44541.408839656</v>
      </c>
      <c r="AG105" s="69" t="n">
        <f aca="false">AG94+AG95</f>
        <v>45914.5168708734</v>
      </c>
      <c r="AH105" s="69" t="n">
        <f aca="false">AH94+AH95</f>
        <v>47239.7839141754</v>
      </c>
      <c r="AI105" s="69" t="n">
        <f aca="false">AI94+AI95</f>
        <v>48519.1236090787</v>
      </c>
      <c r="AJ105" s="69" t="n">
        <f aca="false">AJ94+AJ95</f>
        <v>49754.3730495191</v>
      </c>
      <c r="AK105" s="69" t="n">
        <f aca="false">AK94+AK95</f>
        <v>50947.2958456753</v>
      </c>
      <c r="AL105" s="69" t="n">
        <f aca="false">AL94+AL95</f>
        <v>34406.535226456</v>
      </c>
    </row>
    <row r="106" customFormat="false" ht="15" hidden="false" customHeight="false" outlineLevel="0" collapsed="false">
      <c r="A106" s="6" t="s">
        <v>440</v>
      </c>
      <c r="C106" s="69" t="n">
        <f aca="false">C105</f>
        <v>-4174096.96845601</v>
      </c>
      <c r="D106" s="69" t="n">
        <f aca="false">C106+D105</f>
        <v>-4242445.52689407</v>
      </c>
      <c r="E106" s="69" t="n">
        <f aca="false">D106+E105</f>
        <v>-4295221.96561611</v>
      </c>
      <c r="F106" s="69" t="n">
        <f aca="false">E106+F105</f>
        <v>-4340920.84842425</v>
      </c>
      <c r="G106" s="69" t="n">
        <f aca="false">F106+G105</f>
        <v>-4379318.01461163</v>
      </c>
      <c r="H106" s="69" t="n">
        <f aca="false">G106+H105</f>
        <v>-4410290.98350548</v>
      </c>
      <c r="I106" s="69" t="n">
        <f aca="false">H106+I105</f>
        <v>-4433722.17365998</v>
      </c>
      <c r="J106" s="69" t="n">
        <f aca="false">I106+J105</f>
        <v>-4449498.70688712</v>
      </c>
      <c r="K106" s="69" t="n">
        <f aca="false">J106+K105</f>
        <v>-4457512.22012641</v>
      </c>
      <c r="L106" s="69" t="n">
        <f aca="false">K106+L105</f>
        <v>-4457658.6848398</v>
      </c>
      <c r="M106" s="69" t="n">
        <f aca="false">L106+M105</f>
        <v>-4455454.66517543</v>
      </c>
      <c r="N106" s="69" t="n">
        <f aca="false">M106+N105</f>
        <v>-4467780.63594592</v>
      </c>
      <c r="O106" s="69" t="n">
        <f aca="false">N106+O105</f>
        <v>-4513647.84391462</v>
      </c>
      <c r="P106" s="69" t="n">
        <f aca="false">O106+P105</f>
        <v>-4517572.46075446</v>
      </c>
      <c r="Q106" s="69" t="n">
        <f aca="false">P106+Q105</f>
        <v>-4502095.16171248</v>
      </c>
      <c r="R106" s="69" t="n">
        <f aca="false">Q106+R105</f>
        <v>-4484962.65212781</v>
      </c>
      <c r="S106" s="69" t="n">
        <f aca="false">R106+S105</f>
        <v>-4465809.15545171</v>
      </c>
      <c r="T106" s="69" t="n">
        <f aca="false">S106+T105</f>
        <v>-4444708.42783448</v>
      </c>
      <c r="U106" s="69" t="n">
        <f aca="false">T106+U105</f>
        <v>-4421731.27518044</v>
      </c>
      <c r="V106" s="69" t="n">
        <f aca="false">U106+V105</f>
        <v>-4396945.67115773</v>
      </c>
      <c r="W106" s="69" t="n">
        <f aca="false">V106+W105</f>
        <v>-4370416.87048777</v>
      </c>
      <c r="X106" s="69" t="n">
        <f aca="false">W106+X105</f>
        <v>-4342207.51770311</v>
      </c>
      <c r="Y106" s="69" t="n">
        <f aca="false">X106+Y105</f>
        <v>-4312377.751555</v>
      </c>
      <c r="Z106" s="69" t="n">
        <f aca="false">Y106+Z105</f>
        <v>-4298126.16125679</v>
      </c>
      <c r="AA106" s="69" t="n">
        <f aca="false">Z106+AA105</f>
        <v>-4317684.02859489</v>
      </c>
      <c r="AB106" s="69" t="n">
        <f aca="false">AA106+AB105</f>
        <v>-4295982.82875726</v>
      </c>
      <c r="AC106" s="69" t="n">
        <f aca="false">AB106+AC105</f>
        <v>-4255060.80222568</v>
      </c>
      <c r="AD106" s="69" t="n">
        <f aca="false">AC106+AD105</f>
        <v>-4213417.18896746</v>
      </c>
      <c r="AE106" s="69" t="n">
        <f aca="false">AD106+AE105</f>
        <v>-4170298.72252143</v>
      </c>
      <c r="AF106" s="69" t="n">
        <f aca="false">AE106+AF105</f>
        <v>-4125757.31368178</v>
      </c>
      <c r="AG106" s="69" t="n">
        <f aca="false">AF106+AG105</f>
        <v>-4079842.7968109</v>
      </c>
      <c r="AH106" s="69" t="n">
        <f aca="false">AG106+AH105</f>
        <v>-4032603.01289673</v>
      </c>
      <c r="AI106" s="69" t="n">
        <f aca="false">AH106+AI105</f>
        <v>-3984083.88928765</v>
      </c>
      <c r="AJ106" s="69" t="n">
        <f aca="false">AI106+AJ105</f>
        <v>-3934329.51623813</v>
      </c>
      <c r="AK106" s="69" t="n">
        <f aca="false">AJ106+AK105</f>
        <v>-3883382.22039245</v>
      </c>
      <c r="AL106" s="69" t="n">
        <f aca="false">AK106+AL105</f>
        <v>-3848975.685166</v>
      </c>
    </row>
    <row r="107" customFormat="false" ht="15" hidden="false" customHeight="false" outlineLevel="0" collapsed="false">
      <c r="A107" s="116" t="s">
        <v>441</v>
      </c>
      <c r="C107" s="69" t="n">
        <f aca="false">C106</f>
        <v>-4174096.96845601</v>
      </c>
      <c r="D107" s="69" t="n">
        <f aca="false">MIN(C107,D106)</f>
        <v>-4242445.52689407</v>
      </c>
      <c r="E107" s="69" t="n">
        <f aca="false">MIN(D107,E106)</f>
        <v>-4295221.96561611</v>
      </c>
      <c r="F107" s="69" t="n">
        <f aca="false">MIN(E107,F106)</f>
        <v>-4340920.84842425</v>
      </c>
      <c r="G107" s="69" t="n">
        <f aca="false">MIN(F107,G106)</f>
        <v>-4379318.01461163</v>
      </c>
      <c r="H107" s="69" t="n">
        <f aca="false">MIN(G107,H106)</f>
        <v>-4410290.98350548</v>
      </c>
      <c r="I107" s="69" t="n">
        <f aca="false">MIN(H107,I106)</f>
        <v>-4433722.17365998</v>
      </c>
      <c r="J107" s="69" t="n">
        <f aca="false">MIN(I107,J106)</f>
        <v>-4449498.70688712</v>
      </c>
      <c r="K107" s="69" t="n">
        <f aca="false">MIN(J107,K106)</f>
        <v>-4457512.22012641</v>
      </c>
      <c r="L107" s="69" t="n">
        <f aca="false">MIN(K107,L106)</f>
        <v>-4457658.6848398</v>
      </c>
      <c r="M107" s="69" t="n">
        <f aca="false">MIN(L107,M106)</f>
        <v>-4457658.6848398</v>
      </c>
      <c r="N107" s="69" t="n">
        <f aca="false">MIN(M107,N106)</f>
        <v>-4467780.63594592</v>
      </c>
      <c r="O107" s="69" t="n">
        <f aca="false">MIN(N107,O106)</f>
        <v>-4513647.84391462</v>
      </c>
      <c r="P107" s="69" t="n">
        <f aca="false">MIN(O107,P106)</f>
        <v>-4517572.46075446</v>
      </c>
      <c r="Q107" s="69" t="n">
        <f aca="false">MIN(P107,Q106)</f>
        <v>-4517572.46075446</v>
      </c>
      <c r="R107" s="69" t="n">
        <f aca="false">MIN(Q107,R106)</f>
        <v>-4517572.46075446</v>
      </c>
      <c r="S107" s="69" t="n">
        <f aca="false">MIN(R107,S106)</f>
        <v>-4517572.46075446</v>
      </c>
      <c r="T107" s="69" t="n">
        <f aca="false">MIN(S107,T106)</f>
        <v>-4517572.46075446</v>
      </c>
      <c r="U107" s="69" t="n">
        <f aca="false">MIN(T107,U106)</f>
        <v>-4517572.46075446</v>
      </c>
      <c r="V107" s="69" t="n">
        <f aca="false">MIN(U107,V106)</f>
        <v>-4517572.46075446</v>
      </c>
      <c r="W107" s="69" t="n">
        <f aca="false">MIN(V107,W106)</f>
        <v>-4517572.46075446</v>
      </c>
      <c r="X107" s="69" t="n">
        <f aca="false">MIN(W107,X106)</f>
        <v>-4517572.46075446</v>
      </c>
      <c r="Y107" s="69" t="n">
        <f aca="false">MIN(X107,Y106)</f>
        <v>-4517572.46075446</v>
      </c>
      <c r="Z107" s="69" t="n">
        <f aca="false">MIN(Y107,Z106)</f>
        <v>-4517572.46075446</v>
      </c>
      <c r="AA107" s="69" t="n">
        <f aca="false">MIN(Z107,AA106)</f>
        <v>-4517572.46075446</v>
      </c>
      <c r="AB107" s="69" t="n">
        <f aca="false">MIN(AA107,AB106)</f>
        <v>-4517572.46075446</v>
      </c>
      <c r="AC107" s="69" t="n">
        <f aca="false">MIN(AB107,AC106)</f>
        <v>-4517572.46075446</v>
      </c>
      <c r="AD107" s="69" t="n">
        <f aca="false">MIN(AC107,AD106)</f>
        <v>-4517572.46075446</v>
      </c>
      <c r="AE107" s="69" t="n">
        <f aca="false">MIN(AD107,AE106)</f>
        <v>-4517572.46075446</v>
      </c>
      <c r="AF107" s="69" t="n">
        <f aca="false">MIN(AE107,AF106)</f>
        <v>-4517572.46075446</v>
      </c>
      <c r="AG107" s="69" t="n">
        <f aca="false">MIN(AF107,AG106)</f>
        <v>-4517572.46075446</v>
      </c>
      <c r="AH107" s="69" t="n">
        <f aca="false">MIN(AG107,AH106)</f>
        <v>-4517572.46075446</v>
      </c>
      <c r="AI107" s="69" t="n">
        <f aca="false">MIN(AH107,AI106)</f>
        <v>-4517572.46075446</v>
      </c>
      <c r="AJ107" s="69" t="n">
        <f aca="false">MIN(AI107,AJ106)</f>
        <v>-4517572.46075446</v>
      </c>
      <c r="AK107" s="69" t="n">
        <f aca="false">MIN(AJ107,AK106)</f>
        <v>-4517572.46075446</v>
      </c>
      <c r="AL107" s="69" t="n">
        <f aca="false">MIN(AK107,AL106)</f>
        <v>-4517572.46075446</v>
      </c>
    </row>
    <row r="108" customFormat="false" ht="15" hidden="false" customHeight="false" outlineLevel="0" collapsed="false">
      <c r="A108" s="116" t="s">
        <v>442</v>
      </c>
      <c r="C108" s="118" t="n">
        <f aca="false">IF(AND(C106&gt;=0,C107&lt;0),1,0)</f>
        <v>0</v>
      </c>
      <c r="D108" s="118" t="n">
        <f aca="false">IF(AND(D106&gt;=0,D107&lt;0),1,0)</f>
        <v>0</v>
      </c>
      <c r="E108" s="118" t="n">
        <f aca="false">IF(AND(E106&gt;=0,E107&lt;0),1,0)</f>
        <v>0</v>
      </c>
      <c r="F108" s="118" t="n">
        <f aca="false">IF(AND(F106&gt;=0,F107&lt;0),1,0)</f>
        <v>0</v>
      </c>
      <c r="G108" s="118" t="n">
        <f aca="false">IF(AND(G106&gt;=0,G107&lt;0),1,0)</f>
        <v>0</v>
      </c>
      <c r="H108" s="118" t="n">
        <f aca="false">IF(AND(H106&gt;=0,H107&lt;0),1,0)</f>
        <v>0</v>
      </c>
      <c r="I108" s="118" t="n">
        <f aca="false">IF(AND(I106&gt;=0,I107&lt;0),1,0)</f>
        <v>0</v>
      </c>
      <c r="J108" s="118" t="n">
        <f aca="false">IF(AND(J106&gt;=0,J107&lt;0),1,0)</f>
        <v>0</v>
      </c>
      <c r="K108" s="118" t="n">
        <f aca="false">IF(AND(K106&gt;=0,K107&lt;0),1,0)</f>
        <v>0</v>
      </c>
      <c r="L108" s="118" t="n">
        <f aca="false">IF(AND(L106&gt;=0,L107&lt;0),1,0)</f>
        <v>0</v>
      </c>
      <c r="M108" s="118" t="n">
        <f aca="false">IF(AND(M106&gt;=0,M107&lt;0),1,0)</f>
        <v>0</v>
      </c>
      <c r="N108" s="118" t="n">
        <f aca="false">IF(AND(N106&gt;=0,N107&lt;0),1,0)</f>
        <v>0</v>
      </c>
      <c r="O108" s="118" t="n">
        <f aca="false">IF(AND(O106&gt;=0,O107&lt;0),1,0)</f>
        <v>0</v>
      </c>
      <c r="P108" s="118" t="n">
        <f aca="false">IF(AND(P106&gt;=0,P107&lt;0),1,0)</f>
        <v>0</v>
      </c>
      <c r="Q108" s="118" t="n">
        <f aca="false">IF(AND(Q106&gt;=0,Q107&lt;0),1,0)</f>
        <v>0</v>
      </c>
      <c r="R108" s="118" t="n">
        <f aca="false">IF(AND(R106&gt;=0,R107&lt;0),1,0)</f>
        <v>0</v>
      </c>
      <c r="S108" s="118" t="n">
        <f aca="false">IF(AND(S106&gt;=0,S107&lt;0),1,0)</f>
        <v>0</v>
      </c>
      <c r="T108" s="118" t="n">
        <f aca="false">IF(AND(T106&gt;=0,T107&lt;0),1,0)</f>
        <v>0</v>
      </c>
      <c r="U108" s="118" t="n">
        <f aca="false">IF(AND(U106&gt;=0,U107&lt;0),1,0)</f>
        <v>0</v>
      </c>
      <c r="V108" s="118" t="n">
        <f aca="false">IF(AND(V106&gt;=0,V107&lt;0),1,0)</f>
        <v>0</v>
      </c>
      <c r="W108" s="118" t="n">
        <f aca="false">IF(AND(W106&gt;=0,W107&lt;0),1,0)</f>
        <v>0</v>
      </c>
      <c r="X108" s="118" t="n">
        <f aca="false">IF(AND(X106&gt;=0,X107&lt;0),1,0)</f>
        <v>0</v>
      </c>
      <c r="Y108" s="118" t="n">
        <f aca="false">IF(AND(Y106&gt;=0,Y107&lt;0),1,0)</f>
        <v>0</v>
      </c>
      <c r="Z108" s="118" t="n">
        <f aca="false">IF(AND(Z106&gt;=0,Z107&lt;0),1,0)</f>
        <v>0</v>
      </c>
      <c r="AA108" s="118" t="n">
        <f aca="false">IF(AND(AA106&gt;=0,AA107&lt;0),1,0)</f>
        <v>0</v>
      </c>
      <c r="AB108" s="118" t="n">
        <f aca="false">IF(AND(AB106&gt;=0,AB107&lt;0),1,0)</f>
        <v>0</v>
      </c>
      <c r="AC108" s="118" t="n">
        <f aca="false">IF(AND(AC106&gt;=0,AC107&lt;0),1,0)</f>
        <v>0</v>
      </c>
      <c r="AD108" s="118" t="n">
        <f aca="false">IF(AND(AD106&gt;=0,AD107&lt;0),1,0)</f>
        <v>0</v>
      </c>
      <c r="AE108" s="118" t="n">
        <f aca="false">IF(AND(AE106&gt;=0,AE107&lt;0),1,0)</f>
        <v>0</v>
      </c>
      <c r="AF108" s="118" t="n">
        <f aca="false">IF(AND(AF106&gt;=0,AF107&lt;0),1,0)</f>
        <v>0</v>
      </c>
      <c r="AG108" s="118" t="n">
        <f aca="false">IF(AND(AG106&gt;=0,AG107&lt;0),1,0)</f>
        <v>0</v>
      </c>
      <c r="AH108" s="118" t="n">
        <f aca="false">IF(AND(AH106&gt;=0,AH107&lt;0),1,0)</f>
        <v>0</v>
      </c>
      <c r="AI108" s="118" t="n">
        <f aca="false">IF(AND(AI106&gt;=0,AI107&lt;0),1,0)</f>
        <v>0</v>
      </c>
      <c r="AJ108" s="118" t="n">
        <f aca="false">IF(AND(AJ106&gt;=0,AJ107&lt;0),1,0)</f>
        <v>0</v>
      </c>
      <c r="AK108" s="118" t="n">
        <f aca="false">IF(AND(AK106&gt;=0,AK107&lt;0),1,0)</f>
        <v>0</v>
      </c>
      <c r="AL108" s="118" t="n">
        <f aca="false">IF(AND(AL106&gt;=0,AL107&lt;0),1,0)</f>
        <v>0</v>
      </c>
    </row>
    <row r="109" customFormat="false" ht="15" hidden="false" customHeight="false" outlineLevel="0" collapsed="false">
      <c r="A109" s="6" t="s">
        <v>443</v>
      </c>
      <c r="C109" s="69" t="n">
        <f aca="false">C94-C59*(1-Inputs!$E$81)+C95</f>
        <v>-4157309.46845601</v>
      </c>
      <c r="D109" s="69" t="n">
        <f aca="false">D94-D59*(1-Inputs!$E$81)+D95</f>
        <v>-51631.0063547304</v>
      </c>
      <c r="E109" s="69" t="n">
        <f aca="false">E94-E59*(1-Inputs!$E$81)+E95</f>
        <v>-36198.7824720337</v>
      </c>
      <c r="F109" s="69" t="n">
        <f aca="false">F94-F59*(1-Inputs!$E$81)+F95</f>
        <v>-29261.122391478</v>
      </c>
      <c r="G109" s="69" t="n">
        <f aca="false">G94-G59*(1-Inputs!$E$81)+G95</f>
        <v>-22099.3016040396</v>
      </c>
      <c r="H109" s="69" t="n">
        <f aca="false">H94-H59*(1-Inputs!$E$81)+H95</f>
        <v>-14815.0001438543</v>
      </c>
      <c r="I109" s="69" t="n">
        <f aca="false">I94-I59*(1-Inputs!$E$81)+I95</f>
        <v>-7413.11723783197</v>
      </c>
      <c r="J109" s="69" t="n">
        <f aca="false">J94-J59*(1-Inputs!$E$81)+J95</f>
        <v>101.64385619391</v>
      </c>
      <c r="K109" s="69" t="n">
        <f aca="false">K94-K59*(1-Inputs!$E$81)+K95</f>
        <v>7724.7680107032</v>
      </c>
      <c r="L109" s="69" t="n">
        <f aca="false">L94-L59*(1-Inputs!$E$81)+L95</f>
        <v>15451.9207032766</v>
      </c>
      <c r="M109" s="69" t="n">
        <f aca="false">M94-M59*(1-Inputs!$E$81)+M95</f>
        <v>17662.5092477073</v>
      </c>
      <c r="N109" s="69" t="n">
        <f aca="false">N94-N59*(1-Inputs!$E$81)+N95</f>
        <v>2992.6229795106</v>
      </c>
      <c r="O109" s="69" t="n">
        <f aca="false">O94-O59*(1-Inputs!$E$81)+O95</f>
        <v>-30688.5100520323</v>
      </c>
      <c r="P109" s="69" t="n">
        <f aca="false">P94-P59*(1-Inputs!$E$81)+P95</f>
        <v>11114.1852434964</v>
      </c>
      <c r="Q109" s="69" t="n">
        <f aca="false">Q94-Q59*(1-Inputs!$E$81)+Q95</f>
        <v>30376.2052919792</v>
      </c>
      <c r="R109" s="69" t="n">
        <f aca="false">R94-R59*(1-Inputs!$E$81)+R95</f>
        <v>31891.5200013291</v>
      </c>
      <c r="S109" s="69" t="n">
        <f aca="false">S94-S59*(1-Inputs!$E$81)+S95</f>
        <v>33772.6112594408</v>
      </c>
      <c r="T109" s="69" t="n">
        <f aca="false">T94-T59*(1-Inputs!$E$81)+T95</f>
        <v>35579.9463672281</v>
      </c>
      <c r="U109" s="69" t="n">
        <f aca="false">U94-U59*(1-Inputs!$E$81)+U95</f>
        <v>37316.475570704</v>
      </c>
      <c r="V109" s="69" t="n">
        <f aca="false">V94-V59*(1-Inputs!$E$81)+V95</f>
        <v>38985.0311060407</v>
      </c>
      <c r="W109" s="69" t="n">
        <f aca="false">W94-W59*(1-Inputs!$E$81)+W95</f>
        <v>40588.331919964</v>
      </c>
      <c r="X109" s="69" t="n">
        <f aca="false">X94-X59*(1-Inputs!$E$81)+X95</f>
        <v>42128.9882013304</v>
      </c>
      <c r="Y109" s="69" t="n">
        <f aca="false">Y94-Y59*(1-Inputs!$E$81)+Y95</f>
        <v>43609.5057314421</v>
      </c>
      <c r="Z109" s="69" t="n">
        <f aca="false">Z94-Z59*(1-Inputs!$E$81)+Z95</f>
        <v>27891.4340482079</v>
      </c>
      <c r="AA109" s="69" t="n">
        <f aca="false">AA94-AA59*(1-Inputs!$E$81)+AA95</f>
        <v>-6057.91942143532</v>
      </c>
      <c r="AB109" s="69" t="n">
        <f aca="false">AB94-AB59*(1-Inputs!$E$81)+AB95</f>
        <v>35061.2519209599</v>
      </c>
      <c r="AC109" s="69" t="n">
        <f aca="false">AC94-AC59*(1-Inputs!$E$81)+AC95</f>
        <v>54142.1827815874</v>
      </c>
      <c r="AD109" s="69" t="n">
        <f aca="false">AD94-AD59*(1-Inputs!$E$81)+AD95</f>
        <v>54723.8736748853</v>
      </c>
      <c r="AE109" s="69" t="n">
        <f aca="false">AE94-AE59*(1-Inputs!$E$81)+AE95</f>
        <v>56058.8310293601</v>
      </c>
      <c r="AF109" s="69" t="n">
        <f aca="false">AF94-AF59*(1-Inputs!$E$81)+AF95</f>
        <v>57341.877589656</v>
      </c>
      <c r="AG109" s="69" t="n">
        <f aca="false">AG94-AG59*(1-Inputs!$E$81)+AG95</f>
        <v>58575.08978754</v>
      </c>
      <c r="AH109" s="69" t="n">
        <f aca="false">AH94-AH59*(1-Inputs!$E$81)+AH95</f>
        <v>59760.4609975087</v>
      </c>
      <c r="AI109" s="69" t="n">
        <f aca="false">AI94-AI59*(1-Inputs!$E$81)+AI95</f>
        <v>60899.9048590787</v>
      </c>
      <c r="AJ109" s="69" t="n">
        <f aca="false">AJ94-AJ59*(1-Inputs!$E$81)+AJ95</f>
        <v>61995.2584661858</v>
      </c>
      <c r="AK109" s="69" t="n">
        <f aca="false">AK94-AK59*(1-Inputs!$E$81)+AK95</f>
        <v>63048.2854290086</v>
      </c>
      <c r="AL109" s="69" t="n">
        <f aca="false">AL94-AL59*(1-Inputs!$E$81)+AL95</f>
        <v>46367.628976456</v>
      </c>
    </row>
    <row r="111" customFormat="false" ht="15.75" hidden="false" customHeight="true" outlineLevel="0" collapsed="false">
      <c r="A111" s="7" t="s">
        <v>444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customFormat="false" ht="15" hidden="false" customHeight="false" outlineLevel="0" collapsed="false">
      <c r="A112" s="6" t="s">
        <v>97</v>
      </c>
      <c r="C112" s="69" t="n">
        <f aca="false">C96</f>
        <v>2100000</v>
      </c>
      <c r="D112" s="69" t="n">
        <f aca="false">C112+D96</f>
        <v>2100000</v>
      </c>
      <c r="E112" s="69" t="n">
        <f aca="false">D112+E96</f>
        <v>2100000</v>
      </c>
      <c r="F112" s="69" t="n">
        <f aca="false">E112+F96</f>
        <v>2100000</v>
      </c>
      <c r="G112" s="69" t="n">
        <f aca="false">F112+G96</f>
        <v>2100000</v>
      </c>
      <c r="H112" s="69" t="n">
        <f aca="false">G112+H96</f>
        <v>2100000</v>
      </c>
      <c r="I112" s="69" t="n">
        <f aca="false">H112+I96</f>
        <v>2100000</v>
      </c>
      <c r="J112" s="69" t="n">
        <f aca="false">I112+J96</f>
        <v>2100000</v>
      </c>
      <c r="K112" s="69" t="n">
        <f aca="false">J112+K96</f>
        <v>2100000</v>
      </c>
      <c r="L112" s="69" t="n">
        <f aca="false">K112+L96</f>
        <v>2100000</v>
      </c>
      <c r="M112" s="69" t="n">
        <f aca="false">L112+M96</f>
        <v>2100000</v>
      </c>
      <c r="N112" s="69" t="n">
        <f aca="false">M112+N96</f>
        <v>2100000</v>
      </c>
      <c r="O112" s="69" t="n">
        <f aca="false">N112+O96</f>
        <v>2100000</v>
      </c>
      <c r="P112" s="69" t="n">
        <f aca="false">O112+P96</f>
        <v>2100000</v>
      </c>
      <c r="Q112" s="69" t="n">
        <f aca="false">P112+Q96</f>
        <v>2100000</v>
      </c>
      <c r="R112" s="69" t="n">
        <f aca="false">Q112+R96</f>
        <v>2100000</v>
      </c>
      <c r="S112" s="69" t="n">
        <f aca="false">R112+S96</f>
        <v>2100000</v>
      </c>
      <c r="T112" s="69" t="n">
        <f aca="false">S112+T96</f>
        <v>2100000</v>
      </c>
      <c r="U112" s="69" t="n">
        <f aca="false">T112+U96</f>
        <v>2100000</v>
      </c>
      <c r="V112" s="69" t="n">
        <f aca="false">U112+V96</f>
        <v>2100000</v>
      </c>
      <c r="W112" s="69" t="n">
        <f aca="false">V112+W96</f>
        <v>2100000</v>
      </c>
      <c r="X112" s="69" t="n">
        <f aca="false">W112+X96</f>
        <v>2100000</v>
      </c>
      <c r="Y112" s="69" t="n">
        <f aca="false">X112+Y96</f>
        <v>2100000</v>
      </c>
      <c r="Z112" s="69" t="n">
        <f aca="false">Y112+Z96</f>
        <v>2100000</v>
      </c>
      <c r="AA112" s="69" t="n">
        <f aca="false">Z112+AA96</f>
        <v>2100000</v>
      </c>
      <c r="AB112" s="69" t="n">
        <f aca="false">AA112+AB96</f>
        <v>2100000</v>
      </c>
      <c r="AC112" s="69" t="n">
        <f aca="false">AB112+AC96</f>
        <v>2100000</v>
      </c>
      <c r="AD112" s="69" t="n">
        <f aca="false">AC112+AD96</f>
        <v>2100000</v>
      </c>
      <c r="AE112" s="69" t="n">
        <f aca="false">AD112+AE96</f>
        <v>2100000</v>
      </c>
      <c r="AF112" s="69" t="n">
        <f aca="false">AE112+AF96</f>
        <v>2100000</v>
      </c>
      <c r="AG112" s="69" t="n">
        <f aca="false">AF112+AG96</f>
        <v>2100000</v>
      </c>
      <c r="AH112" s="69" t="n">
        <f aca="false">AG112+AH96</f>
        <v>2100000</v>
      </c>
      <c r="AI112" s="69" t="n">
        <f aca="false">AH112+AI96</f>
        <v>2100000</v>
      </c>
      <c r="AJ112" s="69" t="n">
        <f aca="false">AI112+AJ96</f>
        <v>2100000</v>
      </c>
      <c r="AK112" s="69" t="n">
        <f aca="false">AJ112+AK96</f>
        <v>2100000</v>
      </c>
      <c r="AL112" s="69" t="n">
        <f aca="false">AK112+AL96</f>
        <v>2100000</v>
      </c>
    </row>
    <row r="113" customFormat="false" ht="15" hidden="false" customHeight="false" outlineLevel="0" collapsed="false">
      <c r="A113" s="6" t="s">
        <v>98</v>
      </c>
      <c r="C113" s="69" t="n">
        <f aca="false">C64</f>
        <v>-102437.476634789</v>
      </c>
      <c r="D113" s="69" t="n">
        <f aca="false">C113+D64</f>
        <v>-199240.336761108</v>
      </c>
      <c r="E113" s="69" t="n">
        <f aca="false">D113+E64</f>
        <v>-280587.034107493</v>
      </c>
      <c r="F113" s="69" t="n">
        <f aca="false">E113+F64</f>
        <v>-354763.012705834</v>
      </c>
      <c r="G113" s="69" t="n">
        <f aca="false">F113+G64</f>
        <v>-421640.551968474</v>
      </c>
      <c r="H113" s="69" t="n">
        <f aca="false">G113+H64</f>
        <v>-481097.040131265</v>
      </c>
      <c r="I113" s="69" t="n">
        <f aca="false">H113+I64</f>
        <v>-533014.769900621</v>
      </c>
      <c r="J113" s="69" t="n">
        <f aca="false">I113+J64</f>
        <v>-577280.742274703</v>
      </c>
      <c r="K113" s="69" t="n">
        <f aca="false">J113+K64</f>
        <v>-613786.478211745</v>
      </c>
      <c r="L113" s="69" t="n">
        <f aca="false">K113+L64</f>
        <v>-642427.837831648</v>
      </c>
      <c r="M113" s="69" t="n">
        <f aca="false">L113+M64</f>
        <v>-668750.981431645</v>
      </c>
      <c r="N113" s="69" t="n">
        <f aca="false">M113+N64</f>
        <v>-709232.332270295</v>
      </c>
      <c r="O113" s="69" t="n">
        <f aca="false">N113+O64</f>
        <v>-743910.376362621</v>
      </c>
      <c r="P113" s="69" t="n">
        <f aca="false">O113+P64</f>
        <v>-776600.179668578</v>
      </c>
      <c r="Q113" s="69" t="n">
        <f aca="false">P113+Q64</f>
        <v>-790368.817841676</v>
      </c>
      <c r="R113" s="69" t="n">
        <f aca="false">Q113+R64</f>
        <v>-802037.506346352</v>
      </c>
      <c r="S113" s="69" t="n">
        <f aca="false">R113+S64</f>
        <v>-811683.159836009</v>
      </c>
      <c r="T113" s="69" t="n">
        <f aca="false">S113+T64</f>
        <v>-819379.616377916</v>
      </c>
      <c r="U113" s="69" t="n">
        <f aca="false">T113+U64</f>
        <v>-825197.760516647</v>
      </c>
      <c r="V113" s="69" t="n">
        <f aca="false">U113+V64</f>
        <v>-829205.641414998</v>
      </c>
      <c r="W113" s="69" t="n">
        <f aca="false">V113+W64</f>
        <v>-831468.586269249</v>
      </c>
      <c r="X113" s="69" t="n">
        <f aca="false">W113+X64</f>
        <v>-832049.309187833</v>
      </c>
      <c r="Y113" s="69" t="n">
        <f aca="false">X113+Y64</f>
        <v>-831008.015714841</v>
      </c>
      <c r="Z113" s="69" t="n">
        <f aca="false">Y113+Z64</f>
        <v>-844797.509981795</v>
      </c>
      <c r="AA113" s="69" t="n">
        <f aca="false">Z113+AA64</f>
        <v>-853462.45560412</v>
      </c>
      <c r="AB113" s="69" t="n">
        <f aca="false">AA113+AB64</f>
        <v>-860799.5242457</v>
      </c>
      <c r="AC113" s="69" t="n">
        <f aca="false">AB113+AC64</f>
        <v>-849751.533920789</v>
      </c>
      <c r="AD113" s="69" t="n">
        <f aca="false">AC113+AD64</f>
        <v>-837173.059935182</v>
      </c>
      <c r="AE113" s="69" t="n">
        <f aca="false">AD113+AE64</f>
        <v>-823118.238301974</v>
      </c>
      <c r="AF113" s="69" t="n">
        <f aca="false">AE113+AF64</f>
        <v>-807639.039593734</v>
      </c>
      <c r="AG113" s="69" t="n">
        <f aca="false">AF113+AG64</f>
        <v>-790785.355560132</v>
      </c>
      <c r="AH113" s="69" t="n">
        <f aca="false">AG113+AH64</f>
        <v>-772605.082280848</v>
      </c>
      <c r="AI113" s="69" t="n">
        <f aca="false">AH113+AI64</f>
        <v>-753144.199992375</v>
      </c>
      <c r="AJ113" s="69" t="n">
        <f aca="false">AI113+AJ64</f>
        <v>-732446.84972175</v>
      </c>
      <c r="AK113" s="69" t="n">
        <f aca="false">AJ113+AK64</f>
        <v>-710555.406854923</v>
      </c>
      <c r="AL113" s="69" t="n">
        <f aca="false">AK113+AL64</f>
        <v>-704179.027993512</v>
      </c>
    </row>
    <row r="114" customFormat="false" ht="15" hidden="false" customHeight="false" outlineLevel="0" collapsed="false">
      <c r="A114" s="4" t="s">
        <v>93</v>
      </c>
      <c r="C114" s="75" t="n">
        <f aca="false">C100+C86+C87+C77</f>
        <v>5002277.15386248</v>
      </c>
      <c r="D114" s="75" t="n">
        <f aca="false">D100+D86+D87+D77</f>
        <v>4881113.96244311</v>
      </c>
      <c r="E114" s="75" t="n">
        <f aca="false">E100+E86+E87+E77</f>
        <v>4776797.52273048</v>
      </c>
      <c r="F114" s="75" t="n">
        <f aca="false">F100+F86+F87+F77</f>
        <v>4678478.11854842</v>
      </c>
      <c r="G114" s="75" t="n">
        <f aca="false">G100+G86+G87+G77</f>
        <v>4587478.59368555</v>
      </c>
      <c r="H114" s="75" t="n">
        <f aca="false">H100+H86+H87+H77</f>
        <v>4503920.70230666</v>
      </c>
      <c r="I114" s="75" t="n">
        <f aca="false">I100+I86+I87+I77</f>
        <v>4427921.32840999</v>
      </c>
      <c r="J114" s="75" t="n">
        <f aca="false">J100+J86+J87+J77</f>
        <v>4359592.68063381</v>
      </c>
      <c r="K114" s="75" t="n">
        <f aca="false">K100+K86+K87+K77</f>
        <v>4299042.4792709</v>
      </c>
      <c r="L114" s="75" t="n">
        <f aca="false">L100+L86+L87+L77</f>
        <v>4246374.13580229</v>
      </c>
      <c r="M114" s="75" t="n">
        <f aca="false">M100+M86+M87+M77</f>
        <v>4195410.41624094</v>
      </c>
      <c r="N114" s="75" t="n">
        <f aca="false">N100+N86+N87+N77</f>
        <v>4127615.37778011</v>
      </c>
      <c r="O114" s="75" t="n">
        <f aca="false">O100+O86+O87+O77</f>
        <v>4068769.3510266</v>
      </c>
      <c r="P114" s="75" t="n">
        <f aca="false">P100+P86+P87+P77</f>
        <v>4011326.69371395</v>
      </c>
      <c r="Q114" s="75" t="n">
        <f aca="false">Q100+Q86+Q87+Q77</f>
        <v>3975731.76948336</v>
      </c>
      <c r="R114" s="75" t="n">
        <f aca="false">R100+R86+R87+R77</f>
        <v>3939389.24312113</v>
      </c>
      <c r="S114" s="75" t="n">
        <f aca="false">S100+S86+S87+S77</f>
        <v>3905056.70528822</v>
      </c>
      <c r="T114" s="75" t="n">
        <f aca="false">T100+T86+T87+T77</f>
        <v>3872660.83977679</v>
      </c>
      <c r="U114" s="75" t="n">
        <f aca="false">U100+U86+U87+U77</f>
        <v>3842131.26302732</v>
      </c>
      <c r="V114" s="75" t="n">
        <f aca="false">V100+V86+V87+V77</f>
        <v>3813400.40682265</v>
      </c>
      <c r="W114" s="75" t="n">
        <f aca="false">W100+W86+W87+W77</f>
        <v>3786403.40567434</v>
      </c>
      <c r="X114" s="75" t="n">
        <f aca="false">X100+X86+X87+X77</f>
        <v>3761077.98871346</v>
      </c>
      <c r="Y114" s="75" t="n">
        <f aca="false">Y100+Y86+Y87+Y77</f>
        <v>3737364.37590584</v>
      </c>
      <c r="Z114" s="75" t="n">
        <f aca="false">Z100+Z86+Z87+Z77</f>
        <v>3695466.80859697</v>
      </c>
      <c r="AA114" s="75" t="n">
        <f aca="false">AA100+AA86+AA87+AA77</f>
        <v>3662652.2603911</v>
      </c>
      <c r="AB114" s="75" t="n">
        <f aca="false">AB100+AB86+AB87+AB77</f>
        <v>3630473.7558912</v>
      </c>
      <c r="AC114" s="75" t="n">
        <f aca="false">AC100+AC86+AC87+AC77</f>
        <v>3620267.42525449</v>
      </c>
      <c r="AD114" s="75" t="n">
        <f aca="false">AD100+AD86+AD87+AD77</f>
        <v>3608077.87775523</v>
      </c>
      <c r="AE114" s="75" t="n">
        <f aca="false">AE100+AE86+AE87+AE77</f>
        <v>3597355.39876297</v>
      </c>
      <c r="AF114" s="75" t="n">
        <f aca="false">AF100+AF86+AF87+AF77</f>
        <v>3588048.38887076</v>
      </c>
      <c r="AG114" s="75" t="n">
        <f aca="false">AG100+AG86+AG87+AG77</f>
        <v>3580107.31264793</v>
      </c>
      <c r="AH114" s="75" t="n">
        <f aca="false">AH100+AH86+AH87+AH77</f>
        <v>3573484.61608104</v>
      </c>
      <c r="AI114" s="75" t="n">
        <f aca="false">AI100+AI86+AI87+AI77</f>
        <v>3568134.64731718</v>
      </c>
      <c r="AJ114" s="75" t="n">
        <f aca="false">AJ100+AJ86+AJ87+AJ77</f>
        <v>3564013.58057757</v>
      </c>
      <c r="AK114" s="75" t="n">
        <f aca="false">AK100+AK86+AK87+AK77</f>
        <v>3561079.34311457</v>
      </c>
      <c r="AL114" s="75" t="n">
        <f aca="false">AL100+AL86+AL87+AL77</f>
        <v>3538739.78639662</v>
      </c>
    </row>
    <row r="115" customFormat="false" ht="15" hidden="false" customHeight="false" outlineLevel="0" collapsed="false">
      <c r="A115" s="6" t="s">
        <v>96</v>
      </c>
      <c r="C115" s="69" t="n">
        <f aca="false">C88+C83</f>
        <v>3004714.63049727</v>
      </c>
      <c r="D115" s="69" t="n">
        <f aca="false">D88+D83</f>
        <v>2980354.29920421</v>
      </c>
      <c r="E115" s="69" t="n">
        <f aca="false">E88+E83</f>
        <v>2957384.55683798</v>
      </c>
      <c r="F115" s="69" t="n">
        <f aca="false">F88+F83</f>
        <v>2933241.13125426</v>
      </c>
      <c r="G115" s="69" t="n">
        <f aca="false">G88+G83</f>
        <v>2909119.14565402</v>
      </c>
      <c r="H115" s="69" t="n">
        <f aca="false">H88+H83</f>
        <v>2885017.74243793</v>
      </c>
      <c r="I115" s="69" t="n">
        <f aca="false">I88+I83</f>
        <v>2860936.09831061</v>
      </c>
      <c r="J115" s="69" t="n">
        <f aca="false">J88+J83</f>
        <v>2836873.42290852</v>
      </c>
      <c r="K115" s="69" t="n">
        <f aca="false">K88+K83</f>
        <v>2812828.95748264</v>
      </c>
      <c r="L115" s="69" t="n">
        <f aca="false">L88+L83</f>
        <v>2788801.97363394</v>
      </c>
      <c r="M115" s="69" t="n">
        <f aca="false">M88+M83</f>
        <v>2764161.39767258</v>
      </c>
      <c r="N115" s="69" t="n">
        <f aca="false">N88+N83</f>
        <v>2736847.71005041</v>
      </c>
      <c r="O115" s="69" t="n">
        <f aca="false">O88+O83</f>
        <v>2712679.72738922</v>
      </c>
      <c r="P115" s="69" t="n">
        <f aca="false">P88+P83</f>
        <v>2687926.87338253</v>
      </c>
      <c r="Q115" s="69" t="n">
        <f aca="false">Q88+Q83</f>
        <v>2666100.58732504</v>
      </c>
      <c r="R115" s="69" t="n">
        <f aca="false">R88+R83</f>
        <v>2641426.74946748</v>
      </c>
      <c r="S115" s="69" t="n">
        <f aca="false">S88+S83</f>
        <v>2616739.86512423</v>
      </c>
      <c r="T115" s="69" t="n">
        <f aca="false">T88+T83</f>
        <v>2592040.45615471</v>
      </c>
      <c r="U115" s="69" t="n">
        <f aca="false">U88+U83</f>
        <v>2567329.02354396</v>
      </c>
      <c r="V115" s="69" t="n">
        <f aca="false">V88+V83</f>
        <v>2542606.04823765</v>
      </c>
      <c r="W115" s="69" t="n">
        <f aca="false">W88+W83</f>
        <v>2517871.99194359</v>
      </c>
      <c r="X115" s="69" t="n">
        <f aca="false">X88+X83</f>
        <v>2493127.29790129</v>
      </c>
      <c r="Y115" s="69" t="n">
        <f aca="false">Y88+Y83</f>
        <v>2468372.39162069</v>
      </c>
      <c r="Z115" s="69" t="n">
        <f aca="false">Z88+Z83</f>
        <v>2440264.31857876</v>
      </c>
      <c r="AA115" s="69" t="n">
        <f aca="false">AA88+AA83</f>
        <v>2416114.71599522</v>
      </c>
      <c r="AB115" s="69" t="n">
        <f aca="false">AB88+AB83</f>
        <v>2391273.2801369</v>
      </c>
      <c r="AC115" s="69" t="n">
        <f aca="false">AC88+AC83</f>
        <v>2370018.95917528</v>
      </c>
      <c r="AD115" s="69" t="n">
        <f aca="false">AD88+AD83</f>
        <v>2345250.93769041</v>
      </c>
      <c r="AE115" s="69" t="n">
        <f aca="false">AE88+AE83</f>
        <v>2320473.63706494</v>
      </c>
      <c r="AF115" s="69" t="n">
        <f aca="false">AF88+AF83</f>
        <v>2295687.42846449</v>
      </c>
      <c r="AG115" s="69" t="n">
        <f aca="false">AG88+AG83</f>
        <v>2270892.66820806</v>
      </c>
      <c r="AH115" s="69" t="n">
        <f aca="false">AH88+AH83</f>
        <v>2246089.69836188</v>
      </c>
      <c r="AI115" s="69" t="n">
        <f aca="false">AI88+AI83</f>
        <v>2221278.84730955</v>
      </c>
      <c r="AJ115" s="69" t="n">
        <f aca="false">AJ88+AJ83</f>
        <v>2196460.43029932</v>
      </c>
      <c r="AK115" s="69" t="n">
        <f aca="false">AK88+AK83</f>
        <v>2171634.74996949</v>
      </c>
      <c r="AL115" s="69" t="n">
        <f aca="false">AL88+AL83</f>
        <v>2142918.81439013</v>
      </c>
    </row>
    <row r="116" customFormat="false" ht="15" hidden="false" customHeight="false" outlineLevel="0" collapsed="false">
      <c r="A116" s="6" t="s">
        <v>99</v>
      </c>
      <c r="C116" s="69" t="n">
        <f aca="false">C112+C113</f>
        <v>1997562.52336521</v>
      </c>
      <c r="D116" s="69" t="n">
        <f aca="false">D112+D113</f>
        <v>1900759.66323889</v>
      </c>
      <c r="E116" s="69" t="n">
        <f aca="false">E112+E113</f>
        <v>1819412.96589251</v>
      </c>
      <c r="F116" s="69" t="n">
        <f aca="false">F112+F113</f>
        <v>1745236.98729417</v>
      </c>
      <c r="G116" s="69" t="n">
        <f aca="false">G112+G113</f>
        <v>1678359.44803153</v>
      </c>
      <c r="H116" s="69" t="n">
        <f aca="false">H112+H113</f>
        <v>1618902.95986874</v>
      </c>
      <c r="I116" s="69" t="n">
        <f aca="false">I112+I113</f>
        <v>1566985.23009938</v>
      </c>
      <c r="J116" s="69" t="n">
        <f aca="false">J112+J113</f>
        <v>1522719.2577253</v>
      </c>
      <c r="K116" s="69" t="n">
        <f aca="false">K112+K113</f>
        <v>1486213.52178826</v>
      </c>
      <c r="L116" s="69" t="n">
        <f aca="false">L112+L113</f>
        <v>1457572.16216835</v>
      </c>
      <c r="M116" s="69" t="n">
        <f aca="false">M112+M113</f>
        <v>1431249.01856836</v>
      </c>
      <c r="N116" s="69" t="n">
        <f aca="false">N112+N113</f>
        <v>1390767.66772971</v>
      </c>
      <c r="O116" s="69" t="n">
        <f aca="false">O112+O113</f>
        <v>1356089.62363738</v>
      </c>
      <c r="P116" s="69" t="n">
        <f aca="false">P112+P113</f>
        <v>1323399.82033142</v>
      </c>
      <c r="Q116" s="69" t="n">
        <f aca="false">Q112+Q113</f>
        <v>1309631.18215832</v>
      </c>
      <c r="R116" s="69" t="n">
        <f aca="false">R112+R113</f>
        <v>1297962.49365365</v>
      </c>
      <c r="S116" s="69" t="n">
        <f aca="false">S112+S113</f>
        <v>1288316.84016399</v>
      </c>
      <c r="T116" s="69" t="n">
        <f aca="false">T112+T113</f>
        <v>1280620.38362208</v>
      </c>
      <c r="U116" s="69" t="n">
        <f aca="false">U112+U113</f>
        <v>1274802.23948335</v>
      </c>
      <c r="V116" s="69" t="n">
        <f aca="false">V112+V113</f>
        <v>1270794.358585</v>
      </c>
      <c r="W116" s="69" t="n">
        <f aca="false">W112+W113</f>
        <v>1268531.41373075</v>
      </c>
      <c r="X116" s="69" t="n">
        <f aca="false">X112+X113</f>
        <v>1267950.69081217</v>
      </c>
      <c r="Y116" s="69" t="n">
        <f aca="false">Y112+Y113</f>
        <v>1268991.98428516</v>
      </c>
      <c r="Z116" s="69" t="n">
        <f aca="false">Z112+Z113</f>
        <v>1255202.4900182</v>
      </c>
      <c r="AA116" s="69" t="n">
        <f aca="false">AA112+AA113</f>
        <v>1246537.54439588</v>
      </c>
      <c r="AB116" s="69" t="n">
        <f aca="false">AB112+AB113</f>
        <v>1239200.4757543</v>
      </c>
      <c r="AC116" s="69" t="n">
        <f aca="false">AC112+AC113</f>
        <v>1250248.46607921</v>
      </c>
      <c r="AD116" s="69" t="n">
        <f aca="false">AD112+AD113</f>
        <v>1262826.94006482</v>
      </c>
      <c r="AE116" s="69" t="n">
        <f aca="false">AE112+AE113</f>
        <v>1276881.76169803</v>
      </c>
      <c r="AF116" s="69" t="n">
        <f aca="false">AF112+AF113</f>
        <v>1292360.96040627</v>
      </c>
      <c r="AG116" s="69" t="n">
        <f aca="false">AG112+AG113</f>
        <v>1309214.64443987</v>
      </c>
      <c r="AH116" s="69" t="n">
        <f aca="false">AH112+AH113</f>
        <v>1327394.91771915</v>
      </c>
      <c r="AI116" s="69" t="n">
        <f aca="false">AI112+AI113</f>
        <v>1346855.80000762</v>
      </c>
      <c r="AJ116" s="69" t="n">
        <f aca="false">AJ112+AJ113</f>
        <v>1367553.15027825</v>
      </c>
      <c r="AK116" s="69" t="n">
        <f aca="false">AK112+AK113</f>
        <v>1389444.59314508</v>
      </c>
      <c r="AL116" s="69" t="n">
        <f aca="false">AL112+AL113</f>
        <v>1395820.97200649</v>
      </c>
    </row>
    <row r="117" customFormat="false" ht="15" hidden="false" customHeight="false" outlineLevel="0" collapsed="false">
      <c r="A117" s="4" t="s">
        <v>100</v>
      </c>
      <c r="C117" s="75" t="n">
        <f aca="false">C115+C116</f>
        <v>5002277.15386248</v>
      </c>
      <c r="D117" s="75" t="n">
        <f aca="false">D115+D116</f>
        <v>4881113.9624431</v>
      </c>
      <c r="E117" s="75" t="n">
        <f aca="false">E115+E116</f>
        <v>4776797.52273048</v>
      </c>
      <c r="F117" s="75" t="n">
        <f aca="false">F115+F116</f>
        <v>4678478.11854842</v>
      </c>
      <c r="G117" s="75" t="n">
        <f aca="false">G115+G116</f>
        <v>4587478.59368555</v>
      </c>
      <c r="H117" s="75" t="n">
        <f aca="false">H115+H116</f>
        <v>4503920.70230666</v>
      </c>
      <c r="I117" s="75" t="n">
        <f aca="false">I115+I116</f>
        <v>4427921.32840999</v>
      </c>
      <c r="J117" s="75" t="n">
        <f aca="false">J115+J116</f>
        <v>4359592.68063381</v>
      </c>
      <c r="K117" s="75" t="n">
        <f aca="false">K115+K116</f>
        <v>4299042.4792709</v>
      </c>
      <c r="L117" s="75" t="n">
        <f aca="false">L115+L116</f>
        <v>4246374.13580229</v>
      </c>
      <c r="M117" s="75" t="n">
        <f aca="false">M115+M116</f>
        <v>4195410.41624094</v>
      </c>
      <c r="N117" s="75" t="n">
        <f aca="false">N115+N116</f>
        <v>4127615.37778011</v>
      </c>
      <c r="O117" s="75" t="n">
        <f aca="false">O115+O116</f>
        <v>4068769.3510266</v>
      </c>
      <c r="P117" s="75" t="n">
        <f aca="false">P115+P116</f>
        <v>4011326.69371395</v>
      </c>
      <c r="Q117" s="75" t="n">
        <f aca="false">Q115+Q116</f>
        <v>3975731.76948336</v>
      </c>
      <c r="R117" s="75" t="n">
        <f aca="false">R115+R116</f>
        <v>3939389.24312113</v>
      </c>
      <c r="S117" s="75" t="n">
        <f aca="false">S115+S116</f>
        <v>3905056.70528822</v>
      </c>
      <c r="T117" s="75" t="n">
        <f aca="false">T115+T116</f>
        <v>3872660.83977679</v>
      </c>
      <c r="U117" s="75" t="n">
        <f aca="false">U115+U116</f>
        <v>3842131.26302732</v>
      </c>
      <c r="V117" s="75" t="n">
        <f aca="false">V115+V116</f>
        <v>3813400.40682265</v>
      </c>
      <c r="W117" s="75" t="n">
        <f aca="false">W115+W116</f>
        <v>3786403.40567434</v>
      </c>
      <c r="X117" s="75" t="n">
        <f aca="false">X115+X116</f>
        <v>3761077.98871346</v>
      </c>
      <c r="Y117" s="75" t="n">
        <f aca="false">Y115+Y116</f>
        <v>3737364.37590584</v>
      </c>
      <c r="Z117" s="75" t="n">
        <f aca="false">Z115+Z116</f>
        <v>3695466.80859697</v>
      </c>
      <c r="AA117" s="75" t="n">
        <f aca="false">AA115+AA116</f>
        <v>3662652.2603911</v>
      </c>
      <c r="AB117" s="75" t="n">
        <f aca="false">AB115+AB116</f>
        <v>3630473.7558912</v>
      </c>
      <c r="AC117" s="75" t="n">
        <f aca="false">AC115+AC116</f>
        <v>3620267.42525449</v>
      </c>
      <c r="AD117" s="75" t="n">
        <f aca="false">AD115+AD116</f>
        <v>3608077.87775523</v>
      </c>
      <c r="AE117" s="75" t="n">
        <f aca="false">AE115+AE116</f>
        <v>3597355.39876297</v>
      </c>
      <c r="AF117" s="75" t="n">
        <f aca="false">AF115+AF116</f>
        <v>3588048.38887076</v>
      </c>
      <c r="AG117" s="75" t="n">
        <f aca="false">AG115+AG116</f>
        <v>3580107.31264793</v>
      </c>
      <c r="AH117" s="75" t="n">
        <f aca="false">AH115+AH116</f>
        <v>3573484.61608104</v>
      </c>
      <c r="AI117" s="75" t="n">
        <f aca="false">AI115+AI116</f>
        <v>3568134.64731718</v>
      </c>
      <c r="AJ117" s="75" t="n">
        <f aca="false">AJ115+AJ116</f>
        <v>3564013.58057757</v>
      </c>
      <c r="AK117" s="75" t="n">
        <f aca="false">AK115+AK116</f>
        <v>3561079.34311457</v>
      </c>
      <c r="AL117" s="75" t="n">
        <f aca="false">AL115+AL116</f>
        <v>3538739.78639662</v>
      </c>
    </row>
    <row r="118" customFormat="false" ht="15" hidden="false" customHeight="false" outlineLevel="0" collapsed="false">
      <c r="A118" s="6" t="s">
        <v>445</v>
      </c>
      <c r="C118" s="69" t="n">
        <f aca="false">C114-C117</f>
        <v>0</v>
      </c>
      <c r="D118" s="69" t="n">
        <f aca="false">D114-D117</f>
        <v>0</v>
      </c>
      <c r="E118" s="69" t="n">
        <f aca="false">E114-E117</f>
        <v>0</v>
      </c>
      <c r="F118" s="69" t="n">
        <f aca="false">F114-F117</f>
        <v>0</v>
      </c>
      <c r="G118" s="69" t="n">
        <f aca="false">G114-G117</f>
        <v>0</v>
      </c>
      <c r="H118" s="69" t="n">
        <f aca="false">H114-H117</f>
        <v>0</v>
      </c>
      <c r="I118" s="69" t="n">
        <f aca="false">I114-I117</f>
        <v>0</v>
      </c>
      <c r="J118" s="69" t="n">
        <f aca="false">J114-J117</f>
        <v>0</v>
      </c>
      <c r="K118" s="69" t="n">
        <f aca="false">K114-K117</f>
        <v>0</v>
      </c>
      <c r="L118" s="69" t="n">
        <f aca="false">L114-L117</f>
        <v>0</v>
      </c>
      <c r="M118" s="69" t="n">
        <f aca="false">M114-M117</f>
        <v>0</v>
      </c>
      <c r="N118" s="69" t="n">
        <f aca="false">N114-N117</f>
        <v>0</v>
      </c>
      <c r="O118" s="69" t="n">
        <f aca="false">O114-O117</f>
        <v>0</v>
      </c>
      <c r="P118" s="69" t="n">
        <f aca="false">P114-P117</f>
        <v>0</v>
      </c>
      <c r="Q118" s="69" t="n">
        <f aca="false">Q114-Q117</f>
        <v>0</v>
      </c>
      <c r="R118" s="69" t="n">
        <f aca="false">R114-R117</f>
        <v>0</v>
      </c>
      <c r="S118" s="69" t="n">
        <f aca="false">S114-S117</f>
        <v>0</v>
      </c>
      <c r="T118" s="69" t="n">
        <f aca="false">T114-T117</f>
        <v>0</v>
      </c>
      <c r="U118" s="69" t="n">
        <f aca="false">U114-U117</f>
        <v>0</v>
      </c>
      <c r="V118" s="69" t="n">
        <f aca="false">V114-V117</f>
        <v>0</v>
      </c>
      <c r="W118" s="69" t="n">
        <f aca="false">W114-W117</f>
        <v>0</v>
      </c>
      <c r="X118" s="69" t="n">
        <f aca="false">X114-X117</f>
        <v>0</v>
      </c>
      <c r="Y118" s="69" t="n">
        <f aca="false">Y114-Y117</f>
        <v>0</v>
      </c>
      <c r="Z118" s="69" t="n">
        <f aca="false">Z114-Z117</f>
        <v>0</v>
      </c>
      <c r="AA118" s="69" t="n">
        <f aca="false">AA114-AA117</f>
        <v>0</v>
      </c>
      <c r="AB118" s="69" t="n">
        <f aca="false">AB114-AB117</f>
        <v>0</v>
      </c>
      <c r="AC118" s="69" t="n">
        <f aca="false">AC114-AC117</f>
        <v>0</v>
      </c>
      <c r="AD118" s="69" t="n">
        <f aca="false">AD114-AD117</f>
        <v>0</v>
      </c>
      <c r="AE118" s="69" t="n">
        <f aca="false">AE114-AE117</f>
        <v>0</v>
      </c>
      <c r="AF118" s="69" t="n">
        <f aca="false">AF114-AF117</f>
        <v>0</v>
      </c>
      <c r="AG118" s="69" t="n">
        <f aca="false">AG114-AG117</f>
        <v>0</v>
      </c>
      <c r="AH118" s="69" t="n">
        <f aca="false">AH114-AH117</f>
        <v>0</v>
      </c>
      <c r="AI118" s="69" t="n">
        <f aca="false">AI114-AI117</f>
        <v>0</v>
      </c>
      <c r="AJ118" s="69" t="n">
        <f aca="false">AJ114-AJ117</f>
        <v>0</v>
      </c>
      <c r="AK118" s="69" t="n">
        <f aca="false">AK114-AK117</f>
        <v>0</v>
      </c>
      <c r="AL118" s="69" t="n">
        <f aca="false">AL114-AL117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446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352</v>
      </c>
    </row>
    <row r="3" customFormat="false" ht="15" hidden="false" customHeight="false" outlineLevel="0" collapsed="false">
      <c r="A3" s="33" t="s">
        <v>353</v>
      </c>
      <c r="C3" s="35" t="s">
        <v>354</v>
      </c>
      <c r="D3" s="35" t="s">
        <v>355</v>
      </c>
      <c r="E3" s="35" t="s">
        <v>356</v>
      </c>
      <c r="F3" s="35" t="s">
        <v>357</v>
      </c>
      <c r="G3" s="35" t="s">
        <v>358</v>
      </c>
      <c r="H3" s="35" t="s">
        <v>359</v>
      </c>
      <c r="I3" s="35" t="s">
        <v>360</v>
      </c>
      <c r="J3" s="35" t="s">
        <v>361</v>
      </c>
      <c r="K3" s="35" t="s">
        <v>362</v>
      </c>
      <c r="L3" s="35" t="s">
        <v>363</v>
      </c>
      <c r="M3" s="35" t="s">
        <v>364</v>
      </c>
      <c r="N3" s="35" t="s">
        <v>365</v>
      </c>
      <c r="O3" s="35" t="s">
        <v>366</v>
      </c>
      <c r="P3" s="35" t="s">
        <v>367</v>
      </c>
      <c r="Q3" s="35" t="s">
        <v>368</v>
      </c>
      <c r="R3" s="35" t="s">
        <v>369</v>
      </c>
      <c r="S3" s="35" t="s">
        <v>370</v>
      </c>
      <c r="T3" s="35" t="s">
        <v>371</v>
      </c>
      <c r="U3" s="35" t="s">
        <v>372</v>
      </c>
      <c r="V3" s="35" t="s">
        <v>373</v>
      </c>
      <c r="W3" s="35" t="s">
        <v>374</v>
      </c>
      <c r="X3" s="35" t="s">
        <v>375</v>
      </c>
      <c r="Y3" s="35" t="s">
        <v>376</v>
      </c>
      <c r="Z3" s="35" t="s">
        <v>377</v>
      </c>
      <c r="AA3" s="35" t="s">
        <v>378</v>
      </c>
      <c r="AB3" s="35" t="s">
        <v>379</v>
      </c>
      <c r="AC3" s="35" t="s">
        <v>380</v>
      </c>
      <c r="AD3" s="35" t="s">
        <v>381</v>
      </c>
      <c r="AE3" s="35" t="s">
        <v>382</v>
      </c>
      <c r="AF3" s="35" t="s">
        <v>383</v>
      </c>
      <c r="AG3" s="35" t="s">
        <v>384</v>
      </c>
      <c r="AH3" s="35" t="s">
        <v>385</v>
      </c>
      <c r="AI3" s="35" t="s">
        <v>386</v>
      </c>
      <c r="AJ3" s="35" t="s">
        <v>387</v>
      </c>
      <c r="AK3" s="35" t="s">
        <v>388</v>
      </c>
      <c r="AL3" s="35" t="s">
        <v>389</v>
      </c>
    </row>
    <row r="4" customFormat="false" ht="15" hidden="false" customHeight="false" outlineLevel="0" collapsed="false">
      <c r="A4" s="74" t="s">
        <v>390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</row>
    <row r="5" customFormat="false" ht="15" hidden="false" customHeight="false" outlineLevel="0" collapsed="false">
      <c r="A5" s="74" t="s">
        <v>155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</row>
    <row r="7" customFormat="false" ht="15.75" hidden="false" customHeight="true" outlineLevel="0" collapsed="false">
      <c r="A7" s="7" t="s">
        <v>447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448</v>
      </c>
      <c r="C8" s="117" t="n">
        <f aca="false">Inputs!$E$57*(1+Inputs!$E$59)^(C$5-1)*MAX(0,MIN(1,C$4*1-Inputs!$E$60+1))/1</f>
        <v>1</v>
      </c>
      <c r="D8" s="117" t="n">
        <f aca="false">Inputs!$E$57*(1+Inputs!$E$59)^(D$5-1)*MAX(0,MIN(1,D$4*1-Inputs!$E$60+1))/1</f>
        <v>1</v>
      </c>
      <c r="E8" s="117" t="n">
        <f aca="false">Inputs!$E$57*(1+Inputs!$E$59)^(E$5-1)*MAX(0,MIN(1,E$4*1-Inputs!$E$60+1))/1</f>
        <v>1</v>
      </c>
      <c r="F8" s="117" t="n">
        <f aca="false">Inputs!$E$57*(1+Inputs!$E$59)^(F$5-1)*MAX(0,MIN(1,F$4*1-Inputs!$E$60+1))/1</f>
        <v>1</v>
      </c>
      <c r="G8" s="117" t="n">
        <f aca="false">Inputs!$E$57*(1+Inputs!$E$59)^(G$5-1)*MAX(0,MIN(1,G$4*1-Inputs!$E$60+1))/1</f>
        <v>1</v>
      </c>
      <c r="H8" s="117" t="n">
        <f aca="false">Inputs!$E$57*(1+Inputs!$E$59)^(H$5-1)*MAX(0,MIN(1,H$4*1-Inputs!$E$60+1))/1</f>
        <v>1</v>
      </c>
      <c r="I8" s="117" t="n">
        <f aca="false">Inputs!$E$57*(1+Inputs!$E$59)^(I$5-1)*MAX(0,MIN(1,I$4*1-Inputs!$E$60+1))/1</f>
        <v>1</v>
      </c>
      <c r="J8" s="117" t="n">
        <f aca="false">Inputs!$E$57*(1+Inputs!$E$59)^(J$5-1)*MAX(0,MIN(1,J$4*1-Inputs!$E$60+1))/1</f>
        <v>1</v>
      </c>
      <c r="K8" s="117" t="n">
        <f aca="false">Inputs!$E$57*(1+Inputs!$E$59)^(K$5-1)*MAX(0,MIN(1,K$4*1-Inputs!$E$60+1))/1</f>
        <v>1</v>
      </c>
      <c r="L8" s="117" t="n">
        <f aca="false">Inputs!$E$57*(1+Inputs!$E$59)^(L$5-1)*MAX(0,MIN(1,L$4*1-Inputs!$E$60+1))/1</f>
        <v>1</v>
      </c>
      <c r="M8" s="117" t="n">
        <f aca="false">Inputs!$E$57*(1+Inputs!$E$59)^(M$5-1)*MAX(0,MIN(1,M$4*1-Inputs!$E$60+1))/1</f>
        <v>1</v>
      </c>
      <c r="N8" s="117" t="n">
        <f aca="false">Inputs!$E$57*(1+Inputs!$E$59)^(N$5-1)*MAX(0,MIN(1,N$4*1-Inputs!$E$60+1))/1</f>
        <v>1</v>
      </c>
      <c r="O8" s="117" t="n">
        <f aca="false">Inputs!$E$57*(1+Inputs!$E$59)^(O$5-1)*MAX(0,MIN(1,O$4*1-Inputs!$E$60+1))/1</f>
        <v>1</v>
      </c>
      <c r="P8" s="117" t="n">
        <f aca="false">Inputs!$E$57*(1+Inputs!$E$59)^(P$5-1)*MAX(0,MIN(1,P$4*1-Inputs!$E$60+1))/1</f>
        <v>1</v>
      </c>
      <c r="Q8" s="117" t="n">
        <f aca="false">Inputs!$E$57*(1+Inputs!$E$59)^(Q$5-1)*MAX(0,MIN(1,Q$4*1-Inputs!$E$60+1))/1</f>
        <v>1</v>
      </c>
      <c r="R8" s="117" t="n">
        <f aca="false">Inputs!$E$57*(1+Inputs!$E$59)^(R$5-1)*MAX(0,MIN(1,R$4*1-Inputs!$E$60+1))/1</f>
        <v>1</v>
      </c>
      <c r="S8" s="117" t="n">
        <f aca="false">Inputs!$E$57*(1+Inputs!$E$59)^(S$5-1)*MAX(0,MIN(1,S$4*1-Inputs!$E$60+1))/1</f>
        <v>1</v>
      </c>
      <c r="T8" s="117" t="n">
        <f aca="false">Inputs!$E$57*(1+Inputs!$E$59)^(T$5-1)*MAX(0,MIN(1,T$4*1-Inputs!$E$60+1))/1</f>
        <v>1</v>
      </c>
      <c r="U8" s="117" t="n">
        <f aca="false">Inputs!$E$57*(1+Inputs!$E$59)^(U$5-1)*MAX(0,MIN(1,U$4*1-Inputs!$E$60+1))/1</f>
        <v>1</v>
      </c>
      <c r="V8" s="117" t="n">
        <f aca="false">Inputs!$E$57*(1+Inputs!$E$59)^(V$5-1)*MAX(0,MIN(1,V$4*1-Inputs!$E$60+1))/1</f>
        <v>1</v>
      </c>
      <c r="W8" s="117" t="n">
        <f aca="false">Inputs!$E$57*(1+Inputs!$E$59)^(W$5-1)*MAX(0,MIN(1,W$4*1-Inputs!$E$60+1))/1</f>
        <v>1</v>
      </c>
      <c r="X8" s="117" t="n">
        <f aca="false">Inputs!$E$57*(1+Inputs!$E$59)^(X$5-1)*MAX(0,MIN(1,X$4*1-Inputs!$E$60+1))/1</f>
        <v>1</v>
      </c>
      <c r="Y8" s="117" t="n">
        <f aca="false">Inputs!$E$57*(1+Inputs!$E$59)^(Y$5-1)*MAX(0,MIN(1,Y$4*1-Inputs!$E$60+1))/1</f>
        <v>1</v>
      </c>
      <c r="Z8" s="117" t="n">
        <f aca="false">Inputs!$E$57*(1+Inputs!$E$59)^(Z$5-1)*MAX(0,MIN(1,Z$4*1-Inputs!$E$60+1))/1</f>
        <v>1</v>
      </c>
      <c r="AA8" s="117" t="n">
        <f aca="false">Inputs!$E$57*(1+Inputs!$E$59)^(AA$5-1)*MAX(0,MIN(1,AA$4*1-Inputs!$E$60+1))/1</f>
        <v>1</v>
      </c>
      <c r="AB8" s="117" t="n">
        <f aca="false">Inputs!$E$57*(1+Inputs!$E$59)^(AB$5-1)*MAX(0,MIN(1,AB$4*1-Inputs!$E$60+1))/1</f>
        <v>1</v>
      </c>
      <c r="AC8" s="117" t="n">
        <f aca="false">Inputs!$E$57*(1+Inputs!$E$59)^(AC$5-1)*MAX(0,MIN(1,AC$4*1-Inputs!$E$60+1))/1</f>
        <v>1</v>
      </c>
      <c r="AD8" s="117" t="n">
        <f aca="false">Inputs!$E$57*(1+Inputs!$E$59)^(AD$5-1)*MAX(0,MIN(1,AD$4*1-Inputs!$E$60+1))/1</f>
        <v>1</v>
      </c>
      <c r="AE8" s="117" t="n">
        <f aca="false">Inputs!$E$57*(1+Inputs!$E$59)^(AE$5-1)*MAX(0,MIN(1,AE$4*1-Inputs!$E$60+1))/1</f>
        <v>1</v>
      </c>
      <c r="AF8" s="117" t="n">
        <f aca="false">Inputs!$E$57*(1+Inputs!$E$59)^(AF$5-1)*MAX(0,MIN(1,AF$4*1-Inputs!$E$60+1))/1</f>
        <v>1</v>
      </c>
      <c r="AG8" s="117" t="n">
        <f aca="false">Inputs!$E$57*(1+Inputs!$E$59)^(AG$5-1)*MAX(0,MIN(1,AG$4*1-Inputs!$E$60+1))/1</f>
        <v>1</v>
      </c>
      <c r="AH8" s="117" t="n">
        <f aca="false">Inputs!$E$57*(1+Inputs!$E$59)^(AH$5-1)*MAX(0,MIN(1,AH$4*1-Inputs!$E$60+1))/1</f>
        <v>1</v>
      </c>
      <c r="AI8" s="117" t="n">
        <f aca="false">Inputs!$E$57*(1+Inputs!$E$59)^(AI$5-1)*MAX(0,MIN(1,AI$4*1-Inputs!$E$60+1))/1</f>
        <v>1</v>
      </c>
      <c r="AJ8" s="117" t="n">
        <f aca="false">Inputs!$E$57*(1+Inputs!$E$59)^(AJ$5-1)*MAX(0,MIN(1,AJ$4*1-Inputs!$E$60+1))/1</f>
        <v>1</v>
      </c>
      <c r="AK8" s="117" t="n">
        <f aca="false">Inputs!$E$57*(1+Inputs!$E$59)^(AK$5-1)*MAX(0,MIN(1,AK$4*1-Inputs!$E$60+1))/1</f>
        <v>1</v>
      </c>
      <c r="AL8" s="117" t="n">
        <f aca="false">Inputs!$E$57*(1+Inputs!$E$59)^(AL$5-1)*MAX(0,MIN(1,AL$4*1-Inputs!$E$60+1))/1</f>
        <v>1</v>
      </c>
    </row>
    <row r="9" customFormat="false" ht="15" hidden="false" customHeight="false" outlineLevel="0" collapsed="false">
      <c r="A9" s="6" t="s">
        <v>449</v>
      </c>
      <c r="C9" s="117" t="n">
        <f aca="false">Inputs!$E$61*(1+Inputs!$E$63)^(C$5-1)*MAX(0,MIN(1,C$4*1-Inputs!$E$64+1))/1</f>
        <v>10</v>
      </c>
      <c r="D9" s="117" t="n">
        <f aca="false">Inputs!$E$61*(1+Inputs!$E$63)^(D$5-1)*MAX(0,MIN(1,D$4*1-Inputs!$E$64+1))/1</f>
        <v>10</v>
      </c>
      <c r="E9" s="117" t="n">
        <f aca="false">Inputs!$E$61*(1+Inputs!$E$63)^(E$5-1)*MAX(0,MIN(1,E$4*1-Inputs!$E$64+1))/1</f>
        <v>10</v>
      </c>
      <c r="F9" s="117" t="n">
        <f aca="false">Inputs!$E$61*(1+Inputs!$E$63)^(F$5-1)*MAX(0,MIN(1,F$4*1-Inputs!$E$64+1))/1</f>
        <v>10</v>
      </c>
      <c r="G9" s="117" t="n">
        <f aca="false">Inputs!$E$61*(1+Inputs!$E$63)^(G$5-1)*MAX(0,MIN(1,G$4*1-Inputs!$E$64+1))/1</f>
        <v>10</v>
      </c>
      <c r="H9" s="117" t="n">
        <f aca="false">Inputs!$E$61*(1+Inputs!$E$63)^(H$5-1)*MAX(0,MIN(1,H$4*1-Inputs!$E$64+1))/1</f>
        <v>10</v>
      </c>
      <c r="I9" s="117" t="n">
        <f aca="false">Inputs!$E$61*(1+Inputs!$E$63)^(I$5-1)*MAX(0,MIN(1,I$4*1-Inputs!$E$64+1))/1</f>
        <v>10</v>
      </c>
      <c r="J9" s="117" t="n">
        <f aca="false">Inputs!$E$61*(1+Inputs!$E$63)^(J$5-1)*MAX(0,MIN(1,J$4*1-Inputs!$E$64+1))/1</f>
        <v>10</v>
      </c>
      <c r="K9" s="117" t="n">
        <f aca="false">Inputs!$E$61*(1+Inputs!$E$63)^(K$5-1)*MAX(0,MIN(1,K$4*1-Inputs!$E$64+1))/1</f>
        <v>10</v>
      </c>
      <c r="L9" s="117" t="n">
        <f aca="false">Inputs!$E$61*(1+Inputs!$E$63)^(L$5-1)*MAX(0,MIN(1,L$4*1-Inputs!$E$64+1))/1</f>
        <v>10</v>
      </c>
      <c r="M9" s="117" t="n">
        <f aca="false">Inputs!$E$61*(1+Inputs!$E$63)^(M$5-1)*MAX(0,MIN(1,M$4*1-Inputs!$E$64+1))/1</f>
        <v>10</v>
      </c>
      <c r="N9" s="117" t="n">
        <f aca="false">Inputs!$E$61*(1+Inputs!$E$63)^(N$5-1)*MAX(0,MIN(1,N$4*1-Inputs!$E$64+1))/1</f>
        <v>10</v>
      </c>
      <c r="O9" s="117" t="n">
        <f aca="false">Inputs!$E$61*(1+Inputs!$E$63)^(O$5-1)*MAX(0,MIN(1,O$4*1-Inputs!$E$64+1))/1</f>
        <v>10</v>
      </c>
      <c r="P9" s="117" t="n">
        <f aca="false">Inputs!$E$61*(1+Inputs!$E$63)^(P$5-1)*MAX(0,MIN(1,P$4*1-Inputs!$E$64+1))/1</f>
        <v>10</v>
      </c>
      <c r="Q9" s="117" t="n">
        <f aca="false">Inputs!$E$61*(1+Inputs!$E$63)^(Q$5-1)*MAX(0,MIN(1,Q$4*1-Inputs!$E$64+1))/1</f>
        <v>10</v>
      </c>
      <c r="R9" s="117" t="n">
        <f aca="false">Inputs!$E$61*(1+Inputs!$E$63)^(R$5-1)*MAX(0,MIN(1,R$4*1-Inputs!$E$64+1))/1</f>
        <v>10</v>
      </c>
      <c r="S9" s="117" t="n">
        <f aca="false">Inputs!$E$61*(1+Inputs!$E$63)^(S$5-1)*MAX(0,MIN(1,S$4*1-Inputs!$E$64+1))/1</f>
        <v>10</v>
      </c>
      <c r="T9" s="117" t="n">
        <f aca="false">Inputs!$E$61*(1+Inputs!$E$63)^(T$5-1)*MAX(0,MIN(1,T$4*1-Inputs!$E$64+1))/1</f>
        <v>10</v>
      </c>
      <c r="U9" s="117" t="n">
        <f aca="false">Inputs!$E$61*(1+Inputs!$E$63)^(U$5-1)*MAX(0,MIN(1,U$4*1-Inputs!$E$64+1))/1</f>
        <v>10</v>
      </c>
      <c r="V9" s="117" t="n">
        <f aca="false">Inputs!$E$61*(1+Inputs!$E$63)^(V$5-1)*MAX(0,MIN(1,V$4*1-Inputs!$E$64+1))/1</f>
        <v>10</v>
      </c>
      <c r="W9" s="117" t="n">
        <f aca="false">Inputs!$E$61*(1+Inputs!$E$63)^(W$5-1)*MAX(0,MIN(1,W$4*1-Inputs!$E$64+1))/1</f>
        <v>10</v>
      </c>
      <c r="X9" s="117" t="n">
        <f aca="false">Inputs!$E$61*(1+Inputs!$E$63)^(X$5-1)*MAX(0,MIN(1,X$4*1-Inputs!$E$64+1))/1</f>
        <v>10</v>
      </c>
      <c r="Y9" s="117" t="n">
        <f aca="false">Inputs!$E$61*(1+Inputs!$E$63)^(Y$5-1)*MAX(0,MIN(1,Y$4*1-Inputs!$E$64+1))/1</f>
        <v>10</v>
      </c>
      <c r="Z9" s="117" t="n">
        <f aca="false">Inputs!$E$61*(1+Inputs!$E$63)^(Z$5-1)*MAX(0,MIN(1,Z$4*1-Inputs!$E$64+1))/1</f>
        <v>10</v>
      </c>
      <c r="AA9" s="117" t="n">
        <f aca="false">Inputs!$E$61*(1+Inputs!$E$63)^(AA$5-1)*MAX(0,MIN(1,AA$4*1-Inputs!$E$64+1))/1</f>
        <v>10</v>
      </c>
      <c r="AB9" s="117" t="n">
        <f aca="false">Inputs!$E$61*(1+Inputs!$E$63)^(AB$5-1)*MAX(0,MIN(1,AB$4*1-Inputs!$E$64+1))/1</f>
        <v>10</v>
      </c>
      <c r="AC9" s="117" t="n">
        <f aca="false">Inputs!$E$61*(1+Inputs!$E$63)^(AC$5-1)*MAX(0,MIN(1,AC$4*1-Inputs!$E$64+1))/1</f>
        <v>10</v>
      </c>
      <c r="AD9" s="117" t="n">
        <f aca="false">Inputs!$E$61*(1+Inputs!$E$63)^(AD$5-1)*MAX(0,MIN(1,AD$4*1-Inputs!$E$64+1))/1</f>
        <v>10</v>
      </c>
      <c r="AE9" s="117" t="n">
        <f aca="false">Inputs!$E$61*(1+Inputs!$E$63)^(AE$5-1)*MAX(0,MIN(1,AE$4*1-Inputs!$E$64+1))/1</f>
        <v>10</v>
      </c>
      <c r="AF9" s="117" t="n">
        <f aca="false">Inputs!$E$61*(1+Inputs!$E$63)^(AF$5-1)*MAX(0,MIN(1,AF$4*1-Inputs!$E$64+1))/1</f>
        <v>10</v>
      </c>
      <c r="AG9" s="117" t="n">
        <f aca="false">Inputs!$E$61*(1+Inputs!$E$63)^(AG$5-1)*MAX(0,MIN(1,AG$4*1-Inputs!$E$64+1))/1</f>
        <v>10</v>
      </c>
      <c r="AH9" s="117" t="n">
        <f aca="false">Inputs!$E$61*(1+Inputs!$E$63)^(AH$5-1)*MAX(0,MIN(1,AH$4*1-Inputs!$E$64+1))/1</f>
        <v>10</v>
      </c>
      <c r="AI9" s="117" t="n">
        <f aca="false">Inputs!$E$61*(1+Inputs!$E$63)^(AI$5-1)*MAX(0,MIN(1,AI$4*1-Inputs!$E$64+1))/1</f>
        <v>10</v>
      </c>
      <c r="AJ9" s="117" t="n">
        <f aca="false">Inputs!$E$61*(1+Inputs!$E$63)^(AJ$5-1)*MAX(0,MIN(1,AJ$4*1-Inputs!$E$64+1))/1</f>
        <v>10</v>
      </c>
      <c r="AK9" s="117" t="n">
        <f aca="false">Inputs!$E$61*(1+Inputs!$E$63)^(AK$5-1)*MAX(0,MIN(1,AK$4*1-Inputs!$E$64+1))/1</f>
        <v>10</v>
      </c>
      <c r="AL9" s="117" t="n">
        <f aca="false">Inputs!$E$61*(1+Inputs!$E$63)^(AL$5-1)*MAX(0,MIN(1,AL$4*1-Inputs!$E$64+1))/1</f>
        <v>10</v>
      </c>
    </row>
    <row r="10" customFormat="false" ht="15" hidden="false" customHeight="false" outlineLevel="0" collapsed="false">
      <c r="A10" s="113" t="s">
        <v>450</v>
      </c>
      <c r="C10" s="123" t="n">
        <f aca="false">C8+C9</f>
        <v>11</v>
      </c>
      <c r="D10" s="123" t="n">
        <f aca="false">D8+D9</f>
        <v>11</v>
      </c>
      <c r="E10" s="123" t="n">
        <f aca="false">E8+E9</f>
        <v>11</v>
      </c>
      <c r="F10" s="123" t="n">
        <f aca="false">F8+F9</f>
        <v>11</v>
      </c>
      <c r="G10" s="123" t="n">
        <f aca="false">G8+G9</f>
        <v>11</v>
      </c>
      <c r="H10" s="123" t="n">
        <f aca="false">H8+H9</f>
        <v>11</v>
      </c>
      <c r="I10" s="123" t="n">
        <f aca="false">I8+I9</f>
        <v>11</v>
      </c>
      <c r="J10" s="123" t="n">
        <f aca="false">J8+J9</f>
        <v>11</v>
      </c>
      <c r="K10" s="123" t="n">
        <f aca="false">K8+K9</f>
        <v>11</v>
      </c>
      <c r="L10" s="123" t="n">
        <f aca="false">L8+L9</f>
        <v>11</v>
      </c>
      <c r="M10" s="123" t="n">
        <f aca="false">M8+M9</f>
        <v>11</v>
      </c>
      <c r="N10" s="123" t="n">
        <f aca="false">N8+N9</f>
        <v>11</v>
      </c>
      <c r="O10" s="123" t="n">
        <f aca="false">O8+O9</f>
        <v>11</v>
      </c>
      <c r="P10" s="123" t="n">
        <f aca="false">P8+P9</f>
        <v>11</v>
      </c>
      <c r="Q10" s="123" t="n">
        <f aca="false">Q8+Q9</f>
        <v>11</v>
      </c>
      <c r="R10" s="123" t="n">
        <f aca="false">R8+R9</f>
        <v>11</v>
      </c>
      <c r="S10" s="123" t="n">
        <f aca="false">S8+S9</f>
        <v>11</v>
      </c>
      <c r="T10" s="123" t="n">
        <f aca="false">T8+T9</f>
        <v>11</v>
      </c>
      <c r="U10" s="123" t="n">
        <f aca="false">U8+U9</f>
        <v>11</v>
      </c>
      <c r="V10" s="123" t="n">
        <f aca="false">V8+V9</f>
        <v>11</v>
      </c>
      <c r="W10" s="123" t="n">
        <f aca="false">W8+W9</f>
        <v>11</v>
      </c>
      <c r="X10" s="123" t="n">
        <f aca="false">X8+X9</f>
        <v>11</v>
      </c>
      <c r="Y10" s="123" t="n">
        <f aca="false">Y8+Y9</f>
        <v>11</v>
      </c>
      <c r="Z10" s="123" t="n">
        <f aca="false">Z8+Z9</f>
        <v>11</v>
      </c>
      <c r="AA10" s="123" t="n">
        <f aca="false">AA8+AA9</f>
        <v>11</v>
      </c>
      <c r="AB10" s="123" t="n">
        <f aca="false">AB8+AB9</f>
        <v>11</v>
      </c>
      <c r="AC10" s="123" t="n">
        <f aca="false">AC8+AC9</f>
        <v>11</v>
      </c>
      <c r="AD10" s="123" t="n">
        <f aca="false">AD8+AD9</f>
        <v>11</v>
      </c>
      <c r="AE10" s="123" t="n">
        <f aca="false">AE8+AE9</f>
        <v>11</v>
      </c>
      <c r="AF10" s="123" t="n">
        <f aca="false">AF8+AF9</f>
        <v>11</v>
      </c>
      <c r="AG10" s="123" t="n">
        <f aca="false">AG8+AG9</f>
        <v>11</v>
      </c>
      <c r="AH10" s="123" t="n">
        <f aca="false">AH8+AH9</f>
        <v>11</v>
      </c>
      <c r="AI10" s="123" t="n">
        <f aca="false">AI8+AI9</f>
        <v>11</v>
      </c>
      <c r="AJ10" s="123" t="n">
        <f aca="false">AJ8+AJ9</f>
        <v>11</v>
      </c>
      <c r="AK10" s="123" t="n">
        <f aca="false">AK8+AK9</f>
        <v>11</v>
      </c>
      <c r="AL10" s="123" t="n">
        <f aca="false">AL8+AL9</f>
        <v>11</v>
      </c>
    </row>
    <row r="12" customFormat="false" ht="15.75" hidden="false" customHeight="true" outlineLevel="0" collapsed="false">
      <c r="A12" s="7" t="s">
        <v>451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452</v>
      </c>
      <c r="C13" s="69" t="n">
        <f aca="false">-C8*Inputs!$E$58/12*1*(1+Inputs!$E$65)*(1+Inputs!$E$66)^(C$5-1)</f>
        <v>-6720</v>
      </c>
      <c r="D13" s="69" t="n">
        <f aca="false">-D8*Inputs!$E$58/12*1*(1+Inputs!$E$65)*(1+Inputs!$E$66)^(D$5-1)</f>
        <v>-6720</v>
      </c>
      <c r="E13" s="69" t="n">
        <f aca="false">-E8*Inputs!$E$58/12*1*(1+Inputs!$E$65)*(1+Inputs!$E$66)^(E$5-1)</f>
        <v>-6720</v>
      </c>
      <c r="F13" s="69" t="n">
        <f aca="false">-F8*Inputs!$E$58/12*1*(1+Inputs!$E$65)*(1+Inputs!$E$66)^(F$5-1)</f>
        <v>-6720</v>
      </c>
      <c r="G13" s="69" t="n">
        <f aca="false">-G8*Inputs!$E$58/12*1*(1+Inputs!$E$65)*(1+Inputs!$E$66)^(G$5-1)</f>
        <v>-6720</v>
      </c>
      <c r="H13" s="69" t="n">
        <f aca="false">-H8*Inputs!$E$58/12*1*(1+Inputs!$E$65)*(1+Inputs!$E$66)^(H$5-1)</f>
        <v>-6720</v>
      </c>
      <c r="I13" s="69" t="n">
        <f aca="false">-I8*Inputs!$E$58/12*1*(1+Inputs!$E$65)*(1+Inputs!$E$66)^(I$5-1)</f>
        <v>-6720</v>
      </c>
      <c r="J13" s="69" t="n">
        <f aca="false">-J8*Inputs!$E$58/12*1*(1+Inputs!$E$65)*(1+Inputs!$E$66)^(J$5-1)</f>
        <v>-6720</v>
      </c>
      <c r="K13" s="69" t="n">
        <f aca="false">-K8*Inputs!$E$58/12*1*(1+Inputs!$E$65)*(1+Inputs!$E$66)^(K$5-1)</f>
        <v>-6720</v>
      </c>
      <c r="L13" s="69" t="n">
        <f aca="false">-L8*Inputs!$E$58/12*1*(1+Inputs!$E$65)*(1+Inputs!$E$66)^(L$5-1)</f>
        <v>-6720</v>
      </c>
      <c r="M13" s="69" t="n">
        <f aca="false">-M8*Inputs!$E$58/12*1*(1+Inputs!$E$65)*(1+Inputs!$E$66)^(M$5-1)</f>
        <v>-6720</v>
      </c>
      <c r="N13" s="69" t="n">
        <f aca="false">-N8*Inputs!$E$58/12*1*(1+Inputs!$E$65)*(1+Inputs!$E$66)^(N$5-1)</f>
        <v>-6720</v>
      </c>
      <c r="O13" s="69" t="n">
        <f aca="false">-O8*Inputs!$E$58/12*1*(1+Inputs!$E$65)*(1+Inputs!$E$66)^(O$5-1)</f>
        <v>-6921.6</v>
      </c>
      <c r="P13" s="69" t="n">
        <f aca="false">-P8*Inputs!$E$58/12*1*(1+Inputs!$E$65)*(1+Inputs!$E$66)^(P$5-1)</f>
        <v>-6921.6</v>
      </c>
      <c r="Q13" s="69" t="n">
        <f aca="false">-Q8*Inputs!$E$58/12*1*(1+Inputs!$E$65)*(1+Inputs!$E$66)^(Q$5-1)</f>
        <v>-6921.6</v>
      </c>
      <c r="R13" s="69" t="n">
        <f aca="false">-R8*Inputs!$E$58/12*1*(1+Inputs!$E$65)*(1+Inputs!$E$66)^(R$5-1)</f>
        <v>-6921.6</v>
      </c>
      <c r="S13" s="69" t="n">
        <f aca="false">-S8*Inputs!$E$58/12*1*(1+Inputs!$E$65)*(1+Inputs!$E$66)^(S$5-1)</f>
        <v>-6921.6</v>
      </c>
      <c r="T13" s="69" t="n">
        <f aca="false">-T8*Inputs!$E$58/12*1*(1+Inputs!$E$65)*(1+Inputs!$E$66)^(T$5-1)</f>
        <v>-6921.6</v>
      </c>
      <c r="U13" s="69" t="n">
        <f aca="false">-U8*Inputs!$E$58/12*1*(1+Inputs!$E$65)*(1+Inputs!$E$66)^(U$5-1)</f>
        <v>-6921.6</v>
      </c>
      <c r="V13" s="69" t="n">
        <f aca="false">-V8*Inputs!$E$58/12*1*(1+Inputs!$E$65)*(1+Inputs!$E$66)^(V$5-1)</f>
        <v>-6921.6</v>
      </c>
      <c r="W13" s="69" t="n">
        <f aca="false">-W8*Inputs!$E$58/12*1*(1+Inputs!$E$65)*(1+Inputs!$E$66)^(W$5-1)</f>
        <v>-6921.6</v>
      </c>
      <c r="X13" s="69" t="n">
        <f aca="false">-X8*Inputs!$E$58/12*1*(1+Inputs!$E$65)*(1+Inputs!$E$66)^(X$5-1)</f>
        <v>-6921.6</v>
      </c>
      <c r="Y13" s="69" t="n">
        <f aca="false">-Y8*Inputs!$E$58/12*1*(1+Inputs!$E$65)*(1+Inputs!$E$66)^(Y$5-1)</f>
        <v>-6921.6</v>
      </c>
      <c r="Z13" s="69" t="n">
        <f aca="false">-Z8*Inputs!$E$58/12*1*(1+Inputs!$E$65)*(1+Inputs!$E$66)^(Z$5-1)</f>
        <v>-6921.6</v>
      </c>
      <c r="AA13" s="69" t="n">
        <f aca="false">-AA8*Inputs!$E$58/12*1*(1+Inputs!$E$65)*(1+Inputs!$E$66)^(AA$5-1)</f>
        <v>-7129.248</v>
      </c>
      <c r="AB13" s="69" t="n">
        <f aca="false">-AB8*Inputs!$E$58/12*1*(1+Inputs!$E$65)*(1+Inputs!$E$66)^(AB$5-1)</f>
        <v>-7129.248</v>
      </c>
      <c r="AC13" s="69" t="n">
        <f aca="false">-AC8*Inputs!$E$58/12*1*(1+Inputs!$E$65)*(1+Inputs!$E$66)^(AC$5-1)</f>
        <v>-7129.248</v>
      </c>
      <c r="AD13" s="69" t="n">
        <f aca="false">-AD8*Inputs!$E$58/12*1*(1+Inputs!$E$65)*(1+Inputs!$E$66)^(AD$5-1)</f>
        <v>-7129.248</v>
      </c>
      <c r="AE13" s="69" t="n">
        <f aca="false">-AE8*Inputs!$E$58/12*1*(1+Inputs!$E$65)*(1+Inputs!$E$66)^(AE$5-1)</f>
        <v>-7129.248</v>
      </c>
      <c r="AF13" s="69" t="n">
        <f aca="false">-AF8*Inputs!$E$58/12*1*(1+Inputs!$E$65)*(1+Inputs!$E$66)^(AF$5-1)</f>
        <v>-7129.248</v>
      </c>
      <c r="AG13" s="69" t="n">
        <f aca="false">-AG8*Inputs!$E$58/12*1*(1+Inputs!$E$65)*(1+Inputs!$E$66)^(AG$5-1)</f>
        <v>-7129.248</v>
      </c>
      <c r="AH13" s="69" t="n">
        <f aca="false">-AH8*Inputs!$E$58/12*1*(1+Inputs!$E$65)*(1+Inputs!$E$66)^(AH$5-1)</f>
        <v>-7129.248</v>
      </c>
      <c r="AI13" s="69" t="n">
        <f aca="false">-AI8*Inputs!$E$58/12*1*(1+Inputs!$E$65)*(1+Inputs!$E$66)^(AI$5-1)</f>
        <v>-7129.248</v>
      </c>
      <c r="AJ13" s="69" t="n">
        <f aca="false">-AJ8*Inputs!$E$58/12*1*(1+Inputs!$E$65)*(1+Inputs!$E$66)^(AJ$5-1)</f>
        <v>-7129.248</v>
      </c>
      <c r="AK13" s="69" t="n">
        <f aca="false">-AK8*Inputs!$E$58/12*1*(1+Inputs!$E$65)*(1+Inputs!$E$66)^(AK$5-1)</f>
        <v>-7129.248</v>
      </c>
      <c r="AL13" s="69" t="n">
        <f aca="false">-AL8*Inputs!$E$58/12*1*(1+Inputs!$E$65)*(1+Inputs!$E$66)^(AL$5-1)</f>
        <v>-7129.248</v>
      </c>
    </row>
    <row r="14" customFormat="false" ht="15" hidden="false" customHeight="false" outlineLevel="0" collapsed="false">
      <c r="A14" s="6" t="s">
        <v>453</v>
      </c>
      <c r="C14" s="69" t="n">
        <f aca="false">-C9*Inputs!$E$62/12*1*(1+Inputs!$E$65)*(1+Inputs!$E$66)^(C$5-1)</f>
        <v>-29866.6666666667</v>
      </c>
      <c r="D14" s="69" t="n">
        <f aca="false">-D9*Inputs!$E$62/12*1*(1+Inputs!$E$65)*(1+Inputs!$E$66)^(D$5-1)</f>
        <v>-29866.6666666667</v>
      </c>
      <c r="E14" s="69" t="n">
        <f aca="false">-E9*Inputs!$E$62/12*1*(1+Inputs!$E$65)*(1+Inputs!$E$66)^(E$5-1)</f>
        <v>-29866.6666666667</v>
      </c>
      <c r="F14" s="69" t="n">
        <f aca="false">-F9*Inputs!$E$62/12*1*(1+Inputs!$E$65)*(1+Inputs!$E$66)^(F$5-1)</f>
        <v>-29866.6666666667</v>
      </c>
      <c r="G14" s="69" t="n">
        <f aca="false">-G9*Inputs!$E$62/12*1*(1+Inputs!$E$65)*(1+Inputs!$E$66)^(G$5-1)</f>
        <v>-29866.6666666667</v>
      </c>
      <c r="H14" s="69" t="n">
        <f aca="false">-H9*Inputs!$E$62/12*1*(1+Inputs!$E$65)*(1+Inputs!$E$66)^(H$5-1)</f>
        <v>-29866.6666666667</v>
      </c>
      <c r="I14" s="69" t="n">
        <f aca="false">-I9*Inputs!$E$62/12*1*(1+Inputs!$E$65)*(1+Inputs!$E$66)^(I$5-1)</f>
        <v>-29866.6666666667</v>
      </c>
      <c r="J14" s="69" t="n">
        <f aca="false">-J9*Inputs!$E$62/12*1*(1+Inputs!$E$65)*(1+Inputs!$E$66)^(J$5-1)</f>
        <v>-29866.6666666667</v>
      </c>
      <c r="K14" s="69" t="n">
        <f aca="false">-K9*Inputs!$E$62/12*1*(1+Inputs!$E$65)*(1+Inputs!$E$66)^(K$5-1)</f>
        <v>-29866.6666666667</v>
      </c>
      <c r="L14" s="69" t="n">
        <f aca="false">-L9*Inputs!$E$62/12*1*(1+Inputs!$E$65)*(1+Inputs!$E$66)^(L$5-1)</f>
        <v>-29866.6666666667</v>
      </c>
      <c r="M14" s="69" t="n">
        <f aca="false">-M9*Inputs!$E$62/12*1*(1+Inputs!$E$65)*(1+Inputs!$E$66)^(M$5-1)</f>
        <v>-29866.6666666667</v>
      </c>
      <c r="N14" s="69" t="n">
        <f aca="false">-N9*Inputs!$E$62/12*1*(1+Inputs!$E$65)*(1+Inputs!$E$66)^(N$5-1)</f>
        <v>-29866.6666666667</v>
      </c>
      <c r="O14" s="69" t="n">
        <f aca="false">-O9*Inputs!$E$62/12*1*(1+Inputs!$E$65)*(1+Inputs!$E$66)^(O$5-1)</f>
        <v>-30762.6666666667</v>
      </c>
      <c r="P14" s="69" t="n">
        <f aca="false">-P9*Inputs!$E$62/12*1*(1+Inputs!$E$65)*(1+Inputs!$E$66)^(P$5-1)</f>
        <v>-30762.6666666667</v>
      </c>
      <c r="Q14" s="69" t="n">
        <f aca="false">-Q9*Inputs!$E$62/12*1*(1+Inputs!$E$65)*(1+Inputs!$E$66)^(Q$5-1)</f>
        <v>-30762.6666666667</v>
      </c>
      <c r="R14" s="69" t="n">
        <f aca="false">-R9*Inputs!$E$62/12*1*(1+Inputs!$E$65)*(1+Inputs!$E$66)^(R$5-1)</f>
        <v>-30762.6666666667</v>
      </c>
      <c r="S14" s="69" t="n">
        <f aca="false">-S9*Inputs!$E$62/12*1*(1+Inputs!$E$65)*(1+Inputs!$E$66)^(S$5-1)</f>
        <v>-30762.6666666667</v>
      </c>
      <c r="T14" s="69" t="n">
        <f aca="false">-T9*Inputs!$E$62/12*1*(1+Inputs!$E$65)*(1+Inputs!$E$66)^(T$5-1)</f>
        <v>-30762.6666666667</v>
      </c>
      <c r="U14" s="69" t="n">
        <f aca="false">-U9*Inputs!$E$62/12*1*(1+Inputs!$E$65)*(1+Inputs!$E$66)^(U$5-1)</f>
        <v>-30762.6666666667</v>
      </c>
      <c r="V14" s="69" t="n">
        <f aca="false">-V9*Inputs!$E$62/12*1*(1+Inputs!$E$65)*(1+Inputs!$E$66)^(V$5-1)</f>
        <v>-30762.6666666667</v>
      </c>
      <c r="W14" s="69" t="n">
        <f aca="false">-W9*Inputs!$E$62/12*1*(1+Inputs!$E$65)*(1+Inputs!$E$66)^(W$5-1)</f>
        <v>-30762.6666666667</v>
      </c>
      <c r="X14" s="69" t="n">
        <f aca="false">-X9*Inputs!$E$62/12*1*(1+Inputs!$E$65)*(1+Inputs!$E$66)^(X$5-1)</f>
        <v>-30762.6666666667</v>
      </c>
      <c r="Y14" s="69" t="n">
        <f aca="false">-Y9*Inputs!$E$62/12*1*(1+Inputs!$E$65)*(1+Inputs!$E$66)^(Y$5-1)</f>
        <v>-30762.6666666667</v>
      </c>
      <c r="Z14" s="69" t="n">
        <f aca="false">-Z9*Inputs!$E$62/12*1*(1+Inputs!$E$65)*(1+Inputs!$E$66)^(Z$5-1)</f>
        <v>-30762.6666666667</v>
      </c>
      <c r="AA14" s="69" t="n">
        <f aca="false">-AA9*Inputs!$E$62/12*1*(1+Inputs!$E$65)*(1+Inputs!$E$66)^(AA$5-1)</f>
        <v>-31685.5466666667</v>
      </c>
      <c r="AB14" s="69" t="n">
        <f aca="false">-AB9*Inputs!$E$62/12*1*(1+Inputs!$E$65)*(1+Inputs!$E$66)^(AB$5-1)</f>
        <v>-31685.5466666667</v>
      </c>
      <c r="AC14" s="69" t="n">
        <f aca="false">-AC9*Inputs!$E$62/12*1*(1+Inputs!$E$65)*(1+Inputs!$E$66)^(AC$5-1)</f>
        <v>-31685.5466666667</v>
      </c>
      <c r="AD14" s="69" t="n">
        <f aca="false">-AD9*Inputs!$E$62/12*1*(1+Inputs!$E$65)*(1+Inputs!$E$66)^(AD$5-1)</f>
        <v>-31685.5466666667</v>
      </c>
      <c r="AE14" s="69" t="n">
        <f aca="false">-AE9*Inputs!$E$62/12*1*(1+Inputs!$E$65)*(1+Inputs!$E$66)^(AE$5-1)</f>
        <v>-31685.5466666667</v>
      </c>
      <c r="AF14" s="69" t="n">
        <f aca="false">-AF9*Inputs!$E$62/12*1*(1+Inputs!$E$65)*(1+Inputs!$E$66)^(AF$5-1)</f>
        <v>-31685.5466666667</v>
      </c>
      <c r="AG14" s="69" t="n">
        <f aca="false">-AG9*Inputs!$E$62/12*1*(1+Inputs!$E$65)*(1+Inputs!$E$66)^(AG$5-1)</f>
        <v>-31685.5466666667</v>
      </c>
      <c r="AH14" s="69" t="n">
        <f aca="false">-AH9*Inputs!$E$62/12*1*(1+Inputs!$E$65)*(1+Inputs!$E$66)^(AH$5-1)</f>
        <v>-31685.5466666667</v>
      </c>
      <c r="AI14" s="69" t="n">
        <f aca="false">-AI9*Inputs!$E$62/12*1*(1+Inputs!$E$65)*(1+Inputs!$E$66)^(AI$5-1)</f>
        <v>-31685.5466666667</v>
      </c>
      <c r="AJ14" s="69" t="n">
        <f aca="false">-AJ9*Inputs!$E$62/12*1*(1+Inputs!$E$65)*(1+Inputs!$E$66)^(AJ$5-1)</f>
        <v>-31685.5466666667</v>
      </c>
      <c r="AK14" s="69" t="n">
        <f aca="false">-AK9*Inputs!$E$62/12*1*(1+Inputs!$E$65)*(1+Inputs!$E$66)^(AK$5-1)</f>
        <v>-31685.5466666667</v>
      </c>
      <c r="AL14" s="69" t="n">
        <f aca="false">-AL9*Inputs!$E$62/12*1*(1+Inputs!$E$65)*(1+Inputs!$E$66)^(AL$5-1)</f>
        <v>-31685.5466666667</v>
      </c>
    </row>
    <row r="15" customFormat="false" ht="15" hidden="false" customHeight="false" outlineLevel="0" collapsed="false">
      <c r="A15" s="113" t="s">
        <v>454</v>
      </c>
      <c r="C15" s="70" t="n">
        <f aca="false">C13+C14</f>
        <v>-36586.6666666667</v>
      </c>
      <c r="D15" s="70" t="n">
        <f aca="false">D13+D14</f>
        <v>-36586.6666666667</v>
      </c>
      <c r="E15" s="70" t="n">
        <f aca="false">E13+E14</f>
        <v>-36586.6666666667</v>
      </c>
      <c r="F15" s="70" t="n">
        <f aca="false">F13+F14</f>
        <v>-36586.6666666667</v>
      </c>
      <c r="G15" s="70" t="n">
        <f aca="false">G13+G14</f>
        <v>-36586.6666666667</v>
      </c>
      <c r="H15" s="70" t="n">
        <f aca="false">H13+H14</f>
        <v>-36586.6666666667</v>
      </c>
      <c r="I15" s="70" t="n">
        <f aca="false">I13+I14</f>
        <v>-36586.6666666667</v>
      </c>
      <c r="J15" s="70" t="n">
        <f aca="false">J13+J14</f>
        <v>-36586.6666666667</v>
      </c>
      <c r="K15" s="70" t="n">
        <f aca="false">K13+K14</f>
        <v>-36586.6666666667</v>
      </c>
      <c r="L15" s="70" t="n">
        <f aca="false">L13+L14</f>
        <v>-36586.6666666667</v>
      </c>
      <c r="M15" s="70" t="n">
        <f aca="false">M13+M14</f>
        <v>-36586.6666666667</v>
      </c>
      <c r="N15" s="70" t="n">
        <f aca="false">N13+N14</f>
        <v>-36586.6666666667</v>
      </c>
      <c r="O15" s="70" t="n">
        <f aca="false">O13+O14</f>
        <v>-37684.2666666667</v>
      </c>
      <c r="P15" s="70" t="n">
        <f aca="false">P13+P14</f>
        <v>-37684.2666666667</v>
      </c>
      <c r="Q15" s="70" t="n">
        <f aca="false">Q13+Q14</f>
        <v>-37684.2666666667</v>
      </c>
      <c r="R15" s="70" t="n">
        <f aca="false">R13+R14</f>
        <v>-37684.2666666667</v>
      </c>
      <c r="S15" s="70" t="n">
        <f aca="false">S13+S14</f>
        <v>-37684.2666666667</v>
      </c>
      <c r="T15" s="70" t="n">
        <f aca="false">T13+T14</f>
        <v>-37684.2666666667</v>
      </c>
      <c r="U15" s="70" t="n">
        <f aca="false">U13+U14</f>
        <v>-37684.2666666667</v>
      </c>
      <c r="V15" s="70" t="n">
        <f aca="false">V13+V14</f>
        <v>-37684.2666666667</v>
      </c>
      <c r="W15" s="70" t="n">
        <f aca="false">W13+W14</f>
        <v>-37684.2666666667</v>
      </c>
      <c r="X15" s="70" t="n">
        <f aca="false">X13+X14</f>
        <v>-37684.2666666667</v>
      </c>
      <c r="Y15" s="70" t="n">
        <f aca="false">Y13+Y14</f>
        <v>-37684.2666666667</v>
      </c>
      <c r="Z15" s="70" t="n">
        <f aca="false">Z13+Z14</f>
        <v>-37684.2666666667</v>
      </c>
      <c r="AA15" s="70" t="n">
        <f aca="false">AA13+AA14</f>
        <v>-38814.7946666667</v>
      </c>
      <c r="AB15" s="70" t="n">
        <f aca="false">AB13+AB14</f>
        <v>-38814.7946666667</v>
      </c>
      <c r="AC15" s="70" t="n">
        <f aca="false">AC13+AC14</f>
        <v>-38814.7946666667</v>
      </c>
      <c r="AD15" s="70" t="n">
        <f aca="false">AD13+AD14</f>
        <v>-38814.7946666667</v>
      </c>
      <c r="AE15" s="70" t="n">
        <f aca="false">AE13+AE14</f>
        <v>-38814.7946666667</v>
      </c>
      <c r="AF15" s="70" t="n">
        <f aca="false">AF13+AF14</f>
        <v>-38814.7946666667</v>
      </c>
      <c r="AG15" s="70" t="n">
        <f aca="false">AG13+AG14</f>
        <v>-38814.7946666667</v>
      </c>
      <c r="AH15" s="70" t="n">
        <f aca="false">AH13+AH14</f>
        <v>-38814.7946666667</v>
      </c>
      <c r="AI15" s="70" t="n">
        <f aca="false">AI13+AI14</f>
        <v>-38814.7946666667</v>
      </c>
      <c r="AJ15" s="70" t="n">
        <f aca="false">AJ13+AJ14</f>
        <v>-38814.7946666667</v>
      </c>
      <c r="AK15" s="70" t="n">
        <f aca="false">AK13+AK14</f>
        <v>-38814.7946666667</v>
      </c>
      <c r="AL15" s="70" t="n">
        <f aca="false">AL13+AL14</f>
        <v>-38814.7946666667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8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455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456</v>
      </c>
    </row>
    <row r="4" customFormat="false" ht="15.75" hidden="false" customHeight="true" outlineLevel="0" collapsed="false">
      <c r="A4" s="7" t="s">
        <v>457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353</v>
      </c>
      <c r="C5" s="35" t="s">
        <v>354</v>
      </c>
      <c r="D5" s="35" t="s">
        <v>355</v>
      </c>
      <c r="E5" s="35" t="s">
        <v>356</v>
      </c>
      <c r="F5" s="35" t="s">
        <v>357</v>
      </c>
      <c r="G5" s="35" t="s">
        <v>358</v>
      </c>
      <c r="H5" s="35" t="s">
        <v>359</v>
      </c>
      <c r="I5" s="35" t="s">
        <v>360</v>
      </c>
      <c r="J5" s="35" t="s">
        <v>361</v>
      </c>
      <c r="K5" s="35" t="s">
        <v>362</v>
      </c>
      <c r="L5" s="35" t="s">
        <v>363</v>
      </c>
      <c r="M5" s="35" t="s">
        <v>364</v>
      </c>
      <c r="N5" s="35" t="s">
        <v>365</v>
      </c>
      <c r="O5" s="35" t="s">
        <v>366</v>
      </c>
      <c r="P5" s="35" t="s">
        <v>367</v>
      </c>
      <c r="Q5" s="35" t="s">
        <v>368</v>
      </c>
      <c r="R5" s="35" t="s">
        <v>369</v>
      </c>
      <c r="S5" s="35" t="s">
        <v>370</v>
      </c>
      <c r="T5" s="35" t="s">
        <v>371</v>
      </c>
      <c r="U5" s="35" t="s">
        <v>372</v>
      </c>
      <c r="V5" s="35" t="s">
        <v>373</v>
      </c>
      <c r="W5" s="35" t="s">
        <v>374</v>
      </c>
      <c r="X5" s="35" t="s">
        <v>375</v>
      </c>
      <c r="Y5" s="35" t="s">
        <v>376</v>
      </c>
      <c r="Z5" s="35" t="s">
        <v>377</v>
      </c>
      <c r="AA5" s="35" t="s">
        <v>378</v>
      </c>
      <c r="AB5" s="35" t="s">
        <v>379</v>
      </c>
      <c r="AC5" s="35" t="s">
        <v>380</v>
      </c>
      <c r="AD5" s="35" t="s">
        <v>381</v>
      </c>
      <c r="AE5" s="35" t="s">
        <v>382</v>
      </c>
      <c r="AF5" s="35" t="s">
        <v>383</v>
      </c>
      <c r="AG5" s="35" t="s">
        <v>384</v>
      </c>
      <c r="AH5" s="35" t="s">
        <v>385</v>
      </c>
      <c r="AI5" s="35" t="s">
        <v>386</v>
      </c>
      <c r="AJ5" s="35" t="s">
        <v>387</v>
      </c>
      <c r="AK5" s="35" t="s">
        <v>388</v>
      </c>
      <c r="AL5" s="35" t="s">
        <v>389</v>
      </c>
    </row>
    <row r="6" customFormat="false" ht="15" hidden="false" customHeight="false" outlineLevel="0" collapsed="false">
      <c r="A6" s="74" t="s">
        <v>390</v>
      </c>
      <c r="C6" s="74" t="n">
        <v>1</v>
      </c>
      <c r="D6" s="74" t="n">
        <v>2</v>
      </c>
      <c r="E6" s="74" t="n">
        <v>3</v>
      </c>
      <c r="F6" s="74" t="n">
        <v>4</v>
      </c>
      <c r="G6" s="74" t="n">
        <v>5</v>
      </c>
      <c r="H6" s="74" t="n">
        <v>6</v>
      </c>
      <c r="I6" s="74" t="n">
        <v>7</v>
      </c>
      <c r="J6" s="74" t="n">
        <v>8</v>
      </c>
      <c r="K6" s="74" t="n">
        <v>9</v>
      </c>
      <c r="L6" s="74" t="n">
        <v>10</v>
      </c>
      <c r="M6" s="74" t="n">
        <v>11</v>
      </c>
      <c r="N6" s="74" t="n">
        <v>12</v>
      </c>
      <c r="O6" s="74" t="n">
        <v>13</v>
      </c>
      <c r="P6" s="74" t="n">
        <v>14</v>
      </c>
      <c r="Q6" s="74" t="n">
        <v>15</v>
      </c>
      <c r="R6" s="74" t="n">
        <v>16</v>
      </c>
      <c r="S6" s="74" t="n">
        <v>17</v>
      </c>
      <c r="T6" s="74" t="n">
        <v>18</v>
      </c>
      <c r="U6" s="74" t="n">
        <v>19</v>
      </c>
      <c r="V6" s="74" t="n">
        <v>20</v>
      </c>
      <c r="W6" s="74" t="n">
        <v>21</v>
      </c>
      <c r="X6" s="74" t="n">
        <v>22</v>
      </c>
      <c r="Y6" s="74" t="n">
        <v>23</v>
      </c>
      <c r="Z6" s="74" t="n">
        <v>24</v>
      </c>
      <c r="AA6" s="74" t="n">
        <v>25</v>
      </c>
      <c r="AB6" s="74" t="n">
        <v>26</v>
      </c>
      <c r="AC6" s="74" t="n">
        <v>27</v>
      </c>
      <c r="AD6" s="74" t="n">
        <v>28</v>
      </c>
      <c r="AE6" s="74" t="n">
        <v>29</v>
      </c>
      <c r="AF6" s="74" t="n">
        <v>30</v>
      </c>
      <c r="AG6" s="74" t="n">
        <v>31</v>
      </c>
      <c r="AH6" s="74" t="n">
        <v>32</v>
      </c>
      <c r="AI6" s="74" t="n">
        <v>33</v>
      </c>
      <c r="AJ6" s="74" t="n">
        <v>34</v>
      </c>
      <c r="AK6" s="74" t="n">
        <v>35</v>
      </c>
      <c r="AL6" s="74" t="n">
        <v>36</v>
      </c>
    </row>
    <row r="7" customFormat="false" ht="15" hidden="false" customHeight="false" outlineLevel="0" collapsed="false">
      <c r="A7" s="74" t="s">
        <v>155</v>
      </c>
      <c r="C7" s="74" t="n">
        <f aca="false">ROUNDUP(C6*1/12,0)</f>
        <v>1</v>
      </c>
      <c r="D7" s="74" t="n">
        <f aca="false">ROUNDUP(D6*1/12,0)</f>
        <v>1</v>
      </c>
      <c r="E7" s="74" t="n">
        <f aca="false">ROUNDUP(E6*1/12,0)</f>
        <v>1</v>
      </c>
      <c r="F7" s="74" t="n">
        <f aca="false">ROUNDUP(F6*1/12,0)</f>
        <v>1</v>
      </c>
      <c r="G7" s="74" t="n">
        <f aca="false">ROUNDUP(G6*1/12,0)</f>
        <v>1</v>
      </c>
      <c r="H7" s="74" t="n">
        <f aca="false">ROUNDUP(H6*1/12,0)</f>
        <v>1</v>
      </c>
      <c r="I7" s="74" t="n">
        <f aca="false">ROUNDUP(I6*1/12,0)</f>
        <v>1</v>
      </c>
      <c r="J7" s="74" t="n">
        <f aca="false">ROUNDUP(J6*1/12,0)</f>
        <v>1</v>
      </c>
      <c r="K7" s="74" t="n">
        <f aca="false">ROUNDUP(K6*1/12,0)</f>
        <v>1</v>
      </c>
      <c r="L7" s="74" t="n">
        <f aca="false">ROUNDUP(L6*1/12,0)</f>
        <v>1</v>
      </c>
      <c r="M7" s="74" t="n">
        <f aca="false">ROUNDUP(M6*1/12,0)</f>
        <v>1</v>
      </c>
      <c r="N7" s="74" t="n">
        <f aca="false">ROUNDUP(N6*1/12,0)</f>
        <v>1</v>
      </c>
      <c r="O7" s="74" t="n">
        <f aca="false">ROUNDUP(O6*1/12,0)</f>
        <v>2</v>
      </c>
      <c r="P7" s="74" t="n">
        <f aca="false">ROUNDUP(P6*1/12,0)</f>
        <v>2</v>
      </c>
      <c r="Q7" s="74" t="n">
        <f aca="false">ROUNDUP(Q6*1/12,0)</f>
        <v>2</v>
      </c>
      <c r="R7" s="74" t="n">
        <f aca="false">ROUNDUP(R6*1/12,0)</f>
        <v>2</v>
      </c>
      <c r="S7" s="74" t="n">
        <f aca="false">ROUNDUP(S6*1/12,0)</f>
        <v>2</v>
      </c>
      <c r="T7" s="74" t="n">
        <f aca="false">ROUNDUP(T6*1/12,0)</f>
        <v>2</v>
      </c>
      <c r="U7" s="74" t="n">
        <f aca="false">ROUNDUP(U6*1/12,0)</f>
        <v>2</v>
      </c>
      <c r="V7" s="74" t="n">
        <f aca="false">ROUNDUP(V6*1/12,0)</f>
        <v>2</v>
      </c>
      <c r="W7" s="74" t="n">
        <f aca="false">ROUNDUP(W6*1/12,0)</f>
        <v>2</v>
      </c>
      <c r="X7" s="74" t="n">
        <f aca="false">ROUNDUP(X6*1/12,0)</f>
        <v>2</v>
      </c>
      <c r="Y7" s="74" t="n">
        <f aca="false">ROUNDUP(Y6*1/12,0)</f>
        <v>2</v>
      </c>
      <c r="Z7" s="74" t="n">
        <f aca="false">ROUNDUP(Z6*1/12,0)</f>
        <v>2</v>
      </c>
      <c r="AA7" s="74" t="n">
        <f aca="false">ROUNDUP(AA6*1/12,0)</f>
        <v>3</v>
      </c>
      <c r="AB7" s="74" t="n">
        <f aca="false">ROUNDUP(AB6*1/12,0)</f>
        <v>3</v>
      </c>
      <c r="AC7" s="74" t="n">
        <f aca="false">ROUNDUP(AC6*1/12,0)</f>
        <v>3</v>
      </c>
      <c r="AD7" s="74" t="n">
        <f aca="false">ROUNDUP(AD6*1/12,0)</f>
        <v>3</v>
      </c>
      <c r="AE7" s="74" t="n">
        <f aca="false">ROUNDUP(AE6*1/12,0)</f>
        <v>3</v>
      </c>
      <c r="AF7" s="74" t="n">
        <f aca="false">ROUNDUP(AF6*1/12,0)</f>
        <v>3</v>
      </c>
      <c r="AG7" s="74" t="n">
        <f aca="false">ROUNDUP(AG6*1/12,0)</f>
        <v>3</v>
      </c>
      <c r="AH7" s="74" t="n">
        <f aca="false">ROUNDUP(AH6*1/12,0)</f>
        <v>3</v>
      </c>
      <c r="AI7" s="74" t="n">
        <f aca="false">ROUNDUP(AI6*1/12,0)</f>
        <v>3</v>
      </c>
      <c r="AJ7" s="74" t="n">
        <f aca="false">ROUNDUP(AJ6*1/12,0)</f>
        <v>3</v>
      </c>
      <c r="AK7" s="74" t="n">
        <f aca="false">ROUNDUP(AK6*1/12,0)</f>
        <v>3</v>
      </c>
      <c r="AL7" s="74" t="n">
        <f aca="false">ROUNDUP(AL6*1/12,0)</f>
        <v>3</v>
      </c>
    </row>
    <row r="9" customFormat="false" ht="15.75" hidden="false" customHeight="true" outlineLevel="0" collapsed="false">
      <c r="A9" s="7" t="s">
        <v>391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6" t="s">
        <v>392</v>
      </c>
      <c r="C10" s="117" t="n">
        <f aca="false">MAX(0,MIN(1,Inputs!$B$10-(C$6-1)*1))</f>
        <v>1</v>
      </c>
      <c r="D10" s="117" t="n">
        <f aca="false">MAX(0,MIN(1,Inputs!$B$10-(D$6-1)*1))</f>
        <v>1</v>
      </c>
      <c r="E10" s="117" t="n">
        <f aca="false">MAX(0,MIN(1,Inputs!$B$10-(E$6-1)*1))</f>
        <v>1</v>
      </c>
      <c r="F10" s="117" t="n">
        <f aca="false">MAX(0,MIN(1,Inputs!$B$10-(F$6-1)*1))</f>
        <v>1</v>
      </c>
      <c r="G10" s="117" t="n">
        <f aca="false">MAX(0,MIN(1,Inputs!$B$10-(G$6-1)*1))</f>
        <v>1</v>
      </c>
      <c r="H10" s="117" t="n">
        <f aca="false">MAX(0,MIN(1,Inputs!$B$10-(H$6-1)*1))</f>
        <v>1</v>
      </c>
      <c r="I10" s="117" t="n">
        <f aca="false">MAX(0,MIN(1,Inputs!$B$10-(I$6-1)*1))</f>
        <v>1</v>
      </c>
      <c r="J10" s="117" t="n">
        <f aca="false">MAX(0,MIN(1,Inputs!$B$10-(J$6-1)*1))</f>
        <v>1</v>
      </c>
      <c r="K10" s="117" t="n">
        <f aca="false">MAX(0,MIN(1,Inputs!$B$10-(K$6-1)*1))</f>
        <v>1</v>
      </c>
      <c r="L10" s="117" t="n">
        <f aca="false">MAX(0,MIN(1,Inputs!$B$10-(L$6-1)*1))</f>
        <v>1</v>
      </c>
      <c r="M10" s="117" t="n">
        <f aca="false">MAX(0,MIN(1,Inputs!$B$10-(M$6-1)*1))</f>
        <v>1</v>
      </c>
      <c r="N10" s="117" t="n">
        <f aca="false">MAX(0,MIN(1,Inputs!$B$10-(N$6-1)*1))</f>
        <v>1</v>
      </c>
      <c r="O10" s="117" t="n">
        <f aca="false">MAX(0,MIN(1,Inputs!$B$10-(O$6-1)*1))</f>
        <v>0</v>
      </c>
      <c r="P10" s="117" t="n">
        <f aca="false">MAX(0,MIN(1,Inputs!$B$10-(P$6-1)*1))</f>
        <v>0</v>
      </c>
      <c r="Q10" s="117" t="n">
        <f aca="false">MAX(0,MIN(1,Inputs!$B$10-(Q$6-1)*1))</f>
        <v>0</v>
      </c>
      <c r="R10" s="117" t="n">
        <f aca="false">MAX(0,MIN(1,Inputs!$B$10-(R$6-1)*1))</f>
        <v>0</v>
      </c>
      <c r="S10" s="117" t="n">
        <f aca="false">MAX(0,MIN(1,Inputs!$B$10-(S$6-1)*1))</f>
        <v>0</v>
      </c>
      <c r="T10" s="117" t="n">
        <f aca="false">MAX(0,MIN(1,Inputs!$B$10-(T$6-1)*1))</f>
        <v>0</v>
      </c>
      <c r="U10" s="117" t="n">
        <f aca="false">MAX(0,MIN(1,Inputs!$B$10-(U$6-1)*1))</f>
        <v>0</v>
      </c>
      <c r="V10" s="117" t="n">
        <f aca="false">MAX(0,MIN(1,Inputs!$B$10-(V$6-1)*1))</f>
        <v>0</v>
      </c>
      <c r="W10" s="117" t="n">
        <f aca="false">MAX(0,MIN(1,Inputs!$B$10-(W$6-1)*1))</f>
        <v>0</v>
      </c>
      <c r="X10" s="117" t="n">
        <f aca="false">MAX(0,MIN(1,Inputs!$B$10-(X$6-1)*1))</f>
        <v>0</v>
      </c>
      <c r="Y10" s="117" t="n">
        <f aca="false">MAX(0,MIN(1,Inputs!$B$10-(Y$6-1)*1))</f>
        <v>0</v>
      </c>
      <c r="Z10" s="117" t="n">
        <f aca="false">MAX(0,MIN(1,Inputs!$B$10-(Z$6-1)*1))</f>
        <v>0</v>
      </c>
      <c r="AA10" s="117" t="n">
        <f aca="false">MAX(0,MIN(1,Inputs!$B$10-(AA$6-1)*1))</f>
        <v>0</v>
      </c>
      <c r="AB10" s="117" t="n">
        <f aca="false">MAX(0,MIN(1,Inputs!$B$10-(AB$6-1)*1))</f>
        <v>0</v>
      </c>
      <c r="AC10" s="117" t="n">
        <f aca="false">MAX(0,MIN(1,Inputs!$B$10-(AC$6-1)*1))</f>
        <v>0</v>
      </c>
      <c r="AD10" s="117" t="n">
        <f aca="false">MAX(0,MIN(1,Inputs!$B$10-(AD$6-1)*1))</f>
        <v>0</v>
      </c>
      <c r="AE10" s="117" t="n">
        <f aca="false">MAX(0,MIN(1,Inputs!$B$10-(AE$6-1)*1))</f>
        <v>0</v>
      </c>
      <c r="AF10" s="117" t="n">
        <f aca="false">MAX(0,MIN(1,Inputs!$B$10-(AF$6-1)*1))</f>
        <v>0</v>
      </c>
      <c r="AG10" s="117" t="n">
        <f aca="false">MAX(0,MIN(1,Inputs!$B$10-(AG$6-1)*1))</f>
        <v>0</v>
      </c>
      <c r="AH10" s="117" t="n">
        <f aca="false">MAX(0,MIN(1,Inputs!$B$10-(AH$6-1)*1))</f>
        <v>0</v>
      </c>
      <c r="AI10" s="117" t="n">
        <f aca="false">MAX(0,MIN(1,Inputs!$B$10-(AI$6-1)*1))</f>
        <v>0</v>
      </c>
      <c r="AJ10" s="117" t="n">
        <f aca="false">MAX(0,MIN(1,Inputs!$B$10-(AJ$6-1)*1))</f>
        <v>0</v>
      </c>
      <c r="AK10" s="117" t="n">
        <f aca="false">MAX(0,MIN(1,Inputs!$B$10-(AK$6-1)*1))</f>
        <v>0</v>
      </c>
      <c r="AL10" s="117" t="n">
        <f aca="false">MAX(0,MIN(1,Inputs!$B$10-(AL$6-1)*1))</f>
        <v>0</v>
      </c>
    </row>
    <row r="11" customFormat="false" ht="15" hidden="false" customHeight="false" outlineLevel="0" collapsed="false">
      <c r="A11" s="39" t="s">
        <v>393</v>
      </c>
      <c r="C11" s="76" t="n">
        <f aca="false">IF(Inputs!$B$10&lt;=0,1,(C10*Inputs!$B$11+(1-Inputs!$B$11)/MAX(1,Inputs!$B$10)*(C10*(C$6-1)*1+C10*(C10-1)/2)+1-C10)/1)</f>
        <v>0.35</v>
      </c>
      <c r="D11" s="76" t="n">
        <f aca="false">IF(Inputs!$B$10&lt;=0,1,(D10*Inputs!$B$11+(1-Inputs!$B$11)/MAX(1,Inputs!$B$10)*(D10*(D$6-1)*1+D10*(D10-1)/2)+1-D10)/1)</f>
        <v>0.404166666666667</v>
      </c>
      <c r="E11" s="76" t="n">
        <f aca="false">IF(Inputs!$B$10&lt;=0,1,(E10*Inputs!$B$11+(1-Inputs!$B$11)/MAX(1,Inputs!$B$10)*(E10*(E$6-1)*1+E10*(E10-1)/2)+1-E10)/1)</f>
        <v>0.458333333333333</v>
      </c>
      <c r="F11" s="76" t="n">
        <f aca="false">IF(Inputs!$B$10&lt;=0,1,(F10*Inputs!$B$11+(1-Inputs!$B$11)/MAX(1,Inputs!$B$10)*(F10*(F$6-1)*1+F10*(F10-1)/2)+1-F10)/1)</f>
        <v>0.5125</v>
      </c>
      <c r="G11" s="76" t="n">
        <f aca="false">IF(Inputs!$B$10&lt;=0,1,(G10*Inputs!$B$11+(1-Inputs!$B$11)/MAX(1,Inputs!$B$10)*(G10*(G$6-1)*1+G10*(G10-1)/2)+1-G10)/1)</f>
        <v>0.566666666666667</v>
      </c>
      <c r="H11" s="76" t="n">
        <f aca="false">IF(Inputs!$B$10&lt;=0,1,(H10*Inputs!$B$11+(1-Inputs!$B$11)/MAX(1,Inputs!$B$10)*(H10*(H$6-1)*1+H10*(H10-1)/2)+1-H10)/1)</f>
        <v>0.620833333333333</v>
      </c>
      <c r="I11" s="76" t="n">
        <f aca="false">IF(Inputs!$B$10&lt;=0,1,(I10*Inputs!$B$11+(1-Inputs!$B$11)/MAX(1,Inputs!$B$10)*(I10*(I$6-1)*1+I10*(I10-1)/2)+1-I10)/1)</f>
        <v>0.675</v>
      </c>
      <c r="J11" s="76" t="n">
        <f aca="false">IF(Inputs!$B$10&lt;=0,1,(J10*Inputs!$B$11+(1-Inputs!$B$11)/MAX(1,Inputs!$B$10)*(J10*(J$6-1)*1+J10*(J10-1)/2)+1-J10)/1)</f>
        <v>0.729166666666667</v>
      </c>
      <c r="K11" s="76" t="n">
        <f aca="false">IF(Inputs!$B$10&lt;=0,1,(K10*Inputs!$B$11+(1-Inputs!$B$11)/MAX(1,Inputs!$B$10)*(K10*(K$6-1)*1+K10*(K10-1)/2)+1-K10)/1)</f>
        <v>0.783333333333333</v>
      </c>
      <c r="L11" s="76" t="n">
        <f aca="false">IF(Inputs!$B$10&lt;=0,1,(L10*Inputs!$B$11+(1-Inputs!$B$11)/MAX(1,Inputs!$B$10)*(L10*(L$6-1)*1+L10*(L10-1)/2)+1-L10)/1)</f>
        <v>0.8375</v>
      </c>
      <c r="M11" s="76" t="n">
        <f aca="false">IF(Inputs!$B$10&lt;=0,1,(M10*Inputs!$B$11+(1-Inputs!$B$11)/MAX(1,Inputs!$B$10)*(M10*(M$6-1)*1+M10*(M10-1)/2)+1-M10)/1)</f>
        <v>0.891666666666667</v>
      </c>
      <c r="N11" s="76" t="n">
        <f aca="false">IF(Inputs!$B$10&lt;=0,1,(N10*Inputs!$B$11+(1-Inputs!$B$11)/MAX(1,Inputs!$B$10)*(N10*(N$6-1)*1+N10*(N10-1)/2)+1-N10)/1)</f>
        <v>0.945833333333333</v>
      </c>
      <c r="O11" s="76" t="n">
        <f aca="false">IF(Inputs!$B$10&lt;=0,1,(O10*Inputs!$B$11+(1-Inputs!$B$11)/MAX(1,Inputs!$B$10)*(O10*(O$6-1)*1+O10*(O10-1)/2)+1-O10)/1)</f>
        <v>1</v>
      </c>
      <c r="P11" s="76" t="n">
        <f aca="false">IF(Inputs!$B$10&lt;=0,1,(P10*Inputs!$B$11+(1-Inputs!$B$11)/MAX(1,Inputs!$B$10)*(P10*(P$6-1)*1+P10*(P10-1)/2)+1-P10)/1)</f>
        <v>1</v>
      </c>
      <c r="Q11" s="76" t="n">
        <f aca="false">IF(Inputs!$B$10&lt;=0,1,(Q10*Inputs!$B$11+(1-Inputs!$B$11)/MAX(1,Inputs!$B$10)*(Q10*(Q$6-1)*1+Q10*(Q10-1)/2)+1-Q10)/1)</f>
        <v>1</v>
      </c>
      <c r="R11" s="76" t="n">
        <f aca="false">IF(Inputs!$B$10&lt;=0,1,(R10*Inputs!$B$11+(1-Inputs!$B$11)/MAX(1,Inputs!$B$10)*(R10*(R$6-1)*1+R10*(R10-1)/2)+1-R10)/1)</f>
        <v>1</v>
      </c>
      <c r="S11" s="76" t="n">
        <f aca="false">IF(Inputs!$B$10&lt;=0,1,(S10*Inputs!$B$11+(1-Inputs!$B$11)/MAX(1,Inputs!$B$10)*(S10*(S$6-1)*1+S10*(S10-1)/2)+1-S10)/1)</f>
        <v>1</v>
      </c>
      <c r="T11" s="76" t="n">
        <f aca="false">IF(Inputs!$B$10&lt;=0,1,(T10*Inputs!$B$11+(1-Inputs!$B$11)/MAX(1,Inputs!$B$10)*(T10*(T$6-1)*1+T10*(T10-1)/2)+1-T10)/1)</f>
        <v>1</v>
      </c>
      <c r="U11" s="76" t="n">
        <f aca="false">IF(Inputs!$B$10&lt;=0,1,(U10*Inputs!$B$11+(1-Inputs!$B$11)/MAX(1,Inputs!$B$10)*(U10*(U$6-1)*1+U10*(U10-1)/2)+1-U10)/1)</f>
        <v>1</v>
      </c>
      <c r="V11" s="76" t="n">
        <f aca="false">IF(Inputs!$B$10&lt;=0,1,(V10*Inputs!$B$11+(1-Inputs!$B$11)/MAX(1,Inputs!$B$10)*(V10*(V$6-1)*1+V10*(V10-1)/2)+1-V10)/1)</f>
        <v>1</v>
      </c>
      <c r="W11" s="76" t="n">
        <f aca="false">IF(Inputs!$B$10&lt;=0,1,(W10*Inputs!$B$11+(1-Inputs!$B$11)/MAX(1,Inputs!$B$10)*(W10*(W$6-1)*1+W10*(W10-1)/2)+1-W10)/1)</f>
        <v>1</v>
      </c>
      <c r="X11" s="76" t="n">
        <f aca="false">IF(Inputs!$B$10&lt;=0,1,(X10*Inputs!$B$11+(1-Inputs!$B$11)/MAX(1,Inputs!$B$10)*(X10*(X$6-1)*1+X10*(X10-1)/2)+1-X10)/1)</f>
        <v>1</v>
      </c>
      <c r="Y11" s="76" t="n">
        <f aca="false">IF(Inputs!$B$10&lt;=0,1,(Y10*Inputs!$B$11+(1-Inputs!$B$11)/MAX(1,Inputs!$B$10)*(Y10*(Y$6-1)*1+Y10*(Y10-1)/2)+1-Y10)/1)</f>
        <v>1</v>
      </c>
      <c r="Z11" s="76" t="n">
        <f aca="false">IF(Inputs!$B$10&lt;=0,1,(Z10*Inputs!$B$11+(1-Inputs!$B$11)/MAX(1,Inputs!$B$10)*(Z10*(Z$6-1)*1+Z10*(Z10-1)/2)+1-Z10)/1)</f>
        <v>1</v>
      </c>
      <c r="AA11" s="76" t="n">
        <f aca="false">IF(Inputs!$B$10&lt;=0,1,(AA10*Inputs!$B$11+(1-Inputs!$B$11)/MAX(1,Inputs!$B$10)*(AA10*(AA$6-1)*1+AA10*(AA10-1)/2)+1-AA10)/1)</f>
        <v>1</v>
      </c>
      <c r="AB11" s="76" t="n">
        <f aca="false">IF(Inputs!$B$10&lt;=0,1,(AB10*Inputs!$B$11+(1-Inputs!$B$11)/MAX(1,Inputs!$B$10)*(AB10*(AB$6-1)*1+AB10*(AB10-1)/2)+1-AB10)/1)</f>
        <v>1</v>
      </c>
      <c r="AC11" s="76" t="n">
        <f aca="false">IF(Inputs!$B$10&lt;=0,1,(AC10*Inputs!$B$11+(1-Inputs!$B$11)/MAX(1,Inputs!$B$10)*(AC10*(AC$6-1)*1+AC10*(AC10-1)/2)+1-AC10)/1)</f>
        <v>1</v>
      </c>
      <c r="AD11" s="76" t="n">
        <f aca="false">IF(Inputs!$B$10&lt;=0,1,(AD10*Inputs!$B$11+(1-Inputs!$B$11)/MAX(1,Inputs!$B$10)*(AD10*(AD$6-1)*1+AD10*(AD10-1)/2)+1-AD10)/1)</f>
        <v>1</v>
      </c>
      <c r="AE11" s="76" t="n">
        <f aca="false">IF(Inputs!$B$10&lt;=0,1,(AE10*Inputs!$B$11+(1-Inputs!$B$11)/MAX(1,Inputs!$B$10)*(AE10*(AE$6-1)*1+AE10*(AE10-1)/2)+1-AE10)/1)</f>
        <v>1</v>
      </c>
      <c r="AF11" s="76" t="n">
        <f aca="false">IF(Inputs!$B$10&lt;=0,1,(AF10*Inputs!$B$11+(1-Inputs!$B$11)/MAX(1,Inputs!$B$10)*(AF10*(AF$6-1)*1+AF10*(AF10-1)/2)+1-AF10)/1)</f>
        <v>1</v>
      </c>
      <c r="AG11" s="76" t="n">
        <f aca="false">IF(Inputs!$B$10&lt;=0,1,(AG10*Inputs!$B$11+(1-Inputs!$B$11)/MAX(1,Inputs!$B$10)*(AG10*(AG$6-1)*1+AG10*(AG10-1)/2)+1-AG10)/1)</f>
        <v>1</v>
      </c>
      <c r="AH11" s="76" t="n">
        <f aca="false">IF(Inputs!$B$10&lt;=0,1,(AH10*Inputs!$B$11+(1-Inputs!$B$11)/MAX(1,Inputs!$B$10)*(AH10*(AH$6-1)*1+AH10*(AH10-1)/2)+1-AH10)/1)</f>
        <v>1</v>
      </c>
      <c r="AI11" s="76" t="n">
        <f aca="false">IF(Inputs!$B$10&lt;=0,1,(AI10*Inputs!$B$11+(1-Inputs!$B$11)/MAX(1,Inputs!$B$10)*(AI10*(AI$6-1)*1+AI10*(AI10-1)/2)+1-AI10)/1)</f>
        <v>1</v>
      </c>
      <c r="AJ11" s="76" t="n">
        <f aca="false">IF(Inputs!$B$10&lt;=0,1,(AJ10*Inputs!$B$11+(1-Inputs!$B$11)/MAX(1,Inputs!$B$10)*(AJ10*(AJ$6-1)*1+AJ10*(AJ10-1)/2)+1-AJ10)/1)</f>
        <v>1</v>
      </c>
      <c r="AK11" s="76" t="n">
        <f aca="false">IF(Inputs!$B$10&lt;=0,1,(AK10*Inputs!$B$11+(1-Inputs!$B$11)/MAX(1,Inputs!$B$10)*(AK10*(AK$6-1)*1+AK10*(AK10-1)/2)+1-AK10)/1)</f>
        <v>1</v>
      </c>
      <c r="AL11" s="76" t="n">
        <f aca="false">IF(Inputs!$B$10&lt;=0,1,(AL10*Inputs!$B$11+(1-Inputs!$B$11)/MAX(1,Inputs!$B$10)*(AL10*(AL$6-1)*1+AL10*(AL10-1)/2)+1-AL10)/1)</f>
        <v>1</v>
      </c>
    </row>
    <row r="12" customFormat="false" ht="15" hidden="false" customHeight="false" outlineLevel="0" collapsed="false">
      <c r="A12" s="6" t="s">
        <v>394</v>
      </c>
      <c r="C12" s="79" t="n">
        <f aca="false">IF(OR(MOD(C$6-1,12)&gt;=11,MOD(C$6-1,12)&lt;=1),1-Inputs!$B$12,1+Inputs!$B$12/3)</f>
        <v>0.8</v>
      </c>
      <c r="D12" s="79" t="n">
        <f aca="false">IF(OR(MOD(D$6-1,12)&gt;=11,MOD(D$6-1,12)&lt;=1),1-Inputs!$B$12,1+Inputs!$B$12/3)</f>
        <v>0.8</v>
      </c>
      <c r="E12" s="79" t="n">
        <f aca="false">IF(OR(MOD(E$6-1,12)&gt;=11,MOD(E$6-1,12)&lt;=1),1-Inputs!$B$12,1+Inputs!$B$12/3)</f>
        <v>1.06666666666667</v>
      </c>
      <c r="F12" s="79" t="n">
        <f aca="false">IF(OR(MOD(F$6-1,12)&gt;=11,MOD(F$6-1,12)&lt;=1),1-Inputs!$B$12,1+Inputs!$B$12/3)</f>
        <v>1.06666666666667</v>
      </c>
      <c r="G12" s="79" t="n">
        <f aca="false">IF(OR(MOD(G$6-1,12)&gt;=11,MOD(G$6-1,12)&lt;=1),1-Inputs!$B$12,1+Inputs!$B$12/3)</f>
        <v>1.06666666666667</v>
      </c>
      <c r="H12" s="79" t="n">
        <f aca="false">IF(OR(MOD(H$6-1,12)&gt;=11,MOD(H$6-1,12)&lt;=1),1-Inputs!$B$12,1+Inputs!$B$12/3)</f>
        <v>1.06666666666667</v>
      </c>
      <c r="I12" s="79" t="n">
        <f aca="false">IF(OR(MOD(I$6-1,12)&gt;=11,MOD(I$6-1,12)&lt;=1),1-Inputs!$B$12,1+Inputs!$B$12/3)</f>
        <v>1.06666666666667</v>
      </c>
      <c r="J12" s="79" t="n">
        <f aca="false">IF(OR(MOD(J$6-1,12)&gt;=11,MOD(J$6-1,12)&lt;=1),1-Inputs!$B$12,1+Inputs!$B$12/3)</f>
        <v>1.06666666666667</v>
      </c>
      <c r="K12" s="79" t="n">
        <f aca="false">IF(OR(MOD(K$6-1,12)&gt;=11,MOD(K$6-1,12)&lt;=1),1-Inputs!$B$12,1+Inputs!$B$12/3)</f>
        <v>1.06666666666667</v>
      </c>
      <c r="L12" s="79" t="n">
        <f aca="false">IF(OR(MOD(L$6-1,12)&gt;=11,MOD(L$6-1,12)&lt;=1),1-Inputs!$B$12,1+Inputs!$B$12/3)</f>
        <v>1.06666666666667</v>
      </c>
      <c r="M12" s="79" t="n">
        <f aca="false">IF(OR(MOD(M$6-1,12)&gt;=11,MOD(M$6-1,12)&lt;=1),1-Inputs!$B$12,1+Inputs!$B$12/3)</f>
        <v>1.06666666666667</v>
      </c>
      <c r="N12" s="79" t="n">
        <f aca="false">IF(OR(MOD(N$6-1,12)&gt;=11,MOD(N$6-1,12)&lt;=1),1-Inputs!$B$12,1+Inputs!$B$12/3)</f>
        <v>0.8</v>
      </c>
      <c r="O12" s="79" t="n">
        <f aca="false">IF(OR(MOD(O$6-1,12)&gt;=11,MOD(O$6-1,12)&lt;=1),1-Inputs!$B$12,1+Inputs!$B$12/3)</f>
        <v>0.8</v>
      </c>
      <c r="P12" s="79" t="n">
        <f aca="false">IF(OR(MOD(P$6-1,12)&gt;=11,MOD(P$6-1,12)&lt;=1),1-Inputs!$B$12,1+Inputs!$B$12/3)</f>
        <v>0.8</v>
      </c>
      <c r="Q12" s="79" t="n">
        <f aca="false">IF(OR(MOD(Q$6-1,12)&gt;=11,MOD(Q$6-1,12)&lt;=1),1-Inputs!$B$12,1+Inputs!$B$12/3)</f>
        <v>1.06666666666667</v>
      </c>
      <c r="R12" s="79" t="n">
        <f aca="false">IF(OR(MOD(R$6-1,12)&gt;=11,MOD(R$6-1,12)&lt;=1),1-Inputs!$B$12,1+Inputs!$B$12/3)</f>
        <v>1.06666666666667</v>
      </c>
      <c r="S12" s="79" t="n">
        <f aca="false">IF(OR(MOD(S$6-1,12)&gt;=11,MOD(S$6-1,12)&lt;=1),1-Inputs!$B$12,1+Inputs!$B$12/3)</f>
        <v>1.06666666666667</v>
      </c>
      <c r="T12" s="79" t="n">
        <f aca="false">IF(OR(MOD(T$6-1,12)&gt;=11,MOD(T$6-1,12)&lt;=1),1-Inputs!$B$12,1+Inputs!$B$12/3)</f>
        <v>1.06666666666667</v>
      </c>
      <c r="U12" s="79" t="n">
        <f aca="false">IF(OR(MOD(U$6-1,12)&gt;=11,MOD(U$6-1,12)&lt;=1),1-Inputs!$B$12,1+Inputs!$B$12/3)</f>
        <v>1.06666666666667</v>
      </c>
      <c r="V12" s="79" t="n">
        <f aca="false">IF(OR(MOD(V$6-1,12)&gt;=11,MOD(V$6-1,12)&lt;=1),1-Inputs!$B$12,1+Inputs!$B$12/3)</f>
        <v>1.06666666666667</v>
      </c>
      <c r="W12" s="79" t="n">
        <f aca="false">IF(OR(MOD(W$6-1,12)&gt;=11,MOD(W$6-1,12)&lt;=1),1-Inputs!$B$12,1+Inputs!$B$12/3)</f>
        <v>1.06666666666667</v>
      </c>
      <c r="X12" s="79" t="n">
        <f aca="false">IF(OR(MOD(X$6-1,12)&gt;=11,MOD(X$6-1,12)&lt;=1),1-Inputs!$B$12,1+Inputs!$B$12/3)</f>
        <v>1.06666666666667</v>
      </c>
      <c r="Y12" s="79" t="n">
        <f aca="false">IF(OR(MOD(Y$6-1,12)&gt;=11,MOD(Y$6-1,12)&lt;=1),1-Inputs!$B$12,1+Inputs!$B$12/3)</f>
        <v>1.06666666666667</v>
      </c>
      <c r="Z12" s="79" t="n">
        <f aca="false">IF(OR(MOD(Z$6-1,12)&gt;=11,MOD(Z$6-1,12)&lt;=1),1-Inputs!$B$12,1+Inputs!$B$12/3)</f>
        <v>0.8</v>
      </c>
      <c r="AA12" s="79" t="n">
        <f aca="false">IF(OR(MOD(AA$6-1,12)&gt;=11,MOD(AA$6-1,12)&lt;=1),1-Inputs!$B$12,1+Inputs!$B$12/3)</f>
        <v>0.8</v>
      </c>
      <c r="AB12" s="79" t="n">
        <f aca="false">IF(OR(MOD(AB$6-1,12)&gt;=11,MOD(AB$6-1,12)&lt;=1),1-Inputs!$B$12,1+Inputs!$B$12/3)</f>
        <v>0.8</v>
      </c>
      <c r="AC12" s="79" t="n">
        <f aca="false">IF(OR(MOD(AC$6-1,12)&gt;=11,MOD(AC$6-1,12)&lt;=1),1-Inputs!$B$12,1+Inputs!$B$12/3)</f>
        <v>1.06666666666667</v>
      </c>
      <c r="AD12" s="79" t="n">
        <f aca="false">IF(OR(MOD(AD$6-1,12)&gt;=11,MOD(AD$6-1,12)&lt;=1),1-Inputs!$B$12,1+Inputs!$B$12/3)</f>
        <v>1.06666666666667</v>
      </c>
      <c r="AE12" s="79" t="n">
        <f aca="false">IF(OR(MOD(AE$6-1,12)&gt;=11,MOD(AE$6-1,12)&lt;=1),1-Inputs!$B$12,1+Inputs!$B$12/3)</f>
        <v>1.06666666666667</v>
      </c>
      <c r="AF12" s="79" t="n">
        <f aca="false">IF(OR(MOD(AF$6-1,12)&gt;=11,MOD(AF$6-1,12)&lt;=1),1-Inputs!$B$12,1+Inputs!$B$12/3)</f>
        <v>1.06666666666667</v>
      </c>
      <c r="AG12" s="79" t="n">
        <f aca="false">IF(OR(MOD(AG$6-1,12)&gt;=11,MOD(AG$6-1,12)&lt;=1),1-Inputs!$B$12,1+Inputs!$B$12/3)</f>
        <v>1.06666666666667</v>
      </c>
      <c r="AH12" s="79" t="n">
        <f aca="false">IF(OR(MOD(AH$6-1,12)&gt;=11,MOD(AH$6-1,12)&lt;=1),1-Inputs!$B$12,1+Inputs!$B$12/3)</f>
        <v>1.06666666666667</v>
      </c>
      <c r="AI12" s="79" t="n">
        <f aca="false">IF(OR(MOD(AI$6-1,12)&gt;=11,MOD(AI$6-1,12)&lt;=1),1-Inputs!$B$12,1+Inputs!$B$12/3)</f>
        <v>1.06666666666667</v>
      </c>
      <c r="AJ12" s="79" t="n">
        <f aca="false">IF(OR(MOD(AJ$6-1,12)&gt;=11,MOD(AJ$6-1,12)&lt;=1),1-Inputs!$B$12,1+Inputs!$B$12/3)</f>
        <v>1.06666666666667</v>
      </c>
      <c r="AK12" s="79" t="n">
        <f aca="false">IF(OR(MOD(AK$6-1,12)&gt;=11,MOD(AK$6-1,12)&lt;=1),1-Inputs!$B$12,1+Inputs!$B$12/3)</f>
        <v>1.06666666666667</v>
      </c>
      <c r="AL12" s="79" t="n">
        <f aca="false">IF(OR(MOD(AL$6-1,12)&gt;=11,MOD(AL$6-1,12)&lt;=1),1-Inputs!$B$12,1+Inputs!$B$12/3)</f>
        <v>0.8</v>
      </c>
    </row>
    <row r="13" customFormat="false" ht="15" hidden="false" customHeight="false" outlineLevel="0" collapsed="false">
      <c r="A13" s="6" t="s">
        <v>395</v>
      </c>
      <c r="C13" s="118" t="n">
        <f aca="false">Inputs!$B$7*(1+Inputs!$B$8)^(C$7-1)*Inputs!$B$9*1*C11*C12</f>
        <v>1624</v>
      </c>
      <c r="D13" s="118" t="n">
        <f aca="false">Inputs!$B$7*(1+Inputs!$B$8)^(D$7-1)*Inputs!$B$9*1*D11*D12</f>
        <v>1875.33333333333</v>
      </c>
      <c r="E13" s="118" t="n">
        <f aca="false">Inputs!$B$7*(1+Inputs!$B$8)^(E$7-1)*Inputs!$B$9*1*E11*E12</f>
        <v>2835.55555555556</v>
      </c>
      <c r="F13" s="118" t="n">
        <f aca="false">Inputs!$B$7*(1+Inputs!$B$8)^(F$7-1)*Inputs!$B$9*1*F11*F12</f>
        <v>3170.66666666667</v>
      </c>
      <c r="G13" s="118" t="n">
        <f aca="false">Inputs!$B$7*(1+Inputs!$B$8)^(G$7-1)*Inputs!$B$9*1*G11*G12</f>
        <v>3505.77777777778</v>
      </c>
      <c r="H13" s="118" t="n">
        <f aca="false">Inputs!$B$7*(1+Inputs!$B$8)^(H$7-1)*Inputs!$B$9*1*H11*H12</f>
        <v>3840.88888888889</v>
      </c>
      <c r="I13" s="118" t="n">
        <f aca="false">Inputs!$B$7*(1+Inputs!$B$8)^(I$7-1)*Inputs!$B$9*1*I11*I12</f>
        <v>4176</v>
      </c>
      <c r="J13" s="118" t="n">
        <f aca="false">Inputs!$B$7*(1+Inputs!$B$8)^(J$7-1)*Inputs!$B$9*1*J11*J12</f>
        <v>4511.11111111111</v>
      </c>
      <c r="K13" s="118" t="n">
        <f aca="false">Inputs!$B$7*(1+Inputs!$B$8)^(K$7-1)*Inputs!$B$9*1*K11*K12</f>
        <v>4846.22222222222</v>
      </c>
      <c r="L13" s="118" t="n">
        <f aca="false">Inputs!$B$7*(1+Inputs!$B$8)^(L$7-1)*Inputs!$B$9*1*L11*L12</f>
        <v>5181.33333333333</v>
      </c>
      <c r="M13" s="118" t="n">
        <f aca="false">Inputs!$B$7*(1+Inputs!$B$8)^(M$7-1)*Inputs!$B$9*1*M11*M12</f>
        <v>5516.44444444444</v>
      </c>
      <c r="N13" s="118" t="n">
        <f aca="false">Inputs!$B$7*(1+Inputs!$B$8)^(N$7-1)*Inputs!$B$9*1*N11*N12</f>
        <v>4388.66666666667</v>
      </c>
      <c r="O13" s="118" t="n">
        <f aca="false">Inputs!$B$7*(1+Inputs!$B$8)^(O$7-1)*Inputs!$B$9*1*O11*O12</f>
        <v>4640</v>
      </c>
      <c r="P13" s="118" t="n">
        <f aca="false">Inputs!$B$7*(1+Inputs!$B$8)^(P$7-1)*Inputs!$B$9*1*P11*P12</f>
        <v>4640</v>
      </c>
      <c r="Q13" s="118" t="n">
        <f aca="false">Inputs!$B$7*(1+Inputs!$B$8)^(Q$7-1)*Inputs!$B$9*1*Q11*Q12</f>
        <v>6186.66666666667</v>
      </c>
      <c r="R13" s="118" t="n">
        <f aca="false">Inputs!$B$7*(1+Inputs!$B$8)^(R$7-1)*Inputs!$B$9*1*R11*R12</f>
        <v>6186.66666666667</v>
      </c>
      <c r="S13" s="118" t="n">
        <f aca="false">Inputs!$B$7*(1+Inputs!$B$8)^(S$7-1)*Inputs!$B$9*1*S11*S12</f>
        <v>6186.66666666667</v>
      </c>
      <c r="T13" s="118" t="n">
        <f aca="false">Inputs!$B$7*(1+Inputs!$B$8)^(T$7-1)*Inputs!$B$9*1*T11*T12</f>
        <v>6186.66666666667</v>
      </c>
      <c r="U13" s="118" t="n">
        <f aca="false">Inputs!$B$7*(1+Inputs!$B$8)^(U$7-1)*Inputs!$B$9*1*U11*U12</f>
        <v>6186.66666666667</v>
      </c>
      <c r="V13" s="118" t="n">
        <f aca="false">Inputs!$B$7*(1+Inputs!$B$8)^(V$7-1)*Inputs!$B$9*1*V11*V12</f>
        <v>6186.66666666667</v>
      </c>
      <c r="W13" s="118" t="n">
        <f aca="false">Inputs!$B$7*(1+Inputs!$B$8)^(W$7-1)*Inputs!$B$9*1*W11*W12</f>
        <v>6186.66666666667</v>
      </c>
      <c r="X13" s="118" t="n">
        <f aca="false">Inputs!$B$7*(1+Inputs!$B$8)^(X$7-1)*Inputs!$B$9*1*X11*X12</f>
        <v>6186.66666666667</v>
      </c>
      <c r="Y13" s="118" t="n">
        <f aca="false">Inputs!$B$7*(1+Inputs!$B$8)^(Y$7-1)*Inputs!$B$9*1*Y11*Y12</f>
        <v>6186.66666666667</v>
      </c>
      <c r="Z13" s="118" t="n">
        <f aca="false">Inputs!$B$7*(1+Inputs!$B$8)^(Z$7-1)*Inputs!$B$9*1*Z11*Z12</f>
        <v>4640</v>
      </c>
      <c r="AA13" s="118" t="n">
        <f aca="false">Inputs!$B$7*(1+Inputs!$B$8)^(AA$7-1)*Inputs!$B$9*1*AA11*AA12</f>
        <v>4640</v>
      </c>
      <c r="AB13" s="118" t="n">
        <f aca="false">Inputs!$B$7*(1+Inputs!$B$8)^(AB$7-1)*Inputs!$B$9*1*AB11*AB12</f>
        <v>4640</v>
      </c>
      <c r="AC13" s="118" t="n">
        <f aca="false">Inputs!$B$7*(1+Inputs!$B$8)^(AC$7-1)*Inputs!$B$9*1*AC11*AC12</f>
        <v>6186.66666666667</v>
      </c>
      <c r="AD13" s="118" t="n">
        <f aca="false">Inputs!$B$7*(1+Inputs!$B$8)^(AD$7-1)*Inputs!$B$9*1*AD11*AD12</f>
        <v>6186.66666666667</v>
      </c>
      <c r="AE13" s="118" t="n">
        <f aca="false">Inputs!$B$7*(1+Inputs!$B$8)^(AE$7-1)*Inputs!$B$9*1*AE11*AE12</f>
        <v>6186.66666666667</v>
      </c>
      <c r="AF13" s="118" t="n">
        <f aca="false">Inputs!$B$7*(1+Inputs!$B$8)^(AF$7-1)*Inputs!$B$9*1*AF11*AF12</f>
        <v>6186.66666666667</v>
      </c>
      <c r="AG13" s="118" t="n">
        <f aca="false">Inputs!$B$7*(1+Inputs!$B$8)^(AG$7-1)*Inputs!$B$9*1*AG11*AG12</f>
        <v>6186.66666666667</v>
      </c>
      <c r="AH13" s="118" t="n">
        <f aca="false">Inputs!$B$7*(1+Inputs!$B$8)^(AH$7-1)*Inputs!$B$9*1*AH11*AH12</f>
        <v>6186.66666666667</v>
      </c>
      <c r="AI13" s="118" t="n">
        <f aca="false">Inputs!$B$7*(1+Inputs!$B$8)^(AI$7-1)*Inputs!$B$9*1*AI11*AI12</f>
        <v>6186.66666666667</v>
      </c>
      <c r="AJ13" s="118" t="n">
        <f aca="false">Inputs!$B$7*(1+Inputs!$B$8)^(AJ$7-1)*Inputs!$B$9*1*AJ11*AJ12</f>
        <v>6186.66666666667</v>
      </c>
      <c r="AK13" s="118" t="n">
        <f aca="false">Inputs!$B$7*(1+Inputs!$B$8)^(AK$7-1)*Inputs!$B$9*1*AK11*AK12</f>
        <v>6186.66666666667</v>
      </c>
      <c r="AL13" s="118" t="n">
        <f aca="false">Inputs!$B$7*(1+Inputs!$B$8)^(AL$7-1)*Inputs!$B$9*1*AL11*AL12</f>
        <v>4640</v>
      </c>
    </row>
    <row r="15" customFormat="false" ht="15.75" hidden="false" customHeight="true" outlineLevel="0" collapsed="false">
      <c r="A15" s="7" t="s">
        <v>396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397</v>
      </c>
      <c r="C16" s="117" t="n">
        <f aca="false">C13*Inputs!$B$23</f>
        <v>9.744</v>
      </c>
      <c r="D16" s="117" t="n">
        <f aca="false">D13*Inputs!$B$23</f>
        <v>11.252</v>
      </c>
      <c r="E16" s="117" t="n">
        <f aca="false">E13*Inputs!$B$23</f>
        <v>17.0133333333333</v>
      </c>
      <c r="F16" s="117" t="n">
        <f aca="false">F13*Inputs!$B$23</f>
        <v>19.024</v>
      </c>
      <c r="G16" s="117" t="n">
        <f aca="false">G13*Inputs!$B$23</f>
        <v>21.0346666666667</v>
      </c>
      <c r="H16" s="117" t="n">
        <f aca="false">H13*Inputs!$B$23</f>
        <v>23.0453333333333</v>
      </c>
      <c r="I16" s="117" t="n">
        <f aca="false">I13*Inputs!$B$23</f>
        <v>25.056</v>
      </c>
      <c r="J16" s="117" t="n">
        <f aca="false">J13*Inputs!$B$23</f>
        <v>27.0666666666667</v>
      </c>
      <c r="K16" s="117" t="n">
        <f aca="false">K13*Inputs!$B$23</f>
        <v>29.0773333333333</v>
      </c>
      <c r="L16" s="117" t="n">
        <f aca="false">L13*Inputs!$B$23</f>
        <v>31.088</v>
      </c>
      <c r="M16" s="117" t="n">
        <f aca="false">M13*Inputs!$B$23</f>
        <v>33.0986666666667</v>
      </c>
      <c r="N16" s="117" t="n">
        <f aca="false">N13*Inputs!$B$23</f>
        <v>26.332</v>
      </c>
      <c r="O16" s="117" t="n">
        <f aca="false">O13*Inputs!$B$23</f>
        <v>27.84</v>
      </c>
      <c r="P16" s="117" t="n">
        <f aca="false">P13*Inputs!$B$23</f>
        <v>27.84</v>
      </c>
      <c r="Q16" s="117" t="n">
        <f aca="false">Q13*Inputs!$B$23</f>
        <v>37.12</v>
      </c>
      <c r="R16" s="117" t="n">
        <f aca="false">R13*Inputs!$B$23</f>
        <v>37.12</v>
      </c>
      <c r="S16" s="117" t="n">
        <f aca="false">S13*Inputs!$B$23</f>
        <v>37.12</v>
      </c>
      <c r="T16" s="117" t="n">
        <f aca="false">T13*Inputs!$B$23</f>
        <v>37.12</v>
      </c>
      <c r="U16" s="117" t="n">
        <f aca="false">U13*Inputs!$B$23</f>
        <v>37.12</v>
      </c>
      <c r="V16" s="117" t="n">
        <f aca="false">V13*Inputs!$B$23</f>
        <v>37.12</v>
      </c>
      <c r="W16" s="117" t="n">
        <f aca="false">W13*Inputs!$B$23</f>
        <v>37.12</v>
      </c>
      <c r="X16" s="117" t="n">
        <f aca="false">X13*Inputs!$B$23</f>
        <v>37.12</v>
      </c>
      <c r="Y16" s="117" t="n">
        <f aca="false">Y13*Inputs!$B$23</f>
        <v>37.12</v>
      </c>
      <c r="Z16" s="117" t="n">
        <f aca="false">Z13*Inputs!$B$23</f>
        <v>27.84</v>
      </c>
      <c r="AA16" s="117" t="n">
        <f aca="false">AA13*Inputs!$B$23</f>
        <v>27.84</v>
      </c>
      <c r="AB16" s="117" t="n">
        <f aca="false">AB13*Inputs!$B$23</f>
        <v>27.84</v>
      </c>
      <c r="AC16" s="117" t="n">
        <f aca="false">AC13*Inputs!$B$23</f>
        <v>37.12</v>
      </c>
      <c r="AD16" s="117" t="n">
        <f aca="false">AD13*Inputs!$B$23</f>
        <v>37.12</v>
      </c>
      <c r="AE16" s="117" t="n">
        <f aca="false">AE13*Inputs!$B$23</f>
        <v>37.12</v>
      </c>
      <c r="AF16" s="117" t="n">
        <f aca="false">AF13*Inputs!$B$23</f>
        <v>37.12</v>
      </c>
      <c r="AG16" s="117" t="n">
        <f aca="false">AG13*Inputs!$B$23</f>
        <v>37.12</v>
      </c>
      <c r="AH16" s="117" t="n">
        <f aca="false">AH13*Inputs!$B$23</f>
        <v>37.12</v>
      </c>
      <c r="AI16" s="117" t="n">
        <f aca="false">AI13*Inputs!$B$23</f>
        <v>37.12</v>
      </c>
      <c r="AJ16" s="117" t="n">
        <f aca="false">AJ13*Inputs!$B$23</f>
        <v>37.12</v>
      </c>
      <c r="AK16" s="117" t="n">
        <f aca="false">AK13*Inputs!$B$23</f>
        <v>37.12</v>
      </c>
      <c r="AL16" s="117" t="n">
        <f aca="false">AL13*Inputs!$B$23</f>
        <v>27.84</v>
      </c>
    </row>
    <row r="17" customFormat="false" ht="15" hidden="false" customHeight="false" outlineLevel="0" collapsed="false">
      <c r="A17" s="6" t="s">
        <v>398</v>
      </c>
      <c r="C17" s="117" t="n">
        <f aca="false">Inputs!$B$21*(1+Inputs!$B$22)^(C$7-1)*1*C11</f>
        <v>14</v>
      </c>
      <c r="D17" s="117" t="n">
        <f aca="false">Inputs!$B$21*(1+Inputs!$B$22)^(D$7-1)*1*D11</f>
        <v>16.1666666666667</v>
      </c>
      <c r="E17" s="117" t="n">
        <f aca="false">Inputs!$B$21*(1+Inputs!$B$22)^(E$7-1)*1*E11</f>
        <v>18.3333333333333</v>
      </c>
      <c r="F17" s="117" t="n">
        <f aca="false">Inputs!$B$21*(1+Inputs!$B$22)^(F$7-1)*1*F11</f>
        <v>20.5</v>
      </c>
      <c r="G17" s="117" t="n">
        <f aca="false">Inputs!$B$21*(1+Inputs!$B$22)^(G$7-1)*1*G11</f>
        <v>22.6666666666667</v>
      </c>
      <c r="H17" s="117" t="n">
        <f aca="false">Inputs!$B$21*(1+Inputs!$B$22)^(H$7-1)*1*H11</f>
        <v>24.8333333333333</v>
      </c>
      <c r="I17" s="117" t="n">
        <f aca="false">Inputs!$B$21*(1+Inputs!$B$22)^(I$7-1)*1*I11</f>
        <v>27</v>
      </c>
      <c r="J17" s="117" t="n">
        <f aca="false">Inputs!$B$21*(1+Inputs!$B$22)^(J$7-1)*1*J11</f>
        <v>29.1666666666667</v>
      </c>
      <c r="K17" s="117" t="n">
        <f aca="false">Inputs!$B$21*(1+Inputs!$B$22)^(K$7-1)*1*K11</f>
        <v>31.3333333333333</v>
      </c>
      <c r="L17" s="117" t="n">
        <f aca="false">Inputs!$B$21*(1+Inputs!$B$22)^(L$7-1)*1*L11</f>
        <v>33.5</v>
      </c>
      <c r="M17" s="117" t="n">
        <f aca="false">Inputs!$B$21*(1+Inputs!$B$22)^(M$7-1)*1*M11</f>
        <v>35.6666666666667</v>
      </c>
      <c r="N17" s="117" t="n">
        <f aca="false">Inputs!$B$21*(1+Inputs!$B$22)^(N$7-1)*1*N11</f>
        <v>37.8333333333333</v>
      </c>
      <c r="O17" s="117" t="n">
        <f aca="false">Inputs!$B$21*(1+Inputs!$B$22)^(O$7-1)*1*O11</f>
        <v>40</v>
      </c>
      <c r="P17" s="117" t="n">
        <f aca="false">Inputs!$B$21*(1+Inputs!$B$22)^(P$7-1)*1*P11</f>
        <v>40</v>
      </c>
      <c r="Q17" s="117" t="n">
        <f aca="false">Inputs!$B$21*(1+Inputs!$B$22)^(Q$7-1)*1*Q11</f>
        <v>40</v>
      </c>
      <c r="R17" s="117" t="n">
        <f aca="false">Inputs!$B$21*(1+Inputs!$B$22)^(R$7-1)*1*R11</f>
        <v>40</v>
      </c>
      <c r="S17" s="117" t="n">
        <f aca="false">Inputs!$B$21*(1+Inputs!$B$22)^(S$7-1)*1*S11</f>
        <v>40</v>
      </c>
      <c r="T17" s="117" t="n">
        <f aca="false">Inputs!$B$21*(1+Inputs!$B$22)^(T$7-1)*1*T11</f>
        <v>40</v>
      </c>
      <c r="U17" s="117" t="n">
        <f aca="false">Inputs!$B$21*(1+Inputs!$B$22)^(U$7-1)*1*U11</f>
        <v>40</v>
      </c>
      <c r="V17" s="117" t="n">
        <f aca="false">Inputs!$B$21*(1+Inputs!$B$22)^(V$7-1)*1*V11</f>
        <v>40</v>
      </c>
      <c r="W17" s="117" t="n">
        <f aca="false">Inputs!$B$21*(1+Inputs!$B$22)^(W$7-1)*1*W11</f>
        <v>40</v>
      </c>
      <c r="X17" s="117" t="n">
        <f aca="false">Inputs!$B$21*(1+Inputs!$B$22)^(X$7-1)*1*X11</f>
        <v>40</v>
      </c>
      <c r="Y17" s="117" t="n">
        <f aca="false">Inputs!$B$21*(1+Inputs!$B$22)^(Y$7-1)*1*Y11</f>
        <v>40</v>
      </c>
      <c r="Z17" s="117" t="n">
        <f aca="false">Inputs!$B$21*(1+Inputs!$B$22)^(Z$7-1)*1*Z11</f>
        <v>40</v>
      </c>
      <c r="AA17" s="117" t="n">
        <f aca="false">Inputs!$B$21*(1+Inputs!$B$22)^(AA$7-1)*1*AA11</f>
        <v>40</v>
      </c>
      <c r="AB17" s="117" t="n">
        <f aca="false">Inputs!$B$21*(1+Inputs!$B$22)^(AB$7-1)*1*AB11</f>
        <v>40</v>
      </c>
      <c r="AC17" s="117" t="n">
        <f aca="false">Inputs!$B$21*(1+Inputs!$B$22)^(AC$7-1)*1*AC11</f>
        <v>40</v>
      </c>
      <c r="AD17" s="117" t="n">
        <f aca="false">Inputs!$B$21*(1+Inputs!$B$22)^(AD$7-1)*1*AD11</f>
        <v>40</v>
      </c>
      <c r="AE17" s="117" t="n">
        <f aca="false">Inputs!$B$21*(1+Inputs!$B$22)^(AE$7-1)*1*AE11</f>
        <v>40</v>
      </c>
      <c r="AF17" s="117" t="n">
        <f aca="false">Inputs!$B$21*(1+Inputs!$B$22)^(AF$7-1)*1*AF11</f>
        <v>40</v>
      </c>
      <c r="AG17" s="117" t="n">
        <f aca="false">Inputs!$B$21*(1+Inputs!$B$22)^(AG$7-1)*1*AG11</f>
        <v>40</v>
      </c>
      <c r="AH17" s="117" t="n">
        <f aca="false">Inputs!$B$21*(1+Inputs!$B$22)^(AH$7-1)*1*AH11</f>
        <v>40</v>
      </c>
      <c r="AI17" s="117" t="n">
        <f aca="false">Inputs!$B$21*(1+Inputs!$B$22)^(AI$7-1)*1*AI11</f>
        <v>40</v>
      </c>
      <c r="AJ17" s="117" t="n">
        <f aca="false">Inputs!$B$21*(1+Inputs!$B$22)^(AJ$7-1)*1*AJ11</f>
        <v>40</v>
      </c>
      <c r="AK17" s="117" t="n">
        <f aca="false">Inputs!$B$21*(1+Inputs!$B$22)^(AK$7-1)*1*AK11</f>
        <v>40</v>
      </c>
      <c r="AL17" s="117" t="n">
        <f aca="false">Inputs!$B$21*(1+Inputs!$B$22)^(AL$7-1)*1*AL11</f>
        <v>40</v>
      </c>
    </row>
    <row r="18" customFormat="false" ht="15" hidden="false" customHeight="false" outlineLevel="0" collapsed="false">
      <c r="A18" s="4" t="s">
        <v>399</v>
      </c>
      <c r="C18" s="119" t="n">
        <f aca="false">C16+C17</f>
        <v>23.744</v>
      </c>
      <c r="D18" s="119" t="n">
        <f aca="false">D16+D17</f>
        <v>27.4186666666667</v>
      </c>
      <c r="E18" s="119" t="n">
        <f aca="false">E16+E17</f>
        <v>35.3466666666667</v>
      </c>
      <c r="F18" s="119" t="n">
        <f aca="false">F16+F17</f>
        <v>39.524</v>
      </c>
      <c r="G18" s="119" t="n">
        <f aca="false">G16+G17</f>
        <v>43.7013333333333</v>
      </c>
      <c r="H18" s="119" t="n">
        <f aca="false">H16+H17</f>
        <v>47.8786666666667</v>
      </c>
      <c r="I18" s="119" t="n">
        <f aca="false">I16+I17</f>
        <v>52.056</v>
      </c>
      <c r="J18" s="119" t="n">
        <f aca="false">J16+J17</f>
        <v>56.2333333333333</v>
      </c>
      <c r="K18" s="119" t="n">
        <f aca="false">K16+K17</f>
        <v>60.4106666666667</v>
      </c>
      <c r="L18" s="119" t="n">
        <f aca="false">L16+L17</f>
        <v>64.588</v>
      </c>
      <c r="M18" s="119" t="n">
        <f aca="false">M16+M17</f>
        <v>68.7653333333333</v>
      </c>
      <c r="N18" s="119" t="n">
        <f aca="false">N16+N17</f>
        <v>64.1653333333333</v>
      </c>
      <c r="O18" s="119" t="n">
        <f aca="false">O16+O17</f>
        <v>67.84</v>
      </c>
      <c r="P18" s="119" t="n">
        <f aca="false">P16+P17</f>
        <v>67.84</v>
      </c>
      <c r="Q18" s="119" t="n">
        <f aca="false">Q16+Q17</f>
        <v>77.12</v>
      </c>
      <c r="R18" s="119" t="n">
        <f aca="false">R16+R17</f>
        <v>77.12</v>
      </c>
      <c r="S18" s="119" t="n">
        <f aca="false">S16+S17</f>
        <v>77.12</v>
      </c>
      <c r="T18" s="119" t="n">
        <f aca="false">T16+T17</f>
        <v>77.12</v>
      </c>
      <c r="U18" s="119" t="n">
        <f aca="false">U16+U17</f>
        <v>77.12</v>
      </c>
      <c r="V18" s="119" t="n">
        <f aca="false">V16+V17</f>
        <v>77.12</v>
      </c>
      <c r="W18" s="119" t="n">
        <f aca="false">W16+W17</f>
        <v>77.12</v>
      </c>
      <c r="X18" s="119" t="n">
        <f aca="false">X16+X17</f>
        <v>77.12</v>
      </c>
      <c r="Y18" s="119" t="n">
        <f aca="false">Y16+Y17</f>
        <v>77.12</v>
      </c>
      <c r="Z18" s="119" t="n">
        <f aca="false">Z16+Z17</f>
        <v>67.84</v>
      </c>
      <c r="AA18" s="119" t="n">
        <f aca="false">AA16+AA17</f>
        <v>67.84</v>
      </c>
      <c r="AB18" s="119" t="n">
        <f aca="false">AB16+AB17</f>
        <v>67.84</v>
      </c>
      <c r="AC18" s="119" t="n">
        <f aca="false">AC16+AC17</f>
        <v>77.12</v>
      </c>
      <c r="AD18" s="119" t="n">
        <f aca="false">AD16+AD17</f>
        <v>77.12</v>
      </c>
      <c r="AE18" s="119" t="n">
        <f aca="false">AE16+AE17</f>
        <v>77.12</v>
      </c>
      <c r="AF18" s="119" t="n">
        <f aca="false">AF16+AF17</f>
        <v>77.12</v>
      </c>
      <c r="AG18" s="119" t="n">
        <f aca="false">AG16+AG17</f>
        <v>77.12</v>
      </c>
      <c r="AH18" s="119" t="n">
        <f aca="false">AH16+AH17</f>
        <v>77.12</v>
      </c>
      <c r="AI18" s="119" t="n">
        <f aca="false">AI16+AI17</f>
        <v>77.12</v>
      </c>
      <c r="AJ18" s="119" t="n">
        <f aca="false">AJ16+AJ17</f>
        <v>77.12</v>
      </c>
      <c r="AK18" s="119" t="n">
        <f aca="false">AK16+AK17</f>
        <v>77.12</v>
      </c>
      <c r="AL18" s="119" t="n">
        <f aca="false">AL16+AL17</f>
        <v>67.84</v>
      </c>
    </row>
    <row r="19" customFormat="false" ht="15" hidden="false" customHeight="false" outlineLevel="0" collapsed="false">
      <c r="A19" s="6" t="s">
        <v>400</v>
      </c>
      <c r="C19" s="120" t="n">
        <f aca="false">Inputs!$B$20</f>
        <v>150</v>
      </c>
      <c r="D19" s="117" t="n">
        <f aca="false">C21</f>
        <v>166.244</v>
      </c>
      <c r="E19" s="117" t="n">
        <f aca="false">D21</f>
        <v>185.350466666667</v>
      </c>
      <c r="F19" s="117" t="n">
        <f aca="false">E21</f>
        <v>211.42961</v>
      </c>
      <c r="G19" s="117" t="n">
        <f aca="false">F21</f>
        <v>240.3821295</v>
      </c>
      <c r="H19" s="117" t="n">
        <f aca="false">G21</f>
        <v>272.064356358333</v>
      </c>
      <c r="I19" s="117" t="n">
        <f aca="false">H21</f>
        <v>306.339805207083</v>
      </c>
      <c r="J19" s="117" t="n">
        <f aca="false">I21</f>
        <v>343.078814946729</v>
      </c>
      <c r="K19" s="117" t="n">
        <f aca="false">J21</f>
        <v>382.158207532726</v>
      </c>
      <c r="L19" s="117" t="n">
        <f aca="false">K21</f>
        <v>423.460963822756</v>
      </c>
      <c r="M19" s="117" t="n">
        <f aca="false">L21</f>
        <v>466.875915631618</v>
      </c>
      <c r="N19" s="117" t="n">
        <f aca="false">M21</f>
        <v>512.297453183371</v>
      </c>
      <c r="O19" s="117" t="n">
        <f aca="false">N21</f>
        <v>550.847913857536</v>
      </c>
      <c r="P19" s="117" t="n">
        <f aca="false">O21</f>
        <v>591.145518164659</v>
      </c>
      <c r="Q19" s="117" t="n">
        <f aca="false">P21</f>
        <v>629.428242256426</v>
      </c>
      <c r="R19" s="117" t="n">
        <f aca="false">Q21</f>
        <v>675.076830143605</v>
      </c>
      <c r="S19" s="117" t="n">
        <f aca="false">R21</f>
        <v>718.442988636424</v>
      </c>
      <c r="T19" s="117" t="n">
        <f aca="false">S21</f>
        <v>759.640839204603</v>
      </c>
      <c r="U19" s="117" t="n">
        <f aca="false">T21</f>
        <v>798.778797244373</v>
      </c>
      <c r="V19" s="117" t="n">
        <f aca="false">U21</f>
        <v>835.959857382154</v>
      </c>
      <c r="W19" s="117" t="n">
        <f aca="false">V21</f>
        <v>871.281864513047</v>
      </c>
      <c r="X19" s="117" t="n">
        <f aca="false">W21</f>
        <v>904.837771287394</v>
      </c>
      <c r="Y19" s="117" t="n">
        <f aca="false">X21</f>
        <v>936.715882723024</v>
      </c>
      <c r="Z19" s="117" t="n">
        <f aca="false">Y21</f>
        <v>967.000088586873</v>
      </c>
      <c r="AA19" s="117" t="n">
        <f aca="false">Z21</f>
        <v>986.49008415753</v>
      </c>
      <c r="AB19" s="117" t="n">
        <f aca="false">AA21</f>
        <v>1005.00557994965</v>
      </c>
      <c r="AC19" s="117" t="n">
        <f aca="false">AB21</f>
        <v>1022.59530095217</v>
      </c>
      <c r="AD19" s="117" t="n">
        <f aca="false">AC21</f>
        <v>1048.58553590456</v>
      </c>
      <c r="AE19" s="117" t="n">
        <f aca="false">AD21</f>
        <v>1073.27625910933</v>
      </c>
      <c r="AF19" s="117" t="n">
        <f aca="false">AE21</f>
        <v>1096.73244615387</v>
      </c>
      <c r="AG19" s="117" t="n">
        <f aca="false">AF21</f>
        <v>1119.01582384617</v>
      </c>
      <c r="AH19" s="117" t="n">
        <f aca="false">AG21</f>
        <v>1140.18503265386</v>
      </c>
      <c r="AI19" s="117" t="n">
        <f aca="false">AH21</f>
        <v>1160.29578102117</v>
      </c>
      <c r="AJ19" s="117" t="n">
        <f aca="false">AI21</f>
        <v>1179.40099197011</v>
      </c>
      <c r="AK19" s="117" t="n">
        <f aca="false">AJ21</f>
        <v>1197.55094237161</v>
      </c>
      <c r="AL19" s="117" t="n">
        <f aca="false">AK21</f>
        <v>1214.79339525303</v>
      </c>
    </row>
    <row r="20" customFormat="false" ht="15" hidden="false" customHeight="false" outlineLevel="0" collapsed="false">
      <c r="A20" s="6" t="s">
        <v>401</v>
      </c>
      <c r="C20" s="117" t="n">
        <f aca="false">C21-C19-C18</f>
        <v>-7.50000000000001</v>
      </c>
      <c r="D20" s="117" t="n">
        <f aca="false">D21-D19-D18</f>
        <v>-8.31220000000003</v>
      </c>
      <c r="E20" s="117" t="n">
        <f aca="false">E21-E19-E18</f>
        <v>-9.26752333333334</v>
      </c>
      <c r="F20" s="117" t="n">
        <f aca="false">F21-F19-F18</f>
        <v>-10.5714805</v>
      </c>
      <c r="G20" s="117" t="n">
        <f aca="false">G21-G19-G18</f>
        <v>-12.019106475</v>
      </c>
      <c r="H20" s="117" t="n">
        <f aca="false">H21-H19-H18</f>
        <v>-13.6032178179167</v>
      </c>
      <c r="I20" s="117" t="n">
        <f aca="false">I21-I19-I18</f>
        <v>-15.3169902603542</v>
      </c>
      <c r="J20" s="117" t="n">
        <f aca="false">J21-J19-J18</f>
        <v>-17.1539407473365</v>
      </c>
      <c r="K20" s="117" t="n">
        <f aca="false">K21-K19-K18</f>
        <v>-19.1079103766363</v>
      </c>
      <c r="L20" s="117" t="n">
        <f aca="false">L21-L19-L18</f>
        <v>-21.1730481911378</v>
      </c>
      <c r="M20" s="117" t="n">
        <f aca="false">M21-M19-M18</f>
        <v>-23.3437957815809</v>
      </c>
      <c r="N20" s="117" t="n">
        <f aca="false">N21-N19-N18</f>
        <v>-25.6148726591685</v>
      </c>
      <c r="O20" s="117" t="n">
        <f aca="false">O21-O19-O18</f>
        <v>-27.5423956928767</v>
      </c>
      <c r="P20" s="117" t="n">
        <f aca="false">P21-P19-P18</f>
        <v>-29.557275908233</v>
      </c>
      <c r="Q20" s="117" t="n">
        <f aca="false">Q21-Q19-Q18</f>
        <v>-31.4714121128213</v>
      </c>
      <c r="R20" s="117" t="n">
        <f aca="false">R21-R19-R18</f>
        <v>-33.7538415071803</v>
      </c>
      <c r="S20" s="117" t="n">
        <f aca="false">S21-S19-S18</f>
        <v>-35.9221494318213</v>
      </c>
      <c r="T20" s="117" t="n">
        <f aca="false">T21-T19-T18</f>
        <v>-37.9820419602302</v>
      </c>
      <c r="U20" s="117" t="n">
        <f aca="false">U21-U19-U18</f>
        <v>-39.9389398622187</v>
      </c>
      <c r="V20" s="117" t="n">
        <f aca="false">V21-V19-V18</f>
        <v>-41.7979928691077</v>
      </c>
      <c r="W20" s="117" t="n">
        <f aca="false">W21-W19-W18</f>
        <v>-43.5640932256524</v>
      </c>
      <c r="X20" s="117" t="n">
        <f aca="false">X21-X19-X18</f>
        <v>-45.2418885643698</v>
      </c>
      <c r="Y20" s="117" t="n">
        <f aca="false">Y21-Y19-Y18</f>
        <v>-46.8357941361512</v>
      </c>
      <c r="Z20" s="117" t="n">
        <f aca="false">Z21-Z19-Z18</f>
        <v>-48.3500044293437</v>
      </c>
      <c r="AA20" s="117" t="n">
        <f aca="false">AA21-AA19-AA18</f>
        <v>-49.3245042078765</v>
      </c>
      <c r="AB20" s="117" t="n">
        <f aca="false">AB21-AB19-AB18</f>
        <v>-50.2502789974827</v>
      </c>
      <c r="AC20" s="117" t="n">
        <f aca="false">AC21-AC19-AC18</f>
        <v>-51.1297650476085</v>
      </c>
      <c r="AD20" s="117" t="n">
        <f aca="false">AD21-AD19-AD18</f>
        <v>-52.429276795228</v>
      </c>
      <c r="AE20" s="117" t="n">
        <f aca="false">AE21-AE19-AE18</f>
        <v>-53.6638129554668</v>
      </c>
      <c r="AF20" s="117" t="n">
        <f aca="false">AF21-AF19-AF18</f>
        <v>-54.8366223076934</v>
      </c>
      <c r="AG20" s="117" t="n">
        <f aca="false">AG21-AG19-AG18</f>
        <v>-55.9507911923089</v>
      </c>
      <c r="AH20" s="117" t="n">
        <f aca="false">AH21-AH19-AH18</f>
        <v>-57.0092516326932</v>
      </c>
      <c r="AI20" s="117" t="n">
        <f aca="false">AI21-AI19-AI18</f>
        <v>-58.0147890510585</v>
      </c>
      <c r="AJ20" s="117" t="n">
        <f aca="false">AJ21-AJ19-AJ18</f>
        <v>-58.9700495985059</v>
      </c>
      <c r="AK20" s="117" t="n">
        <f aca="false">AK21-AK19-AK18</f>
        <v>-59.8775471185805</v>
      </c>
      <c r="AL20" s="117" t="n">
        <f aca="false">AL21-AL19-AL18</f>
        <v>-60.7396697626515</v>
      </c>
    </row>
    <row r="21" customFormat="false" ht="15" hidden="false" customHeight="false" outlineLevel="0" collapsed="false">
      <c r="A21" s="4" t="s">
        <v>402</v>
      </c>
      <c r="C21" s="119" t="n">
        <f aca="false">C19*(1-Inputs!$B$24)+C18</f>
        <v>166.244</v>
      </c>
      <c r="D21" s="119" t="n">
        <f aca="false">D19*(1-Inputs!$B$24)+D18</f>
        <v>185.350466666667</v>
      </c>
      <c r="E21" s="119" t="n">
        <f aca="false">E19*(1-Inputs!$B$24)+E18</f>
        <v>211.42961</v>
      </c>
      <c r="F21" s="119" t="n">
        <f aca="false">F19*(1-Inputs!$B$24)+F18</f>
        <v>240.3821295</v>
      </c>
      <c r="G21" s="119" t="n">
        <f aca="false">G19*(1-Inputs!$B$24)+G18</f>
        <v>272.064356358333</v>
      </c>
      <c r="H21" s="119" t="n">
        <f aca="false">H19*(1-Inputs!$B$24)+H18</f>
        <v>306.339805207083</v>
      </c>
      <c r="I21" s="119" t="n">
        <f aca="false">I19*(1-Inputs!$B$24)+I18</f>
        <v>343.078814946729</v>
      </c>
      <c r="J21" s="119" t="n">
        <f aca="false">J19*(1-Inputs!$B$24)+J18</f>
        <v>382.158207532726</v>
      </c>
      <c r="K21" s="119" t="n">
        <f aca="false">K19*(1-Inputs!$B$24)+K18</f>
        <v>423.460963822756</v>
      </c>
      <c r="L21" s="119" t="n">
        <f aca="false">L19*(1-Inputs!$B$24)+L18</f>
        <v>466.875915631618</v>
      </c>
      <c r="M21" s="119" t="n">
        <f aca="false">M19*(1-Inputs!$B$24)+M18</f>
        <v>512.297453183371</v>
      </c>
      <c r="N21" s="119" t="n">
        <f aca="false">N19*(1-Inputs!$B$24)+N18</f>
        <v>550.847913857536</v>
      </c>
      <c r="O21" s="119" t="n">
        <f aca="false">O19*(1-Inputs!$B$24)+O18</f>
        <v>591.145518164659</v>
      </c>
      <c r="P21" s="119" t="n">
        <f aca="false">P19*(1-Inputs!$B$24)+P18</f>
        <v>629.428242256426</v>
      </c>
      <c r="Q21" s="119" t="n">
        <f aca="false">Q19*(1-Inputs!$B$24)+Q18</f>
        <v>675.076830143605</v>
      </c>
      <c r="R21" s="119" t="n">
        <f aca="false">R19*(1-Inputs!$B$24)+R18</f>
        <v>718.442988636424</v>
      </c>
      <c r="S21" s="119" t="n">
        <f aca="false">S19*(1-Inputs!$B$24)+S18</f>
        <v>759.640839204603</v>
      </c>
      <c r="T21" s="119" t="n">
        <f aca="false">T19*(1-Inputs!$B$24)+T18</f>
        <v>798.778797244373</v>
      </c>
      <c r="U21" s="119" t="n">
        <f aca="false">U19*(1-Inputs!$B$24)+U18</f>
        <v>835.959857382154</v>
      </c>
      <c r="V21" s="119" t="n">
        <f aca="false">V19*(1-Inputs!$B$24)+V18</f>
        <v>871.281864513047</v>
      </c>
      <c r="W21" s="119" t="n">
        <f aca="false">W19*(1-Inputs!$B$24)+W18</f>
        <v>904.837771287394</v>
      </c>
      <c r="X21" s="119" t="n">
        <f aca="false">X19*(1-Inputs!$B$24)+X18</f>
        <v>936.715882723024</v>
      </c>
      <c r="Y21" s="119" t="n">
        <f aca="false">Y19*(1-Inputs!$B$24)+Y18</f>
        <v>967.000088586873</v>
      </c>
      <c r="Z21" s="119" t="n">
        <f aca="false">Z19*(1-Inputs!$B$24)+Z18</f>
        <v>986.49008415753</v>
      </c>
      <c r="AA21" s="119" t="n">
        <f aca="false">AA19*(1-Inputs!$B$24)+AA18</f>
        <v>1005.00557994965</v>
      </c>
      <c r="AB21" s="119" t="n">
        <f aca="false">AB19*(1-Inputs!$B$24)+AB18</f>
        <v>1022.59530095217</v>
      </c>
      <c r="AC21" s="119" t="n">
        <f aca="false">AC19*(1-Inputs!$B$24)+AC18</f>
        <v>1048.58553590456</v>
      </c>
      <c r="AD21" s="119" t="n">
        <f aca="false">AD19*(1-Inputs!$B$24)+AD18</f>
        <v>1073.27625910933</v>
      </c>
      <c r="AE21" s="119" t="n">
        <f aca="false">AE19*(1-Inputs!$B$24)+AE18</f>
        <v>1096.73244615387</v>
      </c>
      <c r="AF21" s="119" t="n">
        <f aca="false">AF19*(1-Inputs!$B$24)+AF18</f>
        <v>1119.01582384617</v>
      </c>
      <c r="AG21" s="119" t="n">
        <f aca="false">AG19*(1-Inputs!$B$24)+AG18</f>
        <v>1140.18503265386</v>
      </c>
      <c r="AH21" s="119" t="n">
        <f aca="false">AH19*(1-Inputs!$B$24)+AH18</f>
        <v>1160.29578102117</v>
      </c>
      <c r="AI21" s="119" t="n">
        <f aca="false">AI19*(1-Inputs!$B$24)+AI18</f>
        <v>1179.40099197011</v>
      </c>
      <c r="AJ21" s="119" t="n">
        <f aca="false">AJ19*(1-Inputs!$B$24)+AJ18</f>
        <v>1197.55094237161</v>
      </c>
      <c r="AK21" s="119" t="n">
        <f aca="false">AK19*(1-Inputs!$B$24)+AK18</f>
        <v>1214.79339525303</v>
      </c>
      <c r="AL21" s="119" t="n">
        <f aca="false">AL19*(1-Inputs!$B$24)+AL18</f>
        <v>1221.89372549038</v>
      </c>
    </row>
    <row r="22" customFormat="false" ht="15" hidden="false" customHeight="false" outlineLevel="0" collapsed="false">
      <c r="A22" s="6" t="s">
        <v>403</v>
      </c>
      <c r="C22" s="117" t="n">
        <f aca="false">(C19+C21)/2</f>
        <v>158.122</v>
      </c>
      <c r="D22" s="117" t="n">
        <f aca="false">(D19+D21)/2</f>
        <v>175.797233333333</v>
      </c>
      <c r="E22" s="117" t="n">
        <f aca="false">(E19+E21)/2</f>
        <v>198.390038333333</v>
      </c>
      <c r="F22" s="117" t="n">
        <f aca="false">(F19+F21)/2</f>
        <v>225.90586975</v>
      </c>
      <c r="G22" s="117" t="n">
        <f aca="false">(G19+G21)/2</f>
        <v>256.223242929167</v>
      </c>
      <c r="H22" s="117" t="n">
        <f aca="false">(H19+H21)/2</f>
        <v>289.202080782708</v>
      </c>
      <c r="I22" s="117" t="n">
        <f aca="false">(I19+I21)/2</f>
        <v>324.709310076906</v>
      </c>
      <c r="J22" s="117" t="n">
        <f aca="false">(J19+J21)/2</f>
        <v>362.618511239727</v>
      </c>
      <c r="K22" s="117" t="n">
        <f aca="false">(K19+K21)/2</f>
        <v>402.809585677741</v>
      </c>
      <c r="L22" s="117" t="n">
        <f aca="false">(L19+L21)/2</f>
        <v>445.168439727187</v>
      </c>
      <c r="M22" s="117" t="n">
        <f aca="false">(M19+M21)/2</f>
        <v>489.586684407495</v>
      </c>
      <c r="N22" s="117" t="n">
        <f aca="false">(N19+N21)/2</f>
        <v>531.572683520453</v>
      </c>
      <c r="O22" s="117" t="n">
        <f aca="false">(O19+O21)/2</f>
        <v>570.996716011097</v>
      </c>
      <c r="P22" s="117" t="n">
        <f aca="false">(P19+P21)/2</f>
        <v>610.286880210542</v>
      </c>
      <c r="Q22" s="117" t="n">
        <f aca="false">(Q19+Q21)/2</f>
        <v>652.252536200015</v>
      </c>
      <c r="R22" s="117" t="n">
        <f aca="false">(R19+R21)/2</f>
        <v>696.759909390015</v>
      </c>
      <c r="S22" s="117" t="n">
        <f aca="false">(S19+S21)/2</f>
        <v>739.041913920514</v>
      </c>
      <c r="T22" s="117" t="n">
        <f aca="false">(T19+T21)/2</f>
        <v>779.209818224488</v>
      </c>
      <c r="U22" s="117" t="n">
        <f aca="false">(U19+U21)/2</f>
        <v>817.369327313264</v>
      </c>
      <c r="V22" s="117" t="n">
        <f aca="false">(V19+V21)/2</f>
        <v>853.620860947601</v>
      </c>
      <c r="W22" s="117" t="n">
        <f aca="false">(W19+W21)/2</f>
        <v>888.05981790022</v>
      </c>
      <c r="X22" s="117" t="n">
        <f aca="false">(X19+X21)/2</f>
        <v>920.776827005209</v>
      </c>
      <c r="Y22" s="117" t="n">
        <f aca="false">(Y19+Y21)/2</f>
        <v>951.857985654949</v>
      </c>
      <c r="Z22" s="117" t="n">
        <f aca="false">(Z19+Z21)/2</f>
        <v>976.745086372201</v>
      </c>
      <c r="AA22" s="117" t="n">
        <f aca="false">(AA19+AA21)/2</f>
        <v>995.747832053591</v>
      </c>
      <c r="AB22" s="117" t="n">
        <f aca="false">(AB19+AB21)/2</f>
        <v>1013.80044045091</v>
      </c>
      <c r="AC22" s="117" t="n">
        <f aca="false">(AC19+AC21)/2</f>
        <v>1035.59041842837</v>
      </c>
      <c r="AD22" s="117" t="n">
        <f aca="false">(AD19+AD21)/2</f>
        <v>1060.93089750695</v>
      </c>
      <c r="AE22" s="117" t="n">
        <f aca="false">(AE19+AE21)/2</f>
        <v>1085.0043526316</v>
      </c>
      <c r="AF22" s="117" t="n">
        <f aca="false">(AF19+AF21)/2</f>
        <v>1107.87413500002</v>
      </c>
      <c r="AG22" s="117" t="n">
        <f aca="false">(AG19+AG21)/2</f>
        <v>1129.60042825002</v>
      </c>
      <c r="AH22" s="117" t="n">
        <f aca="false">(AH19+AH21)/2</f>
        <v>1150.24040683752</v>
      </c>
      <c r="AI22" s="117" t="n">
        <f aca="false">(AI19+AI21)/2</f>
        <v>1169.84838649564</v>
      </c>
      <c r="AJ22" s="117" t="n">
        <f aca="false">(AJ19+AJ21)/2</f>
        <v>1188.47596717086</v>
      </c>
      <c r="AK22" s="117" t="n">
        <f aca="false">(AK19+AK21)/2</f>
        <v>1206.17216881232</v>
      </c>
      <c r="AL22" s="117" t="n">
        <f aca="false">(AL19+AL21)/2</f>
        <v>1218.3435603717</v>
      </c>
    </row>
    <row r="24" customFormat="false" ht="15.75" hidden="false" customHeight="true" outlineLevel="0" collapsed="false">
      <c r="A24" s="7" t="s">
        <v>404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405</v>
      </c>
      <c r="C25" s="118" t="n">
        <f aca="false">C22*Inputs!$B$25*C12*1</f>
        <v>480.69088</v>
      </c>
      <c r="D25" s="118" t="n">
        <f aca="false">D22*Inputs!$B$25*D12*1</f>
        <v>534.423589333333</v>
      </c>
      <c r="E25" s="118" t="n">
        <f aca="false">E22*Inputs!$B$25*E12*1</f>
        <v>804.140955377778</v>
      </c>
      <c r="F25" s="118" t="n">
        <f aca="false">F22*Inputs!$B$25*F12*1</f>
        <v>915.671792053333</v>
      </c>
      <c r="G25" s="118" t="n">
        <f aca="false">G22*Inputs!$B$25*G12*1</f>
        <v>1038.55821133956</v>
      </c>
      <c r="H25" s="118" t="n">
        <f aca="false">H22*Inputs!$B$25*H12*1</f>
        <v>1172.23243410591</v>
      </c>
      <c r="I25" s="118" t="n">
        <f aca="false">I22*Inputs!$B$25*I12*1</f>
        <v>1316.15507017839</v>
      </c>
      <c r="J25" s="118" t="n">
        <f aca="false">J22*Inputs!$B$25*J12*1</f>
        <v>1469.8136988917</v>
      </c>
      <c r="K25" s="118" t="n">
        <f aca="false">K22*Inputs!$B$25*K12*1</f>
        <v>1632.72152061378</v>
      </c>
      <c r="L25" s="118" t="n">
        <f aca="false">L22*Inputs!$B$25*L12*1</f>
        <v>1804.4160756942</v>
      </c>
      <c r="M25" s="118" t="n">
        <f aca="false">M22*Inputs!$B$25*M12*1</f>
        <v>1984.45802746504</v>
      </c>
      <c r="N25" s="118" t="n">
        <f aca="false">N22*Inputs!$B$25*N12*1</f>
        <v>1615.98095790218</v>
      </c>
      <c r="O25" s="118" t="n">
        <f aca="false">O22*Inputs!$B$25*O12*1</f>
        <v>1735.83001667374</v>
      </c>
      <c r="P25" s="118" t="n">
        <f aca="false">P22*Inputs!$B$25*P12*1</f>
        <v>1855.27211584005</v>
      </c>
      <c r="Q25" s="118" t="n">
        <f aca="false">Q22*Inputs!$B$25*Q12*1</f>
        <v>2643.79694673073</v>
      </c>
      <c r="R25" s="118" t="n">
        <f aca="false">R22*Inputs!$B$25*R12*1</f>
        <v>2824.20016606086</v>
      </c>
      <c r="S25" s="118" t="n">
        <f aca="false">S22*Inputs!$B$25*S12*1</f>
        <v>2995.58322442448</v>
      </c>
      <c r="T25" s="118" t="n">
        <f aca="false">T22*Inputs!$B$25*T12*1</f>
        <v>3158.39712986993</v>
      </c>
      <c r="U25" s="118" t="n">
        <f aca="false">U22*Inputs!$B$25*U12*1</f>
        <v>3313.0703400431</v>
      </c>
      <c r="V25" s="118" t="n">
        <f aca="false">V22*Inputs!$B$25*V12*1</f>
        <v>3460.00988970761</v>
      </c>
      <c r="W25" s="118" t="n">
        <f aca="false">W22*Inputs!$B$25*W12*1</f>
        <v>3599.60246188889</v>
      </c>
      <c r="X25" s="118" t="n">
        <f aca="false">X22*Inputs!$B$25*X12*1</f>
        <v>3732.21540546111</v>
      </c>
      <c r="Y25" s="118" t="n">
        <f aca="false">Y22*Inputs!$B$25*Y12*1</f>
        <v>3858.19770185473</v>
      </c>
      <c r="Z25" s="118" t="n">
        <f aca="false">Z22*Inputs!$B$25*Z12*1</f>
        <v>2969.30506257149</v>
      </c>
      <c r="AA25" s="118" t="n">
        <f aca="false">AA22*Inputs!$B$25*AA12*1</f>
        <v>3027.07340944292</v>
      </c>
      <c r="AB25" s="118" t="n">
        <f aca="false">AB22*Inputs!$B$25*AB12*1</f>
        <v>3081.95333897077</v>
      </c>
      <c r="AC25" s="118" t="n">
        <f aca="false">AC22*Inputs!$B$25*AC12*1</f>
        <v>4197.59316269631</v>
      </c>
      <c r="AD25" s="118" t="n">
        <f aca="false">AD22*Inputs!$B$25*AD12*1</f>
        <v>4300.30657122816</v>
      </c>
      <c r="AE25" s="118" t="n">
        <f aca="false">AE22*Inputs!$B$25*AE12*1</f>
        <v>4397.88430933342</v>
      </c>
      <c r="AF25" s="118" t="n">
        <f aca="false">AF22*Inputs!$B$25*AF12*1</f>
        <v>4490.58316053342</v>
      </c>
      <c r="AG25" s="118" t="n">
        <f aca="false">AG22*Inputs!$B$25*AG12*1</f>
        <v>4578.64706917341</v>
      </c>
      <c r="AH25" s="118" t="n">
        <f aca="false">AH22*Inputs!$B$25*AH12*1</f>
        <v>4662.30778238141</v>
      </c>
      <c r="AI25" s="118" t="n">
        <f aca="false">AI22*Inputs!$B$25*AI12*1</f>
        <v>4741.785459929</v>
      </c>
      <c r="AJ25" s="118" t="n">
        <f aca="false">AJ22*Inputs!$B$25*AJ12*1</f>
        <v>4817.28925359922</v>
      </c>
      <c r="AK25" s="118" t="n">
        <f aca="false">AK22*Inputs!$B$25*AK12*1</f>
        <v>4889.01785758592</v>
      </c>
      <c r="AL25" s="118" t="n">
        <f aca="false">AL22*Inputs!$B$25*AL12*1</f>
        <v>3703.76442352997</v>
      </c>
    </row>
    <row r="26" customFormat="false" ht="15" hidden="false" customHeight="false" outlineLevel="0" collapsed="false">
      <c r="A26" s="6" t="s">
        <v>406</v>
      </c>
      <c r="C26" s="118" t="n">
        <f aca="false">Inputs!$B$15*Inputs!$B$16*Inputs!$B$17*Inputs!$B$9*1</f>
        <v>24563</v>
      </c>
      <c r="D26" s="118" t="n">
        <f aca="false">Inputs!$B$15*Inputs!$B$16*Inputs!$B$17*Inputs!$B$9*1</f>
        <v>24563</v>
      </c>
      <c r="E26" s="118" t="n">
        <f aca="false">Inputs!$B$15*Inputs!$B$16*Inputs!$B$17*Inputs!$B$9*1</f>
        <v>24563</v>
      </c>
      <c r="F26" s="118" t="n">
        <f aca="false">Inputs!$B$15*Inputs!$B$16*Inputs!$B$17*Inputs!$B$9*1</f>
        <v>24563</v>
      </c>
      <c r="G26" s="118" t="n">
        <f aca="false">Inputs!$B$15*Inputs!$B$16*Inputs!$B$17*Inputs!$B$9*1</f>
        <v>24563</v>
      </c>
      <c r="H26" s="118" t="n">
        <f aca="false">Inputs!$B$15*Inputs!$B$16*Inputs!$B$17*Inputs!$B$9*1</f>
        <v>24563</v>
      </c>
      <c r="I26" s="118" t="n">
        <f aca="false">Inputs!$B$15*Inputs!$B$16*Inputs!$B$17*Inputs!$B$9*1</f>
        <v>24563</v>
      </c>
      <c r="J26" s="118" t="n">
        <f aca="false">Inputs!$B$15*Inputs!$B$16*Inputs!$B$17*Inputs!$B$9*1</f>
        <v>24563</v>
      </c>
      <c r="K26" s="118" t="n">
        <f aca="false">Inputs!$B$15*Inputs!$B$16*Inputs!$B$17*Inputs!$B$9*1</f>
        <v>24563</v>
      </c>
      <c r="L26" s="118" t="n">
        <f aca="false">Inputs!$B$15*Inputs!$B$16*Inputs!$B$17*Inputs!$B$9*1</f>
        <v>24563</v>
      </c>
      <c r="M26" s="118" t="n">
        <f aca="false">Inputs!$B$15*Inputs!$B$16*Inputs!$B$17*Inputs!$B$9*1</f>
        <v>24563</v>
      </c>
      <c r="N26" s="118" t="n">
        <f aca="false">Inputs!$B$15*Inputs!$B$16*Inputs!$B$17*Inputs!$B$9*1</f>
        <v>24563</v>
      </c>
      <c r="O26" s="118" t="n">
        <f aca="false">Inputs!$B$15*Inputs!$B$16*Inputs!$B$17*Inputs!$B$9*1</f>
        <v>24563</v>
      </c>
      <c r="P26" s="118" t="n">
        <f aca="false">Inputs!$B$15*Inputs!$B$16*Inputs!$B$17*Inputs!$B$9*1</f>
        <v>24563</v>
      </c>
      <c r="Q26" s="118" t="n">
        <f aca="false">Inputs!$B$15*Inputs!$B$16*Inputs!$B$17*Inputs!$B$9*1</f>
        <v>24563</v>
      </c>
      <c r="R26" s="118" t="n">
        <f aca="false">Inputs!$B$15*Inputs!$B$16*Inputs!$B$17*Inputs!$B$9*1</f>
        <v>24563</v>
      </c>
      <c r="S26" s="118" t="n">
        <f aca="false">Inputs!$B$15*Inputs!$B$16*Inputs!$B$17*Inputs!$B$9*1</f>
        <v>24563</v>
      </c>
      <c r="T26" s="118" t="n">
        <f aca="false">Inputs!$B$15*Inputs!$B$16*Inputs!$B$17*Inputs!$B$9*1</f>
        <v>24563</v>
      </c>
      <c r="U26" s="118" t="n">
        <f aca="false">Inputs!$B$15*Inputs!$B$16*Inputs!$B$17*Inputs!$B$9*1</f>
        <v>24563</v>
      </c>
      <c r="V26" s="118" t="n">
        <f aca="false">Inputs!$B$15*Inputs!$B$16*Inputs!$B$17*Inputs!$B$9*1</f>
        <v>24563</v>
      </c>
      <c r="W26" s="118" t="n">
        <f aca="false">Inputs!$B$15*Inputs!$B$16*Inputs!$B$17*Inputs!$B$9*1</f>
        <v>24563</v>
      </c>
      <c r="X26" s="118" t="n">
        <f aca="false">Inputs!$B$15*Inputs!$B$16*Inputs!$B$17*Inputs!$B$9*1</f>
        <v>24563</v>
      </c>
      <c r="Y26" s="118" t="n">
        <f aca="false">Inputs!$B$15*Inputs!$B$16*Inputs!$B$17*Inputs!$B$9*1</f>
        <v>24563</v>
      </c>
      <c r="Z26" s="118" t="n">
        <f aca="false">Inputs!$B$15*Inputs!$B$16*Inputs!$B$17*Inputs!$B$9*1</f>
        <v>24563</v>
      </c>
      <c r="AA26" s="118" t="n">
        <f aca="false">Inputs!$B$15*Inputs!$B$16*Inputs!$B$17*Inputs!$B$9*1</f>
        <v>24563</v>
      </c>
      <c r="AB26" s="118" t="n">
        <f aca="false">Inputs!$B$15*Inputs!$B$16*Inputs!$B$17*Inputs!$B$9*1</f>
        <v>24563</v>
      </c>
      <c r="AC26" s="118" t="n">
        <f aca="false">Inputs!$B$15*Inputs!$B$16*Inputs!$B$17*Inputs!$B$9*1</f>
        <v>24563</v>
      </c>
      <c r="AD26" s="118" t="n">
        <f aca="false">Inputs!$B$15*Inputs!$B$16*Inputs!$B$17*Inputs!$B$9*1</f>
        <v>24563</v>
      </c>
      <c r="AE26" s="118" t="n">
        <f aca="false">Inputs!$B$15*Inputs!$B$16*Inputs!$B$17*Inputs!$B$9*1</f>
        <v>24563</v>
      </c>
      <c r="AF26" s="118" t="n">
        <f aca="false">Inputs!$B$15*Inputs!$B$16*Inputs!$B$17*Inputs!$B$9*1</f>
        <v>24563</v>
      </c>
      <c r="AG26" s="118" t="n">
        <f aca="false">Inputs!$B$15*Inputs!$B$16*Inputs!$B$17*Inputs!$B$9*1</f>
        <v>24563</v>
      </c>
      <c r="AH26" s="118" t="n">
        <f aca="false">Inputs!$B$15*Inputs!$B$16*Inputs!$B$17*Inputs!$B$9*1</f>
        <v>24563</v>
      </c>
      <c r="AI26" s="118" t="n">
        <f aca="false">Inputs!$B$15*Inputs!$B$16*Inputs!$B$17*Inputs!$B$9*1</f>
        <v>24563</v>
      </c>
      <c r="AJ26" s="118" t="n">
        <f aca="false">Inputs!$B$15*Inputs!$B$16*Inputs!$B$17*Inputs!$B$9*1</f>
        <v>24563</v>
      </c>
      <c r="AK26" s="118" t="n">
        <f aca="false">Inputs!$B$15*Inputs!$B$16*Inputs!$B$17*Inputs!$B$9*1</f>
        <v>24563</v>
      </c>
      <c r="AL26" s="118" t="n">
        <f aca="false">Inputs!$B$15*Inputs!$B$16*Inputs!$B$17*Inputs!$B$9*1</f>
        <v>24563</v>
      </c>
    </row>
    <row r="27" customFormat="false" ht="15" hidden="false" customHeight="false" outlineLevel="0" collapsed="false">
      <c r="A27" s="39" t="s">
        <v>407</v>
      </c>
      <c r="C27" s="76" t="n">
        <f aca="false">MIN(1,C26/MAX(1,C13+C25))</f>
        <v>1</v>
      </c>
      <c r="D27" s="76" t="n">
        <f aca="false">MIN(1,D26/MAX(1,D13+D25))</f>
        <v>1</v>
      </c>
      <c r="E27" s="76" t="n">
        <f aca="false">MIN(1,E26/MAX(1,E13+E25))</f>
        <v>1</v>
      </c>
      <c r="F27" s="76" t="n">
        <f aca="false">MIN(1,F26/MAX(1,F13+F25))</f>
        <v>1</v>
      </c>
      <c r="G27" s="76" t="n">
        <f aca="false">MIN(1,G26/MAX(1,G13+G25))</f>
        <v>1</v>
      </c>
      <c r="H27" s="76" t="n">
        <f aca="false">MIN(1,H26/MAX(1,H13+H25))</f>
        <v>1</v>
      </c>
      <c r="I27" s="76" t="n">
        <f aca="false">MIN(1,I26/MAX(1,I13+I25))</f>
        <v>1</v>
      </c>
      <c r="J27" s="76" t="n">
        <f aca="false">MIN(1,J26/MAX(1,J13+J25))</f>
        <v>1</v>
      </c>
      <c r="K27" s="76" t="n">
        <f aca="false">MIN(1,K26/MAX(1,K13+K25))</f>
        <v>1</v>
      </c>
      <c r="L27" s="76" t="n">
        <f aca="false">MIN(1,L26/MAX(1,L13+L25))</f>
        <v>1</v>
      </c>
      <c r="M27" s="76" t="n">
        <f aca="false">MIN(1,M26/MAX(1,M13+M25))</f>
        <v>1</v>
      </c>
      <c r="N27" s="76" t="n">
        <f aca="false">MIN(1,N26/MAX(1,N13+N25))</f>
        <v>1</v>
      </c>
      <c r="O27" s="76" t="n">
        <f aca="false">MIN(1,O26/MAX(1,O13+O25))</f>
        <v>1</v>
      </c>
      <c r="P27" s="76" t="n">
        <f aca="false">MIN(1,P26/MAX(1,P13+P25))</f>
        <v>1</v>
      </c>
      <c r="Q27" s="76" t="n">
        <f aca="false">MIN(1,Q26/MAX(1,Q13+Q25))</f>
        <v>1</v>
      </c>
      <c r="R27" s="76" t="n">
        <f aca="false">MIN(1,R26/MAX(1,R13+R25))</f>
        <v>1</v>
      </c>
      <c r="S27" s="76" t="n">
        <f aca="false">MIN(1,S26/MAX(1,S13+S25))</f>
        <v>1</v>
      </c>
      <c r="T27" s="76" t="n">
        <f aca="false">MIN(1,T26/MAX(1,T13+T25))</f>
        <v>1</v>
      </c>
      <c r="U27" s="76" t="n">
        <f aca="false">MIN(1,U26/MAX(1,U13+U25))</f>
        <v>1</v>
      </c>
      <c r="V27" s="76" t="n">
        <f aca="false">MIN(1,V26/MAX(1,V13+V25))</f>
        <v>1</v>
      </c>
      <c r="W27" s="76" t="n">
        <f aca="false">MIN(1,W26/MAX(1,W13+W25))</f>
        <v>1</v>
      </c>
      <c r="X27" s="76" t="n">
        <f aca="false">MIN(1,X26/MAX(1,X13+X25))</f>
        <v>1</v>
      </c>
      <c r="Y27" s="76" t="n">
        <f aca="false">MIN(1,Y26/MAX(1,Y13+Y25))</f>
        <v>1</v>
      </c>
      <c r="Z27" s="76" t="n">
        <f aca="false">MIN(1,Z26/MAX(1,Z13+Z25))</f>
        <v>1</v>
      </c>
      <c r="AA27" s="76" t="n">
        <f aca="false">MIN(1,AA26/MAX(1,AA13+AA25))</f>
        <v>1</v>
      </c>
      <c r="AB27" s="76" t="n">
        <f aca="false">MIN(1,AB26/MAX(1,AB13+AB25))</f>
        <v>1</v>
      </c>
      <c r="AC27" s="76" t="n">
        <f aca="false">MIN(1,AC26/MAX(1,AC13+AC25))</f>
        <v>1</v>
      </c>
      <c r="AD27" s="76" t="n">
        <f aca="false">MIN(1,AD26/MAX(1,AD13+AD25))</f>
        <v>1</v>
      </c>
      <c r="AE27" s="76" t="n">
        <f aca="false">MIN(1,AE26/MAX(1,AE13+AE25))</f>
        <v>1</v>
      </c>
      <c r="AF27" s="76" t="n">
        <f aca="false">MIN(1,AF26/MAX(1,AF13+AF25))</f>
        <v>1</v>
      </c>
      <c r="AG27" s="76" t="n">
        <f aca="false">MIN(1,AG26/MAX(1,AG13+AG25))</f>
        <v>1</v>
      </c>
      <c r="AH27" s="76" t="n">
        <f aca="false">MIN(1,AH26/MAX(1,AH13+AH25))</f>
        <v>1</v>
      </c>
      <c r="AI27" s="76" t="n">
        <f aca="false">MIN(1,AI26/MAX(1,AI13+AI25))</f>
        <v>1</v>
      </c>
      <c r="AJ27" s="76" t="n">
        <f aca="false">MIN(1,AJ26/MAX(1,AJ13+AJ25))</f>
        <v>1</v>
      </c>
      <c r="AK27" s="76" t="n">
        <f aca="false">MIN(1,AK26/MAX(1,AK13+AK25))</f>
        <v>1</v>
      </c>
      <c r="AL27" s="76" t="n">
        <f aca="false">MIN(1,AL26/MAX(1,AL13+AL25))</f>
        <v>1</v>
      </c>
    </row>
    <row r="28" customFormat="false" ht="15" hidden="false" customHeight="false" outlineLevel="0" collapsed="false">
      <c r="A28" s="6" t="s">
        <v>236</v>
      </c>
      <c r="C28" s="118" t="n">
        <f aca="false">C13*C27</f>
        <v>1624</v>
      </c>
      <c r="D28" s="118" t="n">
        <f aca="false">D13*D27</f>
        <v>1875.33333333333</v>
      </c>
      <c r="E28" s="118" t="n">
        <f aca="false">E13*E27</f>
        <v>2835.55555555556</v>
      </c>
      <c r="F28" s="118" t="n">
        <f aca="false">F13*F27</f>
        <v>3170.66666666667</v>
      </c>
      <c r="G28" s="118" t="n">
        <f aca="false">G13*G27</f>
        <v>3505.77777777778</v>
      </c>
      <c r="H28" s="118" t="n">
        <f aca="false">H13*H27</f>
        <v>3840.88888888889</v>
      </c>
      <c r="I28" s="118" t="n">
        <f aca="false">I13*I27</f>
        <v>4176</v>
      </c>
      <c r="J28" s="118" t="n">
        <f aca="false">J13*J27</f>
        <v>4511.11111111111</v>
      </c>
      <c r="K28" s="118" t="n">
        <f aca="false">K13*K27</f>
        <v>4846.22222222222</v>
      </c>
      <c r="L28" s="118" t="n">
        <f aca="false">L13*L27</f>
        <v>5181.33333333333</v>
      </c>
      <c r="M28" s="118" t="n">
        <f aca="false">M13*M27</f>
        <v>5516.44444444444</v>
      </c>
      <c r="N28" s="118" t="n">
        <f aca="false">N13*N27</f>
        <v>4388.66666666667</v>
      </c>
      <c r="O28" s="118" t="n">
        <f aca="false">O13*O27</f>
        <v>4640</v>
      </c>
      <c r="P28" s="118" t="n">
        <f aca="false">P13*P27</f>
        <v>4640</v>
      </c>
      <c r="Q28" s="118" t="n">
        <f aca="false">Q13*Q27</f>
        <v>6186.66666666667</v>
      </c>
      <c r="R28" s="118" t="n">
        <f aca="false">R13*R27</f>
        <v>6186.66666666667</v>
      </c>
      <c r="S28" s="118" t="n">
        <f aca="false">S13*S27</f>
        <v>6186.66666666667</v>
      </c>
      <c r="T28" s="118" t="n">
        <f aca="false">T13*T27</f>
        <v>6186.66666666667</v>
      </c>
      <c r="U28" s="118" t="n">
        <f aca="false">U13*U27</f>
        <v>6186.66666666667</v>
      </c>
      <c r="V28" s="118" t="n">
        <f aca="false">V13*V27</f>
        <v>6186.66666666667</v>
      </c>
      <c r="W28" s="118" t="n">
        <f aca="false">W13*W27</f>
        <v>6186.66666666667</v>
      </c>
      <c r="X28" s="118" t="n">
        <f aca="false">X13*X27</f>
        <v>6186.66666666667</v>
      </c>
      <c r="Y28" s="118" t="n">
        <f aca="false">Y13*Y27</f>
        <v>6186.66666666667</v>
      </c>
      <c r="Z28" s="118" t="n">
        <f aca="false">Z13*Z27</f>
        <v>4640</v>
      </c>
      <c r="AA28" s="118" t="n">
        <f aca="false">AA13*AA27</f>
        <v>4640</v>
      </c>
      <c r="AB28" s="118" t="n">
        <f aca="false">AB13*AB27</f>
        <v>4640</v>
      </c>
      <c r="AC28" s="118" t="n">
        <f aca="false">AC13*AC27</f>
        <v>6186.66666666667</v>
      </c>
      <c r="AD28" s="118" t="n">
        <f aca="false">AD13*AD27</f>
        <v>6186.66666666667</v>
      </c>
      <c r="AE28" s="118" t="n">
        <f aca="false">AE13*AE27</f>
        <v>6186.66666666667</v>
      </c>
      <c r="AF28" s="118" t="n">
        <f aca="false">AF13*AF27</f>
        <v>6186.66666666667</v>
      </c>
      <c r="AG28" s="118" t="n">
        <f aca="false">AG13*AG27</f>
        <v>6186.66666666667</v>
      </c>
      <c r="AH28" s="118" t="n">
        <f aca="false">AH13*AH27</f>
        <v>6186.66666666667</v>
      </c>
      <c r="AI28" s="118" t="n">
        <f aca="false">AI13*AI27</f>
        <v>6186.66666666667</v>
      </c>
      <c r="AJ28" s="118" t="n">
        <f aca="false">AJ13*AJ27</f>
        <v>6186.66666666667</v>
      </c>
      <c r="AK28" s="118" t="n">
        <f aca="false">AK13*AK27</f>
        <v>6186.66666666667</v>
      </c>
      <c r="AL28" s="118" t="n">
        <f aca="false">AL13*AL27</f>
        <v>4640</v>
      </c>
    </row>
    <row r="29" customFormat="false" ht="15" hidden="false" customHeight="false" outlineLevel="0" collapsed="false">
      <c r="A29" s="6" t="s">
        <v>237</v>
      </c>
      <c r="C29" s="118" t="n">
        <f aca="false">C25*C27</f>
        <v>480.69088</v>
      </c>
      <c r="D29" s="118" t="n">
        <f aca="false">D25*D27</f>
        <v>534.423589333333</v>
      </c>
      <c r="E29" s="118" t="n">
        <f aca="false">E25*E27</f>
        <v>804.140955377778</v>
      </c>
      <c r="F29" s="118" t="n">
        <f aca="false">F25*F27</f>
        <v>915.671792053333</v>
      </c>
      <c r="G29" s="118" t="n">
        <f aca="false">G25*G27</f>
        <v>1038.55821133956</v>
      </c>
      <c r="H29" s="118" t="n">
        <f aca="false">H25*H27</f>
        <v>1172.23243410591</v>
      </c>
      <c r="I29" s="118" t="n">
        <f aca="false">I25*I27</f>
        <v>1316.15507017839</v>
      </c>
      <c r="J29" s="118" t="n">
        <f aca="false">J25*J27</f>
        <v>1469.8136988917</v>
      </c>
      <c r="K29" s="118" t="n">
        <f aca="false">K25*K27</f>
        <v>1632.72152061378</v>
      </c>
      <c r="L29" s="118" t="n">
        <f aca="false">L25*L27</f>
        <v>1804.4160756942</v>
      </c>
      <c r="M29" s="118" t="n">
        <f aca="false">M25*M27</f>
        <v>1984.45802746504</v>
      </c>
      <c r="N29" s="118" t="n">
        <f aca="false">N25*N27</f>
        <v>1615.98095790218</v>
      </c>
      <c r="O29" s="118" t="n">
        <f aca="false">O25*O27</f>
        <v>1735.83001667374</v>
      </c>
      <c r="P29" s="118" t="n">
        <f aca="false">P25*P27</f>
        <v>1855.27211584005</v>
      </c>
      <c r="Q29" s="118" t="n">
        <f aca="false">Q25*Q27</f>
        <v>2643.79694673073</v>
      </c>
      <c r="R29" s="118" t="n">
        <f aca="false">R25*R27</f>
        <v>2824.20016606086</v>
      </c>
      <c r="S29" s="118" t="n">
        <f aca="false">S25*S27</f>
        <v>2995.58322442448</v>
      </c>
      <c r="T29" s="118" t="n">
        <f aca="false">T25*T27</f>
        <v>3158.39712986993</v>
      </c>
      <c r="U29" s="118" t="n">
        <f aca="false">U25*U27</f>
        <v>3313.0703400431</v>
      </c>
      <c r="V29" s="118" t="n">
        <f aca="false">V25*V27</f>
        <v>3460.00988970761</v>
      </c>
      <c r="W29" s="118" t="n">
        <f aca="false">W25*W27</f>
        <v>3599.60246188889</v>
      </c>
      <c r="X29" s="118" t="n">
        <f aca="false">X25*X27</f>
        <v>3732.21540546111</v>
      </c>
      <c r="Y29" s="118" t="n">
        <f aca="false">Y25*Y27</f>
        <v>3858.19770185473</v>
      </c>
      <c r="Z29" s="118" t="n">
        <f aca="false">Z25*Z27</f>
        <v>2969.30506257149</v>
      </c>
      <c r="AA29" s="118" t="n">
        <f aca="false">AA25*AA27</f>
        <v>3027.07340944292</v>
      </c>
      <c r="AB29" s="118" t="n">
        <f aca="false">AB25*AB27</f>
        <v>3081.95333897077</v>
      </c>
      <c r="AC29" s="118" t="n">
        <f aca="false">AC25*AC27</f>
        <v>4197.59316269631</v>
      </c>
      <c r="AD29" s="118" t="n">
        <f aca="false">AD25*AD27</f>
        <v>4300.30657122816</v>
      </c>
      <c r="AE29" s="118" t="n">
        <f aca="false">AE25*AE27</f>
        <v>4397.88430933342</v>
      </c>
      <c r="AF29" s="118" t="n">
        <f aca="false">AF25*AF27</f>
        <v>4490.58316053342</v>
      </c>
      <c r="AG29" s="118" t="n">
        <f aca="false">AG25*AG27</f>
        <v>4578.64706917341</v>
      </c>
      <c r="AH29" s="118" t="n">
        <f aca="false">AH25*AH27</f>
        <v>4662.30778238141</v>
      </c>
      <c r="AI29" s="118" t="n">
        <f aca="false">AI25*AI27</f>
        <v>4741.785459929</v>
      </c>
      <c r="AJ29" s="118" t="n">
        <f aca="false">AJ25*AJ27</f>
        <v>4817.28925359922</v>
      </c>
      <c r="AK29" s="118" t="n">
        <f aca="false">AK25*AK27</f>
        <v>4889.01785758592</v>
      </c>
      <c r="AL29" s="118" t="n">
        <f aca="false">AL25*AL27</f>
        <v>3703.76442352997</v>
      </c>
    </row>
    <row r="30" customFormat="false" ht="15" hidden="false" customHeight="false" outlineLevel="0" collapsed="false">
      <c r="A30" s="4" t="s">
        <v>408</v>
      </c>
      <c r="C30" s="121" t="n">
        <f aca="false">C28+C29</f>
        <v>2104.69088</v>
      </c>
      <c r="D30" s="121" t="n">
        <f aca="false">D28+D29</f>
        <v>2409.75692266667</v>
      </c>
      <c r="E30" s="121" t="n">
        <f aca="false">E28+E29</f>
        <v>3639.69651093333</v>
      </c>
      <c r="F30" s="121" t="n">
        <f aca="false">F28+F29</f>
        <v>4086.33845872</v>
      </c>
      <c r="G30" s="121" t="n">
        <f aca="false">G28+G29</f>
        <v>4544.33598911733</v>
      </c>
      <c r="H30" s="121" t="n">
        <f aca="false">H28+H29</f>
        <v>5013.1213229948</v>
      </c>
      <c r="I30" s="121" t="n">
        <f aca="false">I28+I29</f>
        <v>5492.15507017839</v>
      </c>
      <c r="J30" s="121" t="n">
        <f aca="false">J28+J29</f>
        <v>5980.92481000281</v>
      </c>
      <c r="K30" s="121" t="n">
        <f aca="false">K28+K29</f>
        <v>6478.943742836</v>
      </c>
      <c r="L30" s="121" t="n">
        <f aca="false">L28+L29</f>
        <v>6985.74940902753</v>
      </c>
      <c r="M30" s="121" t="n">
        <f aca="false">M28+M29</f>
        <v>7500.90247190949</v>
      </c>
      <c r="N30" s="121" t="n">
        <f aca="false">N28+N29</f>
        <v>6004.64762456885</v>
      </c>
      <c r="O30" s="121" t="n">
        <f aca="false">O28+O29</f>
        <v>6375.83001667374</v>
      </c>
      <c r="P30" s="121" t="n">
        <f aca="false">P28+P29</f>
        <v>6495.27211584005</v>
      </c>
      <c r="Q30" s="121" t="n">
        <f aca="false">Q28+Q29</f>
        <v>8830.4636133974</v>
      </c>
      <c r="R30" s="121" t="n">
        <f aca="false">R28+R29</f>
        <v>9010.86683272753</v>
      </c>
      <c r="S30" s="121" t="n">
        <f aca="false">S28+S29</f>
        <v>9182.24989109115</v>
      </c>
      <c r="T30" s="121" t="n">
        <f aca="false">T28+T29</f>
        <v>9345.06379653659</v>
      </c>
      <c r="U30" s="121" t="n">
        <f aca="false">U28+U29</f>
        <v>9499.73700670976</v>
      </c>
      <c r="V30" s="121" t="n">
        <f aca="false">V28+V29</f>
        <v>9646.67655637427</v>
      </c>
      <c r="W30" s="121" t="n">
        <f aca="false">W28+W29</f>
        <v>9786.26912855556</v>
      </c>
      <c r="X30" s="121" t="n">
        <f aca="false">X28+X29</f>
        <v>9918.88207212778</v>
      </c>
      <c r="Y30" s="121" t="n">
        <f aca="false">Y28+Y29</f>
        <v>10044.8643685214</v>
      </c>
      <c r="Z30" s="121" t="n">
        <f aca="false">Z28+Z29</f>
        <v>7609.30506257149</v>
      </c>
      <c r="AA30" s="121" t="n">
        <f aca="false">AA28+AA29</f>
        <v>7667.07340944292</v>
      </c>
      <c r="AB30" s="121" t="n">
        <f aca="false">AB28+AB29</f>
        <v>7721.95333897077</v>
      </c>
      <c r="AC30" s="121" t="n">
        <f aca="false">AC28+AC29</f>
        <v>10384.259829363</v>
      </c>
      <c r="AD30" s="121" t="n">
        <f aca="false">AD28+AD29</f>
        <v>10486.9732378948</v>
      </c>
      <c r="AE30" s="121" t="n">
        <f aca="false">AE28+AE29</f>
        <v>10584.5509760001</v>
      </c>
      <c r="AF30" s="121" t="n">
        <f aca="false">AF28+AF29</f>
        <v>10677.2498272001</v>
      </c>
      <c r="AG30" s="121" t="n">
        <f aca="false">AG28+AG29</f>
        <v>10765.3137358401</v>
      </c>
      <c r="AH30" s="121" t="n">
        <f aca="false">AH28+AH29</f>
        <v>10848.9744490481</v>
      </c>
      <c r="AI30" s="121" t="n">
        <f aca="false">AI28+AI29</f>
        <v>10928.4521265957</v>
      </c>
      <c r="AJ30" s="121" t="n">
        <f aca="false">AJ28+AJ29</f>
        <v>11003.9559202659</v>
      </c>
      <c r="AK30" s="121" t="n">
        <f aca="false">AK28+AK29</f>
        <v>11075.6845242526</v>
      </c>
      <c r="AL30" s="121" t="n">
        <f aca="false">AL28+AL29</f>
        <v>8343.76442352997</v>
      </c>
    </row>
    <row r="31" customFormat="false" ht="15" hidden="false" customHeight="false" outlineLevel="0" collapsed="false">
      <c r="A31" s="6" t="s">
        <v>240</v>
      </c>
      <c r="C31" s="118" t="n">
        <f aca="false">C13+C25-C30</f>
        <v>0</v>
      </c>
      <c r="D31" s="118" t="n">
        <f aca="false">D13+D25-D30</f>
        <v>0</v>
      </c>
      <c r="E31" s="118" t="n">
        <f aca="false">E13+E25-E30</f>
        <v>0</v>
      </c>
      <c r="F31" s="118" t="n">
        <f aca="false">F13+F25-F30</f>
        <v>0</v>
      </c>
      <c r="G31" s="118" t="n">
        <f aca="false">G13+G25-G30</f>
        <v>0</v>
      </c>
      <c r="H31" s="118" t="n">
        <f aca="false">H13+H25-H30</f>
        <v>0</v>
      </c>
      <c r="I31" s="118" t="n">
        <f aca="false">I13+I25-I30</f>
        <v>0</v>
      </c>
      <c r="J31" s="118" t="n">
        <f aca="false">J13+J25-J30</f>
        <v>0</v>
      </c>
      <c r="K31" s="118" t="n">
        <f aca="false">K13+K25-K30</f>
        <v>0</v>
      </c>
      <c r="L31" s="118" t="n">
        <f aca="false">L13+L25-L30</f>
        <v>0</v>
      </c>
      <c r="M31" s="118" t="n">
        <f aca="false">M13+M25-M30</f>
        <v>0</v>
      </c>
      <c r="N31" s="118" t="n">
        <f aca="false">N13+N25-N30</f>
        <v>0</v>
      </c>
      <c r="O31" s="118" t="n">
        <f aca="false">O13+O25-O30</f>
        <v>0</v>
      </c>
      <c r="P31" s="118" t="n">
        <f aca="false">P13+P25-P30</f>
        <v>0</v>
      </c>
      <c r="Q31" s="118" t="n">
        <f aca="false">Q13+Q25-Q30</f>
        <v>0</v>
      </c>
      <c r="R31" s="118" t="n">
        <f aca="false">R13+R25-R30</f>
        <v>0</v>
      </c>
      <c r="S31" s="118" t="n">
        <f aca="false">S13+S25-S30</f>
        <v>0</v>
      </c>
      <c r="T31" s="118" t="n">
        <f aca="false">T13+T25-T30</f>
        <v>0</v>
      </c>
      <c r="U31" s="118" t="n">
        <f aca="false">U13+U25-U30</f>
        <v>0</v>
      </c>
      <c r="V31" s="118" t="n">
        <f aca="false">V13+V25-V30</f>
        <v>0</v>
      </c>
      <c r="W31" s="118" t="n">
        <f aca="false">W13+W25-W30</f>
        <v>0</v>
      </c>
      <c r="X31" s="118" t="n">
        <f aca="false">X13+X25-X30</f>
        <v>0</v>
      </c>
      <c r="Y31" s="118" t="n">
        <f aca="false">Y13+Y25-Y30</f>
        <v>0</v>
      </c>
      <c r="Z31" s="118" t="n">
        <f aca="false">Z13+Z25-Z30</f>
        <v>0</v>
      </c>
      <c r="AA31" s="118" t="n">
        <f aca="false">AA13+AA25-AA30</f>
        <v>0</v>
      </c>
      <c r="AB31" s="118" t="n">
        <f aca="false">AB13+AB25-AB30</f>
        <v>0</v>
      </c>
      <c r="AC31" s="118" t="n">
        <f aca="false">AC13+AC25-AC30</f>
        <v>0</v>
      </c>
      <c r="AD31" s="118" t="n">
        <f aca="false">AD13+AD25-AD30</f>
        <v>0</v>
      </c>
      <c r="AE31" s="118" t="n">
        <f aca="false">AE13+AE25-AE30</f>
        <v>0</v>
      </c>
      <c r="AF31" s="118" t="n">
        <f aca="false">AF13+AF25-AF30</f>
        <v>0</v>
      </c>
      <c r="AG31" s="118" t="n">
        <f aca="false">AG13+AG25-AG30</f>
        <v>0</v>
      </c>
      <c r="AH31" s="118" t="n">
        <f aca="false">AH13+AH25-AH30</f>
        <v>0</v>
      </c>
      <c r="AI31" s="118" t="n">
        <f aca="false">AI13+AI25-AI30</f>
        <v>0</v>
      </c>
      <c r="AJ31" s="118" t="n">
        <f aca="false">AJ13+AJ25-AJ30</f>
        <v>0</v>
      </c>
      <c r="AK31" s="118" t="n">
        <f aca="false">AK13+AK25-AK30</f>
        <v>0</v>
      </c>
      <c r="AL31" s="118" t="n">
        <f aca="false">AL13+AL25-AL30</f>
        <v>0</v>
      </c>
    </row>
    <row r="33" customFormat="false" ht="15.75" hidden="false" customHeight="true" outlineLevel="0" collapsed="false">
      <c r="A33" s="7" t="s">
        <v>44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409</v>
      </c>
      <c r="C34" s="122" t="n">
        <f aca="false">Inputs!$B$28*(1+Inputs!$B$31)^(C$7-1)</f>
        <v>12</v>
      </c>
      <c r="D34" s="122" t="n">
        <f aca="false">Inputs!$B$28*(1+Inputs!$B$31)^(D$7-1)</f>
        <v>12</v>
      </c>
      <c r="E34" s="122" t="n">
        <f aca="false">Inputs!$B$28*(1+Inputs!$B$31)^(E$7-1)</f>
        <v>12</v>
      </c>
      <c r="F34" s="122" t="n">
        <f aca="false">Inputs!$B$28*(1+Inputs!$B$31)^(F$7-1)</f>
        <v>12</v>
      </c>
      <c r="G34" s="122" t="n">
        <f aca="false">Inputs!$B$28*(1+Inputs!$B$31)^(G$7-1)</f>
        <v>12</v>
      </c>
      <c r="H34" s="122" t="n">
        <f aca="false">Inputs!$B$28*(1+Inputs!$B$31)^(H$7-1)</f>
        <v>12</v>
      </c>
      <c r="I34" s="122" t="n">
        <f aca="false">Inputs!$B$28*(1+Inputs!$B$31)^(I$7-1)</f>
        <v>12</v>
      </c>
      <c r="J34" s="122" t="n">
        <f aca="false">Inputs!$B$28*(1+Inputs!$B$31)^(J$7-1)</f>
        <v>12</v>
      </c>
      <c r="K34" s="122" t="n">
        <f aca="false">Inputs!$B$28*(1+Inputs!$B$31)^(K$7-1)</f>
        <v>12</v>
      </c>
      <c r="L34" s="122" t="n">
        <f aca="false">Inputs!$B$28*(1+Inputs!$B$31)^(L$7-1)</f>
        <v>12</v>
      </c>
      <c r="M34" s="122" t="n">
        <f aca="false">Inputs!$B$28*(1+Inputs!$B$31)^(M$7-1)</f>
        <v>12</v>
      </c>
      <c r="N34" s="122" t="n">
        <f aca="false">Inputs!$B$28*(1+Inputs!$B$31)^(N$7-1)</f>
        <v>12</v>
      </c>
      <c r="O34" s="122" t="n">
        <f aca="false">Inputs!$B$28*(1+Inputs!$B$31)^(O$7-1)</f>
        <v>12.12</v>
      </c>
      <c r="P34" s="122" t="n">
        <f aca="false">Inputs!$B$28*(1+Inputs!$B$31)^(P$7-1)</f>
        <v>12.12</v>
      </c>
      <c r="Q34" s="122" t="n">
        <f aca="false">Inputs!$B$28*(1+Inputs!$B$31)^(Q$7-1)</f>
        <v>12.12</v>
      </c>
      <c r="R34" s="122" t="n">
        <f aca="false">Inputs!$B$28*(1+Inputs!$B$31)^(R$7-1)</f>
        <v>12.12</v>
      </c>
      <c r="S34" s="122" t="n">
        <f aca="false">Inputs!$B$28*(1+Inputs!$B$31)^(S$7-1)</f>
        <v>12.12</v>
      </c>
      <c r="T34" s="122" t="n">
        <f aca="false">Inputs!$B$28*(1+Inputs!$B$31)^(T$7-1)</f>
        <v>12.12</v>
      </c>
      <c r="U34" s="122" t="n">
        <f aca="false">Inputs!$B$28*(1+Inputs!$B$31)^(U$7-1)</f>
        <v>12.12</v>
      </c>
      <c r="V34" s="122" t="n">
        <f aca="false">Inputs!$B$28*(1+Inputs!$B$31)^(V$7-1)</f>
        <v>12.12</v>
      </c>
      <c r="W34" s="122" t="n">
        <f aca="false">Inputs!$B$28*(1+Inputs!$B$31)^(W$7-1)</f>
        <v>12.12</v>
      </c>
      <c r="X34" s="122" t="n">
        <f aca="false">Inputs!$B$28*(1+Inputs!$B$31)^(X$7-1)</f>
        <v>12.12</v>
      </c>
      <c r="Y34" s="122" t="n">
        <f aca="false">Inputs!$B$28*(1+Inputs!$B$31)^(Y$7-1)</f>
        <v>12.12</v>
      </c>
      <c r="Z34" s="122" t="n">
        <f aca="false">Inputs!$B$28*(1+Inputs!$B$31)^(Z$7-1)</f>
        <v>12.12</v>
      </c>
      <c r="AA34" s="122" t="n">
        <f aca="false">Inputs!$B$28*(1+Inputs!$B$31)^(AA$7-1)</f>
        <v>12.2412</v>
      </c>
      <c r="AB34" s="122" t="n">
        <f aca="false">Inputs!$B$28*(1+Inputs!$B$31)^(AB$7-1)</f>
        <v>12.2412</v>
      </c>
      <c r="AC34" s="122" t="n">
        <f aca="false">Inputs!$B$28*(1+Inputs!$B$31)^(AC$7-1)</f>
        <v>12.2412</v>
      </c>
      <c r="AD34" s="122" t="n">
        <f aca="false">Inputs!$B$28*(1+Inputs!$B$31)^(AD$7-1)</f>
        <v>12.2412</v>
      </c>
      <c r="AE34" s="122" t="n">
        <f aca="false">Inputs!$B$28*(1+Inputs!$B$31)^(AE$7-1)</f>
        <v>12.2412</v>
      </c>
      <c r="AF34" s="122" t="n">
        <f aca="false">Inputs!$B$28*(1+Inputs!$B$31)^(AF$7-1)</f>
        <v>12.2412</v>
      </c>
      <c r="AG34" s="122" t="n">
        <f aca="false">Inputs!$B$28*(1+Inputs!$B$31)^(AG$7-1)</f>
        <v>12.2412</v>
      </c>
      <c r="AH34" s="122" t="n">
        <f aca="false">Inputs!$B$28*(1+Inputs!$B$31)^(AH$7-1)</f>
        <v>12.2412</v>
      </c>
      <c r="AI34" s="122" t="n">
        <f aca="false">Inputs!$B$28*(1+Inputs!$B$31)^(AI$7-1)</f>
        <v>12.2412</v>
      </c>
      <c r="AJ34" s="122" t="n">
        <f aca="false">Inputs!$B$28*(1+Inputs!$B$31)^(AJ$7-1)</f>
        <v>12.2412</v>
      </c>
      <c r="AK34" s="122" t="n">
        <f aca="false">Inputs!$B$28*(1+Inputs!$B$31)^(AK$7-1)</f>
        <v>12.2412</v>
      </c>
      <c r="AL34" s="122" t="n">
        <f aca="false">Inputs!$B$28*(1+Inputs!$B$31)^(AL$7-1)</f>
        <v>12.2412</v>
      </c>
    </row>
    <row r="35" customFormat="false" ht="15" hidden="false" customHeight="false" outlineLevel="0" collapsed="false">
      <c r="A35" s="6" t="s">
        <v>410</v>
      </c>
      <c r="C35" s="122" t="n">
        <f aca="false">Inputs!$B$30*(1+Inputs!$B$31)^(C$7-1)</f>
        <v>32</v>
      </c>
      <c r="D35" s="122" t="n">
        <f aca="false">Inputs!$B$30*(1+Inputs!$B$31)^(D$7-1)</f>
        <v>32</v>
      </c>
      <c r="E35" s="122" t="n">
        <f aca="false">Inputs!$B$30*(1+Inputs!$B$31)^(E$7-1)</f>
        <v>32</v>
      </c>
      <c r="F35" s="122" t="n">
        <f aca="false">Inputs!$B$30*(1+Inputs!$B$31)^(F$7-1)</f>
        <v>32</v>
      </c>
      <c r="G35" s="122" t="n">
        <f aca="false">Inputs!$B$30*(1+Inputs!$B$31)^(G$7-1)</f>
        <v>32</v>
      </c>
      <c r="H35" s="122" t="n">
        <f aca="false">Inputs!$B$30*(1+Inputs!$B$31)^(H$7-1)</f>
        <v>32</v>
      </c>
      <c r="I35" s="122" t="n">
        <f aca="false">Inputs!$B$30*(1+Inputs!$B$31)^(I$7-1)</f>
        <v>32</v>
      </c>
      <c r="J35" s="122" t="n">
        <f aca="false">Inputs!$B$30*(1+Inputs!$B$31)^(J$7-1)</f>
        <v>32</v>
      </c>
      <c r="K35" s="122" t="n">
        <f aca="false">Inputs!$B$30*(1+Inputs!$B$31)^(K$7-1)</f>
        <v>32</v>
      </c>
      <c r="L35" s="122" t="n">
        <f aca="false">Inputs!$B$30*(1+Inputs!$B$31)^(L$7-1)</f>
        <v>32</v>
      </c>
      <c r="M35" s="122" t="n">
        <f aca="false">Inputs!$B$30*(1+Inputs!$B$31)^(M$7-1)</f>
        <v>32</v>
      </c>
      <c r="N35" s="122" t="n">
        <f aca="false">Inputs!$B$30*(1+Inputs!$B$31)^(N$7-1)</f>
        <v>32</v>
      </c>
      <c r="O35" s="122" t="n">
        <f aca="false">Inputs!$B$30*(1+Inputs!$B$31)^(O$7-1)</f>
        <v>32.32</v>
      </c>
      <c r="P35" s="122" t="n">
        <f aca="false">Inputs!$B$30*(1+Inputs!$B$31)^(P$7-1)</f>
        <v>32.32</v>
      </c>
      <c r="Q35" s="122" t="n">
        <f aca="false">Inputs!$B$30*(1+Inputs!$B$31)^(Q$7-1)</f>
        <v>32.32</v>
      </c>
      <c r="R35" s="122" t="n">
        <f aca="false">Inputs!$B$30*(1+Inputs!$B$31)^(R$7-1)</f>
        <v>32.32</v>
      </c>
      <c r="S35" s="122" t="n">
        <f aca="false">Inputs!$B$30*(1+Inputs!$B$31)^(S$7-1)</f>
        <v>32.32</v>
      </c>
      <c r="T35" s="122" t="n">
        <f aca="false">Inputs!$B$30*(1+Inputs!$B$31)^(T$7-1)</f>
        <v>32.32</v>
      </c>
      <c r="U35" s="122" t="n">
        <f aca="false">Inputs!$B$30*(1+Inputs!$B$31)^(U$7-1)</f>
        <v>32.32</v>
      </c>
      <c r="V35" s="122" t="n">
        <f aca="false">Inputs!$B$30*(1+Inputs!$B$31)^(V$7-1)</f>
        <v>32.32</v>
      </c>
      <c r="W35" s="122" t="n">
        <f aca="false">Inputs!$B$30*(1+Inputs!$B$31)^(W$7-1)</f>
        <v>32.32</v>
      </c>
      <c r="X35" s="122" t="n">
        <f aca="false">Inputs!$B$30*(1+Inputs!$B$31)^(X$7-1)</f>
        <v>32.32</v>
      </c>
      <c r="Y35" s="122" t="n">
        <f aca="false">Inputs!$B$30*(1+Inputs!$B$31)^(Y$7-1)</f>
        <v>32.32</v>
      </c>
      <c r="Z35" s="122" t="n">
        <f aca="false">Inputs!$B$30*(1+Inputs!$B$31)^(Z$7-1)</f>
        <v>32.32</v>
      </c>
      <c r="AA35" s="122" t="n">
        <f aca="false">Inputs!$B$30*(1+Inputs!$B$31)^(AA$7-1)</f>
        <v>32.6432</v>
      </c>
      <c r="AB35" s="122" t="n">
        <f aca="false">Inputs!$B$30*(1+Inputs!$B$31)^(AB$7-1)</f>
        <v>32.6432</v>
      </c>
      <c r="AC35" s="122" t="n">
        <f aca="false">Inputs!$B$30*(1+Inputs!$B$31)^(AC$7-1)</f>
        <v>32.6432</v>
      </c>
      <c r="AD35" s="122" t="n">
        <f aca="false">Inputs!$B$30*(1+Inputs!$B$31)^(AD$7-1)</f>
        <v>32.6432</v>
      </c>
      <c r="AE35" s="122" t="n">
        <f aca="false">Inputs!$B$30*(1+Inputs!$B$31)^(AE$7-1)</f>
        <v>32.6432</v>
      </c>
      <c r="AF35" s="122" t="n">
        <f aca="false">Inputs!$B$30*(1+Inputs!$B$31)^(AF$7-1)</f>
        <v>32.6432</v>
      </c>
      <c r="AG35" s="122" t="n">
        <f aca="false">Inputs!$B$30*(1+Inputs!$B$31)^(AG$7-1)</f>
        <v>32.6432</v>
      </c>
      <c r="AH35" s="122" t="n">
        <f aca="false">Inputs!$B$30*(1+Inputs!$B$31)^(AH$7-1)</f>
        <v>32.6432</v>
      </c>
      <c r="AI35" s="122" t="n">
        <f aca="false">Inputs!$B$30*(1+Inputs!$B$31)^(AI$7-1)</f>
        <v>32.6432</v>
      </c>
      <c r="AJ35" s="122" t="n">
        <f aca="false">Inputs!$B$30*(1+Inputs!$B$31)^(AJ$7-1)</f>
        <v>32.6432</v>
      </c>
      <c r="AK35" s="122" t="n">
        <f aca="false">Inputs!$B$30*(1+Inputs!$B$31)^(AK$7-1)</f>
        <v>32.6432</v>
      </c>
      <c r="AL35" s="122" t="n">
        <f aca="false">Inputs!$B$30*(1+Inputs!$B$31)^(AL$7-1)</f>
        <v>32.6432</v>
      </c>
    </row>
    <row r="36" customFormat="false" ht="15" hidden="false" customHeight="false" outlineLevel="0" collapsed="false">
      <c r="A36" s="6" t="s">
        <v>411</v>
      </c>
      <c r="C36" s="69" t="n">
        <f aca="false">C28*C34</f>
        <v>19488</v>
      </c>
      <c r="D36" s="69" t="n">
        <f aca="false">D28*D34</f>
        <v>22504</v>
      </c>
      <c r="E36" s="69" t="n">
        <f aca="false">E28*E34</f>
        <v>34026.6666666667</v>
      </c>
      <c r="F36" s="69" t="n">
        <f aca="false">F28*F34</f>
        <v>38048</v>
      </c>
      <c r="G36" s="69" t="n">
        <f aca="false">G28*G34</f>
        <v>42069.3333333333</v>
      </c>
      <c r="H36" s="69" t="n">
        <f aca="false">H28*H34</f>
        <v>46090.6666666667</v>
      </c>
      <c r="I36" s="69" t="n">
        <f aca="false">I28*I34</f>
        <v>50112</v>
      </c>
      <c r="J36" s="69" t="n">
        <f aca="false">J28*J34</f>
        <v>54133.3333333333</v>
      </c>
      <c r="K36" s="69" t="n">
        <f aca="false">K28*K34</f>
        <v>58154.6666666667</v>
      </c>
      <c r="L36" s="69" t="n">
        <f aca="false">L28*L34</f>
        <v>62176</v>
      </c>
      <c r="M36" s="69" t="n">
        <f aca="false">M28*M34</f>
        <v>66197.3333333333</v>
      </c>
      <c r="N36" s="69" t="n">
        <f aca="false">N28*N34</f>
        <v>52664</v>
      </c>
      <c r="O36" s="69" t="n">
        <f aca="false">O28*O34</f>
        <v>56236.8</v>
      </c>
      <c r="P36" s="69" t="n">
        <f aca="false">P28*P34</f>
        <v>56236.8</v>
      </c>
      <c r="Q36" s="69" t="n">
        <f aca="false">Q28*Q34</f>
        <v>74982.4</v>
      </c>
      <c r="R36" s="69" t="n">
        <f aca="false">R28*R34</f>
        <v>74982.4</v>
      </c>
      <c r="S36" s="69" t="n">
        <f aca="false">S28*S34</f>
        <v>74982.4</v>
      </c>
      <c r="T36" s="69" t="n">
        <f aca="false">T28*T34</f>
        <v>74982.4</v>
      </c>
      <c r="U36" s="69" t="n">
        <f aca="false">U28*U34</f>
        <v>74982.4</v>
      </c>
      <c r="V36" s="69" t="n">
        <f aca="false">V28*V34</f>
        <v>74982.4</v>
      </c>
      <c r="W36" s="69" t="n">
        <f aca="false">W28*W34</f>
        <v>74982.4</v>
      </c>
      <c r="X36" s="69" t="n">
        <f aca="false">X28*X34</f>
        <v>74982.4</v>
      </c>
      <c r="Y36" s="69" t="n">
        <f aca="false">Y28*Y34</f>
        <v>74982.4</v>
      </c>
      <c r="Z36" s="69" t="n">
        <f aca="false">Z28*Z34</f>
        <v>56236.8</v>
      </c>
      <c r="AA36" s="69" t="n">
        <f aca="false">AA28*AA34</f>
        <v>56799.168</v>
      </c>
      <c r="AB36" s="69" t="n">
        <f aca="false">AB28*AB34</f>
        <v>56799.168</v>
      </c>
      <c r="AC36" s="69" t="n">
        <f aca="false">AC28*AC34</f>
        <v>75732.224</v>
      </c>
      <c r="AD36" s="69" t="n">
        <f aca="false">AD28*AD34</f>
        <v>75732.224</v>
      </c>
      <c r="AE36" s="69" t="n">
        <f aca="false">AE28*AE34</f>
        <v>75732.224</v>
      </c>
      <c r="AF36" s="69" t="n">
        <f aca="false">AF28*AF34</f>
        <v>75732.224</v>
      </c>
      <c r="AG36" s="69" t="n">
        <f aca="false">AG28*AG34</f>
        <v>75732.224</v>
      </c>
      <c r="AH36" s="69" t="n">
        <f aca="false">AH28*AH34</f>
        <v>75732.224</v>
      </c>
      <c r="AI36" s="69" t="n">
        <f aca="false">AI28*AI34</f>
        <v>75732.224</v>
      </c>
      <c r="AJ36" s="69" t="n">
        <f aca="false">AJ28*AJ34</f>
        <v>75732.224</v>
      </c>
      <c r="AK36" s="69" t="n">
        <f aca="false">AK28*AK34</f>
        <v>75732.224</v>
      </c>
      <c r="AL36" s="69" t="n">
        <f aca="false">AL28*AL34</f>
        <v>56799.168</v>
      </c>
    </row>
    <row r="37" customFormat="false" ht="15" hidden="false" customHeight="false" outlineLevel="0" collapsed="false">
      <c r="A37" s="6" t="s">
        <v>412</v>
      </c>
      <c r="C37" s="69" t="n">
        <f aca="false">C28*Inputs!$B$29*(1+Inputs!$B$31)^(C$7-1)</f>
        <v>1948.8</v>
      </c>
      <c r="D37" s="69" t="n">
        <f aca="false">D28*Inputs!$B$29*(1+Inputs!$B$31)^(D$7-1)</f>
        <v>2250.4</v>
      </c>
      <c r="E37" s="69" t="n">
        <f aca="false">E28*Inputs!$B$29*(1+Inputs!$B$31)^(E$7-1)</f>
        <v>3402.66666666667</v>
      </c>
      <c r="F37" s="69" t="n">
        <f aca="false">F28*Inputs!$B$29*(1+Inputs!$B$31)^(F$7-1)</f>
        <v>3804.8</v>
      </c>
      <c r="G37" s="69" t="n">
        <f aca="false">G28*Inputs!$B$29*(1+Inputs!$B$31)^(G$7-1)</f>
        <v>4206.93333333333</v>
      </c>
      <c r="H37" s="69" t="n">
        <f aca="false">H28*Inputs!$B$29*(1+Inputs!$B$31)^(H$7-1)</f>
        <v>4609.06666666667</v>
      </c>
      <c r="I37" s="69" t="n">
        <f aca="false">I28*Inputs!$B$29*(1+Inputs!$B$31)^(I$7-1)</f>
        <v>5011.2</v>
      </c>
      <c r="J37" s="69" t="n">
        <f aca="false">J28*Inputs!$B$29*(1+Inputs!$B$31)^(J$7-1)</f>
        <v>5413.33333333333</v>
      </c>
      <c r="K37" s="69" t="n">
        <f aca="false">K28*Inputs!$B$29*(1+Inputs!$B$31)^(K$7-1)</f>
        <v>5815.46666666667</v>
      </c>
      <c r="L37" s="69" t="n">
        <f aca="false">L28*Inputs!$B$29*(1+Inputs!$B$31)^(L$7-1)</f>
        <v>6217.6</v>
      </c>
      <c r="M37" s="69" t="n">
        <f aca="false">M28*Inputs!$B$29*(1+Inputs!$B$31)^(M$7-1)</f>
        <v>6619.73333333333</v>
      </c>
      <c r="N37" s="69" t="n">
        <f aca="false">N28*Inputs!$B$29*(1+Inputs!$B$31)^(N$7-1)</f>
        <v>5266.4</v>
      </c>
      <c r="O37" s="69" t="n">
        <f aca="false">O28*Inputs!$B$29*(1+Inputs!$B$31)^(O$7-1)</f>
        <v>5623.68</v>
      </c>
      <c r="P37" s="69" t="n">
        <f aca="false">P28*Inputs!$B$29*(1+Inputs!$B$31)^(P$7-1)</f>
        <v>5623.68</v>
      </c>
      <c r="Q37" s="69" t="n">
        <f aca="false">Q28*Inputs!$B$29*(1+Inputs!$B$31)^(Q$7-1)</f>
        <v>7498.24</v>
      </c>
      <c r="R37" s="69" t="n">
        <f aca="false">R28*Inputs!$B$29*(1+Inputs!$B$31)^(R$7-1)</f>
        <v>7498.24</v>
      </c>
      <c r="S37" s="69" t="n">
        <f aca="false">S28*Inputs!$B$29*(1+Inputs!$B$31)^(S$7-1)</f>
        <v>7498.24</v>
      </c>
      <c r="T37" s="69" t="n">
        <f aca="false">T28*Inputs!$B$29*(1+Inputs!$B$31)^(T$7-1)</f>
        <v>7498.24</v>
      </c>
      <c r="U37" s="69" t="n">
        <f aca="false">U28*Inputs!$B$29*(1+Inputs!$B$31)^(U$7-1)</f>
        <v>7498.24</v>
      </c>
      <c r="V37" s="69" t="n">
        <f aca="false">V28*Inputs!$B$29*(1+Inputs!$B$31)^(V$7-1)</f>
        <v>7498.24</v>
      </c>
      <c r="W37" s="69" t="n">
        <f aca="false">W28*Inputs!$B$29*(1+Inputs!$B$31)^(W$7-1)</f>
        <v>7498.24</v>
      </c>
      <c r="X37" s="69" t="n">
        <f aca="false">X28*Inputs!$B$29*(1+Inputs!$B$31)^(X$7-1)</f>
        <v>7498.24</v>
      </c>
      <c r="Y37" s="69" t="n">
        <f aca="false">Y28*Inputs!$B$29*(1+Inputs!$B$31)^(Y$7-1)</f>
        <v>7498.24</v>
      </c>
      <c r="Z37" s="69" t="n">
        <f aca="false">Z28*Inputs!$B$29*(1+Inputs!$B$31)^(Z$7-1)</f>
        <v>5623.68</v>
      </c>
      <c r="AA37" s="69" t="n">
        <f aca="false">AA28*Inputs!$B$29*(1+Inputs!$B$31)^(AA$7-1)</f>
        <v>5679.9168</v>
      </c>
      <c r="AB37" s="69" t="n">
        <f aca="false">AB28*Inputs!$B$29*(1+Inputs!$B$31)^(AB$7-1)</f>
        <v>5679.9168</v>
      </c>
      <c r="AC37" s="69" t="n">
        <f aca="false">AC28*Inputs!$B$29*(1+Inputs!$B$31)^(AC$7-1)</f>
        <v>7573.2224</v>
      </c>
      <c r="AD37" s="69" t="n">
        <f aca="false">AD28*Inputs!$B$29*(1+Inputs!$B$31)^(AD$7-1)</f>
        <v>7573.2224</v>
      </c>
      <c r="AE37" s="69" t="n">
        <f aca="false">AE28*Inputs!$B$29*(1+Inputs!$B$31)^(AE$7-1)</f>
        <v>7573.2224</v>
      </c>
      <c r="AF37" s="69" t="n">
        <f aca="false">AF28*Inputs!$B$29*(1+Inputs!$B$31)^(AF$7-1)</f>
        <v>7573.2224</v>
      </c>
      <c r="AG37" s="69" t="n">
        <f aca="false">AG28*Inputs!$B$29*(1+Inputs!$B$31)^(AG$7-1)</f>
        <v>7573.2224</v>
      </c>
      <c r="AH37" s="69" t="n">
        <f aca="false">AH28*Inputs!$B$29*(1+Inputs!$B$31)^(AH$7-1)</f>
        <v>7573.2224</v>
      </c>
      <c r="AI37" s="69" t="n">
        <f aca="false">AI28*Inputs!$B$29*(1+Inputs!$B$31)^(AI$7-1)</f>
        <v>7573.2224</v>
      </c>
      <c r="AJ37" s="69" t="n">
        <f aca="false">AJ28*Inputs!$B$29*(1+Inputs!$B$31)^(AJ$7-1)</f>
        <v>7573.2224</v>
      </c>
      <c r="AK37" s="69" t="n">
        <f aca="false">AK28*Inputs!$B$29*(1+Inputs!$B$31)^(AK$7-1)</f>
        <v>7573.2224</v>
      </c>
      <c r="AL37" s="69" t="n">
        <f aca="false">AL28*Inputs!$B$29*(1+Inputs!$B$31)^(AL$7-1)</f>
        <v>5679.9168</v>
      </c>
    </row>
    <row r="38" customFormat="false" ht="15" hidden="false" customHeight="false" outlineLevel="0" collapsed="false">
      <c r="A38" s="6" t="s">
        <v>241</v>
      </c>
      <c r="C38" s="69" t="n">
        <f aca="false">C22*C35*1</f>
        <v>5059.904</v>
      </c>
      <c r="D38" s="69" t="n">
        <f aca="false">D22*D35*1</f>
        <v>5625.51146666667</v>
      </c>
      <c r="E38" s="69" t="n">
        <f aca="false">E22*E35*1</f>
        <v>6348.48122666667</v>
      </c>
      <c r="F38" s="69" t="n">
        <f aca="false">F22*F35*1</f>
        <v>7228.987832</v>
      </c>
      <c r="G38" s="69" t="n">
        <f aca="false">G22*G35*1</f>
        <v>8199.14377373333</v>
      </c>
      <c r="H38" s="69" t="n">
        <f aca="false">H22*H35*1</f>
        <v>9254.46658504666</v>
      </c>
      <c r="I38" s="69" t="n">
        <f aca="false">I22*I35*1</f>
        <v>10390.697922461</v>
      </c>
      <c r="J38" s="69" t="n">
        <f aca="false">J22*J35*1</f>
        <v>11603.7923596713</v>
      </c>
      <c r="K38" s="69" t="n">
        <f aca="false">K22*K35*1</f>
        <v>12889.9067416877</v>
      </c>
      <c r="L38" s="69" t="n">
        <f aca="false">L22*L35*1</f>
        <v>14245.39007127</v>
      </c>
      <c r="M38" s="69" t="n">
        <f aca="false">M22*M35*1</f>
        <v>15666.7739010398</v>
      </c>
      <c r="N38" s="69" t="n">
        <f aca="false">N22*N35*1</f>
        <v>17010.3258726545</v>
      </c>
      <c r="O38" s="69" t="n">
        <f aca="false">O22*O35*1</f>
        <v>18454.6138614787</v>
      </c>
      <c r="P38" s="69" t="n">
        <f aca="false">P22*P35*1</f>
        <v>19724.4719684047</v>
      </c>
      <c r="Q38" s="69" t="n">
        <f aca="false">Q22*Q35*1</f>
        <v>21080.8019699845</v>
      </c>
      <c r="R38" s="69" t="n">
        <f aca="false">R22*R35*1</f>
        <v>22519.2802714853</v>
      </c>
      <c r="S38" s="69" t="n">
        <f aca="false">S22*S35*1</f>
        <v>23885.834657911</v>
      </c>
      <c r="T38" s="69" t="n">
        <f aca="false">T22*T35*1</f>
        <v>25184.0613250155</v>
      </c>
      <c r="U38" s="69" t="n">
        <f aca="false">U22*U35*1</f>
        <v>26417.3766587647</v>
      </c>
      <c r="V38" s="69" t="n">
        <f aca="false">V22*V35*1</f>
        <v>27589.0262258265</v>
      </c>
      <c r="W38" s="69" t="n">
        <f aca="false">W22*W35*1</f>
        <v>28702.0933145351</v>
      </c>
      <c r="X38" s="69" t="n">
        <f aca="false">X22*X35*1</f>
        <v>29759.5070488084</v>
      </c>
      <c r="Y38" s="69" t="n">
        <f aca="false">Y22*Y35*1</f>
        <v>30764.0500963679</v>
      </c>
      <c r="Z38" s="69" t="n">
        <f aca="false">Z22*Z35*1</f>
        <v>31568.4011915495</v>
      </c>
      <c r="AA38" s="69" t="n">
        <f aca="false">AA22*AA35*1</f>
        <v>32504.3956312918</v>
      </c>
      <c r="AB38" s="69" t="n">
        <f aca="false">AB22*AB35*1</f>
        <v>33093.6905377272</v>
      </c>
      <c r="AC38" s="69" t="n">
        <f aca="false">AC22*AC35*1</f>
        <v>33804.9851468408</v>
      </c>
      <c r="AD38" s="69" t="n">
        <f aca="false">AD22*AD35*1</f>
        <v>34632.1794734988</v>
      </c>
      <c r="AE38" s="69" t="n">
        <f aca="false">AE22*AE35*1</f>
        <v>35418.0140838239</v>
      </c>
      <c r="AF38" s="69" t="n">
        <f aca="false">AF22*AF35*1</f>
        <v>36164.5569636327</v>
      </c>
      <c r="AG38" s="69" t="n">
        <f aca="false">AG22*AG35*1</f>
        <v>36873.772699451</v>
      </c>
      <c r="AH38" s="69" t="n">
        <f aca="false">AH22*AH35*1</f>
        <v>37547.5276484785</v>
      </c>
      <c r="AI38" s="69" t="n">
        <f aca="false">AI22*AI35*1</f>
        <v>38187.5948500546</v>
      </c>
      <c r="AJ38" s="69" t="n">
        <f aca="false">AJ22*AJ35*1</f>
        <v>38795.6586915518</v>
      </c>
      <c r="AK38" s="69" t="n">
        <f aca="false">AK22*AK35*1</f>
        <v>39373.3193409742</v>
      </c>
      <c r="AL38" s="69" t="n">
        <f aca="false">AL22*AL35*1</f>
        <v>39770.6325099255</v>
      </c>
    </row>
    <row r="39" customFormat="false" ht="15" hidden="false" customHeight="false" outlineLevel="0" collapsed="false">
      <c r="A39" s="113" t="s">
        <v>44</v>
      </c>
      <c r="C39" s="70" t="n">
        <f aca="false">C36+C37+C38</f>
        <v>26496.704</v>
      </c>
      <c r="D39" s="70" t="n">
        <f aca="false">D36+D37+D38</f>
        <v>30379.9114666667</v>
      </c>
      <c r="E39" s="70" t="n">
        <f aca="false">E36+E37+E38</f>
        <v>43777.81456</v>
      </c>
      <c r="F39" s="70" t="n">
        <f aca="false">F36+F37+F38</f>
        <v>49081.787832</v>
      </c>
      <c r="G39" s="70" t="n">
        <f aca="false">G36+G37+G38</f>
        <v>54475.4104404</v>
      </c>
      <c r="H39" s="70" t="n">
        <f aca="false">H36+H37+H38</f>
        <v>59954.19991838</v>
      </c>
      <c r="I39" s="70" t="n">
        <f aca="false">I36+I37+I38</f>
        <v>65513.897922461</v>
      </c>
      <c r="J39" s="70" t="n">
        <f aca="false">J36+J37+J38</f>
        <v>71150.4590263379</v>
      </c>
      <c r="K39" s="70" t="n">
        <f aca="false">K36+K37+K38</f>
        <v>76860.040075021</v>
      </c>
      <c r="L39" s="70" t="n">
        <f aca="false">L36+L37+L38</f>
        <v>82638.99007127</v>
      </c>
      <c r="M39" s="70" t="n">
        <f aca="false">M36+M37+M38</f>
        <v>88483.8405677065</v>
      </c>
      <c r="N39" s="70" t="n">
        <f aca="false">N36+N37+N38</f>
        <v>74940.7258726545</v>
      </c>
      <c r="O39" s="70" t="n">
        <f aca="false">O36+O37+O38</f>
        <v>80315.0938614787</v>
      </c>
      <c r="P39" s="70" t="n">
        <f aca="false">P36+P37+P38</f>
        <v>81584.9519684047</v>
      </c>
      <c r="Q39" s="70" t="n">
        <f aca="false">Q36+Q37+Q38</f>
        <v>103561.441969985</v>
      </c>
      <c r="R39" s="70" t="n">
        <f aca="false">R36+R37+R38</f>
        <v>104999.920271485</v>
      </c>
      <c r="S39" s="70" t="n">
        <f aca="false">S36+S37+S38</f>
        <v>106366.474657911</v>
      </c>
      <c r="T39" s="70" t="n">
        <f aca="false">T36+T37+T38</f>
        <v>107664.701325015</v>
      </c>
      <c r="U39" s="70" t="n">
        <f aca="false">U36+U37+U38</f>
        <v>108898.016658765</v>
      </c>
      <c r="V39" s="70" t="n">
        <f aca="false">V36+V37+V38</f>
        <v>110069.666225826</v>
      </c>
      <c r="W39" s="70" t="n">
        <f aca="false">W36+W37+W38</f>
        <v>111182.733314535</v>
      </c>
      <c r="X39" s="70" t="n">
        <f aca="false">X36+X37+X38</f>
        <v>112240.147048808</v>
      </c>
      <c r="Y39" s="70" t="n">
        <f aca="false">Y36+Y37+Y38</f>
        <v>113244.690096368</v>
      </c>
      <c r="Z39" s="70" t="n">
        <f aca="false">Z36+Z37+Z38</f>
        <v>93428.8811915496</v>
      </c>
      <c r="AA39" s="70" t="n">
        <f aca="false">AA36+AA37+AA38</f>
        <v>94983.4804312918</v>
      </c>
      <c r="AB39" s="70" t="n">
        <f aca="false">AB36+AB37+AB38</f>
        <v>95572.7753377272</v>
      </c>
      <c r="AC39" s="70" t="n">
        <f aca="false">AC36+AC37+AC38</f>
        <v>117110.431546841</v>
      </c>
      <c r="AD39" s="70" t="n">
        <f aca="false">AD36+AD37+AD38</f>
        <v>117937.625873499</v>
      </c>
      <c r="AE39" s="70" t="n">
        <f aca="false">AE36+AE37+AE38</f>
        <v>118723.460483824</v>
      </c>
      <c r="AF39" s="70" t="n">
        <f aca="false">AF36+AF37+AF38</f>
        <v>119470.003363633</v>
      </c>
      <c r="AG39" s="70" t="n">
        <f aca="false">AG36+AG37+AG38</f>
        <v>120179.219099451</v>
      </c>
      <c r="AH39" s="70" t="n">
        <f aca="false">AH36+AH37+AH38</f>
        <v>120852.974048478</v>
      </c>
      <c r="AI39" s="70" t="n">
        <f aca="false">AI36+AI37+AI38</f>
        <v>121493.041250055</v>
      </c>
      <c r="AJ39" s="70" t="n">
        <f aca="false">AJ36+AJ37+AJ38</f>
        <v>122101.105091552</v>
      </c>
      <c r="AK39" s="70" t="n">
        <f aca="false">AK36+AK37+AK38</f>
        <v>122678.765740974</v>
      </c>
      <c r="AL39" s="70" t="n">
        <f aca="false">AL36+AL37+AL38</f>
        <v>102249.717309926</v>
      </c>
    </row>
    <row r="41" customFormat="false" ht="15.75" hidden="false" customHeight="true" outlineLevel="0" collapsed="false">
      <c r="A41" s="7" t="s">
        <v>76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6" t="s">
        <v>413</v>
      </c>
      <c r="C42" s="69" t="n">
        <f aca="false">-C30*Inputs!$B$34*(1+Inputs!$B$39)^(C$7-1)</f>
        <v>-1999.456336</v>
      </c>
      <c r="D42" s="69" t="n">
        <f aca="false">-D30*Inputs!$B$34*(1+Inputs!$B$39)^(D$7-1)</f>
        <v>-2289.26907653333</v>
      </c>
      <c r="E42" s="69" t="n">
        <f aca="false">-E30*Inputs!$B$34*(1+Inputs!$B$39)^(E$7-1)</f>
        <v>-3457.71168538667</v>
      </c>
      <c r="F42" s="69" t="n">
        <f aca="false">-F30*Inputs!$B$34*(1+Inputs!$B$39)^(F$7-1)</f>
        <v>-3882.021535784</v>
      </c>
      <c r="G42" s="69" t="n">
        <f aca="false">-G30*Inputs!$B$34*(1+Inputs!$B$39)^(G$7-1)</f>
        <v>-4317.11918966147</v>
      </c>
      <c r="H42" s="69" t="n">
        <f aca="false">-H30*Inputs!$B$34*(1+Inputs!$B$39)^(H$7-1)</f>
        <v>-4762.46525684506</v>
      </c>
      <c r="I42" s="69" t="n">
        <f aca="false">-I30*Inputs!$B$34*(1+Inputs!$B$39)^(I$7-1)</f>
        <v>-5217.54731666947</v>
      </c>
      <c r="J42" s="69" t="n">
        <f aca="false">-J30*Inputs!$B$34*(1+Inputs!$B$39)^(J$7-1)</f>
        <v>-5681.87856950266</v>
      </c>
      <c r="K42" s="69" t="n">
        <f aca="false">-K30*Inputs!$B$34*(1+Inputs!$B$39)^(K$7-1)</f>
        <v>-6154.9965556942</v>
      </c>
      <c r="L42" s="69" t="n">
        <f aca="false">-L30*Inputs!$B$34*(1+Inputs!$B$39)^(L$7-1)</f>
        <v>-6636.46193857615</v>
      </c>
      <c r="M42" s="69" t="n">
        <f aca="false">-M30*Inputs!$B$34*(1+Inputs!$B$39)^(M$7-1)</f>
        <v>-7125.85734831401</v>
      </c>
      <c r="N42" s="69" t="n">
        <f aca="false">-N30*Inputs!$B$34*(1+Inputs!$B$39)^(N$7-1)</f>
        <v>-5704.4152433404</v>
      </c>
      <c r="O42" s="69" t="n">
        <f aca="false">-O30*Inputs!$B$34*(1+Inputs!$B$39)^(O$7-1)</f>
        <v>-6299.32005647365</v>
      </c>
      <c r="P42" s="69" t="n">
        <f aca="false">-P30*Inputs!$B$34*(1+Inputs!$B$39)^(P$7-1)</f>
        <v>-6417.32885044997</v>
      </c>
      <c r="Q42" s="69" t="n">
        <f aca="false">-Q30*Inputs!$B$34*(1+Inputs!$B$39)^(Q$7-1)</f>
        <v>-8724.49805003663</v>
      </c>
      <c r="R42" s="69" t="n">
        <f aca="false">-R30*Inputs!$B$34*(1+Inputs!$B$39)^(R$7-1)</f>
        <v>-8902.73643073479</v>
      </c>
      <c r="S42" s="69" t="n">
        <f aca="false">-S30*Inputs!$B$34*(1+Inputs!$B$39)^(S$7-1)</f>
        <v>-9072.06289239806</v>
      </c>
      <c r="T42" s="69" t="n">
        <f aca="false">-T30*Inputs!$B$34*(1+Inputs!$B$39)^(T$7-1)</f>
        <v>-9232.92303097815</v>
      </c>
      <c r="U42" s="69" t="n">
        <f aca="false">-U30*Inputs!$B$34*(1+Inputs!$B$39)^(U$7-1)</f>
        <v>-9385.74016262925</v>
      </c>
      <c r="V42" s="69" t="n">
        <f aca="false">-V30*Inputs!$B$34*(1+Inputs!$B$39)^(V$7-1)</f>
        <v>-9530.91643769778</v>
      </c>
      <c r="W42" s="69" t="n">
        <f aca="false">-W30*Inputs!$B$34*(1+Inputs!$B$39)^(W$7-1)</f>
        <v>-9668.83389901289</v>
      </c>
      <c r="X42" s="69" t="n">
        <f aca="false">-X30*Inputs!$B$34*(1+Inputs!$B$39)^(X$7-1)</f>
        <v>-9799.85548726225</v>
      </c>
      <c r="Y42" s="69" t="n">
        <f aca="false">-Y30*Inputs!$B$34*(1+Inputs!$B$39)^(Y$7-1)</f>
        <v>-9924.32599609914</v>
      </c>
      <c r="Z42" s="69" t="n">
        <f aca="false">-Z30*Inputs!$B$34*(1+Inputs!$B$39)^(Z$7-1)</f>
        <v>-7517.99340182063</v>
      </c>
      <c r="AA42" s="69" t="n">
        <f aca="false">-AA30*Inputs!$B$34*(1+Inputs!$B$39)^(AA$7-1)</f>
        <v>-7878.07126967079</v>
      </c>
      <c r="AB42" s="69" t="n">
        <f aca="false">-AB30*Inputs!$B$34*(1+Inputs!$B$39)^(AB$7-1)</f>
        <v>-7934.46149485925</v>
      </c>
      <c r="AC42" s="69" t="n">
        <f aca="false">-AC30*Inputs!$B$34*(1+Inputs!$B$39)^(AC$7-1)</f>
        <v>-10670.034659867</v>
      </c>
      <c r="AD42" s="69" t="n">
        <f aca="false">-AD30*Inputs!$B$34*(1+Inputs!$B$39)^(AD$7-1)</f>
        <v>-10775.5747414017</v>
      </c>
      <c r="AE42" s="69" t="n">
        <f aca="false">-AE30*Inputs!$B$34*(1+Inputs!$B$39)^(AE$7-1)</f>
        <v>-10875.8378188596</v>
      </c>
      <c r="AF42" s="69" t="n">
        <f aca="false">-AF30*Inputs!$B$34*(1+Inputs!$B$39)^(AF$7-1)</f>
        <v>-10971.0877424446</v>
      </c>
      <c r="AG42" s="69" t="n">
        <f aca="false">-AG30*Inputs!$B$34*(1+Inputs!$B$39)^(AG$7-1)</f>
        <v>-11061.5751698504</v>
      </c>
      <c r="AH42" s="69" t="n">
        <f aca="false">-AH30*Inputs!$B$34*(1+Inputs!$B$39)^(AH$7-1)</f>
        <v>-11147.5382258859</v>
      </c>
      <c r="AI42" s="69" t="n">
        <f aca="false">-AI30*Inputs!$B$34*(1+Inputs!$B$39)^(AI$7-1)</f>
        <v>-11229.2031291196</v>
      </c>
      <c r="AJ42" s="69" t="n">
        <f aca="false">-AJ30*Inputs!$B$34*(1+Inputs!$B$39)^(AJ$7-1)</f>
        <v>-11306.7847871916</v>
      </c>
      <c r="AK42" s="69" t="n">
        <f aca="false">-AK30*Inputs!$B$34*(1+Inputs!$B$39)^(AK$7-1)</f>
        <v>-11380.48736236</v>
      </c>
      <c r="AL42" s="69" t="n">
        <f aca="false">-AL30*Inputs!$B$34*(1+Inputs!$B$39)^(AL$7-1)</f>
        <v>-8573.38482046552</v>
      </c>
    </row>
    <row r="43" customFormat="false" ht="15" hidden="false" customHeight="false" outlineLevel="0" collapsed="false">
      <c r="A43" s="6" t="s">
        <v>414</v>
      </c>
      <c r="C43" s="69" t="n">
        <f aca="false">-C30*Inputs!$B$35/1000*Inputs!$B$36*(1+Inputs!$B$39)^(C$7-1)</f>
        <v>-947.110896</v>
      </c>
      <c r="D43" s="69" t="n">
        <f aca="false">-D30*Inputs!$B$35/1000*Inputs!$B$36*(1+Inputs!$B$39)^(D$7-1)</f>
        <v>-1084.3906152</v>
      </c>
      <c r="E43" s="69" t="n">
        <f aca="false">-E30*Inputs!$B$35/1000*Inputs!$B$36*(1+Inputs!$B$39)^(E$7-1)</f>
        <v>-1637.86342992</v>
      </c>
      <c r="F43" s="69" t="n">
        <f aca="false">-F30*Inputs!$B$35/1000*Inputs!$B$36*(1+Inputs!$B$39)^(F$7-1)</f>
        <v>-1838.852306424</v>
      </c>
      <c r="G43" s="69" t="n">
        <f aca="false">-G30*Inputs!$B$35/1000*Inputs!$B$36*(1+Inputs!$B$39)^(G$7-1)</f>
        <v>-2044.9511951028</v>
      </c>
      <c r="H43" s="69" t="n">
        <f aca="false">-H30*Inputs!$B$35/1000*Inputs!$B$36*(1+Inputs!$B$39)^(H$7-1)</f>
        <v>-2255.90459534766</v>
      </c>
      <c r="I43" s="69" t="n">
        <f aca="false">-I30*Inputs!$B$35/1000*Inputs!$B$36*(1+Inputs!$B$39)^(I$7-1)</f>
        <v>-2471.46978158028</v>
      </c>
      <c r="J43" s="69" t="n">
        <f aca="false">-J30*Inputs!$B$35/1000*Inputs!$B$36*(1+Inputs!$B$39)^(J$7-1)</f>
        <v>-2691.41616450126</v>
      </c>
      <c r="K43" s="69" t="n">
        <f aca="false">-K30*Inputs!$B$35/1000*Inputs!$B$36*(1+Inputs!$B$39)^(K$7-1)</f>
        <v>-2915.5246842762</v>
      </c>
      <c r="L43" s="69" t="n">
        <f aca="false">-L30*Inputs!$B$35/1000*Inputs!$B$36*(1+Inputs!$B$39)^(L$7-1)</f>
        <v>-3143.58723406239</v>
      </c>
      <c r="M43" s="69" t="n">
        <f aca="false">-M30*Inputs!$B$35/1000*Inputs!$B$36*(1+Inputs!$B$39)^(M$7-1)</f>
        <v>-3375.40611235927</v>
      </c>
      <c r="N43" s="69" t="n">
        <f aca="false">-N30*Inputs!$B$35/1000*Inputs!$B$36*(1+Inputs!$B$39)^(N$7-1)</f>
        <v>-2702.09143105598</v>
      </c>
      <c r="O43" s="69" t="n">
        <f aca="false">-O30*Inputs!$B$35/1000*Inputs!$B$36*(1+Inputs!$B$39)^(O$7-1)</f>
        <v>-2983.88844780331</v>
      </c>
      <c r="P43" s="69" t="n">
        <f aca="false">-P30*Inputs!$B$35/1000*Inputs!$B$36*(1+Inputs!$B$39)^(P$7-1)</f>
        <v>-3039.78735021314</v>
      </c>
      <c r="Q43" s="69" t="n">
        <f aca="false">-Q30*Inputs!$B$35/1000*Inputs!$B$36*(1+Inputs!$B$39)^(Q$7-1)</f>
        <v>-4132.65697106998</v>
      </c>
      <c r="R43" s="69" t="n">
        <f aca="false">-R30*Inputs!$B$35/1000*Inputs!$B$36*(1+Inputs!$B$39)^(R$7-1)</f>
        <v>-4217.08567771648</v>
      </c>
      <c r="S43" s="69" t="n">
        <f aca="false">-S30*Inputs!$B$35/1000*Inputs!$B$36*(1+Inputs!$B$39)^(S$7-1)</f>
        <v>-4297.29294903066</v>
      </c>
      <c r="T43" s="69" t="n">
        <f aca="false">-T30*Inputs!$B$35/1000*Inputs!$B$36*(1+Inputs!$B$39)^(T$7-1)</f>
        <v>-4373.48985677912</v>
      </c>
      <c r="U43" s="69" t="n">
        <f aca="false">-U30*Inputs!$B$35/1000*Inputs!$B$36*(1+Inputs!$B$39)^(U$7-1)</f>
        <v>-4445.87691914017</v>
      </c>
      <c r="V43" s="69" t="n">
        <f aca="false">-V30*Inputs!$B$35/1000*Inputs!$B$36*(1+Inputs!$B$39)^(V$7-1)</f>
        <v>-4514.64462838316</v>
      </c>
      <c r="W43" s="69" t="n">
        <f aca="false">-W30*Inputs!$B$35/1000*Inputs!$B$36*(1+Inputs!$B$39)^(W$7-1)</f>
        <v>-4579.973952164</v>
      </c>
      <c r="X43" s="69" t="n">
        <f aca="false">-X30*Inputs!$B$35/1000*Inputs!$B$36*(1+Inputs!$B$39)^(X$7-1)</f>
        <v>-4642.0368097558</v>
      </c>
      <c r="Y43" s="69" t="n">
        <f aca="false">-Y30*Inputs!$B$35/1000*Inputs!$B$36*(1+Inputs!$B$39)^(Y$7-1)</f>
        <v>-4700.99652446801</v>
      </c>
      <c r="Z43" s="69" t="n">
        <f aca="false">-Z30*Inputs!$B$35/1000*Inputs!$B$36*(1+Inputs!$B$39)^(Z$7-1)</f>
        <v>-3561.15476928346</v>
      </c>
      <c r="AA43" s="69" t="n">
        <f aca="false">-AA30*Inputs!$B$35/1000*Inputs!$B$36*(1+Inputs!$B$39)^(AA$7-1)</f>
        <v>-3731.71796984406</v>
      </c>
      <c r="AB43" s="69" t="n">
        <f aca="false">-AB30*Inputs!$B$35/1000*Inputs!$B$36*(1+Inputs!$B$39)^(AB$7-1)</f>
        <v>-3758.42912914385</v>
      </c>
      <c r="AC43" s="69" t="n">
        <f aca="false">-AC30*Inputs!$B$35/1000*Inputs!$B$36*(1+Inputs!$B$39)^(AC$7-1)</f>
        <v>-5054.22694414755</v>
      </c>
      <c r="AD43" s="69" t="n">
        <f aca="false">-AD30*Inputs!$B$35/1000*Inputs!$B$36*(1+Inputs!$B$39)^(AD$7-1)</f>
        <v>-5104.21961434817</v>
      </c>
      <c r="AE43" s="69" t="n">
        <f aca="false">-AE30*Inputs!$B$35/1000*Inputs!$B$36*(1+Inputs!$B$39)^(AE$7-1)</f>
        <v>-5151.71265103876</v>
      </c>
      <c r="AF43" s="69" t="n">
        <f aca="false">-AF30*Inputs!$B$35/1000*Inputs!$B$36*(1+Inputs!$B$39)^(AF$7-1)</f>
        <v>-5196.83103589482</v>
      </c>
      <c r="AG43" s="69" t="n">
        <f aca="false">-AG30*Inputs!$B$35/1000*Inputs!$B$36*(1+Inputs!$B$39)^(AG$7-1)</f>
        <v>-5239.69350150808</v>
      </c>
      <c r="AH43" s="69" t="n">
        <f aca="false">-AH30*Inputs!$B$35/1000*Inputs!$B$36*(1+Inputs!$B$39)^(AH$7-1)</f>
        <v>-5280.41284384068</v>
      </c>
      <c r="AI43" s="69" t="n">
        <f aca="false">-AI30*Inputs!$B$35/1000*Inputs!$B$36*(1+Inputs!$B$39)^(AI$7-1)</f>
        <v>-5319.09621905665</v>
      </c>
      <c r="AJ43" s="69" t="n">
        <f aca="false">-AJ30*Inputs!$B$35/1000*Inputs!$B$36*(1+Inputs!$B$39)^(AJ$7-1)</f>
        <v>-5355.84542551181</v>
      </c>
      <c r="AK43" s="69" t="n">
        <f aca="false">-AK30*Inputs!$B$35/1000*Inputs!$B$36*(1+Inputs!$B$39)^(AK$7-1)</f>
        <v>-5390.75717164422</v>
      </c>
      <c r="AL43" s="69" t="n">
        <f aca="false">-AL30*Inputs!$B$35/1000*Inputs!$B$36*(1+Inputs!$B$39)^(AL$7-1)</f>
        <v>-4061.07702022051</v>
      </c>
    </row>
    <row r="44" customFormat="false" ht="15" hidden="false" customHeight="false" outlineLevel="0" collapsed="false">
      <c r="A44" s="6" t="s">
        <v>415</v>
      </c>
      <c r="C44" s="69" t="n">
        <f aca="false">-C30*Inputs!$B$37*(1+Inputs!$B$39)^(C$7-1)</f>
        <v>-947.110896</v>
      </c>
      <c r="D44" s="69" t="n">
        <f aca="false">-D30*Inputs!$B$37*(1+Inputs!$B$39)^(D$7-1)</f>
        <v>-1084.3906152</v>
      </c>
      <c r="E44" s="69" t="n">
        <f aca="false">-E30*Inputs!$B$37*(1+Inputs!$B$39)^(E$7-1)</f>
        <v>-1637.86342992</v>
      </c>
      <c r="F44" s="69" t="n">
        <f aca="false">-F30*Inputs!$B$37*(1+Inputs!$B$39)^(F$7-1)</f>
        <v>-1838.852306424</v>
      </c>
      <c r="G44" s="69" t="n">
        <f aca="false">-G30*Inputs!$B$37*(1+Inputs!$B$39)^(G$7-1)</f>
        <v>-2044.9511951028</v>
      </c>
      <c r="H44" s="69" t="n">
        <f aca="false">-H30*Inputs!$B$37*(1+Inputs!$B$39)^(H$7-1)</f>
        <v>-2255.90459534766</v>
      </c>
      <c r="I44" s="69" t="n">
        <f aca="false">-I30*Inputs!$B$37*(1+Inputs!$B$39)^(I$7-1)</f>
        <v>-2471.46978158028</v>
      </c>
      <c r="J44" s="69" t="n">
        <f aca="false">-J30*Inputs!$B$37*(1+Inputs!$B$39)^(J$7-1)</f>
        <v>-2691.41616450126</v>
      </c>
      <c r="K44" s="69" t="n">
        <f aca="false">-K30*Inputs!$B$37*(1+Inputs!$B$39)^(K$7-1)</f>
        <v>-2915.5246842762</v>
      </c>
      <c r="L44" s="69" t="n">
        <f aca="false">-L30*Inputs!$B$37*(1+Inputs!$B$39)^(L$7-1)</f>
        <v>-3143.58723406239</v>
      </c>
      <c r="M44" s="69" t="n">
        <f aca="false">-M30*Inputs!$B$37*(1+Inputs!$B$39)^(M$7-1)</f>
        <v>-3375.40611235927</v>
      </c>
      <c r="N44" s="69" t="n">
        <f aca="false">-N30*Inputs!$B$37*(1+Inputs!$B$39)^(N$7-1)</f>
        <v>-2702.09143105598</v>
      </c>
      <c r="O44" s="69" t="n">
        <f aca="false">-O30*Inputs!$B$37*(1+Inputs!$B$39)^(O$7-1)</f>
        <v>-2983.88844780331</v>
      </c>
      <c r="P44" s="69" t="n">
        <f aca="false">-P30*Inputs!$B$37*(1+Inputs!$B$39)^(P$7-1)</f>
        <v>-3039.78735021314</v>
      </c>
      <c r="Q44" s="69" t="n">
        <f aca="false">-Q30*Inputs!$B$37*(1+Inputs!$B$39)^(Q$7-1)</f>
        <v>-4132.65697106998</v>
      </c>
      <c r="R44" s="69" t="n">
        <f aca="false">-R30*Inputs!$B$37*(1+Inputs!$B$39)^(R$7-1)</f>
        <v>-4217.08567771648</v>
      </c>
      <c r="S44" s="69" t="n">
        <f aca="false">-S30*Inputs!$B$37*(1+Inputs!$B$39)^(S$7-1)</f>
        <v>-4297.29294903066</v>
      </c>
      <c r="T44" s="69" t="n">
        <f aca="false">-T30*Inputs!$B$37*(1+Inputs!$B$39)^(T$7-1)</f>
        <v>-4373.48985677912</v>
      </c>
      <c r="U44" s="69" t="n">
        <f aca="false">-U30*Inputs!$B$37*(1+Inputs!$B$39)^(U$7-1)</f>
        <v>-4445.87691914017</v>
      </c>
      <c r="V44" s="69" t="n">
        <f aca="false">-V30*Inputs!$B$37*(1+Inputs!$B$39)^(V$7-1)</f>
        <v>-4514.64462838316</v>
      </c>
      <c r="W44" s="69" t="n">
        <f aca="false">-W30*Inputs!$B$37*(1+Inputs!$B$39)^(W$7-1)</f>
        <v>-4579.973952164</v>
      </c>
      <c r="X44" s="69" t="n">
        <f aca="false">-X30*Inputs!$B$37*(1+Inputs!$B$39)^(X$7-1)</f>
        <v>-4642.0368097558</v>
      </c>
      <c r="Y44" s="69" t="n">
        <f aca="false">-Y30*Inputs!$B$37*(1+Inputs!$B$39)^(Y$7-1)</f>
        <v>-4700.99652446801</v>
      </c>
      <c r="Z44" s="69" t="n">
        <f aca="false">-Z30*Inputs!$B$37*(1+Inputs!$B$39)^(Z$7-1)</f>
        <v>-3561.15476928346</v>
      </c>
      <c r="AA44" s="69" t="n">
        <f aca="false">-AA30*Inputs!$B$37*(1+Inputs!$B$39)^(AA$7-1)</f>
        <v>-3731.71796984406</v>
      </c>
      <c r="AB44" s="69" t="n">
        <f aca="false">-AB30*Inputs!$B$37*(1+Inputs!$B$39)^(AB$7-1)</f>
        <v>-3758.42912914386</v>
      </c>
      <c r="AC44" s="69" t="n">
        <f aca="false">-AC30*Inputs!$B$37*(1+Inputs!$B$39)^(AC$7-1)</f>
        <v>-5054.22694414755</v>
      </c>
      <c r="AD44" s="69" t="n">
        <f aca="false">-AD30*Inputs!$B$37*(1+Inputs!$B$39)^(AD$7-1)</f>
        <v>-5104.21961434817</v>
      </c>
      <c r="AE44" s="69" t="n">
        <f aca="false">-AE30*Inputs!$B$37*(1+Inputs!$B$39)^(AE$7-1)</f>
        <v>-5151.71265103876</v>
      </c>
      <c r="AF44" s="69" t="n">
        <f aca="false">-AF30*Inputs!$B$37*(1+Inputs!$B$39)^(AF$7-1)</f>
        <v>-5196.83103589482</v>
      </c>
      <c r="AG44" s="69" t="n">
        <f aca="false">-AG30*Inputs!$B$37*(1+Inputs!$B$39)^(AG$7-1)</f>
        <v>-5239.69350150808</v>
      </c>
      <c r="AH44" s="69" t="n">
        <f aca="false">-AH30*Inputs!$B$37*(1+Inputs!$B$39)^(AH$7-1)</f>
        <v>-5280.41284384068</v>
      </c>
      <c r="AI44" s="69" t="n">
        <f aca="false">-AI30*Inputs!$B$37*(1+Inputs!$B$39)^(AI$7-1)</f>
        <v>-5319.09621905665</v>
      </c>
      <c r="AJ44" s="69" t="n">
        <f aca="false">-AJ30*Inputs!$B$37*(1+Inputs!$B$39)^(AJ$7-1)</f>
        <v>-5355.84542551181</v>
      </c>
      <c r="AK44" s="69" t="n">
        <f aca="false">-AK30*Inputs!$B$37*(1+Inputs!$B$39)^(AK$7-1)</f>
        <v>-5390.75717164422</v>
      </c>
      <c r="AL44" s="69" t="n">
        <f aca="false">-AL30*Inputs!$B$37*(1+Inputs!$B$39)^(AL$7-1)</f>
        <v>-4061.07702022051</v>
      </c>
    </row>
    <row r="45" customFormat="false" ht="15" hidden="false" customHeight="false" outlineLevel="0" collapsed="false">
      <c r="A45" s="6" t="s">
        <v>246</v>
      </c>
      <c r="C45" s="69" t="n">
        <f aca="false">C42+C43+C44</f>
        <v>-3893.678128</v>
      </c>
      <c r="D45" s="69" t="n">
        <f aca="false">D42+D43+D44</f>
        <v>-4458.05030693334</v>
      </c>
      <c r="E45" s="69" t="n">
        <f aca="false">E42+E43+E44</f>
        <v>-6733.43854522667</v>
      </c>
      <c r="F45" s="69" t="n">
        <f aca="false">F42+F43+F44</f>
        <v>-7559.726148632</v>
      </c>
      <c r="G45" s="69" t="n">
        <f aca="false">G42+G43+G44</f>
        <v>-8407.02157986707</v>
      </c>
      <c r="H45" s="69" t="n">
        <f aca="false">H42+H43+H44</f>
        <v>-9274.27444754038</v>
      </c>
      <c r="I45" s="69" t="n">
        <f aca="false">I42+I43+I44</f>
        <v>-10160.48687983</v>
      </c>
      <c r="J45" s="69" t="n">
        <f aca="false">J42+J43+J44</f>
        <v>-11064.7108985052</v>
      </c>
      <c r="K45" s="69" t="n">
        <f aca="false">K42+K43+K44</f>
        <v>-11986.0459242466</v>
      </c>
      <c r="L45" s="69" t="n">
        <f aca="false">L42+L43+L44</f>
        <v>-12923.6364067009</v>
      </c>
      <c r="M45" s="69" t="n">
        <f aca="false">M42+M43+M44</f>
        <v>-13876.6695730326</v>
      </c>
      <c r="N45" s="69" t="n">
        <f aca="false">N42+N43+N44</f>
        <v>-11108.5981054524</v>
      </c>
      <c r="O45" s="69" t="n">
        <f aca="false">O42+O43+O44</f>
        <v>-12267.0969520803</v>
      </c>
      <c r="P45" s="69" t="n">
        <f aca="false">P42+P43+P44</f>
        <v>-12496.9035508763</v>
      </c>
      <c r="Q45" s="69" t="n">
        <f aca="false">Q42+Q43+Q44</f>
        <v>-16989.8119921766</v>
      </c>
      <c r="R45" s="69" t="n">
        <f aca="false">R42+R43+R44</f>
        <v>-17336.9077861678</v>
      </c>
      <c r="S45" s="69" t="n">
        <f aca="false">S42+S43+S44</f>
        <v>-17666.6487904594</v>
      </c>
      <c r="T45" s="69" t="n">
        <f aca="false">T42+T43+T44</f>
        <v>-17979.9027445364</v>
      </c>
      <c r="U45" s="69" t="n">
        <f aca="false">U42+U43+U44</f>
        <v>-18277.4940009096</v>
      </c>
      <c r="V45" s="69" t="n">
        <f aca="false">V42+V43+V44</f>
        <v>-18560.2056944641</v>
      </c>
      <c r="W45" s="69" t="n">
        <f aca="false">W42+W43+W44</f>
        <v>-18828.7818033409</v>
      </c>
      <c r="X45" s="69" t="n">
        <f aca="false">X42+X43+X44</f>
        <v>-19083.9291067739</v>
      </c>
      <c r="Y45" s="69" t="n">
        <f aca="false">Y42+Y43+Y44</f>
        <v>-19326.3190450352</v>
      </c>
      <c r="Z45" s="69" t="n">
        <f aca="false">Z42+Z43+Z44</f>
        <v>-14640.3029403876</v>
      </c>
      <c r="AA45" s="69" t="n">
        <f aca="false">AA42+AA43+AA44</f>
        <v>-15341.5072093589</v>
      </c>
      <c r="AB45" s="69" t="n">
        <f aca="false">AB42+AB43+AB44</f>
        <v>-15451.319753147</v>
      </c>
      <c r="AC45" s="69" t="n">
        <f aca="false">AC42+AC43+AC44</f>
        <v>-20778.4885481621</v>
      </c>
      <c r="AD45" s="69" t="n">
        <f aca="false">AD42+AD43+AD44</f>
        <v>-20984.013970098</v>
      </c>
      <c r="AE45" s="69" t="n">
        <f aca="false">AE42+AE43+AE44</f>
        <v>-21179.2631209371</v>
      </c>
      <c r="AF45" s="69" t="n">
        <f aca="false">AF42+AF43+AF44</f>
        <v>-21364.7498142343</v>
      </c>
      <c r="AG45" s="69" t="n">
        <f aca="false">AG42+AG43+AG44</f>
        <v>-21540.9621728666</v>
      </c>
      <c r="AH45" s="69" t="n">
        <f aca="false">AH42+AH43+AH44</f>
        <v>-21708.3639135672</v>
      </c>
      <c r="AI45" s="69" t="n">
        <f aca="false">AI42+AI43+AI44</f>
        <v>-21867.3955672329</v>
      </c>
      <c r="AJ45" s="69" t="n">
        <f aca="false">AJ42+AJ43+AJ44</f>
        <v>-22018.4756382152</v>
      </c>
      <c r="AK45" s="69" t="n">
        <f aca="false">AK42+AK43+AK44</f>
        <v>-22162.0017056485</v>
      </c>
      <c r="AL45" s="69" t="n">
        <f aca="false">AL42+AL43+AL44</f>
        <v>-16695.5388609065</v>
      </c>
    </row>
    <row r="46" customFormat="false" ht="15" hidden="false" customHeight="false" outlineLevel="0" collapsed="false">
      <c r="A46" s="6" t="s">
        <v>416</v>
      </c>
      <c r="C46" s="69" t="n">
        <f aca="false">-C39*Inputs!$B$38</f>
        <v>-847.894528</v>
      </c>
      <c r="D46" s="69" t="n">
        <f aca="false">-D39*Inputs!$B$38</f>
        <v>-972.157166933334</v>
      </c>
      <c r="E46" s="69" t="n">
        <f aca="false">-E39*Inputs!$B$38</f>
        <v>-1400.89006592</v>
      </c>
      <c r="F46" s="69" t="n">
        <f aca="false">-F39*Inputs!$B$38</f>
        <v>-1570.617210624</v>
      </c>
      <c r="G46" s="69" t="n">
        <f aca="false">-G39*Inputs!$B$38</f>
        <v>-1743.2131340928</v>
      </c>
      <c r="H46" s="69" t="n">
        <f aca="false">-H39*Inputs!$B$38</f>
        <v>-1918.53439738816</v>
      </c>
      <c r="I46" s="69" t="n">
        <f aca="false">-I39*Inputs!$B$38</f>
        <v>-2096.44473351875</v>
      </c>
      <c r="J46" s="69" t="n">
        <f aca="false">-J39*Inputs!$B$38</f>
        <v>-2276.81468884281</v>
      </c>
      <c r="K46" s="69" t="n">
        <f aca="false">-K39*Inputs!$B$38</f>
        <v>-2459.52128240067</v>
      </c>
      <c r="L46" s="69" t="n">
        <f aca="false">-L39*Inputs!$B$38</f>
        <v>-2644.44768228064</v>
      </c>
      <c r="M46" s="69" t="n">
        <f aca="false">-M39*Inputs!$B$38</f>
        <v>-2831.48289816661</v>
      </c>
      <c r="N46" s="69" t="n">
        <f aca="false">-N39*Inputs!$B$38</f>
        <v>-2398.10322792494</v>
      </c>
      <c r="O46" s="69" t="n">
        <f aca="false">-O39*Inputs!$B$38</f>
        <v>-2570.08300356732</v>
      </c>
      <c r="P46" s="69" t="n">
        <f aca="false">-P39*Inputs!$B$38</f>
        <v>-2610.71846298895</v>
      </c>
      <c r="Q46" s="69" t="n">
        <f aca="false">-Q39*Inputs!$B$38</f>
        <v>-3313.9661430395</v>
      </c>
      <c r="R46" s="69" t="n">
        <f aca="false">-R39*Inputs!$B$38</f>
        <v>-3359.99744868753</v>
      </c>
      <c r="S46" s="69" t="n">
        <f aca="false">-S39*Inputs!$B$38</f>
        <v>-3403.72718905315</v>
      </c>
      <c r="T46" s="69" t="n">
        <f aca="false">-T39*Inputs!$B$38</f>
        <v>-3445.2704424005</v>
      </c>
      <c r="U46" s="69" t="n">
        <f aca="false">-U39*Inputs!$B$38</f>
        <v>-3484.73653308047</v>
      </c>
      <c r="V46" s="69" t="n">
        <f aca="false">-V39*Inputs!$B$38</f>
        <v>-3522.22931922645</v>
      </c>
      <c r="W46" s="69" t="n">
        <f aca="false">-W39*Inputs!$B$38</f>
        <v>-3557.84746606512</v>
      </c>
      <c r="X46" s="69" t="n">
        <f aca="false">-X39*Inputs!$B$38</f>
        <v>-3591.68470556187</v>
      </c>
      <c r="Y46" s="69" t="n">
        <f aca="false">-Y39*Inputs!$B$38</f>
        <v>-3623.83008308377</v>
      </c>
      <c r="Z46" s="69" t="n">
        <f aca="false">-Z39*Inputs!$B$38</f>
        <v>-2989.72419812959</v>
      </c>
      <c r="AA46" s="69" t="n">
        <f aca="false">-AA39*Inputs!$B$38</f>
        <v>-3039.47137380134</v>
      </c>
      <c r="AB46" s="69" t="n">
        <f aca="false">-AB39*Inputs!$B$38</f>
        <v>-3058.32881080727</v>
      </c>
      <c r="AC46" s="69" t="n">
        <f aca="false">-AC39*Inputs!$B$38</f>
        <v>-3747.53380949891</v>
      </c>
      <c r="AD46" s="69" t="n">
        <f aca="false">-AD39*Inputs!$B$38</f>
        <v>-3774.00402795196</v>
      </c>
      <c r="AE46" s="69" t="n">
        <f aca="false">-AE39*Inputs!$B$38</f>
        <v>-3799.15073548236</v>
      </c>
      <c r="AF46" s="69" t="n">
        <f aca="false">-AF39*Inputs!$B$38</f>
        <v>-3823.04010763625</v>
      </c>
      <c r="AG46" s="69" t="n">
        <f aca="false">-AG39*Inputs!$B$38</f>
        <v>-3845.73501118243</v>
      </c>
      <c r="AH46" s="69" t="n">
        <f aca="false">-AH39*Inputs!$B$38</f>
        <v>-3867.29516955131</v>
      </c>
      <c r="AI46" s="69" t="n">
        <f aca="false">-AI39*Inputs!$B$38</f>
        <v>-3887.77732000175</v>
      </c>
      <c r="AJ46" s="69" t="n">
        <f aca="false">-AJ39*Inputs!$B$38</f>
        <v>-3907.23536292966</v>
      </c>
      <c r="AK46" s="69" t="n">
        <f aca="false">-AK39*Inputs!$B$38</f>
        <v>-3925.72050371118</v>
      </c>
      <c r="AL46" s="69" t="n">
        <f aca="false">-AL39*Inputs!$B$38</f>
        <v>-3271.99095391762</v>
      </c>
    </row>
    <row r="47" customFormat="false" ht="15" hidden="false" customHeight="false" outlineLevel="0" collapsed="false">
      <c r="A47" s="4" t="s">
        <v>76</v>
      </c>
      <c r="C47" s="75" t="n">
        <f aca="false">C45+C46</f>
        <v>-4741.572656</v>
      </c>
      <c r="D47" s="75" t="n">
        <f aca="false">D45+D46</f>
        <v>-5430.20747386667</v>
      </c>
      <c r="E47" s="75" t="n">
        <f aca="false">E45+E46</f>
        <v>-8134.32861114667</v>
      </c>
      <c r="F47" s="75" t="n">
        <f aca="false">F45+F46</f>
        <v>-9130.343359256</v>
      </c>
      <c r="G47" s="75" t="n">
        <f aca="false">G45+G46</f>
        <v>-10150.2347139599</v>
      </c>
      <c r="H47" s="75" t="n">
        <f aca="false">H45+H46</f>
        <v>-11192.8088449285</v>
      </c>
      <c r="I47" s="75" t="n">
        <f aca="false">I45+I46</f>
        <v>-12256.9316133488</v>
      </c>
      <c r="J47" s="75" t="n">
        <f aca="false">J45+J46</f>
        <v>-13341.525587348</v>
      </c>
      <c r="K47" s="75" t="n">
        <f aca="false">K45+K46</f>
        <v>-14445.5672066473</v>
      </c>
      <c r="L47" s="75" t="n">
        <f aca="false">L45+L46</f>
        <v>-15568.0840889816</v>
      </c>
      <c r="M47" s="75" t="n">
        <f aca="false">M45+M46</f>
        <v>-16708.1524711992</v>
      </c>
      <c r="N47" s="75" t="n">
        <f aca="false">N45+N46</f>
        <v>-13506.7013333773</v>
      </c>
      <c r="O47" s="75" t="n">
        <f aca="false">O45+O46</f>
        <v>-14837.1799556476</v>
      </c>
      <c r="P47" s="75" t="n">
        <f aca="false">P45+P46</f>
        <v>-15107.6220138652</v>
      </c>
      <c r="Q47" s="75" t="n">
        <f aca="false">Q45+Q46</f>
        <v>-20303.7781352161</v>
      </c>
      <c r="R47" s="75" t="n">
        <f aca="false">R45+R46</f>
        <v>-20696.9052348553</v>
      </c>
      <c r="S47" s="75" t="n">
        <f aca="false">S45+S46</f>
        <v>-21070.3759795125</v>
      </c>
      <c r="T47" s="75" t="n">
        <f aca="false">T45+T46</f>
        <v>-21425.1731869369</v>
      </c>
      <c r="U47" s="75" t="n">
        <f aca="false">U45+U46</f>
        <v>-21762.2305339901</v>
      </c>
      <c r="V47" s="75" t="n">
        <f aca="false">V45+V46</f>
        <v>-22082.4350136906</v>
      </c>
      <c r="W47" s="75" t="n">
        <f aca="false">W45+W46</f>
        <v>-22386.629269406</v>
      </c>
      <c r="X47" s="75" t="n">
        <f aca="false">X45+X46</f>
        <v>-22675.6138123357</v>
      </c>
      <c r="Y47" s="75" t="n">
        <f aca="false">Y45+Y46</f>
        <v>-22950.1491281189</v>
      </c>
      <c r="Z47" s="75" t="n">
        <f aca="false">Z45+Z46</f>
        <v>-17630.0271385171</v>
      </c>
      <c r="AA47" s="75" t="n">
        <f aca="false">AA45+AA46</f>
        <v>-18380.9785831602</v>
      </c>
      <c r="AB47" s="75" t="n">
        <f aca="false">AB45+AB46</f>
        <v>-18509.6485639542</v>
      </c>
      <c r="AC47" s="75" t="n">
        <f aca="false">AC45+AC46</f>
        <v>-24526.0223576611</v>
      </c>
      <c r="AD47" s="75" t="n">
        <f aca="false">AD45+AD46</f>
        <v>-24758.01799805</v>
      </c>
      <c r="AE47" s="75" t="n">
        <f aca="false">AE45+AE46</f>
        <v>-24978.4138564195</v>
      </c>
      <c r="AF47" s="75" t="n">
        <f aca="false">AF45+AF46</f>
        <v>-25187.7899218705</v>
      </c>
      <c r="AG47" s="75" t="n">
        <f aca="false">AG45+AG46</f>
        <v>-25386.697184049</v>
      </c>
      <c r="AH47" s="75" t="n">
        <f aca="false">AH45+AH46</f>
        <v>-25575.6590831185</v>
      </c>
      <c r="AI47" s="75" t="n">
        <f aca="false">AI45+AI46</f>
        <v>-25755.1728872346</v>
      </c>
      <c r="AJ47" s="75" t="n">
        <f aca="false">AJ45+AJ46</f>
        <v>-25925.7110011449</v>
      </c>
      <c r="AK47" s="75" t="n">
        <f aca="false">AK45+AK46</f>
        <v>-26087.7222093596</v>
      </c>
      <c r="AL47" s="75" t="n">
        <f aca="false">AL45+AL46</f>
        <v>-19967.5298148241</v>
      </c>
    </row>
    <row r="48" customFormat="false" ht="15" hidden="false" customHeight="false" outlineLevel="0" collapsed="false">
      <c r="A48" s="113" t="s">
        <v>45</v>
      </c>
      <c r="C48" s="70" t="n">
        <f aca="false">C39+C47</f>
        <v>21755.131344</v>
      </c>
      <c r="D48" s="70" t="n">
        <f aca="false">D39+D47</f>
        <v>24949.7039928</v>
      </c>
      <c r="E48" s="70" t="n">
        <f aca="false">E39+E47</f>
        <v>35643.4859488533</v>
      </c>
      <c r="F48" s="70" t="n">
        <f aca="false">F39+F47</f>
        <v>39951.444472744</v>
      </c>
      <c r="G48" s="70" t="n">
        <f aca="false">G39+G47</f>
        <v>44325.1757264401</v>
      </c>
      <c r="H48" s="70" t="n">
        <f aca="false">H39+H47</f>
        <v>48761.3910734515</v>
      </c>
      <c r="I48" s="70" t="n">
        <f aca="false">I39+I47</f>
        <v>53256.9663091122</v>
      </c>
      <c r="J48" s="70" t="n">
        <f aca="false">J39+J47</f>
        <v>57808.9334389899</v>
      </c>
      <c r="K48" s="70" t="n">
        <f aca="false">K39+K47</f>
        <v>62414.4728683738</v>
      </c>
      <c r="L48" s="70" t="n">
        <f aca="false">L39+L47</f>
        <v>67070.9059822884</v>
      </c>
      <c r="M48" s="70" t="n">
        <f aca="false">M39+M47</f>
        <v>71775.6880965073</v>
      </c>
      <c r="N48" s="70" t="n">
        <f aca="false">N39+N47</f>
        <v>61434.0245392772</v>
      </c>
      <c r="O48" s="70" t="n">
        <f aca="false">O39+O47</f>
        <v>65477.9139058311</v>
      </c>
      <c r="P48" s="70" t="n">
        <f aca="false">P39+P47</f>
        <v>66477.3299545395</v>
      </c>
      <c r="Q48" s="70" t="n">
        <f aca="false">Q39+Q47</f>
        <v>83257.6638347684</v>
      </c>
      <c r="R48" s="70" t="n">
        <f aca="false">R39+R47</f>
        <v>84303.01503663</v>
      </c>
      <c r="S48" s="70" t="n">
        <f aca="false">S39+S47</f>
        <v>85296.0986783985</v>
      </c>
      <c r="T48" s="70" t="n">
        <f aca="false">T39+T47</f>
        <v>86239.5281380786</v>
      </c>
      <c r="U48" s="70" t="n">
        <f aca="false">U39+U47</f>
        <v>87135.7861247746</v>
      </c>
      <c r="V48" s="70" t="n">
        <f aca="false">V39+V47</f>
        <v>87987.2312121359</v>
      </c>
      <c r="W48" s="70" t="n">
        <f aca="false">W39+W47</f>
        <v>88796.1040451291</v>
      </c>
      <c r="X48" s="70" t="n">
        <f aca="false">X39+X47</f>
        <v>89564.5332364727</v>
      </c>
      <c r="Y48" s="70" t="n">
        <f aca="false">Y39+Y47</f>
        <v>90294.540968249</v>
      </c>
      <c r="Z48" s="70" t="n">
        <f aca="false">Z39+Z47</f>
        <v>75798.8540530324</v>
      </c>
      <c r="AA48" s="70" t="n">
        <f aca="false">AA39+AA47</f>
        <v>76602.5018481316</v>
      </c>
      <c r="AB48" s="70" t="n">
        <f aca="false">AB39+AB47</f>
        <v>77063.126773773</v>
      </c>
      <c r="AC48" s="70" t="n">
        <f aca="false">AC39+AC47</f>
        <v>92584.4091891798</v>
      </c>
      <c r="AD48" s="70" t="n">
        <f aca="false">AD39+AD47</f>
        <v>93179.6078754488</v>
      </c>
      <c r="AE48" s="70" t="n">
        <f aca="false">AE39+AE47</f>
        <v>93745.0466274044</v>
      </c>
      <c r="AF48" s="70" t="n">
        <f aca="false">AF39+AF47</f>
        <v>94282.2134417621</v>
      </c>
      <c r="AG48" s="70" t="n">
        <f aca="false">AG39+AG47</f>
        <v>94792.521915402</v>
      </c>
      <c r="AH48" s="70" t="n">
        <f aca="false">AH39+AH47</f>
        <v>95277.3149653599</v>
      </c>
      <c r="AI48" s="70" t="n">
        <f aca="false">AI39+AI47</f>
        <v>95737.8683628199</v>
      </c>
      <c r="AJ48" s="70" t="n">
        <f aca="false">AJ39+AJ47</f>
        <v>96175.3940904069</v>
      </c>
      <c r="AK48" s="70" t="n">
        <f aca="false">AK39+AK47</f>
        <v>96591.0435316146</v>
      </c>
      <c r="AL48" s="70" t="n">
        <f aca="false">AL39+AL47</f>
        <v>82282.1874951014</v>
      </c>
    </row>
    <row r="50" customFormat="false" ht="15.75" hidden="false" customHeight="true" outlineLevel="0" collapsed="false">
      <c r="A50" s="7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6" t="s">
        <v>340</v>
      </c>
      <c r="C51" s="69" t="n">
        <f aca="false">C130</f>
        <v>-36586.6666666667</v>
      </c>
      <c r="D51" s="69" t="n">
        <f aca="false">D130</f>
        <v>-36586.6666666667</v>
      </c>
      <c r="E51" s="69" t="n">
        <f aca="false">E130</f>
        <v>-36586.6666666667</v>
      </c>
      <c r="F51" s="69" t="n">
        <f aca="false">F130</f>
        <v>-36586.6666666667</v>
      </c>
      <c r="G51" s="69" t="n">
        <f aca="false">G130</f>
        <v>-36586.6666666667</v>
      </c>
      <c r="H51" s="69" t="n">
        <f aca="false">H130</f>
        <v>-36586.6666666667</v>
      </c>
      <c r="I51" s="69" t="n">
        <f aca="false">I130</f>
        <v>-36586.6666666667</v>
      </c>
      <c r="J51" s="69" t="n">
        <f aca="false">J130</f>
        <v>-36586.6666666667</v>
      </c>
      <c r="K51" s="69" t="n">
        <f aca="false">K130</f>
        <v>-36586.6666666667</v>
      </c>
      <c r="L51" s="69" t="n">
        <f aca="false">L130</f>
        <v>-36586.6666666667</v>
      </c>
      <c r="M51" s="69" t="n">
        <f aca="false">M130</f>
        <v>-36586.6666666667</v>
      </c>
      <c r="N51" s="69" t="n">
        <f aca="false">N130</f>
        <v>-36586.6666666667</v>
      </c>
      <c r="O51" s="69" t="n">
        <f aca="false">O130</f>
        <v>-37684.2666666667</v>
      </c>
      <c r="P51" s="69" t="n">
        <f aca="false">P130</f>
        <v>-37684.2666666667</v>
      </c>
      <c r="Q51" s="69" t="n">
        <f aca="false">Q130</f>
        <v>-37684.2666666667</v>
      </c>
      <c r="R51" s="69" t="n">
        <f aca="false">R130</f>
        <v>-37684.2666666667</v>
      </c>
      <c r="S51" s="69" t="n">
        <f aca="false">S130</f>
        <v>-37684.2666666667</v>
      </c>
      <c r="T51" s="69" t="n">
        <f aca="false">T130</f>
        <v>-37684.2666666667</v>
      </c>
      <c r="U51" s="69" t="n">
        <f aca="false">U130</f>
        <v>-37684.2666666667</v>
      </c>
      <c r="V51" s="69" t="n">
        <f aca="false">V130</f>
        <v>-37684.2666666667</v>
      </c>
      <c r="W51" s="69" t="n">
        <f aca="false">W130</f>
        <v>-37684.2666666667</v>
      </c>
      <c r="X51" s="69" t="n">
        <f aca="false">X130</f>
        <v>-37684.2666666667</v>
      </c>
      <c r="Y51" s="69" t="n">
        <f aca="false">Y130</f>
        <v>-37684.2666666667</v>
      </c>
      <c r="Z51" s="69" t="n">
        <f aca="false">Z130</f>
        <v>-37684.2666666667</v>
      </c>
      <c r="AA51" s="69" t="n">
        <f aca="false">AA130</f>
        <v>-38814.7946666667</v>
      </c>
      <c r="AB51" s="69" t="n">
        <f aca="false">AB130</f>
        <v>-38814.7946666667</v>
      </c>
      <c r="AC51" s="69" t="n">
        <f aca="false">AC130</f>
        <v>-38814.7946666667</v>
      </c>
      <c r="AD51" s="69" t="n">
        <f aca="false">AD130</f>
        <v>-38814.7946666667</v>
      </c>
      <c r="AE51" s="69" t="n">
        <f aca="false">AE130</f>
        <v>-38814.7946666667</v>
      </c>
      <c r="AF51" s="69" t="n">
        <f aca="false">AF130</f>
        <v>-38814.7946666667</v>
      </c>
      <c r="AG51" s="69" t="n">
        <f aca="false">AG130</f>
        <v>-38814.7946666667</v>
      </c>
      <c r="AH51" s="69" t="n">
        <f aca="false">AH130</f>
        <v>-38814.7946666667</v>
      </c>
      <c r="AI51" s="69" t="n">
        <f aca="false">AI130</f>
        <v>-38814.7946666667</v>
      </c>
      <c r="AJ51" s="69" t="n">
        <f aca="false">AJ130</f>
        <v>-38814.7946666667</v>
      </c>
      <c r="AK51" s="69" t="n">
        <f aca="false">AK130</f>
        <v>-38814.7946666667</v>
      </c>
      <c r="AL51" s="69" t="n">
        <f aca="false">AL130</f>
        <v>-38814.7946666667</v>
      </c>
    </row>
    <row r="52" customFormat="false" ht="15" hidden="false" customHeight="false" outlineLevel="0" collapsed="false">
      <c r="A52" s="6" t="s">
        <v>341</v>
      </c>
      <c r="C52" s="69" t="n">
        <f aca="false">-Inputs!$B$42*(1+Inputs!$B$43)^(C$7-1)*1</f>
        <v>-30000</v>
      </c>
      <c r="D52" s="69" t="n">
        <f aca="false">-Inputs!$B$42*(1+Inputs!$B$43)^(D$7-1)*1</f>
        <v>-30000</v>
      </c>
      <c r="E52" s="69" t="n">
        <f aca="false">-Inputs!$B$42*(1+Inputs!$B$43)^(E$7-1)*1</f>
        <v>-30000</v>
      </c>
      <c r="F52" s="69" t="n">
        <f aca="false">-Inputs!$B$42*(1+Inputs!$B$43)^(F$7-1)*1</f>
        <v>-30000</v>
      </c>
      <c r="G52" s="69" t="n">
        <f aca="false">-Inputs!$B$42*(1+Inputs!$B$43)^(G$7-1)*1</f>
        <v>-30000</v>
      </c>
      <c r="H52" s="69" t="n">
        <f aca="false">-Inputs!$B$42*(1+Inputs!$B$43)^(H$7-1)*1</f>
        <v>-30000</v>
      </c>
      <c r="I52" s="69" t="n">
        <f aca="false">-Inputs!$B$42*(1+Inputs!$B$43)^(I$7-1)*1</f>
        <v>-30000</v>
      </c>
      <c r="J52" s="69" t="n">
        <f aca="false">-Inputs!$B$42*(1+Inputs!$B$43)^(J$7-1)*1</f>
        <v>-30000</v>
      </c>
      <c r="K52" s="69" t="n">
        <f aca="false">-Inputs!$B$42*(1+Inputs!$B$43)^(K$7-1)*1</f>
        <v>-30000</v>
      </c>
      <c r="L52" s="69" t="n">
        <f aca="false">-Inputs!$B$42*(1+Inputs!$B$43)^(L$7-1)*1</f>
        <v>-30000</v>
      </c>
      <c r="M52" s="69" t="n">
        <f aca="false">-Inputs!$B$42*(1+Inputs!$B$43)^(M$7-1)*1</f>
        <v>-30000</v>
      </c>
      <c r="N52" s="69" t="n">
        <f aca="false">-Inputs!$B$42*(1+Inputs!$B$43)^(N$7-1)*1</f>
        <v>-30000</v>
      </c>
      <c r="O52" s="69" t="n">
        <f aca="false">-Inputs!$B$42*(1+Inputs!$B$43)^(O$7-1)*1</f>
        <v>-30900</v>
      </c>
      <c r="P52" s="69" t="n">
        <f aca="false">-Inputs!$B$42*(1+Inputs!$B$43)^(P$7-1)*1</f>
        <v>-30900</v>
      </c>
      <c r="Q52" s="69" t="n">
        <f aca="false">-Inputs!$B$42*(1+Inputs!$B$43)^(Q$7-1)*1</f>
        <v>-30900</v>
      </c>
      <c r="R52" s="69" t="n">
        <f aca="false">-Inputs!$B$42*(1+Inputs!$B$43)^(R$7-1)*1</f>
        <v>-30900</v>
      </c>
      <c r="S52" s="69" t="n">
        <f aca="false">-Inputs!$B$42*(1+Inputs!$B$43)^(S$7-1)*1</f>
        <v>-30900</v>
      </c>
      <c r="T52" s="69" t="n">
        <f aca="false">-Inputs!$B$42*(1+Inputs!$B$43)^(T$7-1)*1</f>
        <v>-30900</v>
      </c>
      <c r="U52" s="69" t="n">
        <f aca="false">-Inputs!$B$42*(1+Inputs!$B$43)^(U$7-1)*1</f>
        <v>-30900</v>
      </c>
      <c r="V52" s="69" t="n">
        <f aca="false">-Inputs!$B$42*(1+Inputs!$B$43)^(V$7-1)*1</f>
        <v>-30900</v>
      </c>
      <c r="W52" s="69" t="n">
        <f aca="false">-Inputs!$B$42*(1+Inputs!$B$43)^(W$7-1)*1</f>
        <v>-30900</v>
      </c>
      <c r="X52" s="69" t="n">
        <f aca="false">-Inputs!$B$42*(1+Inputs!$B$43)^(X$7-1)*1</f>
        <v>-30900</v>
      </c>
      <c r="Y52" s="69" t="n">
        <f aca="false">-Inputs!$B$42*(1+Inputs!$B$43)^(Y$7-1)*1</f>
        <v>-30900</v>
      </c>
      <c r="Z52" s="69" t="n">
        <f aca="false">-Inputs!$B$42*(1+Inputs!$B$43)^(Z$7-1)*1</f>
        <v>-30900</v>
      </c>
      <c r="AA52" s="69" t="n">
        <f aca="false">-Inputs!$B$42*(1+Inputs!$B$43)^(AA$7-1)*1</f>
        <v>-31827</v>
      </c>
      <c r="AB52" s="69" t="n">
        <f aca="false">-Inputs!$B$42*(1+Inputs!$B$43)^(AB$7-1)*1</f>
        <v>-31827</v>
      </c>
      <c r="AC52" s="69" t="n">
        <f aca="false">-Inputs!$B$42*(1+Inputs!$B$43)^(AC$7-1)*1</f>
        <v>-31827</v>
      </c>
      <c r="AD52" s="69" t="n">
        <f aca="false">-Inputs!$B$42*(1+Inputs!$B$43)^(AD$7-1)*1</f>
        <v>-31827</v>
      </c>
      <c r="AE52" s="69" t="n">
        <f aca="false">-Inputs!$B$42*(1+Inputs!$B$43)^(AE$7-1)*1</f>
        <v>-31827</v>
      </c>
      <c r="AF52" s="69" t="n">
        <f aca="false">-Inputs!$B$42*(1+Inputs!$B$43)^(AF$7-1)*1</f>
        <v>-31827</v>
      </c>
      <c r="AG52" s="69" t="n">
        <f aca="false">-Inputs!$B$42*(1+Inputs!$B$43)^(AG$7-1)*1</f>
        <v>-31827</v>
      </c>
      <c r="AH52" s="69" t="n">
        <f aca="false">-Inputs!$B$42*(1+Inputs!$B$43)^(AH$7-1)*1</f>
        <v>-31827</v>
      </c>
      <c r="AI52" s="69" t="n">
        <f aca="false">-Inputs!$B$42*(1+Inputs!$B$43)^(AI$7-1)*1</f>
        <v>-31827</v>
      </c>
      <c r="AJ52" s="69" t="n">
        <f aca="false">-Inputs!$B$42*(1+Inputs!$B$43)^(AJ$7-1)*1</f>
        <v>-31827</v>
      </c>
      <c r="AK52" s="69" t="n">
        <f aca="false">-Inputs!$B$42*(1+Inputs!$B$43)^(AK$7-1)*1</f>
        <v>-31827</v>
      </c>
      <c r="AL52" s="69" t="n">
        <f aca="false">-Inputs!$B$42*(1+Inputs!$B$43)^(AL$7-1)*1</f>
        <v>-31827</v>
      </c>
    </row>
    <row r="53" customFormat="false" ht="15" hidden="false" customHeight="false" outlineLevel="0" collapsed="false">
      <c r="A53" s="6" t="s">
        <v>342</v>
      </c>
      <c r="C53" s="69" t="n">
        <f aca="false">-Inputs!$B$44*(1+Inputs!$B$39)^(C$7-1)*1</f>
        <v>-5500</v>
      </c>
      <c r="D53" s="69" t="n">
        <f aca="false">-Inputs!$B$44*(1+Inputs!$B$39)^(D$7-1)*1</f>
        <v>-5500</v>
      </c>
      <c r="E53" s="69" t="n">
        <f aca="false">-Inputs!$B$44*(1+Inputs!$B$39)^(E$7-1)*1</f>
        <v>-5500</v>
      </c>
      <c r="F53" s="69" t="n">
        <f aca="false">-Inputs!$B$44*(1+Inputs!$B$39)^(F$7-1)*1</f>
        <v>-5500</v>
      </c>
      <c r="G53" s="69" t="n">
        <f aca="false">-Inputs!$B$44*(1+Inputs!$B$39)^(G$7-1)*1</f>
        <v>-5500</v>
      </c>
      <c r="H53" s="69" t="n">
        <f aca="false">-Inputs!$B$44*(1+Inputs!$B$39)^(H$7-1)*1</f>
        <v>-5500</v>
      </c>
      <c r="I53" s="69" t="n">
        <f aca="false">-Inputs!$B$44*(1+Inputs!$B$39)^(I$7-1)*1</f>
        <v>-5500</v>
      </c>
      <c r="J53" s="69" t="n">
        <f aca="false">-Inputs!$B$44*(1+Inputs!$B$39)^(J$7-1)*1</f>
        <v>-5500</v>
      </c>
      <c r="K53" s="69" t="n">
        <f aca="false">-Inputs!$B$44*(1+Inputs!$B$39)^(K$7-1)*1</f>
        <v>-5500</v>
      </c>
      <c r="L53" s="69" t="n">
        <f aca="false">-Inputs!$B$44*(1+Inputs!$B$39)^(L$7-1)*1</f>
        <v>-5500</v>
      </c>
      <c r="M53" s="69" t="n">
        <f aca="false">-Inputs!$B$44*(1+Inputs!$B$39)^(M$7-1)*1</f>
        <v>-5500</v>
      </c>
      <c r="N53" s="69" t="n">
        <f aca="false">-Inputs!$B$44*(1+Inputs!$B$39)^(N$7-1)*1</f>
        <v>-5500</v>
      </c>
      <c r="O53" s="69" t="n">
        <f aca="false">-Inputs!$B$44*(1+Inputs!$B$39)^(O$7-1)*1</f>
        <v>-5720</v>
      </c>
      <c r="P53" s="69" t="n">
        <f aca="false">-Inputs!$B$44*(1+Inputs!$B$39)^(P$7-1)*1</f>
        <v>-5720</v>
      </c>
      <c r="Q53" s="69" t="n">
        <f aca="false">-Inputs!$B$44*(1+Inputs!$B$39)^(Q$7-1)*1</f>
        <v>-5720</v>
      </c>
      <c r="R53" s="69" t="n">
        <f aca="false">-Inputs!$B$44*(1+Inputs!$B$39)^(R$7-1)*1</f>
        <v>-5720</v>
      </c>
      <c r="S53" s="69" t="n">
        <f aca="false">-Inputs!$B$44*(1+Inputs!$B$39)^(S$7-1)*1</f>
        <v>-5720</v>
      </c>
      <c r="T53" s="69" t="n">
        <f aca="false">-Inputs!$B$44*(1+Inputs!$B$39)^(T$7-1)*1</f>
        <v>-5720</v>
      </c>
      <c r="U53" s="69" t="n">
        <f aca="false">-Inputs!$B$44*(1+Inputs!$B$39)^(U$7-1)*1</f>
        <v>-5720</v>
      </c>
      <c r="V53" s="69" t="n">
        <f aca="false">-Inputs!$B$44*(1+Inputs!$B$39)^(V$7-1)*1</f>
        <v>-5720</v>
      </c>
      <c r="W53" s="69" t="n">
        <f aca="false">-Inputs!$B$44*(1+Inputs!$B$39)^(W$7-1)*1</f>
        <v>-5720</v>
      </c>
      <c r="X53" s="69" t="n">
        <f aca="false">-Inputs!$B$44*(1+Inputs!$B$39)^(X$7-1)*1</f>
        <v>-5720</v>
      </c>
      <c r="Y53" s="69" t="n">
        <f aca="false">-Inputs!$B$44*(1+Inputs!$B$39)^(Y$7-1)*1</f>
        <v>-5720</v>
      </c>
      <c r="Z53" s="69" t="n">
        <f aca="false">-Inputs!$B$44*(1+Inputs!$B$39)^(Z$7-1)*1</f>
        <v>-5720</v>
      </c>
      <c r="AA53" s="69" t="n">
        <f aca="false">-Inputs!$B$44*(1+Inputs!$B$39)^(AA$7-1)*1</f>
        <v>-5948.8</v>
      </c>
      <c r="AB53" s="69" t="n">
        <f aca="false">-Inputs!$B$44*(1+Inputs!$B$39)^(AB$7-1)*1</f>
        <v>-5948.8</v>
      </c>
      <c r="AC53" s="69" t="n">
        <f aca="false">-Inputs!$B$44*(1+Inputs!$B$39)^(AC$7-1)*1</f>
        <v>-5948.8</v>
      </c>
      <c r="AD53" s="69" t="n">
        <f aca="false">-Inputs!$B$44*(1+Inputs!$B$39)^(AD$7-1)*1</f>
        <v>-5948.8</v>
      </c>
      <c r="AE53" s="69" t="n">
        <f aca="false">-Inputs!$B$44*(1+Inputs!$B$39)^(AE$7-1)*1</f>
        <v>-5948.8</v>
      </c>
      <c r="AF53" s="69" t="n">
        <f aca="false">-Inputs!$B$44*(1+Inputs!$B$39)^(AF$7-1)*1</f>
        <v>-5948.8</v>
      </c>
      <c r="AG53" s="69" t="n">
        <f aca="false">-Inputs!$B$44*(1+Inputs!$B$39)^(AG$7-1)*1</f>
        <v>-5948.8</v>
      </c>
      <c r="AH53" s="69" t="n">
        <f aca="false">-Inputs!$B$44*(1+Inputs!$B$39)^(AH$7-1)*1</f>
        <v>-5948.8</v>
      </c>
      <c r="AI53" s="69" t="n">
        <f aca="false">-Inputs!$B$44*(1+Inputs!$B$39)^(AI$7-1)*1</f>
        <v>-5948.8</v>
      </c>
      <c r="AJ53" s="69" t="n">
        <f aca="false">-Inputs!$B$44*(1+Inputs!$B$39)^(AJ$7-1)*1</f>
        <v>-5948.8</v>
      </c>
      <c r="AK53" s="69" t="n">
        <f aca="false">-Inputs!$B$44*(1+Inputs!$B$39)^(AK$7-1)*1</f>
        <v>-5948.8</v>
      </c>
      <c r="AL53" s="69" t="n">
        <f aca="false">-Inputs!$B$44*(1+Inputs!$B$39)^(AL$7-1)*1</f>
        <v>-5948.8</v>
      </c>
    </row>
    <row r="54" customFormat="false" ht="15" hidden="false" customHeight="false" outlineLevel="0" collapsed="false">
      <c r="A54" s="6" t="s">
        <v>343</v>
      </c>
      <c r="C54" s="69" t="n">
        <f aca="false">-Inputs!$B$45*(1+Inputs!$B$39)^(C$7-1)*1</f>
        <v>-9500</v>
      </c>
      <c r="D54" s="69" t="n">
        <f aca="false">-Inputs!$B$45*(1+Inputs!$B$39)^(D$7-1)*1</f>
        <v>-9500</v>
      </c>
      <c r="E54" s="69" t="n">
        <f aca="false">-Inputs!$B$45*(1+Inputs!$B$39)^(E$7-1)*1</f>
        <v>-9500</v>
      </c>
      <c r="F54" s="69" t="n">
        <f aca="false">-Inputs!$B$45*(1+Inputs!$B$39)^(F$7-1)*1</f>
        <v>-9500</v>
      </c>
      <c r="G54" s="69" t="n">
        <f aca="false">-Inputs!$B$45*(1+Inputs!$B$39)^(G$7-1)*1</f>
        <v>-9500</v>
      </c>
      <c r="H54" s="69" t="n">
        <f aca="false">-Inputs!$B$45*(1+Inputs!$B$39)^(H$7-1)*1</f>
        <v>-9500</v>
      </c>
      <c r="I54" s="69" t="n">
        <f aca="false">-Inputs!$B$45*(1+Inputs!$B$39)^(I$7-1)*1</f>
        <v>-9500</v>
      </c>
      <c r="J54" s="69" t="n">
        <f aca="false">-Inputs!$B$45*(1+Inputs!$B$39)^(J$7-1)*1</f>
        <v>-9500</v>
      </c>
      <c r="K54" s="69" t="n">
        <f aca="false">-Inputs!$B$45*(1+Inputs!$B$39)^(K$7-1)*1</f>
        <v>-9500</v>
      </c>
      <c r="L54" s="69" t="n">
        <f aca="false">-Inputs!$B$45*(1+Inputs!$B$39)^(L$7-1)*1</f>
        <v>-9500</v>
      </c>
      <c r="M54" s="69" t="n">
        <f aca="false">-Inputs!$B$45*(1+Inputs!$B$39)^(M$7-1)*1</f>
        <v>-9500</v>
      </c>
      <c r="N54" s="69" t="n">
        <f aca="false">-Inputs!$B$45*(1+Inputs!$B$39)^(N$7-1)*1</f>
        <v>-9500</v>
      </c>
      <c r="O54" s="69" t="n">
        <f aca="false">-Inputs!$B$45*(1+Inputs!$B$39)^(O$7-1)*1</f>
        <v>-9880</v>
      </c>
      <c r="P54" s="69" t="n">
        <f aca="false">-Inputs!$B$45*(1+Inputs!$B$39)^(P$7-1)*1</f>
        <v>-9880</v>
      </c>
      <c r="Q54" s="69" t="n">
        <f aca="false">-Inputs!$B$45*(1+Inputs!$B$39)^(Q$7-1)*1</f>
        <v>-9880</v>
      </c>
      <c r="R54" s="69" t="n">
        <f aca="false">-Inputs!$B$45*(1+Inputs!$B$39)^(R$7-1)*1</f>
        <v>-9880</v>
      </c>
      <c r="S54" s="69" t="n">
        <f aca="false">-Inputs!$B$45*(1+Inputs!$B$39)^(S$7-1)*1</f>
        <v>-9880</v>
      </c>
      <c r="T54" s="69" t="n">
        <f aca="false">-Inputs!$B$45*(1+Inputs!$B$39)^(T$7-1)*1</f>
        <v>-9880</v>
      </c>
      <c r="U54" s="69" t="n">
        <f aca="false">-Inputs!$B$45*(1+Inputs!$B$39)^(U$7-1)*1</f>
        <v>-9880</v>
      </c>
      <c r="V54" s="69" t="n">
        <f aca="false">-Inputs!$B$45*(1+Inputs!$B$39)^(V$7-1)*1</f>
        <v>-9880</v>
      </c>
      <c r="W54" s="69" t="n">
        <f aca="false">-Inputs!$B$45*(1+Inputs!$B$39)^(W$7-1)*1</f>
        <v>-9880</v>
      </c>
      <c r="X54" s="69" t="n">
        <f aca="false">-Inputs!$B$45*(1+Inputs!$B$39)^(X$7-1)*1</f>
        <v>-9880</v>
      </c>
      <c r="Y54" s="69" t="n">
        <f aca="false">-Inputs!$B$45*(1+Inputs!$B$39)^(Y$7-1)*1</f>
        <v>-9880</v>
      </c>
      <c r="Z54" s="69" t="n">
        <f aca="false">-Inputs!$B$45*(1+Inputs!$B$39)^(Z$7-1)*1</f>
        <v>-9880</v>
      </c>
      <c r="AA54" s="69" t="n">
        <f aca="false">-Inputs!$B$45*(1+Inputs!$B$39)^(AA$7-1)*1</f>
        <v>-10275.2</v>
      </c>
      <c r="AB54" s="69" t="n">
        <f aca="false">-Inputs!$B$45*(1+Inputs!$B$39)^(AB$7-1)*1</f>
        <v>-10275.2</v>
      </c>
      <c r="AC54" s="69" t="n">
        <f aca="false">-Inputs!$B$45*(1+Inputs!$B$39)^(AC$7-1)*1</f>
        <v>-10275.2</v>
      </c>
      <c r="AD54" s="69" t="n">
        <f aca="false">-Inputs!$B$45*(1+Inputs!$B$39)^(AD$7-1)*1</f>
        <v>-10275.2</v>
      </c>
      <c r="AE54" s="69" t="n">
        <f aca="false">-Inputs!$B$45*(1+Inputs!$B$39)^(AE$7-1)*1</f>
        <v>-10275.2</v>
      </c>
      <c r="AF54" s="69" t="n">
        <f aca="false">-Inputs!$B$45*(1+Inputs!$B$39)^(AF$7-1)*1</f>
        <v>-10275.2</v>
      </c>
      <c r="AG54" s="69" t="n">
        <f aca="false">-Inputs!$B$45*(1+Inputs!$B$39)^(AG$7-1)*1</f>
        <v>-10275.2</v>
      </c>
      <c r="AH54" s="69" t="n">
        <f aca="false">-Inputs!$B$45*(1+Inputs!$B$39)^(AH$7-1)*1</f>
        <v>-10275.2</v>
      </c>
      <c r="AI54" s="69" t="n">
        <f aca="false">-Inputs!$B$45*(1+Inputs!$B$39)^(AI$7-1)*1</f>
        <v>-10275.2</v>
      </c>
      <c r="AJ54" s="69" t="n">
        <f aca="false">-Inputs!$B$45*(1+Inputs!$B$39)^(AJ$7-1)*1</f>
        <v>-10275.2</v>
      </c>
      <c r="AK54" s="69" t="n">
        <f aca="false">-Inputs!$B$45*(1+Inputs!$B$39)^(AK$7-1)*1</f>
        <v>-10275.2</v>
      </c>
      <c r="AL54" s="69" t="n">
        <f aca="false">-Inputs!$B$45*(1+Inputs!$B$39)^(AL$7-1)*1</f>
        <v>-10275.2</v>
      </c>
    </row>
    <row r="55" customFormat="false" ht="15" hidden="false" customHeight="false" outlineLevel="0" collapsed="false">
      <c r="A55" s="6" t="s">
        <v>344</v>
      </c>
      <c r="C55" s="69" t="n">
        <f aca="false">-Inputs!$B$46*(1+Inputs!$B$47)^(C$7-1)*1</f>
        <v>-12000</v>
      </c>
      <c r="D55" s="69" t="n">
        <f aca="false">-Inputs!$B$46*(1+Inputs!$B$47)^(D$7-1)*1</f>
        <v>-12000</v>
      </c>
      <c r="E55" s="69" t="n">
        <f aca="false">-Inputs!$B$46*(1+Inputs!$B$47)^(E$7-1)*1</f>
        <v>-12000</v>
      </c>
      <c r="F55" s="69" t="n">
        <f aca="false">-Inputs!$B$46*(1+Inputs!$B$47)^(F$7-1)*1</f>
        <v>-12000</v>
      </c>
      <c r="G55" s="69" t="n">
        <f aca="false">-Inputs!$B$46*(1+Inputs!$B$47)^(G$7-1)*1</f>
        <v>-12000</v>
      </c>
      <c r="H55" s="69" t="n">
        <f aca="false">-Inputs!$B$46*(1+Inputs!$B$47)^(H$7-1)*1</f>
        <v>-12000</v>
      </c>
      <c r="I55" s="69" t="n">
        <f aca="false">-Inputs!$B$46*(1+Inputs!$B$47)^(I$7-1)*1</f>
        <v>-12000</v>
      </c>
      <c r="J55" s="69" t="n">
        <f aca="false">-Inputs!$B$46*(1+Inputs!$B$47)^(J$7-1)*1</f>
        <v>-12000</v>
      </c>
      <c r="K55" s="69" t="n">
        <f aca="false">-Inputs!$B$46*(1+Inputs!$B$47)^(K$7-1)*1</f>
        <v>-12000</v>
      </c>
      <c r="L55" s="69" t="n">
        <f aca="false">-Inputs!$B$46*(1+Inputs!$B$47)^(L$7-1)*1</f>
        <v>-12000</v>
      </c>
      <c r="M55" s="69" t="n">
        <f aca="false">-Inputs!$B$46*(1+Inputs!$B$47)^(M$7-1)*1</f>
        <v>-12000</v>
      </c>
      <c r="N55" s="69" t="n">
        <f aca="false">-Inputs!$B$46*(1+Inputs!$B$47)^(N$7-1)*1</f>
        <v>-12000</v>
      </c>
      <c r="O55" s="69" t="n">
        <f aca="false">-Inputs!$B$46*(1+Inputs!$B$47)^(O$7-1)*1</f>
        <v>-8400</v>
      </c>
      <c r="P55" s="69" t="n">
        <f aca="false">-Inputs!$B$46*(1+Inputs!$B$47)^(P$7-1)*1</f>
        <v>-8400</v>
      </c>
      <c r="Q55" s="69" t="n">
        <f aca="false">-Inputs!$B$46*(1+Inputs!$B$47)^(Q$7-1)*1</f>
        <v>-8400</v>
      </c>
      <c r="R55" s="69" t="n">
        <f aca="false">-Inputs!$B$46*(1+Inputs!$B$47)^(R$7-1)*1</f>
        <v>-8400</v>
      </c>
      <c r="S55" s="69" t="n">
        <f aca="false">-Inputs!$B$46*(1+Inputs!$B$47)^(S$7-1)*1</f>
        <v>-8400</v>
      </c>
      <c r="T55" s="69" t="n">
        <f aca="false">-Inputs!$B$46*(1+Inputs!$B$47)^(T$7-1)*1</f>
        <v>-8400</v>
      </c>
      <c r="U55" s="69" t="n">
        <f aca="false">-Inputs!$B$46*(1+Inputs!$B$47)^(U$7-1)*1</f>
        <v>-8400</v>
      </c>
      <c r="V55" s="69" t="n">
        <f aca="false">-Inputs!$B$46*(1+Inputs!$B$47)^(V$7-1)*1</f>
        <v>-8400</v>
      </c>
      <c r="W55" s="69" t="n">
        <f aca="false">-Inputs!$B$46*(1+Inputs!$B$47)^(W$7-1)*1</f>
        <v>-8400</v>
      </c>
      <c r="X55" s="69" t="n">
        <f aca="false">-Inputs!$B$46*(1+Inputs!$B$47)^(X$7-1)*1</f>
        <v>-8400</v>
      </c>
      <c r="Y55" s="69" t="n">
        <f aca="false">-Inputs!$B$46*(1+Inputs!$B$47)^(Y$7-1)*1</f>
        <v>-8400</v>
      </c>
      <c r="Z55" s="69" t="n">
        <f aca="false">-Inputs!$B$46*(1+Inputs!$B$47)^(Z$7-1)*1</f>
        <v>-8400</v>
      </c>
      <c r="AA55" s="69" t="n">
        <f aca="false">-Inputs!$B$46*(1+Inputs!$B$47)^(AA$7-1)*1</f>
        <v>-5880</v>
      </c>
      <c r="AB55" s="69" t="n">
        <f aca="false">-Inputs!$B$46*(1+Inputs!$B$47)^(AB$7-1)*1</f>
        <v>-5880</v>
      </c>
      <c r="AC55" s="69" t="n">
        <f aca="false">-Inputs!$B$46*(1+Inputs!$B$47)^(AC$7-1)*1</f>
        <v>-5880</v>
      </c>
      <c r="AD55" s="69" t="n">
        <f aca="false">-Inputs!$B$46*(1+Inputs!$B$47)^(AD$7-1)*1</f>
        <v>-5880</v>
      </c>
      <c r="AE55" s="69" t="n">
        <f aca="false">-Inputs!$B$46*(1+Inputs!$B$47)^(AE$7-1)*1</f>
        <v>-5880</v>
      </c>
      <c r="AF55" s="69" t="n">
        <f aca="false">-Inputs!$B$46*(1+Inputs!$B$47)^(AF$7-1)*1</f>
        <v>-5880</v>
      </c>
      <c r="AG55" s="69" t="n">
        <f aca="false">-Inputs!$B$46*(1+Inputs!$B$47)^(AG$7-1)*1</f>
        <v>-5880</v>
      </c>
      <c r="AH55" s="69" t="n">
        <f aca="false">-Inputs!$B$46*(1+Inputs!$B$47)^(AH$7-1)*1</f>
        <v>-5880</v>
      </c>
      <c r="AI55" s="69" t="n">
        <f aca="false">-Inputs!$B$46*(1+Inputs!$B$47)^(AI$7-1)*1</f>
        <v>-5880</v>
      </c>
      <c r="AJ55" s="69" t="n">
        <f aca="false">-Inputs!$B$46*(1+Inputs!$B$47)^(AJ$7-1)*1</f>
        <v>-5880</v>
      </c>
      <c r="AK55" s="69" t="n">
        <f aca="false">-Inputs!$B$46*(1+Inputs!$B$47)^(AK$7-1)*1</f>
        <v>-5880</v>
      </c>
      <c r="AL55" s="69" t="n">
        <f aca="false">-Inputs!$B$46*(1+Inputs!$B$47)^(AL$7-1)*1</f>
        <v>-5880</v>
      </c>
    </row>
    <row r="56" customFormat="false" ht="15" hidden="false" customHeight="false" outlineLevel="0" collapsed="false">
      <c r="A56" s="113" t="s">
        <v>77</v>
      </c>
      <c r="C56" s="70" t="n">
        <f aca="false">C51+C52+C53+C54+C55</f>
        <v>-93586.6666666667</v>
      </c>
      <c r="D56" s="70" t="n">
        <f aca="false">D51+D52+D53+D54+D55</f>
        <v>-93586.6666666667</v>
      </c>
      <c r="E56" s="70" t="n">
        <f aca="false">E51+E52+E53+E54+E55</f>
        <v>-93586.6666666667</v>
      </c>
      <c r="F56" s="70" t="n">
        <f aca="false">F51+F52+F53+F54+F55</f>
        <v>-93586.6666666667</v>
      </c>
      <c r="G56" s="70" t="n">
        <f aca="false">G51+G52+G53+G54+G55</f>
        <v>-93586.6666666667</v>
      </c>
      <c r="H56" s="70" t="n">
        <f aca="false">H51+H52+H53+H54+H55</f>
        <v>-93586.6666666667</v>
      </c>
      <c r="I56" s="70" t="n">
        <f aca="false">I51+I52+I53+I54+I55</f>
        <v>-93586.6666666667</v>
      </c>
      <c r="J56" s="70" t="n">
        <f aca="false">J51+J52+J53+J54+J55</f>
        <v>-93586.6666666667</v>
      </c>
      <c r="K56" s="70" t="n">
        <f aca="false">K51+K52+K53+K54+K55</f>
        <v>-93586.6666666667</v>
      </c>
      <c r="L56" s="70" t="n">
        <f aca="false">L51+L52+L53+L54+L55</f>
        <v>-93586.6666666667</v>
      </c>
      <c r="M56" s="70" t="n">
        <f aca="false">M51+M52+M53+M54+M55</f>
        <v>-93586.6666666667</v>
      </c>
      <c r="N56" s="70" t="n">
        <f aca="false">N51+N52+N53+N54+N55</f>
        <v>-93586.6666666667</v>
      </c>
      <c r="O56" s="70" t="n">
        <f aca="false">O51+O52+O53+O54+O55</f>
        <v>-92584.2666666667</v>
      </c>
      <c r="P56" s="70" t="n">
        <f aca="false">P51+P52+P53+P54+P55</f>
        <v>-92584.2666666667</v>
      </c>
      <c r="Q56" s="70" t="n">
        <f aca="false">Q51+Q52+Q53+Q54+Q55</f>
        <v>-92584.2666666667</v>
      </c>
      <c r="R56" s="70" t="n">
        <f aca="false">R51+R52+R53+R54+R55</f>
        <v>-92584.2666666667</v>
      </c>
      <c r="S56" s="70" t="n">
        <f aca="false">S51+S52+S53+S54+S55</f>
        <v>-92584.2666666667</v>
      </c>
      <c r="T56" s="70" t="n">
        <f aca="false">T51+T52+T53+T54+T55</f>
        <v>-92584.2666666667</v>
      </c>
      <c r="U56" s="70" t="n">
        <f aca="false">U51+U52+U53+U54+U55</f>
        <v>-92584.2666666667</v>
      </c>
      <c r="V56" s="70" t="n">
        <f aca="false">V51+V52+V53+V54+V55</f>
        <v>-92584.2666666667</v>
      </c>
      <c r="W56" s="70" t="n">
        <f aca="false">W51+W52+W53+W54+W55</f>
        <v>-92584.2666666667</v>
      </c>
      <c r="X56" s="70" t="n">
        <f aca="false">X51+X52+X53+X54+X55</f>
        <v>-92584.2666666667</v>
      </c>
      <c r="Y56" s="70" t="n">
        <f aca="false">Y51+Y52+Y53+Y54+Y55</f>
        <v>-92584.2666666667</v>
      </c>
      <c r="Z56" s="70" t="n">
        <f aca="false">Z51+Z52+Z53+Z54+Z55</f>
        <v>-92584.2666666667</v>
      </c>
      <c r="AA56" s="70" t="n">
        <f aca="false">AA51+AA52+AA53+AA54+AA55</f>
        <v>-92745.7946666667</v>
      </c>
      <c r="AB56" s="70" t="n">
        <f aca="false">AB51+AB52+AB53+AB54+AB55</f>
        <v>-92745.7946666667</v>
      </c>
      <c r="AC56" s="70" t="n">
        <f aca="false">AC51+AC52+AC53+AC54+AC55</f>
        <v>-92745.7946666667</v>
      </c>
      <c r="AD56" s="70" t="n">
        <f aca="false">AD51+AD52+AD53+AD54+AD55</f>
        <v>-92745.7946666667</v>
      </c>
      <c r="AE56" s="70" t="n">
        <f aca="false">AE51+AE52+AE53+AE54+AE55</f>
        <v>-92745.7946666667</v>
      </c>
      <c r="AF56" s="70" t="n">
        <f aca="false">AF51+AF52+AF53+AF54+AF55</f>
        <v>-92745.7946666667</v>
      </c>
      <c r="AG56" s="70" t="n">
        <f aca="false">AG51+AG52+AG53+AG54+AG55</f>
        <v>-92745.7946666667</v>
      </c>
      <c r="AH56" s="70" t="n">
        <f aca="false">AH51+AH52+AH53+AH54+AH55</f>
        <v>-92745.7946666667</v>
      </c>
      <c r="AI56" s="70" t="n">
        <f aca="false">AI51+AI52+AI53+AI54+AI55</f>
        <v>-92745.7946666667</v>
      </c>
      <c r="AJ56" s="70" t="n">
        <f aca="false">AJ51+AJ52+AJ53+AJ54+AJ55</f>
        <v>-92745.7946666667</v>
      </c>
      <c r="AK56" s="70" t="n">
        <f aca="false">AK51+AK52+AK53+AK54+AK55</f>
        <v>-92745.7946666667</v>
      </c>
      <c r="AL56" s="70" t="n">
        <f aca="false">AL51+AL52+AL53+AL54+AL55</f>
        <v>-92745.7946666667</v>
      </c>
    </row>
    <row r="57" customFormat="false" ht="15" hidden="false" customHeight="false" outlineLevel="0" collapsed="false">
      <c r="A57" s="113" t="s">
        <v>48</v>
      </c>
      <c r="C57" s="70" t="n">
        <f aca="false">C48+C56</f>
        <v>-71831.5353226667</v>
      </c>
      <c r="D57" s="70" t="n">
        <f aca="false">D48+D56</f>
        <v>-68636.9626738667</v>
      </c>
      <c r="E57" s="70" t="n">
        <f aca="false">E48+E56</f>
        <v>-57943.1807178133</v>
      </c>
      <c r="F57" s="70" t="n">
        <f aca="false">F48+F56</f>
        <v>-53635.2221939227</v>
      </c>
      <c r="G57" s="70" t="n">
        <f aca="false">G48+G56</f>
        <v>-49261.4909402266</v>
      </c>
      <c r="H57" s="70" t="n">
        <f aca="false">H48+H56</f>
        <v>-44825.2755932152</v>
      </c>
      <c r="I57" s="70" t="n">
        <f aca="false">I48+I56</f>
        <v>-40329.7003575545</v>
      </c>
      <c r="J57" s="70" t="n">
        <f aca="false">J48+J56</f>
        <v>-35777.7332276767</v>
      </c>
      <c r="K57" s="70" t="n">
        <f aca="false">K48+K56</f>
        <v>-31172.1937982929</v>
      </c>
      <c r="L57" s="70" t="n">
        <f aca="false">L48+L56</f>
        <v>-26515.7606843783</v>
      </c>
      <c r="M57" s="70" t="n">
        <f aca="false">M48+M56</f>
        <v>-21810.9785701594</v>
      </c>
      <c r="N57" s="70" t="n">
        <f aca="false">N48+N56</f>
        <v>-32152.6421273895</v>
      </c>
      <c r="O57" s="70" t="n">
        <f aca="false">O48+O56</f>
        <v>-27106.3527608356</v>
      </c>
      <c r="P57" s="70" t="n">
        <f aca="false">P48+P56</f>
        <v>-26106.9367121271</v>
      </c>
      <c r="Q57" s="70" t="n">
        <f aca="false">Q48+Q56</f>
        <v>-9326.60283189826</v>
      </c>
      <c r="R57" s="70" t="n">
        <f aca="false">R48+R56</f>
        <v>-8281.25163003666</v>
      </c>
      <c r="S57" s="70" t="n">
        <f aca="false">S48+S56</f>
        <v>-7288.16798826816</v>
      </c>
      <c r="T57" s="70" t="n">
        <f aca="false">T48+T56</f>
        <v>-6344.73852858809</v>
      </c>
      <c r="U57" s="70" t="n">
        <f aca="false">U48+U56</f>
        <v>-5448.48054189203</v>
      </c>
      <c r="V57" s="70" t="n">
        <f aca="false">V48+V56</f>
        <v>-4597.03545453076</v>
      </c>
      <c r="W57" s="70" t="n">
        <f aca="false">W48+W56</f>
        <v>-3788.16262153754</v>
      </c>
      <c r="X57" s="70" t="n">
        <f aca="false">X48+X56</f>
        <v>-3019.73343019401</v>
      </c>
      <c r="Y57" s="70" t="n">
        <f aca="false">Y48+Y56</f>
        <v>-2289.72569841763</v>
      </c>
      <c r="Z57" s="70" t="n">
        <f aca="false">Z48+Z56</f>
        <v>-16785.4126136343</v>
      </c>
      <c r="AA57" s="70" t="n">
        <f aca="false">AA48+AA56</f>
        <v>-16143.2928185351</v>
      </c>
      <c r="AB57" s="70" t="n">
        <f aca="false">AB48+AB56</f>
        <v>-15682.6678928937</v>
      </c>
      <c r="AC57" s="70" t="n">
        <f aca="false">AC48+AC56</f>
        <v>-161.385477486867</v>
      </c>
      <c r="AD57" s="70" t="n">
        <f aca="false">AD48+AD56</f>
        <v>433.813208782129</v>
      </c>
      <c r="AE57" s="70" t="n">
        <f aca="false">AE48+AE56</f>
        <v>999.251960737704</v>
      </c>
      <c r="AF57" s="70" t="n">
        <f aca="false">AF48+AF56</f>
        <v>1536.41877509547</v>
      </c>
      <c r="AG57" s="70" t="n">
        <f aca="false">AG48+AG56</f>
        <v>2046.72724873536</v>
      </c>
      <c r="AH57" s="70" t="n">
        <f aca="false">AH48+AH56</f>
        <v>2531.52029869326</v>
      </c>
      <c r="AI57" s="70" t="n">
        <f aca="false">AI48+AI56</f>
        <v>2992.07369615325</v>
      </c>
      <c r="AJ57" s="70" t="n">
        <f aca="false">AJ48+AJ56</f>
        <v>3429.59942374026</v>
      </c>
      <c r="AK57" s="70" t="n">
        <f aca="false">AK48+AK56</f>
        <v>3845.24886494792</v>
      </c>
      <c r="AL57" s="70" t="n">
        <f aca="false">AL48+AL56</f>
        <v>-10463.6071715653</v>
      </c>
    </row>
    <row r="59" customFormat="false" ht="15.75" hidden="false" customHeight="true" outlineLevel="0" collapsed="false">
      <c r="A59" s="7" t="s">
        <v>417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4" t="s">
        <v>79</v>
      </c>
      <c r="C60" s="75" t="n">
        <f aca="false">C57+C77</f>
        <v>-100303.757544889</v>
      </c>
      <c r="D60" s="75" t="n">
        <f aca="false">D57+D77</f>
        <v>-97109.1848960889</v>
      </c>
      <c r="E60" s="75" t="n">
        <f aca="false">E57+E77</f>
        <v>-86415.4029400356</v>
      </c>
      <c r="F60" s="75" t="n">
        <f aca="false">F57+F77</f>
        <v>-82107.4444161449</v>
      </c>
      <c r="G60" s="75" t="n">
        <f aca="false">G57+G77</f>
        <v>-77733.7131624488</v>
      </c>
      <c r="H60" s="75" t="n">
        <f aca="false">H57+H77</f>
        <v>-73297.4978154374</v>
      </c>
      <c r="I60" s="75" t="n">
        <f aca="false">I57+I77</f>
        <v>-68801.9225797767</v>
      </c>
      <c r="J60" s="75" t="n">
        <f aca="false">J57+J77</f>
        <v>-64249.955449899</v>
      </c>
      <c r="K60" s="75" t="n">
        <f aca="false">K57+K77</f>
        <v>-59644.4160205151</v>
      </c>
      <c r="L60" s="75" t="n">
        <f aca="false">L57+L77</f>
        <v>-54987.9829066005</v>
      </c>
      <c r="M60" s="75" t="n">
        <f aca="false">M57+M77</f>
        <v>-50283.2007923816</v>
      </c>
      <c r="N60" s="75" t="n">
        <f aca="false">N57+N77</f>
        <v>-60624.8643496117</v>
      </c>
      <c r="O60" s="75" t="n">
        <f aca="false">O57+O77</f>
        <v>-55856.3527608356</v>
      </c>
      <c r="P60" s="75" t="n">
        <f aca="false">P57+P77</f>
        <v>-54856.9367121271</v>
      </c>
      <c r="Q60" s="75" t="n">
        <f aca="false">Q57+Q77</f>
        <v>-38076.6028318983</v>
      </c>
      <c r="R60" s="75" t="n">
        <f aca="false">R57+R77</f>
        <v>-37031.2516300367</v>
      </c>
      <c r="S60" s="75" t="n">
        <f aca="false">S57+S77</f>
        <v>-36038.1679882682</v>
      </c>
      <c r="T60" s="75" t="n">
        <f aca="false">T57+T77</f>
        <v>-35094.7385285881</v>
      </c>
      <c r="U60" s="75" t="n">
        <f aca="false">U57+U77</f>
        <v>-34198.480541892</v>
      </c>
      <c r="V60" s="75" t="n">
        <f aca="false">V57+V77</f>
        <v>-33347.0354545308</v>
      </c>
      <c r="W60" s="75" t="n">
        <f aca="false">W57+W77</f>
        <v>-32538.1626215375</v>
      </c>
      <c r="X60" s="75" t="n">
        <f aca="false">X57+X77</f>
        <v>-31769.733430194</v>
      </c>
      <c r="Y60" s="75" t="n">
        <f aca="false">Y57+Y77</f>
        <v>-31039.7256984176</v>
      </c>
      <c r="Z60" s="75" t="n">
        <f aca="false">Z57+Z77</f>
        <v>-45535.4126136343</v>
      </c>
      <c r="AA60" s="75" t="n">
        <f aca="false">AA57+AA77</f>
        <v>-45171.0705963129</v>
      </c>
      <c r="AB60" s="75" t="n">
        <f aca="false">AB57+AB77</f>
        <v>-44710.4456706715</v>
      </c>
      <c r="AC60" s="75" t="n">
        <f aca="false">AC57+AC77</f>
        <v>-29189.1632552646</v>
      </c>
      <c r="AD60" s="75" t="n">
        <f aca="false">AD57+AD77</f>
        <v>-28593.9645689957</v>
      </c>
      <c r="AE60" s="75" t="n">
        <f aca="false">AE57+AE77</f>
        <v>-28028.5258170401</v>
      </c>
      <c r="AF60" s="75" t="n">
        <f aca="false">AF57+AF77</f>
        <v>-27491.3590026823</v>
      </c>
      <c r="AG60" s="75" t="n">
        <f aca="false">AG57+AG77</f>
        <v>-26981.0505290424</v>
      </c>
      <c r="AH60" s="75" t="n">
        <f aca="false">AH57+AH77</f>
        <v>-26496.2574790845</v>
      </c>
      <c r="AI60" s="75" t="n">
        <f aca="false">AI57+AI77</f>
        <v>-26035.7040816245</v>
      </c>
      <c r="AJ60" s="75" t="n">
        <f aca="false">AJ57+AJ77</f>
        <v>-25598.1783540375</v>
      </c>
      <c r="AK60" s="75" t="n">
        <f aca="false">AK57+AK77</f>
        <v>-25182.5289128299</v>
      </c>
      <c r="AL60" s="75" t="n">
        <f aca="false">AL57+AL77</f>
        <v>-39491.3849493431</v>
      </c>
    </row>
    <row r="61" customFormat="false" ht="15" hidden="false" customHeight="false" outlineLevel="0" collapsed="false">
      <c r="A61" s="6" t="s">
        <v>418</v>
      </c>
      <c r="C61" s="69" t="n">
        <f aca="false">-(C82+C83+C85)/2*Inputs!$B$71/12</f>
        <v>-21250</v>
      </c>
      <c r="D61" s="69" t="n">
        <f aca="false">-(D82+D83+D85)/2*Inputs!$B$71/12</f>
        <v>-21161.4583333333</v>
      </c>
      <c r="E61" s="69" t="n">
        <f aca="false">-(E82+E83+E85)/2*Inputs!$B$71/12</f>
        <v>-20984.375</v>
      </c>
      <c r="F61" s="69" t="n">
        <f aca="false">-(F82+F83+F85)/2*Inputs!$B$71/12</f>
        <v>-20807.2916666667</v>
      </c>
      <c r="G61" s="69" t="n">
        <f aca="false">-(G82+G83+G85)/2*Inputs!$B$71/12</f>
        <v>-20630.2083333333</v>
      </c>
      <c r="H61" s="69" t="n">
        <f aca="false">-(H82+H83+H85)/2*Inputs!$B$71/12</f>
        <v>-20453.125</v>
      </c>
      <c r="I61" s="69" t="n">
        <f aca="false">-(I82+I83+I85)/2*Inputs!$B$71/12</f>
        <v>-20276.0416666667</v>
      </c>
      <c r="J61" s="69" t="n">
        <f aca="false">-(J82+J83+J85)/2*Inputs!$B$71/12</f>
        <v>-20098.9583333333</v>
      </c>
      <c r="K61" s="69" t="n">
        <f aca="false">-(K82+K83+K85)/2*Inputs!$B$71/12</f>
        <v>-19921.875</v>
      </c>
      <c r="L61" s="69" t="n">
        <f aca="false">-(L82+L83+L85)/2*Inputs!$B$71/12</f>
        <v>-19744.7916666667</v>
      </c>
      <c r="M61" s="69" t="n">
        <f aca="false">-(M82+M83+M85)/2*Inputs!$B$71/12</f>
        <v>-19567.7083333333</v>
      </c>
      <c r="N61" s="69" t="n">
        <f aca="false">-(N82+N83+N85)/2*Inputs!$B$71/12</f>
        <v>-19390.625</v>
      </c>
      <c r="O61" s="69" t="n">
        <f aca="false">-(O82+O83+O85)/2*Inputs!$B$71/12</f>
        <v>-19213.5416666667</v>
      </c>
      <c r="P61" s="69" t="n">
        <f aca="false">-(P82+P83+P85)/2*Inputs!$B$71/12</f>
        <v>-19036.4583333333</v>
      </c>
      <c r="Q61" s="69" t="n">
        <f aca="false">-(Q82+Q83+Q85)/2*Inputs!$B$71/12</f>
        <v>-18859.375</v>
      </c>
      <c r="R61" s="69" t="n">
        <f aca="false">-(R82+R83+R85)/2*Inputs!$B$71/12</f>
        <v>-18682.2916666667</v>
      </c>
      <c r="S61" s="69" t="n">
        <f aca="false">-(S82+S83+S85)/2*Inputs!$B$71/12</f>
        <v>-18505.2083333333</v>
      </c>
      <c r="T61" s="69" t="n">
        <f aca="false">-(T82+T83+T85)/2*Inputs!$B$71/12</f>
        <v>-18328.125</v>
      </c>
      <c r="U61" s="69" t="n">
        <f aca="false">-(U82+U83+U85)/2*Inputs!$B$71/12</f>
        <v>-18151.0416666667</v>
      </c>
      <c r="V61" s="69" t="n">
        <f aca="false">-(V82+V83+V85)/2*Inputs!$B$71/12</f>
        <v>-17973.9583333333</v>
      </c>
      <c r="W61" s="69" t="n">
        <f aca="false">-(W82+W83+W85)/2*Inputs!$B$71/12</f>
        <v>-17796.875</v>
      </c>
      <c r="X61" s="69" t="n">
        <f aca="false">-(X82+X83+X85)/2*Inputs!$B$71/12</f>
        <v>-17619.7916666667</v>
      </c>
      <c r="Y61" s="69" t="n">
        <f aca="false">-(Y82+Y83+Y85)/2*Inputs!$B$71/12</f>
        <v>-17442.7083333333</v>
      </c>
      <c r="Z61" s="69" t="n">
        <f aca="false">-(Z82+Z83+Z85)/2*Inputs!$B$71/12</f>
        <v>-17265.625</v>
      </c>
      <c r="AA61" s="69" t="n">
        <f aca="false">-(AA82+AA83+AA85)/2*Inputs!$B$71/12</f>
        <v>-17088.5416666667</v>
      </c>
      <c r="AB61" s="69" t="n">
        <f aca="false">-(AB82+AB83+AB85)/2*Inputs!$B$71/12</f>
        <v>-16911.4583333333</v>
      </c>
      <c r="AC61" s="69" t="n">
        <f aca="false">-(AC82+AC83+AC85)/2*Inputs!$B$71/12</f>
        <v>-16734.375</v>
      </c>
      <c r="AD61" s="69" t="n">
        <f aca="false">-(AD82+AD83+AD85)/2*Inputs!$B$71/12</f>
        <v>-16557.2916666667</v>
      </c>
      <c r="AE61" s="69" t="n">
        <f aca="false">-(AE82+AE83+AE85)/2*Inputs!$B$71/12</f>
        <v>-16380.2083333333</v>
      </c>
      <c r="AF61" s="69" t="n">
        <f aca="false">-(AF82+AF83+AF85)/2*Inputs!$B$71/12</f>
        <v>-16203.125</v>
      </c>
      <c r="AG61" s="69" t="n">
        <f aca="false">-(AG82+AG83+AG85)/2*Inputs!$B$71/12</f>
        <v>-16026.0416666667</v>
      </c>
      <c r="AH61" s="69" t="n">
        <f aca="false">-(AH82+AH83+AH85)/2*Inputs!$B$71/12</f>
        <v>-15848.9583333333</v>
      </c>
      <c r="AI61" s="69" t="n">
        <f aca="false">-(AI82+AI83+AI85)/2*Inputs!$B$71/12</f>
        <v>-15671.875</v>
      </c>
      <c r="AJ61" s="69" t="n">
        <f aca="false">-(AJ82+AJ83+AJ85)/2*Inputs!$B$71/12</f>
        <v>-15494.7916666667</v>
      </c>
      <c r="AK61" s="69" t="n">
        <f aca="false">-(AK82+AK83+AK85)/2*Inputs!$B$71/12</f>
        <v>-15317.7083333333</v>
      </c>
      <c r="AL61" s="69" t="n">
        <f aca="false">-(AL82+AL83+AL85)/2*Inputs!$B$71/12</f>
        <v>-15140.625</v>
      </c>
    </row>
    <row r="62" customFormat="false" ht="15" hidden="false" customHeight="false" outlineLevel="0" collapsed="false">
      <c r="A62" s="113" t="s">
        <v>81</v>
      </c>
      <c r="C62" s="70" t="n">
        <f aca="false">C60+C61</f>
        <v>-121553.757544889</v>
      </c>
      <c r="D62" s="70" t="n">
        <f aca="false">D60+D61</f>
        <v>-118270.643229422</v>
      </c>
      <c r="E62" s="70" t="n">
        <f aca="false">E60+E61</f>
        <v>-107399.777940036</v>
      </c>
      <c r="F62" s="70" t="n">
        <f aca="false">F60+F61</f>
        <v>-102914.736082812</v>
      </c>
      <c r="G62" s="70" t="n">
        <f aca="false">G60+G61</f>
        <v>-98363.9214957821</v>
      </c>
      <c r="H62" s="70" t="n">
        <f aca="false">H60+H61</f>
        <v>-93750.6228154374</v>
      </c>
      <c r="I62" s="70" t="n">
        <f aca="false">I60+I61</f>
        <v>-89077.9642464434</v>
      </c>
      <c r="J62" s="70" t="n">
        <f aca="false">J60+J61</f>
        <v>-84348.9137832323</v>
      </c>
      <c r="K62" s="70" t="n">
        <f aca="false">K60+K61</f>
        <v>-79566.2910205151</v>
      </c>
      <c r="L62" s="70" t="n">
        <f aca="false">L60+L61</f>
        <v>-74732.7745732672</v>
      </c>
      <c r="M62" s="70" t="n">
        <f aca="false">M60+M61</f>
        <v>-69850.9091257149</v>
      </c>
      <c r="N62" s="70" t="n">
        <f aca="false">N60+N61</f>
        <v>-80015.4893496117</v>
      </c>
      <c r="O62" s="70" t="n">
        <f aca="false">O60+O61</f>
        <v>-75069.8944275023</v>
      </c>
      <c r="P62" s="70" t="n">
        <f aca="false">P60+P61</f>
        <v>-73893.3950454605</v>
      </c>
      <c r="Q62" s="70" t="n">
        <f aca="false">Q60+Q61</f>
        <v>-56935.9778318983</v>
      </c>
      <c r="R62" s="70" t="n">
        <f aca="false">R60+R61</f>
        <v>-55713.5432967033</v>
      </c>
      <c r="S62" s="70" t="n">
        <f aca="false">S60+S61</f>
        <v>-54543.3763216015</v>
      </c>
      <c r="T62" s="70" t="n">
        <f aca="false">T60+T61</f>
        <v>-53422.8635285881</v>
      </c>
      <c r="U62" s="70" t="n">
        <f aca="false">U60+U61</f>
        <v>-52349.5222085587</v>
      </c>
      <c r="V62" s="70" t="n">
        <f aca="false">V60+V61</f>
        <v>-51320.9937878641</v>
      </c>
      <c r="W62" s="70" t="n">
        <f aca="false">W60+W61</f>
        <v>-50335.0376215375</v>
      </c>
      <c r="X62" s="70" t="n">
        <f aca="false">X60+X61</f>
        <v>-49389.5250968607</v>
      </c>
      <c r="Y62" s="70" t="n">
        <f aca="false">Y60+Y61</f>
        <v>-48482.434031751</v>
      </c>
      <c r="Z62" s="70" t="n">
        <f aca="false">Z60+Z61</f>
        <v>-62801.0376136343</v>
      </c>
      <c r="AA62" s="70" t="n">
        <f aca="false">AA60+AA61</f>
        <v>-62259.6122629796</v>
      </c>
      <c r="AB62" s="70" t="n">
        <f aca="false">AB60+AB61</f>
        <v>-61621.9040040048</v>
      </c>
      <c r="AC62" s="70" t="n">
        <f aca="false">AC60+AC61</f>
        <v>-45923.5382552647</v>
      </c>
      <c r="AD62" s="70" t="n">
        <f aca="false">AD60+AD61</f>
        <v>-45151.2562356623</v>
      </c>
      <c r="AE62" s="70" t="n">
        <f aca="false">AE60+AE61</f>
        <v>-44408.7341503734</v>
      </c>
      <c r="AF62" s="70" t="n">
        <f aca="false">AF60+AF61</f>
        <v>-43694.4840026823</v>
      </c>
      <c r="AG62" s="70" t="n">
        <f aca="false">AG60+AG61</f>
        <v>-43007.0921957091</v>
      </c>
      <c r="AH62" s="70" t="n">
        <f aca="false">AH60+AH61</f>
        <v>-42345.2158124179</v>
      </c>
      <c r="AI62" s="70" t="n">
        <f aca="false">AI60+AI61</f>
        <v>-41707.5790816245</v>
      </c>
      <c r="AJ62" s="70" t="n">
        <f aca="false">AJ60+AJ61</f>
        <v>-41092.9700207042</v>
      </c>
      <c r="AK62" s="70" t="n">
        <f aca="false">AK60+AK61</f>
        <v>-40500.2372461632</v>
      </c>
      <c r="AL62" s="70" t="n">
        <f aca="false">AL60+AL61</f>
        <v>-54632.0099493431</v>
      </c>
    </row>
    <row r="63" customFormat="false" ht="15" hidden="false" customHeight="false" outlineLevel="0" collapsed="false">
      <c r="A63" s="116" t="s">
        <v>419</v>
      </c>
      <c r="C63" s="69" t="n">
        <f aca="false">C62</f>
        <v>-121553.757544889</v>
      </c>
      <c r="D63" s="69" t="n">
        <f aca="false">C63+D62</f>
        <v>-239824.400774311</v>
      </c>
      <c r="E63" s="69" t="n">
        <f aca="false">D63+E62</f>
        <v>-347224.178714347</v>
      </c>
      <c r="F63" s="69" t="n">
        <f aca="false">E63+F62</f>
        <v>-450138.914797158</v>
      </c>
      <c r="G63" s="69" t="n">
        <f aca="false">F63+G62</f>
        <v>-548502.83629294</v>
      </c>
      <c r="H63" s="69" t="n">
        <f aca="false">G63+H62</f>
        <v>-642253.459108378</v>
      </c>
      <c r="I63" s="69" t="n">
        <f aca="false">H63+I62</f>
        <v>-731331.423354821</v>
      </c>
      <c r="J63" s="69" t="n">
        <f aca="false">I63+J62</f>
        <v>-815680.337138053</v>
      </c>
      <c r="K63" s="69" t="n">
        <f aca="false">J63+K62</f>
        <v>-895246.628158569</v>
      </c>
      <c r="L63" s="69" t="n">
        <f aca="false">K63+L62</f>
        <v>-969979.402731836</v>
      </c>
      <c r="M63" s="69" t="n">
        <f aca="false">L63+M62</f>
        <v>-1039830.31185755</v>
      </c>
      <c r="N63" s="69" t="n">
        <f aca="false">M63+N62</f>
        <v>-1119845.80120716</v>
      </c>
      <c r="O63" s="69" t="n">
        <f aca="false">N63+O62</f>
        <v>-1194915.69563466</v>
      </c>
      <c r="P63" s="69" t="n">
        <f aca="false">O63+P62</f>
        <v>-1268809.09068013</v>
      </c>
      <c r="Q63" s="69" t="n">
        <f aca="false">P63+Q62</f>
        <v>-1325745.06851202</v>
      </c>
      <c r="R63" s="69" t="n">
        <f aca="false">Q63+R62</f>
        <v>-1381458.61180873</v>
      </c>
      <c r="S63" s="69" t="n">
        <f aca="false">R63+S62</f>
        <v>-1436001.98813033</v>
      </c>
      <c r="T63" s="69" t="n">
        <f aca="false">S63+T62</f>
        <v>-1489424.85165892</v>
      </c>
      <c r="U63" s="69" t="n">
        <f aca="false">T63+U62</f>
        <v>-1541774.37386748</v>
      </c>
      <c r="V63" s="69" t="n">
        <f aca="false">U63+V62</f>
        <v>-1593095.36765534</v>
      </c>
      <c r="W63" s="69" t="n">
        <f aca="false">V63+W62</f>
        <v>-1643430.40527688</v>
      </c>
      <c r="X63" s="69" t="n">
        <f aca="false">W63+X62</f>
        <v>-1692819.93037374</v>
      </c>
      <c r="Y63" s="69" t="n">
        <f aca="false">X63+Y62</f>
        <v>-1741302.36440549</v>
      </c>
      <c r="Z63" s="69" t="n">
        <f aca="false">Y63+Z62</f>
        <v>-1804103.40201912</v>
      </c>
      <c r="AA63" s="69" t="n">
        <f aca="false">Z63+AA62</f>
        <v>-1866363.0142821</v>
      </c>
      <c r="AB63" s="69" t="n">
        <f aca="false">AA63+AB62</f>
        <v>-1927984.91828611</v>
      </c>
      <c r="AC63" s="69" t="n">
        <f aca="false">AB63+AC62</f>
        <v>-1973908.45654137</v>
      </c>
      <c r="AD63" s="69" t="n">
        <f aca="false">AC63+AD62</f>
        <v>-2019059.71277703</v>
      </c>
      <c r="AE63" s="69" t="n">
        <f aca="false">AD63+AE62</f>
        <v>-2063468.44692741</v>
      </c>
      <c r="AF63" s="69" t="n">
        <f aca="false">AE63+AF62</f>
        <v>-2107162.93093009</v>
      </c>
      <c r="AG63" s="69" t="n">
        <f aca="false">AF63+AG62</f>
        <v>-2150170.0231258</v>
      </c>
      <c r="AH63" s="69" t="n">
        <f aca="false">AG63+AH62</f>
        <v>-2192515.23893822</v>
      </c>
      <c r="AI63" s="69" t="n">
        <f aca="false">AH63+AI62</f>
        <v>-2234222.81801984</v>
      </c>
      <c r="AJ63" s="69" t="n">
        <f aca="false">AI63+AJ62</f>
        <v>-2275315.78804055</v>
      </c>
      <c r="AK63" s="69" t="n">
        <f aca="false">AJ63+AK62</f>
        <v>-2315816.02528671</v>
      </c>
      <c r="AL63" s="69" t="n">
        <f aca="false">AK63+AL62</f>
        <v>-2370448.03523605</v>
      </c>
    </row>
    <row r="64" customFormat="false" ht="15" hidden="false" customHeight="false" outlineLevel="0" collapsed="false">
      <c r="A64" s="116" t="s">
        <v>420</v>
      </c>
      <c r="C64" s="69" t="n">
        <f aca="false">MAX(0,C63)</f>
        <v>0</v>
      </c>
      <c r="D64" s="69" t="n">
        <f aca="false">MAX(C64,D63)</f>
        <v>0</v>
      </c>
      <c r="E64" s="69" t="n">
        <f aca="false">MAX(D64,E63)</f>
        <v>0</v>
      </c>
      <c r="F64" s="69" t="n">
        <f aca="false">MAX(E64,F63)</f>
        <v>0</v>
      </c>
      <c r="G64" s="69" t="n">
        <f aca="false">MAX(F64,G63)</f>
        <v>0</v>
      </c>
      <c r="H64" s="69" t="n">
        <f aca="false">MAX(G64,H63)</f>
        <v>0</v>
      </c>
      <c r="I64" s="69" t="n">
        <f aca="false">MAX(H64,I63)</f>
        <v>0</v>
      </c>
      <c r="J64" s="69" t="n">
        <f aca="false">MAX(I64,J63)</f>
        <v>0</v>
      </c>
      <c r="K64" s="69" t="n">
        <f aca="false">MAX(J64,K63)</f>
        <v>0</v>
      </c>
      <c r="L64" s="69" t="n">
        <f aca="false">MAX(K64,L63)</f>
        <v>0</v>
      </c>
      <c r="M64" s="69" t="n">
        <f aca="false">MAX(L64,M63)</f>
        <v>0</v>
      </c>
      <c r="N64" s="69" t="n">
        <f aca="false">MAX(M64,N63)</f>
        <v>0</v>
      </c>
      <c r="O64" s="69" t="n">
        <f aca="false">MAX(N64,O63)</f>
        <v>0</v>
      </c>
      <c r="P64" s="69" t="n">
        <f aca="false">MAX(O64,P63)</f>
        <v>0</v>
      </c>
      <c r="Q64" s="69" t="n">
        <f aca="false">MAX(P64,Q63)</f>
        <v>0</v>
      </c>
      <c r="R64" s="69" t="n">
        <f aca="false">MAX(Q64,R63)</f>
        <v>0</v>
      </c>
      <c r="S64" s="69" t="n">
        <f aca="false">MAX(R64,S63)</f>
        <v>0</v>
      </c>
      <c r="T64" s="69" t="n">
        <f aca="false">MAX(S64,T63)</f>
        <v>0</v>
      </c>
      <c r="U64" s="69" t="n">
        <f aca="false">MAX(T64,U63)</f>
        <v>0</v>
      </c>
      <c r="V64" s="69" t="n">
        <f aca="false">MAX(U64,V63)</f>
        <v>0</v>
      </c>
      <c r="W64" s="69" t="n">
        <f aca="false">MAX(V64,W63)</f>
        <v>0</v>
      </c>
      <c r="X64" s="69" t="n">
        <f aca="false">MAX(W64,X63)</f>
        <v>0</v>
      </c>
      <c r="Y64" s="69" t="n">
        <f aca="false">MAX(X64,Y63)</f>
        <v>0</v>
      </c>
      <c r="Z64" s="69" t="n">
        <f aca="false">MAX(Y64,Z63)</f>
        <v>0</v>
      </c>
      <c r="AA64" s="69" t="n">
        <f aca="false">MAX(Z64,AA63)</f>
        <v>0</v>
      </c>
      <c r="AB64" s="69" t="n">
        <f aca="false">MAX(AA64,AB63)</f>
        <v>0</v>
      </c>
      <c r="AC64" s="69" t="n">
        <f aca="false">MAX(AB64,AC63)</f>
        <v>0</v>
      </c>
      <c r="AD64" s="69" t="n">
        <f aca="false">MAX(AC64,AD63)</f>
        <v>0</v>
      </c>
      <c r="AE64" s="69" t="n">
        <f aca="false">MAX(AD64,AE63)</f>
        <v>0</v>
      </c>
      <c r="AF64" s="69" t="n">
        <f aca="false">MAX(AE64,AF63)</f>
        <v>0</v>
      </c>
      <c r="AG64" s="69" t="n">
        <f aca="false">MAX(AF64,AG63)</f>
        <v>0</v>
      </c>
      <c r="AH64" s="69" t="n">
        <f aca="false">MAX(AG64,AH63)</f>
        <v>0</v>
      </c>
      <c r="AI64" s="69" t="n">
        <f aca="false">MAX(AH64,AI63)</f>
        <v>0</v>
      </c>
      <c r="AJ64" s="69" t="n">
        <f aca="false">MAX(AI64,AJ63)</f>
        <v>0</v>
      </c>
      <c r="AK64" s="69" t="n">
        <f aca="false">MAX(AJ64,AK63)</f>
        <v>0</v>
      </c>
      <c r="AL64" s="69" t="n">
        <f aca="false">MAX(AK64,AL63)</f>
        <v>0</v>
      </c>
    </row>
    <row r="65" customFormat="false" ht="15" hidden="false" customHeight="false" outlineLevel="0" collapsed="false">
      <c r="A65" s="6" t="s">
        <v>82</v>
      </c>
      <c r="C65" s="69" t="n">
        <f aca="false">-C64*Inputs!$B$81</f>
        <v>-0</v>
      </c>
      <c r="D65" s="69" t="n">
        <f aca="false">-(D64-C64)*Inputs!$B$81</f>
        <v>-0</v>
      </c>
      <c r="E65" s="69" t="n">
        <f aca="false">-(E64-D64)*Inputs!$B$81</f>
        <v>-0</v>
      </c>
      <c r="F65" s="69" t="n">
        <f aca="false">-(F64-E64)*Inputs!$B$81</f>
        <v>-0</v>
      </c>
      <c r="G65" s="69" t="n">
        <f aca="false">-(G64-F64)*Inputs!$B$81</f>
        <v>-0</v>
      </c>
      <c r="H65" s="69" t="n">
        <f aca="false">-(H64-G64)*Inputs!$B$81</f>
        <v>-0</v>
      </c>
      <c r="I65" s="69" t="n">
        <f aca="false">-(I64-H64)*Inputs!$B$81</f>
        <v>-0</v>
      </c>
      <c r="J65" s="69" t="n">
        <f aca="false">-(J64-I64)*Inputs!$B$81</f>
        <v>-0</v>
      </c>
      <c r="K65" s="69" t="n">
        <f aca="false">-(K64-J64)*Inputs!$B$81</f>
        <v>-0</v>
      </c>
      <c r="L65" s="69" t="n">
        <f aca="false">-(L64-K64)*Inputs!$B$81</f>
        <v>-0</v>
      </c>
      <c r="M65" s="69" t="n">
        <f aca="false">-(M64-L64)*Inputs!$B$81</f>
        <v>-0</v>
      </c>
      <c r="N65" s="69" t="n">
        <f aca="false">-(N64-M64)*Inputs!$B$81</f>
        <v>-0</v>
      </c>
      <c r="O65" s="69" t="n">
        <f aca="false">-(O64-N64)*Inputs!$B$81</f>
        <v>-0</v>
      </c>
      <c r="P65" s="69" t="n">
        <f aca="false">-(P64-O64)*Inputs!$B$81</f>
        <v>-0</v>
      </c>
      <c r="Q65" s="69" t="n">
        <f aca="false">-(Q64-P64)*Inputs!$B$81</f>
        <v>-0</v>
      </c>
      <c r="R65" s="69" t="n">
        <f aca="false">-(R64-Q64)*Inputs!$B$81</f>
        <v>-0</v>
      </c>
      <c r="S65" s="69" t="n">
        <f aca="false">-(S64-R64)*Inputs!$B$81</f>
        <v>-0</v>
      </c>
      <c r="T65" s="69" t="n">
        <f aca="false">-(T64-S64)*Inputs!$B$81</f>
        <v>-0</v>
      </c>
      <c r="U65" s="69" t="n">
        <f aca="false">-(U64-T64)*Inputs!$B$81</f>
        <v>-0</v>
      </c>
      <c r="V65" s="69" t="n">
        <f aca="false">-(V64-U64)*Inputs!$B$81</f>
        <v>-0</v>
      </c>
      <c r="W65" s="69" t="n">
        <f aca="false">-(W64-V64)*Inputs!$B$81</f>
        <v>-0</v>
      </c>
      <c r="X65" s="69" t="n">
        <f aca="false">-(X64-W64)*Inputs!$B$81</f>
        <v>-0</v>
      </c>
      <c r="Y65" s="69" t="n">
        <f aca="false">-(Y64-X64)*Inputs!$B$81</f>
        <v>-0</v>
      </c>
      <c r="Z65" s="69" t="n">
        <f aca="false">-(Z64-Y64)*Inputs!$B$81</f>
        <v>-0</v>
      </c>
      <c r="AA65" s="69" t="n">
        <f aca="false">-(AA64-Z64)*Inputs!$B$81</f>
        <v>-0</v>
      </c>
      <c r="AB65" s="69" t="n">
        <f aca="false">-(AB64-AA64)*Inputs!$B$81</f>
        <v>-0</v>
      </c>
      <c r="AC65" s="69" t="n">
        <f aca="false">-(AC64-AB64)*Inputs!$B$81</f>
        <v>-0</v>
      </c>
      <c r="AD65" s="69" t="n">
        <f aca="false">-(AD64-AC64)*Inputs!$B$81</f>
        <v>-0</v>
      </c>
      <c r="AE65" s="69" t="n">
        <f aca="false">-(AE64-AD64)*Inputs!$B$81</f>
        <v>-0</v>
      </c>
      <c r="AF65" s="69" t="n">
        <f aca="false">-(AF64-AE64)*Inputs!$B$81</f>
        <v>-0</v>
      </c>
      <c r="AG65" s="69" t="n">
        <f aca="false">-(AG64-AF64)*Inputs!$B$81</f>
        <v>-0</v>
      </c>
      <c r="AH65" s="69" t="n">
        <f aca="false">-(AH64-AG64)*Inputs!$B$81</f>
        <v>-0</v>
      </c>
      <c r="AI65" s="69" t="n">
        <f aca="false">-(AI64-AH64)*Inputs!$B$81</f>
        <v>-0</v>
      </c>
      <c r="AJ65" s="69" t="n">
        <f aca="false">-(AJ64-AI64)*Inputs!$B$81</f>
        <v>-0</v>
      </c>
      <c r="AK65" s="69" t="n">
        <f aca="false">-(AK64-AJ64)*Inputs!$B$81</f>
        <v>-0</v>
      </c>
      <c r="AL65" s="69" t="n">
        <f aca="false">-(AL64-AK64)*Inputs!$B$81</f>
        <v>-0</v>
      </c>
    </row>
    <row r="66" customFormat="false" ht="15" hidden="false" customHeight="false" outlineLevel="0" collapsed="false">
      <c r="A66" s="113" t="s">
        <v>50</v>
      </c>
      <c r="C66" s="70" t="n">
        <f aca="false">C62+C65</f>
        <v>-121553.757544889</v>
      </c>
      <c r="D66" s="70" t="n">
        <f aca="false">D62+D65</f>
        <v>-118270.643229422</v>
      </c>
      <c r="E66" s="70" t="n">
        <f aca="false">E62+E65</f>
        <v>-107399.777940036</v>
      </c>
      <c r="F66" s="70" t="n">
        <f aca="false">F62+F65</f>
        <v>-102914.736082812</v>
      </c>
      <c r="G66" s="70" t="n">
        <f aca="false">G62+G65</f>
        <v>-98363.9214957821</v>
      </c>
      <c r="H66" s="70" t="n">
        <f aca="false">H62+H65</f>
        <v>-93750.6228154374</v>
      </c>
      <c r="I66" s="70" t="n">
        <f aca="false">I62+I65</f>
        <v>-89077.9642464434</v>
      </c>
      <c r="J66" s="70" t="n">
        <f aca="false">J62+J65</f>
        <v>-84348.9137832323</v>
      </c>
      <c r="K66" s="70" t="n">
        <f aca="false">K62+K65</f>
        <v>-79566.2910205151</v>
      </c>
      <c r="L66" s="70" t="n">
        <f aca="false">L62+L65</f>
        <v>-74732.7745732672</v>
      </c>
      <c r="M66" s="70" t="n">
        <f aca="false">M62+M65</f>
        <v>-69850.9091257149</v>
      </c>
      <c r="N66" s="70" t="n">
        <f aca="false">N62+N65</f>
        <v>-80015.4893496117</v>
      </c>
      <c r="O66" s="70" t="n">
        <f aca="false">O62+O65</f>
        <v>-75069.8944275023</v>
      </c>
      <c r="P66" s="70" t="n">
        <f aca="false">P62+P65</f>
        <v>-73893.3950454605</v>
      </c>
      <c r="Q66" s="70" t="n">
        <f aca="false">Q62+Q65</f>
        <v>-56935.9778318983</v>
      </c>
      <c r="R66" s="70" t="n">
        <f aca="false">R62+R65</f>
        <v>-55713.5432967033</v>
      </c>
      <c r="S66" s="70" t="n">
        <f aca="false">S62+S65</f>
        <v>-54543.3763216015</v>
      </c>
      <c r="T66" s="70" t="n">
        <f aca="false">T62+T65</f>
        <v>-53422.8635285881</v>
      </c>
      <c r="U66" s="70" t="n">
        <f aca="false">U62+U65</f>
        <v>-52349.5222085587</v>
      </c>
      <c r="V66" s="70" t="n">
        <f aca="false">V62+V65</f>
        <v>-51320.9937878641</v>
      </c>
      <c r="W66" s="70" t="n">
        <f aca="false">W62+W65</f>
        <v>-50335.0376215375</v>
      </c>
      <c r="X66" s="70" t="n">
        <f aca="false">X62+X65</f>
        <v>-49389.5250968607</v>
      </c>
      <c r="Y66" s="70" t="n">
        <f aca="false">Y62+Y65</f>
        <v>-48482.434031751</v>
      </c>
      <c r="Z66" s="70" t="n">
        <f aca="false">Z62+Z65</f>
        <v>-62801.0376136343</v>
      </c>
      <c r="AA66" s="70" t="n">
        <f aca="false">AA62+AA65</f>
        <v>-62259.6122629796</v>
      </c>
      <c r="AB66" s="70" t="n">
        <f aca="false">AB62+AB65</f>
        <v>-61621.9040040048</v>
      </c>
      <c r="AC66" s="70" t="n">
        <f aca="false">AC62+AC65</f>
        <v>-45923.5382552647</v>
      </c>
      <c r="AD66" s="70" t="n">
        <f aca="false">AD62+AD65</f>
        <v>-45151.2562356623</v>
      </c>
      <c r="AE66" s="70" t="n">
        <f aca="false">AE62+AE65</f>
        <v>-44408.7341503734</v>
      </c>
      <c r="AF66" s="70" t="n">
        <f aca="false">AF62+AF65</f>
        <v>-43694.4840026823</v>
      </c>
      <c r="AG66" s="70" t="n">
        <f aca="false">AG62+AG65</f>
        <v>-43007.0921957091</v>
      </c>
      <c r="AH66" s="70" t="n">
        <f aca="false">AH62+AH65</f>
        <v>-42345.2158124179</v>
      </c>
      <c r="AI66" s="70" t="n">
        <f aca="false">AI62+AI65</f>
        <v>-41707.5790816245</v>
      </c>
      <c r="AJ66" s="70" t="n">
        <f aca="false">AJ62+AJ65</f>
        <v>-41092.9700207042</v>
      </c>
      <c r="AK66" s="70" t="n">
        <f aca="false">AK62+AK65</f>
        <v>-40500.2372461632</v>
      </c>
      <c r="AL66" s="70" t="n">
        <f aca="false">AL62+AL65</f>
        <v>-54632.0099493431</v>
      </c>
    </row>
    <row r="68" customFormat="false" ht="15.75" hidden="false" customHeight="true" outlineLevel="0" collapsed="false">
      <c r="A68" s="7" t="s">
        <v>421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422</v>
      </c>
      <c r="C69" s="69" t="n">
        <f aca="false">IF(C$6=1,Inputs!$B$50,0)</f>
        <v>1650000</v>
      </c>
      <c r="D69" s="69" t="n">
        <f aca="false">IF(D$6=1,Inputs!$B$50,0)</f>
        <v>0</v>
      </c>
      <c r="E69" s="69" t="n">
        <f aca="false">IF(E$6=1,Inputs!$B$50,0)</f>
        <v>0</v>
      </c>
      <c r="F69" s="69" t="n">
        <f aca="false">IF(F$6=1,Inputs!$B$50,0)</f>
        <v>0</v>
      </c>
      <c r="G69" s="69" t="n">
        <f aca="false">IF(G$6=1,Inputs!$B$50,0)</f>
        <v>0</v>
      </c>
      <c r="H69" s="69" t="n">
        <f aca="false">IF(H$6=1,Inputs!$B$50,0)</f>
        <v>0</v>
      </c>
      <c r="I69" s="69" t="n">
        <f aca="false">IF(I$6=1,Inputs!$B$50,0)</f>
        <v>0</v>
      </c>
      <c r="J69" s="69" t="n">
        <f aca="false">IF(J$6=1,Inputs!$B$50,0)</f>
        <v>0</v>
      </c>
      <c r="K69" s="69" t="n">
        <f aca="false">IF(K$6=1,Inputs!$B$50,0)</f>
        <v>0</v>
      </c>
      <c r="L69" s="69" t="n">
        <f aca="false">IF(L$6=1,Inputs!$B$50,0)</f>
        <v>0</v>
      </c>
      <c r="M69" s="69" t="n">
        <f aca="false">IF(M$6=1,Inputs!$B$50,0)</f>
        <v>0</v>
      </c>
      <c r="N69" s="69" t="n">
        <f aca="false">IF(N$6=1,Inputs!$B$50,0)</f>
        <v>0</v>
      </c>
      <c r="O69" s="69" t="n">
        <f aca="false">IF(O$6=1,Inputs!$B$50,0)</f>
        <v>0</v>
      </c>
      <c r="P69" s="69" t="n">
        <f aca="false">IF(P$6=1,Inputs!$B$50,0)</f>
        <v>0</v>
      </c>
      <c r="Q69" s="69" t="n">
        <f aca="false">IF(Q$6=1,Inputs!$B$50,0)</f>
        <v>0</v>
      </c>
      <c r="R69" s="69" t="n">
        <f aca="false">IF(R$6=1,Inputs!$B$50,0)</f>
        <v>0</v>
      </c>
      <c r="S69" s="69" t="n">
        <f aca="false">IF(S$6=1,Inputs!$B$50,0)</f>
        <v>0</v>
      </c>
      <c r="T69" s="69" t="n">
        <f aca="false">IF(T$6=1,Inputs!$B$50,0)</f>
        <v>0</v>
      </c>
      <c r="U69" s="69" t="n">
        <f aca="false">IF(U$6=1,Inputs!$B$50,0)</f>
        <v>0</v>
      </c>
      <c r="V69" s="69" t="n">
        <f aca="false">IF(V$6=1,Inputs!$B$50,0)</f>
        <v>0</v>
      </c>
      <c r="W69" s="69" t="n">
        <f aca="false">IF(W$6=1,Inputs!$B$50,0)</f>
        <v>0</v>
      </c>
      <c r="X69" s="69" t="n">
        <f aca="false">IF(X$6=1,Inputs!$B$50,0)</f>
        <v>0</v>
      </c>
      <c r="Y69" s="69" t="n">
        <f aca="false">IF(Y$6=1,Inputs!$B$50,0)</f>
        <v>0</v>
      </c>
      <c r="Z69" s="69" t="n">
        <f aca="false">IF(Z$6=1,Inputs!$B$50,0)</f>
        <v>0</v>
      </c>
      <c r="AA69" s="69" t="n">
        <f aca="false">IF(AA$6=1,Inputs!$B$50,0)</f>
        <v>0</v>
      </c>
      <c r="AB69" s="69" t="n">
        <f aca="false">IF(AB$6=1,Inputs!$B$50,0)</f>
        <v>0</v>
      </c>
      <c r="AC69" s="69" t="n">
        <f aca="false">IF(AC$6=1,Inputs!$B$50,0)</f>
        <v>0</v>
      </c>
      <c r="AD69" s="69" t="n">
        <f aca="false">IF(AD$6=1,Inputs!$B$50,0)</f>
        <v>0</v>
      </c>
      <c r="AE69" s="69" t="n">
        <f aca="false">IF(AE$6=1,Inputs!$B$50,0)</f>
        <v>0</v>
      </c>
      <c r="AF69" s="69" t="n">
        <f aca="false">IF(AF$6=1,Inputs!$B$50,0)</f>
        <v>0</v>
      </c>
      <c r="AG69" s="69" t="n">
        <f aca="false">IF(AG$6=1,Inputs!$B$50,0)</f>
        <v>0</v>
      </c>
      <c r="AH69" s="69" t="n">
        <f aca="false">IF(AH$6=1,Inputs!$B$50,0)</f>
        <v>0</v>
      </c>
      <c r="AI69" s="69" t="n">
        <f aca="false">IF(AI$6=1,Inputs!$B$50,0)</f>
        <v>0</v>
      </c>
      <c r="AJ69" s="69" t="n">
        <f aca="false">IF(AJ$6=1,Inputs!$B$50,0)</f>
        <v>0</v>
      </c>
      <c r="AK69" s="69" t="n">
        <f aca="false">IF(AK$6=1,Inputs!$B$50,0)</f>
        <v>0</v>
      </c>
      <c r="AL69" s="69" t="n">
        <f aca="false">IF(AL$6=1,Inputs!$B$50,0)</f>
        <v>0</v>
      </c>
    </row>
    <row r="70" customFormat="false" ht="15" hidden="false" customHeight="false" outlineLevel="0" collapsed="false">
      <c r="A70" s="6" t="s">
        <v>423</v>
      </c>
      <c r="C70" s="69" t="n">
        <f aca="false">IF(C$6=1,Inputs!$B$51,0)</f>
        <v>2300000</v>
      </c>
      <c r="D70" s="69" t="n">
        <f aca="false">IF(D$6=1,Inputs!$B$51,0)</f>
        <v>0</v>
      </c>
      <c r="E70" s="69" t="n">
        <f aca="false">IF(E$6=1,Inputs!$B$51,0)</f>
        <v>0</v>
      </c>
      <c r="F70" s="69" t="n">
        <f aca="false">IF(F$6=1,Inputs!$B$51,0)</f>
        <v>0</v>
      </c>
      <c r="G70" s="69" t="n">
        <f aca="false">IF(G$6=1,Inputs!$B$51,0)</f>
        <v>0</v>
      </c>
      <c r="H70" s="69" t="n">
        <f aca="false">IF(H$6=1,Inputs!$B$51,0)</f>
        <v>0</v>
      </c>
      <c r="I70" s="69" t="n">
        <f aca="false">IF(I$6=1,Inputs!$B$51,0)</f>
        <v>0</v>
      </c>
      <c r="J70" s="69" t="n">
        <f aca="false">IF(J$6=1,Inputs!$B$51,0)</f>
        <v>0</v>
      </c>
      <c r="K70" s="69" t="n">
        <f aca="false">IF(K$6=1,Inputs!$B$51,0)</f>
        <v>0</v>
      </c>
      <c r="L70" s="69" t="n">
        <f aca="false">IF(L$6=1,Inputs!$B$51,0)</f>
        <v>0</v>
      </c>
      <c r="M70" s="69" t="n">
        <f aca="false">IF(M$6=1,Inputs!$B$51,0)</f>
        <v>0</v>
      </c>
      <c r="N70" s="69" t="n">
        <f aca="false">IF(N$6=1,Inputs!$B$51,0)</f>
        <v>0</v>
      </c>
      <c r="O70" s="69" t="n">
        <f aca="false">IF(O$6=1,Inputs!$B$51,0)</f>
        <v>0</v>
      </c>
      <c r="P70" s="69" t="n">
        <f aca="false">IF(P$6=1,Inputs!$B$51,0)</f>
        <v>0</v>
      </c>
      <c r="Q70" s="69" t="n">
        <f aca="false">IF(Q$6=1,Inputs!$B$51,0)</f>
        <v>0</v>
      </c>
      <c r="R70" s="69" t="n">
        <f aca="false">IF(R$6=1,Inputs!$B$51,0)</f>
        <v>0</v>
      </c>
      <c r="S70" s="69" t="n">
        <f aca="false">IF(S$6=1,Inputs!$B$51,0)</f>
        <v>0</v>
      </c>
      <c r="T70" s="69" t="n">
        <f aca="false">IF(T$6=1,Inputs!$B$51,0)</f>
        <v>0</v>
      </c>
      <c r="U70" s="69" t="n">
        <f aca="false">IF(U$6=1,Inputs!$B$51,0)</f>
        <v>0</v>
      </c>
      <c r="V70" s="69" t="n">
        <f aca="false">IF(V$6=1,Inputs!$B$51,0)</f>
        <v>0</v>
      </c>
      <c r="W70" s="69" t="n">
        <f aca="false">IF(W$6=1,Inputs!$B$51,0)</f>
        <v>0</v>
      </c>
      <c r="X70" s="69" t="n">
        <f aca="false">IF(X$6=1,Inputs!$B$51,0)</f>
        <v>0</v>
      </c>
      <c r="Y70" s="69" t="n">
        <f aca="false">IF(Y$6=1,Inputs!$B$51,0)</f>
        <v>0</v>
      </c>
      <c r="Z70" s="69" t="n">
        <f aca="false">IF(Z$6=1,Inputs!$B$51,0)</f>
        <v>0</v>
      </c>
      <c r="AA70" s="69" t="n">
        <f aca="false">IF(AA$6=1,Inputs!$B$51,0)</f>
        <v>0</v>
      </c>
      <c r="AB70" s="69" t="n">
        <f aca="false">IF(AB$6=1,Inputs!$B$51,0)</f>
        <v>0</v>
      </c>
      <c r="AC70" s="69" t="n">
        <f aca="false">IF(AC$6=1,Inputs!$B$51,0)</f>
        <v>0</v>
      </c>
      <c r="AD70" s="69" t="n">
        <f aca="false">IF(AD$6=1,Inputs!$B$51,0)</f>
        <v>0</v>
      </c>
      <c r="AE70" s="69" t="n">
        <f aca="false">IF(AE$6=1,Inputs!$B$51,0)</f>
        <v>0</v>
      </c>
      <c r="AF70" s="69" t="n">
        <f aca="false">IF(AF$6=1,Inputs!$B$51,0)</f>
        <v>0</v>
      </c>
      <c r="AG70" s="69" t="n">
        <f aca="false">IF(AG$6=1,Inputs!$B$51,0)</f>
        <v>0</v>
      </c>
      <c r="AH70" s="69" t="n">
        <f aca="false">IF(AH$6=1,Inputs!$B$51,0)</f>
        <v>0</v>
      </c>
      <c r="AI70" s="69" t="n">
        <f aca="false">IF(AI$6=1,Inputs!$B$51,0)</f>
        <v>0</v>
      </c>
      <c r="AJ70" s="69" t="n">
        <f aca="false">IF(AJ$6=1,Inputs!$B$51,0)</f>
        <v>0</v>
      </c>
      <c r="AK70" s="69" t="n">
        <f aca="false">IF(AK$6=1,Inputs!$B$51,0)</f>
        <v>0</v>
      </c>
      <c r="AL70" s="69" t="n">
        <f aca="false">IF(AL$6=1,Inputs!$B$51,0)</f>
        <v>0</v>
      </c>
    </row>
    <row r="71" customFormat="false" ht="15" hidden="false" customHeight="false" outlineLevel="0" collapsed="false">
      <c r="A71" s="6" t="s">
        <v>424</v>
      </c>
      <c r="C71" s="69" t="n">
        <f aca="false">IF(C$6=1,Inputs!$B$52,0)</f>
        <v>150000</v>
      </c>
      <c r="D71" s="69" t="n">
        <f aca="false">IF(D$6=1,Inputs!$B$52,0)</f>
        <v>0</v>
      </c>
      <c r="E71" s="69" t="n">
        <f aca="false">IF(E$6=1,Inputs!$B$52,0)</f>
        <v>0</v>
      </c>
      <c r="F71" s="69" t="n">
        <f aca="false">IF(F$6=1,Inputs!$B$52,0)</f>
        <v>0</v>
      </c>
      <c r="G71" s="69" t="n">
        <f aca="false">IF(G$6=1,Inputs!$B$52,0)</f>
        <v>0</v>
      </c>
      <c r="H71" s="69" t="n">
        <f aca="false">IF(H$6=1,Inputs!$B$52,0)</f>
        <v>0</v>
      </c>
      <c r="I71" s="69" t="n">
        <f aca="false">IF(I$6=1,Inputs!$B$52,0)</f>
        <v>0</v>
      </c>
      <c r="J71" s="69" t="n">
        <f aca="false">IF(J$6=1,Inputs!$B$52,0)</f>
        <v>0</v>
      </c>
      <c r="K71" s="69" t="n">
        <f aca="false">IF(K$6=1,Inputs!$B$52,0)</f>
        <v>0</v>
      </c>
      <c r="L71" s="69" t="n">
        <f aca="false">IF(L$6=1,Inputs!$B$52,0)</f>
        <v>0</v>
      </c>
      <c r="M71" s="69" t="n">
        <f aca="false">IF(M$6=1,Inputs!$B$52,0)</f>
        <v>0</v>
      </c>
      <c r="N71" s="69" t="n">
        <f aca="false">IF(N$6=1,Inputs!$B$52,0)</f>
        <v>0</v>
      </c>
      <c r="O71" s="69" t="n">
        <f aca="false">IF(O$6=1,Inputs!$B$52,0)</f>
        <v>0</v>
      </c>
      <c r="P71" s="69" t="n">
        <f aca="false">IF(P$6=1,Inputs!$B$52,0)</f>
        <v>0</v>
      </c>
      <c r="Q71" s="69" t="n">
        <f aca="false">IF(Q$6=1,Inputs!$B$52,0)</f>
        <v>0</v>
      </c>
      <c r="R71" s="69" t="n">
        <f aca="false">IF(R$6=1,Inputs!$B$52,0)</f>
        <v>0</v>
      </c>
      <c r="S71" s="69" t="n">
        <f aca="false">IF(S$6=1,Inputs!$B$52,0)</f>
        <v>0</v>
      </c>
      <c r="T71" s="69" t="n">
        <f aca="false">IF(T$6=1,Inputs!$B$52,0)</f>
        <v>0</v>
      </c>
      <c r="U71" s="69" t="n">
        <f aca="false">IF(U$6=1,Inputs!$B$52,0)</f>
        <v>0</v>
      </c>
      <c r="V71" s="69" t="n">
        <f aca="false">IF(V$6=1,Inputs!$B$52,0)</f>
        <v>0</v>
      </c>
      <c r="W71" s="69" t="n">
        <f aca="false">IF(W$6=1,Inputs!$B$52,0)</f>
        <v>0</v>
      </c>
      <c r="X71" s="69" t="n">
        <f aca="false">IF(X$6=1,Inputs!$B$52,0)</f>
        <v>0</v>
      </c>
      <c r="Y71" s="69" t="n">
        <f aca="false">IF(Y$6=1,Inputs!$B$52,0)</f>
        <v>0</v>
      </c>
      <c r="Z71" s="69" t="n">
        <f aca="false">IF(Z$6=1,Inputs!$B$52,0)</f>
        <v>0</v>
      </c>
      <c r="AA71" s="69" t="n">
        <f aca="false">IF(AA$6=1,Inputs!$B$52,0)</f>
        <v>0</v>
      </c>
      <c r="AB71" s="69" t="n">
        <f aca="false">IF(AB$6=1,Inputs!$B$52,0)</f>
        <v>0</v>
      </c>
      <c r="AC71" s="69" t="n">
        <f aca="false">IF(AC$6=1,Inputs!$B$52,0)</f>
        <v>0</v>
      </c>
      <c r="AD71" s="69" t="n">
        <f aca="false">IF(AD$6=1,Inputs!$B$52,0)</f>
        <v>0</v>
      </c>
      <c r="AE71" s="69" t="n">
        <f aca="false">IF(AE$6=1,Inputs!$B$52,0)</f>
        <v>0</v>
      </c>
      <c r="AF71" s="69" t="n">
        <f aca="false">IF(AF$6=1,Inputs!$B$52,0)</f>
        <v>0</v>
      </c>
      <c r="AG71" s="69" t="n">
        <f aca="false">IF(AG$6=1,Inputs!$B$52,0)</f>
        <v>0</v>
      </c>
      <c r="AH71" s="69" t="n">
        <f aca="false">IF(AH$6=1,Inputs!$B$52,0)</f>
        <v>0</v>
      </c>
      <c r="AI71" s="69" t="n">
        <f aca="false">IF(AI$6=1,Inputs!$B$52,0)</f>
        <v>0</v>
      </c>
      <c r="AJ71" s="69" t="n">
        <f aca="false">IF(AJ$6=1,Inputs!$B$52,0)</f>
        <v>0</v>
      </c>
      <c r="AK71" s="69" t="n">
        <f aca="false">IF(AK$6=1,Inputs!$B$52,0)</f>
        <v>0</v>
      </c>
      <c r="AL71" s="69" t="n">
        <f aca="false">IF(AL$6=1,Inputs!$B$52,0)</f>
        <v>0</v>
      </c>
    </row>
    <row r="72" customFormat="false" ht="15" hidden="false" customHeight="false" outlineLevel="0" collapsed="false">
      <c r="A72" s="6" t="s">
        <v>425</v>
      </c>
      <c r="C72" s="69" t="n">
        <f aca="false">IF(C$6=1,Inputs!$B$53,0)</f>
        <v>0</v>
      </c>
      <c r="D72" s="69" t="n">
        <f aca="false">IF(D$6=1,Inputs!$B$53,0)</f>
        <v>0</v>
      </c>
      <c r="E72" s="69" t="n">
        <f aca="false">IF(E$6=1,Inputs!$B$53,0)</f>
        <v>0</v>
      </c>
      <c r="F72" s="69" t="n">
        <f aca="false">IF(F$6=1,Inputs!$B$53,0)</f>
        <v>0</v>
      </c>
      <c r="G72" s="69" t="n">
        <f aca="false">IF(G$6=1,Inputs!$B$53,0)</f>
        <v>0</v>
      </c>
      <c r="H72" s="69" t="n">
        <f aca="false">IF(H$6=1,Inputs!$B$53,0)</f>
        <v>0</v>
      </c>
      <c r="I72" s="69" t="n">
        <f aca="false">IF(I$6=1,Inputs!$B$53,0)</f>
        <v>0</v>
      </c>
      <c r="J72" s="69" t="n">
        <f aca="false">IF(J$6=1,Inputs!$B$53,0)</f>
        <v>0</v>
      </c>
      <c r="K72" s="69" t="n">
        <f aca="false">IF(K$6=1,Inputs!$B$53,0)</f>
        <v>0</v>
      </c>
      <c r="L72" s="69" t="n">
        <f aca="false">IF(L$6=1,Inputs!$B$53,0)</f>
        <v>0</v>
      </c>
      <c r="M72" s="69" t="n">
        <f aca="false">IF(M$6=1,Inputs!$B$53,0)</f>
        <v>0</v>
      </c>
      <c r="N72" s="69" t="n">
        <f aca="false">IF(N$6=1,Inputs!$B$53,0)</f>
        <v>0</v>
      </c>
      <c r="O72" s="69" t="n">
        <f aca="false">IF(O$6=1,Inputs!$B$53,0)</f>
        <v>0</v>
      </c>
      <c r="P72" s="69" t="n">
        <f aca="false">IF(P$6=1,Inputs!$B$53,0)</f>
        <v>0</v>
      </c>
      <c r="Q72" s="69" t="n">
        <f aca="false">IF(Q$6=1,Inputs!$B$53,0)</f>
        <v>0</v>
      </c>
      <c r="R72" s="69" t="n">
        <f aca="false">IF(R$6=1,Inputs!$B$53,0)</f>
        <v>0</v>
      </c>
      <c r="S72" s="69" t="n">
        <f aca="false">IF(S$6=1,Inputs!$B$53,0)</f>
        <v>0</v>
      </c>
      <c r="T72" s="69" t="n">
        <f aca="false">IF(T$6=1,Inputs!$B$53,0)</f>
        <v>0</v>
      </c>
      <c r="U72" s="69" t="n">
        <f aca="false">IF(U$6=1,Inputs!$B$53,0)</f>
        <v>0</v>
      </c>
      <c r="V72" s="69" t="n">
        <f aca="false">IF(V$6=1,Inputs!$B$53,0)</f>
        <v>0</v>
      </c>
      <c r="W72" s="69" t="n">
        <f aca="false">IF(W$6=1,Inputs!$B$53,0)</f>
        <v>0</v>
      </c>
      <c r="X72" s="69" t="n">
        <f aca="false">IF(X$6=1,Inputs!$B$53,0)</f>
        <v>0</v>
      </c>
      <c r="Y72" s="69" t="n">
        <f aca="false">IF(Y$6=1,Inputs!$B$53,0)</f>
        <v>0</v>
      </c>
      <c r="Z72" s="69" t="n">
        <f aca="false">IF(Z$6=1,Inputs!$B$53,0)</f>
        <v>0</v>
      </c>
      <c r="AA72" s="69" t="n">
        <f aca="false">IF(AA$6=1,Inputs!$B$53,0)</f>
        <v>0</v>
      </c>
      <c r="AB72" s="69" t="n">
        <f aca="false">IF(AB$6=1,Inputs!$B$53,0)</f>
        <v>0</v>
      </c>
      <c r="AC72" s="69" t="n">
        <f aca="false">IF(AC$6=1,Inputs!$B$53,0)</f>
        <v>0</v>
      </c>
      <c r="AD72" s="69" t="n">
        <f aca="false">IF(AD$6=1,Inputs!$B$53,0)</f>
        <v>0</v>
      </c>
      <c r="AE72" s="69" t="n">
        <f aca="false">IF(AE$6=1,Inputs!$B$53,0)</f>
        <v>0</v>
      </c>
      <c r="AF72" s="69" t="n">
        <f aca="false">IF(AF$6=1,Inputs!$B$53,0)</f>
        <v>0</v>
      </c>
      <c r="AG72" s="69" t="n">
        <f aca="false">IF(AG$6=1,Inputs!$B$53,0)</f>
        <v>0</v>
      </c>
      <c r="AH72" s="69" t="n">
        <f aca="false">IF(AH$6=1,Inputs!$B$53,0)</f>
        <v>0</v>
      </c>
      <c r="AI72" s="69" t="n">
        <f aca="false">IF(AI$6=1,Inputs!$B$53,0)</f>
        <v>0</v>
      </c>
      <c r="AJ72" s="69" t="n">
        <f aca="false">IF(AJ$6=1,Inputs!$B$53,0)</f>
        <v>0</v>
      </c>
      <c r="AK72" s="69" t="n">
        <f aca="false">IF(AK$6=1,Inputs!$B$53,0)</f>
        <v>0</v>
      </c>
      <c r="AL72" s="69" t="n">
        <f aca="false">IF(AL$6=1,Inputs!$B$53,0)</f>
        <v>0</v>
      </c>
    </row>
    <row r="73" customFormat="false" ht="15" hidden="false" customHeight="false" outlineLevel="0" collapsed="false">
      <c r="A73" s="6" t="s">
        <v>426</v>
      </c>
      <c r="C73" s="69" t="n">
        <f aca="false">IF(AND(C$7&gt;1,MOD(C$6-1,12)=0),Inputs!$B$54,0)</f>
        <v>0</v>
      </c>
      <c r="D73" s="69" t="n">
        <f aca="false">IF(AND(D$7&gt;1,MOD(D$6-1,12)=0),Inputs!$B$54,0)</f>
        <v>0</v>
      </c>
      <c r="E73" s="69" t="n">
        <f aca="false">IF(AND(E$7&gt;1,MOD(E$6-1,12)=0),Inputs!$B$54,0)</f>
        <v>0</v>
      </c>
      <c r="F73" s="69" t="n">
        <f aca="false">IF(AND(F$7&gt;1,MOD(F$6-1,12)=0),Inputs!$B$54,0)</f>
        <v>0</v>
      </c>
      <c r="G73" s="69" t="n">
        <f aca="false">IF(AND(G$7&gt;1,MOD(G$6-1,12)=0),Inputs!$B$54,0)</f>
        <v>0</v>
      </c>
      <c r="H73" s="69" t="n">
        <f aca="false">IF(AND(H$7&gt;1,MOD(H$6-1,12)=0),Inputs!$B$54,0)</f>
        <v>0</v>
      </c>
      <c r="I73" s="69" t="n">
        <f aca="false">IF(AND(I$7&gt;1,MOD(I$6-1,12)=0),Inputs!$B$54,0)</f>
        <v>0</v>
      </c>
      <c r="J73" s="69" t="n">
        <f aca="false">IF(AND(J$7&gt;1,MOD(J$6-1,12)=0),Inputs!$B$54,0)</f>
        <v>0</v>
      </c>
      <c r="K73" s="69" t="n">
        <f aca="false">IF(AND(K$7&gt;1,MOD(K$6-1,12)=0),Inputs!$B$54,0)</f>
        <v>0</v>
      </c>
      <c r="L73" s="69" t="n">
        <f aca="false">IF(AND(L$7&gt;1,MOD(L$6-1,12)=0),Inputs!$B$54,0)</f>
        <v>0</v>
      </c>
      <c r="M73" s="69" t="n">
        <f aca="false">IF(AND(M$7&gt;1,MOD(M$6-1,12)=0),Inputs!$B$54,0)</f>
        <v>0</v>
      </c>
      <c r="N73" s="69" t="n">
        <f aca="false">IF(AND(N$7&gt;1,MOD(N$6-1,12)=0),Inputs!$B$54,0)</f>
        <v>0</v>
      </c>
      <c r="O73" s="69" t="n">
        <f aca="false">IF(AND(O$7&gt;1,MOD(O$6-1,12)=0),Inputs!$B$54,0)</f>
        <v>40000</v>
      </c>
      <c r="P73" s="69" t="n">
        <f aca="false">IF(AND(P$7&gt;1,MOD(P$6-1,12)=0),Inputs!$B$54,0)</f>
        <v>0</v>
      </c>
      <c r="Q73" s="69" t="n">
        <f aca="false">IF(AND(Q$7&gt;1,MOD(Q$6-1,12)=0),Inputs!$B$54,0)</f>
        <v>0</v>
      </c>
      <c r="R73" s="69" t="n">
        <f aca="false">IF(AND(R$7&gt;1,MOD(R$6-1,12)=0),Inputs!$B$54,0)</f>
        <v>0</v>
      </c>
      <c r="S73" s="69" t="n">
        <f aca="false">IF(AND(S$7&gt;1,MOD(S$6-1,12)=0),Inputs!$B$54,0)</f>
        <v>0</v>
      </c>
      <c r="T73" s="69" t="n">
        <f aca="false">IF(AND(T$7&gt;1,MOD(T$6-1,12)=0),Inputs!$B$54,0)</f>
        <v>0</v>
      </c>
      <c r="U73" s="69" t="n">
        <f aca="false">IF(AND(U$7&gt;1,MOD(U$6-1,12)=0),Inputs!$B$54,0)</f>
        <v>0</v>
      </c>
      <c r="V73" s="69" t="n">
        <f aca="false">IF(AND(V$7&gt;1,MOD(V$6-1,12)=0),Inputs!$B$54,0)</f>
        <v>0</v>
      </c>
      <c r="W73" s="69" t="n">
        <f aca="false">IF(AND(W$7&gt;1,MOD(W$6-1,12)=0),Inputs!$B$54,0)</f>
        <v>0</v>
      </c>
      <c r="X73" s="69" t="n">
        <f aca="false">IF(AND(X$7&gt;1,MOD(X$6-1,12)=0),Inputs!$B$54,0)</f>
        <v>0</v>
      </c>
      <c r="Y73" s="69" t="n">
        <f aca="false">IF(AND(Y$7&gt;1,MOD(Y$6-1,12)=0),Inputs!$B$54,0)</f>
        <v>0</v>
      </c>
      <c r="Z73" s="69" t="n">
        <f aca="false">IF(AND(Z$7&gt;1,MOD(Z$6-1,12)=0),Inputs!$B$54,0)</f>
        <v>0</v>
      </c>
      <c r="AA73" s="69" t="n">
        <f aca="false">IF(AND(AA$7&gt;1,MOD(AA$6-1,12)=0),Inputs!$B$54,0)</f>
        <v>40000</v>
      </c>
      <c r="AB73" s="69" t="n">
        <f aca="false">IF(AND(AB$7&gt;1,MOD(AB$6-1,12)=0),Inputs!$B$54,0)</f>
        <v>0</v>
      </c>
      <c r="AC73" s="69" t="n">
        <f aca="false">IF(AND(AC$7&gt;1,MOD(AC$6-1,12)=0),Inputs!$B$54,0)</f>
        <v>0</v>
      </c>
      <c r="AD73" s="69" t="n">
        <f aca="false">IF(AND(AD$7&gt;1,MOD(AD$6-1,12)=0),Inputs!$B$54,0)</f>
        <v>0</v>
      </c>
      <c r="AE73" s="69" t="n">
        <f aca="false">IF(AND(AE$7&gt;1,MOD(AE$6-1,12)=0),Inputs!$B$54,0)</f>
        <v>0</v>
      </c>
      <c r="AF73" s="69" t="n">
        <f aca="false">IF(AND(AF$7&gt;1,MOD(AF$6-1,12)=0),Inputs!$B$54,0)</f>
        <v>0</v>
      </c>
      <c r="AG73" s="69" t="n">
        <f aca="false">IF(AND(AG$7&gt;1,MOD(AG$6-1,12)=0),Inputs!$B$54,0)</f>
        <v>0</v>
      </c>
      <c r="AH73" s="69" t="n">
        <f aca="false">IF(AND(AH$7&gt;1,MOD(AH$6-1,12)=0),Inputs!$B$54,0)</f>
        <v>0</v>
      </c>
      <c r="AI73" s="69" t="n">
        <f aca="false">IF(AND(AI$7&gt;1,MOD(AI$6-1,12)=0),Inputs!$B$54,0)</f>
        <v>0</v>
      </c>
      <c r="AJ73" s="69" t="n">
        <f aca="false">IF(AND(AJ$7&gt;1,MOD(AJ$6-1,12)=0),Inputs!$B$54,0)</f>
        <v>0</v>
      </c>
      <c r="AK73" s="69" t="n">
        <f aca="false">IF(AND(AK$7&gt;1,MOD(AK$6-1,12)=0),Inputs!$B$54,0)</f>
        <v>0</v>
      </c>
      <c r="AL73" s="69" t="n">
        <f aca="false">IF(AND(AL$7&gt;1,MOD(AL$6-1,12)=0),Inputs!$B$54,0)</f>
        <v>0</v>
      </c>
    </row>
    <row r="74" customFormat="false" ht="15" hidden="false" customHeight="false" outlineLevel="0" collapsed="false">
      <c r="A74" s="4" t="s">
        <v>84</v>
      </c>
      <c r="C74" s="75" t="n">
        <f aca="false">C69+C70+C71+C72+C73</f>
        <v>4100000</v>
      </c>
      <c r="D74" s="75" t="n">
        <f aca="false">D69+D70+D71+D72+D73</f>
        <v>0</v>
      </c>
      <c r="E74" s="75" t="n">
        <f aca="false">E69+E70+E71+E72+E73</f>
        <v>0</v>
      </c>
      <c r="F74" s="75" t="n">
        <f aca="false">F69+F70+F71+F72+F73</f>
        <v>0</v>
      </c>
      <c r="G74" s="75" t="n">
        <f aca="false">G69+G70+G71+G72+G73</f>
        <v>0</v>
      </c>
      <c r="H74" s="75" t="n">
        <f aca="false">H69+H70+H71+H72+H73</f>
        <v>0</v>
      </c>
      <c r="I74" s="75" t="n">
        <f aca="false">I69+I70+I71+I72+I73</f>
        <v>0</v>
      </c>
      <c r="J74" s="75" t="n">
        <f aca="false">J69+J70+J71+J72+J73</f>
        <v>0</v>
      </c>
      <c r="K74" s="75" t="n">
        <f aca="false">K69+K70+K71+K72+K73</f>
        <v>0</v>
      </c>
      <c r="L74" s="75" t="n">
        <f aca="false">L69+L70+L71+L72+L73</f>
        <v>0</v>
      </c>
      <c r="M74" s="75" t="n">
        <f aca="false">M69+M70+M71+M72+M73</f>
        <v>0</v>
      </c>
      <c r="N74" s="75" t="n">
        <f aca="false">N69+N70+N71+N72+N73</f>
        <v>0</v>
      </c>
      <c r="O74" s="75" t="n">
        <f aca="false">O69+O70+O71+O72+O73</f>
        <v>40000</v>
      </c>
      <c r="P74" s="75" t="n">
        <f aca="false">P69+P70+P71+P72+P73</f>
        <v>0</v>
      </c>
      <c r="Q74" s="75" t="n">
        <f aca="false">Q69+Q70+Q71+Q72+Q73</f>
        <v>0</v>
      </c>
      <c r="R74" s="75" t="n">
        <f aca="false">R69+R70+R71+R72+R73</f>
        <v>0</v>
      </c>
      <c r="S74" s="75" t="n">
        <f aca="false">S69+S70+S71+S72+S73</f>
        <v>0</v>
      </c>
      <c r="T74" s="75" t="n">
        <f aca="false">T69+T70+T71+T72+T73</f>
        <v>0</v>
      </c>
      <c r="U74" s="75" t="n">
        <f aca="false">U69+U70+U71+U72+U73</f>
        <v>0</v>
      </c>
      <c r="V74" s="75" t="n">
        <f aca="false">V69+V70+V71+V72+V73</f>
        <v>0</v>
      </c>
      <c r="W74" s="75" t="n">
        <f aca="false">W69+W70+W71+W72+W73</f>
        <v>0</v>
      </c>
      <c r="X74" s="75" t="n">
        <f aca="false">X69+X70+X71+X72+X73</f>
        <v>0</v>
      </c>
      <c r="Y74" s="75" t="n">
        <f aca="false">Y69+Y70+Y71+Y72+Y73</f>
        <v>0</v>
      </c>
      <c r="Z74" s="75" t="n">
        <f aca="false">Z69+Z70+Z71+Z72+Z73</f>
        <v>0</v>
      </c>
      <c r="AA74" s="75" t="n">
        <f aca="false">AA69+AA70+AA71+AA72+AA73</f>
        <v>40000</v>
      </c>
      <c r="AB74" s="75" t="n">
        <f aca="false">AB69+AB70+AB71+AB72+AB73</f>
        <v>0</v>
      </c>
      <c r="AC74" s="75" t="n">
        <f aca="false">AC69+AC70+AC71+AC72+AC73</f>
        <v>0</v>
      </c>
      <c r="AD74" s="75" t="n">
        <f aca="false">AD69+AD70+AD71+AD72+AD73</f>
        <v>0</v>
      </c>
      <c r="AE74" s="75" t="n">
        <f aca="false">AE69+AE70+AE71+AE72+AE73</f>
        <v>0</v>
      </c>
      <c r="AF74" s="75" t="n">
        <f aca="false">AF69+AF70+AF71+AF72+AF73</f>
        <v>0</v>
      </c>
      <c r="AG74" s="75" t="n">
        <f aca="false">AG69+AG70+AG71+AG72+AG73</f>
        <v>0</v>
      </c>
      <c r="AH74" s="75" t="n">
        <f aca="false">AH69+AH70+AH71+AH72+AH73</f>
        <v>0</v>
      </c>
      <c r="AI74" s="75" t="n">
        <f aca="false">AI69+AI70+AI71+AI72+AI73</f>
        <v>0</v>
      </c>
      <c r="AJ74" s="75" t="n">
        <f aca="false">AJ69+AJ70+AJ71+AJ72+AJ73</f>
        <v>0</v>
      </c>
      <c r="AK74" s="75" t="n">
        <f aca="false">AK69+AK70+AK71+AK72+AK73</f>
        <v>0</v>
      </c>
      <c r="AL74" s="75" t="n">
        <f aca="false">AL69+AL70+AL71+AL72+AL73</f>
        <v>0</v>
      </c>
    </row>
    <row r="75" customFormat="false" ht="15" hidden="false" customHeight="false" outlineLevel="0" collapsed="false">
      <c r="A75" s="6" t="s">
        <v>427</v>
      </c>
      <c r="C75" s="69" t="n">
        <f aca="false">C74</f>
        <v>4100000</v>
      </c>
      <c r="D75" s="69" t="n">
        <f aca="false">C75+D74</f>
        <v>4100000</v>
      </c>
      <c r="E75" s="69" t="n">
        <f aca="false">D75+E74</f>
        <v>4100000</v>
      </c>
      <c r="F75" s="69" t="n">
        <f aca="false">E75+F74</f>
        <v>4100000</v>
      </c>
      <c r="G75" s="69" t="n">
        <f aca="false">F75+G74</f>
        <v>4100000</v>
      </c>
      <c r="H75" s="69" t="n">
        <f aca="false">G75+H74</f>
        <v>4100000</v>
      </c>
      <c r="I75" s="69" t="n">
        <f aca="false">H75+I74</f>
        <v>4100000</v>
      </c>
      <c r="J75" s="69" t="n">
        <f aca="false">I75+J74</f>
        <v>4100000</v>
      </c>
      <c r="K75" s="69" t="n">
        <f aca="false">J75+K74</f>
        <v>4100000</v>
      </c>
      <c r="L75" s="69" t="n">
        <f aca="false">K75+L74</f>
        <v>4100000</v>
      </c>
      <c r="M75" s="69" t="n">
        <f aca="false">L75+M74</f>
        <v>4100000</v>
      </c>
      <c r="N75" s="69" t="n">
        <f aca="false">M75+N74</f>
        <v>4100000</v>
      </c>
      <c r="O75" s="69" t="n">
        <f aca="false">N75+O74</f>
        <v>4140000</v>
      </c>
      <c r="P75" s="69" t="n">
        <f aca="false">O75+P74</f>
        <v>4140000</v>
      </c>
      <c r="Q75" s="69" t="n">
        <f aca="false">P75+Q74</f>
        <v>4140000</v>
      </c>
      <c r="R75" s="69" t="n">
        <f aca="false">Q75+R74</f>
        <v>4140000</v>
      </c>
      <c r="S75" s="69" t="n">
        <f aca="false">R75+S74</f>
        <v>4140000</v>
      </c>
      <c r="T75" s="69" t="n">
        <f aca="false">S75+T74</f>
        <v>4140000</v>
      </c>
      <c r="U75" s="69" t="n">
        <f aca="false">T75+U74</f>
        <v>4140000</v>
      </c>
      <c r="V75" s="69" t="n">
        <f aca="false">U75+V74</f>
        <v>4140000</v>
      </c>
      <c r="W75" s="69" t="n">
        <f aca="false">V75+W74</f>
        <v>4140000</v>
      </c>
      <c r="X75" s="69" t="n">
        <f aca="false">W75+X74</f>
        <v>4140000</v>
      </c>
      <c r="Y75" s="69" t="n">
        <f aca="false">X75+Y74</f>
        <v>4140000</v>
      </c>
      <c r="Z75" s="69" t="n">
        <f aca="false">Y75+Z74</f>
        <v>4140000</v>
      </c>
      <c r="AA75" s="69" t="n">
        <f aca="false">Z75+AA74</f>
        <v>4180000</v>
      </c>
      <c r="AB75" s="69" t="n">
        <f aca="false">AA75+AB74</f>
        <v>4180000</v>
      </c>
      <c r="AC75" s="69" t="n">
        <f aca="false">AB75+AC74</f>
        <v>4180000</v>
      </c>
      <c r="AD75" s="69" t="n">
        <f aca="false">AC75+AD74</f>
        <v>4180000</v>
      </c>
      <c r="AE75" s="69" t="n">
        <f aca="false">AD75+AE74</f>
        <v>4180000</v>
      </c>
      <c r="AF75" s="69" t="n">
        <f aca="false">AE75+AF74</f>
        <v>4180000</v>
      </c>
      <c r="AG75" s="69" t="n">
        <f aca="false">AF75+AG74</f>
        <v>4180000</v>
      </c>
      <c r="AH75" s="69" t="n">
        <f aca="false">AG75+AH74</f>
        <v>4180000</v>
      </c>
      <c r="AI75" s="69" t="n">
        <f aca="false">AH75+AI74</f>
        <v>4180000</v>
      </c>
      <c r="AJ75" s="69" t="n">
        <f aca="false">AI75+AJ74</f>
        <v>4180000</v>
      </c>
      <c r="AK75" s="69" t="n">
        <f aca="false">AJ75+AK74</f>
        <v>4180000</v>
      </c>
      <c r="AL75" s="69" t="n">
        <f aca="false">AK75+AL74</f>
        <v>4180000</v>
      </c>
    </row>
    <row r="76" customFormat="false" ht="15" hidden="false" customHeight="false" outlineLevel="0" collapsed="false">
      <c r="A76" s="6" t="s">
        <v>428</v>
      </c>
      <c r="C76" s="69" t="n">
        <f aca="false">C72</f>
        <v>0</v>
      </c>
      <c r="D76" s="69" t="n">
        <f aca="false">C76+D72</f>
        <v>0</v>
      </c>
      <c r="E76" s="69" t="n">
        <f aca="false">D76+E72</f>
        <v>0</v>
      </c>
      <c r="F76" s="69" t="n">
        <f aca="false">E76+F72</f>
        <v>0</v>
      </c>
      <c r="G76" s="69" t="n">
        <f aca="false">F76+G72</f>
        <v>0</v>
      </c>
      <c r="H76" s="69" t="n">
        <f aca="false">G76+H72</f>
        <v>0</v>
      </c>
      <c r="I76" s="69" t="n">
        <f aca="false">H76+I72</f>
        <v>0</v>
      </c>
      <c r="J76" s="69" t="n">
        <f aca="false">I76+J72</f>
        <v>0</v>
      </c>
      <c r="K76" s="69" t="n">
        <f aca="false">J76+K72</f>
        <v>0</v>
      </c>
      <c r="L76" s="69" t="n">
        <f aca="false">K76+L72</f>
        <v>0</v>
      </c>
      <c r="M76" s="69" t="n">
        <f aca="false">L76+M72</f>
        <v>0</v>
      </c>
      <c r="N76" s="69" t="n">
        <f aca="false">M76+N72</f>
        <v>0</v>
      </c>
      <c r="O76" s="69" t="n">
        <f aca="false">N76+O72</f>
        <v>0</v>
      </c>
      <c r="P76" s="69" t="n">
        <f aca="false">O76+P72</f>
        <v>0</v>
      </c>
      <c r="Q76" s="69" t="n">
        <f aca="false">P76+Q72</f>
        <v>0</v>
      </c>
      <c r="R76" s="69" t="n">
        <f aca="false">Q76+R72</f>
        <v>0</v>
      </c>
      <c r="S76" s="69" t="n">
        <f aca="false">R76+S72</f>
        <v>0</v>
      </c>
      <c r="T76" s="69" t="n">
        <f aca="false">S76+T72</f>
        <v>0</v>
      </c>
      <c r="U76" s="69" t="n">
        <f aca="false">T76+U72</f>
        <v>0</v>
      </c>
      <c r="V76" s="69" t="n">
        <f aca="false">U76+V72</f>
        <v>0</v>
      </c>
      <c r="W76" s="69" t="n">
        <f aca="false">V76+W72</f>
        <v>0</v>
      </c>
      <c r="X76" s="69" t="n">
        <f aca="false">W76+X72</f>
        <v>0</v>
      </c>
      <c r="Y76" s="69" t="n">
        <f aca="false">X76+Y72</f>
        <v>0</v>
      </c>
      <c r="Z76" s="69" t="n">
        <f aca="false">Y76+Z72</f>
        <v>0</v>
      </c>
      <c r="AA76" s="69" t="n">
        <f aca="false">Z76+AA72</f>
        <v>0</v>
      </c>
      <c r="AB76" s="69" t="n">
        <f aca="false">AA76+AB72</f>
        <v>0</v>
      </c>
      <c r="AC76" s="69" t="n">
        <f aca="false">AB76+AC72</f>
        <v>0</v>
      </c>
      <c r="AD76" s="69" t="n">
        <f aca="false">AC76+AD72</f>
        <v>0</v>
      </c>
      <c r="AE76" s="69" t="n">
        <f aca="false">AD76+AE72</f>
        <v>0</v>
      </c>
      <c r="AF76" s="69" t="n">
        <f aca="false">AE76+AF72</f>
        <v>0</v>
      </c>
      <c r="AG76" s="69" t="n">
        <f aca="false">AF76+AG72</f>
        <v>0</v>
      </c>
      <c r="AH76" s="69" t="n">
        <f aca="false">AG76+AH72</f>
        <v>0</v>
      </c>
      <c r="AI76" s="69" t="n">
        <f aca="false">AH76+AI72</f>
        <v>0</v>
      </c>
      <c r="AJ76" s="69" t="n">
        <f aca="false">AI76+AJ72</f>
        <v>0</v>
      </c>
      <c r="AK76" s="69" t="n">
        <f aca="false">AJ76+AK72</f>
        <v>0</v>
      </c>
      <c r="AL76" s="69" t="n">
        <f aca="false">AK76+AL72</f>
        <v>0</v>
      </c>
    </row>
    <row r="77" customFormat="false" ht="15" hidden="false" customHeight="false" outlineLevel="0" collapsed="false">
      <c r="A77" s="6" t="s">
        <v>78</v>
      </c>
      <c r="C77" s="69" t="n">
        <f aca="false">-MIN((C75-C76)/MAX(1,Inputs!$B$80*12),C74-C76)</f>
        <v>-28472.2222222222</v>
      </c>
      <c r="D77" s="69" t="n">
        <f aca="false">-MIN((D75-D76)/MAX(1,Inputs!$B$80*12),C79+D74-D76)</f>
        <v>-28472.2222222222</v>
      </c>
      <c r="E77" s="69" t="n">
        <f aca="false">-MIN((E75-E76)/MAX(1,Inputs!$B$80*12),D79+E74-E76)</f>
        <v>-28472.2222222222</v>
      </c>
      <c r="F77" s="69" t="n">
        <f aca="false">-MIN((F75-F76)/MAX(1,Inputs!$B$80*12),E79+F74-F76)</f>
        <v>-28472.2222222222</v>
      </c>
      <c r="G77" s="69" t="n">
        <f aca="false">-MIN((G75-G76)/MAX(1,Inputs!$B$80*12),F79+G74-G76)</f>
        <v>-28472.2222222222</v>
      </c>
      <c r="H77" s="69" t="n">
        <f aca="false">-MIN((H75-H76)/MAX(1,Inputs!$B$80*12),G79+H74-H76)</f>
        <v>-28472.2222222222</v>
      </c>
      <c r="I77" s="69" t="n">
        <f aca="false">-MIN((I75-I76)/MAX(1,Inputs!$B$80*12),H79+I74-I76)</f>
        <v>-28472.2222222222</v>
      </c>
      <c r="J77" s="69" t="n">
        <f aca="false">-MIN((J75-J76)/MAX(1,Inputs!$B$80*12),I79+J74-J76)</f>
        <v>-28472.2222222222</v>
      </c>
      <c r="K77" s="69" t="n">
        <f aca="false">-MIN((K75-K76)/MAX(1,Inputs!$B$80*12),J79+K74-K76)</f>
        <v>-28472.2222222222</v>
      </c>
      <c r="L77" s="69" t="n">
        <f aca="false">-MIN((L75-L76)/MAX(1,Inputs!$B$80*12),K79+L74-L76)</f>
        <v>-28472.2222222222</v>
      </c>
      <c r="M77" s="69" t="n">
        <f aca="false">-MIN((M75-M76)/MAX(1,Inputs!$B$80*12),L79+M74-M76)</f>
        <v>-28472.2222222222</v>
      </c>
      <c r="N77" s="69" t="n">
        <f aca="false">-MIN((N75-N76)/MAX(1,Inputs!$B$80*12),M79+N74-N76)</f>
        <v>-28472.2222222222</v>
      </c>
      <c r="O77" s="69" t="n">
        <f aca="false">-MIN((O75-O76)/MAX(1,Inputs!$B$80*12),N79+O74-O76)</f>
        <v>-28750</v>
      </c>
      <c r="P77" s="69" t="n">
        <f aca="false">-MIN((P75-P76)/MAX(1,Inputs!$B$80*12),O79+P74-P76)</f>
        <v>-28750</v>
      </c>
      <c r="Q77" s="69" t="n">
        <f aca="false">-MIN((Q75-Q76)/MAX(1,Inputs!$B$80*12),P79+Q74-Q76)</f>
        <v>-28750</v>
      </c>
      <c r="R77" s="69" t="n">
        <f aca="false">-MIN((R75-R76)/MAX(1,Inputs!$B$80*12),Q79+R74-R76)</f>
        <v>-28750</v>
      </c>
      <c r="S77" s="69" t="n">
        <f aca="false">-MIN((S75-S76)/MAX(1,Inputs!$B$80*12),R79+S74-S76)</f>
        <v>-28750</v>
      </c>
      <c r="T77" s="69" t="n">
        <f aca="false">-MIN((T75-T76)/MAX(1,Inputs!$B$80*12),S79+T74-T76)</f>
        <v>-28750</v>
      </c>
      <c r="U77" s="69" t="n">
        <f aca="false">-MIN((U75-U76)/MAX(1,Inputs!$B$80*12),T79+U74-U76)</f>
        <v>-28750</v>
      </c>
      <c r="V77" s="69" t="n">
        <f aca="false">-MIN((V75-V76)/MAX(1,Inputs!$B$80*12),U79+V74-V76)</f>
        <v>-28750</v>
      </c>
      <c r="W77" s="69" t="n">
        <f aca="false">-MIN((W75-W76)/MAX(1,Inputs!$B$80*12),V79+W74-W76)</f>
        <v>-28750</v>
      </c>
      <c r="X77" s="69" t="n">
        <f aca="false">-MIN((X75-X76)/MAX(1,Inputs!$B$80*12),W79+X74-X76)</f>
        <v>-28750</v>
      </c>
      <c r="Y77" s="69" t="n">
        <f aca="false">-MIN((Y75-Y76)/MAX(1,Inputs!$B$80*12),X79+Y74-Y76)</f>
        <v>-28750</v>
      </c>
      <c r="Z77" s="69" t="n">
        <f aca="false">-MIN((Z75-Z76)/MAX(1,Inputs!$B$80*12),Y79+Z74-Z76)</f>
        <v>-28750</v>
      </c>
      <c r="AA77" s="69" t="n">
        <f aca="false">-MIN((AA75-AA76)/MAX(1,Inputs!$B$80*12),Z79+AA74-AA76)</f>
        <v>-29027.7777777778</v>
      </c>
      <c r="AB77" s="69" t="n">
        <f aca="false">-MIN((AB75-AB76)/MAX(1,Inputs!$B$80*12),AA79+AB74-AB76)</f>
        <v>-29027.7777777778</v>
      </c>
      <c r="AC77" s="69" t="n">
        <f aca="false">-MIN((AC75-AC76)/MAX(1,Inputs!$B$80*12),AB79+AC74-AC76)</f>
        <v>-29027.7777777778</v>
      </c>
      <c r="AD77" s="69" t="n">
        <f aca="false">-MIN((AD75-AD76)/MAX(1,Inputs!$B$80*12),AC79+AD74-AD76)</f>
        <v>-29027.7777777778</v>
      </c>
      <c r="AE77" s="69" t="n">
        <f aca="false">-MIN((AE75-AE76)/MAX(1,Inputs!$B$80*12),AD79+AE74-AE76)</f>
        <v>-29027.7777777778</v>
      </c>
      <c r="AF77" s="69" t="n">
        <f aca="false">-MIN((AF75-AF76)/MAX(1,Inputs!$B$80*12),AE79+AF74-AF76)</f>
        <v>-29027.7777777778</v>
      </c>
      <c r="AG77" s="69" t="n">
        <f aca="false">-MIN((AG75-AG76)/MAX(1,Inputs!$B$80*12),AF79+AG74-AG76)</f>
        <v>-29027.7777777778</v>
      </c>
      <c r="AH77" s="69" t="n">
        <f aca="false">-MIN((AH75-AH76)/MAX(1,Inputs!$B$80*12),AG79+AH74-AH76)</f>
        <v>-29027.7777777778</v>
      </c>
      <c r="AI77" s="69" t="n">
        <f aca="false">-MIN((AI75-AI76)/MAX(1,Inputs!$B$80*12),AH79+AI74-AI76)</f>
        <v>-29027.7777777778</v>
      </c>
      <c r="AJ77" s="69" t="n">
        <f aca="false">-MIN((AJ75-AJ76)/MAX(1,Inputs!$B$80*12),AI79+AJ74-AJ76)</f>
        <v>-29027.7777777778</v>
      </c>
      <c r="AK77" s="69" t="n">
        <f aca="false">-MIN((AK75-AK76)/MAX(1,Inputs!$B$80*12),AJ79+AK74-AK76)</f>
        <v>-29027.7777777778</v>
      </c>
      <c r="AL77" s="69" t="n">
        <f aca="false">-MIN((AL75-AL76)/MAX(1,Inputs!$B$80*12),AK79+AL74-AL76)</f>
        <v>-29027.7777777778</v>
      </c>
    </row>
    <row r="78" customFormat="false" ht="15" hidden="false" customHeight="false" outlineLevel="0" collapsed="false">
      <c r="A78" s="6" t="s">
        <v>429</v>
      </c>
      <c r="C78" s="69" t="n">
        <f aca="false">C77</f>
        <v>-28472.2222222222</v>
      </c>
      <c r="D78" s="69" t="n">
        <f aca="false">C78+D77</f>
        <v>-56944.4444444444</v>
      </c>
      <c r="E78" s="69" t="n">
        <f aca="false">D78+E77</f>
        <v>-85416.6666666667</v>
      </c>
      <c r="F78" s="69" t="n">
        <f aca="false">E78+F77</f>
        <v>-113888.888888889</v>
      </c>
      <c r="G78" s="69" t="n">
        <f aca="false">F78+G77</f>
        <v>-142361.111111111</v>
      </c>
      <c r="H78" s="69" t="n">
        <f aca="false">G78+H77</f>
        <v>-170833.333333333</v>
      </c>
      <c r="I78" s="69" t="n">
        <f aca="false">H78+I77</f>
        <v>-199305.555555556</v>
      </c>
      <c r="J78" s="69" t="n">
        <f aca="false">I78+J77</f>
        <v>-227777.777777778</v>
      </c>
      <c r="K78" s="69" t="n">
        <f aca="false">J78+K77</f>
        <v>-256250</v>
      </c>
      <c r="L78" s="69" t="n">
        <f aca="false">K78+L77</f>
        <v>-284722.222222222</v>
      </c>
      <c r="M78" s="69" t="n">
        <f aca="false">L78+M77</f>
        <v>-313194.444444445</v>
      </c>
      <c r="N78" s="69" t="n">
        <f aca="false">M78+N77</f>
        <v>-341666.666666667</v>
      </c>
      <c r="O78" s="69" t="n">
        <f aca="false">N78+O77</f>
        <v>-370416.666666667</v>
      </c>
      <c r="P78" s="69" t="n">
        <f aca="false">O78+P77</f>
        <v>-399166.666666667</v>
      </c>
      <c r="Q78" s="69" t="n">
        <f aca="false">P78+Q77</f>
        <v>-427916.666666667</v>
      </c>
      <c r="R78" s="69" t="n">
        <f aca="false">Q78+R77</f>
        <v>-456666.666666667</v>
      </c>
      <c r="S78" s="69" t="n">
        <f aca="false">R78+S77</f>
        <v>-485416.666666667</v>
      </c>
      <c r="T78" s="69" t="n">
        <f aca="false">S78+T77</f>
        <v>-514166.666666667</v>
      </c>
      <c r="U78" s="69" t="n">
        <f aca="false">T78+U77</f>
        <v>-542916.666666667</v>
      </c>
      <c r="V78" s="69" t="n">
        <f aca="false">U78+V77</f>
        <v>-571666.666666667</v>
      </c>
      <c r="W78" s="69" t="n">
        <f aca="false">V78+W77</f>
        <v>-600416.666666667</v>
      </c>
      <c r="X78" s="69" t="n">
        <f aca="false">W78+X77</f>
        <v>-629166.666666667</v>
      </c>
      <c r="Y78" s="69" t="n">
        <f aca="false">X78+Y77</f>
        <v>-657916.666666667</v>
      </c>
      <c r="Z78" s="69" t="n">
        <f aca="false">Y78+Z77</f>
        <v>-686666.666666667</v>
      </c>
      <c r="AA78" s="69" t="n">
        <f aca="false">Z78+AA77</f>
        <v>-715694.444444445</v>
      </c>
      <c r="AB78" s="69" t="n">
        <f aca="false">AA78+AB77</f>
        <v>-744722.222222222</v>
      </c>
      <c r="AC78" s="69" t="n">
        <f aca="false">AB78+AC77</f>
        <v>-773750</v>
      </c>
      <c r="AD78" s="69" t="n">
        <f aca="false">AC78+AD77</f>
        <v>-802777.777777778</v>
      </c>
      <c r="AE78" s="69" t="n">
        <f aca="false">AD78+AE77</f>
        <v>-831805.555555556</v>
      </c>
      <c r="AF78" s="69" t="n">
        <f aca="false">AE78+AF77</f>
        <v>-860833.333333333</v>
      </c>
      <c r="AG78" s="69" t="n">
        <f aca="false">AF78+AG77</f>
        <v>-889861.111111111</v>
      </c>
      <c r="AH78" s="69" t="n">
        <f aca="false">AG78+AH77</f>
        <v>-918888.888888889</v>
      </c>
      <c r="AI78" s="69" t="n">
        <f aca="false">AH78+AI77</f>
        <v>-947916.666666667</v>
      </c>
      <c r="AJ78" s="69" t="n">
        <f aca="false">AI78+AJ77</f>
        <v>-976944.444444444</v>
      </c>
      <c r="AK78" s="69" t="n">
        <f aca="false">AJ78+AK77</f>
        <v>-1005972.22222222</v>
      </c>
      <c r="AL78" s="69" t="n">
        <f aca="false">AK78+AL77</f>
        <v>-1035000</v>
      </c>
    </row>
    <row r="79" customFormat="false" ht="15" hidden="false" customHeight="false" outlineLevel="0" collapsed="false">
      <c r="A79" s="4" t="s">
        <v>92</v>
      </c>
      <c r="C79" s="75" t="n">
        <f aca="false">C75+C78</f>
        <v>4071527.77777778</v>
      </c>
      <c r="D79" s="75" t="n">
        <f aca="false">D75+D78</f>
        <v>4043055.55555556</v>
      </c>
      <c r="E79" s="75" t="n">
        <f aca="false">E75+E78</f>
        <v>4014583.33333333</v>
      </c>
      <c r="F79" s="75" t="n">
        <f aca="false">F75+F78</f>
        <v>3986111.11111111</v>
      </c>
      <c r="G79" s="75" t="n">
        <f aca="false">G75+G78</f>
        <v>3957638.88888889</v>
      </c>
      <c r="H79" s="75" t="n">
        <f aca="false">H75+H78</f>
        <v>3929166.66666667</v>
      </c>
      <c r="I79" s="75" t="n">
        <f aca="false">I75+I78</f>
        <v>3900694.44444444</v>
      </c>
      <c r="J79" s="75" t="n">
        <f aca="false">J75+J78</f>
        <v>3872222.22222222</v>
      </c>
      <c r="K79" s="75" t="n">
        <f aca="false">K75+K78</f>
        <v>3843750</v>
      </c>
      <c r="L79" s="75" t="n">
        <f aca="false">L75+L78</f>
        <v>3815277.77777778</v>
      </c>
      <c r="M79" s="75" t="n">
        <f aca="false">M75+M78</f>
        <v>3786805.55555556</v>
      </c>
      <c r="N79" s="75" t="n">
        <f aca="false">N75+N78</f>
        <v>3758333.33333333</v>
      </c>
      <c r="O79" s="75" t="n">
        <f aca="false">O75+O78</f>
        <v>3769583.33333333</v>
      </c>
      <c r="P79" s="75" t="n">
        <f aca="false">P75+P78</f>
        <v>3740833.33333333</v>
      </c>
      <c r="Q79" s="75" t="n">
        <f aca="false">Q75+Q78</f>
        <v>3712083.33333333</v>
      </c>
      <c r="R79" s="75" t="n">
        <f aca="false">R75+R78</f>
        <v>3683333.33333333</v>
      </c>
      <c r="S79" s="75" t="n">
        <f aca="false">S75+S78</f>
        <v>3654583.33333333</v>
      </c>
      <c r="T79" s="75" t="n">
        <f aca="false">T75+T78</f>
        <v>3625833.33333333</v>
      </c>
      <c r="U79" s="75" t="n">
        <f aca="false">U75+U78</f>
        <v>3597083.33333333</v>
      </c>
      <c r="V79" s="75" t="n">
        <f aca="false">V75+V78</f>
        <v>3568333.33333333</v>
      </c>
      <c r="W79" s="75" t="n">
        <f aca="false">W75+W78</f>
        <v>3539583.33333333</v>
      </c>
      <c r="X79" s="75" t="n">
        <f aca="false">X75+X78</f>
        <v>3510833.33333333</v>
      </c>
      <c r="Y79" s="75" t="n">
        <f aca="false">Y75+Y78</f>
        <v>3482083.33333333</v>
      </c>
      <c r="Z79" s="75" t="n">
        <f aca="false">Z75+Z78</f>
        <v>3453333.33333333</v>
      </c>
      <c r="AA79" s="75" t="n">
        <f aca="false">AA75+AA78</f>
        <v>3464305.55555556</v>
      </c>
      <c r="AB79" s="75" t="n">
        <f aca="false">AB75+AB78</f>
        <v>3435277.77777778</v>
      </c>
      <c r="AC79" s="75" t="n">
        <f aca="false">AC75+AC78</f>
        <v>3406250</v>
      </c>
      <c r="AD79" s="75" t="n">
        <f aca="false">AD75+AD78</f>
        <v>3377222.22222222</v>
      </c>
      <c r="AE79" s="75" t="n">
        <f aca="false">AE75+AE78</f>
        <v>3348194.44444444</v>
      </c>
      <c r="AF79" s="75" t="n">
        <f aca="false">AF75+AF78</f>
        <v>3319166.66666667</v>
      </c>
      <c r="AG79" s="75" t="n">
        <f aca="false">AG75+AG78</f>
        <v>3290138.88888889</v>
      </c>
      <c r="AH79" s="75" t="n">
        <f aca="false">AH75+AH78</f>
        <v>3261111.11111111</v>
      </c>
      <c r="AI79" s="75" t="n">
        <f aca="false">AI75+AI78</f>
        <v>3232083.33333333</v>
      </c>
      <c r="AJ79" s="75" t="n">
        <f aca="false">AJ75+AJ78</f>
        <v>3203055.55555556</v>
      </c>
      <c r="AK79" s="75" t="n">
        <f aca="false">AK75+AK78</f>
        <v>3174027.77777778</v>
      </c>
      <c r="AL79" s="75" t="n">
        <f aca="false">AL75+AL78</f>
        <v>3145000</v>
      </c>
    </row>
    <row r="81" customFormat="false" ht="15.75" hidden="false" customHeight="true" outlineLevel="0" collapsed="false">
      <c r="A81" s="7" t="s">
        <v>430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customFormat="false" ht="15" hidden="false" customHeight="false" outlineLevel="0" collapsed="false">
      <c r="A82" s="6" t="s">
        <v>431</v>
      </c>
      <c r="C82" s="69" t="n">
        <f aca="false">0</f>
        <v>0</v>
      </c>
      <c r="D82" s="69" t="n">
        <f aca="false">C85</f>
        <v>3000000</v>
      </c>
      <c r="E82" s="69" t="n">
        <f aca="false">D85</f>
        <v>2975000</v>
      </c>
      <c r="F82" s="69" t="n">
        <f aca="false">E85</f>
        <v>2950000</v>
      </c>
      <c r="G82" s="69" t="n">
        <f aca="false">F85</f>
        <v>2925000</v>
      </c>
      <c r="H82" s="69" t="n">
        <f aca="false">G85</f>
        <v>2900000</v>
      </c>
      <c r="I82" s="69" t="n">
        <f aca="false">H85</f>
        <v>2875000</v>
      </c>
      <c r="J82" s="69" t="n">
        <f aca="false">I85</f>
        <v>2850000</v>
      </c>
      <c r="K82" s="69" t="n">
        <f aca="false">J85</f>
        <v>2825000</v>
      </c>
      <c r="L82" s="69" t="n">
        <f aca="false">K85</f>
        <v>2800000</v>
      </c>
      <c r="M82" s="69" t="n">
        <f aca="false">L85</f>
        <v>2775000</v>
      </c>
      <c r="N82" s="69" t="n">
        <f aca="false">M85</f>
        <v>2750000</v>
      </c>
      <c r="O82" s="69" t="n">
        <f aca="false">N85</f>
        <v>2725000</v>
      </c>
      <c r="P82" s="69" t="n">
        <f aca="false">O85</f>
        <v>2700000</v>
      </c>
      <c r="Q82" s="69" t="n">
        <f aca="false">P85</f>
        <v>2675000</v>
      </c>
      <c r="R82" s="69" t="n">
        <f aca="false">Q85</f>
        <v>2650000</v>
      </c>
      <c r="S82" s="69" t="n">
        <f aca="false">R85</f>
        <v>2625000</v>
      </c>
      <c r="T82" s="69" t="n">
        <f aca="false">S85</f>
        <v>2600000</v>
      </c>
      <c r="U82" s="69" t="n">
        <f aca="false">T85</f>
        <v>2575000</v>
      </c>
      <c r="V82" s="69" t="n">
        <f aca="false">U85</f>
        <v>2550000</v>
      </c>
      <c r="W82" s="69" t="n">
        <f aca="false">V85</f>
        <v>2525000</v>
      </c>
      <c r="X82" s="69" t="n">
        <f aca="false">W85</f>
        <v>2500000</v>
      </c>
      <c r="Y82" s="69" t="n">
        <f aca="false">X85</f>
        <v>2475000</v>
      </c>
      <c r="Z82" s="69" t="n">
        <f aca="false">Y85</f>
        <v>2450000</v>
      </c>
      <c r="AA82" s="69" t="n">
        <f aca="false">Z85</f>
        <v>2425000</v>
      </c>
      <c r="AB82" s="69" t="n">
        <f aca="false">AA85</f>
        <v>2400000</v>
      </c>
      <c r="AC82" s="69" t="n">
        <f aca="false">AB85</f>
        <v>2375000</v>
      </c>
      <c r="AD82" s="69" t="n">
        <f aca="false">AC85</f>
        <v>2350000</v>
      </c>
      <c r="AE82" s="69" t="n">
        <f aca="false">AD85</f>
        <v>2325000</v>
      </c>
      <c r="AF82" s="69" t="n">
        <f aca="false">AE85</f>
        <v>2300000</v>
      </c>
      <c r="AG82" s="69" t="n">
        <f aca="false">AF85</f>
        <v>2275000</v>
      </c>
      <c r="AH82" s="69" t="n">
        <f aca="false">AG85</f>
        <v>2250000</v>
      </c>
      <c r="AI82" s="69" t="n">
        <f aca="false">AH85</f>
        <v>2225000</v>
      </c>
      <c r="AJ82" s="69" t="n">
        <f aca="false">AI85</f>
        <v>2200000</v>
      </c>
      <c r="AK82" s="69" t="n">
        <f aca="false">AJ85</f>
        <v>2175000</v>
      </c>
      <c r="AL82" s="69" t="n">
        <f aca="false">AK85</f>
        <v>2150000</v>
      </c>
    </row>
    <row r="83" customFormat="false" ht="15" hidden="false" customHeight="false" outlineLevel="0" collapsed="false">
      <c r="A83" s="6" t="s">
        <v>85</v>
      </c>
      <c r="C83" s="69" t="n">
        <f aca="false">IF(C$6=1,Inputs!$B$70,0)</f>
        <v>3000000</v>
      </c>
      <c r="D83" s="69" t="n">
        <f aca="false">IF(D$6=1,Inputs!$B$70,0)</f>
        <v>0</v>
      </c>
      <c r="E83" s="69" t="n">
        <f aca="false">IF(E$6=1,Inputs!$B$70,0)</f>
        <v>0</v>
      </c>
      <c r="F83" s="69" t="n">
        <f aca="false">IF(F$6=1,Inputs!$B$70,0)</f>
        <v>0</v>
      </c>
      <c r="G83" s="69" t="n">
        <f aca="false">IF(G$6=1,Inputs!$B$70,0)</f>
        <v>0</v>
      </c>
      <c r="H83" s="69" t="n">
        <f aca="false">IF(H$6=1,Inputs!$B$70,0)</f>
        <v>0</v>
      </c>
      <c r="I83" s="69" t="n">
        <f aca="false">IF(I$6=1,Inputs!$B$70,0)</f>
        <v>0</v>
      </c>
      <c r="J83" s="69" t="n">
        <f aca="false">IF(J$6=1,Inputs!$B$70,0)</f>
        <v>0</v>
      </c>
      <c r="K83" s="69" t="n">
        <f aca="false">IF(K$6=1,Inputs!$B$70,0)</f>
        <v>0</v>
      </c>
      <c r="L83" s="69" t="n">
        <f aca="false">IF(L$6=1,Inputs!$B$70,0)</f>
        <v>0</v>
      </c>
      <c r="M83" s="69" t="n">
        <f aca="false">IF(M$6=1,Inputs!$B$70,0)</f>
        <v>0</v>
      </c>
      <c r="N83" s="69" t="n">
        <f aca="false">IF(N$6=1,Inputs!$B$70,0)</f>
        <v>0</v>
      </c>
      <c r="O83" s="69" t="n">
        <f aca="false">IF(O$6=1,Inputs!$B$70,0)</f>
        <v>0</v>
      </c>
      <c r="P83" s="69" t="n">
        <f aca="false">IF(P$6=1,Inputs!$B$70,0)</f>
        <v>0</v>
      </c>
      <c r="Q83" s="69" t="n">
        <f aca="false">IF(Q$6=1,Inputs!$B$70,0)</f>
        <v>0</v>
      </c>
      <c r="R83" s="69" t="n">
        <f aca="false">IF(R$6=1,Inputs!$B$70,0)</f>
        <v>0</v>
      </c>
      <c r="S83" s="69" t="n">
        <f aca="false">IF(S$6=1,Inputs!$B$70,0)</f>
        <v>0</v>
      </c>
      <c r="T83" s="69" t="n">
        <f aca="false">IF(T$6=1,Inputs!$B$70,0)</f>
        <v>0</v>
      </c>
      <c r="U83" s="69" t="n">
        <f aca="false">IF(U$6=1,Inputs!$B$70,0)</f>
        <v>0</v>
      </c>
      <c r="V83" s="69" t="n">
        <f aca="false">IF(V$6=1,Inputs!$B$70,0)</f>
        <v>0</v>
      </c>
      <c r="W83" s="69" t="n">
        <f aca="false">IF(W$6=1,Inputs!$B$70,0)</f>
        <v>0</v>
      </c>
      <c r="X83" s="69" t="n">
        <f aca="false">IF(X$6=1,Inputs!$B$70,0)</f>
        <v>0</v>
      </c>
      <c r="Y83" s="69" t="n">
        <f aca="false">IF(Y$6=1,Inputs!$B$70,0)</f>
        <v>0</v>
      </c>
      <c r="Z83" s="69" t="n">
        <f aca="false">IF(Z$6=1,Inputs!$B$70,0)</f>
        <v>0</v>
      </c>
      <c r="AA83" s="69" t="n">
        <f aca="false">IF(AA$6=1,Inputs!$B$70,0)</f>
        <v>0</v>
      </c>
      <c r="AB83" s="69" t="n">
        <f aca="false">IF(AB$6=1,Inputs!$B$70,0)</f>
        <v>0</v>
      </c>
      <c r="AC83" s="69" t="n">
        <f aca="false">IF(AC$6=1,Inputs!$B$70,0)</f>
        <v>0</v>
      </c>
      <c r="AD83" s="69" t="n">
        <f aca="false">IF(AD$6=1,Inputs!$B$70,0)</f>
        <v>0</v>
      </c>
      <c r="AE83" s="69" t="n">
        <f aca="false">IF(AE$6=1,Inputs!$B$70,0)</f>
        <v>0</v>
      </c>
      <c r="AF83" s="69" t="n">
        <f aca="false">IF(AF$6=1,Inputs!$B$70,0)</f>
        <v>0</v>
      </c>
      <c r="AG83" s="69" t="n">
        <f aca="false">IF(AG$6=1,Inputs!$B$70,0)</f>
        <v>0</v>
      </c>
      <c r="AH83" s="69" t="n">
        <f aca="false">IF(AH$6=1,Inputs!$B$70,0)</f>
        <v>0</v>
      </c>
      <c r="AI83" s="69" t="n">
        <f aca="false">IF(AI$6=1,Inputs!$B$70,0)</f>
        <v>0</v>
      </c>
      <c r="AJ83" s="69" t="n">
        <f aca="false">IF(AJ$6=1,Inputs!$B$70,0)</f>
        <v>0</v>
      </c>
      <c r="AK83" s="69" t="n">
        <f aca="false">IF(AK$6=1,Inputs!$B$70,0)</f>
        <v>0</v>
      </c>
      <c r="AL83" s="69" t="n">
        <f aca="false">IF(AL$6=1,Inputs!$B$70,0)</f>
        <v>0</v>
      </c>
    </row>
    <row r="84" customFormat="false" ht="15" hidden="false" customHeight="false" outlineLevel="0" collapsed="false">
      <c r="A84" s="6" t="s">
        <v>86</v>
      </c>
      <c r="C84" s="69" t="n">
        <f aca="false">-MIN(C82,Inputs!$B$70/MAX(1,Inputs!$B$72*12))</f>
        <v>-0</v>
      </c>
      <c r="D84" s="69" t="n">
        <f aca="false">-MIN(D82,Inputs!$B$70/MAX(1,Inputs!$B$72*12))</f>
        <v>-25000</v>
      </c>
      <c r="E84" s="69" t="n">
        <f aca="false">-MIN(E82,Inputs!$B$70/MAX(1,Inputs!$B$72*12))</f>
        <v>-25000</v>
      </c>
      <c r="F84" s="69" t="n">
        <f aca="false">-MIN(F82,Inputs!$B$70/MAX(1,Inputs!$B$72*12))</f>
        <v>-25000</v>
      </c>
      <c r="G84" s="69" t="n">
        <f aca="false">-MIN(G82,Inputs!$B$70/MAX(1,Inputs!$B$72*12))</f>
        <v>-25000</v>
      </c>
      <c r="H84" s="69" t="n">
        <f aca="false">-MIN(H82,Inputs!$B$70/MAX(1,Inputs!$B$72*12))</f>
        <v>-25000</v>
      </c>
      <c r="I84" s="69" t="n">
        <f aca="false">-MIN(I82,Inputs!$B$70/MAX(1,Inputs!$B$72*12))</f>
        <v>-25000</v>
      </c>
      <c r="J84" s="69" t="n">
        <f aca="false">-MIN(J82,Inputs!$B$70/MAX(1,Inputs!$B$72*12))</f>
        <v>-25000</v>
      </c>
      <c r="K84" s="69" t="n">
        <f aca="false">-MIN(K82,Inputs!$B$70/MAX(1,Inputs!$B$72*12))</f>
        <v>-25000</v>
      </c>
      <c r="L84" s="69" t="n">
        <f aca="false">-MIN(L82,Inputs!$B$70/MAX(1,Inputs!$B$72*12))</f>
        <v>-25000</v>
      </c>
      <c r="M84" s="69" t="n">
        <f aca="false">-MIN(M82,Inputs!$B$70/MAX(1,Inputs!$B$72*12))</f>
        <v>-25000</v>
      </c>
      <c r="N84" s="69" t="n">
        <f aca="false">-MIN(N82,Inputs!$B$70/MAX(1,Inputs!$B$72*12))</f>
        <v>-25000</v>
      </c>
      <c r="O84" s="69" t="n">
        <f aca="false">-MIN(O82,Inputs!$B$70/MAX(1,Inputs!$B$72*12))</f>
        <v>-25000</v>
      </c>
      <c r="P84" s="69" t="n">
        <f aca="false">-MIN(P82,Inputs!$B$70/MAX(1,Inputs!$B$72*12))</f>
        <v>-25000</v>
      </c>
      <c r="Q84" s="69" t="n">
        <f aca="false">-MIN(Q82,Inputs!$B$70/MAX(1,Inputs!$B$72*12))</f>
        <v>-25000</v>
      </c>
      <c r="R84" s="69" t="n">
        <f aca="false">-MIN(R82,Inputs!$B$70/MAX(1,Inputs!$B$72*12))</f>
        <v>-25000</v>
      </c>
      <c r="S84" s="69" t="n">
        <f aca="false">-MIN(S82,Inputs!$B$70/MAX(1,Inputs!$B$72*12))</f>
        <v>-25000</v>
      </c>
      <c r="T84" s="69" t="n">
        <f aca="false">-MIN(T82,Inputs!$B$70/MAX(1,Inputs!$B$72*12))</f>
        <v>-25000</v>
      </c>
      <c r="U84" s="69" t="n">
        <f aca="false">-MIN(U82,Inputs!$B$70/MAX(1,Inputs!$B$72*12))</f>
        <v>-25000</v>
      </c>
      <c r="V84" s="69" t="n">
        <f aca="false">-MIN(V82,Inputs!$B$70/MAX(1,Inputs!$B$72*12))</f>
        <v>-25000</v>
      </c>
      <c r="W84" s="69" t="n">
        <f aca="false">-MIN(W82,Inputs!$B$70/MAX(1,Inputs!$B$72*12))</f>
        <v>-25000</v>
      </c>
      <c r="X84" s="69" t="n">
        <f aca="false">-MIN(X82,Inputs!$B$70/MAX(1,Inputs!$B$72*12))</f>
        <v>-25000</v>
      </c>
      <c r="Y84" s="69" t="n">
        <f aca="false">-MIN(Y82,Inputs!$B$70/MAX(1,Inputs!$B$72*12))</f>
        <v>-25000</v>
      </c>
      <c r="Z84" s="69" t="n">
        <f aca="false">-MIN(Z82,Inputs!$B$70/MAX(1,Inputs!$B$72*12))</f>
        <v>-25000</v>
      </c>
      <c r="AA84" s="69" t="n">
        <f aca="false">-MIN(AA82,Inputs!$B$70/MAX(1,Inputs!$B$72*12))</f>
        <v>-25000</v>
      </c>
      <c r="AB84" s="69" t="n">
        <f aca="false">-MIN(AB82,Inputs!$B$70/MAX(1,Inputs!$B$72*12))</f>
        <v>-25000</v>
      </c>
      <c r="AC84" s="69" t="n">
        <f aca="false">-MIN(AC82,Inputs!$B$70/MAX(1,Inputs!$B$72*12))</f>
        <v>-25000</v>
      </c>
      <c r="AD84" s="69" t="n">
        <f aca="false">-MIN(AD82,Inputs!$B$70/MAX(1,Inputs!$B$72*12))</f>
        <v>-25000</v>
      </c>
      <c r="AE84" s="69" t="n">
        <f aca="false">-MIN(AE82,Inputs!$B$70/MAX(1,Inputs!$B$72*12))</f>
        <v>-25000</v>
      </c>
      <c r="AF84" s="69" t="n">
        <f aca="false">-MIN(AF82,Inputs!$B$70/MAX(1,Inputs!$B$72*12))</f>
        <v>-25000</v>
      </c>
      <c r="AG84" s="69" t="n">
        <f aca="false">-MIN(AG82,Inputs!$B$70/MAX(1,Inputs!$B$72*12))</f>
        <v>-25000</v>
      </c>
      <c r="AH84" s="69" t="n">
        <f aca="false">-MIN(AH82,Inputs!$B$70/MAX(1,Inputs!$B$72*12))</f>
        <v>-25000</v>
      </c>
      <c r="AI84" s="69" t="n">
        <f aca="false">-MIN(AI82,Inputs!$B$70/MAX(1,Inputs!$B$72*12))</f>
        <v>-25000</v>
      </c>
      <c r="AJ84" s="69" t="n">
        <f aca="false">-MIN(AJ82,Inputs!$B$70/MAX(1,Inputs!$B$72*12))</f>
        <v>-25000</v>
      </c>
      <c r="AK84" s="69" t="n">
        <f aca="false">-MIN(AK82,Inputs!$B$70/MAX(1,Inputs!$B$72*12))</f>
        <v>-25000</v>
      </c>
      <c r="AL84" s="69" t="n">
        <f aca="false">-MIN(AL82,Inputs!$B$70/MAX(1,Inputs!$B$72*12))</f>
        <v>-25000</v>
      </c>
    </row>
    <row r="85" customFormat="false" ht="15" hidden="false" customHeight="false" outlineLevel="0" collapsed="false">
      <c r="A85" s="4" t="s">
        <v>432</v>
      </c>
      <c r="C85" s="75" t="n">
        <f aca="false">C82+C83+C84</f>
        <v>3000000</v>
      </c>
      <c r="D85" s="75" t="n">
        <f aca="false">D82+D83+D84</f>
        <v>2975000</v>
      </c>
      <c r="E85" s="75" t="n">
        <f aca="false">E82+E83+E84</f>
        <v>2950000</v>
      </c>
      <c r="F85" s="75" t="n">
        <f aca="false">F82+F83+F84</f>
        <v>2925000</v>
      </c>
      <c r="G85" s="75" t="n">
        <f aca="false">G82+G83+G84</f>
        <v>2900000</v>
      </c>
      <c r="H85" s="75" t="n">
        <f aca="false">H82+H83+H84</f>
        <v>2875000</v>
      </c>
      <c r="I85" s="75" t="n">
        <f aca="false">I82+I83+I84</f>
        <v>2850000</v>
      </c>
      <c r="J85" s="75" t="n">
        <f aca="false">J82+J83+J84</f>
        <v>2825000</v>
      </c>
      <c r="K85" s="75" t="n">
        <f aca="false">K82+K83+K84</f>
        <v>2800000</v>
      </c>
      <c r="L85" s="75" t="n">
        <f aca="false">L82+L83+L84</f>
        <v>2775000</v>
      </c>
      <c r="M85" s="75" t="n">
        <f aca="false">M82+M83+M84</f>
        <v>2750000</v>
      </c>
      <c r="N85" s="75" t="n">
        <f aca="false">N82+N83+N84</f>
        <v>2725000</v>
      </c>
      <c r="O85" s="75" t="n">
        <f aca="false">O82+O83+O84</f>
        <v>2700000</v>
      </c>
      <c r="P85" s="75" t="n">
        <f aca="false">P82+P83+P84</f>
        <v>2675000</v>
      </c>
      <c r="Q85" s="75" t="n">
        <f aca="false">Q82+Q83+Q84</f>
        <v>2650000</v>
      </c>
      <c r="R85" s="75" t="n">
        <f aca="false">R82+R83+R84</f>
        <v>2625000</v>
      </c>
      <c r="S85" s="75" t="n">
        <f aca="false">S82+S83+S84</f>
        <v>2600000</v>
      </c>
      <c r="T85" s="75" t="n">
        <f aca="false">T82+T83+T84</f>
        <v>2575000</v>
      </c>
      <c r="U85" s="75" t="n">
        <f aca="false">U82+U83+U84</f>
        <v>2550000</v>
      </c>
      <c r="V85" s="75" t="n">
        <f aca="false">V82+V83+V84</f>
        <v>2525000</v>
      </c>
      <c r="W85" s="75" t="n">
        <f aca="false">W82+W83+W84</f>
        <v>2500000</v>
      </c>
      <c r="X85" s="75" t="n">
        <f aca="false">X82+X83+X84</f>
        <v>2475000</v>
      </c>
      <c r="Y85" s="75" t="n">
        <f aca="false">Y82+Y83+Y84</f>
        <v>2450000</v>
      </c>
      <c r="Z85" s="75" t="n">
        <f aca="false">Z82+Z83+Z84</f>
        <v>2425000</v>
      </c>
      <c r="AA85" s="75" t="n">
        <f aca="false">AA82+AA83+AA84</f>
        <v>2400000</v>
      </c>
      <c r="AB85" s="75" t="n">
        <f aca="false">AB82+AB83+AB84</f>
        <v>2375000</v>
      </c>
      <c r="AC85" s="75" t="n">
        <f aca="false">AC82+AC83+AC84</f>
        <v>2350000</v>
      </c>
      <c r="AD85" s="75" t="n">
        <f aca="false">AD82+AD83+AD84</f>
        <v>2325000</v>
      </c>
      <c r="AE85" s="75" t="n">
        <f aca="false">AE82+AE83+AE84</f>
        <v>2300000</v>
      </c>
      <c r="AF85" s="75" t="n">
        <f aca="false">AF82+AF83+AF84</f>
        <v>2275000</v>
      </c>
      <c r="AG85" s="75" t="n">
        <f aca="false">AG82+AG83+AG84</f>
        <v>2250000</v>
      </c>
      <c r="AH85" s="75" t="n">
        <f aca="false">AH82+AH83+AH84</f>
        <v>2225000</v>
      </c>
      <c r="AI85" s="75" t="n">
        <f aca="false">AI82+AI83+AI84</f>
        <v>2200000</v>
      </c>
      <c r="AJ85" s="75" t="n">
        <f aca="false">AJ82+AJ83+AJ84</f>
        <v>2175000</v>
      </c>
      <c r="AK85" s="75" t="n">
        <f aca="false">AK82+AK83+AK84</f>
        <v>2150000</v>
      </c>
      <c r="AL85" s="75" t="n">
        <f aca="false">AL82+AL83+AL84</f>
        <v>2125000</v>
      </c>
    </row>
    <row r="87" customFormat="false" ht="15.75" hidden="false" customHeight="true" outlineLevel="0" collapsed="false">
      <c r="A87" s="7" t="s">
        <v>324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customFormat="false" ht="15" hidden="false" customHeight="false" outlineLevel="0" collapsed="false">
      <c r="A88" s="6" t="s">
        <v>90</v>
      </c>
      <c r="C88" s="69" t="n">
        <f aca="false">C39*Inputs!$B$75/30</f>
        <v>1766.44693333333</v>
      </c>
      <c r="D88" s="69" t="n">
        <f aca="false">D39*Inputs!$B$75/30</f>
        <v>2025.32743111111</v>
      </c>
      <c r="E88" s="69" t="n">
        <f aca="false">E39*Inputs!$B$75/30</f>
        <v>2918.52097066667</v>
      </c>
      <c r="F88" s="69" t="n">
        <f aca="false">F39*Inputs!$B$75/30</f>
        <v>3272.1191888</v>
      </c>
      <c r="G88" s="69" t="n">
        <f aca="false">G39*Inputs!$B$75/30</f>
        <v>3631.69402936</v>
      </c>
      <c r="H88" s="69" t="n">
        <f aca="false">H39*Inputs!$B$75/30</f>
        <v>3996.94666122533</v>
      </c>
      <c r="I88" s="69" t="n">
        <f aca="false">I39*Inputs!$B$75/30</f>
        <v>4367.59319483073</v>
      </c>
      <c r="J88" s="69" t="n">
        <f aca="false">J39*Inputs!$B$75/30</f>
        <v>4743.3639350892</v>
      </c>
      <c r="K88" s="69" t="n">
        <f aca="false">K39*Inputs!$B$75/30</f>
        <v>5124.00267166807</v>
      </c>
      <c r="L88" s="69" t="n">
        <f aca="false">L39*Inputs!$B$75/30</f>
        <v>5509.26600475133</v>
      </c>
      <c r="M88" s="69" t="n">
        <f aca="false">M39*Inputs!$B$75/30</f>
        <v>5898.92270451377</v>
      </c>
      <c r="N88" s="69" t="n">
        <f aca="false">N39*Inputs!$B$75/30</f>
        <v>4996.0483915103</v>
      </c>
      <c r="O88" s="69" t="n">
        <f aca="false">O39*Inputs!$B$75/30</f>
        <v>5354.33959076525</v>
      </c>
      <c r="P88" s="69" t="n">
        <f aca="false">P39*Inputs!$B$75/30</f>
        <v>5438.99679789365</v>
      </c>
      <c r="Q88" s="69" t="n">
        <f aca="false">Q39*Inputs!$B$75/30</f>
        <v>6904.0961313323</v>
      </c>
      <c r="R88" s="69" t="n">
        <f aca="false">R39*Inputs!$B$75/30</f>
        <v>6999.99468476569</v>
      </c>
      <c r="S88" s="69" t="n">
        <f aca="false">S39*Inputs!$B$75/30</f>
        <v>7091.0983105274</v>
      </c>
      <c r="T88" s="69" t="n">
        <f aca="false">T39*Inputs!$B$75/30</f>
        <v>7177.64675500103</v>
      </c>
      <c r="U88" s="69" t="n">
        <f aca="false">U39*Inputs!$B$75/30</f>
        <v>7259.86777725098</v>
      </c>
      <c r="V88" s="69" t="n">
        <f aca="false">V39*Inputs!$B$75/30</f>
        <v>7337.97774838843</v>
      </c>
      <c r="W88" s="69" t="n">
        <f aca="false">W39*Inputs!$B$75/30</f>
        <v>7412.18222096901</v>
      </c>
      <c r="X88" s="69" t="n">
        <f aca="false">X39*Inputs!$B$75/30</f>
        <v>7482.67646992056</v>
      </c>
      <c r="Y88" s="69" t="n">
        <f aca="false">Y39*Inputs!$B$75/30</f>
        <v>7549.64600642453</v>
      </c>
      <c r="Z88" s="69" t="n">
        <f aca="false">Z39*Inputs!$B$75/30</f>
        <v>6228.59207943664</v>
      </c>
      <c r="AA88" s="69" t="n">
        <f aca="false">AA39*Inputs!$B$75/30</f>
        <v>6332.23202875279</v>
      </c>
      <c r="AB88" s="69" t="n">
        <f aca="false">AB39*Inputs!$B$75/30</f>
        <v>6371.51835584848</v>
      </c>
      <c r="AC88" s="69" t="n">
        <f aca="false">AC39*Inputs!$B$75/30</f>
        <v>7807.36210312272</v>
      </c>
      <c r="AD88" s="69" t="n">
        <f aca="false">AD39*Inputs!$B$75/30</f>
        <v>7862.50839156659</v>
      </c>
      <c r="AE88" s="69" t="n">
        <f aca="false">AE39*Inputs!$B$75/30</f>
        <v>7914.89736558826</v>
      </c>
      <c r="AF88" s="69" t="n">
        <f aca="false">AF39*Inputs!$B$75/30</f>
        <v>7964.66689090884</v>
      </c>
      <c r="AG88" s="69" t="n">
        <f aca="false">AG39*Inputs!$B$75/30</f>
        <v>8011.9479399634</v>
      </c>
      <c r="AH88" s="69" t="n">
        <f aca="false">AH39*Inputs!$B$75/30</f>
        <v>8056.86493656523</v>
      </c>
      <c r="AI88" s="69" t="n">
        <f aca="false">AI39*Inputs!$B$75/30</f>
        <v>8099.53608333697</v>
      </c>
      <c r="AJ88" s="69" t="n">
        <f aca="false">AJ39*Inputs!$B$75/30</f>
        <v>8140.07367277012</v>
      </c>
      <c r="AK88" s="69" t="n">
        <f aca="false">AK39*Inputs!$B$75/30</f>
        <v>8178.58438273162</v>
      </c>
      <c r="AL88" s="69" t="n">
        <f aca="false">AL39*Inputs!$B$75/30</f>
        <v>6816.6478206617</v>
      </c>
    </row>
    <row r="89" customFormat="false" ht="15" hidden="false" customHeight="false" outlineLevel="0" collapsed="false">
      <c r="A89" s="6" t="s">
        <v>91</v>
      </c>
      <c r="C89" s="69" t="n">
        <f aca="false">-C47*Inputs!$B$76/30</f>
        <v>1106.36695306667</v>
      </c>
      <c r="D89" s="69" t="n">
        <f aca="false">-D47*Inputs!$B$76/30</f>
        <v>1267.04841056889</v>
      </c>
      <c r="E89" s="69" t="n">
        <f aca="false">-E47*Inputs!$B$76/30</f>
        <v>1898.01000926756</v>
      </c>
      <c r="F89" s="69" t="n">
        <f aca="false">-F47*Inputs!$B$76/30</f>
        <v>2130.41345049307</v>
      </c>
      <c r="G89" s="69" t="n">
        <f aca="false">-G47*Inputs!$B$76/30</f>
        <v>2368.38809992397</v>
      </c>
      <c r="H89" s="69" t="n">
        <f aca="false">-H47*Inputs!$B$76/30</f>
        <v>2611.65539714999</v>
      </c>
      <c r="I89" s="69" t="n">
        <f aca="false">-I47*Inputs!$B$76/30</f>
        <v>2859.95070978138</v>
      </c>
      <c r="J89" s="69" t="n">
        <f aca="false">-J47*Inputs!$B$76/30</f>
        <v>3113.02263704787</v>
      </c>
      <c r="K89" s="69" t="n">
        <f aca="false">-K47*Inputs!$B$76/30</f>
        <v>3370.6323482177</v>
      </c>
      <c r="L89" s="69" t="n">
        <f aca="false">-L47*Inputs!$B$76/30</f>
        <v>3632.5529540957</v>
      </c>
      <c r="M89" s="69" t="n">
        <f aca="false">-M47*Inputs!$B$76/30</f>
        <v>3898.56890994647</v>
      </c>
      <c r="N89" s="69" t="n">
        <f aca="false">-N47*Inputs!$B$76/30</f>
        <v>3151.56364445471</v>
      </c>
      <c r="O89" s="69" t="n">
        <f aca="false">-O47*Inputs!$B$76/30</f>
        <v>3462.00865631777</v>
      </c>
      <c r="P89" s="69" t="n">
        <f aca="false">-P47*Inputs!$B$76/30</f>
        <v>3525.11180323521</v>
      </c>
      <c r="Q89" s="69" t="n">
        <f aca="false">-Q47*Inputs!$B$76/30</f>
        <v>4737.54823155042</v>
      </c>
      <c r="R89" s="69" t="n">
        <f aca="false">-R47*Inputs!$B$76/30</f>
        <v>4829.2778881329</v>
      </c>
      <c r="S89" s="69" t="n">
        <f aca="false">-S47*Inputs!$B$76/30</f>
        <v>4916.42106188625</v>
      </c>
      <c r="T89" s="69" t="n">
        <f aca="false">-T47*Inputs!$B$76/30</f>
        <v>4999.20707695194</v>
      </c>
      <c r="U89" s="69" t="n">
        <f aca="false">-U47*Inputs!$B$76/30</f>
        <v>5077.85379126435</v>
      </c>
      <c r="V89" s="69" t="n">
        <f aca="false">-V47*Inputs!$B$76/30</f>
        <v>5152.56816986113</v>
      </c>
      <c r="W89" s="69" t="n">
        <f aca="false">-W47*Inputs!$B$76/30</f>
        <v>5223.54682952807</v>
      </c>
      <c r="X89" s="69" t="n">
        <f aca="false">-X47*Inputs!$B$76/30</f>
        <v>5290.97655621167</v>
      </c>
      <c r="Y89" s="69" t="n">
        <f aca="false">-Y47*Inputs!$B$76/30</f>
        <v>5355.03479656109</v>
      </c>
      <c r="Z89" s="69" t="n">
        <f aca="false">-Z47*Inputs!$B$76/30</f>
        <v>4113.67299898733</v>
      </c>
      <c r="AA89" s="69" t="n">
        <f aca="false">-AA47*Inputs!$B$76/30</f>
        <v>4288.89500273739</v>
      </c>
      <c r="AB89" s="69" t="n">
        <f aca="false">-AB47*Inputs!$B$76/30</f>
        <v>4318.91799825599</v>
      </c>
      <c r="AC89" s="69" t="n">
        <f aca="false">-AC47*Inputs!$B$76/30</f>
        <v>5722.73855012091</v>
      </c>
      <c r="AD89" s="69" t="n">
        <f aca="false">-AD47*Inputs!$B$76/30</f>
        <v>5776.87086621167</v>
      </c>
      <c r="AE89" s="69" t="n">
        <f aca="false">-AE47*Inputs!$B$76/30</f>
        <v>5828.29656649788</v>
      </c>
      <c r="AF89" s="69" t="n">
        <f aca="false">-AF47*Inputs!$B$76/30</f>
        <v>5877.15098176979</v>
      </c>
      <c r="AG89" s="69" t="n">
        <f aca="false">-AG47*Inputs!$B$76/30</f>
        <v>5923.5626762781</v>
      </c>
      <c r="AH89" s="69" t="n">
        <f aca="false">-AH47*Inputs!$B$76/30</f>
        <v>5967.65378606099</v>
      </c>
      <c r="AI89" s="69" t="n">
        <f aca="false">-AI47*Inputs!$B$76/30</f>
        <v>6009.54034035474</v>
      </c>
      <c r="AJ89" s="69" t="n">
        <f aca="false">-AJ47*Inputs!$B$76/30</f>
        <v>6049.33256693381</v>
      </c>
      <c r="AK89" s="69" t="n">
        <f aca="false">-AK47*Inputs!$B$76/30</f>
        <v>6087.13518218392</v>
      </c>
      <c r="AL89" s="69" t="n">
        <f aca="false">-AL47*Inputs!$B$76/30</f>
        <v>4659.09029012563</v>
      </c>
    </row>
    <row r="90" customFormat="false" ht="15" hidden="false" customHeight="false" outlineLevel="0" collapsed="false">
      <c r="A90" s="6" t="s">
        <v>94</v>
      </c>
      <c r="C90" s="69" t="n">
        <f aca="false">-C47*Inputs!$B$77/30</f>
        <v>3161.04843733333</v>
      </c>
      <c r="D90" s="69" t="n">
        <f aca="false">-D47*Inputs!$B$77/30</f>
        <v>3620.13831591111</v>
      </c>
      <c r="E90" s="69" t="n">
        <f aca="false">-E47*Inputs!$B$77/30</f>
        <v>5422.88574076444</v>
      </c>
      <c r="F90" s="69" t="n">
        <f aca="false">-F47*Inputs!$B$77/30</f>
        <v>6086.89557283733</v>
      </c>
      <c r="G90" s="69" t="n">
        <f aca="false">-G47*Inputs!$B$77/30</f>
        <v>6766.82314263991</v>
      </c>
      <c r="H90" s="69" t="n">
        <f aca="false">-H47*Inputs!$B$77/30</f>
        <v>7461.87256328569</v>
      </c>
      <c r="I90" s="69" t="n">
        <f aca="false">-I47*Inputs!$B$77/30</f>
        <v>8171.28774223252</v>
      </c>
      <c r="J90" s="69" t="n">
        <f aca="false">-J47*Inputs!$B$77/30</f>
        <v>8894.35039156534</v>
      </c>
      <c r="K90" s="69" t="n">
        <f aca="false">-K47*Inputs!$B$77/30</f>
        <v>9630.37813776485</v>
      </c>
      <c r="L90" s="69" t="n">
        <f aca="false">-L47*Inputs!$B$77/30</f>
        <v>10378.7227259877</v>
      </c>
      <c r="M90" s="69" t="n">
        <f aca="false">-M47*Inputs!$B$77/30</f>
        <v>11138.7683141328</v>
      </c>
      <c r="N90" s="69" t="n">
        <f aca="false">-N47*Inputs!$B$77/30</f>
        <v>9004.46755558487</v>
      </c>
      <c r="O90" s="69" t="n">
        <f aca="false">-O47*Inputs!$B$77/30</f>
        <v>9891.45330376506</v>
      </c>
      <c r="P90" s="69" t="n">
        <f aca="false">-P47*Inputs!$B$77/30</f>
        <v>10071.7480092435</v>
      </c>
      <c r="Q90" s="69" t="n">
        <f aca="false">-Q47*Inputs!$B$77/30</f>
        <v>13535.8520901441</v>
      </c>
      <c r="R90" s="69" t="n">
        <f aca="false">-R47*Inputs!$B$77/30</f>
        <v>13797.9368232369</v>
      </c>
      <c r="S90" s="69" t="n">
        <f aca="false">-S47*Inputs!$B$77/30</f>
        <v>14046.917319675</v>
      </c>
      <c r="T90" s="69" t="n">
        <f aca="false">-T47*Inputs!$B$77/30</f>
        <v>14283.4487912913</v>
      </c>
      <c r="U90" s="69" t="n">
        <f aca="false">-U47*Inputs!$B$77/30</f>
        <v>14508.1536893267</v>
      </c>
      <c r="V90" s="69" t="n">
        <f aca="false">-V47*Inputs!$B$77/30</f>
        <v>14721.6233424604</v>
      </c>
      <c r="W90" s="69" t="n">
        <f aca="false">-W47*Inputs!$B$77/30</f>
        <v>14924.4195129374</v>
      </c>
      <c r="X90" s="69" t="n">
        <f aca="false">-X47*Inputs!$B$77/30</f>
        <v>15117.0758748905</v>
      </c>
      <c r="Y90" s="69" t="n">
        <f aca="false">-Y47*Inputs!$B$77/30</f>
        <v>15300.099418746</v>
      </c>
      <c r="Z90" s="69" t="n">
        <f aca="false">-Z47*Inputs!$B$77/30</f>
        <v>11753.3514256781</v>
      </c>
      <c r="AA90" s="69" t="n">
        <f aca="false">-AA47*Inputs!$B$77/30</f>
        <v>12253.9857221068</v>
      </c>
      <c r="AB90" s="69" t="n">
        <f aca="false">-AB47*Inputs!$B$77/30</f>
        <v>12339.7657093028</v>
      </c>
      <c r="AC90" s="69" t="n">
        <f aca="false">-AC47*Inputs!$B$77/30</f>
        <v>16350.681571774</v>
      </c>
      <c r="AD90" s="69" t="n">
        <f aca="false">-AD47*Inputs!$B$77/30</f>
        <v>16505.3453320333</v>
      </c>
      <c r="AE90" s="69" t="n">
        <f aca="false">-AE47*Inputs!$B$77/30</f>
        <v>16652.2759042797</v>
      </c>
      <c r="AF90" s="69" t="n">
        <f aca="false">-AF47*Inputs!$B$77/30</f>
        <v>16791.8599479137</v>
      </c>
      <c r="AG90" s="69" t="n">
        <f aca="false">-AG47*Inputs!$B$77/30</f>
        <v>16924.464789366</v>
      </c>
      <c r="AH90" s="69" t="n">
        <f aca="false">-AH47*Inputs!$B$77/30</f>
        <v>17050.4393887457</v>
      </c>
      <c r="AI90" s="69" t="n">
        <f aca="false">-AI47*Inputs!$B$77/30</f>
        <v>17170.1152581564</v>
      </c>
      <c r="AJ90" s="69" t="n">
        <f aca="false">-AJ47*Inputs!$B$77/30</f>
        <v>17283.8073340966</v>
      </c>
      <c r="AK90" s="69" t="n">
        <f aca="false">-AK47*Inputs!$B$77/30</f>
        <v>17391.8148062398</v>
      </c>
      <c r="AL90" s="69" t="n">
        <f aca="false">-AL47*Inputs!$B$77/30</f>
        <v>13311.6865432161</v>
      </c>
    </row>
    <row r="91" customFormat="false" ht="15" hidden="false" customHeight="false" outlineLevel="0" collapsed="false">
      <c r="A91" s="6" t="s">
        <v>346</v>
      </c>
      <c r="C91" s="69" t="n">
        <f aca="false">-C88</f>
        <v>-1766.44693333333</v>
      </c>
      <c r="D91" s="69" t="n">
        <f aca="false">C88-D88</f>
        <v>-258.880497777778</v>
      </c>
      <c r="E91" s="69" t="n">
        <f aca="false">D88-E88</f>
        <v>-893.193539555554</v>
      </c>
      <c r="F91" s="69" t="n">
        <f aca="false">E88-F88</f>
        <v>-353.598218133333</v>
      </c>
      <c r="G91" s="69" t="n">
        <f aca="false">F88-G88</f>
        <v>-359.574840560001</v>
      </c>
      <c r="H91" s="69" t="n">
        <f aca="false">G88-H88</f>
        <v>-365.252631865334</v>
      </c>
      <c r="I91" s="69" t="n">
        <f aca="false">H88-I88</f>
        <v>-370.646533605399</v>
      </c>
      <c r="J91" s="69" t="n">
        <f aca="false">I88-J88</f>
        <v>-375.770740258463</v>
      </c>
      <c r="K91" s="69" t="n">
        <f aca="false">J88-K88</f>
        <v>-380.638736578874</v>
      </c>
      <c r="L91" s="69" t="n">
        <f aca="false">K88-L88</f>
        <v>-385.263333083262</v>
      </c>
      <c r="M91" s="69" t="n">
        <f aca="false">L88-M88</f>
        <v>-389.656699762433</v>
      </c>
      <c r="N91" s="69" t="n">
        <f aca="false">M88-N88</f>
        <v>902.874313003465</v>
      </c>
      <c r="O91" s="69" t="n">
        <f aca="false">N88-O88</f>
        <v>-358.291199254945</v>
      </c>
      <c r="P91" s="69" t="n">
        <f aca="false">O88-P88</f>
        <v>-84.6572071284036</v>
      </c>
      <c r="Q91" s="69" t="n">
        <f aca="false">P88-Q88</f>
        <v>-1465.09933343865</v>
      </c>
      <c r="R91" s="69" t="n">
        <f aca="false">Q88-R88</f>
        <v>-95.8985534333851</v>
      </c>
      <c r="S91" s="69" t="n">
        <f aca="false">R88-S88</f>
        <v>-91.1036257617161</v>
      </c>
      <c r="T91" s="69" t="n">
        <f aca="false">S88-T88</f>
        <v>-86.5484444736294</v>
      </c>
      <c r="U91" s="69" t="n">
        <f aca="false">T88-U88</f>
        <v>-82.2210222499489</v>
      </c>
      <c r="V91" s="69" t="n">
        <f aca="false">U88-V88</f>
        <v>-78.10997113745</v>
      </c>
      <c r="W91" s="69" t="n">
        <f aca="false">V88-W88</f>
        <v>-74.2044725805799</v>
      </c>
      <c r="X91" s="69" t="n">
        <f aca="false">W88-X88</f>
        <v>-70.4942489515479</v>
      </c>
      <c r="Y91" s="69" t="n">
        <f aca="false">X88-Y88</f>
        <v>-66.9695365039734</v>
      </c>
      <c r="Z91" s="69" t="n">
        <f aca="false">Y88-Z88</f>
        <v>1321.05392698789</v>
      </c>
      <c r="AA91" s="69" t="n">
        <f aca="false">Z88-AA88</f>
        <v>-103.639949316149</v>
      </c>
      <c r="AB91" s="69" t="n">
        <f aca="false">AA88-AB88</f>
        <v>-39.2863270956941</v>
      </c>
      <c r="AC91" s="69" t="n">
        <f aca="false">AB88-AC88</f>
        <v>-1435.84374727424</v>
      </c>
      <c r="AD91" s="69" t="n">
        <f aca="false">AC88-AD88</f>
        <v>-55.1462884438633</v>
      </c>
      <c r="AE91" s="69" t="n">
        <f aca="false">AD88-AE88</f>
        <v>-52.388974021671</v>
      </c>
      <c r="AF91" s="69" t="n">
        <f aca="false">AE88-AF88</f>
        <v>-49.7695253205866</v>
      </c>
      <c r="AG91" s="69" t="n">
        <f aca="false">AF88-AG88</f>
        <v>-47.281049054558</v>
      </c>
      <c r="AH91" s="69" t="n">
        <f aca="false">AG88-AH88</f>
        <v>-44.9169966018299</v>
      </c>
      <c r="AI91" s="69" t="n">
        <f aca="false">AH88-AI88</f>
        <v>-42.6711467717378</v>
      </c>
      <c r="AJ91" s="69" t="n">
        <f aca="false">AI88-AJ88</f>
        <v>-40.537589433151</v>
      </c>
      <c r="AK91" s="69" t="n">
        <f aca="false">AJ88-AK88</f>
        <v>-38.5107099614943</v>
      </c>
      <c r="AL91" s="69" t="n">
        <f aca="false">AK88-AL88</f>
        <v>1361.93656206991</v>
      </c>
    </row>
    <row r="92" customFormat="false" ht="15" hidden="false" customHeight="false" outlineLevel="0" collapsed="false">
      <c r="A92" s="6" t="s">
        <v>347</v>
      </c>
      <c r="C92" s="69" t="n">
        <f aca="false">-C89</f>
        <v>-1106.36695306667</v>
      </c>
      <c r="D92" s="69" t="n">
        <f aca="false">C89-D89</f>
        <v>-160.681457502222</v>
      </c>
      <c r="E92" s="69" t="n">
        <f aca="false">D89-E89</f>
        <v>-630.961598698666</v>
      </c>
      <c r="F92" s="69" t="n">
        <f aca="false">E89-F89</f>
        <v>-232.403441225511</v>
      </c>
      <c r="G92" s="69" t="n">
        <f aca="false">F89-G89</f>
        <v>-237.974649430903</v>
      </c>
      <c r="H92" s="69" t="n">
        <f aca="false">G89-H89</f>
        <v>-243.267297226023</v>
      </c>
      <c r="I92" s="69" t="n">
        <f aca="false">H89-I89</f>
        <v>-248.29531263139</v>
      </c>
      <c r="J92" s="69" t="n">
        <f aca="false">I89-J89</f>
        <v>-253.071927266486</v>
      </c>
      <c r="K92" s="69" t="n">
        <f aca="false">J89-K89</f>
        <v>-257.609711169829</v>
      </c>
      <c r="L92" s="69" t="n">
        <f aca="false">K89-L89</f>
        <v>-261.920605878003</v>
      </c>
      <c r="M92" s="69" t="n">
        <f aca="false">L89-M89</f>
        <v>-266.015955850771</v>
      </c>
      <c r="N92" s="69" t="n">
        <f aca="false">M89-N89</f>
        <v>747.005265491765</v>
      </c>
      <c r="O92" s="69" t="n">
        <f aca="false">N89-O89</f>
        <v>-310.445011863065</v>
      </c>
      <c r="P92" s="69" t="n">
        <f aca="false">O89-P89</f>
        <v>-63.103146917445</v>
      </c>
      <c r="Q92" s="69" t="n">
        <f aca="false">P89-Q89</f>
        <v>-1212.43642831521</v>
      </c>
      <c r="R92" s="69" t="n">
        <f aca="false">Q89-R89</f>
        <v>-91.72965658248</v>
      </c>
      <c r="S92" s="69" t="n">
        <f aca="false">R89-S89</f>
        <v>-87.143173753354</v>
      </c>
      <c r="T92" s="69" t="n">
        <f aca="false">S89-T89</f>
        <v>-82.7860150656888</v>
      </c>
      <c r="U92" s="69" t="n">
        <f aca="false">T89-U89</f>
        <v>-78.6467143124037</v>
      </c>
      <c r="V92" s="69" t="n">
        <f aca="false">U89-V89</f>
        <v>-74.7143785967819</v>
      </c>
      <c r="W92" s="69" t="n">
        <f aca="false">V89-W89</f>
        <v>-70.9786596669437</v>
      </c>
      <c r="X92" s="69" t="n">
        <f aca="false">W89-X89</f>
        <v>-67.4297266835956</v>
      </c>
      <c r="Y92" s="69" t="n">
        <f aca="false">X89-Y89</f>
        <v>-64.0582403494173</v>
      </c>
      <c r="Z92" s="69" t="n">
        <f aca="false">Y89-Z89</f>
        <v>1241.36179757375</v>
      </c>
      <c r="AA92" s="69" t="n">
        <f aca="false">Z89-AA89</f>
        <v>-175.222003750057</v>
      </c>
      <c r="AB92" s="69" t="n">
        <f aca="false">AA89-AB89</f>
        <v>-30.0229955185978</v>
      </c>
      <c r="AC92" s="69" t="n">
        <f aca="false">AB89-AC89</f>
        <v>-1403.82055186492</v>
      </c>
      <c r="AD92" s="69" t="n">
        <f aca="false">AC89-AD89</f>
        <v>-54.1323160907541</v>
      </c>
      <c r="AE92" s="69" t="n">
        <f aca="false">AD89-AE89</f>
        <v>-51.4257002862159</v>
      </c>
      <c r="AF92" s="69" t="n">
        <f aca="false">AE89-AF89</f>
        <v>-48.8544152719069</v>
      </c>
      <c r="AG92" s="69" t="n">
        <f aca="false">AF89-AG89</f>
        <v>-46.4116945083115</v>
      </c>
      <c r="AH92" s="69" t="n">
        <f aca="false">AG89-AH89</f>
        <v>-44.0911097828939</v>
      </c>
      <c r="AI92" s="69" t="n">
        <f aca="false">AH89-AI89</f>
        <v>-41.8865542937501</v>
      </c>
      <c r="AJ92" s="69" t="n">
        <f aca="false">AI89-AJ89</f>
        <v>-39.7922265790621</v>
      </c>
      <c r="AK92" s="69" t="n">
        <f aca="false">AJ89-AK89</f>
        <v>-37.8026152501097</v>
      </c>
      <c r="AL92" s="69" t="n">
        <f aca="false">AK89-AL89</f>
        <v>1428.04489205828</v>
      </c>
    </row>
    <row r="93" customFormat="false" ht="15" hidden="false" customHeight="false" outlineLevel="0" collapsed="false">
      <c r="A93" s="6" t="s">
        <v>348</v>
      </c>
      <c r="C93" s="69" t="n">
        <f aca="false">C90</f>
        <v>3161.04843733333</v>
      </c>
      <c r="D93" s="69" t="n">
        <f aca="false">D90-C90</f>
        <v>459.089878577779</v>
      </c>
      <c r="E93" s="69" t="n">
        <f aca="false">E90-D90</f>
        <v>1802.74742485333</v>
      </c>
      <c r="F93" s="69" t="n">
        <f aca="false">F90-E90</f>
        <v>664.009832072889</v>
      </c>
      <c r="G93" s="69" t="n">
        <f aca="false">G90-F90</f>
        <v>679.927569802581</v>
      </c>
      <c r="H93" s="69" t="n">
        <f aca="false">H90-G90</f>
        <v>695.049420645781</v>
      </c>
      <c r="I93" s="69" t="n">
        <f aca="false">I90-H90</f>
        <v>709.415178946827</v>
      </c>
      <c r="J93" s="69" t="n">
        <f aca="false">J90-I90</f>
        <v>723.062649332815</v>
      </c>
      <c r="K93" s="69" t="n">
        <f aca="false">K90-J90</f>
        <v>736.027746199512</v>
      </c>
      <c r="L93" s="69" t="n">
        <f aca="false">L90-K90</f>
        <v>748.344588222868</v>
      </c>
      <c r="M93" s="69" t="n">
        <f aca="false">M90-L90</f>
        <v>760.04558814506</v>
      </c>
      <c r="N93" s="69" t="n">
        <f aca="false">N90-M90</f>
        <v>-2134.3007585479</v>
      </c>
      <c r="O93" s="69" t="n">
        <f aca="false">O90-N90</f>
        <v>886.985748180186</v>
      </c>
      <c r="P93" s="69" t="n">
        <f aca="false">P90-O90</f>
        <v>180.294705478411</v>
      </c>
      <c r="Q93" s="69" t="n">
        <f aca="false">Q90-P90</f>
        <v>3464.10408090059</v>
      </c>
      <c r="R93" s="69" t="n">
        <f aca="false">R90-Q90</f>
        <v>262.084733092795</v>
      </c>
      <c r="S93" s="69" t="n">
        <f aca="false">S90-R90</f>
        <v>248.980496438156</v>
      </c>
      <c r="T93" s="69" t="n">
        <f aca="false">T90-S90</f>
        <v>236.531471616252</v>
      </c>
      <c r="U93" s="69" t="n">
        <f aca="false">U90-T90</f>
        <v>224.704898035438</v>
      </c>
      <c r="V93" s="69" t="n">
        <f aca="false">V90-U90</f>
        <v>213.469653133667</v>
      </c>
      <c r="W93" s="69" t="n">
        <f aca="false">W90-V90</f>
        <v>202.79617047698</v>
      </c>
      <c r="X93" s="69" t="n">
        <f aca="false">X90-W90</f>
        <v>192.656361953132</v>
      </c>
      <c r="Y93" s="69" t="n">
        <f aca="false">Y90-X90</f>
        <v>183.023543855477</v>
      </c>
      <c r="Z93" s="69" t="n">
        <f aca="false">Z90-Y90</f>
        <v>-3546.74799306787</v>
      </c>
      <c r="AA93" s="69" t="n">
        <f aca="false">AA90-Z90</f>
        <v>500.634296428734</v>
      </c>
      <c r="AB93" s="69" t="n">
        <f aca="false">AB90-AA90</f>
        <v>85.7799871959942</v>
      </c>
      <c r="AC93" s="69" t="n">
        <f aca="false">AC90-AB90</f>
        <v>4010.91586247121</v>
      </c>
      <c r="AD93" s="69" t="n">
        <f aca="false">AD90-AC90</f>
        <v>154.663760259298</v>
      </c>
      <c r="AE93" s="69" t="n">
        <f aca="false">AE90-AD90</f>
        <v>146.930572246332</v>
      </c>
      <c r="AF93" s="69" t="n">
        <f aca="false">AF90-AE90</f>
        <v>139.584043634015</v>
      </c>
      <c r="AG93" s="69" t="n">
        <f aca="false">AG90-AF90</f>
        <v>132.604841452321</v>
      </c>
      <c r="AH93" s="69" t="n">
        <f aca="false">AH90-AG90</f>
        <v>125.974599379697</v>
      </c>
      <c r="AI93" s="69" t="n">
        <f aca="false">AI90-AH90</f>
        <v>119.675869410719</v>
      </c>
      <c r="AJ93" s="69" t="n">
        <f aca="false">AJ90-AI90</f>
        <v>113.692075940173</v>
      </c>
      <c r="AK93" s="69" t="n">
        <f aca="false">AK90-AJ90</f>
        <v>108.00747214317</v>
      </c>
      <c r="AL93" s="69" t="n">
        <f aca="false">AL90-AK90</f>
        <v>-4080.12826302366</v>
      </c>
    </row>
    <row r="95" customFormat="false" ht="15.75" hidden="false" customHeight="true" outlineLevel="0" collapsed="false">
      <c r="A95" s="7" t="s">
        <v>433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customFormat="false" ht="15" hidden="false" customHeight="false" outlineLevel="0" collapsed="false">
      <c r="A96" s="4" t="s">
        <v>52</v>
      </c>
      <c r="C96" s="75" t="n">
        <f aca="false">C66-C77+C91+C92+C93</f>
        <v>-92793.3007717333</v>
      </c>
      <c r="D96" s="75" t="n">
        <f aca="false">D66-D77+D91+D92+D93</f>
        <v>-89758.8930839022</v>
      </c>
      <c r="E96" s="75" t="n">
        <f aca="false">E66-E77+E91+E92+E93</f>
        <v>-78648.9634312142</v>
      </c>
      <c r="F96" s="75" t="n">
        <f aca="false">F66-F77+F91+F92+F93</f>
        <v>-74364.5056878753</v>
      </c>
      <c r="G96" s="75" t="n">
        <f aca="false">G66-G77+G91+G92+G93</f>
        <v>-69809.3211937482</v>
      </c>
      <c r="H96" s="75" t="n">
        <f aca="false">H66-H77+H91+H92+H93</f>
        <v>-65191.8711016608</v>
      </c>
      <c r="I96" s="75" t="n">
        <f aca="false">I66-I77+I91+I92+I93</f>
        <v>-60515.2686915111</v>
      </c>
      <c r="J96" s="75" t="n">
        <f aca="false">J66-J77+J91+J92+J93</f>
        <v>-55782.4715792022</v>
      </c>
      <c r="K96" s="75" t="n">
        <f aca="false">K66-K77+K91+K92+K93</f>
        <v>-50996.2894998421</v>
      </c>
      <c r="L96" s="75" t="n">
        <f aca="false">L66-L77+L91+L92+L93</f>
        <v>-46159.3917017833</v>
      </c>
      <c r="M96" s="75" t="n">
        <f aca="false">M66-M77+M91+M92+M93</f>
        <v>-41274.3139709608</v>
      </c>
      <c r="N96" s="75" t="n">
        <f aca="false">N66-N77+N91+N92+N93</f>
        <v>-52027.6883074422</v>
      </c>
      <c r="O96" s="75" t="n">
        <f aca="false">O66-O77+O91+O92+O93</f>
        <v>-46101.6448904401</v>
      </c>
      <c r="P96" s="75" t="n">
        <f aca="false">P66-P77+P91+P92+P93</f>
        <v>-45110.8606940279</v>
      </c>
      <c r="Q96" s="75" t="n">
        <f aca="false">Q66-Q77+Q91+Q92+Q93</f>
        <v>-27399.4095127515</v>
      </c>
      <c r="R96" s="75" t="n">
        <f aca="false">R66-R77+R91+R92+R93</f>
        <v>-26889.0867736264</v>
      </c>
      <c r="S96" s="75" t="n">
        <f aca="false">S66-S77+S91+S92+S93</f>
        <v>-25722.6426246784</v>
      </c>
      <c r="T96" s="75" t="n">
        <f aca="false">T66-T77+T91+T92+T93</f>
        <v>-24605.6665165112</v>
      </c>
      <c r="U96" s="75" t="n">
        <f aca="false">U66-U77+U91+U92+U93</f>
        <v>-23535.6850470856</v>
      </c>
      <c r="V96" s="75" t="n">
        <f aca="false">V66-V77+V91+V92+V93</f>
        <v>-22510.3484844647</v>
      </c>
      <c r="W96" s="75" t="n">
        <f aca="false">W66-W77+W91+W92+W93</f>
        <v>-21527.4245833081</v>
      </c>
      <c r="X96" s="75" t="n">
        <f aca="false">X66-X77+X91+X92+X93</f>
        <v>-20584.7927105427</v>
      </c>
      <c r="Y96" s="75" t="n">
        <f aca="false">Y66-Y77+Y91+Y92+Y93</f>
        <v>-19680.4382647489</v>
      </c>
      <c r="Z96" s="75" t="n">
        <f aca="false">Z66-Z77+Z91+Z92+Z93</f>
        <v>-35035.3698821405</v>
      </c>
      <c r="AA96" s="75" t="n">
        <f aca="false">AA66-AA77+AA91+AA92+AA93</f>
        <v>-33010.0621418393</v>
      </c>
      <c r="AB96" s="75" t="n">
        <f aca="false">AB66-AB77+AB91+AB92+AB93</f>
        <v>-32577.6555616453</v>
      </c>
      <c r="AC96" s="75" t="n">
        <f aca="false">AC66-AC77+AC91+AC92+AC93</f>
        <v>-15724.5089141548</v>
      </c>
      <c r="AD96" s="75" t="n">
        <f aca="false">AD66-AD77+AD91+AD92+AD93</f>
        <v>-16078.0933021599</v>
      </c>
      <c r="AE96" s="75" t="n">
        <f aca="false">AE66-AE77+AE91+AE92+AE93</f>
        <v>-15337.8404746572</v>
      </c>
      <c r="AF96" s="75" t="n">
        <f aca="false">AF66-AF77+AF91+AF92+AF93</f>
        <v>-14625.746121863</v>
      </c>
      <c r="AG96" s="75" t="n">
        <f aca="false">AG66-AG77+AG91+AG92+AG93</f>
        <v>-13940.4023200419</v>
      </c>
      <c r="AH96" s="75" t="n">
        <f aca="false">AH66-AH77+AH91+AH92+AH93</f>
        <v>-13280.4715416451</v>
      </c>
      <c r="AI96" s="75" t="n">
        <f aca="false">AI66-AI77+AI91+AI92+AI93</f>
        <v>-12644.6831355015</v>
      </c>
      <c r="AJ96" s="75" t="n">
        <f aca="false">AJ66-AJ77+AJ91+AJ92+AJ93</f>
        <v>-12031.8299829984</v>
      </c>
      <c r="AK96" s="75" t="n">
        <f aca="false">AK66-AK77+AK91+AK92+AK93</f>
        <v>-11440.7653214538</v>
      </c>
      <c r="AL96" s="75" t="n">
        <f aca="false">AL66-AL77+AL91+AL92+AL93</f>
        <v>-26894.3789804608</v>
      </c>
    </row>
    <row r="97" customFormat="false" ht="15" hidden="false" customHeight="false" outlineLevel="0" collapsed="false">
      <c r="A97" s="6" t="s">
        <v>434</v>
      </c>
      <c r="C97" s="69" t="n">
        <f aca="false">-C74</f>
        <v>-4100000</v>
      </c>
      <c r="D97" s="69" t="n">
        <f aca="false">-D74</f>
        <v>-0</v>
      </c>
      <c r="E97" s="69" t="n">
        <f aca="false">-E74</f>
        <v>-0</v>
      </c>
      <c r="F97" s="69" t="n">
        <f aca="false">-F74</f>
        <v>-0</v>
      </c>
      <c r="G97" s="69" t="n">
        <f aca="false">-G74</f>
        <v>-0</v>
      </c>
      <c r="H97" s="69" t="n">
        <f aca="false">-H74</f>
        <v>-0</v>
      </c>
      <c r="I97" s="69" t="n">
        <f aca="false">-I74</f>
        <v>-0</v>
      </c>
      <c r="J97" s="69" t="n">
        <f aca="false">-J74</f>
        <v>-0</v>
      </c>
      <c r="K97" s="69" t="n">
        <f aca="false">-K74</f>
        <v>-0</v>
      </c>
      <c r="L97" s="69" t="n">
        <f aca="false">-L74</f>
        <v>-0</v>
      </c>
      <c r="M97" s="69" t="n">
        <f aca="false">-M74</f>
        <v>-0</v>
      </c>
      <c r="N97" s="69" t="n">
        <f aca="false">-N74</f>
        <v>-0</v>
      </c>
      <c r="O97" s="69" t="n">
        <f aca="false">-O74</f>
        <v>-40000</v>
      </c>
      <c r="P97" s="69" t="n">
        <f aca="false">-P74</f>
        <v>-0</v>
      </c>
      <c r="Q97" s="69" t="n">
        <f aca="false">-Q74</f>
        <v>-0</v>
      </c>
      <c r="R97" s="69" t="n">
        <f aca="false">-R74</f>
        <v>-0</v>
      </c>
      <c r="S97" s="69" t="n">
        <f aca="false">-S74</f>
        <v>-0</v>
      </c>
      <c r="T97" s="69" t="n">
        <f aca="false">-T74</f>
        <v>-0</v>
      </c>
      <c r="U97" s="69" t="n">
        <f aca="false">-U74</f>
        <v>-0</v>
      </c>
      <c r="V97" s="69" t="n">
        <f aca="false">-V74</f>
        <v>-0</v>
      </c>
      <c r="W97" s="69" t="n">
        <f aca="false">-W74</f>
        <v>-0</v>
      </c>
      <c r="X97" s="69" t="n">
        <f aca="false">-X74</f>
        <v>-0</v>
      </c>
      <c r="Y97" s="69" t="n">
        <f aca="false">-Y74</f>
        <v>-0</v>
      </c>
      <c r="Z97" s="69" t="n">
        <f aca="false">-Z74</f>
        <v>-0</v>
      </c>
      <c r="AA97" s="69" t="n">
        <f aca="false">-AA74</f>
        <v>-40000</v>
      </c>
      <c r="AB97" s="69" t="n">
        <f aca="false">-AB74</f>
        <v>-0</v>
      </c>
      <c r="AC97" s="69" t="n">
        <f aca="false">-AC74</f>
        <v>-0</v>
      </c>
      <c r="AD97" s="69" t="n">
        <f aca="false">-AD74</f>
        <v>-0</v>
      </c>
      <c r="AE97" s="69" t="n">
        <f aca="false">-AE74</f>
        <v>-0</v>
      </c>
      <c r="AF97" s="69" t="n">
        <f aca="false">-AF74</f>
        <v>-0</v>
      </c>
      <c r="AG97" s="69" t="n">
        <f aca="false">-AG74</f>
        <v>-0</v>
      </c>
      <c r="AH97" s="69" t="n">
        <f aca="false">-AH74</f>
        <v>-0</v>
      </c>
      <c r="AI97" s="69" t="n">
        <f aca="false">-AI74</f>
        <v>-0</v>
      </c>
      <c r="AJ97" s="69" t="n">
        <f aca="false">-AJ74</f>
        <v>-0</v>
      </c>
      <c r="AK97" s="69" t="n">
        <f aca="false">-AK74</f>
        <v>-0</v>
      </c>
      <c r="AL97" s="69" t="n">
        <f aca="false">-AL74</f>
        <v>-0</v>
      </c>
    </row>
    <row r="98" customFormat="false" ht="15" hidden="false" customHeight="false" outlineLevel="0" collapsed="false">
      <c r="A98" s="6" t="s">
        <v>64</v>
      </c>
      <c r="C98" s="69" t="n">
        <f aca="false">IF(C$6=1,Inputs!$B$69,0)</f>
        <v>2100000</v>
      </c>
      <c r="D98" s="69" t="n">
        <f aca="false">IF(D$6=1,Inputs!$B$69,0)</f>
        <v>0</v>
      </c>
      <c r="E98" s="69" t="n">
        <f aca="false">IF(E$6=1,Inputs!$B$69,0)</f>
        <v>0</v>
      </c>
      <c r="F98" s="69" t="n">
        <f aca="false">IF(F$6=1,Inputs!$B$69,0)</f>
        <v>0</v>
      </c>
      <c r="G98" s="69" t="n">
        <f aca="false">IF(G$6=1,Inputs!$B$69,0)</f>
        <v>0</v>
      </c>
      <c r="H98" s="69" t="n">
        <f aca="false">IF(H$6=1,Inputs!$B$69,0)</f>
        <v>0</v>
      </c>
      <c r="I98" s="69" t="n">
        <f aca="false">IF(I$6=1,Inputs!$B$69,0)</f>
        <v>0</v>
      </c>
      <c r="J98" s="69" t="n">
        <f aca="false">IF(J$6=1,Inputs!$B$69,0)</f>
        <v>0</v>
      </c>
      <c r="K98" s="69" t="n">
        <f aca="false">IF(K$6=1,Inputs!$B$69,0)</f>
        <v>0</v>
      </c>
      <c r="L98" s="69" t="n">
        <f aca="false">IF(L$6=1,Inputs!$B$69,0)</f>
        <v>0</v>
      </c>
      <c r="M98" s="69" t="n">
        <f aca="false">IF(M$6=1,Inputs!$B$69,0)</f>
        <v>0</v>
      </c>
      <c r="N98" s="69" t="n">
        <f aca="false">IF(N$6=1,Inputs!$B$69,0)</f>
        <v>0</v>
      </c>
      <c r="O98" s="69" t="n">
        <f aca="false">IF(O$6=1,Inputs!$B$69,0)</f>
        <v>0</v>
      </c>
      <c r="P98" s="69" t="n">
        <f aca="false">IF(P$6=1,Inputs!$B$69,0)</f>
        <v>0</v>
      </c>
      <c r="Q98" s="69" t="n">
        <f aca="false">IF(Q$6=1,Inputs!$B$69,0)</f>
        <v>0</v>
      </c>
      <c r="R98" s="69" t="n">
        <f aca="false">IF(R$6=1,Inputs!$B$69,0)</f>
        <v>0</v>
      </c>
      <c r="S98" s="69" t="n">
        <f aca="false">IF(S$6=1,Inputs!$B$69,0)</f>
        <v>0</v>
      </c>
      <c r="T98" s="69" t="n">
        <f aca="false">IF(T$6=1,Inputs!$B$69,0)</f>
        <v>0</v>
      </c>
      <c r="U98" s="69" t="n">
        <f aca="false">IF(U$6=1,Inputs!$B$69,0)</f>
        <v>0</v>
      </c>
      <c r="V98" s="69" t="n">
        <f aca="false">IF(V$6=1,Inputs!$B$69,0)</f>
        <v>0</v>
      </c>
      <c r="W98" s="69" t="n">
        <f aca="false">IF(W$6=1,Inputs!$B$69,0)</f>
        <v>0</v>
      </c>
      <c r="X98" s="69" t="n">
        <f aca="false">IF(X$6=1,Inputs!$B$69,0)</f>
        <v>0</v>
      </c>
      <c r="Y98" s="69" t="n">
        <f aca="false">IF(Y$6=1,Inputs!$B$69,0)</f>
        <v>0</v>
      </c>
      <c r="Z98" s="69" t="n">
        <f aca="false">IF(Z$6=1,Inputs!$B$69,0)</f>
        <v>0</v>
      </c>
      <c r="AA98" s="69" t="n">
        <f aca="false">IF(AA$6=1,Inputs!$B$69,0)</f>
        <v>0</v>
      </c>
      <c r="AB98" s="69" t="n">
        <f aca="false">IF(AB$6=1,Inputs!$B$69,0)</f>
        <v>0</v>
      </c>
      <c r="AC98" s="69" t="n">
        <f aca="false">IF(AC$6=1,Inputs!$B$69,0)</f>
        <v>0</v>
      </c>
      <c r="AD98" s="69" t="n">
        <f aca="false">IF(AD$6=1,Inputs!$B$69,0)</f>
        <v>0</v>
      </c>
      <c r="AE98" s="69" t="n">
        <f aca="false">IF(AE$6=1,Inputs!$B$69,0)</f>
        <v>0</v>
      </c>
      <c r="AF98" s="69" t="n">
        <f aca="false">IF(AF$6=1,Inputs!$B$69,0)</f>
        <v>0</v>
      </c>
      <c r="AG98" s="69" t="n">
        <f aca="false">IF(AG$6=1,Inputs!$B$69,0)</f>
        <v>0</v>
      </c>
      <c r="AH98" s="69" t="n">
        <f aca="false">IF(AH$6=1,Inputs!$B$69,0)</f>
        <v>0</v>
      </c>
      <c r="AI98" s="69" t="n">
        <f aca="false">IF(AI$6=1,Inputs!$B$69,0)</f>
        <v>0</v>
      </c>
      <c r="AJ98" s="69" t="n">
        <f aca="false">IF(AJ$6=1,Inputs!$B$69,0)</f>
        <v>0</v>
      </c>
      <c r="AK98" s="69" t="n">
        <f aca="false">IF(AK$6=1,Inputs!$B$69,0)</f>
        <v>0</v>
      </c>
      <c r="AL98" s="69" t="n">
        <f aca="false">IF(AL$6=1,Inputs!$B$69,0)</f>
        <v>0</v>
      </c>
    </row>
    <row r="99" customFormat="false" ht="15" hidden="false" customHeight="false" outlineLevel="0" collapsed="false">
      <c r="A99" s="6" t="s">
        <v>54</v>
      </c>
      <c r="C99" s="69" t="n">
        <f aca="false">C98+C83+C84</f>
        <v>5100000</v>
      </c>
      <c r="D99" s="69" t="n">
        <f aca="false">D98+D83+D84</f>
        <v>-25000</v>
      </c>
      <c r="E99" s="69" t="n">
        <f aca="false">E98+E83+E84</f>
        <v>-25000</v>
      </c>
      <c r="F99" s="69" t="n">
        <f aca="false">F98+F83+F84</f>
        <v>-25000</v>
      </c>
      <c r="G99" s="69" t="n">
        <f aca="false">G98+G83+G84</f>
        <v>-25000</v>
      </c>
      <c r="H99" s="69" t="n">
        <f aca="false">H98+H83+H84</f>
        <v>-25000</v>
      </c>
      <c r="I99" s="69" t="n">
        <f aca="false">I98+I83+I84</f>
        <v>-25000</v>
      </c>
      <c r="J99" s="69" t="n">
        <f aca="false">J98+J83+J84</f>
        <v>-25000</v>
      </c>
      <c r="K99" s="69" t="n">
        <f aca="false">K98+K83+K84</f>
        <v>-25000</v>
      </c>
      <c r="L99" s="69" t="n">
        <f aca="false">L98+L83+L84</f>
        <v>-25000</v>
      </c>
      <c r="M99" s="69" t="n">
        <f aca="false">M98+M83+M84</f>
        <v>-25000</v>
      </c>
      <c r="N99" s="69" t="n">
        <f aca="false">N98+N83+N84</f>
        <v>-25000</v>
      </c>
      <c r="O99" s="69" t="n">
        <f aca="false">O98+O83+O84</f>
        <v>-25000</v>
      </c>
      <c r="P99" s="69" t="n">
        <f aca="false">P98+P83+P84</f>
        <v>-25000</v>
      </c>
      <c r="Q99" s="69" t="n">
        <f aca="false">Q98+Q83+Q84</f>
        <v>-25000</v>
      </c>
      <c r="R99" s="69" t="n">
        <f aca="false">R98+R83+R84</f>
        <v>-25000</v>
      </c>
      <c r="S99" s="69" t="n">
        <f aca="false">S98+S83+S84</f>
        <v>-25000</v>
      </c>
      <c r="T99" s="69" t="n">
        <f aca="false">T98+T83+T84</f>
        <v>-25000</v>
      </c>
      <c r="U99" s="69" t="n">
        <f aca="false">U98+U83+U84</f>
        <v>-25000</v>
      </c>
      <c r="V99" s="69" t="n">
        <f aca="false">V98+V83+V84</f>
        <v>-25000</v>
      </c>
      <c r="W99" s="69" t="n">
        <f aca="false">W98+W83+W84</f>
        <v>-25000</v>
      </c>
      <c r="X99" s="69" t="n">
        <f aca="false">X98+X83+X84</f>
        <v>-25000</v>
      </c>
      <c r="Y99" s="69" t="n">
        <f aca="false">Y98+Y83+Y84</f>
        <v>-25000</v>
      </c>
      <c r="Z99" s="69" t="n">
        <f aca="false">Z98+Z83+Z84</f>
        <v>-25000</v>
      </c>
      <c r="AA99" s="69" t="n">
        <f aca="false">AA98+AA83+AA84</f>
        <v>-25000</v>
      </c>
      <c r="AB99" s="69" t="n">
        <f aca="false">AB98+AB83+AB84</f>
        <v>-25000</v>
      </c>
      <c r="AC99" s="69" t="n">
        <f aca="false">AC98+AC83+AC84</f>
        <v>-25000</v>
      </c>
      <c r="AD99" s="69" t="n">
        <f aca="false">AD98+AD83+AD84</f>
        <v>-25000</v>
      </c>
      <c r="AE99" s="69" t="n">
        <f aca="false">AE98+AE83+AE84</f>
        <v>-25000</v>
      </c>
      <c r="AF99" s="69" t="n">
        <f aca="false">AF98+AF83+AF84</f>
        <v>-25000</v>
      </c>
      <c r="AG99" s="69" t="n">
        <f aca="false">AG98+AG83+AG84</f>
        <v>-25000</v>
      </c>
      <c r="AH99" s="69" t="n">
        <f aca="false">AH98+AH83+AH84</f>
        <v>-25000</v>
      </c>
      <c r="AI99" s="69" t="n">
        <f aca="false">AI98+AI83+AI84</f>
        <v>-25000</v>
      </c>
      <c r="AJ99" s="69" t="n">
        <f aca="false">AJ98+AJ83+AJ84</f>
        <v>-25000</v>
      </c>
      <c r="AK99" s="69" t="n">
        <f aca="false">AK98+AK83+AK84</f>
        <v>-25000</v>
      </c>
      <c r="AL99" s="69" t="n">
        <f aca="false">AL98+AL83+AL84</f>
        <v>-25000</v>
      </c>
    </row>
    <row r="100" customFormat="false" ht="15" hidden="false" customHeight="false" outlineLevel="0" collapsed="false">
      <c r="A100" s="113" t="s">
        <v>435</v>
      </c>
      <c r="C100" s="70" t="n">
        <f aca="false">C96+C97+C99</f>
        <v>907206.699228267</v>
      </c>
      <c r="D100" s="70" t="n">
        <f aca="false">D96+D97+D99</f>
        <v>-114758.893083902</v>
      </c>
      <c r="E100" s="70" t="n">
        <f aca="false">E96+E97+E99</f>
        <v>-103648.963431214</v>
      </c>
      <c r="F100" s="70" t="n">
        <f aca="false">F96+F97+F99</f>
        <v>-99364.5056878753</v>
      </c>
      <c r="G100" s="70" t="n">
        <f aca="false">G96+G97+G99</f>
        <v>-94809.3211937482</v>
      </c>
      <c r="H100" s="70" t="n">
        <f aca="false">H96+H97+H99</f>
        <v>-90191.8711016608</v>
      </c>
      <c r="I100" s="70" t="n">
        <f aca="false">I96+I97+I99</f>
        <v>-85515.2686915111</v>
      </c>
      <c r="J100" s="70" t="n">
        <f aca="false">J96+J97+J99</f>
        <v>-80782.4715792022</v>
      </c>
      <c r="K100" s="70" t="n">
        <f aca="false">K96+K97+K99</f>
        <v>-75996.2894998421</v>
      </c>
      <c r="L100" s="70" t="n">
        <f aca="false">L96+L97+L99</f>
        <v>-71159.3917017833</v>
      </c>
      <c r="M100" s="70" t="n">
        <f aca="false">M96+M97+M99</f>
        <v>-66274.3139709608</v>
      </c>
      <c r="N100" s="70" t="n">
        <f aca="false">N96+N97+N99</f>
        <v>-77027.6883074422</v>
      </c>
      <c r="O100" s="70" t="n">
        <f aca="false">O96+O97+O99</f>
        <v>-111101.64489044</v>
      </c>
      <c r="P100" s="70" t="n">
        <f aca="false">P96+P97+P99</f>
        <v>-70110.8606940279</v>
      </c>
      <c r="Q100" s="70" t="n">
        <f aca="false">Q96+Q97+Q99</f>
        <v>-52399.4095127515</v>
      </c>
      <c r="R100" s="70" t="n">
        <f aca="false">R96+R97+R99</f>
        <v>-51889.0867736264</v>
      </c>
      <c r="S100" s="70" t="n">
        <f aca="false">S96+S97+S99</f>
        <v>-50722.6426246784</v>
      </c>
      <c r="T100" s="70" t="n">
        <f aca="false">T96+T97+T99</f>
        <v>-49605.6665165112</v>
      </c>
      <c r="U100" s="70" t="n">
        <f aca="false">U96+U97+U99</f>
        <v>-48535.6850470856</v>
      </c>
      <c r="V100" s="70" t="n">
        <f aca="false">V96+V97+V99</f>
        <v>-47510.3484844647</v>
      </c>
      <c r="W100" s="70" t="n">
        <f aca="false">W96+W97+W99</f>
        <v>-46527.4245833081</v>
      </c>
      <c r="X100" s="70" t="n">
        <f aca="false">X96+X97+X99</f>
        <v>-45584.7927105427</v>
      </c>
      <c r="Y100" s="70" t="n">
        <f aca="false">Y96+Y97+Y99</f>
        <v>-44680.4382647489</v>
      </c>
      <c r="Z100" s="70" t="n">
        <f aca="false">Z96+Z97+Z99</f>
        <v>-60035.3698821405</v>
      </c>
      <c r="AA100" s="70" t="n">
        <f aca="false">AA96+AA97+AA99</f>
        <v>-98010.0621418393</v>
      </c>
      <c r="AB100" s="70" t="n">
        <f aca="false">AB96+AB97+AB99</f>
        <v>-57577.6555616453</v>
      </c>
      <c r="AC100" s="70" t="n">
        <f aca="false">AC96+AC97+AC99</f>
        <v>-40724.5089141548</v>
      </c>
      <c r="AD100" s="70" t="n">
        <f aca="false">AD96+AD97+AD99</f>
        <v>-41078.0933021599</v>
      </c>
      <c r="AE100" s="70" t="n">
        <f aca="false">AE96+AE97+AE99</f>
        <v>-40337.8404746572</v>
      </c>
      <c r="AF100" s="70" t="n">
        <f aca="false">AF96+AF97+AF99</f>
        <v>-39625.746121863</v>
      </c>
      <c r="AG100" s="70" t="n">
        <f aca="false">AG96+AG97+AG99</f>
        <v>-38940.4023200419</v>
      </c>
      <c r="AH100" s="70" t="n">
        <f aca="false">AH96+AH97+AH99</f>
        <v>-38280.4715416451</v>
      </c>
      <c r="AI100" s="70" t="n">
        <f aca="false">AI96+AI97+AI99</f>
        <v>-37644.6831355015</v>
      </c>
      <c r="AJ100" s="70" t="n">
        <f aca="false">AJ96+AJ97+AJ99</f>
        <v>-37031.8299829984</v>
      </c>
      <c r="AK100" s="70" t="n">
        <f aca="false">AK96+AK97+AK99</f>
        <v>-36440.7653214538</v>
      </c>
      <c r="AL100" s="70" t="n">
        <f aca="false">AL96+AL97+AL99</f>
        <v>-51894.3789804608</v>
      </c>
    </row>
    <row r="101" customFormat="false" ht="15" hidden="false" customHeight="false" outlineLevel="0" collapsed="false">
      <c r="A101" s="6" t="s">
        <v>349</v>
      </c>
      <c r="C101" s="69" t="n">
        <f aca="false">0</f>
        <v>0</v>
      </c>
      <c r="D101" s="69" t="n">
        <f aca="false">C102</f>
        <v>907206.699228267</v>
      </c>
      <c r="E101" s="69" t="n">
        <f aca="false">D102</f>
        <v>792447.806144365</v>
      </c>
      <c r="F101" s="69" t="n">
        <f aca="false">E102</f>
        <v>688798.84271315</v>
      </c>
      <c r="G101" s="69" t="n">
        <f aca="false">F102</f>
        <v>589434.337025275</v>
      </c>
      <c r="H101" s="69" t="n">
        <f aca="false">G102</f>
        <v>494625.015831527</v>
      </c>
      <c r="I101" s="69" t="n">
        <f aca="false">H102</f>
        <v>404433.144729866</v>
      </c>
      <c r="J101" s="69" t="n">
        <f aca="false">I102</f>
        <v>318917.876038355</v>
      </c>
      <c r="K101" s="69" t="n">
        <f aca="false">J102</f>
        <v>238135.404459153</v>
      </c>
      <c r="L101" s="69" t="n">
        <f aca="false">K102</f>
        <v>162139.114959311</v>
      </c>
      <c r="M101" s="69" t="n">
        <f aca="false">L102</f>
        <v>90979.7232575273</v>
      </c>
      <c r="N101" s="69" t="n">
        <f aca="false">M102</f>
        <v>24705.4092865664</v>
      </c>
      <c r="O101" s="69" t="n">
        <f aca="false">N102</f>
        <v>-52322.2790208757</v>
      </c>
      <c r="P101" s="69" t="n">
        <f aca="false">O102</f>
        <v>-163423.923911316</v>
      </c>
      <c r="Q101" s="69" t="n">
        <f aca="false">P102</f>
        <v>-233534.784605344</v>
      </c>
      <c r="R101" s="69" t="n">
        <f aca="false">Q102</f>
        <v>-285934.194118095</v>
      </c>
      <c r="S101" s="69" t="n">
        <f aca="false">R102</f>
        <v>-337823.280891722</v>
      </c>
      <c r="T101" s="69" t="n">
        <f aca="false">S102</f>
        <v>-388545.9235164</v>
      </c>
      <c r="U101" s="69" t="n">
        <f aca="false">T102</f>
        <v>-438151.590032911</v>
      </c>
      <c r="V101" s="69" t="n">
        <f aca="false">U102</f>
        <v>-486687.275079997</v>
      </c>
      <c r="W101" s="69" t="n">
        <f aca="false">V102</f>
        <v>-534197.623564462</v>
      </c>
      <c r="X101" s="69" t="n">
        <f aca="false">W102</f>
        <v>-580725.04814777</v>
      </c>
      <c r="Y101" s="69" t="n">
        <f aca="false">X102</f>
        <v>-626309.840858312</v>
      </c>
      <c r="Z101" s="69" t="n">
        <f aca="false">Y102</f>
        <v>-670990.279123061</v>
      </c>
      <c r="AA101" s="69" t="n">
        <f aca="false">Z102</f>
        <v>-731025.649005202</v>
      </c>
      <c r="AB101" s="69" t="n">
        <f aca="false">AA102</f>
        <v>-829035.711147041</v>
      </c>
      <c r="AC101" s="69" t="n">
        <f aca="false">AB102</f>
        <v>-886613.366708686</v>
      </c>
      <c r="AD101" s="69" t="n">
        <f aca="false">AC102</f>
        <v>-927337.875622841</v>
      </c>
      <c r="AE101" s="69" t="n">
        <f aca="false">AD102</f>
        <v>-968415.968925001</v>
      </c>
      <c r="AF101" s="69" t="n">
        <f aca="false">AE102</f>
        <v>-1008753.80939966</v>
      </c>
      <c r="AG101" s="69" t="n">
        <f aca="false">AF102</f>
        <v>-1048379.55552152</v>
      </c>
      <c r="AH101" s="69" t="n">
        <f aca="false">AG102</f>
        <v>-1087319.95784156</v>
      </c>
      <c r="AI101" s="69" t="n">
        <f aca="false">AH102</f>
        <v>-1125600.42938321</v>
      </c>
      <c r="AJ101" s="69" t="n">
        <f aca="false">AI102</f>
        <v>-1163245.11251871</v>
      </c>
      <c r="AK101" s="69" t="n">
        <f aca="false">AJ102</f>
        <v>-1200276.94250171</v>
      </c>
      <c r="AL101" s="69" t="n">
        <f aca="false">AK102</f>
        <v>-1236717.70782316</v>
      </c>
    </row>
    <row r="102" customFormat="false" ht="15" hidden="false" customHeight="false" outlineLevel="0" collapsed="false">
      <c r="A102" s="113" t="s">
        <v>87</v>
      </c>
      <c r="C102" s="70" t="n">
        <f aca="false">C101+C100</f>
        <v>907206.699228267</v>
      </c>
      <c r="D102" s="70" t="n">
        <f aca="false">D101+D100</f>
        <v>792447.806144365</v>
      </c>
      <c r="E102" s="70" t="n">
        <f aca="false">E101+E100</f>
        <v>688798.84271315</v>
      </c>
      <c r="F102" s="70" t="n">
        <f aca="false">F101+F100</f>
        <v>589434.337025275</v>
      </c>
      <c r="G102" s="70" t="n">
        <f aca="false">G101+G100</f>
        <v>494625.015831527</v>
      </c>
      <c r="H102" s="70" t="n">
        <f aca="false">H101+H100</f>
        <v>404433.144729866</v>
      </c>
      <c r="I102" s="70" t="n">
        <f aca="false">I101+I100</f>
        <v>318917.876038355</v>
      </c>
      <c r="J102" s="70" t="n">
        <f aca="false">J101+J100</f>
        <v>238135.404459153</v>
      </c>
      <c r="K102" s="70" t="n">
        <f aca="false">K101+K100</f>
        <v>162139.114959311</v>
      </c>
      <c r="L102" s="70" t="n">
        <f aca="false">L101+L100</f>
        <v>90979.7232575273</v>
      </c>
      <c r="M102" s="70" t="n">
        <f aca="false">M101+M100</f>
        <v>24705.4092865664</v>
      </c>
      <c r="N102" s="70" t="n">
        <f aca="false">N101+N100</f>
        <v>-52322.2790208757</v>
      </c>
      <c r="O102" s="70" t="n">
        <f aca="false">O101+O100</f>
        <v>-163423.923911316</v>
      </c>
      <c r="P102" s="70" t="n">
        <f aca="false">P101+P100</f>
        <v>-233534.784605344</v>
      </c>
      <c r="Q102" s="70" t="n">
        <f aca="false">Q101+Q100</f>
        <v>-285934.194118095</v>
      </c>
      <c r="R102" s="70" t="n">
        <f aca="false">R101+R100</f>
        <v>-337823.280891722</v>
      </c>
      <c r="S102" s="70" t="n">
        <f aca="false">S101+S100</f>
        <v>-388545.9235164</v>
      </c>
      <c r="T102" s="70" t="n">
        <f aca="false">T101+T100</f>
        <v>-438151.590032911</v>
      </c>
      <c r="U102" s="70" t="n">
        <f aca="false">U101+U100</f>
        <v>-486687.275079997</v>
      </c>
      <c r="V102" s="70" t="n">
        <f aca="false">V101+V100</f>
        <v>-534197.623564462</v>
      </c>
      <c r="W102" s="70" t="n">
        <f aca="false">W101+W100</f>
        <v>-580725.04814777</v>
      </c>
      <c r="X102" s="70" t="n">
        <f aca="false">X101+X100</f>
        <v>-626309.840858312</v>
      </c>
      <c r="Y102" s="70" t="n">
        <f aca="false">Y101+Y100</f>
        <v>-670990.279123061</v>
      </c>
      <c r="Z102" s="70" t="n">
        <f aca="false">Z101+Z100</f>
        <v>-731025.649005202</v>
      </c>
      <c r="AA102" s="70" t="n">
        <f aca="false">AA101+AA100</f>
        <v>-829035.711147041</v>
      </c>
      <c r="AB102" s="70" t="n">
        <f aca="false">AB101+AB100</f>
        <v>-886613.366708686</v>
      </c>
      <c r="AC102" s="70" t="n">
        <f aca="false">AC101+AC100</f>
        <v>-927337.875622841</v>
      </c>
      <c r="AD102" s="70" t="n">
        <f aca="false">AD101+AD100</f>
        <v>-968415.968925001</v>
      </c>
      <c r="AE102" s="70" t="n">
        <f aca="false">AE101+AE100</f>
        <v>-1008753.80939966</v>
      </c>
      <c r="AF102" s="70" t="n">
        <f aca="false">AF101+AF100</f>
        <v>-1048379.55552152</v>
      </c>
      <c r="AG102" s="70" t="n">
        <f aca="false">AG101+AG100</f>
        <v>-1087319.95784156</v>
      </c>
      <c r="AH102" s="70" t="n">
        <f aca="false">AH101+AH100</f>
        <v>-1125600.42938321</v>
      </c>
      <c r="AI102" s="70" t="n">
        <f aca="false">AI101+AI100</f>
        <v>-1163245.11251871</v>
      </c>
      <c r="AJ102" s="70" t="n">
        <f aca="false">AJ101+AJ100</f>
        <v>-1200276.94250171</v>
      </c>
      <c r="AK102" s="70" t="n">
        <f aca="false">AK101+AK100</f>
        <v>-1236717.70782316</v>
      </c>
      <c r="AL102" s="70" t="n">
        <f aca="false">AL101+AL100</f>
        <v>-1288612.08680362</v>
      </c>
    </row>
    <row r="103" customFormat="false" ht="15" hidden="false" customHeight="false" outlineLevel="0" collapsed="false">
      <c r="A103" s="116" t="s">
        <v>436</v>
      </c>
      <c r="C103" s="118" t="n">
        <f aca="false">IF(C57&gt;0,1,0)</f>
        <v>0</v>
      </c>
      <c r="D103" s="118" t="n">
        <f aca="false">IF(D57&gt;0,1,0)</f>
        <v>0</v>
      </c>
      <c r="E103" s="118" t="n">
        <f aca="false">IF(E57&gt;0,1,0)</f>
        <v>0</v>
      </c>
      <c r="F103" s="118" t="n">
        <f aca="false">IF(F57&gt;0,1,0)</f>
        <v>0</v>
      </c>
      <c r="G103" s="118" t="n">
        <f aca="false">IF(G57&gt;0,1,0)</f>
        <v>0</v>
      </c>
      <c r="H103" s="118" t="n">
        <f aca="false">IF(H57&gt;0,1,0)</f>
        <v>0</v>
      </c>
      <c r="I103" s="118" t="n">
        <f aca="false">IF(I57&gt;0,1,0)</f>
        <v>0</v>
      </c>
      <c r="J103" s="118" t="n">
        <f aca="false">IF(J57&gt;0,1,0)</f>
        <v>0</v>
      </c>
      <c r="K103" s="118" t="n">
        <f aca="false">IF(K57&gt;0,1,0)</f>
        <v>0</v>
      </c>
      <c r="L103" s="118" t="n">
        <f aca="false">IF(L57&gt;0,1,0)</f>
        <v>0</v>
      </c>
      <c r="M103" s="118" t="n">
        <f aca="false">IF(M57&gt;0,1,0)</f>
        <v>0</v>
      </c>
      <c r="N103" s="118" t="n">
        <f aca="false">IF(N57&gt;0,1,0)</f>
        <v>0</v>
      </c>
      <c r="O103" s="118" t="n">
        <f aca="false">IF(O57&gt;0,1,0)</f>
        <v>0</v>
      </c>
      <c r="P103" s="118" t="n">
        <f aca="false">IF(P57&gt;0,1,0)</f>
        <v>0</v>
      </c>
      <c r="Q103" s="118" t="n">
        <f aca="false">IF(Q57&gt;0,1,0)</f>
        <v>0</v>
      </c>
      <c r="R103" s="118" t="n">
        <f aca="false">IF(R57&gt;0,1,0)</f>
        <v>0</v>
      </c>
      <c r="S103" s="118" t="n">
        <f aca="false">IF(S57&gt;0,1,0)</f>
        <v>0</v>
      </c>
      <c r="T103" s="118" t="n">
        <f aca="false">IF(T57&gt;0,1,0)</f>
        <v>0</v>
      </c>
      <c r="U103" s="118" t="n">
        <f aca="false">IF(U57&gt;0,1,0)</f>
        <v>0</v>
      </c>
      <c r="V103" s="118" t="n">
        <f aca="false">IF(V57&gt;0,1,0)</f>
        <v>0</v>
      </c>
      <c r="W103" s="118" t="n">
        <f aca="false">IF(W57&gt;0,1,0)</f>
        <v>0</v>
      </c>
      <c r="X103" s="118" t="n">
        <f aca="false">IF(X57&gt;0,1,0)</f>
        <v>0</v>
      </c>
      <c r="Y103" s="118" t="n">
        <f aca="false">IF(Y57&gt;0,1,0)</f>
        <v>0</v>
      </c>
      <c r="Z103" s="118" t="n">
        <f aca="false">IF(Z57&gt;0,1,0)</f>
        <v>0</v>
      </c>
      <c r="AA103" s="118" t="n">
        <f aca="false">IF(AA57&gt;0,1,0)</f>
        <v>0</v>
      </c>
      <c r="AB103" s="118" t="n">
        <f aca="false">IF(AB57&gt;0,1,0)</f>
        <v>0</v>
      </c>
      <c r="AC103" s="118" t="n">
        <f aca="false">IF(AC57&gt;0,1,0)</f>
        <v>0</v>
      </c>
      <c r="AD103" s="118" t="n">
        <f aca="false">IF(AD57&gt;0,1,0)</f>
        <v>1</v>
      </c>
      <c r="AE103" s="118" t="n">
        <f aca="false">IF(AE57&gt;0,1,0)</f>
        <v>1</v>
      </c>
      <c r="AF103" s="118" t="n">
        <f aca="false">IF(AF57&gt;0,1,0)</f>
        <v>1</v>
      </c>
      <c r="AG103" s="118" t="n">
        <f aca="false">IF(AG57&gt;0,1,0)</f>
        <v>1</v>
      </c>
      <c r="AH103" s="118" t="n">
        <f aca="false">IF(AH57&gt;0,1,0)</f>
        <v>1</v>
      </c>
      <c r="AI103" s="118" t="n">
        <f aca="false">IF(AI57&gt;0,1,0)</f>
        <v>1</v>
      </c>
      <c r="AJ103" s="118" t="n">
        <f aca="false">IF(AJ57&gt;0,1,0)</f>
        <v>1</v>
      </c>
      <c r="AK103" s="118" t="n">
        <f aca="false">IF(AK57&gt;0,1,0)</f>
        <v>1</v>
      </c>
      <c r="AL103" s="118" t="n">
        <f aca="false">IF(AL57&gt;0,1,0)</f>
        <v>0</v>
      </c>
    </row>
    <row r="105" customFormat="false" ht="15.75" hidden="false" customHeight="true" outlineLevel="0" collapsed="false">
      <c r="A105" s="7" t="s">
        <v>437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customFormat="false" ht="15" hidden="false" customHeight="false" outlineLevel="0" collapsed="false">
      <c r="A106" s="116" t="s">
        <v>438</v>
      </c>
      <c r="C106" s="118" t="n">
        <f aca="false">IF(C66&gt;0,1,0)</f>
        <v>0</v>
      </c>
      <c r="D106" s="118" t="n">
        <f aca="false">IF(D66&gt;0,1,0)</f>
        <v>0</v>
      </c>
      <c r="E106" s="118" t="n">
        <f aca="false">IF(E66&gt;0,1,0)</f>
        <v>0</v>
      </c>
      <c r="F106" s="118" t="n">
        <f aca="false">IF(F66&gt;0,1,0)</f>
        <v>0</v>
      </c>
      <c r="G106" s="118" t="n">
        <f aca="false">IF(G66&gt;0,1,0)</f>
        <v>0</v>
      </c>
      <c r="H106" s="118" t="n">
        <f aca="false">IF(H66&gt;0,1,0)</f>
        <v>0</v>
      </c>
      <c r="I106" s="118" t="n">
        <f aca="false">IF(I66&gt;0,1,0)</f>
        <v>0</v>
      </c>
      <c r="J106" s="118" t="n">
        <f aca="false">IF(J66&gt;0,1,0)</f>
        <v>0</v>
      </c>
      <c r="K106" s="118" t="n">
        <f aca="false">IF(K66&gt;0,1,0)</f>
        <v>0</v>
      </c>
      <c r="L106" s="118" t="n">
        <f aca="false">IF(L66&gt;0,1,0)</f>
        <v>0</v>
      </c>
      <c r="M106" s="118" t="n">
        <f aca="false">IF(M66&gt;0,1,0)</f>
        <v>0</v>
      </c>
      <c r="N106" s="118" t="n">
        <f aca="false">IF(N66&gt;0,1,0)</f>
        <v>0</v>
      </c>
      <c r="O106" s="118" t="n">
        <f aca="false">IF(O66&gt;0,1,0)</f>
        <v>0</v>
      </c>
      <c r="P106" s="118" t="n">
        <f aca="false">IF(P66&gt;0,1,0)</f>
        <v>0</v>
      </c>
      <c r="Q106" s="118" t="n">
        <f aca="false">IF(Q66&gt;0,1,0)</f>
        <v>0</v>
      </c>
      <c r="R106" s="118" t="n">
        <f aca="false">IF(R66&gt;0,1,0)</f>
        <v>0</v>
      </c>
      <c r="S106" s="118" t="n">
        <f aca="false">IF(S66&gt;0,1,0)</f>
        <v>0</v>
      </c>
      <c r="T106" s="118" t="n">
        <f aca="false">IF(T66&gt;0,1,0)</f>
        <v>0</v>
      </c>
      <c r="U106" s="118" t="n">
        <f aca="false">IF(U66&gt;0,1,0)</f>
        <v>0</v>
      </c>
      <c r="V106" s="118" t="n">
        <f aca="false">IF(V66&gt;0,1,0)</f>
        <v>0</v>
      </c>
      <c r="W106" s="118" t="n">
        <f aca="false">IF(W66&gt;0,1,0)</f>
        <v>0</v>
      </c>
      <c r="X106" s="118" t="n">
        <f aca="false">IF(X66&gt;0,1,0)</f>
        <v>0</v>
      </c>
      <c r="Y106" s="118" t="n">
        <f aca="false">IF(Y66&gt;0,1,0)</f>
        <v>0</v>
      </c>
      <c r="Z106" s="118" t="n">
        <f aca="false">IF(Z66&gt;0,1,0)</f>
        <v>0</v>
      </c>
      <c r="AA106" s="118" t="n">
        <f aca="false">IF(AA66&gt;0,1,0)</f>
        <v>0</v>
      </c>
      <c r="AB106" s="118" t="n">
        <f aca="false">IF(AB66&gt;0,1,0)</f>
        <v>0</v>
      </c>
      <c r="AC106" s="118" t="n">
        <f aca="false">IF(AC66&gt;0,1,0)</f>
        <v>0</v>
      </c>
      <c r="AD106" s="118" t="n">
        <f aca="false">IF(AD66&gt;0,1,0)</f>
        <v>0</v>
      </c>
      <c r="AE106" s="118" t="n">
        <f aca="false">IF(AE66&gt;0,1,0)</f>
        <v>0</v>
      </c>
      <c r="AF106" s="118" t="n">
        <f aca="false">IF(AF66&gt;0,1,0)</f>
        <v>0</v>
      </c>
      <c r="AG106" s="118" t="n">
        <f aca="false">IF(AG66&gt;0,1,0)</f>
        <v>0</v>
      </c>
      <c r="AH106" s="118" t="n">
        <f aca="false">IF(AH66&gt;0,1,0)</f>
        <v>0</v>
      </c>
      <c r="AI106" s="118" t="n">
        <f aca="false">IF(AI66&gt;0,1,0)</f>
        <v>0</v>
      </c>
      <c r="AJ106" s="118" t="n">
        <f aca="false">IF(AJ66&gt;0,1,0)</f>
        <v>0</v>
      </c>
      <c r="AK106" s="118" t="n">
        <f aca="false">IF(AK66&gt;0,1,0)</f>
        <v>0</v>
      </c>
      <c r="AL106" s="118" t="n">
        <f aca="false">IF(AL66&gt;0,1,0)</f>
        <v>0</v>
      </c>
    </row>
    <row r="107" customFormat="false" ht="15" hidden="false" customHeight="false" outlineLevel="0" collapsed="false">
      <c r="A107" s="6" t="s">
        <v>439</v>
      </c>
      <c r="C107" s="69" t="n">
        <f aca="false">C96+C97</f>
        <v>-4192793.30077173</v>
      </c>
      <c r="D107" s="69" t="n">
        <f aca="false">D96+D97</f>
        <v>-89758.8930839022</v>
      </c>
      <c r="E107" s="69" t="n">
        <f aca="false">E96+E97</f>
        <v>-78648.9634312142</v>
      </c>
      <c r="F107" s="69" t="n">
        <f aca="false">F96+F97</f>
        <v>-74364.5056878753</v>
      </c>
      <c r="G107" s="69" t="n">
        <f aca="false">G96+G97</f>
        <v>-69809.3211937482</v>
      </c>
      <c r="H107" s="69" t="n">
        <f aca="false">H96+H97</f>
        <v>-65191.8711016608</v>
      </c>
      <c r="I107" s="69" t="n">
        <f aca="false">I96+I97</f>
        <v>-60515.2686915111</v>
      </c>
      <c r="J107" s="69" t="n">
        <f aca="false">J96+J97</f>
        <v>-55782.4715792022</v>
      </c>
      <c r="K107" s="69" t="n">
        <f aca="false">K96+K97</f>
        <v>-50996.2894998421</v>
      </c>
      <c r="L107" s="69" t="n">
        <f aca="false">L96+L97</f>
        <v>-46159.3917017833</v>
      </c>
      <c r="M107" s="69" t="n">
        <f aca="false">M96+M97</f>
        <v>-41274.3139709608</v>
      </c>
      <c r="N107" s="69" t="n">
        <f aca="false">N96+N97</f>
        <v>-52027.6883074422</v>
      </c>
      <c r="O107" s="69" t="n">
        <f aca="false">O96+O97</f>
        <v>-86101.6448904401</v>
      </c>
      <c r="P107" s="69" t="n">
        <f aca="false">P96+P97</f>
        <v>-45110.8606940279</v>
      </c>
      <c r="Q107" s="69" t="n">
        <f aca="false">Q96+Q97</f>
        <v>-27399.4095127515</v>
      </c>
      <c r="R107" s="69" t="n">
        <f aca="false">R96+R97</f>
        <v>-26889.0867736264</v>
      </c>
      <c r="S107" s="69" t="n">
        <f aca="false">S96+S97</f>
        <v>-25722.6426246784</v>
      </c>
      <c r="T107" s="69" t="n">
        <f aca="false">T96+T97</f>
        <v>-24605.6665165112</v>
      </c>
      <c r="U107" s="69" t="n">
        <f aca="false">U96+U97</f>
        <v>-23535.6850470856</v>
      </c>
      <c r="V107" s="69" t="n">
        <f aca="false">V96+V97</f>
        <v>-22510.3484844647</v>
      </c>
      <c r="W107" s="69" t="n">
        <f aca="false">W96+W97</f>
        <v>-21527.4245833081</v>
      </c>
      <c r="X107" s="69" t="n">
        <f aca="false">X96+X97</f>
        <v>-20584.7927105427</v>
      </c>
      <c r="Y107" s="69" t="n">
        <f aca="false">Y96+Y97</f>
        <v>-19680.4382647489</v>
      </c>
      <c r="Z107" s="69" t="n">
        <f aca="false">Z96+Z97</f>
        <v>-35035.3698821405</v>
      </c>
      <c r="AA107" s="69" t="n">
        <f aca="false">AA96+AA97</f>
        <v>-73010.0621418393</v>
      </c>
      <c r="AB107" s="69" t="n">
        <f aca="false">AB96+AB97</f>
        <v>-32577.6555616453</v>
      </c>
      <c r="AC107" s="69" t="n">
        <f aca="false">AC96+AC97</f>
        <v>-15724.5089141548</v>
      </c>
      <c r="AD107" s="69" t="n">
        <f aca="false">AD96+AD97</f>
        <v>-16078.0933021599</v>
      </c>
      <c r="AE107" s="69" t="n">
        <f aca="false">AE96+AE97</f>
        <v>-15337.8404746572</v>
      </c>
      <c r="AF107" s="69" t="n">
        <f aca="false">AF96+AF97</f>
        <v>-14625.746121863</v>
      </c>
      <c r="AG107" s="69" t="n">
        <f aca="false">AG96+AG97</f>
        <v>-13940.4023200419</v>
      </c>
      <c r="AH107" s="69" t="n">
        <f aca="false">AH96+AH97</f>
        <v>-13280.4715416451</v>
      </c>
      <c r="AI107" s="69" t="n">
        <f aca="false">AI96+AI97</f>
        <v>-12644.6831355015</v>
      </c>
      <c r="AJ107" s="69" t="n">
        <f aca="false">AJ96+AJ97</f>
        <v>-12031.8299829984</v>
      </c>
      <c r="AK107" s="69" t="n">
        <f aca="false">AK96+AK97</f>
        <v>-11440.7653214538</v>
      </c>
      <c r="AL107" s="69" t="n">
        <f aca="false">AL96+AL97</f>
        <v>-26894.3789804608</v>
      </c>
    </row>
    <row r="108" customFormat="false" ht="15" hidden="false" customHeight="false" outlineLevel="0" collapsed="false">
      <c r="A108" s="6" t="s">
        <v>440</v>
      </c>
      <c r="C108" s="69" t="n">
        <f aca="false">C107</f>
        <v>-4192793.30077173</v>
      </c>
      <c r="D108" s="69" t="n">
        <f aca="false">C108+D107</f>
        <v>-4282552.19385564</v>
      </c>
      <c r="E108" s="69" t="n">
        <f aca="false">D108+E107</f>
        <v>-4361201.15728685</v>
      </c>
      <c r="F108" s="69" t="n">
        <f aca="false">E108+F107</f>
        <v>-4435565.66297473</v>
      </c>
      <c r="G108" s="69" t="n">
        <f aca="false">F108+G107</f>
        <v>-4505374.98416847</v>
      </c>
      <c r="H108" s="69" t="n">
        <f aca="false">G108+H107</f>
        <v>-4570566.85527013</v>
      </c>
      <c r="I108" s="69" t="n">
        <f aca="false">H108+I107</f>
        <v>-4631082.12396165</v>
      </c>
      <c r="J108" s="69" t="n">
        <f aca="false">I108+J107</f>
        <v>-4686864.59554085</v>
      </c>
      <c r="K108" s="69" t="n">
        <f aca="false">J108+K107</f>
        <v>-4737860.88504069</v>
      </c>
      <c r="L108" s="69" t="n">
        <f aca="false">K108+L107</f>
        <v>-4784020.27674247</v>
      </c>
      <c r="M108" s="69" t="n">
        <f aca="false">L108+M107</f>
        <v>-4825294.59071343</v>
      </c>
      <c r="N108" s="69" t="n">
        <f aca="false">M108+N107</f>
        <v>-4877322.27902088</v>
      </c>
      <c r="O108" s="69" t="n">
        <f aca="false">N108+O107</f>
        <v>-4963423.92391131</v>
      </c>
      <c r="P108" s="69" t="n">
        <f aca="false">O108+P107</f>
        <v>-5008534.78460534</v>
      </c>
      <c r="Q108" s="69" t="n">
        <f aca="false">P108+Q107</f>
        <v>-5035934.19411809</v>
      </c>
      <c r="R108" s="69" t="n">
        <f aca="false">Q108+R107</f>
        <v>-5062823.28089172</v>
      </c>
      <c r="S108" s="69" t="n">
        <f aca="false">R108+S107</f>
        <v>-5088545.9235164</v>
      </c>
      <c r="T108" s="69" t="n">
        <f aca="false">S108+T107</f>
        <v>-5113151.59003291</v>
      </c>
      <c r="U108" s="69" t="n">
        <f aca="false">T108+U107</f>
        <v>-5136687.27507999</v>
      </c>
      <c r="V108" s="69" t="n">
        <f aca="false">U108+V107</f>
        <v>-5159197.62356446</v>
      </c>
      <c r="W108" s="69" t="n">
        <f aca="false">V108+W107</f>
        <v>-5180725.04814777</v>
      </c>
      <c r="X108" s="69" t="n">
        <f aca="false">W108+X107</f>
        <v>-5201309.84085831</v>
      </c>
      <c r="Y108" s="69" t="n">
        <f aca="false">X108+Y107</f>
        <v>-5220990.27912306</v>
      </c>
      <c r="Z108" s="69" t="n">
        <f aca="false">Y108+Z107</f>
        <v>-5256025.6490052</v>
      </c>
      <c r="AA108" s="69" t="n">
        <f aca="false">Z108+AA107</f>
        <v>-5329035.71114704</v>
      </c>
      <c r="AB108" s="69" t="n">
        <f aca="false">AA108+AB107</f>
        <v>-5361613.36670869</v>
      </c>
      <c r="AC108" s="69" t="n">
        <f aca="false">AB108+AC107</f>
        <v>-5377337.87562284</v>
      </c>
      <c r="AD108" s="69" t="n">
        <f aca="false">AC108+AD107</f>
        <v>-5393415.968925</v>
      </c>
      <c r="AE108" s="69" t="n">
        <f aca="false">AD108+AE107</f>
        <v>-5408753.80939966</v>
      </c>
      <c r="AF108" s="69" t="n">
        <f aca="false">AE108+AF107</f>
        <v>-5423379.55552152</v>
      </c>
      <c r="AG108" s="69" t="n">
        <f aca="false">AF108+AG107</f>
        <v>-5437319.95784156</v>
      </c>
      <c r="AH108" s="69" t="n">
        <f aca="false">AG108+AH107</f>
        <v>-5450600.42938321</v>
      </c>
      <c r="AI108" s="69" t="n">
        <f aca="false">AH108+AI107</f>
        <v>-5463245.11251871</v>
      </c>
      <c r="AJ108" s="69" t="n">
        <f aca="false">AI108+AJ107</f>
        <v>-5475276.94250171</v>
      </c>
      <c r="AK108" s="69" t="n">
        <f aca="false">AJ108+AK107</f>
        <v>-5486717.70782316</v>
      </c>
      <c r="AL108" s="69" t="n">
        <f aca="false">AK108+AL107</f>
        <v>-5513612.08680362</v>
      </c>
    </row>
    <row r="109" customFormat="false" ht="15" hidden="false" customHeight="false" outlineLevel="0" collapsed="false">
      <c r="A109" s="116" t="s">
        <v>441</v>
      </c>
      <c r="C109" s="69" t="n">
        <f aca="false">C108</f>
        <v>-4192793.30077173</v>
      </c>
      <c r="D109" s="69" t="n">
        <f aca="false">MIN(C109,D108)</f>
        <v>-4282552.19385564</v>
      </c>
      <c r="E109" s="69" t="n">
        <f aca="false">MIN(D109,E108)</f>
        <v>-4361201.15728685</v>
      </c>
      <c r="F109" s="69" t="n">
        <f aca="false">MIN(E109,F108)</f>
        <v>-4435565.66297473</v>
      </c>
      <c r="G109" s="69" t="n">
        <f aca="false">MIN(F109,G108)</f>
        <v>-4505374.98416847</v>
      </c>
      <c r="H109" s="69" t="n">
        <f aca="false">MIN(G109,H108)</f>
        <v>-4570566.85527013</v>
      </c>
      <c r="I109" s="69" t="n">
        <f aca="false">MIN(H109,I108)</f>
        <v>-4631082.12396165</v>
      </c>
      <c r="J109" s="69" t="n">
        <f aca="false">MIN(I109,J108)</f>
        <v>-4686864.59554085</v>
      </c>
      <c r="K109" s="69" t="n">
        <f aca="false">MIN(J109,K108)</f>
        <v>-4737860.88504069</v>
      </c>
      <c r="L109" s="69" t="n">
        <f aca="false">MIN(K109,L108)</f>
        <v>-4784020.27674247</v>
      </c>
      <c r="M109" s="69" t="n">
        <f aca="false">MIN(L109,M108)</f>
        <v>-4825294.59071343</v>
      </c>
      <c r="N109" s="69" t="n">
        <f aca="false">MIN(M109,N108)</f>
        <v>-4877322.27902088</v>
      </c>
      <c r="O109" s="69" t="n">
        <f aca="false">MIN(N109,O108)</f>
        <v>-4963423.92391131</v>
      </c>
      <c r="P109" s="69" t="n">
        <f aca="false">MIN(O109,P108)</f>
        <v>-5008534.78460534</v>
      </c>
      <c r="Q109" s="69" t="n">
        <f aca="false">MIN(P109,Q108)</f>
        <v>-5035934.19411809</v>
      </c>
      <c r="R109" s="69" t="n">
        <f aca="false">MIN(Q109,R108)</f>
        <v>-5062823.28089172</v>
      </c>
      <c r="S109" s="69" t="n">
        <f aca="false">MIN(R109,S108)</f>
        <v>-5088545.9235164</v>
      </c>
      <c r="T109" s="69" t="n">
        <f aca="false">MIN(S109,T108)</f>
        <v>-5113151.59003291</v>
      </c>
      <c r="U109" s="69" t="n">
        <f aca="false">MIN(T109,U108)</f>
        <v>-5136687.27507999</v>
      </c>
      <c r="V109" s="69" t="n">
        <f aca="false">MIN(U109,V108)</f>
        <v>-5159197.62356446</v>
      </c>
      <c r="W109" s="69" t="n">
        <f aca="false">MIN(V109,W108)</f>
        <v>-5180725.04814777</v>
      </c>
      <c r="X109" s="69" t="n">
        <f aca="false">MIN(W109,X108)</f>
        <v>-5201309.84085831</v>
      </c>
      <c r="Y109" s="69" t="n">
        <f aca="false">MIN(X109,Y108)</f>
        <v>-5220990.27912306</v>
      </c>
      <c r="Z109" s="69" t="n">
        <f aca="false">MIN(Y109,Z108)</f>
        <v>-5256025.6490052</v>
      </c>
      <c r="AA109" s="69" t="n">
        <f aca="false">MIN(Z109,AA108)</f>
        <v>-5329035.71114704</v>
      </c>
      <c r="AB109" s="69" t="n">
        <f aca="false">MIN(AA109,AB108)</f>
        <v>-5361613.36670869</v>
      </c>
      <c r="AC109" s="69" t="n">
        <f aca="false">MIN(AB109,AC108)</f>
        <v>-5377337.87562284</v>
      </c>
      <c r="AD109" s="69" t="n">
        <f aca="false">MIN(AC109,AD108)</f>
        <v>-5393415.968925</v>
      </c>
      <c r="AE109" s="69" t="n">
        <f aca="false">MIN(AD109,AE108)</f>
        <v>-5408753.80939966</v>
      </c>
      <c r="AF109" s="69" t="n">
        <f aca="false">MIN(AE109,AF108)</f>
        <v>-5423379.55552152</v>
      </c>
      <c r="AG109" s="69" t="n">
        <f aca="false">MIN(AF109,AG108)</f>
        <v>-5437319.95784156</v>
      </c>
      <c r="AH109" s="69" t="n">
        <f aca="false">MIN(AG109,AH108)</f>
        <v>-5450600.42938321</v>
      </c>
      <c r="AI109" s="69" t="n">
        <f aca="false">MIN(AH109,AI108)</f>
        <v>-5463245.11251871</v>
      </c>
      <c r="AJ109" s="69" t="n">
        <f aca="false">MIN(AI109,AJ108)</f>
        <v>-5475276.94250171</v>
      </c>
      <c r="AK109" s="69" t="n">
        <f aca="false">MIN(AJ109,AK108)</f>
        <v>-5486717.70782316</v>
      </c>
      <c r="AL109" s="69" t="n">
        <f aca="false">MIN(AK109,AL108)</f>
        <v>-5513612.08680362</v>
      </c>
    </row>
    <row r="110" customFormat="false" ht="15" hidden="false" customHeight="false" outlineLevel="0" collapsed="false">
      <c r="A110" s="116" t="s">
        <v>442</v>
      </c>
      <c r="C110" s="118" t="n">
        <f aca="false">IF(AND(C108&gt;=0,C109&lt;0),1,0)</f>
        <v>0</v>
      </c>
      <c r="D110" s="118" t="n">
        <f aca="false">IF(AND(D108&gt;=0,D109&lt;0),1,0)</f>
        <v>0</v>
      </c>
      <c r="E110" s="118" t="n">
        <f aca="false">IF(AND(E108&gt;=0,E109&lt;0),1,0)</f>
        <v>0</v>
      </c>
      <c r="F110" s="118" t="n">
        <f aca="false">IF(AND(F108&gt;=0,F109&lt;0),1,0)</f>
        <v>0</v>
      </c>
      <c r="G110" s="118" t="n">
        <f aca="false">IF(AND(G108&gt;=0,G109&lt;0),1,0)</f>
        <v>0</v>
      </c>
      <c r="H110" s="118" t="n">
        <f aca="false">IF(AND(H108&gt;=0,H109&lt;0),1,0)</f>
        <v>0</v>
      </c>
      <c r="I110" s="118" t="n">
        <f aca="false">IF(AND(I108&gt;=0,I109&lt;0),1,0)</f>
        <v>0</v>
      </c>
      <c r="J110" s="118" t="n">
        <f aca="false">IF(AND(J108&gt;=0,J109&lt;0),1,0)</f>
        <v>0</v>
      </c>
      <c r="K110" s="118" t="n">
        <f aca="false">IF(AND(K108&gt;=0,K109&lt;0),1,0)</f>
        <v>0</v>
      </c>
      <c r="L110" s="118" t="n">
        <f aca="false">IF(AND(L108&gt;=0,L109&lt;0),1,0)</f>
        <v>0</v>
      </c>
      <c r="M110" s="118" t="n">
        <f aca="false">IF(AND(M108&gt;=0,M109&lt;0),1,0)</f>
        <v>0</v>
      </c>
      <c r="N110" s="118" t="n">
        <f aca="false">IF(AND(N108&gt;=0,N109&lt;0),1,0)</f>
        <v>0</v>
      </c>
      <c r="O110" s="118" t="n">
        <f aca="false">IF(AND(O108&gt;=0,O109&lt;0),1,0)</f>
        <v>0</v>
      </c>
      <c r="P110" s="118" t="n">
        <f aca="false">IF(AND(P108&gt;=0,P109&lt;0),1,0)</f>
        <v>0</v>
      </c>
      <c r="Q110" s="118" t="n">
        <f aca="false">IF(AND(Q108&gt;=0,Q109&lt;0),1,0)</f>
        <v>0</v>
      </c>
      <c r="R110" s="118" t="n">
        <f aca="false">IF(AND(R108&gt;=0,R109&lt;0),1,0)</f>
        <v>0</v>
      </c>
      <c r="S110" s="118" t="n">
        <f aca="false">IF(AND(S108&gt;=0,S109&lt;0),1,0)</f>
        <v>0</v>
      </c>
      <c r="T110" s="118" t="n">
        <f aca="false">IF(AND(T108&gt;=0,T109&lt;0),1,0)</f>
        <v>0</v>
      </c>
      <c r="U110" s="118" t="n">
        <f aca="false">IF(AND(U108&gt;=0,U109&lt;0),1,0)</f>
        <v>0</v>
      </c>
      <c r="V110" s="118" t="n">
        <f aca="false">IF(AND(V108&gt;=0,V109&lt;0),1,0)</f>
        <v>0</v>
      </c>
      <c r="W110" s="118" t="n">
        <f aca="false">IF(AND(W108&gt;=0,W109&lt;0),1,0)</f>
        <v>0</v>
      </c>
      <c r="X110" s="118" t="n">
        <f aca="false">IF(AND(X108&gt;=0,X109&lt;0),1,0)</f>
        <v>0</v>
      </c>
      <c r="Y110" s="118" t="n">
        <f aca="false">IF(AND(Y108&gt;=0,Y109&lt;0),1,0)</f>
        <v>0</v>
      </c>
      <c r="Z110" s="118" t="n">
        <f aca="false">IF(AND(Z108&gt;=0,Z109&lt;0),1,0)</f>
        <v>0</v>
      </c>
      <c r="AA110" s="118" t="n">
        <f aca="false">IF(AND(AA108&gt;=0,AA109&lt;0),1,0)</f>
        <v>0</v>
      </c>
      <c r="AB110" s="118" t="n">
        <f aca="false">IF(AND(AB108&gt;=0,AB109&lt;0),1,0)</f>
        <v>0</v>
      </c>
      <c r="AC110" s="118" t="n">
        <f aca="false">IF(AND(AC108&gt;=0,AC109&lt;0),1,0)</f>
        <v>0</v>
      </c>
      <c r="AD110" s="118" t="n">
        <f aca="false">IF(AND(AD108&gt;=0,AD109&lt;0),1,0)</f>
        <v>0</v>
      </c>
      <c r="AE110" s="118" t="n">
        <f aca="false">IF(AND(AE108&gt;=0,AE109&lt;0),1,0)</f>
        <v>0</v>
      </c>
      <c r="AF110" s="118" t="n">
        <f aca="false">IF(AND(AF108&gt;=0,AF109&lt;0),1,0)</f>
        <v>0</v>
      </c>
      <c r="AG110" s="118" t="n">
        <f aca="false">IF(AND(AG108&gt;=0,AG109&lt;0),1,0)</f>
        <v>0</v>
      </c>
      <c r="AH110" s="118" t="n">
        <f aca="false">IF(AND(AH108&gt;=0,AH109&lt;0),1,0)</f>
        <v>0</v>
      </c>
      <c r="AI110" s="118" t="n">
        <f aca="false">IF(AND(AI108&gt;=0,AI109&lt;0),1,0)</f>
        <v>0</v>
      </c>
      <c r="AJ110" s="118" t="n">
        <f aca="false">IF(AND(AJ108&gt;=0,AJ109&lt;0),1,0)</f>
        <v>0</v>
      </c>
      <c r="AK110" s="118" t="n">
        <f aca="false">IF(AND(AK108&gt;=0,AK109&lt;0),1,0)</f>
        <v>0</v>
      </c>
      <c r="AL110" s="118" t="n">
        <f aca="false">IF(AND(AL108&gt;=0,AL109&lt;0),1,0)</f>
        <v>0</v>
      </c>
    </row>
    <row r="111" customFormat="false" ht="15" hidden="false" customHeight="false" outlineLevel="0" collapsed="false">
      <c r="A111" s="6" t="s">
        <v>443</v>
      </c>
      <c r="C111" s="69" t="n">
        <f aca="false">C96-C61*(1-Inputs!$B$81)+C97</f>
        <v>-4176005.80077173</v>
      </c>
      <c r="D111" s="69" t="n">
        <f aca="false">D96-D61*(1-Inputs!$B$81)+D97</f>
        <v>-73041.3410005689</v>
      </c>
      <c r="E111" s="69" t="n">
        <f aca="false">E96-E61*(1-Inputs!$B$81)+E97</f>
        <v>-62071.3071812142</v>
      </c>
      <c r="F111" s="69" t="n">
        <f aca="false">F96-F61*(1-Inputs!$B$81)+F97</f>
        <v>-57926.7452712087</v>
      </c>
      <c r="G111" s="69" t="n">
        <f aca="false">G96-G61*(1-Inputs!$B$81)+G97</f>
        <v>-53511.4566104149</v>
      </c>
      <c r="H111" s="69" t="n">
        <f aca="false">H96-H61*(1-Inputs!$B$81)+H97</f>
        <v>-49033.9023516608</v>
      </c>
      <c r="I111" s="69" t="n">
        <f aca="false">I96-I61*(1-Inputs!$B$81)+I97</f>
        <v>-44497.1957748444</v>
      </c>
      <c r="J111" s="69" t="n">
        <f aca="false">J96-J61*(1-Inputs!$B$81)+J97</f>
        <v>-39904.2944958689</v>
      </c>
      <c r="K111" s="69" t="n">
        <f aca="false">K96-K61*(1-Inputs!$B$81)+K97</f>
        <v>-35258.0082498421</v>
      </c>
      <c r="L111" s="69" t="n">
        <f aca="false">L96-L61*(1-Inputs!$B$81)+L97</f>
        <v>-30561.0062851167</v>
      </c>
      <c r="M111" s="69" t="n">
        <f aca="false">M96-M61*(1-Inputs!$B$81)+M97</f>
        <v>-25815.8243876275</v>
      </c>
      <c r="N111" s="69" t="n">
        <f aca="false">N96-N61*(1-Inputs!$B$81)+N97</f>
        <v>-36709.0945574422</v>
      </c>
      <c r="O111" s="69" t="n">
        <f aca="false">O96-O61*(1-Inputs!$B$81)+O97</f>
        <v>-70922.9469737734</v>
      </c>
      <c r="P111" s="69" t="n">
        <f aca="false">P96-P61*(1-Inputs!$B$81)+P97</f>
        <v>-30072.0586106946</v>
      </c>
      <c r="Q111" s="69" t="n">
        <f aca="false">Q96-Q61*(1-Inputs!$B$81)+Q97</f>
        <v>-12500.5032627515</v>
      </c>
      <c r="R111" s="69" t="n">
        <f aca="false">R96-R61*(1-Inputs!$B$81)+R97</f>
        <v>-12130.0763569597</v>
      </c>
      <c r="S111" s="69" t="n">
        <f aca="false">S96-S61*(1-Inputs!$B$81)+S97</f>
        <v>-11103.5280413451</v>
      </c>
      <c r="T111" s="69" t="n">
        <f aca="false">T96-T61*(1-Inputs!$B$81)+T97</f>
        <v>-10126.4477665112</v>
      </c>
      <c r="U111" s="69" t="n">
        <f aca="false">U96-U61*(1-Inputs!$B$81)+U97</f>
        <v>-9196.36213041895</v>
      </c>
      <c r="V111" s="69" t="n">
        <f aca="false">V96-V61*(1-Inputs!$B$81)+V97</f>
        <v>-8310.92140113133</v>
      </c>
      <c r="W111" s="69" t="n">
        <f aca="false">W96-W61*(1-Inputs!$B$81)+W97</f>
        <v>-7467.89333330808</v>
      </c>
      <c r="X111" s="69" t="n">
        <f aca="false">X96-X61*(1-Inputs!$B$81)+X97</f>
        <v>-6665.15729387603</v>
      </c>
      <c r="Y111" s="69" t="n">
        <f aca="false">Y96-Y61*(1-Inputs!$B$81)+Y97</f>
        <v>-5900.69868141555</v>
      </c>
      <c r="Z111" s="69" t="n">
        <f aca="false">Z96-Z61*(1-Inputs!$B$81)+Z97</f>
        <v>-21395.5261321405</v>
      </c>
      <c r="AA111" s="69" t="n">
        <f aca="false">AA96-AA61*(1-Inputs!$B$81)+AA97</f>
        <v>-59510.1142251726</v>
      </c>
      <c r="AB111" s="69" t="n">
        <f aca="false">AB96-AB61*(1-Inputs!$B$81)+AB97</f>
        <v>-19217.603478312</v>
      </c>
      <c r="AC111" s="69" t="n">
        <f aca="false">AC96-AC61*(1-Inputs!$B$81)+AC97</f>
        <v>-2504.35266415482</v>
      </c>
      <c r="AD111" s="69" t="n">
        <f aca="false">AD96-AD61*(1-Inputs!$B$81)+AD97</f>
        <v>-2997.83288549319</v>
      </c>
      <c r="AE111" s="69" t="n">
        <f aca="false">AE96-AE61*(1-Inputs!$B$81)+AE97</f>
        <v>-2397.47589132385</v>
      </c>
      <c r="AF111" s="69" t="n">
        <f aca="false">AF96-AF61*(1-Inputs!$B$81)+AF97</f>
        <v>-1825.27737186301</v>
      </c>
      <c r="AG111" s="69" t="n">
        <f aca="false">AG96-AG61*(1-Inputs!$B$81)+AG97</f>
        <v>-1279.82940337519</v>
      </c>
      <c r="AH111" s="69" t="n">
        <f aca="false">AH96-AH61*(1-Inputs!$B$81)+AH97</f>
        <v>-759.79445831177</v>
      </c>
      <c r="AI111" s="69" t="n">
        <f aca="false">AI96-AI61*(1-Inputs!$B$81)+AI97</f>
        <v>-263.90188550152</v>
      </c>
      <c r="AJ111" s="69" t="n">
        <f aca="false">AJ96-AJ61*(1-Inputs!$B$81)+AJ97</f>
        <v>209.05543366822</v>
      </c>
      <c r="AK111" s="69" t="n">
        <f aca="false">AK96-AK61*(1-Inputs!$B$81)+AK97</f>
        <v>660.224261879488</v>
      </c>
      <c r="AL111" s="69" t="n">
        <f aca="false">AL96-AL61*(1-Inputs!$B$81)+AL97</f>
        <v>-14933.2852304608</v>
      </c>
    </row>
    <row r="113" customFormat="false" ht="15.75" hidden="false" customHeight="true" outlineLevel="0" collapsed="false">
      <c r="A113" s="7" t="s">
        <v>444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customFormat="false" ht="15" hidden="false" customHeight="false" outlineLevel="0" collapsed="false">
      <c r="A114" s="6" t="s">
        <v>97</v>
      </c>
      <c r="C114" s="69" t="n">
        <f aca="false">C98</f>
        <v>2100000</v>
      </c>
      <c r="D114" s="69" t="n">
        <f aca="false">C114+D98</f>
        <v>2100000</v>
      </c>
      <c r="E114" s="69" t="n">
        <f aca="false">D114+E98</f>
        <v>2100000</v>
      </c>
      <c r="F114" s="69" t="n">
        <f aca="false">E114+F98</f>
        <v>2100000</v>
      </c>
      <c r="G114" s="69" t="n">
        <f aca="false">F114+G98</f>
        <v>2100000</v>
      </c>
      <c r="H114" s="69" t="n">
        <f aca="false">G114+H98</f>
        <v>2100000</v>
      </c>
      <c r="I114" s="69" t="n">
        <f aca="false">H114+I98</f>
        <v>2100000</v>
      </c>
      <c r="J114" s="69" t="n">
        <f aca="false">I114+J98</f>
        <v>2100000</v>
      </c>
      <c r="K114" s="69" t="n">
        <f aca="false">J114+K98</f>
        <v>2100000</v>
      </c>
      <c r="L114" s="69" t="n">
        <f aca="false">K114+L98</f>
        <v>2100000</v>
      </c>
      <c r="M114" s="69" t="n">
        <f aca="false">L114+M98</f>
        <v>2100000</v>
      </c>
      <c r="N114" s="69" t="n">
        <f aca="false">M114+N98</f>
        <v>2100000</v>
      </c>
      <c r="O114" s="69" t="n">
        <f aca="false">N114+O98</f>
        <v>2100000</v>
      </c>
      <c r="P114" s="69" t="n">
        <f aca="false">O114+P98</f>
        <v>2100000</v>
      </c>
      <c r="Q114" s="69" t="n">
        <f aca="false">P114+Q98</f>
        <v>2100000</v>
      </c>
      <c r="R114" s="69" t="n">
        <f aca="false">Q114+R98</f>
        <v>2100000</v>
      </c>
      <c r="S114" s="69" t="n">
        <f aca="false">R114+S98</f>
        <v>2100000</v>
      </c>
      <c r="T114" s="69" t="n">
        <f aca="false">S114+T98</f>
        <v>2100000</v>
      </c>
      <c r="U114" s="69" t="n">
        <f aca="false">T114+U98</f>
        <v>2100000</v>
      </c>
      <c r="V114" s="69" t="n">
        <f aca="false">U114+V98</f>
        <v>2100000</v>
      </c>
      <c r="W114" s="69" t="n">
        <f aca="false">V114+W98</f>
        <v>2100000</v>
      </c>
      <c r="X114" s="69" t="n">
        <f aca="false">W114+X98</f>
        <v>2100000</v>
      </c>
      <c r="Y114" s="69" t="n">
        <f aca="false">X114+Y98</f>
        <v>2100000</v>
      </c>
      <c r="Z114" s="69" t="n">
        <f aca="false">Y114+Z98</f>
        <v>2100000</v>
      </c>
      <c r="AA114" s="69" t="n">
        <f aca="false">Z114+AA98</f>
        <v>2100000</v>
      </c>
      <c r="AB114" s="69" t="n">
        <f aca="false">AA114+AB98</f>
        <v>2100000</v>
      </c>
      <c r="AC114" s="69" t="n">
        <f aca="false">AB114+AC98</f>
        <v>2100000</v>
      </c>
      <c r="AD114" s="69" t="n">
        <f aca="false">AC114+AD98</f>
        <v>2100000</v>
      </c>
      <c r="AE114" s="69" t="n">
        <f aca="false">AD114+AE98</f>
        <v>2100000</v>
      </c>
      <c r="AF114" s="69" t="n">
        <f aca="false">AE114+AF98</f>
        <v>2100000</v>
      </c>
      <c r="AG114" s="69" t="n">
        <f aca="false">AF114+AG98</f>
        <v>2100000</v>
      </c>
      <c r="AH114" s="69" t="n">
        <f aca="false">AG114+AH98</f>
        <v>2100000</v>
      </c>
      <c r="AI114" s="69" t="n">
        <f aca="false">AH114+AI98</f>
        <v>2100000</v>
      </c>
      <c r="AJ114" s="69" t="n">
        <f aca="false">AI114+AJ98</f>
        <v>2100000</v>
      </c>
      <c r="AK114" s="69" t="n">
        <f aca="false">AJ114+AK98</f>
        <v>2100000</v>
      </c>
      <c r="AL114" s="69" t="n">
        <f aca="false">AK114+AL98</f>
        <v>2100000</v>
      </c>
    </row>
    <row r="115" customFormat="false" ht="15" hidden="false" customHeight="false" outlineLevel="0" collapsed="false">
      <c r="A115" s="6" t="s">
        <v>98</v>
      </c>
      <c r="C115" s="69" t="n">
        <f aca="false">C66</f>
        <v>-121553.757544889</v>
      </c>
      <c r="D115" s="69" t="n">
        <f aca="false">C115+D66</f>
        <v>-239824.400774311</v>
      </c>
      <c r="E115" s="69" t="n">
        <f aca="false">D115+E66</f>
        <v>-347224.178714347</v>
      </c>
      <c r="F115" s="69" t="n">
        <f aca="false">E115+F66</f>
        <v>-450138.914797158</v>
      </c>
      <c r="G115" s="69" t="n">
        <f aca="false">F115+G66</f>
        <v>-548502.83629294</v>
      </c>
      <c r="H115" s="69" t="n">
        <f aca="false">G115+H66</f>
        <v>-642253.459108378</v>
      </c>
      <c r="I115" s="69" t="n">
        <f aca="false">H115+I66</f>
        <v>-731331.423354821</v>
      </c>
      <c r="J115" s="69" t="n">
        <f aca="false">I115+J66</f>
        <v>-815680.337138053</v>
      </c>
      <c r="K115" s="69" t="n">
        <f aca="false">J115+K66</f>
        <v>-895246.628158569</v>
      </c>
      <c r="L115" s="69" t="n">
        <f aca="false">K115+L66</f>
        <v>-969979.402731836</v>
      </c>
      <c r="M115" s="69" t="n">
        <f aca="false">L115+M66</f>
        <v>-1039830.31185755</v>
      </c>
      <c r="N115" s="69" t="n">
        <f aca="false">M115+N66</f>
        <v>-1119845.80120716</v>
      </c>
      <c r="O115" s="69" t="n">
        <f aca="false">N115+O66</f>
        <v>-1194915.69563466</v>
      </c>
      <c r="P115" s="69" t="n">
        <f aca="false">O115+P66</f>
        <v>-1268809.09068013</v>
      </c>
      <c r="Q115" s="69" t="n">
        <f aca="false">P115+Q66</f>
        <v>-1325745.06851202</v>
      </c>
      <c r="R115" s="69" t="n">
        <f aca="false">Q115+R66</f>
        <v>-1381458.61180873</v>
      </c>
      <c r="S115" s="69" t="n">
        <f aca="false">R115+S66</f>
        <v>-1436001.98813033</v>
      </c>
      <c r="T115" s="69" t="n">
        <f aca="false">S115+T66</f>
        <v>-1489424.85165892</v>
      </c>
      <c r="U115" s="69" t="n">
        <f aca="false">T115+U66</f>
        <v>-1541774.37386748</v>
      </c>
      <c r="V115" s="69" t="n">
        <f aca="false">U115+V66</f>
        <v>-1593095.36765534</v>
      </c>
      <c r="W115" s="69" t="n">
        <f aca="false">V115+W66</f>
        <v>-1643430.40527688</v>
      </c>
      <c r="X115" s="69" t="n">
        <f aca="false">W115+X66</f>
        <v>-1692819.93037374</v>
      </c>
      <c r="Y115" s="69" t="n">
        <f aca="false">X115+Y66</f>
        <v>-1741302.36440549</v>
      </c>
      <c r="Z115" s="69" t="n">
        <f aca="false">Y115+Z66</f>
        <v>-1804103.40201912</v>
      </c>
      <c r="AA115" s="69" t="n">
        <f aca="false">Z115+AA66</f>
        <v>-1866363.0142821</v>
      </c>
      <c r="AB115" s="69" t="n">
        <f aca="false">AA115+AB66</f>
        <v>-1927984.91828611</v>
      </c>
      <c r="AC115" s="69" t="n">
        <f aca="false">AB115+AC66</f>
        <v>-1973908.45654137</v>
      </c>
      <c r="AD115" s="69" t="n">
        <f aca="false">AC115+AD66</f>
        <v>-2019059.71277703</v>
      </c>
      <c r="AE115" s="69" t="n">
        <f aca="false">AD115+AE66</f>
        <v>-2063468.44692741</v>
      </c>
      <c r="AF115" s="69" t="n">
        <f aca="false">AE115+AF66</f>
        <v>-2107162.93093009</v>
      </c>
      <c r="AG115" s="69" t="n">
        <f aca="false">AF115+AG66</f>
        <v>-2150170.0231258</v>
      </c>
      <c r="AH115" s="69" t="n">
        <f aca="false">AG115+AH66</f>
        <v>-2192515.23893822</v>
      </c>
      <c r="AI115" s="69" t="n">
        <f aca="false">AH115+AI66</f>
        <v>-2234222.81801984</v>
      </c>
      <c r="AJ115" s="69" t="n">
        <f aca="false">AI115+AJ66</f>
        <v>-2275315.78804055</v>
      </c>
      <c r="AK115" s="69" t="n">
        <f aca="false">AJ115+AK66</f>
        <v>-2315816.02528671</v>
      </c>
      <c r="AL115" s="69" t="n">
        <f aca="false">AK115+AL66</f>
        <v>-2370448.03523605</v>
      </c>
    </row>
    <row r="116" customFormat="false" ht="15" hidden="false" customHeight="false" outlineLevel="0" collapsed="false">
      <c r="A116" s="4" t="s">
        <v>93</v>
      </c>
      <c r="C116" s="75" t="n">
        <f aca="false">C102+C88+C89+C79</f>
        <v>4981607.29089245</v>
      </c>
      <c r="D116" s="75" t="n">
        <f aca="false">D102+D88+D89+D79</f>
        <v>4838795.7375416</v>
      </c>
      <c r="E116" s="75" t="n">
        <f aca="false">E102+E88+E89+E79</f>
        <v>4708198.70702642</v>
      </c>
      <c r="F116" s="75" t="n">
        <f aca="false">F102+F88+F89+F79</f>
        <v>4580947.98077568</v>
      </c>
      <c r="G116" s="75" t="n">
        <f aca="false">G102+G88+G89+G79</f>
        <v>4458263.9868497</v>
      </c>
      <c r="H116" s="75" t="n">
        <f aca="false">H102+H88+H89+H79</f>
        <v>4340208.41345491</v>
      </c>
      <c r="I116" s="75" t="n">
        <f aca="false">I102+I88+I89+I79</f>
        <v>4226839.86438741</v>
      </c>
      <c r="J116" s="75" t="n">
        <f aca="false">J102+J88+J89+J79</f>
        <v>4118214.01325351</v>
      </c>
      <c r="K116" s="75" t="n">
        <f aca="false">K102+K88+K89+K79</f>
        <v>4014383.7499792</v>
      </c>
      <c r="L116" s="75" t="n">
        <f aca="false">L102+L88+L89+L79</f>
        <v>3915399.31999415</v>
      </c>
      <c r="M116" s="75" t="n">
        <f aca="false">M102+M88+M89+M79</f>
        <v>3821308.45645658</v>
      </c>
      <c r="N116" s="75" t="n">
        <f aca="false">N102+N88+N89+N79</f>
        <v>3714158.66634842</v>
      </c>
      <c r="O116" s="75" t="n">
        <f aca="false">O102+O88+O89+O79</f>
        <v>3614975.7576691</v>
      </c>
      <c r="P116" s="75" t="n">
        <f aca="false">P102+P88+P89+P79</f>
        <v>3516262.65732912</v>
      </c>
      <c r="Q116" s="75" t="n">
        <f aca="false">Q102+Q88+Q89+Q79</f>
        <v>3437790.78357812</v>
      </c>
      <c r="R116" s="75" t="n">
        <f aca="false">R102+R88+R89+R79</f>
        <v>3357339.32501451</v>
      </c>
      <c r="S116" s="75" t="n">
        <f aca="false">S102+S88+S89+S79</f>
        <v>3278044.92918935</v>
      </c>
      <c r="T116" s="75" t="n">
        <f aca="false">T102+T88+T89+T79</f>
        <v>3199858.59713237</v>
      </c>
      <c r="U116" s="75" t="n">
        <f aca="false">U102+U88+U89+U79</f>
        <v>3122733.77982185</v>
      </c>
      <c r="V116" s="75" t="n">
        <f aca="false">V102+V88+V89+V79</f>
        <v>3046626.25568712</v>
      </c>
      <c r="W116" s="75" t="n">
        <f aca="false">W102+W88+W89+W79</f>
        <v>2971494.01423606</v>
      </c>
      <c r="X116" s="75" t="n">
        <f aca="false">X102+X88+X89+X79</f>
        <v>2897297.14550115</v>
      </c>
      <c r="Y116" s="75" t="n">
        <f aca="false">Y102+Y88+Y89+Y79</f>
        <v>2823997.73501326</v>
      </c>
      <c r="Z116" s="75" t="n">
        <f aca="false">Z102+Z88+Z89+Z79</f>
        <v>2732649.94940656</v>
      </c>
      <c r="AA116" s="75" t="n">
        <f aca="false">AA102+AA88+AA89+AA79</f>
        <v>2645890.97144001</v>
      </c>
      <c r="AB116" s="75" t="n">
        <f aca="false">AB102+AB88+AB89+AB79</f>
        <v>2559354.8474232</v>
      </c>
      <c r="AC116" s="75" t="n">
        <f aca="false">AC102+AC88+AC89+AC79</f>
        <v>2492442.2250304</v>
      </c>
      <c r="AD116" s="75" t="n">
        <f aca="false">AD102+AD88+AD89+AD79</f>
        <v>2422445.632555</v>
      </c>
      <c r="AE116" s="75" t="n">
        <f aca="false">AE102+AE88+AE89+AE79</f>
        <v>2353183.82897687</v>
      </c>
      <c r="AF116" s="75" t="n">
        <f aca="false">AF102+AF88+AF89+AF79</f>
        <v>2284628.92901782</v>
      </c>
      <c r="AG116" s="75" t="n">
        <f aca="false">AG102+AG88+AG89+AG79</f>
        <v>2216754.44166357</v>
      </c>
      <c r="AH116" s="75" t="n">
        <f aca="false">AH102+AH88+AH89+AH79</f>
        <v>2149535.20045053</v>
      </c>
      <c r="AI116" s="75" t="n">
        <f aca="false">AI102+AI88+AI89+AI79</f>
        <v>2082947.29723832</v>
      </c>
      <c r="AJ116" s="75" t="n">
        <f aca="false">AJ102+AJ88+AJ89+AJ79</f>
        <v>2016968.01929355</v>
      </c>
      <c r="AK116" s="75" t="n">
        <f aca="false">AK102+AK88+AK89+AK79</f>
        <v>1951575.78951953</v>
      </c>
      <c r="AL116" s="75" t="n">
        <f aca="false">AL102+AL88+AL89+AL79</f>
        <v>1867863.65130717</v>
      </c>
    </row>
    <row r="117" customFormat="false" ht="15" hidden="false" customHeight="false" outlineLevel="0" collapsed="false">
      <c r="A117" s="6" t="s">
        <v>96</v>
      </c>
      <c r="C117" s="69" t="n">
        <f aca="false">C90+C85</f>
        <v>3003161.04843733</v>
      </c>
      <c r="D117" s="69" t="n">
        <f aca="false">D90+D85</f>
        <v>2978620.13831591</v>
      </c>
      <c r="E117" s="69" t="n">
        <f aca="false">E90+E85</f>
        <v>2955422.88574076</v>
      </c>
      <c r="F117" s="69" t="n">
        <f aca="false">F90+F85</f>
        <v>2931086.89557284</v>
      </c>
      <c r="G117" s="69" t="n">
        <f aca="false">G90+G85</f>
        <v>2906766.82314264</v>
      </c>
      <c r="H117" s="69" t="n">
        <f aca="false">H90+H85</f>
        <v>2882461.87256329</v>
      </c>
      <c r="I117" s="69" t="n">
        <f aca="false">I90+I85</f>
        <v>2858171.28774223</v>
      </c>
      <c r="J117" s="69" t="n">
        <f aca="false">J90+J85</f>
        <v>2833894.35039157</v>
      </c>
      <c r="K117" s="69" t="n">
        <f aca="false">K90+K85</f>
        <v>2809630.37813777</v>
      </c>
      <c r="L117" s="69" t="n">
        <f aca="false">L90+L85</f>
        <v>2785378.72272599</v>
      </c>
      <c r="M117" s="69" t="n">
        <f aca="false">M90+M85</f>
        <v>2761138.76831413</v>
      </c>
      <c r="N117" s="69" t="n">
        <f aca="false">N90+N85</f>
        <v>2734004.46755559</v>
      </c>
      <c r="O117" s="69" t="n">
        <f aca="false">O90+O85</f>
        <v>2709891.45330377</v>
      </c>
      <c r="P117" s="69" t="n">
        <f aca="false">P90+P85</f>
        <v>2685071.74800924</v>
      </c>
      <c r="Q117" s="69" t="n">
        <f aca="false">Q90+Q85</f>
        <v>2663535.85209014</v>
      </c>
      <c r="R117" s="69" t="n">
        <f aca="false">R90+R85</f>
        <v>2638797.93682324</v>
      </c>
      <c r="S117" s="69" t="n">
        <f aca="false">S90+S85</f>
        <v>2614046.91731968</v>
      </c>
      <c r="T117" s="69" t="n">
        <f aca="false">T90+T85</f>
        <v>2589283.44879129</v>
      </c>
      <c r="U117" s="69" t="n">
        <f aca="false">U90+U85</f>
        <v>2564508.15368933</v>
      </c>
      <c r="V117" s="69" t="n">
        <f aca="false">V90+V85</f>
        <v>2539721.62334246</v>
      </c>
      <c r="W117" s="69" t="n">
        <f aca="false">W90+W85</f>
        <v>2514924.41951294</v>
      </c>
      <c r="X117" s="69" t="n">
        <f aca="false">X90+X85</f>
        <v>2490117.07587489</v>
      </c>
      <c r="Y117" s="69" t="n">
        <f aca="false">Y90+Y85</f>
        <v>2465300.09941875</v>
      </c>
      <c r="Z117" s="69" t="n">
        <f aca="false">Z90+Z85</f>
        <v>2436753.35142568</v>
      </c>
      <c r="AA117" s="69" t="n">
        <f aca="false">AA90+AA85</f>
        <v>2412253.98572211</v>
      </c>
      <c r="AB117" s="69" t="n">
        <f aca="false">AB90+AB85</f>
        <v>2387339.7657093</v>
      </c>
      <c r="AC117" s="69" t="n">
        <f aca="false">AC90+AC85</f>
        <v>2366350.68157177</v>
      </c>
      <c r="AD117" s="69" t="n">
        <f aca="false">AD90+AD85</f>
        <v>2341505.34533203</v>
      </c>
      <c r="AE117" s="69" t="n">
        <f aca="false">AE90+AE85</f>
        <v>2316652.27590428</v>
      </c>
      <c r="AF117" s="69" t="n">
        <f aca="false">AF90+AF85</f>
        <v>2291791.85994791</v>
      </c>
      <c r="AG117" s="69" t="n">
        <f aca="false">AG90+AG85</f>
        <v>2266924.46478937</v>
      </c>
      <c r="AH117" s="69" t="n">
        <f aca="false">AH90+AH85</f>
        <v>2242050.43938875</v>
      </c>
      <c r="AI117" s="69" t="n">
        <f aca="false">AI90+AI85</f>
        <v>2217170.11525816</v>
      </c>
      <c r="AJ117" s="69" t="n">
        <f aca="false">AJ90+AJ85</f>
        <v>2192283.8073341</v>
      </c>
      <c r="AK117" s="69" t="n">
        <f aca="false">AK90+AK85</f>
        <v>2167391.81480624</v>
      </c>
      <c r="AL117" s="69" t="n">
        <f aca="false">AL90+AL85</f>
        <v>2138311.68654322</v>
      </c>
    </row>
    <row r="118" customFormat="false" ht="15" hidden="false" customHeight="false" outlineLevel="0" collapsed="false">
      <c r="A118" s="6" t="s">
        <v>99</v>
      </c>
      <c r="C118" s="69" t="n">
        <f aca="false">C114+C115</f>
        <v>1978446.24245511</v>
      </c>
      <c r="D118" s="69" t="n">
        <f aca="false">D114+D115</f>
        <v>1860175.59922569</v>
      </c>
      <c r="E118" s="69" t="n">
        <f aca="false">E114+E115</f>
        <v>1752775.82128565</v>
      </c>
      <c r="F118" s="69" t="n">
        <f aca="false">F114+F115</f>
        <v>1649861.08520284</v>
      </c>
      <c r="G118" s="69" t="n">
        <f aca="false">G114+G115</f>
        <v>1551497.16370706</v>
      </c>
      <c r="H118" s="69" t="n">
        <f aca="false">H114+H115</f>
        <v>1457746.54089162</v>
      </c>
      <c r="I118" s="69" t="n">
        <f aca="false">I114+I115</f>
        <v>1368668.57664518</v>
      </c>
      <c r="J118" s="69" t="n">
        <f aca="false">J114+J115</f>
        <v>1284319.66286195</v>
      </c>
      <c r="K118" s="69" t="n">
        <f aca="false">K114+K115</f>
        <v>1204753.37184143</v>
      </c>
      <c r="L118" s="69" t="n">
        <f aca="false">L114+L115</f>
        <v>1130020.59726816</v>
      </c>
      <c r="M118" s="69" t="n">
        <f aca="false">M114+M115</f>
        <v>1060169.68814245</v>
      </c>
      <c r="N118" s="69" t="n">
        <f aca="false">N114+N115</f>
        <v>980154.198792838</v>
      </c>
      <c r="O118" s="69" t="n">
        <f aca="false">O114+O115</f>
        <v>905084.304365335</v>
      </c>
      <c r="P118" s="69" t="n">
        <f aca="false">P114+P115</f>
        <v>831190.909319875</v>
      </c>
      <c r="Q118" s="69" t="n">
        <f aca="false">Q114+Q115</f>
        <v>774254.931487977</v>
      </c>
      <c r="R118" s="69" t="n">
        <f aca="false">R114+R115</f>
        <v>718541.388191273</v>
      </c>
      <c r="S118" s="69" t="n">
        <f aca="false">S114+S115</f>
        <v>663998.011869672</v>
      </c>
      <c r="T118" s="69" t="n">
        <f aca="false">T114+T115</f>
        <v>610575.148341084</v>
      </c>
      <c r="U118" s="69" t="n">
        <f aca="false">U114+U115</f>
        <v>558225.626132525</v>
      </c>
      <c r="V118" s="69" t="n">
        <f aca="false">V114+V115</f>
        <v>506904.632344661</v>
      </c>
      <c r="W118" s="69" t="n">
        <f aca="false">W114+W115</f>
        <v>456569.594723124</v>
      </c>
      <c r="X118" s="69" t="n">
        <f aca="false">X114+X115</f>
        <v>407180.069626263</v>
      </c>
      <c r="Y118" s="69" t="n">
        <f aca="false">Y114+Y115</f>
        <v>358697.635594512</v>
      </c>
      <c r="Z118" s="69" t="n">
        <f aca="false">Z114+Z115</f>
        <v>295896.597980878</v>
      </c>
      <c r="AA118" s="69" t="n">
        <f aca="false">AA114+AA115</f>
        <v>233636.985717898</v>
      </c>
      <c r="AB118" s="69" t="n">
        <f aca="false">AB114+AB115</f>
        <v>172015.081713893</v>
      </c>
      <c r="AC118" s="69" t="n">
        <f aca="false">AC114+AC115</f>
        <v>126091.543458628</v>
      </c>
      <c r="AD118" s="69" t="n">
        <f aca="false">AD114+AD115</f>
        <v>80940.2872229661</v>
      </c>
      <c r="AE118" s="69" t="n">
        <f aca="false">AE114+AE115</f>
        <v>36531.5530725927</v>
      </c>
      <c r="AF118" s="69" t="n">
        <f aca="false">AF114+AF115</f>
        <v>-7162.93093008967</v>
      </c>
      <c r="AG118" s="69" t="n">
        <f aca="false">AG114+AG115</f>
        <v>-50170.0231257989</v>
      </c>
      <c r="AH118" s="69" t="n">
        <f aca="false">AH114+AH115</f>
        <v>-92515.2389382166</v>
      </c>
      <c r="AI118" s="69" t="n">
        <f aca="false">AI114+AI115</f>
        <v>-134222.818019841</v>
      </c>
      <c r="AJ118" s="69" t="n">
        <f aca="false">AJ114+AJ115</f>
        <v>-175315.788040545</v>
      </c>
      <c r="AK118" s="69" t="n">
        <f aca="false">AK114+AK115</f>
        <v>-215816.025286709</v>
      </c>
      <c r="AL118" s="69" t="n">
        <f aca="false">AL114+AL115</f>
        <v>-270448.035236052</v>
      </c>
    </row>
    <row r="119" customFormat="false" ht="15" hidden="false" customHeight="false" outlineLevel="0" collapsed="false">
      <c r="A119" s="4" t="s">
        <v>100</v>
      </c>
      <c r="C119" s="75" t="n">
        <f aca="false">C117+C118</f>
        <v>4981607.29089245</v>
      </c>
      <c r="D119" s="75" t="n">
        <f aca="false">D117+D118</f>
        <v>4838795.7375416</v>
      </c>
      <c r="E119" s="75" t="n">
        <f aca="false">E117+E118</f>
        <v>4708198.70702642</v>
      </c>
      <c r="F119" s="75" t="n">
        <f aca="false">F117+F118</f>
        <v>4580947.98077568</v>
      </c>
      <c r="G119" s="75" t="n">
        <f aca="false">G117+G118</f>
        <v>4458263.9868497</v>
      </c>
      <c r="H119" s="75" t="n">
        <f aca="false">H117+H118</f>
        <v>4340208.41345491</v>
      </c>
      <c r="I119" s="75" t="n">
        <f aca="false">I117+I118</f>
        <v>4226839.86438741</v>
      </c>
      <c r="J119" s="75" t="n">
        <f aca="false">J117+J118</f>
        <v>4118214.01325351</v>
      </c>
      <c r="K119" s="75" t="n">
        <f aca="false">K117+K118</f>
        <v>4014383.7499792</v>
      </c>
      <c r="L119" s="75" t="n">
        <f aca="false">L117+L118</f>
        <v>3915399.31999415</v>
      </c>
      <c r="M119" s="75" t="n">
        <f aca="false">M117+M118</f>
        <v>3821308.45645658</v>
      </c>
      <c r="N119" s="75" t="n">
        <f aca="false">N117+N118</f>
        <v>3714158.66634842</v>
      </c>
      <c r="O119" s="75" t="n">
        <f aca="false">O117+O118</f>
        <v>3614975.7576691</v>
      </c>
      <c r="P119" s="75" t="n">
        <f aca="false">P117+P118</f>
        <v>3516262.65732912</v>
      </c>
      <c r="Q119" s="75" t="n">
        <f aca="false">Q117+Q118</f>
        <v>3437790.78357812</v>
      </c>
      <c r="R119" s="75" t="n">
        <f aca="false">R117+R118</f>
        <v>3357339.32501451</v>
      </c>
      <c r="S119" s="75" t="n">
        <f aca="false">S117+S118</f>
        <v>3278044.92918935</v>
      </c>
      <c r="T119" s="75" t="n">
        <f aca="false">T117+T118</f>
        <v>3199858.59713237</v>
      </c>
      <c r="U119" s="75" t="n">
        <f aca="false">U117+U118</f>
        <v>3122733.77982185</v>
      </c>
      <c r="V119" s="75" t="n">
        <f aca="false">V117+V118</f>
        <v>3046626.25568712</v>
      </c>
      <c r="W119" s="75" t="n">
        <f aca="false">W117+W118</f>
        <v>2971494.01423606</v>
      </c>
      <c r="X119" s="75" t="n">
        <f aca="false">X117+X118</f>
        <v>2897297.14550115</v>
      </c>
      <c r="Y119" s="75" t="n">
        <f aca="false">Y117+Y118</f>
        <v>2823997.73501326</v>
      </c>
      <c r="Z119" s="75" t="n">
        <f aca="false">Z117+Z118</f>
        <v>2732649.94940656</v>
      </c>
      <c r="AA119" s="75" t="n">
        <f aca="false">AA117+AA118</f>
        <v>2645890.97144001</v>
      </c>
      <c r="AB119" s="75" t="n">
        <f aca="false">AB117+AB118</f>
        <v>2559354.8474232</v>
      </c>
      <c r="AC119" s="75" t="n">
        <f aca="false">AC117+AC118</f>
        <v>2492442.2250304</v>
      </c>
      <c r="AD119" s="75" t="n">
        <f aca="false">AD117+AD118</f>
        <v>2422445.632555</v>
      </c>
      <c r="AE119" s="75" t="n">
        <f aca="false">AE117+AE118</f>
        <v>2353183.82897687</v>
      </c>
      <c r="AF119" s="75" t="n">
        <f aca="false">AF117+AF118</f>
        <v>2284628.92901782</v>
      </c>
      <c r="AG119" s="75" t="n">
        <f aca="false">AG117+AG118</f>
        <v>2216754.44166357</v>
      </c>
      <c r="AH119" s="75" t="n">
        <f aca="false">AH117+AH118</f>
        <v>2149535.20045053</v>
      </c>
      <c r="AI119" s="75" t="n">
        <f aca="false">AI117+AI118</f>
        <v>2082947.29723832</v>
      </c>
      <c r="AJ119" s="75" t="n">
        <f aca="false">AJ117+AJ118</f>
        <v>2016968.01929355</v>
      </c>
      <c r="AK119" s="75" t="n">
        <f aca="false">AK117+AK118</f>
        <v>1951575.78951953</v>
      </c>
      <c r="AL119" s="75" t="n">
        <f aca="false">AL117+AL118</f>
        <v>1867863.65130716</v>
      </c>
    </row>
    <row r="120" customFormat="false" ht="15" hidden="false" customHeight="false" outlineLevel="0" collapsed="false">
      <c r="A120" s="6" t="s">
        <v>445</v>
      </c>
      <c r="C120" s="69" t="n">
        <f aca="false">C116-C119</f>
        <v>0</v>
      </c>
      <c r="D120" s="69" t="n">
        <f aca="false">D116-D119</f>
        <v>0</v>
      </c>
      <c r="E120" s="69" t="n">
        <f aca="false">E116-E119</f>
        <v>0</v>
      </c>
      <c r="F120" s="69" t="n">
        <f aca="false">F116-F119</f>
        <v>0</v>
      </c>
      <c r="G120" s="69" t="n">
        <f aca="false">G116-G119</f>
        <v>0</v>
      </c>
      <c r="H120" s="69" t="n">
        <f aca="false">H116-H119</f>
        <v>0</v>
      </c>
      <c r="I120" s="69" t="n">
        <f aca="false">I116-I119</f>
        <v>0</v>
      </c>
      <c r="J120" s="69" t="n">
        <f aca="false">J116-J119</f>
        <v>0</v>
      </c>
      <c r="K120" s="69" t="n">
        <f aca="false">K116-K119</f>
        <v>0</v>
      </c>
      <c r="L120" s="69" t="n">
        <f aca="false">L116-L119</f>
        <v>0</v>
      </c>
      <c r="M120" s="69" t="n">
        <f aca="false">M116-M119</f>
        <v>0</v>
      </c>
      <c r="N120" s="69" t="n">
        <f aca="false">N116-N119</f>
        <v>0</v>
      </c>
      <c r="O120" s="69" t="n">
        <f aca="false">O116-O119</f>
        <v>0</v>
      </c>
      <c r="P120" s="69" t="n">
        <f aca="false">P116-P119</f>
        <v>0</v>
      </c>
      <c r="Q120" s="69" t="n">
        <f aca="false">Q116-Q119</f>
        <v>0</v>
      </c>
      <c r="R120" s="69" t="n">
        <f aca="false">R116-R119</f>
        <v>0</v>
      </c>
      <c r="S120" s="69" t="n">
        <f aca="false">S116-S119</f>
        <v>0</v>
      </c>
      <c r="T120" s="69" t="n">
        <f aca="false">T116-T119</f>
        <v>0</v>
      </c>
      <c r="U120" s="69" t="n">
        <f aca="false">U116-U119</f>
        <v>0</v>
      </c>
      <c r="V120" s="69" t="n">
        <f aca="false">V116-V119</f>
        <v>0</v>
      </c>
      <c r="W120" s="69" t="n">
        <f aca="false">W116-W119</f>
        <v>0</v>
      </c>
      <c r="X120" s="69" t="n">
        <f aca="false">X116-X119</f>
        <v>0</v>
      </c>
      <c r="Y120" s="69" t="n">
        <f aca="false">Y116-Y119</f>
        <v>0</v>
      </c>
      <c r="Z120" s="69" t="n">
        <f aca="false">Z116-Z119</f>
        <v>0</v>
      </c>
      <c r="AA120" s="69" t="n">
        <f aca="false">AA116-AA119</f>
        <v>0</v>
      </c>
      <c r="AB120" s="69" t="n">
        <f aca="false">AB116-AB119</f>
        <v>0</v>
      </c>
      <c r="AC120" s="69" t="n">
        <f aca="false">AC116-AC119</f>
        <v>0</v>
      </c>
      <c r="AD120" s="69" t="n">
        <f aca="false">AD116-AD119</f>
        <v>0</v>
      </c>
      <c r="AE120" s="69" t="n">
        <f aca="false">AE116-AE119</f>
        <v>0</v>
      </c>
      <c r="AF120" s="69" t="n">
        <f aca="false">AF116-AF119</f>
        <v>0</v>
      </c>
      <c r="AG120" s="69" t="n">
        <f aca="false">AG116-AG119</f>
        <v>0</v>
      </c>
      <c r="AH120" s="69" t="n">
        <f aca="false">AH116-AH119</f>
        <v>0</v>
      </c>
      <c r="AI120" s="69" t="n">
        <f aca="false">AI116-AI119</f>
        <v>0</v>
      </c>
      <c r="AJ120" s="69" t="n">
        <f aca="false">AJ116-AJ119</f>
        <v>0</v>
      </c>
      <c r="AK120" s="69" t="n">
        <f aca="false">AK116-AK119</f>
        <v>0</v>
      </c>
      <c r="AL120" s="69" t="n">
        <f aca="false">AL116-AL119</f>
        <v>0</v>
      </c>
    </row>
    <row r="122" customFormat="false" ht="15.75" hidden="false" customHeight="true" outlineLevel="0" collapsed="false">
      <c r="A122" s="7" t="s">
        <v>447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customFormat="false" ht="15" hidden="false" customHeight="false" outlineLevel="0" collapsed="false">
      <c r="A123" s="6" t="s">
        <v>448</v>
      </c>
      <c r="C123" s="117" t="n">
        <f aca="false">Inputs!$B$57*(1+Inputs!$B$59)^(C$7-1)*MAX(0,MIN(1,C$6*1-Inputs!$B$60+1))/1</f>
        <v>1</v>
      </c>
      <c r="D123" s="117" t="n">
        <f aca="false">Inputs!$B$57*(1+Inputs!$B$59)^(D$7-1)*MAX(0,MIN(1,D$6*1-Inputs!$B$60+1))/1</f>
        <v>1</v>
      </c>
      <c r="E123" s="117" t="n">
        <f aca="false">Inputs!$B$57*(1+Inputs!$B$59)^(E$7-1)*MAX(0,MIN(1,E$6*1-Inputs!$B$60+1))/1</f>
        <v>1</v>
      </c>
      <c r="F123" s="117" t="n">
        <f aca="false">Inputs!$B$57*(1+Inputs!$B$59)^(F$7-1)*MAX(0,MIN(1,F$6*1-Inputs!$B$60+1))/1</f>
        <v>1</v>
      </c>
      <c r="G123" s="117" t="n">
        <f aca="false">Inputs!$B$57*(1+Inputs!$B$59)^(G$7-1)*MAX(0,MIN(1,G$6*1-Inputs!$B$60+1))/1</f>
        <v>1</v>
      </c>
      <c r="H123" s="117" t="n">
        <f aca="false">Inputs!$B$57*(1+Inputs!$B$59)^(H$7-1)*MAX(0,MIN(1,H$6*1-Inputs!$B$60+1))/1</f>
        <v>1</v>
      </c>
      <c r="I123" s="117" t="n">
        <f aca="false">Inputs!$B$57*(1+Inputs!$B$59)^(I$7-1)*MAX(0,MIN(1,I$6*1-Inputs!$B$60+1))/1</f>
        <v>1</v>
      </c>
      <c r="J123" s="117" t="n">
        <f aca="false">Inputs!$B$57*(1+Inputs!$B$59)^(J$7-1)*MAX(0,MIN(1,J$6*1-Inputs!$B$60+1))/1</f>
        <v>1</v>
      </c>
      <c r="K123" s="117" t="n">
        <f aca="false">Inputs!$B$57*(1+Inputs!$B$59)^(K$7-1)*MAX(0,MIN(1,K$6*1-Inputs!$B$60+1))/1</f>
        <v>1</v>
      </c>
      <c r="L123" s="117" t="n">
        <f aca="false">Inputs!$B$57*(1+Inputs!$B$59)^(L$7-1)*MAX(0,MIN(1,L$6*1-Inputs!$B$60+1))/1</f>
        <v>1</v>
      </c>
      <c r="M123" s="117" t="n">
        <f aca="false">Inputs!$B$57*(1+Inputs!$B$59)^(M$7-1)*MAX(0,MIN(1,M$6*1-Inputs!$B$60+1))/1</f>
        <v>1</v>
      </c>
      <c r="N123" s="117" t="n">
        <f aca="false">Inputs!$B$57*(1+Inputs!$B$59)^(N$7-1)*MAX(0,MIN(1,N$6*1-Inputs!$B$60+1))/1</f>
        <v>1</v>
      </c>
      <c r="O123" s="117" t="n">
        <f aca="false">Inputs!$B$57*(1+Inputs!$B$59)^(O$7-1)*MAX(0,MIN(1,O$6*1-Inputs!$B$60+1))/1</f>
        <v>1</v>
      </c>
      <c r="P123" s="117" t="n">
        <f aca="false">Inputs!$B$57*(1+Inputs!$B$59)^(P$7-1)*MAX(0,MIN(1,P$6*1-Inputs!$B$60+1))/1</f>
        <v>1</v>
      </c>
      <c r="Q123" s="117" t="n">
        <f aca="false">Inputs!$B$57*(1+Inputs!$B$59)^(Q$7-1)*MAX(0,MIN(1,Q$6*1-Inputs!$B$60+1))/1</f>
        <v>1</v>
      </c>
      <c r="R123" s="117" t="n">
        <f aca="false">Inputs!$B$57*(1+Inputs!$B$59)^(R$7-1)*MAX(0,MIN(1,R$6*1-Inputs!$B$60+1))/1</f>
        <v>1</v>
      </c>
      <c r="S123" s="117" t="n">
        <f aca="false">Inputs!$B$57*(1+Inputs!$B$59)^(S$7-1)*MAX(0,MIN(1,S$6*1-Inputs!$B$60+1))/1</f>
        <v>1</v>
      </c>
      <c r="T123" s="117" t="n">
        <f aca="false">Inputs!$B$57*(1+Inputs!$B$59)^(T$7-1)*MAX(0,MIN(1,T$6*1-Inputs!$B$60+1))/1</f>
        <v>1</v>
      </c>
      <c r="U123" s="117" t="n">
        <f aca="false">Inputs!$B$57*(1+Inputs!$B$59)^(U$7-1)*MAX(0,MIN(1,U$6*1-Inputs!$B$60+1))/1</f>
        <v>1</v>
      </c>
      <c r="V123" s="117" t="n">
        <f aca="false">Inputs!$B$57*(1+Inputs!$B$59)^(V$7-1)*MAX(0,MIN(1,V$6*1-Inputs!$B$60+1))/1</f>
        <v>1</v>
      </c>
      <c r="W123" s="117" t="n">
        <f aca="false">Inputs!$B$57*(1+Inputs!$B$59)^(W$7-1)*MAX(0,MIN(1,W$6*1-Inputs!$B$60+1))/1</f>
        <v>1</v>
      </c>
      <c r="X123" s="117" t="n">
        <f aca="false">Inputs!$B$57*(1+Inputs!$B$59)^(X$7-1)*MAX(0,MIN(1,X$6*1-Inputs!$B$60+1))/1</f>
        <v>1</v>
      </c>
      <c r="Y123" s="117" t="n">
        <f aca="false">Inputs!$B$57*(1+Inputs!$B$59)^(Y$7-1)*MAX(0,MIN(1,Y$6*1-Inputs!$B$60+1))/1</f>
        <v>1</v>
      </c>
      <c r="Z123" s="117" t="n">
        <f aca="false">Inputs!$B$57*(1+Inputs!$B$59)^(Z$7-1)*MAX(0,MIN(1,Z$6*1-Inputs!$B$60+1))/1</f>
        <v>1</v>
      </c>
      <c r="AA123" s="117" t="n">
        <f aca="false">Inputs!$B$57*(1+Inputs!$B$59)^(AA$7-1)*MAX(0,MIN(1,AA$6*1-Inputs!$B$60+1))/1</f>
        <v>1</v>
      </c>
      <c r="AB123" s="117" t="n">
        <f aca="false">Inputs!$B$57*(1+Inputs!$B$59)^(AB$7-1)*MAX(0,MIN(1,AB$6*1-Inputs!$B$60+1))/1</f>
        <v>1</v>
      </c>
      <c r="AC123" s="117" t="n">
        <f aca="false">Inputs!$B$57*(1+Inputs!$B$59)^(AC$7-1)*MAX(0,MIN(1,AC$6*1-Inputs!$B$60+1))/1</f>
        <v>1</v>
      </c>
      <c r="AD123" s="117" t="n">
        <f aca="false">Inputs!$B$57*(1+Inputs!$B$59)^(AD$7-1)*MAX(0,MIN(1,AD$6*1-Inputs!$B$60+1))/1</f>
        <v>1</v>
      </c>
      <c r="AE123" s="117" t="n">
        <f aca="false">Inputs!$B$57*(1+Inputs!$B$59)^(AE$7-1)*MAX(0,MIN(1,AE$6*1-Inputs!$B$60+1))/1</f>
        <v>1</v>
      </c>
      <c r="AF123" s="117" t="n">
        <f aca="false">Inputs!$B$57*(1+Inputs!$B$59)^(AF$7-1)*MAX(0,MIN(1,AF$6*1-Inputs!$B$60+1))/1</f>
        <v>1</v>
      </c>
      <c r="AG123" s="117" t="n">
        <f aca="false">Inputs!$B$57*(1+Inputs!$B$59)^(AG$7-1)*MAX(0,MIN(1,AG$6*1-Inputs!$B$60+1))/1</f>
        <v>1</v>
      </c>
      <c r="AH123" s="117" t="n">
        <f aca="false">Inputs!$B$57*(1+Inputs!$B$59)^(AH$7-1)*MAX(0,MIN(1,AH$6*1-Inputs!$B$60+1))/1</f>
        <v>1</v>
      </c>
      <c r="AI123" s="117" t="n">
        <f aca="false">Inputs!$B$57*(1+Inputs!$B$59)^(AI$7-1)*MAX(0,MIN(1,AI$6*1-Inputs!$B$60+1))/1</f>
        <v>1</v>
      </c>
      <c r="AJ123" s="117" t="n">
        <f aca="false">Inputs!$B$57*(1+Inputs!$B$59)^(AJ$7-1)*MAX(0,MIN(1,AJ$6*1-Inputs!$B$60+1))/1</f>
        <v>1</v>
      </c>
      <c r="AK123" s="117" t="n">
        <f aca="false">Inputs!$B$57*(1+Inputs!$B$59)^(AK$7-1)*MAX(0,MIN(1,AK$6*1-Inputs!$B$60+1))/1</f>
        <v>1</v>
      </c>
      <c r="AL123" s="117" t="n">
        <f aca="false">Inputs!$B$57*(1+Inputs!$B$59)^(AL$7-1)*MAX(0,MIN(1,AL$6*1-Inputs!$B$60+1))/1</f>
        <v>1</v>
      </c>
    </row>
    <row r="124" customFormat="false" ht="15" hidden="false" customHeight="false" outlineLevel="0" collapsed="false">
      <c r="A124" s="6" t="s">
        <v>449</v>
      </c>
      <c r="C124" s="117" t="n">
        <f aca="false">Inputs!$B$61*(1+Inputs!$B$63)^(C$7-1)*MAX(0,MIN(1,C$6*1-Inputs!$B$64+1))/1</f>
        <v>10</v>
      </c>
      <c r="D124" s="117" t="n">
        <f aca="false">Inputs!$B$61*(1+Inputs!$B$63)^(D$7-1)*MAX(0,MIN(1,D$6*1-Inputs!$B$64+1))/1</f>
        <v>10</v>
      </c>
      <c r="E124" s="117" t="n">
        <f aca="false">Inputs!$B$61*(1+Inputs!$B$63)^(E$7-1)*MAX(0,MIN(1,E$6*1-Inputs!$B$64+1))/1</f>
        <v>10</v>
      </c>
      <c r="F124" s="117" t="n">
        <f aca="false">Inputs!$B$61*(1+Inputs!$B$63)^(F$7-1)*MAX(0,MIN(1,F$6*1-Inputs!$B$64+1))/1</f>
        <v>10</v>
      </c>
      <c r="G124" s="117" t="n">
        <f aca="false">Inputs!$B$61*(1+Inputs!$B$63)^(G$7-1)*MAX(0,MIN(1,G$6*1-Inputs!$B$64+1))/1</f>
        <v>10</v>
      </c>
      <c r="H124" s="117" t="n">
        <f aca="false">Inputs!$B$61*(1+Inputs!$B$63)^(H$7-1)*MAX(0,MIN(1,H$6*1-Inputs!$B$64+1))/1</f>
        <v>10</v>
      </c>
      <c r="I124" s="117" t="n">
        <f aca="false">Inputs!$B$61*(1+Inputs!$B$63)^(I$7-1)*MAX(0,MIN(1,I$6*1-Inputs!$B$64+1))/1</f>
        <v>10</v>
      </c>
      <c r="J124" s="117" t="n">
        <f aca="false">Inputs!$B$61*(1+Inputs!$B$63)^(J$7-1)*MAX(0,MIN(1,J$6*1-Inputs!$B$64+1))/1</f>
        <v>10</v>
      </c>
      <c r="K124" s="117" t="n">
        <f aca="false">Inputs!$B$61*(1+Inputs!$B$63)^(K$7-1)*MAX(0,MIN(1,K$6*1-Inputs!$B$64+1))/1</f>
        <v>10</v>
      </c>
      <c r="L124" s="117" t="n">
        <f aca="false">Inputs!$B$61*(1+Inputs!$B$63)^(L$7-1)*MAX(0,MIN(1,L$6*1-Inputs!$B$64+1))/1</f>
        <v>10</v>
      </c>
      <c r="M124" s="117" t="n">
        <f aca="false">Inputs!$B$61*(1+Inputs!$B$63)^(M$7-1)*MAX(0,MIN(1,M$6*1-Inputs!$B$64+1))/1</f>
        <v>10</v>
      </c>
      <c r="N124" s="117" t="n">
        <f aca="false">Inputs!$B$61*(1+Inputs!$B$63)^(N$7-1)*MAX(0,MIN(1,N$6*1-Inputs!$B$64+1))/1</f>
        <v>10</v>
      </c>
      <c r="O124" s="117" t="n">
        <f aca="false">Inputs!$B$61*(1+Inputs!$B$63)^(O$7-1)*MAX(0,MIN(1,O$6*1-Inputs!$B$64+1))/1</f>
        <v>10</v>
      </c>
      <c r="P124" s="117" t="n">
        <f aca="false">Inputs!$B$61*(1+Inputs!$B$63)^(P$7-1)*MAX(0,MIN(1,P$6*1-Inputs!$B$64+1))/1</f>
        <v>10</v>
      </c>
      <c r="Q124" s="117" t="n">
        <f aca="false">Inputs!$B$61*(1+Inputs!$B$63)^(Q$7-1)*MAX(0,MIN(1,Q$6*1-Inputs!$B$64+1))/1</f>
        <v>10</v>
      </c>
      <c r="R124" s="117" t="n">
        <f aca="false">Inputs!$B$61*(1+Inputs!$B$63)^(R$7-1)*MAX(0,MIN(1,R$6*1-Inputs!$B$64+1))/1</f>
        <v>10</v>
      </c>
      <c r="S124" s="117" t="n">
        <f aca="false">Inputs!$B$61*(1+Inputs!$B$63)^(S$7-1)*MAX(0,MIN(1,S$6*1-Inputs!$B$64+1))/1</f>
        <v>10</v>
      </c>
      <c r="T124" s="117" t="n">
        <f aca="false">Inputs!$B$61*(1+Inputs!$B$63)^(T$7-1)*MAX(0,MIN(1,T$6*1-Inputs!$B$64+1))/1</f>
        <v>10</v>
      </c>
      <c r="U124" s="117" t="n">
        <f aca="false">Inputs!$B$61*(1+Inputs!$B$63)^(U$7-1)*MAX(0,MIN(1,U$6*1-Inputs!$B$64+1))/1</f>
        <v>10</v>
      </c>
      <c r="V124" s="117" t="n">
        <f aca="false">Inputs!$B$61*(1+Inputs!$B$63)^(V$7-1)*MAX(0,MIN(1,V$6*1-Inputs!$B$64+1))/1</f>
        <v>10</v>
      </c>
      <c r="W124" s="117" t="n">
        <f aca="false">Inputs!$B$61*(1+Inputs!$B$63)^(W$7-1)*MAX(0,MIN(1,W$6*1-Inputs!$B$64+1))/1</f>
        <v>10</v>
      </c>
      <c r="X124" s="117" t="n">
        <f aca="false">Inputs!$B$61*(1+Inputs!$B$63)^(X$7-1)*MAX(0,MIN(1,X$6*1-Inputs!$B$64+1))/1</f>
        <v>10</v>
      </c>
      <c r="Y124" s="117" t="n">
        <f aca="false">Inputs!$B$61*(1+Inputs!$B$63)^(Y$7-1)*MAX(0,MIN(1,Y$6*1-Inputs!$B$64+1))/1</f>
        <v>10</v>
      </c>
      <c r="Z124" s="117" t="n">
        <f aca="false">Inputs!$B$61*(1+Inputs!$B$63)^(Z$7-1)*MAX(0,MIN(1,Z$6*1-Inputs!$B$64+1))/1</f>
        <v>10</v>
      </c>
      <c r="AA124" s="117" t="n">
        <f aca="false">Inputs!$B$61*(1+Inputs!$B$63)^(AA$7-1)*MAX(0,MIN(1,AA$6*1-Inputs!$B$64+1))/1</f>
        <v>10</v>
      </c>
      <c r="AB124" s="117" t="n">
        <f aca="false">Inputs!$B$61*(1+Inputs!$B$63)^(AB$7-1)*MAX(0,MIN(1,AB$6*1-Inputs!$B$64+1))/1</f>
        <v>10</v>
      </c>
      <c r="AC124" s="117" t="n">
        <f aca="false">Inputs!$B$61*(1+Inputs!$B$63)^(AC$7-1)*MAX(0,MIN(1,AC$6*1-Inputs!$B$64+1))/1</f>
        <v>10</v>
      </c>
      <c r="AD124" s="117" t="n">
        <f aca="false">Inputs!$B$61*(1+Inputs!$B$63)^(AD$7-1)*MAX(0,MIN(1,AD$6*1-Inputs!$B$64+1))/1</f>
        <v>10</v>
      </c>
      <c r="AE124" s="117" t="n">
        <f aca="false">Inputs!$B$61*(1+Inputs!$B$63)^(AE$7-1)*MAX(0,MIN(1,AE$6*1-Inputs!$B$64+1))/1</f>
        <v>10</v>
      </c>
      <c r="AF124" s="117" t="n">
        <f aca="false">Inputs!$B$61*(1+Inputs!$B$63)^(AF$7-1)*MAX(0,MIN(1,AF$6*1-Inputs!$B$64+1))/1</f>
        <v>10</v>
      </c>
      <c r="AG124" s="117" t="n">
        <f aca="false">Inputs!$B$61*(1+Inputs!$B$63)^(AG$7-1)*MAX(0,MIN(1,AG$6*1-Inputs!$B$64+1))/1</f>
        <v>10</v>
      </c>
      <c r="AH124" s="117" t="n">
        <f aca="false">Inputs!$B$61*(1+Inputs!$B$63)^(AH$7-1)*MAX(0,MIN(1,AH$6*1-Inputs!$B$64+1))/1</f>
        <v>10</v>
      </c>
      <c r="AI124" s="117" t="n">
        <f aca="false">Inputs!$B$61*(1+Inputs!$B$63)^(AI$7-1)*MAX(0,MIN(1,AI$6*1-Inputs!$B$64+1))/1</f>
        <v>10</v>
      </c>
      <c r="AJ124" s="117" t="n">
        <f aca="false">Inputs!$B$61*(1+Inputs!$B$63)^(AJ$7-1)*MAX(0,MIN(1,AJ$6*1-Inputs!$B$64+1))/1</f>
        <v>10</v>
      </c>
      <c r="AK124" s="117" t="n">
        <f aca="false">Inputs!$B$61*(1+Inputs!$B$63)^(AK$7-1)*MAX(0,MIN(1,AK$6*1-Inputs!$B$64+1))/1</f>
        <v>10</v>
      </c>
      <c r="AL124" s="117" t="n">
        <f aca="false">Inputs!$B$61*(1+Inputs!$B$63)^(AL$7-1)*MAX(0,MIN(1,AL$6*1-Inputs!$B$64+1))/1</f>
        <v>10</v>
      </c>
    </row>
    <row r="125" customFormat="false" ht="15" hidden="false" customHeight="false" outlineLevel="0" collapsed="false">
      <c r="A125" s="113" t="s">
        <v>450</v>
      </c>
      <c r="C125" s="123" t="n">
        <f aca="false">C123+C124</f>
        <v>11</v>
      </c>
      <c r="D125" s="123" t="n">
        <f aca="false">D123+D124</f>
        <v>11</v>
      </c>
      <c r="E125" s="123" t="n">
        <f aca="false">E123+E124</f>
        <v>11</v>
      </c>
      <c r="F125" s="123" t="n">
        <f aca="false">F123+F124</f>
        <v>11</v>
      </c>
      <c r="G125" s="123" t="n">
        <f aca="false">G123+G124</f>
        <v>11</v>
      </c>
      <c r="H125" s="123" t="n">
        <f aca="false">H123+H124</f>
        <v>11</v>
      </c>
      <c r="I125" s="123" t="n">
        <f aca="false">I123+I124</f>
        <v>11</v>
      </c>
      <c r="J125" s="123" t="n">
        <f aca="false">J123+J124</f>
        <v>11</v>
      </c>
      <c r="K125" s="123" t="n">
        <f aca="false">K123+K124</f>
        <v>11</v>
      </c>
      <c r="L125" s="123" t="n">
        <f aca="false">L123+L124</f>
        <v>11</v>
      </c>
      <c r="M125" s="123" t="n">
        <f aca="false">M123+M124</f>
        <v>11</v>
      </c>
      <c r="N125" s="123" t="n">
        <f aca="false">N123+N124</f>
        <v>11</v>
      </c>
      <c r="O125" s="123" t="n">
        <f aca="false">O123+O124</f>
        <v>11</v>
      </c>
      <c r="P125" s="123" t="n">
        <f aca="false">P123+P124</f>
        <v>11</v>
      </c>
      <c r="Q125" s="123" t="n">
        <f aca="false">Q123+Q124</f>
        <v>11</v>
      </c>
      <c r="R125" s="123" t="n">
        <f aca="false">R123+R124</f>
        <v>11</v>
      </c>
      <c r="S125" s="123" t="n">
        <f aca="false">S123+S124</f>
        <v>11</v>
      </c>
      <c r="T125" s="123" t="n">
        <f aca="false">T123+T124</f>
        <v>11</v>
      </c>
      <c r="U125" s="123" t="n">
        <f aca="false">U123+U124</f>
        <v>11</v>
      </c>
      <c r="V125" s="123" t="n">
        <f aca="false">V123+V124</f>
        <v>11</v>
      </c>
      <c r="W125" s="123" t="n">
        <f aca="false">W123+W124</f>
        <v>11</v>
      </c>
      <c r="X125" s="123" t="n">
        <f aca="false">X123+X124</f>
        <v>11</v>
      </c>
      <c r="Y125" s="123" t="n">
        <f aca="false">Y123+Y124</f>
        <v>11</v>
      </c>
      <c r="Z125" s="123" t="n">
        <f aca="false">Z123+Z124</f>
        <v>11</v>
      </c>
      <c r="AA125" s="123" t="n">
        <f aca="false">AA123+AA124</f>
        <v>11</v>
      </c>
      <c r="AB125" s="123" t="n">
        <f aca="false">AB123+AB124</f>
        <v>11</v>
      </c>
      <c r="AC125" s="123" t="n">
        <f aca="false">AC123+AC124</f>
        <v>11</v>
      </c>
      <c r="AD125" s="123" t="n">
        <f aca="false">AD123+AD124</f>
        <v>11</v>
      </c>
      <c r="AE125" s="123" t="n">
        <f aca="false">AE123+AE124</f>
        <v>11</v>
      </c>
      <c r="AF125" s="123" t="n">
        <f aca="false">AF123+AF124</f>
        <v>11</v>
      </c>
      <c r="AG125" s="123" t="n">
        <f aca="false">AG123+AG124</f>
        <v>11</v>
      </c>
      <c r="AH125" s="123" t="n">
        <f aca="false">AH123+AH124</f>
        <v>11</v>
      </c>
      <c r="AI125" s="123" t="n">
        <f aca="false">AI123+AI124</f>
        <v>11</v>
      </c>
      <c r="AJ125" s="123" t="n">
        <f aca="false">AJ123+AJ124</f>
        <v>11</v>
      </c>
      <c r="AK125" s="123" t="n">
        <f aca="false">AK123+AK124</f>
        <v>11</v>
      </c>
      <c r="AL125" s="123" t="n">
        <f aca="false">AL123+AL124</f>
        <v>11</v>
      </c>
    </row>
    <row r="127" customFormat="false" ht="15.75" hidden="false" customHeight="true" outlineLevel="0" collapsed="false">
      <c r="A127" s="7" t="s">
        <v>451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customFormat="false" ht="15" hidden="false" customHeight="false" outlineLevel="0" collapsed="false">
      <c r="A128" s="6" t="s">
        <v>452</v>
      </c>
      <c r="C128" s="69" t="n">
        <f aca="false">-C123*Inputs!$B$58/12*1*(1+Inputs!$B$65)*(1+Inputs!$B$66)^(C$7-1)</f>
        <v>-6720</v>
      </c>
      <c r="D128" s="69" t="n">
        <f aca="false">-D123*Inputs!$B$58/12*1*(1+Inputs!$B$65)*(1+Inputs!$B$66)^(D$7-1)</f>
        <v>-6720</v>
      </c>
      <c r="E128" s="69" t="n">
        <f aca="false">-E123*Inputs!$B$58/12*1*(1+Inputs!$B$65)*(1+Inputs!$B$66)^(E$7-1)</f>
        <v>-6720</v>
      </c>
      <c r="F128" s="69" t="n">
        <f aca="false">-F123*Inputs!$B$58/12*1*(1+Inputs!$B$65)*(1+Inputs!$B$66)^(F$7-1)</f>
        <v>-6720</v>
      </c>
      <c r="G128" s="69" t="n">
        <f aca="false">-G123*Inputs!$B$58/12*1*(1+Inputs!$B$65)*(1+Inputs!$B$66)^(G$7-1)</f>
        <v>-6720</v>
      </c>
      <c r="H128" s="69" t="n">
        <f aca="false">-H123*Inputs!$B$58/12*1*(1+Inputs!$B$65)*(1+Inputs!$B$66)^(H$7-1)</f>
        <v>-6720</v>
      </c>
      <c r="I128" s="69" t="n">
        <f aca="false">-I123*Inputs!$B$58/12*1*(1+Inputs!$B$65)*(1+Inputs!$B$66)^(I$7-1)</f>
        <v>-6720</v>
      </c>
      <c r="J128" s="69" t="n">
        <f aca="false">-J123*Inputs!$B$58/12*1*(1+Inputs!$B$65)*(1+Inputs!$B$66)^(J$7-1)</f>
        <v>-6720</v>
      </c>
      <c r="K128" s="69" t="n">
        <f aca="false">-K123*Inputs!$B$58/12*1*(1+Inputs!$B$65)*(1+Inputs!$B$66)^(K$7-1)</f>
        <v>-6720</v>
      </c>
      <c r="L128" s="69" t="n">
        <f aca="false">-L123*Inputs!$B$58/12*1*(1+Inputs!$B$65)*(1+Inputs!$B$66)^(L$7-1)</f>
        <v>-6720</v>
      </c>
      <c r="M128" s="69" t="n">
        <f aca="false">-M123*Inputs!$B$58/12*1*(1+Inputs!$B$65)*(1+Inputs!$B$66)^(M$7-1)</f>
        <v>-6720</v>
      </c>
      <c r="N128" s="69" t="n">
        <f aca="false">-N123*Inputs!$B$58/12*1*(1+Inputs!$B$65)*(1+Inputs!$B$66)^(N$7-1)</f>
        <v>-6720</v>
      </c>
      <c r="O128" s="69" t="n">
        <f aca="false">-O123*Inputs!$B$58/12*1*(1+Inputs!$B$65)*(1+Inputs!$B$66)^(O$7-1)</f>
        <v>-6921.6</v>
      </c>
      <c r="P128" s="69" t="n">
        <f aca="false">-P123*Inputs!$B$58/12*1*(1+Inputs!$B$65)*(1+Inputs!$B$66)^(P$7-1)</f>
        <v>-6921.6</v>
      </c>
      <c r="Q128" s="69" t="n">
        <f aca="false">-Q123*Inputs!$B$58/12*1*(1+Inputs!$B$65)*(1+Inputs!$B$66)^(Q$7-1)</f>
        <v>-6921.6</v>
      </c>
      <c r="R128" s="69" t="n">
        <f aca="false">-R123*Inputs!$B$58/12*1*(1+Inputs!$B$65)*(1+Inputs!$B$66)^(R$7-1)</f>
        <v>-6921.6</v>
      </c>
      <c r="S128" s="69" t="n">
        <f aca="false">-S123*Inputs!$B$58/12*1*(1+Inputs!$B$65)*(1+Inputs!$B$66)^(S$7-1)</f>
        <v>-6921.6</v>
      </c>
      <c r="T128" s="69" t="n">
        <f aca="false">-T123*Inputs!$B$58/12*1*(1+Inputs!$B$65)*(1+Inputs!$B$66)^(T$7-1)</f>
        <v>-6921.6</v>
      </c>
      <c r="U128" s="69" t="n">
        <f aca="false">-U123*Inputs!$B$58/12*1*(1+Inputs!$B$65)*(1+Inputs!$B$66)^(U$7-1)</f>
        <v>-6921.6</v>
      </c>
      <c r="V128" s="69" t="n">
        <f aca="false">-V123*Inputs!$B$58/12*1*(1+Inputs!$B$65)*(1+Inputs!$B$66)^(V$7-1)</f>
        <v>-6921.6</v>
      </c>
      <c r="W128" s="69" t="n">
        <f aca="false">-W123*Inputs!$B$58/12*1*(1+Inputs!$B$65)*(1+Inputs!$B$66)^(W$7-1)</f>
        <v>-6921.6</v>
      </c>
      <c r="X128" s="69" t="n">
        <f aca="false">-X123*Inputs!$B$58/12*1*(1+Inputs!$B$65)*(1+Inputs!$B$66)^(X$7-1)</f>
        <v>-6921.6</v>
      </c>
      <c r="Y128" s="69" t="n">
        <f aca="false">-Y123*Inputs!$B$58/12*1*(1+Inputs!$B$65)*(1+Inputs!$B$66)^(Y$7-1)</f>
        <v>-6921.6</v>
      </c>
      <c r="Z128" s="69" t="n">
        <f aca="false">-Z123*Inputs!$B$58/12*1*(1+Inputs!$B$65)*(1+Inputs!$B$66)^(Z$7-1)</f>
        <v>-6921.6</v>
      </c>
      <c r="AA128" s="69" t="n">
        <f aca="false">-AA123*Inputs!$B$58/12*1*(1+Inputs!$B$65)*(1+Inputs!$B$66)^(AA$7-1)</f>
        <v>-7129.248</v>
      </c>
      <c r="AB128" s="69" t="n">
        <f aca="false">-AB123*Inputs!$B$58/12*1*(1+Inputs!$B$65)*(1+Inputs!$B$66)^(AB$7-1)</f>
        <v>-7129.248</v>
      </c>
      <c r="AC128" s="69" t="n">
        <f aca="false">-AC123*Inputs!$B$58/12*1*(1+Inputs!$B$65)*(1+Inputs!$B$66)^(AC$7-1)</f>
        <v>-7129.248</v>
      </c>
      <c r="AD128" s="69" t="n">
        <f aca="false">-AD123*Inputs!$B$58/12*1*(1+Inputs!$B$65)*(1+Inputs!$B$66)^(AD$7-1)</f>
        <v>-7129.248</v>
      </c>
      <c r="AE128" s="69" t="n">
        <f aca="false">-AE123*Inputs!$B$58/12*1*(1+Inputs!$B$65)*(1+Inputs!$B$66)^(AE$7-1)</f>
        <v>-7129.248</v>
      </c>
      <c r="AF128" s="69" t="n">
        <f aca="false">-AF123*Inputs!$B$58/12*1*(1+Inputs!$B$65)*(1+Inputs!$B$66)^(AF$7-1)</f>
        <v>-7129.248</v>
      </c>
      <c r="AG128" s="69" t="n">
        <f aca="false">-AG123*Inputs!$B$58/12*1*(1+Inputs!$B$65)*(1+Inputs!$B$66)^(AG$7-1)</f>
        <v>-7129.248</v>
      </c>
      <c r="AH128" s="69" t="n">
        <f aca="false">-AH123*Inputs!$B$58/12*1*(1+Inputs!$B$65)*(1+Inputs!$B$66)^(AH$7-1)</f>
        <v>-7129.248</v>
      </c>
      <c r="AI128" s="69" t="n">
        <f aca="false">-AI123*Inputs!$B$58/12*1*(1+Inputs!$B$65)*(1+Inputs!$B$66)^(AI$7-1)</f>
        <v>-7129.248</v>
      </c>
      <c r="AJ128" s="69" t="n">
        <f aca="false">-AJ123*Inputs!$B$58/12*1*(1+Inputs!$B$65)*(1+Inputs!$B$66)^(AJ$7-1)</f>
        <v>-7129.248</v>
      </c>
      <c r="AK128" s="69" t="n">
        <f aca="false">-AK123*Inputs!$B$58/12*1*(1+Inputs!$B$65)*(1+Inputs!$B$66)^(AK$7-1)</f>
        <v>-7129.248</v>
      </c>
      <c r="AL128" s="69" t="n">
        <f aca="false">-AL123*Inputs!$B$58/12*1*(1+Inputs!$B$65)*(1+Inputs!$B$66)^(AL$7-1)</f>
        <v>-7129.248</v>
      </c>
    </row>
    <row r="129" customFormat="false" ht="15" hidden="false" customHeight="false" outlineLevel="0" collapsed="false">
      <c r="A129" s="6" t="s">
        <v>453</v>
      </c>
      <c r="C129" s="69" t="n">
        <f aca="false">-C124*Inputs!$B$62/12*1*(1+Inputs!$B$65)*(1+Inputs!$B$66)^(C$7-1)</f>
        <v>-29866.6666666667</v>
      </c>
      <c r="D129" s="69" t="n">
        <f aca="false">-D124*Inputs!$B$62/12*1*(1+Inputs!$B$65)*(1+Inputs!$B$66)^(D$7-1)</f>
        <v>-29866.6666666667</v>
      </c>
      <c r="E129" s="69" t="n">
        <f aca="false">-E124*Inputs!$B$62/12*1*(1+Inputs!$B$65)*(1+Inputs!$B$66)^(E$7-1)</f>
        <v>-29866.6666666667</v>
      </c>
      <c r="F129" s="69" t="n">
        <f aca="false">-F124*Inputs!$B$62/12*1*(1+Inputs!$B$65)*(1+Inputs!$B$66)^(F$7-1)</f>
        <v>-29866.6666666667</v>
      </c>
      <c r="G129" s="69" t="n">
        <f aca="false">-G124*Inputs!$B$62/12*1*(1+Inputs!$B$65)*(1+Inputs!$B$66)^(G$7-1)</f>
        <v>-29866.6666666667</v>
      </c>
      <c r="H129" s="69" t="n">
        <f aca="false">-H124*Inputs!$B$62/12*1*(1+Inputs!$B$65)*(1+Inputs!$B$66)^(H$7-1)</f>
        <v>-29866.6666666667</v>
      </c>
      <c r="I129" s="69" t="n">
        <f aca="false">-I124*Inputs!$B$62/12*1*(1+Inputs!$B$65)*(1+Inputs!$B$66)^(I$7-1)</f>
        <v>-29866.6666666667</v>
      </c>
      <c r="J129" s="69" t="n">
        <f aca="false">-J124*Inputs!$B$62/12*1*(1+Inputs!$B$65)*(1+Inputs!$B$66)^(J$7-1)</f>
        <v>-29866.6666666667</v>
      </c>
      <c r="K129" s="69" t="n">
        <f aca="false">-K124*Inputs!$B$62/12*1*(1+Inputs!$B$65)*(1+Inputs!$B$66)^(K$7-1)</f>
        <v>-29866.6666666667</v>
      </c>
      <c r="L129" s="69" t="n">
        <f aca="false">-L124*Inputs!$B$62/12*1*(1+Inputs!$B$65)*(1+Inputs!$B$66)^(L$7-1)</f>
        <v>-29866.6666666667</v>
      </c>
      <c r="M129" s="69" t="n">
        <f aca="false">-M124*Inputs!$B$62/12*1*(1+Inputs!$B$65)*(1+Inputs!$B$66)^(M$7-1)</f>
        <v>-29866.6666666667</v>
      </c>
      <c r="N129" s="69" t="n">
        <f aca="false">-N124*Inputs!$B$62/12*1*(1+Inputs!$B$65)*(1+Inputs!$B$66)^(N$7-1)</f>
        <v>-29866.6666666667</v>
      </c>
      <c r="O129" s="69" t="n">
        <f aca="false">-O124*Inputs!$B$62/12*1*(1+Inputs!$B$65)*(1+Inputs!$B$66)^(O$7-1)</f>
        <v>-30762.6666666667</v>
      </c>
      <c r="P129" s="69" t="n">
        <f aca="false">-P124*Inputs!$B$62/12*1*(1+Inputs!$B$65)*(1+Inputs!$B$66)^(P$7-1)</f>
        <v>-30762.6666666667</v>
      </c>
      <c r="Q129" s="69" t="n">
        <f aca="false">-Q124*Inputs!$B$62/12*1*(1+Inputs!$B$65)*(1+Inputs!$B$66)^(Q$7-1)</f>
        <v>-30762.6666666667</v>
      </c>
      <c r="R129" s="69" t="n">
        <f aca="false">-R124*Inputs!$B$62/12*1*(1+Inputs!$B$65)*(1+Inputs!$B$66)^(R$7-1)</f>
        <v>-30762.6666666667</v>
      </c>
      <c r="S129" s="69" t="n">
        <f aca="false">-S124*Inputs!$B$62/12*1*(1+Inputs!$B$65)*(1+Inputs!$B$66)^(S$7-1)</f>
        <v>-30762.6666666667</v>
      </c>
      <c r="T129" s="69" t="n">
        <f aca="false">-T124*Inputs!$B$62/12*1*(1+Inputs!$B$65)*(1+Inputs!$B$66)^(T$7-1)</f>
        <v>-30762.6666666667</v>
      </c>
      <c r="U129" s="69" t="n">
        <f aca="false">-U124*Inputs!$B$62/12*1*(1+Inputs!$B$65)*(1+Inputs!$B$66)^(U$7-1)</f>
        <v>-30762.6666666667</v>
      </c>
      <c r="V129" s="69" t="n">
        <f aca="false">-V124*Inputs!$B$62/12*1*(1+Inputs!$B$65)*(1+Inputs!$B$66)^(V$7-1)</f>
        <v>-30762.6666666667</v>
      </c>
      <c r="W129" s="69" t="n">
        <f aca="false">-W124*Inputs!$B$62/12*1*(1+Inputs!$B$65)*(1+Inputs!$B$66)^(W$7-1)</f>
        <v>-30762.6666666667</v>
      </c>
      <c r="X129" s="69" t="n">
        <f aca="false">-X124*Inputs!$B$62/12*1*(1+Inputs!$B$65)*(1+Inputs!$B$66)^(X$7-1)</f>
        <v>-30762.6666666667</v>
      </c>
      <c r="Y129" s="69" t="n">
        <f aca="false">-Y124*Inputs!$B$62/12*1*(1+Inputs!$B$65)*(1+Inputs!$B$66)^(Y$7-1)</f>
        <v>-30762.6666666667</v>
      </c>
      <c r="Z129" s="69" t="n">
        <f aca="false">-Z124*Inputs!$B$62/12*1*(1+Inputs!$B$65)*(1+Inputs!$B$66)^(Z$7-1)</f>
        <v>-30762.6666666667</v>
      </c>
      <c r="AA129" s="69" t="n">
        <f aca="false">-AA124*Inputs!$B$62/12*1*(1+Inputs!$B$65)*(1+Inputs!$B$66)^(AA$7-1)</f>
        <v>-31685.5466666667</v>
      </c>
      <c r="AB129" s="69" t="n">
        <f aca="false">-AB124*Inputs!$B$62/12*1*(1+Inputs!$B$65)*(1+Inputs!$B$66)^(AB$7-1)</f>
        <v>-31685.5466666667</v>
      </c>
      <c r="AC129" s="69" t="n">
        <f aca="false">-AC124*Inputs!$B$62/12*1*(1+Inputs!$B$65)*(1+Inputs!$B$66)^(AC$7-1)</f>
        <v>-31685.5466666667</v>
      </c>
      <c r="AD129" s="69" t="n">
        <f aca="false">-AD124*Inputs!$B$62/12*1*(1+Inputs!$B$65)*(1+Inputs!$B$66)^(AD$7-1)</f>
        <v>-31685.5466666667</v>
      </c>
      <c r="AE129" s="69" t="n">
        <f aca="false">-AE124*Inputs!$B$62/12*1*(1+Inputs!$B$65)*(1+Inputs!$B$66)^(AE$7-1)</f>
        <v>-31685.5466666667</v>
      </c>
      <c r="AF129" s="69" t="n">
        <f aca="false">-AF124*Inputs!$B$62/12*1*(1+Inputs!$B$65)*(1+Inputs!$B$66)^(AF$7-1)</f>
        <v>-31685.5466666667</v>
      </c>
      <c r="AG129" s="69" t="n">
        <f aca="false">-AG124*Inputs!$B$62/12*1*(1+Inputs!$B$65)*(1+Inputs!$B$66)^(AG$7-1)</f>
        <v>-31685.5466666667</v>
      </c>
      <c r="AH129" s="69" t="n">
        <f aca="false">-AH124*Inputs!$B$62/12*1*(1+Inputs!$B$65)*(1+Inputs!$B$66)^(AH$7-1)</f>
        <v>-31685.5466666667</v>
      </c>
      <c r="AI129" s="69" t="n">
        <f aca="false">-AI124*Inputs!$B$62/12*1*(1+Inputs!$B$65)*(1+Inputs!$B$66)^(AI$7-1)</f>
        <v>-31685.5466666667</v>
      </c>
      <c r="AJ129" s="69" t="n">
        <f aca="false">-AJ124*Inputs!$B$62/12*1*(1+Inputs!$B$65)*(1+Inputs!$B$66)^(AJ$7-1)</f>
        <v>-31685.5466666667</v>
      </c>
      <c r="AK129" s="69" t="n">
        <f aca="false">-AK124*Inputs!$B$62/12*1*(1+Inputs!$B$65)*(1+Inputs!$B$66)^(AK$7-1)</f>
        <v>-31685.5466666667</v>
      </c>
      <c r="AL129" s="69" t="n">
        <f aca="false">-AL124*Inputs!$B$62/12*1*(1+Inputs!$B$65)*(1+Inputs!$B$66)^(AL$7-1)</f>
        <v>-31685.5466666667</v>
      </c>
    </row>
    <row r="130" customFormat="false" ht="15" hidden="false" customHeight="false" outlineLevel="0" collapsed="false">
      <c r="A130" s="113" t="s">
        <v>454</v>
      </c>
      <c r="C130" s="70" t="n">
        <f aca="false">C128+C129</f>
        <v>-36586.6666666667</v>
      </c>
      <c r="D130" s="70" t="n">
        <f aca="false">D128+D129</f>
        <v>-36586.6666666667</v>
      </c>
      <c r="E130" s="70" t="n">
        <f aca="false">E128+E129</f>
        <v>-36586.6666666667</v>
      </c>
      <c r="F130" s="70" t="n">
        <f aca="false">F128+F129</f>
        <v>-36586.6666666667</v>
      </c>
      <c r="G130" s="70" t="n">
        <f aca="false">G128+G129</f>
        <v>-36586.6666666667</v>
      </c>
      <c r="H130" s="70" t="n">
        <f aca="false">H128+H129</f>
        <v>-36586.6666666667</v>
      </c>
      <c r="I130" s="70" t="n">
        <f aca="false">I128+I129</f>
        <v>-36586.6666666667</v>
      </c>
      <c r="J130" s="70" t="n">
        <f aca="false">J128+J129</f>
        <v>-36586.6666666667</v>
      </c>
      <c r="K130" s="70" t="n">
        <f aca="false">K128+K129</f>
        <v>-36586.6666666667</v>
      </c>
      <c r="L130" s="70" t="n">
        <f aca="false">L128+L129</f>
        <v>-36586.6666666667</v>
      </c>
      <c r="M130" s="70" t="n">
        <f aca="false">M128+M129</f>
        <v>-36586.6666666667</v>
      </c>
      <c r="N130" s="70" t="n">
        <f aca="false">N128+N129</f>
        <v>-36586.6666666667</v>
      </c>
      <c r="O130" s="70" t="n">
        <f aca="false">O128+O129</f>
        <v>-37684.2666666667</v>
      </c>
      <c r="P130" s="70" t="n">
        <f aca="false">P128+P129</f>
        <v>-37684.2666666667</v>
      </c>
      <c r="Q130" s="70" t="n">
        <f aca="false">Q128+Q129</f>
        <v>-37684.2666666667</v>
      </c>
      <c r="R130" s="70" t="n">
        <f aca="false">R128+R129</f>
        <v>-37684.2666666667</v>
      </c>
      <c r="S130" s="70" t="n">
        <f aca="false">S128+S129</f>
        <v>-37684.2666666667</v>
      </c>
      <c r="T130" s="70" t="n">
        <f aca="false">T128+T129</f>
        <v>-37684.2666666667</v>
      </c>
      <c r="U130" s="70" t="n">
        <f aca="false">U128+U129</f>
        <v>-37684.2666666667</v>
      </c>
      <c r="V130" s="70" t="n">
        <f aca="false">V128+V129</f>
        <v>-37684.2666666667</v>
      </c>
      <c r="W130" s="70" t="n">
        <f aca="false">W128+W129</f>
        <v>-37684.2666666667</v>
      </c>
      <c r="X130" s="70" t="n">
        <f aca="false">X128+X129</f>
        <v>-37684.2666666667</v>
      </c>
      <c r="Y130" s="70" t="n">
        <f aca="false">Y128+Y129</f>
        <v>-37684.2666666667</v>
      </c>
      <c r="Z130" s="70" t="n">
        <f aca="false">Z128+Z129</f>
        <v>-37684.2666666667</v>
      </c>
      <c r="AA130" s="70" t="n">
        <f aca="false">AA128+AA129</f>
        <v>-38814.7946666667</v>
      </c>
      <c r="AB130" s="70" t="n">
        <f aca="false">AB128+AB129</f>
        <v>-38814.7946666667</v>
      </c>
      <c r="AC130" s="70" t="n">
        <f aca="false">AC128+AC129</f>
        <v>-38814.7946666667</v>
      </c>
      <c r="AD130" s="70" t="n">
        <f aca="false">AD128+AD129</f>
        <v>-38814.7946666667</v>
      </c>
      <c r="AE130" s="70" t="n">
        <f aca="false">AE128+AE129</f>
        <v>-38814.7946666667</v>
      </c>
      <c r="AF130" s="70" t="n">
        <f aca="false">AF128+AF129</f>
        <v>-38814.7946666667</v>
      </c>
      <c r="AG130" s="70" t="n">
        <f aca="false">AG128+AG129</f>
        <v>-38814.7946666667</v>
      </c>
      <c r="AH130" s="70" t="n">
        <f aca="false">AH128+AH129</f>
        <v>-38814.7946666667</v>
      </c>
      <c r="AI130" s="70" t="n">
        <f aca="false">AI128+AI129</f>
        <v>-38814.7946666667</v>
      </c>
      <c r="AJ130" s="70" t="n">
        <f aca="false">AJ128+AJ129</f>
        <v>-38814.7946666667</v>
      </c>
      <c r="AK130" s="70" t="n">
        <f aca="false">AK128+AK129</f>
        <v>-38814.7946666667</v>
      </c>
      <c r="AL130" s="70" t="n">
        <f aca="false">AL128+AL129</f>
        <v>-38814.7946666667</v>
      </c>
    </row>
    <row r="133" customFormat="false" ht="15.75" hidden="false" customHeight="true" outlineLevel="0" collapsed="false">
      <c r="A133" s="7" t="s">
        <v>458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customFormat="false" ht="15" hidden="false" customHeight="false" outlineLevel="0" collapsed="false">
      <c r="A134" s="33" t="s">
        <v>353</v>
      </c>
      <c r="C134" s="35" t="s">
        <v>354</v>
      </c>
      <c r="D134" s="35" t="s">
        <v>355</v>
      </c>
      <c r="E134" s="35" t="s">
        <v>356</v>
      </c>
      <c r="F134" s="35" t="s">
        <v>357</v>
      </c>
      <c r="G134" s="35" t="s">
        <v>358</v>
      </c>
      <c r="H134" s="35" t="s">
        <v>359</v>
      </c>
      <c r="I134" s="35" t="s">
        <v>360</v>
      </c>
      <c r="J134" s="35" t="s">
        <v>361</v>
      </c>
      <c r="K134" s="35" t="s">
        <v>362</v>
      </c>
      <c r="L134" s="35" t="s">
        <v>363</v>
      </c>
      <c r="M134" s="35" t="s">
        <v>364</v>
      </c>
      <c r="N134" s="35" t="s">
        <v>365</v>
      </c>
      <c r="O134" s="35" t="s">
        <v>366</v>
      </c>
      <c r="P134" s="35" t="s">
        <v>367</v>
      </c>
      <c r="Q134" s="35" t="s">
        <v>368</v>
      </c>
      <c r="R134" s="35" t="s">
        <v>369</v>
      </c>
      <c r="S134" s="35" t="s">
        <v>370</v>
      </c>
      <c r="T134" s="35" t="s">
        <v>371</v>
      </c>
      <c r="U134" s="35" t="s">
        <v>372</v>
      </c>
      <c r="V134" s="35" t="s">
        <v>373</v>
      </c>
      <c r="W134" s="35" t="s">
        <v>374</v>
      </c>
      <c r="X134" s="35" t="s">
        <v>375</v>
      </c>
      <c r="Y134" s="35" t="s">
        <v>376</v>
      </c>
      <c r="Z134" s="35" t="s">
        <v>377</v>
      </c>
      <c r="AA134" s="35" t="s">
        <v>378</v>
      </c>
      <c r="AB134" s="35" t="s">
        <v>379</v>
      </c>
      <c r="AC134" s="35" t="s">
        <v>380</v>
      </c>
      <c r="AD134" s="35" t="s">
        <v>381</v>
      </c>
      <c r="AE134" s="35" t="s">
        <v>382</v>
      </c>
      <c r="AF134" s="35" t="s">
        <v>383</v>
      </c>
      <c r="AG134" s="35" t="s">
        <v>384</v>
      </c>
      <c r="AH134" s="35" t="s">
        <v>385</v>
      </c>
      <c r="AI134" s="35" t="s">
        <v>386</v>
      </c>
      <c r="AJ134" s="35" t="s">
        <v>387</v>
      </c>
      <c r="AK134" s="35" t="s">
        <v>388</v>
      </c>
      <c r="AL134" s="35" t="s">
        <v>389</v>
      </c>
    </row>
    <row r="135" customFormat="false" ht="15" hidden="false" customHeight="false" outlineLevel="0" collapsed="false">
      <c r="A135" s="74" t="s">
        <v>390</v>
      </c>
      <c r="C135" s="74" t="n">
        <v>1</v>
      </c>
      <c r="D135" s="74" t="n">
        <v>2</v>
      </c>
      <c r="E135" s="74" t="n">
        <v>3</v>
      </c>
      <c r="F135" s="74" t="n">
        <v>4</v>
      </c>
      <c r="G135" s="74" t="n">
        <v>5</v>
      </c>
      <c r="H135" s="74" t="n">
        <v>6</v>
      </c>
      <c r="I135" s="74" t="n">
        <v>7</v>
      </c>
      <c r="J135" s="74" t="n">
        <v>8</v>
      </c>
      <c r="K135" s="74" t="n">
        <v>9</v>
      </c>
      <c r="L135" s="74" t="n">
        <v>10</v>
      </c>
      <c r="M135" s="74" t="n">
        <v>11</v>
      </c>
      <c r="N135" s="74" t="n">
        <v>12</v>
      </c>
      <c r="O135" s="74" t="n">
        <v>13</v>
      </c>
      <c r="P135" s="74" t="n">
        <v>14</v>
      </c>
      <c r="Q135" s="74" t="n">
        <v>15</v>
      </c>
      <c r="R135" s="74" t="n">
        <v>16</v>
      </c>
      <c r="S135" s="74" t="n">
        <v>17</v>
      </c>
      <c r="T135" s="74" t="n">
        <v>18</v>
      </c>
      <c r="U135" s="74" t="n">
        <v>19</v>
      </c>
      <c r="V135" s="74" t="n">
        <v>20</v>
      </c>
      <c r="W135" s="74" t="n">
        <v>21</v>
      </c>
      <c r="X135" s="74" t="n">
        <v>22</v>
      </c>
      <c r="Y135" s="74" t="n">
        <v>23</v>
      </c>
      <c r="Z135" s="74" t="n">
        <v>24</v>
      </c>
      <c r="AA135" s="74" t="n">
        <v>25</v>
      </c>
      <c r="AB135" s="74" t="n">
        <v>26</v>
      </c>
      <c r="AC135" s="74" t="n">
        <v>27</v>
      </c>
      <c r="AD135" s="74" t="n">
        <v>28</v>
      </c>
      <c r="AE135" s="74" t="n">
        <v>29</v>
      </c>
      <c r="AF135" s="74" t="n">
        <v>30</v>
      </c>
      <c r="AG135" s="74" t="n">
        <v>31</v>
      </c>
      <c r="AH135" s="74" t="n">
        <v>32</v>
      </c>
      <c r="AI135" s="74" t="n">
        <v>33</v>
      </c>
      <c r="AJ135" s="74" t="n">
        <v>34</v>
      </c>
      <c r="AK135" s="74" t="n">
        <v>35</v>
      </c>
      <c r="AL135" s="74" t="n">
        <v>36</v>
      </c>
    </row>
    <row r="136" customFormat="false" ht="15" hidden="false" customHeight="false" outlineLevel="0" collapsed="false">
      <c r="A136" s="74" t="s">
        <v>155</v>
      </c>
      <c r="C136" s="74" t="n">
        <f aca="false">ROUNDUP(C135*1/12,0)</f>
        <v>1</v>
      </c>
      <c r="D136" s="74" t="n">
        <f aca="false">ROUNDUP(D135*1/12,0)</f>
        <v>1</v>
      </c>
      <c r="E136" s="74" t="n">
        <f aca="false">ROUNDUP(E135*1/12,0)</f>
        <v>1</v>
      </c>
      <c r="F136" s="74" t="n">
        <f aca="false">ROUNDUP(F135*1/12,0)</f>
        <v>1</v>
      </c>
      <c r="G136" s="74" t="n">
        <f aca="false">ROUNDUP(G135*1/12,0)</f>
        <v>1</v>
      </c>
      <c r="H136" s="74" t="n">
        <f aca="false">ROUNDUP(H135*1/12,0)</f>
        <v>1</v>
      </c>
      <c r="I136" s="74" t="n">
        <f aca="false">ROUNDUP(I135*1/12,0)</f>
        <v>1</v>
      </c>
      <c r="J136" s="74" t="n">
        <f aca="false">ROUNDUP(J135*1/12,0)</f>
        <v>1</v>
      </c>
      <c r="K136" s="74" t="n">
        <f aca="false">ROUNDUP(K135*1/12,0)</f>
        <v>1</v>
      </c>
      <c r="L136" s="74" t="n">
        <f aca="false">ROUNDUP(L135*1/12,0)</f>
        <v>1</v>
      </c>
      <c r="M136" s="74" t="n">
        <f aca="false">ROUNDUP(M135*1/12,0)</f>
        <v>1</v>
      </c>
      <c r="N136" s="74" t="n">
        <f aca="false">ROUNDUP(N135*1/12,0)</f>
        <v>1</v>
      </c>
      <c r="O136" s="74" t="n">
        <f aca="false">ROUNDUP(O135*1/12,0)</f>
        <v>2</v>
      </c>
      <c r="P136" s="74" t="n">
        <f aca="false">ROUNDUP(P135*1/12,0)</f>
        <v>2</v>
      </c>
      <c r="Q136" s="74" t="n">
        <f aca="false">ROUNDUP(Q135*1/12,0)</f>
        <v>2</v>
      </c>
      <c r="R136" s="74" t="n">
        <f aca="false">ROUNDUP(R135*1/12,0)</f>
        <v>2</v>
      </c>
      <c r="S136" s="74" t="n">
        <f aca="false">ROUNDUP(S135*1/12,0)</f>
        <v>2</v>
      </c>
      <c r="T136" s="74" t="n">
        <f aca="false">ROUNDUP(T135*1/12,0)</f>
        <v>2</v>
      </c>
      <c r="U136" s="74" t="n">
        <f aca="false">ROUNDUP(U135*1/12,0)</f>
        <v>2</v>
      </c>
      <c r="V136" s="74" t="n">
        <f aca="false">ROUNDUP(V135*1/12,0)</f>
        <v>2</v>
      </c>
      <c r="W136" s="74" t="n">
        <f aca="false">ROUNDUP(W135*1/12,0)</f>
        <v>2</v>
      </c>
      <c r="X136" s="74" t="n">
        <f aca="false">ROUNDUP(X135*1/12,0)</f>
        <v>2</v>
      </c>
      <c r="Y136" s="74" t="n">
        <f aca="false">ROUNDUP(Y135*1/12,0)</f>
        <v>2</v>
      </c>
      <c r="Z136" s="74" t="n">
        <f aca="false">ROUNDUP(Z135*1/12,0)</f>
        <v>2</v>
      </c>
      <c r="AA136" s="74" t="n">
        <f aca="false">ROUNDUP(AA135*1/12,0)</f>
        <v>3</v>
      </c>
      <c r="AB136" s="74" t="n">
        <f aca="false">ROUNDUP(AB135*1/12,0)</f>
        <v>3</v>
      </c>
      <c r="AC136" s="74" t="n">
        <f aca="false">ROUNDUP(AC135*1/12,0)</f>
        <v>3</v>
      </c>
      <c r="AD136" s="74" t="n">
        <f aca="false">ROUNDUP(AD135*1/12,0)</f>
        <v>3</v>
      </c>
      <c r="AE136" s="74" t="n">
        <f aca="false">ROUNDUP(AE135*1/12,0)</f>
        <v>3</v>
      </c>
      <c r="AF136" s="74" t="n">
        <f aca="false">ROUNDUP(AF135*1/12,0)</f>
        <v>3</v>
      </c>
      <c r="AG136" s="74" t="n">
        <f aca="false">ROUNDUP(AG135*1/12,0)</f>
        <v>3</v>
      </c>
      <c r="AH136" s="74" t="n">
        <f aca="false">ROUNDUP(AH135*1/12,0)</f>
        <v>3</v>
      </c>
      <c r="AI136" s="74" t="n">
        <f aca="false">ROUNDUP(AI135*1/12,0)</f>
        <v>3</v>
      </c>
      <c r="AJ136" s="74" t="n">
        <f aca="false">ROUNDUP(AJ135*1/12,0)</f>
        <v>3</v>
      </c>
      <c r="AK136" s="74" t="n">
        <f aca="false">ROUNDUP(AK135*1/12,0)</f>
        <v>3</v>
      </c>
      <c r="AL136" s="74" t="n">
        <f aca="false">ROUNDUP(AL135*1/12,0)</f>
        <v>3</v>
      </c>
    </row>
    <row r="138" customFormat="false" ht="15.75" hidden="false" customHeight="true" outlineLevel="0" collapsed="false">
      <c r="A138" s="7" t="s">
        <v>391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customFormat="false" ht="15" hidden="false" customHeight="false" outlineLevel="0" collapsed="false">
      <c r="A139" s="116" t="s">
        <v>392</v>
      </c>
      <c r="C139" s="117" t="n">
        <f aca="false">MAX(0,MIN(1,Inputs!$C$10-(C$135-1)*1))</f>
        <v>1</v>
      </c>
      <c r="D139" s="117" t="n">
        <f aca="false">MAX(0,MIN(1,Inputs!$C$10-(D$135-1)*1))</f>
        <v>1</v>
      </c>
      <c r="E139" s="117" t="n">
        <f aca="false">MAX(0,MIN(1,Inputs!$C$10-(E$135-1)*1))</f>
        <v>1</v>
      </c>
      <c r="F139" s="117" t="n">
        <f aca="false">MAX(0,MIN(1,Inputs!$C$10-(F$135-1)*1))</f>
        <v>1</v>
      </c>
      <c r="G139" s="117" t="n">
        <f aca="false">MAX(0,MIN(1,Inputs!$C$10-(G$135-1)*1))</f>
        <v>1</v>
      </c>
      <c r="H139" s="117" t="n">
        <f aca="false">MAX(0,MIN(1,Inputs!$C$10-(H$135-1)*1))</f>
        <v>1</v>
      </c>
      <c r="I139" s="117" t="n">
        <f aca="false">MAX(0,MIN(1,Inputs!$C$10-(I$135-1)*1))</f>
        <v>1</v>
      </c>
      <c r="J139" s="117" t="n">
        <f aca="false">MAX(0,MIN(1,Inputs!$C$10-(J$135-1)*1))</f>
        <v>1</v>
      </c>
      <c r="K139" s="117" t="n">
        <f aca="false">MAX(0,MIN(1,Inputs!$C$10-(K$135-1)*1))</f>
        <v>1</v>
      </c>
      <c r="L139" s="117" t="n">
        <f aca="false">MAX(0,MIN(1,Inputs!$C$10-(L$135-1)*1))</f>
        <v>0</v>
      </c>
      <c r="M139" s="117" t="n">
        <f aca="false">MAX(0,MIN(1,Inputs!$C$10-(M$135-1)*1))</f>
        <v>0</v>
      </c>
      <c r="N139" s="117" t="n">
        <f aca="false">MAX(0,MIN(1,Inputs!$C$10-(N$135-1)*1))</f>
        <v>0</v>
      </c>
      <c r="O139" s="117" t="n">
        <f aca="false">MAX(0,MIN(1,Inputs!$C$10-(O$135-1)*1))</f>
        <v>0</v>
      </c>
      <c r="P139" s="117" t="n">
        <f aca="false">MAX(0,MIN(1,Inputs!$C$10-(P$135-1)*1))</f>
        <v>0</v>
      </c>
      <c r="Q139" s="117" t="n">
        <f aca="false">MAX(0,MIN(1,Inputs!$C$10-(Q$135-1)*1))</f>
        <v>0</v>
      </c>
      <c r="R139" s="117" t="n">
        <f aca="false">MAX(0,MIN(1,Inputs!$C$10-(R$135-1)*1))</f>
        <v>0</v>
      </c>
      <c r="S139" s="117" t="n">
        <f aca="false">MAX(0,MIN(1,Inputs!$C$10-(S$135-1)*1))</f>
        <v>0</v>
      </c>
      <c r="T139" s="117" t="n">
        <f aca="false">MAX(0,MIN(1,Inputs!$C$10-(T$135-1)*1))</f>
        <v>0</v>
      </c>
      <c r="U139" s="117" t="n">
        <f aca="false">MAX(0,MIN(1,Inputs!$C$10-(U$135-1)*1))</f>
        <v>0</v>
      </c>
      <c r="V139" s="117" t="n">
        <f aca="false">MAX(0,MIN(1,Inputs!$C$10-(V$135-1)*1))</f>
        <v>0</v>
      </c>
      <c r="W139" s="117" t="n">
        <f aca="false">MAX(0,MIN(1,Inputs!$C$10-(W$135-1)*1))</f>
        <v>0</v>
      </c>
      <c r="X139" s="117" t="n">
        <f aca="false">MAX(0,MIN(1,Inputs!$C$10-(X$135-1)*1))</f>
        <v>0</v>
      </c>
      <c r="Y139" s="117" t="n">
        <f aca="false">MAX(0,MIN(1,Inputs!$C$10-(Y$135-1)*1))</f>
        <v>0</v>
      </c>
      <c r="Z139" s="117" t="n">
        <f aca="false">MAX(0,MIN(1,Inputs!$C$10-(Z$135-1)*1))</f>
        <v>0</v>
      </c>
      <c r="AA139" s="117" t="n">
        <f aca="false">MAX(0,MIN(1,Inputs!$C$10-(AA$135-1)*1))</f>
        <v>0</v>
      </c>
      <c r="AB139" s="117" t="n">
        <f aca="false">MAX(0,MIN(1,Inputs!$C$10-(AB$135-1)*1))</f>
        <v>0</v>
      </c>
      <c r="AC139" s="117" t="n">
        <f aca="false">MAX(0,MIN(1,Inputs!$C$10-(AC$135-1)*1))</f>
        <v>0</v>
      </c>
      <c r="AD139" s="117" t="n">
        <f aca="false">MAX(0,MIN(1,Inputs!$C$10-(AD$135-1)*1))</f>
        <v>0</v>
      </c>
      <c r="AE139" s="117" t="n">
        <f aca="false">MAX(0,MIN(1,Inputs!$C$10-(AE$135-1)*1))</f>
        <v>0</v>
      </c>
      <c r="AF139" s="117" t="n">
        <f aca="false">MAX(0,MIN(1,Inputs!$C$10-(AF$135-1)*1))</f>
        <v>0</v>
      </c>
      <c r="AG139" s="117" t="n">
        <f aca="false">MAX(0,MIN(1,Inputs!$C$10-(AG$135-1)*1))</f>
        <v>0</v>
      </c>
      <c r="AH139" s="117" t="n">
        <f aca="false">MAX(0,MIN(1,Inputs!$C$10-(AH$135-1)*1))</f>
        <v>0</v>
      </c>
      <c r="AI139" s="117" t="n">
        <f aca="false">MAX(0,MIN(1,Inputs!$C$10-(AI$135-1)*1))</f>
        <v>0</v>
      </c>
      <c r="AJ139" s="117" t="n">
        <f aca="false">MAX(0,MIN(1,Inputs!$C$10-(AJ$135-1)*1))</f>
        <v>0</v>
      </c>
      <c r="AK139" s="117" t="n">
        <f aca="false">MAX(0,MIN(1,Inputs!$C$10-(AK$135-1)*1))</f>
        <v>0</v>
      </c>
      <c r="AL139" s="117" t="n">
        <f aca="false">MAX(0,MIN(1,Inputs!$C$10-(AL$135-1)*1))</f>
        <v>0</v>
      </c>
    </row>
    <row r="140" customFormat="false" ht="15" hidden="false" customHeight="false" outlineLevel="0" collapsed="false">
      <c r="A140" s="39" t="s">
        <v>393</v>
      </c>
      <c r="C140" s="76" t="n">
        <f aca="false">IF(Inputs!$C$10&lt;=0,1,(C139*Inputs!$C$11+(1-Inputs!$C$11)/MAX(1,Inputs!$C$10)*(C139*(C$135-1)*1+C139*(C139-1)/2)+1-C139)/1)</f>
        <v>0.45</v>
      </c>
      <c r="D140" s="76" t="n">
        <f aca="false">IF(Inputs!$C$10&lt;=0,1,(D139*Inputs!$C$11+(1-Inputs!$C$11)/MAX(1,Inputs!$C$10)*(D139*(D$135-1)*1+D139*(D139-1)/2)+1-D139)/1)</f>
        <v>0.511111111111111</v>
      </c>
      <c r="E140" s="76" t="n">
        <f aca="false">IF(Inputs!$C$10&lt;=0,1,(E139*Inputs!$C$11+(1-Inputs!$C$11)/MAX(1,Inputs!$C$10)*(E139*(E$135-1)*1+E139*(E139-1)/2)+1-E139)/1)</f>
        <v>0.572222222222222</v>
      </c>
      <c r="F140" s="76" t="n">
        <f aca="false">IF(Inputs!$C$10&lt;=0,1,(F139*Inputs!$C$11+(1-Inputs!$C$11)/MAX(1,Inputs!$C$10)*(F139*(F$135-1)*1+F139*(F139-1)/2)+1-F139)/1)</f>
        <v>0.633333333333333</v>
      </c>
      <c r="G140" s="76" t="n">
        <f aca="false">IF(Inputs!$C$10&lt;=0,1,(G139*Inputs!$C$11+(1-Inputs!$C$11)/MAX(1,Inputs!$C$10)*(G139*(G$135-1)*1+G139*(G139-1)/2)+1-G139)/1)</f>
        <v>0.694444444444444</v>
      </c>
      <c r="H140" s="76" t="n">
        <f aca="false">IF(Inputs!$C$10&lt;=0,1,(H139*Inputs!$C$11+(1-Inputs!$C$11)/MAX(1,Inputs!$C$10)*(H139*(H$135-1)*1+H139*(H139-1)/2)+1-H139)/1)</f>
        <v>0.755555555555556</v>
      </c>
      <c r="I140" s="76" t="n">
        <f aca="false">IF(Inputs!$C$10&lt;=0,1,(I139*Inputs!$C$11+(1-Inputs!$C$11)/MAX(1,Inputs!$C$10)*(I139*(I$135-1)*1+I139*(I139-1)/2)+1-I139)/1)</f>
        <v>0.816666666666667</v>
      </c>
      <c r="J140" s="76" t="n">
        <f aca="false">IF(Inputs!$C$10&lt;=0,1,(J139*Inputs!$C$11+(1-Inputs!$C$11)/MAX(1,Inputs!$C$10)*(J139*(J$135-1)*1+J139*(J139-1)/2)+1-J139)/1)</f>
        <v>0.877777777777778</v>
      </c>
      <c r="K140" s="76" t="n">
        <f aca="false">IF(Inputs!$C$10&lt;=0,1,(K139*Inputs!$C$11+(1-Inputs!$C$11)/MAX(1,Inputs!$C$10)*(K139*(K$135-1)*1+K139*(K139-1)/2)+1-K139)/1)</f>
        <v>0.938888888888889</v>
      </c>
      <c r="L140" s="76" t="n">
        <f aca="false">IF(Inputs!$C$10&lt;=0,1,(L139*Inputs!$C$11+(1-Inputs!$C$11)/MAX(1,Inputs!$C$10)*(L139*(L$135-1)*1+L139*(L139-1)/2)+1-L139)/1)</f>
        <v>1</v>
      </c>
      <c r="M140" s="76" t="n">
        <f aca="false">IF(Inputs!$C$10&lt;=0,1,(M139*Inputs!$C$11+(1-Inputs!$C$11)/MAX(1,Inputs!$C$10)*(M139*(M$135-1)*1+M139*(M139-1)/2)+1-M139)/1)</f>
        <v>1</v>
      </c>
      <c r="N140" s="76" t="n">
        <f aca="false">IF(Inputs!$C$10&lt;=0,1,(N139*Inputs!$C$11+(1-Inputs!$C$11)/MAX(1,Inputs!$C$10)*(N139*(N$135-1)*1+N139*(N139-1)/2)+1-N139)/1)</f>
        <v>1</v>
      </c>
      <c r="O140" s="76" t="n">
        <f aca="false">IF(Inputs!$C$10&lt;=0,1,(O139*Inputs!$C$11+(1-Inputs!$C$11)/MAX(1,Inputs!$C$10)*(O139*(O$135-1)*1+O139*(O139-1)/2)+1-O139)/1)</f>
        <v>1</v>
      </c>
      <c r="P140" s="76" t="n">
        <f aca="false">IF(Inputs!$C$10&lt;=0,1,(P139*Inputs!$C$11+(1-Inputs!$C$11)/MAX(1,Inputs!$C$10)*(P139*(P$135-1)*1+P139*(P139-1)/2)+1-P139)/1)</f>
        <v>1</v>
      </c>
      <c r="Q140" s="76" t="n">
        <f aca="false">IF(Inputs!$C$10&lt;=0,1,(Q139*Inputs!$C$11+(1-Inputs!$C$11)/MAX(1,Inputs!$C$10)*(Q139*(Q$135-1)*1+Q139*(Q139-1)/2)+1-Q139)/1)</f>
        <v>1</v>
      </c>
      <c r="R140" s="76" t="n">
        <f aca="false">IF(Inputs!$C$10&lt;=0,1,(R139*Inputs!$C$11+(1-Inputs!$C$11)/MAX(1,Inputs!$C$10)*(R139*(R$135-1)*1+R139*(R139-1)/2)+1-R139)/1)</f>
        <v>1</v>
      </c>
      <c r="S140" s="76" t="n">
        <f aca="false">IF(Inputs!$C$10&lt;=0,1,(S139*Inputs!$C$11+(1-Inputs!$C$11)/MAX(1,Inputs!$C$10)*(S139*(S$135-1)*1+S139*(S139-1)/2)+1-S139)/1)</f>
        <v>1</v>
      </c>
      <c r="T140" s="76" t="n">
        <f aca="false">IF(Inputs!$C$10&lt;=0,1,(T139*Inputs!$C$11+(1-Inputs!$C$11)/MAX(1,Inputs!$C$10)*(T139*(T$135-1)*1+T139*(T139-1)/2)+1-T139)/1)</f>
        <v>1</v>
      </c>
      <c r="U140" s="76" t="n">
        <f aca="false">IF(Inputs!$C$10&lt;=0,1,(U139*Inputs!$C$11+(1-Inputs!$C$11)/MAX(1,Inputs!$C$10)*(U139*(U$135-1)*1+U139*(U139-1)/2)+1-U139)/1)</f>
        <v>1</v>
      </c>
      <c r="V140" s="76" t="n">
        <f aca="false">IF(Inputs!$C$10&lt;=0,1,(V139*Inputs!$C$11+(1-Inputs!$C$11)/MAX(1,Inputs!$C$10)*(V139*(V$135-1)*1+V139*(V139-1)/2)+1-V139)/1)</f>
        <v>1</v>
      </c>
      <c r="W140" s="76" t="n">
        <f aca="false">IF(Inputs!$C$10&lt;=0,1,(W139*Inputs!$C$11+(1-Inputs!$C$11)/MAX(1,Inputs!$C$10)*(W139*(W$135-1)*1+W139*(W139-1)/2)+1-W139)/1)</f>
        <v>1</v>
      </c>
      <c r="X140" s="76" t="n">
        <f aca="false">IF(Inputs!$C$10&lt;=0,1,(X139*Inputs!$C$11+(1-Inputs!$C$11)/MAX(1,Inputs!$C$10)*(X139*(X$135-1)*1+X139*(X139-1)/2)+1-X139)/1)</f>
        <v>1</v>
      </c>
      <c r="Y140" s="76" t="n">
        <f aca="false">IF(Inputs!$C$10&lt;=0,1,(Y139*Inputs!$C$11+(1-Inputs!$C$11)/MAX(1,Inputs!$C$10)*(Y139*(Y$135-1)*1+Y139*(Y139-1)/2)+1-Y139)/1)</f>
        <v>1</v>
      </c>
      <c r="Z140" s="76" t="n">
        <f aca="false">IF(Inputs!$C$10&lt;=0,1,(Z139*Inputs!$C$11+(1-Inputs!$C$11)/MAX(1,Inputs!$C$10)*(Z139*(Z$135-1)*1+Z139*(Z139-1)/2)+1-Z139)/1)</f>
        <v>1</v>
      </c>
      <c r="AA140" s="76" t="n">
        <f aca="false">IF(Inputs!$C$10&lt;=0,1,(AA139*Inputs!$C$11+(1-Inputs!$C$11)/MAX(1,Inputs!$C$10)*(AA139*(AA$135-1)*1+AA139*(AA139-1)/2)+1-AA139)/1)</f>
        <v>1</v>
      </c>
      <c r="AB140" s="76" t="n">
        <f aca="false">IF(Inputs!$C$10&lt;=0,1,(AB139*Inputs!$C$11+(1-Inputs!$C$11)/MAX(1,Inputs!$C$10)*(AB139*(AB$135-1)*1+AB139*(AB139-1)/2)+1-AB139)/1)</f>
        <v>1</v>
      </c>
      <c r="AC140" s="76" t="n">
        <f aca="false">IF(Inputs!$C$10&lt;=0,1,(AC139*Inputs!$C$11+(1-Inputs!$C$11)/MAX(1,Inputs!$C$10)*(AC139*(AC$135-1)*1+AC139*(AC139-1)/2)+1-AC139)/1)</f>
        <v>1</v>
      </c>
      <c r="AD140" s="76" t="n">
        <f aca="false">IF(Inputs!$C$10&lt;=0,1,(AD139*Inputs!$C$11+(1-Inputs!$C$11)/MAX(1,Inputs!$C$10)*(AD139*(AD$135-1)*1+AD139*(AD139-1)/2)+1-AD139)/1)</f>
        <v>1</v>
      </c>
      <c r="AE140" s="76" t="n">
        <f aca="false">IF(Inputs!$C$10&lt;=0,1,(AE139*Inputs!$C$11+(1-Inputs!$C$11)/MAX(1,Inputs!$C$10)*(AE139*(AE$135-1)*1+AE139*(AE139-1)/2)+1-AE139)/1)</f>
        <v>1</v>
      </c>
      <c r="AF140" s="76" t="n">
        <f aca="false">IF(Inputs!$C$10&lt;=0,1,(AF139*Inputs!$C$11+(1-Inputs!$C$11)/MAX(1,Inputs!$C$10)*(AF139*(AF$135-1)*1+AF139*(AF139-1)/2)+1-AF139)/1)</f>
        <v>1</v>
      </c>
      <c r="AG140" s="76" t="n">
        <f aca="false">IF(Inputs!$C$10&lt;=0,1,(AG139*Inputs!$C$11+(1-Inputs!$C$11)/MAX(1,Inputs!$C$10)*(AG139*(AG$135-1)*1+AG139*(AG139-1)/2)+1-AG139)/1)</f>
        <v>1</v>
      </c>
      <c r="AH140" s="76" t="n">
        <f aca="false">IF(Inputs!$C$10&lt;=0,1,(AH139*Inputs!$C$11+(1-Inputs!$C$11)/MAX(1,Inputs!$C$10)*(AH139*(AH$135-1)*1+AH139*(AH139-1)/2)+1-AH139)/1)</f>
        <v>1</v>
      </c>
      <c r="AI140" s="76" t="n">
        <f aca="false">IF(Inputs!$C$10&lt;=0,1,(AI139*Inputs!$C$11+(1-Inputs!$C$11)/MAX(1,Inputs!$C$10)*(AI139*(AI$135-1)*1+AI139*(AI139-1)/2)+1-AI139)/1)</f>
        <v>1</v>
      </c>
      <c r="AJ140" s="76" t="n">
        <f aca="false">IF(Inputs!$C$10&lt;=0,1,(AJ139*Inputs!$C$11+(1-Inputs!$C$11)/MAX(1,Inputs!$C$10)*(AJ139*(AJ$135-1)*1+AJ139*(AJ139-1)/2)+1-AJ139)/1)</f>
        <v>1</v>
      </c>
      <c r="AK140" s="76" t="n">
        <f aca="false">IF(Inputs!$C$10&lt;=0,1,(AK139*Inputs!$C$11+(1-Inputs!$C$11)/MAX(1,Inputs!$C$10)*(AK139*(AK$135-1)*1+AK139*(AK139-1)/2)+1-AK139)/1)</f>
        <v>1</v>
      </c>
      <c r="AL140" s="76" t="n">
        <f aca="false">IF(Inputs!$C$10&lt;=0,1,(AL139*Inputs!$C$11+(1-Inputs!$C$11)/MAX(1,Inputs!$C$10)*(AL139*(AL$135-1)*1+AL139*(AL139-1)/2)+1-AL139)/1)</f>
        <v>1</v>
      </c>
    </row>
    <row r="141" customFormat="false" ht="15" hidden="false" customHeight="false" outlineLevel="0" collapsed="false">
      <c r="A141" s="6" t="s">
        <v>394</v>
      </c>
      <c r="C141" s="79" t="n">
        <f aca="false">IF(OR(MOD(C$135-1,12)&gt;=11,MOD(C$135-1,12)&lt;=1),1-Inputs!$C$12,1+Inputs!$C$12/3)</f>
        <v>0.85</v>
      </c>
      <c r="D141" s="79" t="n">
        <f aca="false">IF(OR(MOD(D$135-1,12)&gt;=11,MOD(D$135-1,12)&lt;=1),1-Inputs!$C$12,1+Inputs!$C$12/3)</f>
        <v>0.85</v>
      </c>
      <c r="E141" s="79" t="n">
        <f aca="false">IF(OR(MOD(E$135-1,12)&gt;=11,MOD(E$135-1,12)&lt;=1),1-Inputs!$C$12,1+Inputs!$C$12/3)</f>
        <v>1.05</v>
      </c>
      <c r="F141" s="79" t="n">
        <f aca="false">IF(OR(MOD(F$135-1,12)&gt;=11,MOD(F$135-1,12)&lt;=1),1-Inputs!$C$12,1+Inputs!$C$12/3)</f>
        <v>1.05</v>
      </c>
      <c r="G141" s="79" t="n">
        <f aca="false">IF(OR(MOD(G$135-1,12)&gt;=11,MOD(G$135-1,12)&lt;=1),1-Inputs!$C$12,1+Inputs!$C$12/3)</f>
        <v>1.05</v>
      </c>
      <c r="H141" s="79" t="n">
        <f aca="false">IF(OR(MOD(H$135-1,12)&gt;=11,MOD(H$135-1,12)&lt;=1),1-Inputs!$C$12,1+Inputs!$C$12/3)</f>
        <v>1.05</v>
      </c>
      <c r="I141" s="79" t="n">
        <f aca="false">IF(OR(MOD(I$135-1,12)&gt;=11,MOD(I$135-1,12)&lt;=1),1-Inputs!$C$12,1+Inputs!$C$12/3)</f>
        <v>1.05</v>
      </c>
      <c r="J141" s="79" t="n">
        <f aca="false">IF(OR(MOD(J$135-1,12)&gt;=11,MOD(J$135-1,12)&lt;=1),1-Inputs!$C$12,1+Inputs!$C$12/3)</f>
        <v>1.05</v>
      </c>
      <c r="K141" s="79" t="n">
        <f aca="false">IF(OR(MOD(K$135-1,12)&gt;=11,MOD(K$135-1,12)&lt;=1),1-Inputs!$C$12,1+Inputs!$C$12/3)</f>
        <v>1.05</v>
      </c>
      <c r="L141" s="79" t="n">
        <f aca="false">IF(OR(MOD(L$135-1,12)&gt;=11,MOD(L$135-1,12)&lt;=1),1-Inputs!$C$12,1+Inputs!$C$12/3)</f>
        <v>1.05</v>
      </c>
      <c r="M141" s="79" t="n">
        <f aca="false">IF(OR(MOD(M$135-1,12)&gt;=11,MOD(M$135-1,12)&lt;=1),1-Inputs!$C$12,1+Inputs!$C$12/3)</f>
        <v>1.05</v>
      </c>
      <c r="N141" s="79" t="n">
        <f aca="false">IF(OR(MOD(N$135-1,12)&gt;=11,MOD(N$135-1,12)&lt;=1),1-Inputs!$C$12,1+Inputs!$C$12/3)</f>
        <v>0.85</v>
      </c>
      <c r="O141" s="79" t="n">
        <f aca="false">IF(OR(MOD(O$135-1,12)&gt;=11,MOD(O$135-1,12)&lt;=1),1-Inputs!$C$12,1+Inputs!$C$12/3)</f>
        <v>0.85</v>
      </c>
      <c r="P141" s="79" t="n">
        <f aca="false">IF(OR(MOD(P$135-1,12)&gt;=11,MOD(P$135-1,12)&lt;=1),1-Inputs!$C$12,1+Inputs!$C$12/3)</f>
        <v>0.85</v>
      </c>
      <c r="Q141" s="79" t="n">
        <f aca="false">IF(OR(MOD(Q$135-1,12)&gt;=11,MOD(Q$135-1,12)&lt;=1),1-Inputs!$C$12,1+Inputs!$C$12/3)</f>
        <v>1.05</v>
      </c>
      <c r="R141" s="79" t="n">
        <f aca="false">IF(OR(MOD(R$135-1,12)&gt;=11,MOD(R$135-1,12)&lt;=1),1-Inputs!$C$12,1+Inputs!$C$12/3)</f>
        <v>1.05</v>
      </c>
      <c r="S141" s="79" t="n">
        <f aca="false">IF(OR(MOD(S$135-1,12)&gt;=11,MOD(S$135-1,12)&lt;=1),1-Inputs!$C$12,1+Inputs!$C$12/3)</f>
        <v>1.05</v>
      </c>
      <c r="T141" s="79" t="n">
        <f aca="false">IF(OR(MOD(T$135-1,12)&gt;=11,MOD(T$135-1,12)&lt;=1),1-Inputs!$C$12,1+Inputs!$C$12/3)</f>
        <v>1.05</v>
      </c>
      <c r="U141" s="79" t="n">
        <f aca="false">IF(OR(MOD(U$135-1,12)&gt;=11,MOD(U$135-1,12)&lt;=1),1-Inputs!$C$12,1+Inputs!$C$12/3)</f>
        <v>1.05</v>
      </c>
      <c r="V141" s="79" t="n">
        <f aca="false">IF(OR(MOD(V$135-1,12)&gt;=11,MOD(V$135-1,12)&lt;=1),1-Inputs!$C$12,1+Inputs!$C$12/3)</f>
        <v>1.05</v>
      </c>
      <c r="W141" s="79" t="n">
        <f aca="false">IF(OR(MOD(W$135-1,12)&gt;=11,MOD(W$135-1,12)&lt;=1),1-Inputs!$C$12,1+Inputs!$C$12/3)</f>
        <v>1.05</v>
      </c>
      <c r="X141" s="79" t="n">
        <f aca="false">IF(OR(MOD(X$135-1,12)&gt;=11,MOD(X$135-1,12)&lt;=1),1-Inputs!$C$12,1+Inputs!$C$12/3)</f>
        <v>1.05</v>
      </c>
      <c r="Y141" s="79" t="n">
        <f aca="false">IF(OR(MOD(Y$135-1,12)&gt;=11,MOD(Y$135-1,12)&lt;=1),1-Inputs!$C$12,1+Inputs!$C$12/3)</f>
        <v>1.05</v>
      </c>
      <c r="Z141" s="79" t="n">
        <f aca="false">IF(OR(MOD(Z$135-1,12)&gt;=11,MOD(Z$135-1,12)&lt;=1),1-Inputs!$C$12,1+Inputs!$C$12/3)</f>
        <v>0.85</v>
      </c>
      <c r="AA141" s="79" t="n">
        <f aca="false">IF(OR(MOD(AA$135-1,12)&gt;=11,MOD(AA$135-1,12)&lt;=1),1-Inputs!$C$12,1+Inputs!$C$12/3)</f>
        <v>0.85</v>
      </c>
      <c r="AB141" s="79" t="n">
        <f aca="false">IF(OR(MOD(AB$135-1,12)&gt;=11,MOD(AB$135-1,12)&lt;=1),1-Inputs!$C$12,1+Inputs!$C$12/3)</f>
        <v>0.85</v>
      </c>
      <c r="AC141" s="79" t="n">
        <f aca="false">IF(OR(MOD(AC$135-1,12)&gt;=11,MOD(AC$135-1,12)&lt;=1),1-Inputs!$C$12,1+Inputs!$C$12/3)</f>
        <v>1.05</v>
      </c>
      <c r="AD141" s="79" t="n">
        <f aca="false">IF(OR(MOD(AD$135-1,12)&gt;=11,MOD(AD$135-1,12)&lt;=1),1-Inputs!$C$12,1+Inputs!$C$12/3)</f>
        <v>1.05</v>
      </c>
      <c r="AE141" s="79" t="n">
        <f aca="false">IF(OR(MOD(AE$135-1,12)&gt;=11,MOD(AE$135-1,12)&lt;=1),1-Inputs!$C$12,1+Inputs!$C$12/3)</f>
        <v>1.05</v>
      </c>
      <c r="AF141" s="79" t="n">
        <f aca="false">IF(OR(MOD(AF$135-1,12)&gt;=11,MOD(AF$135-1,12)&lt;=1),1-Inputs!$C$12,1+Inputs!$C$12/3)</f>
        <v>1.05</v>
      </c>
      <c r="AG141" s="79" t="n">
        <f aca="false">IF(OR(MOD(AG$135-1,12)&gt;=11,MOD(AG$135-1,12)&lt;=1),1-Inputs!$C$12,1+Inputs!$C$12/3)</f>
        <v>1.05</v>
      </c>
      <c r="AH141" s="79" t="n">
        <f aca="false">IF(OR(MOD(AH$135-1,12)&gt;=11,MOD(AH$135-1,12)&lt;=1),1-Inputs!$C$12,1+Inputs!$C$12/3)</f>
        <v>1.05</v>
      </c>
      <c r="AI141" s="79" t="n">
        <f aca="false">IF(OR(MOD(AI$135-1,12)&gt;=11,MOD(AI$135-1,12)&lt;=1),1-Inputs!$C$12,1+Inputs!$C$12/3)</f>
        <v>1.05</v>
      </c>
      <c r="AJ141" s="79" t="n">
        <f aca="false">IF(OR(MOD(AJ$135-1,12)&gt;=11,MOD(AJ$135-1,12)&lt;=1),1-Inputs!$C$12,1+Inputs!$C$12/3)</f>
        <v>1.05</v>
      </c>
      <c r="AK141" s="79" t="n">
        <f aca="false">IF(OR(MOD(AK$135-1,12)&gt;=11,MOD(AK$135-1,12)&lt;=1),1-Inputs!$C$12,1+Inputs!$C$12/3)</f>
        <v>1.05</v>
      </c>
      <c r="AL141" s="79" t="n">
        <f aca="false">IF(OR(MOD(AL$135-1,12)&gt;=11,MOD(AL$135-1,12)&lt;=1),1-Inputs!$C$12,1+Inputs!$C$12/3)</f>
        <v>0.85</v>
      </c>
    </row>
    <row r="142" customFormat="false" ht="15" hidden="false" customHeight="false" outlineLevel="0" collapsed="false">
      <c r="A142" s="6" t="s">
        <v>395</v>
      </c>
      <c r="C142" s="118" t="n">
        <f aca="false">Inputs!$C$7*(1+Inputs!$C$8)^(C$136-1)*Inputs!$C$9*1*C140*C141</f>
        <v>2662.2</v>
      </c>
      <c r="D142" s="118" t="n">
        <f aca="false">Inputs!$C$7*(1+Inputs!$C$8)^(D$136-1)*Inputs!$C$9*1*D140*D141</f>
        <v>3023.73333333333</v>
      </c>
      <c r="E142" s="118" t="n">
        <f aca="false">Inputs!$C$7*(1+Inputs!$C$8)^(E$136-1)*Inputs!$C$9*1*E140*E141</f>
        <v>4181.8</v>
      </c>
      <c r="F142" s="118" t="n">
        <f aca="false">Inputs!$C$7*(1+Inputs!$C$8)^(F$136-1)*Inputs!$C$9*1*F140*F141</f>
        <v>4628.4</v>
      </c>
      <c r="G142" s="118" t="n">
        <f aca="false">Inputs!$C$7*(1+Inputs!$C$8)^(G$136-1)*Inputs!$C$9*1*G140*G141</f>
        <v>5075</v>
      </c>
      <c r="H142" s="118" t="n">
        <f aca="false">Inputs!$C$7*(1+Inputs!$C$8)^(H$136-1)*Inputs!$C$9*1*H140*H141</f>
        <v>5521.6</v>
      </c>
      <c r="I142" s="118" t="n">
        <f aca="false">Inputs!$C$7*(1+Inputs!$C$8)^(I$136-1)*Inputs!$C$9*1*I140*I141</f>
        <v>5968.2</v>
      </c>
      <c r="J142" s="118" t="n">
        <f aca="false">Inputs!$C$7*(1+Inputs!$C$8)^(J$136-1)*Inputs!$C$9*1*J140*J141</f>
        <v>6414.8</v>
      </c>
      <c r="K142" s="118" t="n">
        <f aca="false">Inputs!$C$7*(1+Inputs!$C$8)^(K$136-1)*Inputs!$C$9*1*K140*K141</f>
        <v>6861.4</v>
      </c>
      <c r="L142" s="118" t="n">
        <f aca="false">Inputs!$C$7*(1+Inputs!$C$8)^(L$136-1)*Inputs!$C$9*1*L140*L141</f>
        <v>7308</v>
      </c>
      <c r="M142" s="118" t="n">
        <f aca="false">Inputs!$C$7*(1+Inputs!$C$8)^(M$136-1)*Inputs!$C$9*1*M140*M141</f>
        <v>7308</v>
      </c>
      <c r="N142" s="118" t="n">
        <f aca="false">Inputs!$C$7*(1+Inputs!$C$8)^(N$136-1)*Inputs!$C$9*1*N140*N141</f>
        <v>5916</v>
      </c>
      <c r="O142" s="118" t="n">
        <f aca="false">Inputs!$C$7*(1+Inputs!$C$8)^(O$136-1)*Inputs!$C$9*1*O140*O141</f>
        <v>6093.48</v>
      </c>
      <c r="P142" s="118" t="n">
        <f aca="false">Inputs!$C$7*(1+Inputs!$C$8)^(P$136-1)*Inputs!$C$9*1*P140*P141</f>
        <v>6093.48</v>
      </c>
      <c r="Q142" s="118" t="n">
        <f aca="false">Inputs!$C$7*(1+Inputs!$C$8)^(Q$136-1)*Inputs!$C$9*1*Q140*Q141</f>
        <v>7527.24</v>
      </c>
      <c r="R142" s="118" t="n">
        <f aca="false">Inputs!$C$7*(1+Inputs!$C$8)^(R$136-1)*Inputs!$C$9*1*R140*R141</f>
        <v>7527.24</v>
      </c>
      <c r="S142" s="118" t="n">
        <f aca="false">Inputs!$C$7*(1+Inputs!$C$8)^(S$136-1)*Inputs!$C$9*1*S140*S141</f>
        <v>7527.24</v>
      </c>
      <c r="T142" s="118" t="n">
        <f aca="false">Inputs!$C$7*(1+Inputs!$C$8)^(T$136-1)*Inputs!$C$9*1*T140*T141</f>
        <v>7527.24</v>
      </c>
      <c r="U142" s="118" t="n">
        <f aca="false">Inputs!$C$7*(1+Inputs!$C$8)^(U$136-1)*Inputs!$C$9*1*U140*U141</f>
        <v>7527.24</v>
      </c>
      <c r="V142" s="118" t="n">
        <f aca="false">Inputs!$C$7*(1+Inputs!$C$8)^(V$136-1)*Inputs!$C$9*1*V140*V141</f>
        <v>7527.24</v>
      </c>
      <c r="W142" s="118" t="n">
        <f aca="false">Inputs!$C$7*(1+Inputs!$C$8)^(W$136-1)*Inputs!$C$9*1*W140*W141</f>
        <v>7527.24</v>
      </c>
      <c r="X142" s="118" t="n">
        <f aca="false">Inputs!$C$7*(1+Inputs!$C$8)^(X$136-1)*Inputs!$C$9*1*X140*X141</f>
        <v>7527.24</v>
      </c>
      <c r="Y142" s="118" t="n">
        <f aca="false">Inputs!$C$7*(1+Inputs!$C$8)^(Y$136-1)*Inputs!$C$9*1*Y140*Y141</f>
        <v>7527.24</v>
      </c>
      <c r="Z142" s="118" t="n">
        <f aca="false">Inputs!$C$7*(1+Inputs!$C$8)^(Z$136-1)*Inputs!$C$9*1*Z140*Z141</f>
        <v>6093.48</v>
      </c>
      <c r="AA142" s="118" t="n">
        <f aca="false">Inputs!$C$7*(1+Inputs!$C$8)^(AA$136-1)*Inputs!$C$9*1*AA140*AA141</f>
        <v>6276.2844</v>
      </c>
      <c r="AB142" s="118" t="n">
        <f aca="false">Inputs!$C$7*(1+Inputs!$C$8)^(AB$136-1)*Inputs!$C$9*1*AB140*AB141</f>
        <v>6276.2844</v>
      </c>
      <c r="AC142" s="118" t="n">
        <f aca="false">Inputs!$C$7*(1+Inputs!$C$8)^(AC$136-1)*Inputs!$C$9*1*AC140*AC141</f>
        <v>7753.0572</v>
      </c>
      <c r="AD142" s="118" t="n">
        <f aca="false">Inputs!$C$7*(1+Inputs!$C$8)^(AD$136-1)*Inputs!$C$9*1*AD140*AD141</f>
        <v>7753.0572</v>
      </c>
      <c r="AE142" s="118" t="n">
        <f aca="false">Inputs!$C$7*(1+Inputs!$C$8)^(AE$136-1)*Inputs!$C$9*1*AE140*AE141</f>
        <v>7753.0572</v>
      </c>
      <c r="AF142" s="118" t="n">
        <f aca="false">Inputs!$C$7*(1+Inputs!$C$8)^(AF$136-1)*Inputs!$C$9*1*AF140*AF141</f>
        <v>7753.0572</v>
      </c>
      <c r="AG142" s="118" t="n">
        <f aca="false">Inputs!$C$7*(1+Inputs!$C$8)^(AG$136-1)*Inputs!$C$9*1*AG140*AG141</f>
        <v>7753.0572</v>
      </c>
      <c r="AH142" s="118" t="n">
        <f aca="false">Inputs!$C$7*(1+Inputs!$C$8)^(AH$136-1)*Inputs!$C$9*1*AH140*AH141</f>
        <v>7753.0572</v>
      </c>
      <c r="AI142" s="118" t="n">
        <f aca="false">Inputs!$C$7*(1+Inputs!$C$8)^(AI$136-1)*Inputs!$C$9*1*AI140*AI141</f>
        <v>7753.0572</v>
      </c>
      <c r="AJ142" s="118" t="n">
        <f aca="false">Inputs!$C$7*(1+Inputs!$C$8)^(AJ$136-1)*Inputs!$C$9*1*AJ140*AJ141</f>
        <v>7753.0572</v>
      </c>
      <c r="AK142" s="118" t="n">
        <f aca="false">Inputs!$C$7*(1+Inputs!$C$8)^(AK$136-1)*Inputs!$C$9*1*AK140*AK141</f>
        <v>7753.0572</v>
      </c>
      <c r="AL142" s="118" t="n">
        <f aca="false">Inputs!$C$7*(1+Inputs!$C$8)^(AL$136-1)*Inputs!$C$9*1*AL140*AL141</f>
        <v>6276.2844</v>
      </c>
    </row>
    <row r="144" customFormat="false" ht="15.75" hidden="false" customHeight="true" outlineLevel="0" collapsed="false">
      <c r="A144" s="7" t="s">
        <v>396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customFormat="false" ht="15" hidden="false" customHeight="false" outlineLevel="0" collapsed="false">
      <c r="A145" s="6" t="s">
        <v>397</v>
      </c>
      <c r="C145" s="117" t="n">
        <f aca="false">C142*Inputs!$C$23</f>
        <v>21.2976</v>
      </c>
      <c r="D145" s="117" t="n">
        <f aca="false">D142*Inputs!$C$23</f>
        <v>24.1898666666667</v>
      </c>
      <c r="E145" s="117" t="n">
        <f aca="false">E142*Inputs!$C$23</f>
        <v>33.4544</v>
      </c>
      <c r="F145" s="117" t="n">
        <f aca="false">F142*Inputs!$C$23</f>
        <v>37.0272</v>
      </c>
      <c r="G145" s="117" t="n">
        <f aca="false">G142*Inputs!$C$23</f>
        <v>40.6</v>
      </c>
      <c r="H145" s="117" t="n">
        <f aca="false">H142*Inputs!$C$23</f>
        <v>44.1728</v>
      </c>
      <c r="I145" s="117" t="n">
        <f aca="false">I142*Inputs!$C$23</f>
        <v>47.7456</v>
      </c>
      <c r="J145" s="117" t="n">
        <f aca="false">J142*Inputs!$C$23</f>
        <v>51.3184</v>
      </c>
      <c r="K145" s="117" t="n">
        <f aca="false">K142*Inputs!$C$23</f>
        <v>54.8912</v>
      </c>
      <c r="L145" s="117" t="n">
        <f aca="false">L142*Inputs!$C$23</f>
        <v>58.464</v>
      </c>
      <c r="M145" s="117" t="n">
        <f aca="false">M142*Inputs!$C$23</f>
        <v>58.464</v>
      </c>
      <c r="N145" s="117" t="n">
        <f aca="false">N142*Inputs!$C$23</f>
        <v>47.328</v>
      </c>
      <c r="O145" s="117" t="n">
        <f aca="false">O142*Inputs!$C$23</f>
        <v>48.74784</v>
      </c>
      <c r="P145" s="117" t="n">
        <f aca="false">P142*Inputs!$C$23</f>
        <v>48.74784</v>
      </c>
      <c r="Q145" s="117" t="n">
        <f aca="false">Q142*Inputs!$C$23</f>
        <v>60.21792</v>
      </c>
      <c r="R145" s="117" t="n">
        <f aca="false">R142*Inputs!$C$23</f>
        <v>60.21792</v>
      </c>
      <c r="S145" s="117" t="n">
        <f aca="false">S142*Inputs!$C$23</f>
        <v>60.21792</v>
      </c>
      <c r="T145" s="117" t="n">
        <f aca="false">T142*Inputs!$C$23</f>
        <v>60.21792</v>
      </c>
      <c r="U145" s="117" t="n">
        <f aca="false">U142*Inputs!$C$23</f>
        <v>60.21792</v>
      </c>
      <c r="V145" s="117" t="n">
        <f aca="false">V142*Inputs!$C$23</f>
        <v>60.21792</v>
      </c>
      <c r="W145" s="117" t="n">
        <f aca="false">W142*Inputs!$C$23</f>
        <v>60.21792</v>
      </c>
      <c r="X145" s="117" t="n">
        <f aca="false">X142*Inputs!$C$23</f>
        <v>60.21792</v>
      </c>
      <c r="Y145" s="117" t="n">
        <f aca="false">Y142*Inputs!$C$23</f>
        <v>60.21792</v>
      </c>
      <c r="Z145" s="117" t="n">
        <f aca="false">Z142*Inputs!$C$23</f>
        <v>48.74784</v>
      </c>
      <c r="AA145" s="117" t="n">
        <f aca="false">AA142*Inputs!$C$23</f>
        <v>50.2102752</v>
      </c>
      <c r="AB145" s="117" t="n">
        <f aca="false">AB142*Inputs!$C$23</f>
        <v>50.2102752</v>
      </c>
      <c r="AC145" s="117" t="n">
        <f aca="false">AC142*Inputs!$C$23</f>
        <v>62.0244576</v>
      </c>
      <c r="AD145" s="117" t="n">
        <f aca="false">AD142*Inputs!$C$23</f>
        <v>62.0244576</v>
      </c>
      <c r="AE145" s="117" t="n">
        <f aca="false">AE142*Inputs!$C$23</f>
        <v>62.0244576</v>
      </c>
      <c r="AF145" s="117" t="n">
        <f aca="false">AF142*Inputs!$C$23</f>
        <v>62.0244576</v>
      </c>
      <c r="AG145" s="117" t="n">
        <f aca="false">AG142*Inputs!$C$23</f>
        <v>62.0244576</v>
      </c>
      <c r="AH145" s="117" t="n">
        <f aca="false">AH142*Inputs!$C$23</f>
        <v>62.0244576</v>
      </c>
      <c r="AI145" s="117" t="n">
        <f aca="false">AI142*Inputs!$C$23</f>
        <v>62.0244576</v>
      </c>
      <c r="AJ145" s="117" t="n">
        <f aca="false">AJ142*Inputs!$C$23</f>
        <v>62.0244576</v>
      </c>
      <c r="AK145" s="117" t="n">
        <f aca="false">AK142*Inputs!$C$23</f>
        <v>62.0244576</v>
      </c>
      <c r="AL145" s="117" t="n">
        <f aca="false">AL142*Inputs!$C$23</f>
        <v>50.2102752</v>
      </c>
    </row>
    <row r="146" customFormat="false" ht="15" hidden="false" customHeight="false" outlineLevel="0" collapsed="false">
      <c r="A146" s="6" t="s">
        <v>398</v>
      </c>
      <c r="C146" s="117" t="n">
        <f aca="false">Inputs!$C$21*(1+Inputs!$C$22)^(C$136-1)*1*C140</f>
        <v>22.5</v>
      </c>
      <c r="D146" s="117" t="n">
        <f aca="false">Inputs!$C$21*(1+Inputs!$C$22)^(D$136-1)*1*D140</f>
        <v>25.5555555555556</v>
      </c>
      <c r="E146" s="117" t="n">
        <f aca="false">Inputs!$C$21*(1+Inputs!$C$22)^(E$136-1)*1*E140</f>
        <v>28.6111111111111</v>
      </c>
      <c r="F146" s="117" t="n">
        <f aca="false">Inputs!$C$21*(1+Inputs!$C$22)^(F$136-1)*1*F140</f>
        <v>31.6666666666667</v>
      </c>
      <c r="G146" s="117" t="n">
        <f aca="false">Inputs!$C$21*(1+Inputs!$C$22)^(G$136-1)*1*G140</f>
        <v>34.7222222222222</v>
      </c>
      <c r="H146" s="117" t="n">
        <f aca="false">Inputs!$C$21*(1+Inputs!$C$22)^(H$136-1)*1*H140</f>
        <v>37.7777777777778</v>
      </c>
      <c r="I146" s="117" t="n">
        <f aca="false">Inputs!$C$21*(1+Inputs!$C$22)^(I$136-1)*1*I140</f>
        <v>40.8333333333333</v>
      </c>
      <c r="J146" s="117" t="n">
        <f aca="false">Inputs!$C$21*(1+Inputs!$C$22)^(J$136-1)*1*J140</f>
        <v>43.8888888888889</v>
      </c>
      <c r="K146" s="117" t="n">
        <f aca="false">Inputs!$C$21*(1+Inputs!$C$22)^(K$136-1)*1*K140</f>
        <v>46.9444444444444</v>
      </c>
      <c r="L146" s="117" t="n">
        <f aca="false">Inputs!$C$21*(1+Inputs!$C$22)^(L$136-1)*1*L140</f>
        <v>50</v>
      </c>
      <c r="M146" s="117" t="n">
        <f aca="false">Inputs!$C$21*(1+Inputs!$C$22)^(M$136-1)*1*M140</f>
        <v>50</v>
      </c>
      <c r="N146" s="117" t="n">
        <f aca="false">Inputs!$C$21*(1+Inputs!$C$22)^(N$136-1)*1*N140</f>
        <v>50</v>
      </c>
      <c r="O146" s="117" t="n">
        <f aca="false">Inputs!$C$21*(1+Inputs!$C$22)^(O$136-1)*1*O140</f>
        <v>52.5</v>
      </c>
      <c r="P146" s="117" t="n">
        <f aca="false">Inputs!$C$21*(1+Inputs!$C$22)^(P$136-1)*1*P140</f>
        <v>52.5</v>
      </c>
      <c r="Q146" s="117" t="n">
        <f aca="false">Inputs!$C$21*(1+Inputs!$C$22)^(Q$136-1)*1*Q140</f>
        <v>52.5</v>
      </c>
      <c r="R146" s="117" t="n">
        <f aca="false">Inputs!$C$21*(1+Inputs!$C$22)^(R$136-1)*1*R140</f>
        <v>52.5</v>
      </c>
      <c r="S146" s="117" t="n">
        <f aca="false">Inputs!$C$21*(1+Inputs!$C$22)^(S$136-1)*1*S140</f>
        <v>52.5</v>
      </c>
      <c r="T146" s="117" t="n">
        <f aca="false">Inputs!$C$21*(1+Inputs!$C$22)^(T$136-1)*1*T140</f>
        <v>52.5</v>
      </c>
      <c r="U146" s="117" t="n">
        <f aca="false">Inputs!$C$21*(1+Inputs!$C$22)^(U$136-1)*1*U140</f>
        <v>52.5</v>
      </c>
      <c r="V146" s="117" t="n">
        <f aca="false">Inputs!$C$21*(1+Inputs!$C$22)^(V$136-1)*1*V140</f>
        <v>52.5</v>
      </c>
      <c r="W146" s="117" t="n">
        <f aca="false">Inputs!$C$21*(1+Inputs!$C$22)^(W$136-1)*1*W140</f>
        <v>52.5</v>
      </c>
      <c r="X146" s="117" t="n">
        <f aca="false">Inputs!$C$21*(1+Inputs!$C$22)^(X$136-1)*1*X140</f>
        <v>52.5</v>
      </c>
      <c r="Y146" s="117" t="n">
        <f aca="false">Inputs!$C$21*(1+Inputs!$C$22)^(Y$136-1)*1*Y140</f>
        <v>52.5</v>
      </c>
      <c r="Z146" s="117" t="n">
        <f aca="false">Inputs!$C$21*(1+Inputs!$C$22)^(Z$136-1)*1*Z140</f>
        <v>52.5</v>
      </c>
      <c r="AA146" s="117" t="n">
        <f aca="false">Inputs!$C$21*(1+Inputs!$C$22)^(AA$136-1)*1*AA140</f>
        <v>55.125</v>
      </c>
      <c r="AB146" s="117" t="n">
        <f aca="false">Inputs!$C$21*(1+Inputs!$C$22)^(AB$136-1)*1*AB140</f>
        <v>55.125</v>
      </c>
      <c r="AC146" s="117" t="n">
        <f aca="false">Inputs!$C$21*(1+Inputs!$C$22)^(AC$136-1)*1*AC140</f>
        <v>55.125</v>
      </c>
      <c r="AD146" s="117" t="n">
        <f aca="false">Inputs!$C$21*(1+Inputs!$C$22)^(AD$136-1)*1*AD140</f>
        <v>55.125</v>
      </c>
      <c r="AE146" s="117" t="n">
        <f aca="false">Inputs!$C$21*(1+Inputs!$C$22)^(AE$136-1)*1*AE140</f>
        <v>55.125</v>
      </c>
      <c r="AF146" s="117" t="n">
        <f aca="false">Inputs!$C$21*(1+Inputs!$C$22)^(AF$136-1)*1*AF140</f>
        <v>55.125</v>
      </c>
      <c r="AG146" s="117" t="n">
        <f aca="false">Inputs!$C$21*(1+Inputs!$C$22)^(AG$136-1)*1*AG140</f>
        <v>55.125</v>
      </c>
      <c r="AH146" s="117" t="n">
        <f aca="false">Inputs!$C$21*(1+Inputs!$C$22)^(AH$136-1)*1*AH140</f>
        <v>55.125</v>
      </c>
      <c r="AI146" s="117" t="n">
        <f aca="false">Inputs!$C$21*(1+Inputs!$C$22)^(AI$136-1)*1*AI140</f>
        <v>55.125</v>
      </c>
      <c r="AJ146" s="117" t="n">
        <f aca="false">Inputs!$C$21*(1+Inputs!$C$22)^(AJ$136-1)*1*AJ140</f>
        <v>55.125</v>
      </c>
      <c r="AK146" s="117" t="n">
        <f aca="false">Inputs!$C$21*(1+Inputs!$C$22)^(AK$136-1)*1*AK140</f>
        <v>55.125</v>
      </c>
      <c r="AL146" s="117" t="n">
        <f aca="false">Inputs!$C$21*(1+Inputs!$C$22)^(AL$136-1)*1*AL140</f>
        <v>55.125</v>
      </c>
    </row>
    <row r="147" customFormat="false" ht="15" hidden="false" customHeight="false" outlineLevel="0" collapsed="false">
      <c r="A147" s="4" t="s">
        <v>399</v>
      </c>
      <c r="C147" s="119" t="n">
        <f aca="false">C145+C146</f>
        <v>43.7976</v>
      </c>
      <c r="D147" s="119" t="n">
        <f aca="false">D145+D146</f>
        <v>49.7454222222222</v>
      </c>
      <c r="E147" s="119" t="n">
        <f aca="false">E145+E146</f>
        <v>62.0655111111111</v>
      </c>
      <c r="F147" s="119" t="n">
        <f aca="false">F145+F146</f>
        <v>68.6938666666667</v>
      </c>
      <c r="G147" s="119" t="n">
        <f aca="false">G145+G146</f>
        <v>75.3222222222222</v>
      </c>
      <c r="H147" s="119" t="n">
        <f aca="false">H145+H146</f>
        <v>81.9505777777778</v>
      </c>
      <c r="I147" s="119" t="n">
        <f aca="false">I145+I146</f>
        <v>88.5789333333333</v>
      </c>
      <c r="J147" s="119" t="n">
        <f aca="false">J145+J146</f>
        <v>95.2072888888889</v>
      </c>
      <c r="K147" s="119" t="n">
        <f aca="false">K145+K146</f>
        <v>101.835644444444</v>
      </c>
      <c r="L147" s="119" t="n">
        <f aca="false">L145+L146</f>
        <v>108.464</v>
      </c>
      <c r="M147" s="119" t="n">
        <f aca="false">M145+M146</f>
        <v>108.464</v>
      </c>
      <c r="N147" s="119" t="n">
        <f aca="false">N145+N146</f>
        <v>97.328</v>
      </c>
      <c r="O147" s="119" t="n">
        <f aca="false">O145+O146</f>
        <v>101.24784</v>
      </c>
      <c r="P147" s="119" t="n">
        <f aca="false">P145+P146</f>
        <v>101.24784</v>
      </c>
      <c r="Q147" s="119" t="n">
        <f aca="false">Q145+Q146</f>
        <v>112.71792</v>
      </c>
      <c r="R147" s="119" t="n">
        <f aca="false">R145+R146</f>
        <v>112.71792</v>
      </c>
      <c r="S147" s="119" t="n">
        <f aca="false">S145+S146</f>
        <v>112.71792</v>
      </c>
      <c r="T147" s="119" t="n">
        <f aca="false">T145+T146</f>
        <v>112.71792</v>
      </c>
      <c r="U147" s="119" t="n">
        <f aca="false">U145+U146</f>
        <v>112.71792</v>
      </c>
      <c r="V147" s="119" t="n">
        <f aca="false">V145+V146</f>
        <v>112.71792</v>
      </c>
      <c r="W147" s="119" t="n">
        <f aca="false">W145+W146</f>
        <v>112.71792</v>
      </c>
      <c r="X147" s="119" t="n">
        <f aca="false">X145+X146</f>
        <v>112.71792</v>
      </c>
      <c r="Y147" s="119" t="n">
        <f aca="false">Y145+Y146</f>
        <v>112.71792</v>
      </c>
      <c r="Z147" s="119" t="n">
        <f aca="false">Z145+Z146</f>
        <v>101.24784</v>
      </c>
      <c r="AA147" s="119" t="n">
        <f aca="false">AA145+AA146</f>
        <v>105.3352752</v>
      </c>
      <c r="AB147" s="119" t="n">
        <f aca="false">AB145+AB146</f>
        <v>105.3352752</v>
      </c>
      <c r="AC147" s="119" t="n">
        <f aca="false">AC145+AC146</f>
        <v>117.1494576</v>
      </c>
      <c r="AD147" s="119" t="n">
        <f aca="false">AD145+AD146</f>
        <v>117.1494576</v>
      </c>
      <c r="AE147" s="119" t="n">
        <f aca="false">AE145+AE146</f>
        <v>117.1494576</v>
      </c>
      <c r="AF147" s="119" t="n">
        <f aca="false">AF145+AF146</f>
        <v>117.1494576</v>
      </c>
      <c r="AG147" s="119" t="n">
        <f aca="false">AG145+AG146</f>
        <v>117.1494576</v>
      </c>
      <c r="AH147" s="119" t="n">
        <f aca="false">AH145+AH146</f>
        <v>117.1494576</v>
      </c>
      <c r="AI147" s="119" t="n">
        <f aca="false">AI145+AI146</f>
        <v>117.1494576</v>
      </c>
      <c r="AJ147" s="119" t="n">
        <f aca="false">AJ145+AJ146</f>
        <v>117.1494576</v>
      </c>
      <c r="AK147" s="119" t="n">
        <f aca="false">AK145+AK146</f>
        <v>117.1494576</v>
      </c>
      <c r="AL147" s="119" t="n">
        <f aca="false">AL145+AL146</f>
        <v>105.3352752</v>
      </c>
    </row>
    <row r="148" customFormat="false" ht="15" hidden="false" customHeight="false" outlineLevel="0" collapsed="false">
      <c r="A148" s="6" t="s">
        <v>400</v>
      </c>
      <c r="C148" s="120" t="n">
        <f aca="false">Inputs!$C$20</f>
        <v>250</v>
      </c>
      <c r="D148" s="117" t="n">
        <f aca="false">C150</f>
        <v>283.7976</v>
      </c>
      <c r="E148" s="117" t="n">
        <f aca="false">D150</f>
        <v>322.191118222222</v>
      </c>
      <c r="F148" s="117" t="n">
        <f aca="false">E150</f>
        <v>371.368984604444</v>
      </c>
      <c r="G148" s="117" t="n">
        <f aca="false">F150</f>
        <v>425.208091886933</v>
      </c>
      <c r="H148" s="117" t="n">
        <f aca="false">G150</f>
        <v>483.521990433678</v>
      </c>
      <c r="I148" s="117" t="n">
        <f aca="false">H150</f>
        <v>546.131688594109</v>
      </c>
      <c r="J148" s="117" t="n">
        <f aca="false">I150</f>
        <v>612.865354383678</v>
      </c>
      <c r="K148" s="117" t="n">
        <f aca="false">J150</f>
        <v>683.55802909722</v>
      </c>
      <c r="L148" s="117" t="n">
        <f aca="false">K150</f>
        <v>758.051352377775</v>
      </c>
      <c r="M148" s="117" t="n">
        <f aca="false">L150</f>
        <v>836.193298282664</v>
      </c>
      <c r="N148" s="117" t="n">
        <f aca="false">M150</f>
        <v>911.209566351358</v>
      </c>
      <c r="O148" s="117" t="n">
        <f aca="false">N150</f>
        <v>972.089183697303</v>
      </c>
      <c r="P148" s="117" t="n">
        <f aca="false">O150</f>
        <v>1034.45345634941</v>
      </c>
      <c r="Q148" s="117" t="n">
        <f aca="false">P150</f>
        <v>1094.32315809543</v>
      </c>
      <c r="R148" s="117" t="n">
        <f aca="false">Q150</f>
        <v>1163.26815177162</v>
      </c>
      <c r="S148" s="117" t="n">
        <f aca="false">R150</f>
        <v>1229.45534570075</v>
      </c>
      <c r="T148" s="117" t="n">
        <f aca="false">S150</f>
        <v>1292.99505187272</v>
      </c>
      <c r="U148" s="117" t="n">
        <f aca="false">T150</f>
        <v>1353.99316979781</v>
      </c>
      <c r="V148" s="117" t="n">
        <f aca="false">U150</f>
        <v>1412.5513630059</v>
      </c>
      <c r="W148" s="117" t="n">
        <f aca="false">V150</f>
        <v>1468.76722848567</v>
      </c>
      <c r="X148" s="117" t="n">
        <f aca="false">W150</f>
        <v>1522.73445934624</v>
      </c>
      <c r="Y148" s="117" t="n">
        <f aca="false">X150</f>
        <v>1574.54300097239</v>
      </c>
      <c r="Z148" s="117" t="n">
        <f aca="false">Y150</f>
        <v>1624.27920093349</v>
      </c>
      <c r="AA148" s="117" t="n">
        <f aca="false">Z150</f>
        <v>1660.55587289615</v>
      </c>
      <c r="AB148" s="117" t="n">
        <f aca="false">AA150</f>
        <v>1699.46891318031</v>
      </c>
      <c r="AC148" s="117" t="n">
        <f aca="false">AB150</f>
        <v>1736.82543185309</v>
      </c>
      <c r="AD148" s="117" t="n">
        <f aca="false">AC150</f>
        <v>1784.50187217897</v>
      </c>
      <c r="AE148" s="117" t="n">
        <f aca="false">AD150</f>
        <v>1830.27125489181</v>
      </c>
      <c r="AF148" s="117" t="n">
        <f aca="false">AE150</f>
        <v>1874.20986229614</v>
      </c>
      <c r="AG148" s="117" t="n">
        <f aca="false">AF150</f>
        <v>1916.39092540429</v>
      </c>
      <c r="AH148" s="117" t="n">
        <f aca="false">AG150</f>
        <v>1956.88474598812</v>
      </c>
      <c r="AI148" s="117" t="n">
        <f aca="false">AH150</f>
        <v>1995.7588137486</v>
      </c>
      <c r="AJ148" s="117" t="n">
        <f aca="false">AI150</f>
        <v>2033.07791879865</v>
      </c>
      <c r="AK148" s="117" t="n">
        <f aca="false">AJ150</f>
        <v>2068.90425964671</v>
      </c>
      <c r="AL148" s="117" t="n">
        <f aca="false">AK150</f>
        <v>2103.29754686084</v>
      </c>
    </row>
    <row r="149" customFormat="false" ht="15" hidden="false" customHeight="false" outlineLevel="0" collapsed="false">
      <c r="A149" s="6" t="s">
        <v>401</v>
      </c>
      <c r="C149" s="117" t="n">
        <f aca="false">C150-C148-C147</f>
        <v>-10</v>
      </c>
      <c r="D149" s="117" t="n">
        <f aca="false">D150-D148-D147</f>
        <v>-11.351904</v>
      </c>
      <c r="E149" s="117" t="n">
        <f aca="false">E150-E148-E147</f>
        <v>-12.8876447288889</v>
      </c>
      <c r="F149" s="117" t="n">
        <f aca="false">F150-F148-F147</f>
        <v>-14.8547593841778</v>
      </c>
      <c r="G149" s="117" t="n">
        <f aca="false">G150-G148-G147</f>
        <v>-17.0083236754773</v>
      </c>
      <c r="H149" s="117" t="n">
        <f aca="false">H150-H148-H147</f>
        <v>-19.3408796173471</v>
      </c>
      <c r="I149" s="117" t="n">
        <f aca="false">I150-I148-I147</f>
        <v>-21.8452675437644</v>
      </c>
      <c r="J149" s="117" t="n">
        <f aca="false">J150-J148-J147</f>
        <v>-24.5146141753471</v>
      </c>
      <c r="K149" s="117" t="n">
        <f aca="false">K150-K148-K147</f>
        <v>-27.3423211638887</v>
      </c>
      <c r="L149" s="117" t="n">
        <f aca="false">L150-L148-L147</f>
        <v>-30.322054095111</v>
      </c>
      <c r="M149" s="117" t="n">
        <f aca="false">M150-M148-M147</f>
        <v>-33.4477319313067</v>
      </c>
      <c r="N149" s="117" t="n">
        <f aca="false">N150-N148-N147</f>
        <v>-36.4483826540543</v>
      </c>
      <c r="O149" s="117" t="n">
        <f aca="false">O150-O148-O147</f>
        <v>-38.883567347892</v>
      </c>
      <c r="P149" s="117" t="n">
        <f aca="false">P150-P148-P147</f>
        <v>-41.3781382539764</v>
      </c>
      <c r="Q149" s="117" t="n">
        <f aca="false">Q150-Q148-Q147</f>
        <v>-43.7729263238175</v>
      </c>
      <c r="R149" s="117" t="n">
        <f aca="false">R150-R148-R147</f>
        <v>-46.5307260708648</v>
      </c>
      <c r="S149" s="117" t="n">
        <f aca="false">S150-S148-S147</f>
        <v>-49.17821382803</v>
      </c>
      <c r="T149" s="117" t="n">
        <f aca="false">T150-T148-T147</f>
        <v>-51.719802074909</v>
      </c>
      <c r="U149" s="117" t="n">
        <f aca="false">U150-U148-U147</f>
        <v>-54.1597267919126</v>
      </c>
      <c r="V149" s="117" t="n">
        <f aca="false">V150-V148-V147</f>
        <v>-56.502054520236</v>
      </c>
      <c r="W149" s="117" t="n">
        <f aca="false">W150-W148-W147</f>
        <v>-58.7506891394266</v>
      </c>
      <c r="X149" s="117" t="n">
        <f aca="false">X150-X148-X147</f>
        <v>-60.9093783738496</v>
      </c>
      <c r="Y149" s="117" t="n">
        <f aca="false">Y150-Y148-Y147</f>
        <v>-62.9817200388956</v>
      </c>
      <c r="Z149" s="117" t="n">
        <f aca="false">Z150-Z148-Z147</f>
        <v>-64.9711680373398</v>
      </c>
      <c r="AA149" s="117" t="n">
        <f aca="false">AA150-AA148-AA147</f>
        <v>-66.4222349158462</v>
      </c>
      <c r="AB149" s="117" t="n">
        <f aca="false">AB150-AB148-AB147</f>
        <v>-67.9787565272124</v>
      </c>
      <c r="AC149" s="117" t="n">
        <f aca="false">AC150-AC148-AC147</f>
        <v>-69.4730172741238</v>
      </c>
      <c r="AD149" s="117" t="n">
        <f aca="false">AD150-AD148-AD147</f>
        <v>-71.3800748871588</v>
      </c>
      <c r="AE149" s="117" t="n">
        <f aca="false">AE150-AE148-AE147</f>
        <v>-73.2108501956725</v>
      </c>
      <c r="AF149" s="117" t="n">
        <f aca="false">AF150-AF148-AF147</f>
        <v>-74.9683944918456</v>
      </c>
      <c r="AG149" s="117" t="n">
        <f aca="false">AG150-AG148-AG147</f>
        <v>-76.6556370161718</v>
      </c>
      <c r="AH149" s="117" t="n">
        <f aca="false">AH150-AH148-AH147</f>
        <v>-78.2753898395249</v>
      </c>
      <c r="AI149" s="117" t="n">
        <f aca="false">AI150-AI148-AI147</f>
        <v>-79.8303525499439</v>
      </c>
      <c r="AJ149" s="117" t="n">
        <f aca="false">AJ150-AJ148-AJ147</f>
        <v>-81.3231167519462</v>
      </c>
      <c r="AK149" s="117" t="n">
        <f aca="false">AK150-AK148-AK147</f>
        <v>-82.7561703858682</v>
      </c>
      <c r="AL149" s="117" t="n">
        <f aca="false">AL150-AL148-AL147</f>
        <v>-84.1319018744338</v>
      </c>
    </row>
    <row r="150" customFormat="false" ht="15" hidden="false" customHeight="false" outlineLevel="0" collapsed="false">
      <c r="A150" s="4" t="s">
        <v>402</v>
      </c>
      <c r="C150" s="119" t="n">
        <f aca="false">C148*(1-Inputs!$C$24)+C147</f>
        <v>283.7976</v>
      </c>
      <c r="D150" s="119" t="n">
        <f aca="false">D148*(1-Inputs!$C$24)+D147</f>
        <v>322.191118222222</v>
      </c>
      <c r="E150" s="119" t="n">
        <f aca="false">E148*(1-Inputs!$C$24)+E147</f>
        <v>371.368984604444</v>
      </c>
      <c r="F150" s="119" t="n">
        <f aca="false">F148*(1-Inputs!$C$24)+F147</f>
        <v>425.208091886933</v>
      </c>
      <c r="G150" s="119" t="n">
        <f aca="false">G148*(1-Inputs!$C$24)+G147</f>
        <v>483.521990433678</v>
      </c>
      <c r="H150" s="119" t="n">
        <f aca="false">H148*(1-Inputs!$C$24)+H147</f>
        <v>546.131688594109</v>
      </c>
      <c r="I150" s="119" t="n">
        <f aca="false">I148*(1-Inputs!$C$24)+I147</f>
        <v>612.865354383678</v>
      </c>
      <c r="J150" s="119" t="n">
        <f aca="false">J148*(1-Inputs!$C$24)+J147</f>
        <v>683.55802909722</v>
      </c>
      <c r="K150" s="119" t="n">
        <f aca="false">K148*(1-Inputs!$C$24)+K147</f>
        <v>758.051352377775</v>
      </c>
      <c r="L150" s="119" t="n">
        <f aca="false">L148*(1-Inputs!$C$24)+L147</f>
        <v>836.193298282664</v>
      </c>
      <c r="M150" s="119" t="n">
        <f aca="false">M148*(1-Inputs!$C$24)+M147</f>
        <v>911.209566351358</v>
      </c>
      <c r="N150" s="119" t="n">
        <f aca="false">N148*(1-Inputs!$C$24)+N147</f>
        <v>972.089183697303</v>
      </c>
      <c r="O150" s="119" t="n">
        <f aca="false">O148*(1-Inputs!$C$24)+O147</f>
        <v>1034.45345634941</v>
      </c>
      <c r="P150" s="119" t="n">
        <f aca="false">P148*(1-Inputs!$C$24)+P147</f>
        <v>1094.32315809543</v>
      </c>
      <c r="Q150" s="119" t="n">
        <f aca="false">Q148*(1-Inputs!$C$24)+Q147</f>
        <v>1163.26815177162</v>
      </c>
      <c r="R150" s="119" t="n">
        <f aca="false">R148*(1-Inputs!$C$24)+R147</f>
        <v>1229.45534570075</v>
      </c>
      <c r="S150" s="119" t="n">
        <f aca="false">S148*(1-Inputs!$C$24)+S147</f>
        <v>1292.99505187272</v>
      </c>
      <c r="T150" s="119" t="n">
        <f aca="false">T148*(1-Inputs!$C$24)+T147</f>
        <v>1353.99316979781</v>
      </c>
      <c r="U150" s="119" t="n">
        <f aca="false">U148*(1-Inputs!$C$24)+U147</f>
        <v>1412.5513630059</v>
      </c>
      <c r="V150" s="119" t="n">
        <f aca="false">V148*(1-Inputs!$C$24)+V147</f>
        <v>1468.76722848567</v>
      </c>
      <c r="W150" s="119" t="n">
        <f aca="false">W148*(1-Inputs!$C$24)+W147</f>
        <v>1522.73445934624</v>
      </c>
      <c r="X150" s="119" t="n">
        <f aca="false">X148*(1-Inputs!$C$24)+X147</f>
        <v>1574.54300097239</v>
      </c>
      <c r="Y150" s="119" t="n">
        <f aca="false">Y148*(1-Inputs!$C$24)+Y147</f>
        <v>1624.27920093349</v>
      </c>
      <c r="Z150" s="119" t="n">
        <f aca="false">Z148*(1-Inputs!$C$24)+Z147</f>
        <v>1660.55587289615</v>
      </c>
      <c r="AA150" s="119" t="n">
        <f aca="false">AA148*(1-Inputs!$C$24)+AA147</f>
        <v>1699.46891318031</v>
      </c>
      <c r="AB150" s="119" t="n">
        <f aca="false">AB148*(1-Inputs!$C$24)+AB147</f>
        <v>1736.82543185309</v>
      </c>
      <c r="AC150" s="119" t="n">
        <f aca="false">AC148*(1-Inputs!$C$24)+AC147</f>
        <v>1784.50187217897</v>
      </c>
      <c r="AD150" s="119" t="n">
        <f aca="false">AD148*(1-Inputs!$C$24)+AD147</f>
        <v>1830.27125489181</v>
      </c>
      <c r="AE150" s="119" t="n">
        <f aca="false">AE148*(1-Inputs!$C$24)+AE147</f>
        <v>1874.20986229614</v>
      </c>
      <c r="AF150" s="119" t="n">
        <f aca="false">AF148*(1-Inputs!$C$24)+AF147</f>
        <v>1916.39092540429</v>
      </c>
      <c r="AG150" s="119" t="n">
        <f aca="false">AG148*(1-Inputs!$C$24)+AG147</f>
        <v>1956.88474598812</v>
      </c>
      <c r="AH150" s="119" t="n">
        <f aca="false">AH148*(1-Inputs!$C$24)+AH147</f>
        <v>1995.7588137486</v>
      </c>
      <c r="AI150" s="119" t="n">
        <f aca="false">AI148*(1-Inputs!$C$24)+AI147</f>
        <v>2033.07791879865</v>
      </c>
      <c r="AJ150" s="119" t="n">
        <f aca="false">AJ148*(1-Inputs!$C$24)+AJ147</f>
        <v>2068.90425964671</v>
      </c>
      <c r="AK150" s="119" t="n">
        <f aca="false">AK148*(1-Inputs!$C$24)+AK147</f>
        <v>2103.29754686084</v>
      </c>
      <c r="AL150" s="119" t="n">
        <f aca="false">AL148*(1-Inputs!$C$24)+AL147</f>
        <v>2124.50092018641</v>
      </c>
    </row>
    <row r="151" customFormat="false" ht="15" hidden="false" customHeight="false" outlineLevel="0" collapsed="false">
      <c r="A151" s="6" t="s">
        <v>403</v>
      </c>
      <c r="C151" s="117" t="n">
        <f aca="false">(C148+C150)/2</f>
        <v>266.8988</v>
      </c>
      <c r="D151" s="117" t="n">
        <f aca="false">(D148+D150)/2</f>
        <v>302.994359111111</v>
      </c>
      <c r="E151" s="117" t="n">
        <f aca="false">(E148+E150)/2</f>
        <v>346.780051413333</v>
      </c>
      <c r="F151" s="117" t="n">
        <f aca="false">(F148+F150)/2</f>
        <v>398.288538245689</v>
      </c>
      <c r="G151" s="117" t="n">
        <f aca="false">(G148+G150)/2</f>
        <v>454.365041160306</v>
      </c>
      <c r="H151" s="117" t="n">
        <f aca="false">(H148+H150)/2</f>
        <v>514.826839513893</v>
      </c>
      <c r="I151" s="117" t="n">
        <f aca="false">(I148+I150)/2</f>
        <v>579.498521488893</v>
      </c>
      <c r="J151" s="117" t="n">
        <f aca="false">(J148+J150)/2</f>
        <v>648.211691740449</v>
      </c>
      <c r="K151" s="117" t="n">
        <f aca="false">(K148+K150)/2</f>
        <v>720.804690737497</v>
      </c>
      <c r="L151" s="117" t="n">
        <f aca="false">(L148+L150)/2</f>
        <v>797.12232533022</v>
      </c>
      <c r="M151" s="117" t="n">
        <f aca="false">(M148+M150)/2</f>
        <v>873.701432317011</v>
      </c>
      <c r="N151" s="117" t="n">
        <f aca="false">(N148+N150)/2</f>
        <v>941.64937502433</v>
      </c>
      <c r="O151" s="117" t="n">
        <f aca="false">(O148+O150)/2</f>
        <v>1003.27132002336</v>
      </c>
      <c r="P151" s="117" t="n">
        <f aca="false">(P148+P150)/2</f>
        <v>1064.38830722242</v>
      </c>
      <c r="Q151" s="117" t="n">
        <f aca="false">(Q148+Q150)/2</f>
        <v>1128.79565493353</v>
      </c>
      <c r="R151" s="117" t="n">
        <f aca="false">(R148+R150)/2</f>
        <v>1196.36174873618</v>
      </c>
      <c r="S151" s="117" t="n">
        <f aca="false">(S148+S150)/2</f>
        <v>1261.22519878674</v>
      </c>
      <c r="T151" s="117" t="n">
        <f aca="false">(T148+T150)/2</f>
        <v>1323.49411083527</v>
      </c>
      <c r="U151" s="117" t="n">
        <f aca="false">(U148+U150)/2</f>
        <v>1383.27226640186</v>
      </c>
      <c r="V151" s="117" t="n">
        <f aca="false">(V148+V150)/2</f>
        <v>1440.65929574578</v>
      </c>
      <c r="W151" s="117" t="n">
        <f aca="false">(W148+W150)/2</f>
        <v>1495.75084391595</v>
      </c>
      <c r="X151" s="117" t="n">
        <f aca="false">(X148+X150)/2</f>
        <v>1548.63873015931</v>
      </c>
      <c r="Y151" s="117" t="n">
        <f aca="false">(Y148+Y150)/2</f>
        <v>1599.41110095294</v>
      </c>
      <c r="Z151" s="117" t="n">
        <f aca="false">(Z148+Z150)/2</f>
        <v>1642.41753691482</v>
      </c>
      <c r="AA151" s="117" t="n">
        <f aca="false">(AA148+AA150)/2</f>
        <v>1680.01239303823</v>
      </c>
      <c r="AB151" s="117" t="n">
        <f aca="false">(AB148+AB150)/2</f>
        <v>1718.1471725167</v>
      </c>
      <c r="AC151" s="117" t="n">
        <f aca="false">(AC148+AC150)/2</f>
        <v>1760.66365201603</v>
      </c>
      <c r="AD151" s="117" t="n">
        <f aca="false">(AD148+AD150)/2</f>
        <v>1807.38656353539</v>
      </c>
      <c r="AE151" s="117" t="n">
        <f aca="false">(AE148+AE150)/2</f>
        <v>1852.24055859398</v>
      </c>
      <c r="AF151" s="117" t="n">
        <f aca="false">(AF148+AF150)/2</f>
        <v>1895.30039385022</v>
      </c>
      <c r="AG151" s="117" t="n">
        <f aca="false">(AG148+AG150)/2</f>
        <v>1936.63783569621</v>
      </c>
      <c r="AH151" s="117" t="n">
        <f aca="false">(AH148+AH150)/2</f>
        <v>1976.32177986836</v>
      </c>
      <c r="AI151" s="117" t="n">
        <f aca="false">(AI148+AI150)/2</f>
        <v>2014.41836627363</v>
      </c>
      <c r="AJ151" s="117" t="n">
        <f aca="false">(AJ148+AJ150)/2</f>
        <v>2050.99108922268</v>
      </c>
      <c r="AK151" s="117" t="n">
        <f aca="false">(AK148+AK150)/2</f>
        <v>2086.10090325377</v>
      </c>
      <c r="AL151" s="117" t="n">
        <f aca="false">(AL148+AL150)/2</f>
        <v>2113.89923352362</v>
      </c>
    </row>
    <row r="153" customFormat="false" ht="15.75" hidden="false" customHeight="true" outlineLevel="0" collapsed="false">
      <c r="A153" s="7" t="s">
        <v>404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customFormat="false" ht="15" hidden="false" customHeight="false" outlineLevel="0" collapsed="false">
      <c r="A154" s="6" t="s">
        <v>405</v>
      </c>
      <c r="C154" s="118" t="n">
        <f aca="false">C151*Inputs!$C$25*C141*1</f>
        <v>794.02393</v>
      </c>
      <c r="D154" s="118" t="n">
        <f aca="false">D151*Inputs!$C$25*D141*1</f>
        <v>901.408218355555</v>
      </c>
      <c r="E154" s="118" t="n">
        <f aca="false">E151*Inputs!$C$25*E141*1</f>
        <v>1274.416688944</v>
      </c>
      <c r="F154" s="118" t="n">
        <f aca="false">F151*Inputs!$C$25*F141*1</f>
        <v>1463.71037805291</v>
      </c>
      <c r="G154" s="118" t="n">
        <f aca="false">G151*Inputs!$C$25*G141*1</f>
        <v>1669.79152626412</v>
      </c>
      <c r="H154" s="118" t="n">
        <f aca="false">H151*Inputs!$C$25*H141*1</f>
        <v>1891.98863521356</v>
      </c>
      <c r="I154" s="118" t="n">
        <f aca="false">I151*Inputs!$C$25*I141*1</f>
        <v>2129.65706647168</v>
      </c>
      <c r="J154" s="118" t="n">
        <f aca="false">J151*Inputs!$C$25*J141*1</f>
        <v>2382.17796714615</v>
      </c>
      <c r="K154" s="118" t="n">
        <f aca="false">K151*Inputs!$C$25*K141*1</f>
        <v>2648.9572384603</v>
      </c>
      <c r="L154" s="118" t="n">
        <f aca="false">L151*Inputs!$C$25*L141*1</f>
        <v>2929.42454558856</v>
      </c>
      <c r="M154" s="118" t="n">
        <f aca="false">M151*Inputs!$C$25*M141*1</f>
        <v>3210.85276376502</v>
      </c>
      <c r="N154" s="118" t="n">
        <f aca="false">N151*Inputs!$C$25*N141*1</f>
        <v>2801.40689069738</v>
      </c>
      <c r="O154" s="118" t="n">
        <f aca="false">O151*Inputs!$C$25*O141*1</f>
        <v>2984.73217706949</v>
      </c>
      <c r="P154" s="118" t="n">
        <f aca="false">P151*Inputs!$C$25*P141*1</f>
        <v>3166.55521398671</v>
      </c>
      <c r="Q154" s="118" t="n">
        <f aca="false">Q151*Inputs!$C$25*Q141*1</f>
        <v>4148.32403188071</v>
      </c>
      <c r="R154" s="118" t="n">
        <f aca="false">R151*Inputs!$C$25*R141*1</f>
        <v>4396.62942660548</v>
      </c>
      <c r="S154" s="118" t="n">
        <f aca="false">S151*Inputs!$C$25*S141*1</f>
        <v>4635.00260554126</v>
      </c>
      <c r="T154" s="118" t="n">
        <f aca="false">T151*Inputs!$C$25*T141*1</f>
        <v>4863.84085731961</v>
      </c>
      <c r="U154" s="118" t="n">
        <f aca="false">U151*Inputs!$C$25*U141*1</f>
        <v>5083.52557902683</v>
      </c>
      <c r="V154" s="118" t="n">
        <f aca="false">V151*Inputs!$C$25*V141*1</f>
        <v>5294.42291186575</v>
      </c>
      <c r="W154" s="118" t="n">
        <f aca="false">W151*Inputs!$C$25*W141*1</f>
        <v>5496.88435139112</v>
      </c>
      <c r="X154" s="118" t="n">
        <f aca="false">X151*Inputs!$C$25*X141*1</f>
        <v>5691.24733333548</v>
      </c>
      <c r="Y154" s="118" t="n">
        <f aca="false">Y151*Inputs!$C$25*Y141*1</f>
        <v>5877.83579600206</v>
      </c>
      <c r="Z154" s="118" t="n">
        <f aca="false">Z151*Inputs!$C$25*Z141*1</f>
        <v>4886.1921723216</v>
      </c>
      <c r="AA154" s="118" t="n">
        <f aca="false">AA151*Inputs!$C$25*AA141*1</f>
        <v>4998.03686928874</v>
      </c>
      <c r="AB154" s="118" t="n">
        <f aca="false">AB151*Inputs!$C$25*AB141*1</f>
        <v>5111.48783823719</v>
      </c>
      <c r="AC154" s="118" t="n">
        <f aca="false">AC151*Inputs!$C$25*AC141*1</f>
        <v>6470.43892115892</v>
      </c>
      <c r="AD154" s="118" t="n">
        <f aca="false">AD151*Inputs!$C$25*AD141*1</f>
        <v>6642.14562099257</v>
      </c>
      <c r="AE154" s="118" t="n">
        <f aca="false">AE151*Inputs!$C$25*AE141*1</f>
        <v>6806.98405283286</v>
      </c>
      <c r="AF154" s="118" t="n">
        <f aca="false">AF151*Inputs!$C$25*AF141*1</f>
        <v>6965.22894739955</v>
      </c>
      <c r="AG154" s="118" t="n">
        <f aca="false">AG151*Inputs!$C$25*AG141*1</f>
        <v>7117.14404618357</v>
      </c>
      <c r="AH154" s="118" t="n">
        <f aca="false">AH151*Inputs!$C$25*AH141*1</f>
        <v>7262.98254101622</v>
      </c>
      <c r="AI154" s="118" t="n">
        <f aca="false">AI151*Inputs!$C$25*AI141*1</f>
        <v>7402.98749605557</v>
      </c>
      <c r="AJ154" s="118" t="n">
        <f aca="false">AJ151*Inputs!$C$25*AJ141*1</f>
        <v>7537.39225289335</v>
      </c>
      <c r="AK154" s="118" t="n">
        <f aca="false">AK151*Inputs!$C$25*AK141*1</f>
        <v>7666.42081945762</v>
      </c>
      <c r="AL154" s="118" t="n">
        <f aca="false">AL151*Inputs!$C$25*AL141*1</f>
        <v>6288.85021973278</v>
      </c>
    </row>
    <row r="155" customFormat="false" ht="15" hidden="false" customHeight="false" outlineLevel="0" collapsed="false">
      <c r="A155" s="6" t="s">
        <v>406</v>
      </c>
      <c r="C155" s="118" t="n">
        <f aca="false">Inputs!$C$15*Inputs!$C$16*Inputs!$C$17*Inputs!$C$9*1</f>
        <v>24563</v>
      </c>
      <c r="D155" s="118" t="n">
        <f aca="false">Inputs!$C$15*Inputs!$C$16*Inputs!$C$17*Inputs!$C$9*1</f>
        <v>24563</v>
      </c>
      <c r="E155" s="118" t="n">
        <f aca="false">Inputs!$C$15*Inputs!$C$16*Inputs!$C$17*Inputs!$C$9*1</f>
        <v>24563</v>
      </c>
      <c r="F155" s="118" t="n">
        <f aca="false">Inputs!$C$15*Inputs!$C$16*Inputs!$C$17*Inputs!$C$9*1</f>
        <v>24563</v>
      </c>
      <c r="G155" s="118" t="n">
        <f aca="false">Inputs!$C$15*Inputs!$C$16*Inputs!$C$17*Inputs!$C$9*1</f>
        <v>24563</v>
      </c>
      <c r="H155" s="118" t="n">
        <f aca="false">Inputs!$C$15*Inputs!$C$16*Inputs!$C$17*Inputs!$C$9*1</f>
        <v>24563</v>
      </c>
      <c r="I155" s="118" t="n">
        <f aca="false">Inputs!$C$15*Inputs!$C$16*Inputs!$C$17*Inputs!$C$9*1</f>
        <v>24563</v>
      </c>
      <c r="J155" s="118" t="n">
        <f aca="false">Inputs!$C$15*Inputs!$C$16*Inputs!$C$17*Inputs!$C$9*1</f>
        <v>24563</v>
      </c>
      <c r="K155" s="118" t="n">
        <f aca="false">Inputs!$C$15*Inputs!$C$16*Inputs!$C$17*Inputs!$C$9*1</f>
        <v>24563</v>
      </c>
      <c r="L155" s="118" t="n">
        <f aca="false">Inputs!$C$15*Inputs!$C$16*Inputs!$C$17*Inputs!$C$9*1</f>
        <v>24563</v>
      </c>
      <c r="M155" s="118" t="n">
        <f aca="false">Inputs!$C$15*Inputs!$C$16*Inputs!$C$17*Inputs!$C$9*1</f>
        <v>24563</v>
      </c>
      <c r="N155" s="118" t="n">
        <f aca="false">Inputs!$C$15*Inputs!$C$16*Inputs!$C$17*Inputs!$C$9*1</f>
        <v>24563</v>
      </c>
      <c r="O155" s="118" t="n">
        <f aca="false">Inputs!$C$15*Inputs!$C$16*Inputs!$C$17*Inputs!$C$9*1</f>
        <v>24563</v>
      </c>
      <c r="P155" s="118" t="n">
        <f aca="false">Inputs!$C$15*Inputs!$C$16*Inputs!$C$17*Inputs!$C$9*1</f>
        <v>24563</v>
      </c>
      <c r="Q155" s="118" t="n">
        <f aca="false">Inputs!$C$15*Inputs!$C$16*Inputs!$C$17*Inputs!$C$9*1</f>
        <v>24563</v>
      </c>
      <c r="R155" s="118" t="n">
        <f aca="false">Inputs!$C$15*Inputs!$C$16*Inputs!$C$17*Inputs!$C$9*1</f>
        <v>24563</v>
      </c>
      <c r="S155" s="118" t="n">
        <f aca="false">Inputs!$C$15*Inputs!$C$16*Inputs!$C$17*Inputs!$C$9*1</f>
        <v>24563</v>
      </c>
      <c r="T155" s="118" t="n">
        <f aca="false">Inputs!$C$15*Inputs!$C$16*Inputs!$C$17*Inputs!$C$9*1</f>
        <v>24563</v>
      </c>
      <c r="U155" s="118" t="n">
        <f aca="false">Inputs!$C$15*Inputs!$C$16*Inputs!$C$17*Inputs!$C$9*1</f>
        <v>24563</v>
      </c>
      <c r="V155" s="118" t="n">
        <f aca="false">Inputs!$C$15*Inputs!$C$16*Inputs!$C$17*Inputs!$C$9*1</f>
        <v>24563</v>
      </c>
      <c r="W155" s="118" t="n">
        <f aca="false">Inputs!$C$15*Inputs!$C$16*Inputs!$C$17*Inputs!$C$9*1</f>
        <v>24563</v>
      </c>
      <c r="X155" s="118" t="n">
        <f aca="false">Inputs!$C$15*Inputs!$C$16*Inputs!$C$17*Inputs!$C$9*1</f>
        <v>24563</v>
      </c>
      <c r="Y155" s="118" t="n">
        <f aca="false">Inputs!$C$15*Inputs!$C$16*Inputs!$C$17*Inputs!$C$9*1</f>
        <v>24563</v>
      </c>
      <c r="Z155" s="118" t="n">
        <f aca="false">Inputs!$C$15*Inputs!$C$16*Inputs!$C$17*Inputs!$C$9*1</f>
        <v>24563</v>
      </c>
      <c r="AA155" s="118" t="n">
        <f aca="false">Inputs!$C$15*Inputs!$C$16*Inputs!$C$17*Inputs!$C$9*1</f>
        <v>24563</v>
      </c>
      <c r="AB155" s="118" t="n">
        <f aca="false">Inputs!$C$15*Inputs!$C$16*Inputs!$C$17*Inputs!$C$9*1</f>
        <v>24563</v>
      </c>
      <c r="AC155" s="118" t="n">
        <f aca="false">Inputs!$C$15*Inputs!$C$16*Inputs!$C$17*Inputs!$C$9*1</f>
        <v>24563</v>
      </c>
      <c r="AD155" s="118" t="n">
        <f aca="false">Inputs!$C$15*Inputs!$C$16*Inputs!$C$17*Inputs!$C$9*1</f>
        <v>24563</v>
      </c>
      <c r="AE155" s="118" t="n">
        <f aca="false">Inputs!$C$15*Inputs!$C$16*Inputs!$C$17*Inputs!$C$9*1</f>
        <v>24563</v>
      </c>
      <c r="AF155" s="118" t="n">
        <f aca="false">Inputs!$C$15*Inputs!$C$16*Inputs!$C$17*Inputs!$C$9*1</f>
        <v>24563</v>
      </c>
      <c r="AG155" s="118" t="n">
        <f aca="false">Inputs!$C$15*Inputs!$C$16*Inputs!$C$17*Inputs!$C$9*1</f>
        <v>24563</v>
      </c>
      <c r="AH155" s="118" t="n">
        <f aca="false">Inputs!$C$15*Inputs!$C$16*Inputs!$C$17*Inputs!$C$9*1</f>
        <v>24563</v>
      </c>
      <c r="AI155" s="118" t="n">
        <f aca="false">Inputs!$C$15*Inputs!$C$16*Inputs!$C$17*Inputs!$C$9*1</f>
        <v>24563</v>
      </c>
      <c r="AJ155" s="118" t="n">
        <f aca="false">Inputs!$C$15*Inputs!$C$16*Inputs!$C$17*Inputs!$C$9*1</f>
        <v>24563</v>
      </c>
      <c r="AK155" s="118" t="n">
        <f aca="false">Inputs!$C$15*Inputs!$C$16*Inputs!$C$17*Inputs!$C$9*1</f>
        <v>24563</v>
      </c>
      <c r="AL155" s="118" t="n">
        <f aca="false">Inputs!$C$15*Inputs!$C$16*Inputs!$C$17*Inputs!$C$9*1</f>
        <v>24563</v>
      </c>
    </row>
    <row r="156" customFormat="false" ht="15" hidden="false" customHeight="false" outlineLevel="0" collapsed="false">
      <c r="A156" s="39" t="s">
        <v>407</v>
      </c>
      <c r="C156" s="76" t="n">
        <f aca="false">MIN(1,C155/MAX(1,C142+C154))</f>
        <v>1</v>
      </c>
      <c r="D156" s="76" t="n">
        <f aca="false">MIN(1,D155/MAX(1,D142+D154))</f>
        <v>1</v>
      </c>
      <c r="E156" s="76" t="n">
        <f aca="false">MIN(1,E155/MAX(1,E142+E154))</f>
        <v>1</v>
      </c>
      <c r="F156" s="76" t="n">
        <f aca="false">MIN(1,F155/MAX(1,F142+F154))</f>
        <v>1</v>
      </c>
      <c r="G156" s="76" t="n">
        <f aca="false">MIN(1,G155/MAX(1,G142+G154))</f>
        <v>1</v>
      </c>
      <c r="H156" s="76" t="n">
        <f aca="false">MIN(1,H155/MAX(1,H142+H154))</f>
        <v>1</v>
      </c>
      <c r="I156" s="76" t="n">
        <f aca="false">MIN(1,I155/MAX(1,I142+I154))</f>
        <v>1</v>
      </c>
      <c r="J156" s="76" t="n">
        <f aca="false">MIN(1,J155/MAX(1,J142+J154))</f>
        <v>1</v>
      </c>
      <c r="K156" s="76" t="n">
        <f aca="false">MIN(1,K155/MAX(1,K142+K154))</f>
        <v>1</v>
      </c>
      <c r="L156" s="76" t="n">
        <f aca="false">MIN(1,L155/MAX(1,L142+L154))</f>
        <v>1</v>
      </c>
      <c r="M156" s="76" t="n">
        <f aca="false">MIN(1,M155/MAX(1,M142+M154))</f>
        <v>1</v>
      </c>
      <c r="N156" s="76" t="n">
        <f aca="false">MIN(1,N155/MAX(1,N142+N154))</f>
        <v>1</v>
      </c>
      <c r="O156" s="76" t="n">
        <f aca="false">MIN(1,O155/MAX(1,O142+O154))</f>
        <v>1</v>
      </c>
      <c r="P156" s="76" t="n">
        <f aca="false">MIN(1,P155/MAX(1,P142+P154))</f>
        <v>1</v>
      </c>
      <c r="Q156" s="76" t="n">
        <f aca="false">MIN(1,Q155/MAX(1,Q142+Q154))</f>
        <v>1</v>
      </c>
      <c r="R156" s="76" t="n">
        <f aca="false">MIN(1,R155/MAX(1,R142+R154))</f>
        <v>1</v>
      </c>
      <c r="S156" s="76" t="n">
        <f aca="false">MIN(1,S155/MAX(1,S142+S154))</f>
        <v>1</v>
      </c>
      <c r="T156" s="76" t="n">
        <f aca="false">MIN(1,T155/MAX(1,T142+T154))</f>
        <v>1</v>
      </c>
      <c r="U156" s="76" t="n">
        <f aca="false">MIN(1,U155/MAX(1,U142+U154))</f>
        <v>1</v>
      </c>
      <c r="V156" s="76" t="n">
        <f aca="false">MIN(1,V155/MAX(1,V142+V154))</f>
        <v>1</v>
      </c>
      <c r="W156" s="76" t="n">
        <f aca="false">MIN(1,W155/MAX(1,W142+W154))</f>
        <v>1</v>
      </c>
      <c r="X156" s="76" t="n">
        <f aca="false">MIN(1,X155/MAX(1,X142+X154))</f>
        <v>1</v>
      </c>
      <c r="Y156" s="76" t="n">
        <f aca="false">MIN(1,Y155/MAX(1,Y142+Y154))</f>
        <v>1</v>
      </c>
      <c r="Z156" s="76" t="n">
        <f aca="false">MIN(1,Z155/MAX(1,Z142+Z154))</f>
        <v>1</v>
      </c>
      <c r="AA156" s="76" t="n">
        <f aca="false">MIN(1,AA155/MAX(1,AA142+AA154))</f>
        <v>1</v>
      </c>
      <c r="AB156" s="76" t="n">
        <f aca="false">MIN(1,AB155/MAX(1,AB142+AB154))</f>
        <v>1</v>
      </c>
      <c r="AC156" s="76" t="n">
        <f aca="false">MIN(1,AC155/MAX(1,AC142+AC154))</f>
        <v>1</v>
      </c>
      <c r="AD156" s="76" t="n">
        <f aca="false">MIN(1,AD155/MAX(1,AD142+AD154))</f>
        <v>1</v>
      </c>
      <c r="AE156" s="76" t="n">
        <f aca="false">MIN(1,AE155/MAX(1,AE142+AE154))</f>
        <v>1</v>
      </c>
      <c r="AF156" s="76" t="n">
        <f aca="false">MIN(1,AF155/MAX(1,AF142+AF154))</f>
        <v>1</v>
      </c>
      <c r="AG156" s="76" t="n">
        <f aca="false">MIN(1,AG155/MAX(1,AG142+AG154))</f>
        <v>1</v>
      </c>
      <c r="AH156" s="76" t="n">
        <f aca="false">MIN(1,AH155/MAX(1,AH142+AH154))</f>
        <v>1</v>
      </c>
      <c r="AI156" s="76" t="n">
        <f aca="false">MIN(1,AI155/MAX(1,AI142+AI154))</f>
        <v>1</v>
      </c>
      <c r="AJ156" s="76" t="n">
        <f aca="false">MIN(1,AJ155/MAX(1,AJ142+AJ154))</f>
        <v>1</v>
      </c>
      <c r="AK156" s="76" t="n">
        <f aca="false">MIN(1,AK155/MAX(1,AK142+AK154))</f>
        <v>1</v>
      </c>
      <c r="AL156" s="76" t="n">
        <f aca="false">MIN(1,AL155/MAX(1,AL142+AL154))</f>
        <v>1</v>
      </c>
    </row>
    <row r="157" customFormat="false" ht="15" hidden="false" customHeight="false" outlineLevel="0" collapsed="false">
      <c r="A157" s="6" t="s">
        <v>236</v>
      </c>
      <c r="C157" s="118" t="n">
        <f aca="false">C142*C156</f>
        <v>2662.2</v>
      </c>
      <c r="D157" s="118" t="n">
        <f aca="false">D142*D156</f>
        <v>3023.73333333333</v>
      </c>
      <c r="E157" s="118" t="n">
        <f aca="false">E142*E156</f>
        <v>4181.8</v>
      </c>
      <c r="F157" s="118" t="n">
        <f aca="false">F142*F156</f>
        <v>4628.4</v>
      </c>
      <c r="G157" s="118" t="n">
        <f aca="false">G142*G156</f>
        <v>5075</v>
      </c>
      <c r="H157" s="118" t="n">
        <f aca="false">H142*H156</f>
        <v>5521.6</v>
      </c>
      <c r="I157" s="118" t="n">
        <f aca="false">I142*I156</f>
        <v>5968.2</v>
      </c>
      <c r="J157" s="118" t="n">
        <f aca="false">J142*J156</f>
        <v>6414.8</v>
      </c>
      <c r="K157" s="118" t="n">
        <f aca="false">K142*K156</f>
        <v>6861.4</v>
      </c>
      <c r="L157" s="118" t="n">
        <f aca="false">L142*L156</f>
        <v>7308</v>
      </c>
      <c r="M157" s="118" t="n">
        <f aca="false">M142*M156</f>
        <v>7308</v>
      </c>
      <c r="N157" s="118" t="n">
        <f aca="false">N142*N156</f>
        <v>5916</v>
      </c>
      <c r="O157" s="118" t="n">
        <f aca="false">O142*O156</f>
        <v>6093.48</v>
      </c>
      <c r="P157" s="118" t="n">
        <f aca="false">P142*P156</f>
        <v>6093.48</v>
      </c>
      <c r="Q157" s="118" t="n">
        <f aca="false">Q142*Q156</f>
        <v>7527.24</v>
      </c>
      <c r="R157" s="118" t="n">
        <f aca="false">R142*R156</f>
        <v>7527.24</v>
      </c>
      <c r="S157" s="118" t="n">
        <f aca="false">S142*S156</f>
        <v>7527.24</v>
      </c>
      <c r="T157" s="118" t="n">
        <f aca="false">T142*T156</f>
        <v>7527.24</v>
      </c>
      <c r="U157" s="118" t="n">
        <f aca="false">U142*U156</f>
        <v>7527.24</v>
      </c>
      <c r="V157" s="118" t="n">
        <f aca="false">V142*V156</f>
        <v>7527.24</v>
      </c>
      <c r="W157" s="118" t="n">
        <f aca="false">W142*W156</f>
        <v>7527.24</v>
      </c>
      <c r="X157" s="118" t="n">
        <f aca="false">X142*X156</f>
        <v>7527.24</v>
      </c>
      <c r="Y157" s="118" t="n">
        <f aca="false">Y142*Y156</f>
        <v>7527.24</v>
      </c>
      <c r="Z157" s="118" t="n">
        <f aca="false">Z142*Z156</f>
        <v>6093.48</v>
      </c>
      <c r="AA157" s="118" t="n">
        <f aca="false">AA142*AA156</f>
        <v>6276.2844</v>
      </c>
      <c r="AB157" s="118" t="n">
        <f aca="false">AB142*AB156</f>
        <v>6276.2844</v>
      </c>
      <c r="AC157" s="118" t="n">
        <f aca="false">AC142*AC156</f>
        <v>7753.0572</v>
      </c>
      <c r="AD157" s="118" t="n">
        <f aca="false">AD142*AD156</f>
        <v>7753.0572</v>
      </c>
      <c r="AE157" s="118" t="n">
        <f aca="false">AE142*AE156</f>
        <v>7753.0572</v>
      </c>
      <c r="AF157" s="118" t="n">
        <f aca="false">AF142*AF156</f>
        <v>7753.0572</v>
      </c>
      <c r="AG157" s="118" t="n">
        <f aca="false">AG142*AG156</f>
        <v>7753.0572</v>
      </c>
      <c r="AH157" s="118" t="n">
        <f aca="false">AH142*AH156</f>
        <v>7753.0572</v>
      </c>
      <c r="AI157" s="118" t="n">
        <f aca="false">AI142*AI156</f>
        <v>7753.0572</v>
      </c>
      <c r="AJ157" s="118" t="n">
        <f aca="false">AJ142*AJ156</f>
        <v>7753.0572</v>
      </c>
      <c r="AK157" s="118" t="n">
        <f aca="false">AK142*AK156</f>
        <v>7753.0572</v>
      </c>
      <c r="AL157" s="118" t="n">
        <f aca="false">AL142*AL156</f>
        <v>6276.2844</v>
      </c>
    </row>
    <row r="158" customFormat="false" ht="15" hidden="false" customHeight="false" outlineLevel="0" collapsed="false">
      <c r="A158" s="6" t="s">
        <v>237</v>
      </c>
      <c r="C158" s="118" t="n">
        <f aca="false">C154*C156</f>
        <v>794.02393</v>
      </c>
      <c r="D158" s="118" t="n">
        <f aca="false">D154*D156</f>
        <v>901.408218355555</v>
      </c>
      <c r="E158" s="118" t="n">
        <f aca="false">E154*E156</f>
        <v>1274.416688944</v>
      </c>
      <c r="F158" s="118" t="n">
        <f aca="false">F154*F156</f>
        <v>1463.71037805291</v>
      </c>
      <c r="G158" s="118" t="n">
        <f aca="false">G154*G156</f>
        <v>1669.79152626412</v>
      </c>
      <c r="H158" s="118" t="n">
        <f aca="false">H154*H156</f>
        <v>1891.98863521356</v>
      </c>
      <c r="I158" s="118" t="n">
        <f aca="false">I154*I156</f>
        <v>2129.65706647168</v>
      </c>
      <c r="J158" s="118" t="n">
        <f aca="false">J154*J156</f>
        <v>2382.17796714615</v>
      </c>
      <c r="K158" s="118" t="n">
        <f aca="false">K154*K156</f>
        <v>2648.9572384603</v>
      </c>
      <c r="L158" s="118" t="n">
        <f aca="false">L154*L156</f>
        <v>2929.42454558856</v>
      </c>
      <c r="M158" s="118" t="n">
        <f aca="false">M154*M156</f>
        <v>3210.85276376502</v>
      </c>
      <c r="N158" s="118" t="n">
        <f aca="false">N154*N156</f>
        <v>2801.40689069738</v>
      </c>
      <c r="O158" s="118" t="n">
        <f aca="false">O154*O156</f>
        <v>2984.73217706949</v>
      </c>
      <c r="P158" s="118" t="n">
        <f aca="false">P154*P156</f>
        <v>3166.55521398671</v>
      </c>
      <c r="Q158" s="118" t="n">
        <f aca="false">Q154*Q156</f>
        <v>4148.32403188071</v>
      </c>
      <c r="R158" s="118" t="n">
        <f aca="false">R154*R156</f>
        <v>4396.62942660548</v>
      </c>
      <c r="S158" s="118" t="n">
        <f aca="false">S154*S156</f>
        <v>4635.00260554126</v>
      </c>
      <c r="T158" s="118" t="n">
        <f aca="false">T154*T156</f>
        <v>4863.84085731961</v>
      </c>
      <c r="U158" s="118" t="n">
        <f aca="false">U154*U156</f>
        <v>5083.52557902683</v>
      </c>
      <c r="V158" s="118" t="n">
        <f aca="false">V154*V156</f>
        <v>5294.42291186575</v>
      </c>
      <c r="W158" s="118" t="n">
        <f aca="false">W154*W156</f>
        <v>5496.88435139112</v>
      </c>
      <c r="X158" s="118" t="n">
        <f aca="false">X154*X156</f>
        <v>5691.24733333548</v>
      </c>
      <c r="Y158" s="118" t="n">
        <f aca="false">Y154*Y156</f>
        <v>5877.83579600206</v>
      </c>
      <c r="Z158" s="118" t="n">
        <f aca="false">Z154*Z156</f>
        <v>4886.1921723216</v>
      </c>
      <c r="AA158" s="118" t="n">
        <f aca="false">AA154*AA156</f>
        <v>4998.03686928874</v>
      </c>
      <c r="AB158" s="118" t="n">
        <f aca="false">AB154*AB156</f>
        <v>5111.48783823719</v>
      </c>
      <c r="AC158" s="118" t="n">
        <f aca="false">AC154*AC156</f>
        <v>6470.43892115892</v>
      </c>
      <c r="AD158" s="118" t="n">
        <f aca="false">AD154*AD156</f>
        <v>6642.14562099257</v>
      </c>
      <c r="AE158" s="118" t="n">
        <f aca="false">AE154*AE156</f>
        <v>6806.98405283286</v>
      </c>
      <c r="AF158" s="118" t="n">
        <f aca="false">AF154*AF156</f>
        <v>6965.22894739955</v>
      </c>
      <c r="AG158" s="118" t="n">
        <f aca="false">AG154*AG156</f>
        <v>7117.14404618357</v>
      </c>
      <c r="AH158" s="118" t="n">
        <f aca="false">AH154*AH156</f>
        <v>7262.98254101622</v>
      </c>
      <c r="AI158" s="118" t="n">
        <f aca="false">AI154*AI156</f>
        <v>7402.98749605557</v>
      </c>
      <c r="AJ158" s="118" t="n">
        <f aca="false">AJ154*AJ156</f>
        <v>7537.39225289335</v>
      </c>
      <c r="AK158" s="118" t="n">
        <f aca="false">AK154*AK156</f>
        <v>7666.42081945762</v>
      </c>
      <c r="AL158" s="118" t="n">
        <f aca="false">AL154*AL156</f>
        <v>6288.85021973278</v>
      </c>
    </row>
    <row r="159" customFormat="false" ht="15" hidden="false" customHeight="false" outlineLevel="0" collapsed="false">
      <c r="A159" s="4" t="s">
        <v>408</v>
      </c>
      <c r="C159" s="121" t="n">
        <f aca="false">C157+C158</f>
        <v>3456.22393</v>
      </c>
      <c r="D159" s="121" t="n">
        <f aca="false">D157+D158</f>
        <v>3925.14155168889</v>
      </c>
      <c r="E159" s="121" t="n">
        <f aca="false">E157+E158</f>
        <v>5456.216688944</v>
      </c>
      <c r="F159" s="121" t="n">
        <f aca="false">F157+F158</f>
        <v>6092.11037805291</v>
      </c>
      <c r="G159" s="121" t="n">
        <f aca="false">G157+G158</f>
        <v>6744.79152626412</v>
      </c>
      <c r="H159" s="121" t="n">
        <f aca="false">H157+H158</f>
        <v>7413.58863521356</v>
      </c>
      <c r="I159" s="121" t="n">
        <f aca="false">I157+I158</f>
        <v>8097.85706647168</v>
      </c>
      <c r="J159" s="121" t="n">
        <f aca="false">J157+J158</f>
        <v>8796.97796714615</v>
      </c>
      <c r="K159" s="121" t="n">
        <f aca="false">K157+K158</f>
        <v>9510.3572384603</v>
      </c>
      <c r="L159" s="121" t="n">
        <f aca="false">L157+L158</f>
        <v>10237.4245455886</v>
      </c>
      <c r="M159" s="121" t="n">
        <f aca="false">M157+M158</f>
        <v>10518.852763765</v>
      </c>
      <c r="N159" s="121" t="n">
        <f aca="false">N157+N158</f>
        <v>8717.40689069738</v>
      </c>
      <c r="O159" s="121" t="n">
        <f aca="false">O157+O158</f>
        <v>9078.21217706949</v>
      </c>
      <c r="P159" s="121" t="n">
        <f aca="false">P157+P158</f>
        <v>9260.03521398671</v>
      </c>
      <c r="Q159" s="121" t="n">
        <f aca="false">Q157+Q158</f>
        <v>11675.5640318807</v>
      </c>
      <c r="R159" s="121" t="n">
        <f aca="false">R157+R158</f>
        <v>11923.8694266055</v>
      </c>
      <c r="S159" s="121" t="n">
        <f aca="false">S157+S158</f>
        <v>12162.2426055413</v>
      </c>
      <c r="T159" s="121" t="n">
        <f aca="false">T157+T158</f>
        <v>12391.0808573196</v>
      </c>
      <c r="U159" s="121" t="n">
        <f aca="false">U157+U158</f>
        <v>12610.7655790268</v>
      </c>
      <c r="V159" s="121" t="n">
        <f aca="false">V157+V158</f>
        <v>12821.6629118658</v>
      </c>
      <c r="W159" s="121" t="n">
        <f aca="false">W157+W158</f>
        <v>13024.1243513911</v>
      </c>
      <c r="X159" s="121" t="n">
        <f aca="false">X157+X158</f>
        <v>13218.4873333355</v>
      </c>
      <c r="Y159" s="121" t="n">
        <f aca="false">Y157+Y158</f>
        <v>13405.0757960021</v>
      </c>
      <c r="Z159" s="121" t="n">
        <f aca="false">Z157+Z158</f>
        <v>10979.6721723216</v>
      </c>
      <c r="AA159" s="121" t="n">
        <f aca="false">AA157+AA158</f>
        <v>11274.3212692887</v>
      </c>
      <c r="AB159" s="121" t="n">
        <f aca="false">AB157+AB158</f>
        <v>11387.7722382372</v>
      </c>
      <c r="AC159" s="121" t="n">
        <f aca="false">AC157+AC158</f>
        <v>14223.4961211589</v>
      </c>
      <c r="AD159" s="121" t="n">
        <f aca="false">AD157+AD158</f>
        <v>14395.2028209926</v>
      </c>
      <c r="AE159" s="121" t="n">
        <f aca="false">AE157+AE158</f>
        <v>14560.0412528329</v>
      </c>
      <c r="AF159" s="121" t="n">
        <f aca="false">AF157+AF158</f>
        <v>14718.2861473995</v>
      </c>
      <c r="AG159" s="121" t="n">
        <f aca="false">AG157+AG158</f>
        <v>14870.2012461836</v>
      </c>
      <c r="AH159" s="121" t="n">
        <f aca="false">AH157+AH158</f>
        <v>15016.0397410162</v>
      </c>
      <c r="AI159" s="121" t="n">
        <f aca="false">AI157+AI158</f>
        <v>15156.0446960556</v>
      </c>
      <c r="AJ159" s="121" t="n">
        <f aca="false">AJ157+AJ158</f>
        <v>15290.4494528934</v>
      </c>
      <c r="AK159" s="121" t="n">
        <f aca="false">AK157+AK158</f>
        <v>15419.4780194576</v>
      </c>
      <c r="AL159" s="121" t="n">
        <f aca="false">AL157+AL158</f>
        <v>12565.1346197328</v>
      </c>
    </row>
    <row r="160" customFormat="false" ht="15" hidden="false" customHeight="false" outlineLevel="0" collapsed="false">
      <c r="A160" s="6" t="s">
        <v>240</v>
      </c>
      <c r="C160" s="118" t="n">
        <f aca="false">C142+C154-C159</f>
        <v>0</v>
      </c>
      <c r="D160" s="118" t="n">
        <f aca="false">D142+D154-D159</f>
        <v>0</v>
      </c>
      <c r="E160" s="118" t="n">
        <f aca="false">E142+E154-E159</f>
        <v>0</v>
      </c>
      <c r="F160" s="118" t="n">
        <f aca="false">F142+F154-F159</f>
        <v>0</v>
      </c>
      <c r="G160" s="118" t="n">
        <f aca="false">G142+G154-G159</f>
        <v>0</v>
      </c>
      <c r="H160" s="118" t="n">
        <f aca="false">H142+H154-H159</f>
        <v>0</v>
      </c>
      <c r="I160" s="118" t="n">
        <f aca="false">I142+I154-I159</f>
        <v>0</v>
      </c>
      <c r="J160" s="118" t="n">
        <f aca="false">J142+J154-J159</f>
        <v>0</v>
      </c>
      <c r="K160" s="118" t="n">
        <f aca="false">K142+K154-K159</f>
        <v>0</v>
      </c>
      <c r="L160" s="118" t="n">
        <f aca="false">L142+L154-L159</f>
        <v>0</v>
      </c>
      <c r="M160" s="118" t="n">
        <f aca="false">M142+M154-M159</f>
        <v>0</v>
      </c>
      <c r="N160" s="118" t="n">
        <f aca="false">N142+N154-N159</f>
        <v>0</v>
      </c>
      <c r="O160" s="118" t="n">
        <f aca="false">O142+O154-O159</f>
        <v>0</v>
      </c>
      <c r="P160" s="118" t="n">
        <f aca="false">P142+P154-P159</f>
        <v>0</v>
      </c>
      <c r="Q160" s="118" t="n">
        <f aca="false">Q142+Q154-Q159</f>
        <v>0</v>
      </c>
      <c r="R160" s="118" t="n">
        <f aca="false">R142+R154-R159</f>
        <v>0</v>
      </c>
      <c r="S160" s="118" t="n">
        <f aca="false">S142+S154-S159</f>
        <v>0</v>
      </c>
      <c r="T160" s="118" t="n">
        <f aca="false">T142+T154-T159</f>
        <v>0</v>
      </c>
      <c r="U160" s="118" t="n">
        <f aca="false">U142+U154-U159</f>
        <v>0</v>
      </c>
      <c r="V160" s="118" t="n">
        <f aca="false">V142+V154-V159</f>
        <v>0</v>
      </c>
      <c r="W160" s="118" t="n">
        <f aca="false">W142+W154-W159</f>
        <v>0</v>
      </c>
      <c r="X160" s="118" t="n">
        <f aca="false">X142+X154-X159</f>
        <v>0</v>
      </c>
      <c r="Y160" s="118" t="n">
        <f aca="false">Y142+Y154-Y159</f>
        <v>0</v>
      </c>
      <c r="Z160" s="118" t="n">
        <f aca="false">Z142+Z154-Z159</f>
        <v>0</v>
      </c>
      <c r="AA160" s="118" t="n">
        <f aca="false">AA142+AA154-AA159</f>
        <v>0</v>
      </c>
      <c r="AB160" s="118" t="n">
        <f aca="false">AB142+AB154-AB159</f>
        <v>0</v>
      </c>
      <c r="AC160" s="118" t="n">
        <f aca="false">AC142+AC154-AC159</f>
        <v>0</v>
      </c>
      <c r="AD160" s="118" t="n">
        <f aca="false">AD142+AD154-AD159</f>
        <v>0</v>
      </c>
      <c r="AE160" s="118" t="n">
        <f aca="false">AE142+AE154-AE159</f>
        <v>0</v>
      </c>
      <c r="AF160" s="118" t="n">
        <f aca="false">AF142+AF154-AF159</f>
        <v>0</v>
      </c>
      <c r="AG160" s="118" t="n">
        <f aca="false">AG142+AG154-AG159</f>
        <v>0</v>
      </c>
      <c r="AH160" s="118" t="n">
        <f aca="false">AH142+AH154-AH159</f>
        <v>0</v>
      </c>
      <c r="AI160" s="118" t="n">
        <f aca="false">AI142+AI154-AI159</f>
        <v>0</v>
      </c>
      <c r="AJ160" s="118" t="n">
        <f aca="false">AJ142+AJ154-AJ159</f>
        <v>0</v>
      </c>
      <c r="AK160" s="118" t="n">
        <f aca="false">AK142+AK154-AK159</f>
        <v>0</v>
      </c>
      <c r="AL160" s="118" t="n">
        <f aca="false">AL142+AL154-AL159</f>
        <v>0</v>
      </c>
    </row>
    <row r="162" customFormat="false" ht="15.75" hidden="false" customHeight="true" outlineLevel="0" collapsed="false">
      <c r="A162" s="7" t="s">
        <v>44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customFormat="false" ht="15" hidden="false" customHeight="false" outlineLevel="0" collapsed="false">
      <c r="A163" s="6" t="s">
        <v>409</v>
      </c>
      <c r="C163" s="122" t="n">
        <f aca="false">Inputs!$C$28*(1+Inputs!$C$31)^(C$136-1)</f>
        <v>13</v>
      </c>
      <c r="D163" s="122" t="n">
        <f aca="false">Inputs!$C$28*(1+Inputs!$C$31)^(D$136-1)</f>
        <v>13</v>
      </c>
      <c r="E163" s="122" t="n">
        <f aca="false">Inputs!$C$28*(1+Inputs!$C$31)^(E$136-1)</f>
        <v>13</v>
      </c>
      <c r="F163" s="122" t="n">
        <f aca="false">Inputs!$C$28*(1+Inputs!$C$31)^(F$136-1)</f>
        <v>13</v>
      </c>
      <c r="G163" s="122" t="n">
        <f aca="false">Inputs!$C$28*(1+Inputs!$C$31)^(G$136-1)</f>
        <v>13</v>
      </c>
      <c r="H163" s="122" t="n">
        <f aca="false">Inputs!$C$28*(1+Inputs!$C$31)^(H$136-1)</f>
        <v>13</v>
      </c>
      <c r="I163" s="122" t="n">
        <f aca="false">Inputs!$C$28*(1+Inputs!$C$31)^(I$136-1)</f>
        <v>13</v>
      </c>
      <c r="J163" s="122" t="n">
        <f aca="false">Inputs!$C$28*(1+Inputs!$C$31)^(J$136-1)</f>
        <v>13</v>
      </c>
      <c r="K163" s="122" t="n">
        <f aca="false">Inputs!$C$28*(1+Inputs!$C$31)^(K$136-1)</f>
        <v>13</v>
      </c>
      <c r="L163" s="122" t="n">
        <f aca="false">Inputs!$C$28*(1+Inputs!$C$31)^(L$136-1)</f>
        <v>13</v>
      </c>
      <c r="M163" s="122" t="n">
        <f aca="false">Inputs!$C$28*(1+Inputs!$C$31)^(M$136-1)</f>
        <v>13</v>
      </c>
      <c r="N163" s="122" t="n">
        <f aca="false">Inputs!$C$28*(1+Inputs!$C$31)^(N$136-1)</f>
        <v>13</v>
      </c>
      <c r="O163" s="122" t="n">
        <f aca="false">Inputs!$C$28*(1+Inputs!$C$31)^(O$136-1)</f>
        <v>13.26</v>
      </c>
      <c r="P163" s="122" t="n">
        <f aca="false">Inputs!$C$28*(1+Inputs!$C$31)^(P$136-1)</f>
        <v>13.26</v>
      </c>
      <c r="Q163" s="122" t="n">
        <f aca="false">Inputs!$C$28*(1+Inputs!$C$31)^(Q$136-1)</f>
        <v>13.26</v>
      </c>
      <c r="R163" s="122" t="n">
        <f aca="false">Inputs!$C$28*(1+Inputs!$C$31)^(R$136-1)</f>
        <v>13.26</v>
      </c>
      <c r="S163" s="122" t="n">
        <f aca="false">Inputs!$C$28*(1+Inputs!$C$31)^(S$136-1)</f>
        <v>13.26</v>
      </c>
      <c r="T163" s="122" t="n">
        <f aca="false">Inputs!$C$28*(1+Inputs!$C$31)^(T$136-1)</f>
        <v>13.26</v>
      </c>
      <c r="U163" s="122" t="n">
        <f aca="false">Inputs!$C$28*(1+Inputs!$C$31)^(U$136-1)</f>
        <v>13.26</v>
      </c>
      <c r="V163" s="122" t="n">
        <f aca="false">Inputs!$C$28*(1+Inputs!$C$31)^(V$136-1)</f>
        <v>13.26</v>
      </c>
      <c r="W163" s="122" t="n">
        <f aca="false">Inputs!$C$28*(1+Inputs!$C$31)^(W$136-1)</f>
        <v>13.26</v>
      </c>
      <c r="X163" s="122" t="n">
        <f aca="false">Inputs!$C$28*(1+Inputs!$C$31)^(X$136-1)</f>
        <v>13.26</v>
      </c>
      <c r="Y163" s="122" t="n">
        <f aca="false">Inputs!$C$28*(1+Inputs!$C$31)^(Y$136-1)</f>
        <v>13.26</v>
      </c>
      <c r="Z163" s="122" t="n">
        <f aca="false">Inputs!$C$28*(1+Inputs!$C$31)^(Z$136-1)</f>
        <v>13.26</v>
      </c>
      <c r="AA163" s="122" t="n">
        <f aca="false">Inputs!$C$28*(1+Inputs!$C$31)^(AA$136-1)</f>
        <v>13.5252</v>
      </c>
      <c r="AB163" s="122" t="n">
        <f aca="false">Inputs!$C$28*(1+Inputs!$C$31)^(AB$136-1)</f>
        <v>13.5252</v>
      </c>
      <c r="AC163" s="122" t="n">
        <f aca="false">Inputs!$C$28*(1+Inputs!$C$31)^(AC$136-1)</f>
        <v>13.5252</v>
      </c>
      <c r="AD163" s="122" t="n">
        <f aca="false">Inputs!$C$28*(1+Inputs!$C$31)^(AD$136-1)</f>
        <v>13.5252</v>
      </c>
      <c r="AE163" s="122" t="n">
        <f aca="false">Inputs!$C$28*(1+Inputs!$C$31)^(AE$136-1)</f>
        <v>13.5252</v>
      </c>
      <c r="AF163" s="122" t="n">
        <f aca="false">Inputs!$C$28*(1+Inputs!$C$31)^(AF$136-1)</f>
        <v>13.5252</v>
      </c>
      <c r="AG163" s="122" t="n">
        <f aca="false">Inputs!$C$28*(1+Inputs!$C$31)^(AG$136-1)</f>
        <v>13.5252</v>
      </c>
      <c r="AH163" s="122" t="n">
        <f aca="false">Inputs!$C$28*(1+Inputs!$C$31)^(AH$136-1)</f>
        <v>13.5252</v>
      </c>
      <c r="AI163" s="122" t="n">
        <f aca="false">Inputs!$C$28*(1+Inputs!$C$31)^(AI$136-1)</f>
        <v>13.5252</v>
      </c>
      <c r="AJ163" s="122" t="n">
        <f aca="false">Inputs!$C$28*(1+Inputs!$C$31)^(AJ$136-1)</f>
        <v>13.5252</v>
      </c>
      <c r="AK163" s="122" t="n">
        <f aca="false">Inputs!$C$28*(1+Inputs!$C$31)^(AK$136-1)</f>
        <v>13.5252</v>
      </c>
      <c r="AL163" s="122" t="n">
        <f aca="false">Inputs!$C$28*(1+Inputs!$C$31)^(AL$136-1)</f>
        <v>13.5252</v>
      </c>
    </row>
    <row r="164" customFormat="false" ht="15" hidden="false" customHeight="false" outlineLevel="0" collapsed="false">
      <c r="A164" s="6" t="s">
        <v>410</v>
      </c>
      <c r="C164" s="122" t="n">
        <f aca="false">Inputs!$C$30*(1+Inputs!$C$31)^(C$136-1)</f>
        <v>35</v>
      </c>
      <c r="D164" s="122" t="n">
        <f aca="false">Inputs!$C$30*(1+Inputs!$C$31)^(D$136-1)</f>
        <v>35</v>
      </c>
      <c r="E164" s="122" t="n">
        <f aca="false">Inputs!$C$30*(1+Inputs!$C$31)^(E$136-1)</f>
        <v>35</v>
      </c>
      <c r="F164" s="122" t="n">
        <f aca="false">Inputs!$C$30*(1+Inputs!$C$31)^(F$136-1)</f>
        <v>35</v>
      </c>
      <c r="G164" s="122" t="n">
        <f aca="false">Inputs!$C$30*(1+Inputs!$C$31)^(G$136-1)</f>
        <v>35</v>
      </c>
      <c r="H164" s="122" t="n">
        <f aca="false">Inputs!$C$30*(1+Inputs!$C$31)^(H$136-1)</f>
        <v>35</v>
      </c>
      <c r="I164" s="122" t="n">
        <f aca="false">Inputs!$C$30*(1+Inputs!$C$31)^(I$136-1)</f>
        <v>35</v>
      </c>
      <c r="J164" s="122" t="n">
        <f aca="false">Inputs!$C$30*(1+Inputs!$C$31)^(J$136-1)</f>
        <v>35</v>
      </c>
      <c r="K164" s="122" t="n">
        <f aca="false">Inputs!$C$30*(1+Inputs!$C$31)^(K$136-1)</f>
        <v>35</v>
      </c>
      <c r="L164" s="122" t="n">
        <f aca="false">Inputs!$C$30*(1+Inputs!$C$31)^(L$136-1)</f>
        <v>35</v>
      </c>
      <c r="M164" s="122" t="n">
        <f aca="false">Inputs!$C$30*(1+Inputs!$C$31)^(M$136-1)</f>
        <v>35</v>
      </c>
      <c r="N164" s="122" t="n">
        <f aca="false">Inputs!$C$30*(1+Inputs!$C$31)^(N$136-1)</f>
        <v>35</v>
      </c>
      <c r="O164" s="122" t="n">
        <f aca="false">Inputs!$C$30*(1+Inputs!$C$31)^(O$136-1)</f>
        <v>35.7</v>
      </c>
      <c r="P164" s="122" t="n">
        <f aca="false">Inputs!$C$30*(1+Inputs!$C$31)^(P$136-1)</f>
        <v>35.7</v>
      </c>
      <c r="Q164" s="122" t="n">
        <f aca="false">Inputs!$C$30*(1+Inputs!$C$31)^(Q$136-1)</f>
        <v>35.7</v>
      </c>
      <c r="R164" s="122" t="n">
        <f aca="false">Inputs!$C$30*(1+Inputs!$C$31)^(R$136-1)</f>
        <v>35.7</v>
      </c>
      <c r="S164" s="122" t="n">
        <f aca="false">Inputs!$C$30*(1+Inputs!$C$31)^(S$136-1)</f>
        <v>35.7</v>
      </c>
      <c r="T164" s="122" t="n">
        <f aca="false">Inputs!$C$30*(1+Inputs!$C$31)^(T$136-1)</f>
        <v>35.7</v>
      </c>
      <c r="U164" s="122" t="n">
        <f aca="false">Inputs!$C$30*(1+Inputs!$C$31)^(U$136-1)</f>
        <v>35.7</v>
      </c>
      <c r="V164" s="122" t="n">
        <f aca="false">Inputs!$C$30*(1+Inputs!$C$31)^(V$136-1)</f>
        <v>35.7</v>
      </c>
      <c r="W164" s="122" t="n">
        <f aca="false">Inputs!$C$30*(1+Inputs!$C$31)^(W$136-1)</f>
        <v>35.7</v>
      </c>
      <c r="X164" s="122" t="n">
        <f aca="false">Inputs!$C$30*(1+Inputs!$C$31)^(X$136-1)</f>
        <v>35.7</v>
      </c>
      <c r="Y164" s="122" t="n">
        <f aca="false">Inputs!$C$30*(1+Inputs!$C$31)^(Y$136-1)</f>
        <v>35.7</v>
      </c>
      <c r="Z164" s="122" t="n">
        <f aca="false">Inputs!$C$30*(1+Inputs!$C$31)^(Z$136-1)</f>
        <v>35.7</v>
      </c>
      <c r="AA164" s="122" t="n">
        <f aca="false">Inputs!$C$30*(1+Inputs!$C$31)^(AA$136-1)</f>
        <v>36.414</v>
      </c>
      <c r="AB164" s="122" t="n">
        <f aca="false">Inputs!$C$30*(1+Inputs!$C$31)^(AB$136-1)</f>
        <v>36.414</v>
      </c>
      <c r="AC164" s="122" t="n">
        <f aca="false">Inputs!$C$30*(1+Inputs!$C$31)^(AC$136-1)</f>
        <v>36.414</v>
      </c>
      <c r="AD164" s="122" t="n">
        <f aca="false">Inputs!$C$30*(1+Inputs!$C$31)^(AD$136-1)</f>
        <v>36.414</v>
      </c>
      <c r="AE164" s="122" t="n">
        <f aca="false">Inputs!$C$30*(1+Inputs!$C$31)^(AE$136-1)</f>
        <v>36.414</v>
      </c>
      <c r="AF164" s="122" t="n">
        <f aca="false">Inputs!$C$30*(1+Inputs!$C$31)^(AF$136-1)</f>
        <v>36.414</v>
      </c>
      <c r="AG164" s="122" t="n">
        <f aca="false">Inputs!$C$30*(1+Inputs!$C$31)^(AG$136-1)</f>
        <v>36.414</v>
      </c>
      <c r="AH164" s="122" t="n">
        <f aca="false">Inputs!$C$30*(1+Inputs!$C$31)^(AH$136-1)</f>
        <v>36.414</v>
      </c>
      <c r="AI164" s="122" t="n">
        <f aca="false">Inputs!$C$30*(1+Inputs!$C$31)^(AI$136-1)</f>
        <v>36.414</v>
      </c>
      <c r="AJ164" s="122" t="n">
        <f aca="false">Inputs!$C$30*(1+Inputs!$C$31)^(AJ$136-1)</f>
        <v>36.414</v>
      </c>
      <c r="AK164" s="122" t="n">
        <f aca="false">Inputs!$C$30*(1+Inputs!$C$31)^(AK$136-1)</f>
        <v>36.414</v>
      </c>
      <c r="AL164" s="122" t="n">
        <f aca="false">Inputs!$C$30*(1+Inputs!$C$31)^(AL$136-1)</f>
        <v>36.414</v>
      </c>
    </row>
    <row r="165" customFormat="false" ht="15" hidden="false" customHeight="false" outlineLevel="0" collapsed="false">
      <c r="A165" s="6" t="s">
        <v>411</v>
      </c>
      <c r="C165" s="69" t="n">
        <f aca="false">C157*C163</f>
        <v>34608.6</v>
      </c>
      <c r="D165" s="69" t="n">
        <f aca="false">D157*D163</f>
        <v>39308.5333333333</v>
      </c>
      <c r="E165" s="69" t="n">
        <f aca="false">E157*E163</f>
        <v>54363.4</v>
      </c>
      <c r="F165" s="69" t="n">
        <f aca="false">F157*F163</f>
        <v>60169.2</v>
      </c>
      <c r="G165" s="69" t="n">
        <f aca="false">G157*G163</f>
        <v>65975</v>
      </c>
      <c r="H165" s="69" t="n">
        <f aca="false">H157*H163</f>
        <v>71780.8</v>
      </c>
      <c r="I165" s="69" t="n">
        <f aca="false">I157*I163</f>
        <v>77586.6</v>
      </c>
      <c r="J165" s="69" t="n">
        <f aca="false">J157*J163</f>
        <v>83392.4</v>
      </c>
      <c r="K165" s="69" t="n">
        <f aca="false">K157*K163</f>
        <v>89198.2</v>
      </c>
      <c r="L165" s="69" t="n">
        <f aca="false">L157*L163</f>
        <v>95004</v>
      </c>
      <c r="M165" s="69" t="n">
        <f aca="false">M157*M163</f>
        <v>95004</v>
      </c>
      <c r="N165" s="69" t="n">
        <f aca="false">N157*N163</f>
        <v>76908</v>
      </c>
      <c r="O165" s="69" t="n">
        <f aca="false">O157*O163</f>
        <v>80799.5448</v>
      </c>
      <c r="P165" s="69" t="n">
        <f aca="false">P157*P163</f>
        <v>80799.5448</v>
      </c>
      <c r="Q165" s="69" t="n">
        <f aca="false">Q157*Q163</f>
        <v>99811.2024</v>
      </c>
      <c r="R165" s="69" t="n">
        <f aca="false">R157*R163</f>
        <v>99811.2024</v>
      </c>
      <c r="S165" s="69" t="n">
        <f aca="false">S157*S163</f>
        <v>99811.2024</v>
      </c>
      <c r="T165" s="69" t="n">
        <f aca="false">T157*T163</f>
        <v>99811.2024</v>
      </c>
      <c r="U165" s="69" t="n">
        <f aca="false">U157*U163</f>
        <v>99811.2024</v>
      </c>
      <c r="V165" s="69" t="n">
        <f aca="false">V157*V163</f>
        <v>99811.2024</v>
      </c>
      <c r="W165" s="69" t="n">
        <f aca="false">W157*W163</f>
        <v>99811.2024</v>
      </c>
      <c r="X165" s="69" t="n">
        <f aca="false">X157*X163</f>
        <v>99811.2024</v>
      </c>
      <c r="Y165" s="69" t="n">
        <f aca="false">Y157*Y163</f>
        <v>99811.2024</v>
      </c>
      <c r="Z165" s="69" t="n">
        <f aca="false">Z157*Z163</f>
        <v>80799.5448</v>
      </c>
      <c r="AA165" s="69" t="n">
        <f aca="false">AA157*AA163</f>
        <v>84888.00176688</v>
      </c>
      <c r="AB165" s="69" t="n">
        <f aca="false">AB157*AB163</f>
        <v>84888.00176688</v>
      </c>
      <c r="AC165" s="69" t="n">
        <f aca="false">AC157*AC163</f>
        <v>104861.64924144</v>
      </c>
      <c r="AD165" s="69" t="n">
        <f aca="false">AD157*AD163</f>
        <v>104861.64924144</v>
      </c>
      <c r="AE165" s="69" t="n">
        <f aca="false">AE157*AE163</f>
        <v>104861.64924144</v>
      </c>
      <c r="AF165" s="69" t="n">
        <f aca="false">AF157*AF163</f>
        <v>104861.64924144</v>
      </c>
      <c r="AG165" s="69" t="n">
        <f aca="false">AG157*AG163</f>
        <v>104861.64924144</v>
      </c>
      <c r="AH165" s="69" t="n">
        <f aca="false">AH157*AH163</f>
        <v>104861.64924144</v>
      </c>
      <c r="AI165" s="69" t="n">
        <f aca="false">AI157*AI163</f>
        <v>104861.64924144</v>
      </c>
      <c r="AJ165" s="69" t="n">
        <f aca="false">AJ157*AJ163</f>
        <v>104861.64924144</v>
      </c>
      <c r="AK165" s="69" t="n">
        <f aca="false">AK157*AK163</f>
        <v>104861.64924144</v>
      </c>
      <c r="AL165" s="69" t="n">
        <f aca="false">AL157*AL163</f>
        <v>84888.00176688</v>
      </c>
    </row>
    <row r="166" customFormat="false" ht="15" hidden="false" customHeight="false" outlineLevel="0" collapsed="false">
      <c r="A166" s="6" t="s">
        <v>412</v>
      </c>
      <c r="C166" s="69" t="n">
        <f aca="false">C157*Inputs!$C$29*(1+Inputs!$C$31)^(C$136-1)</f>
        <v>3993.3</v>
      </c>
      <c r="D166" s="69" t="n">
        <f aca="false">D157*Inputs!$C$29*(1+Inputs!$C$31)^(D$136-1)</f>
        <v>4535.6</v>
      </c>
      <c r="E166" s="69" t="n">
        <f aca="false">E157*Inputs!$C$29*(1+Inputs!$C$31)^(E$136-1)</f>
        <v>6272.7</v>
      </c>
      <c r="F166" s="69" t="n">
        <f aca="false">F157*Inputs!$C$29*(1+Inputs!$C$31)^(F$136-1)</f>
        <v>6942.6</v>
      </c>
      <c r="G166" s="69" t="n">
        <f aca="false">G157*Inputs!$C$29*(1+Inputs!$C$31)^(G$136-1)</f>
        <v>7612.5</v>
      </c>
      <c r="H166" s="69" t="n">
        <f aca="false">H157*Inputs!$C$29*(1+Inputs!$C$31)^(H$136-1)</f>
        <v>8282.4</v>
      </c>
      <c r="I166" s="69" t="n">
        <f aca="false">I157*Inputs!$C$29*(1+Inputs!$C$31)^(I$136-1)</f>
        <v>8952.3</v>
      </c>
      <c r="J166" s="69" t="n">
        <f aca="false">J157*Inputs!$C$29*(1+Inputs!$C$31)^(J$136-1)</f>
        <v>9622.2</v>
      </c>
      <c r="K166" s="69" t="n">
        <f aca="false">K157*Inputs!$C$29*(1+Inputs!$C$31)^(K$136-1)</f>
        <v>10292.1</v>
      </c>
      <c r="L166" s="69" t="n">
        <f aca="false">L157*Inputs!$C$29*(1+Inputs!$C$31)^(L$136-1)</f>
        <v>10962</v>
      </c>
      <c r="M166" s="69" t="n">
        <f aca="false">M157*Inputs!$C$29*(1+Inputs!$C$31)^(M$136-1)</f>
        <v>10962</v>
      </c>
      <c r="N166" s="69" t="n">
        <f aca="false">N157*Inputs!$C$29*(1+Inputs!$C$31)^(N$136-1)</f>
        <v>8874</v>
      </c>
      <c r="O166" s="69" t="n">
        <f aca="false">O157*Inputs!$C$29*(1+Inputs!$C$31)^(O$136-1)</f>
        <v>9323.0244</v>
      </c>
      <c r="P166" s="69" t="n">
        <f aca="false">P157*Inputs!$C$29*(1+Inputs!$C$31)^(P$136-1)</f>
        <v>9323.0244</v>
      </c>
      <c r="Q166" s="69" t="n">
        <f aca="false">Q157*Inputs!$C$29*(1+Inputs!$C$31)^(Q$136-1)</f>
        <v>11516.6772</v>
      </c>
      <c r="R166" s="69" t="n">
        <f aca="false">R157*Inputs!$C$29*(1+Inputs!$C$31)^(R$136-1)</f>
        <v>11516.6772</v>
      </c>
      <c r="S166" s="69" t="n">
        <f aca="false">S157*Inputs!$C$29*(1+Inputs!$C$31)^(S$136-1)</f>
        <v>11516.6772</v>
      </c>
      <c r="T166" s="69" t="n">
        <f aca="false">T157*Inputs!$C$29*(1+Inputs!$C$31)^(T$136-1)</f>
        <v>11516.6772</v>
      </c>
      <c r="U166" s="69" t="n">
        <f aca="false">U157*Inputs!$C$29*(1+Inputs!$C$31)^(U$136-1)</f>
        <v>11516.6772</v>
      </c>
      <c r="V166" s="69" t="n">
        <f aca="false">V157*Inputs!$C$29*(1+Inputs!$C$31)^(V$136-1)</f>
        <v>11516.6772</v>
      </c>
      <c r="W166" s="69" t="n">
        <f aca="false">W157*Inputs!$C$29*(1+Inputs!$C$31)^(W$136-1)</f>
        <v>11516.6772</v>
      </c>
      <c r="X166" s="69" t="n">
        <f aca="false">X157*Inputs!$C$29*(1+Inputs!$C$31)^(X$136-1)</f>
        <v>11516.6772</v>
      </c>
      <c r="Y166" s="69" t="n">
        <f aca="false">Y157*Inputs!$C$29*(1+Inputs!$C$31)^(Y$136-1)</f>
        <v>11516.6772</v>
      </c>
      <c r="Z166" s="69" t="n">
        <f aca="false">Z157*Inputs!$C$29*(1+Inputs!$C$31)^(Z$136-1)</f>
        <v>9323.0244</v>
      </c>
      <c r="AA166" s="69" t="n">
        <f aca="false">AA157*Inputs!$C$29*(1+Inputs!$C$31)^(AA$136-1)</f>
        <v>9794.76943464</v>
      </c>
      <c r="AB166" s="69" t="n">
        <f aca="false">AB157*Inputs!$C$29*(1+Inputs!$C$31)^(AB$136-1)</f>
        <v>9794.76943464</v>
      </c>
      <c r="AC166" s="69" t="n">
        <f aca="false">AC157*Inputs!$C$29*(1+Inputs!$C$31)^(AC$136-1)</f>
        <v>12099.42106632</v>
      </c>
      <c r="AD166" s="69" t="n">
        <f aca="false">AD157*Inputs!$C$29*(1+Inputs!$C$31)^(AD$136-1)</f>
        <v>12099.42106632</v>
      </c>
      <c r="AE166" s="69" t="n">
        <f aca="false">AE157*Inputs!$C$29*(1+Inputs!$C$31)^(AE$136-1)</f>
        <v>12099.42106632</v>
      </c>
      <c r="AF166" s="69" t="n">
        <f aca="false">AF157*Inputs!$C$29*(1+Inputs!$C$31)^(AF$136-1)</f>
        <v>12099.42106632</v>
      </c>
      <c r="AG166" s="69" t="n">
        <f aca="false">AG157*Inputs!$C$29*(1+Inputs!$C$31)^(AG$136-1)</f>
        <v>12099.42106632</v>
      </c>
      <c r="AH166" s="69" t="n">
        <f aca="false">AH157*Inputs!$C$29*(1+Inputs!$C$31)^(AH$136-1)</f>
        <v>12099.42106632</v>
      </c>
      <c r="AI166" s="69" t="n">
        <f aca="false">AI157*Inputs!$C$29*(1+Inputs!$C$31)^(AI$136-1)</f>
        <v>12099.42106632</v>
      </c>
      <c r="AJ166" s="69" t="n">
        <f aca="false">AJ157*Inputs!$C$29*(1+Inputs!$C$31)^(AJ$136-1)</f>
        <v>12099.42106632</v>
      </c>
      <c r="AK166" s="69" t="n">
        <f aca="false">AK157*Inputs!$C$29*(1+Inputs!$C$31)^(AK$136-1)</f>
        <v>12099.42106632</v>
      </c>
      <c r="AL166" s="69" t="n">
        <f aca="false">AL157*Inputs!$C$29*(1+Inputs!$C$31)^(AL$136-1)</f>
        <v>9794.76943464</v>
      </c>
    </row>
    <row r="167" customFormat="false" ht="15" hidden="false" customHeight="false" outlineLevel="0" collapsed="false">
      <c r="A167" s="6" t="s">
        <v>241</v>
      </c>
      <c r="C167" s="69" t="n">
        <f aca="false">C151*C164*1</f>
        <v>9341.458</v>
      </c>
      <c r="D167" s="69" t="n">
        <f aca="false">D151*D164*1</f>
        <v>10604.8025688889</v>
      </c>
      <c r="E167" s="69" t="n">
        <f aca="false">E151*E164*1</f>
        <v>12137.3017994667</v>
      </c>
      <c r="F167" s="69" t="n">
        <f aca="false">F151*F164*1</f>
        <v>13940.0988385991</v>
      </c>
      <c r="G167" s="69" t="n">
        <f aca="false">G151*G164*1</f>
        <v>15902.7764406107</v>
      </c>
      <c r="H167" s="69" t="n">
        <f aca="false">H151*H164*1</f>
        <v>18018.9393829863</v>
      </c>
      <c r="I167" s="69" t="n">
        <f aca="false">I151*I164*1</f>
        <v>20282.4482521113</v>
      </c>
      <c r="J167" s="69" t="n">
        <f aca="false">J151*J164*1</f>
        <v>22687.4092109157</v>
      </c>
      <c r="K167" s="69" t="n">
        <f aca="false">K151*K164*1</f>
        <v>25228.1641758124</v>
      </c>
      <c r="L167" s="69" t="n">
        <f aca="false">L151*L164*1</f>
        <v>27899.2813865577</v>
      </c>
      <c r="M167" s="69" t="n">
        <f aca="false">M151*M164*1</f>
        <v>30579.5501310954</v>
      </c>
      <c r="N167" s="69" t="n">
        <f aca="false">N151*N164*1</f>
        <v>32957.7281258516</v>
      </c>
      <c r="O167" s="69" t="n">
        <f aca="false">O151*O164*1</f>
        <v>35816.7861248339</v>
      </c>
      <c r="P167" s="69" t="n">
        <f aca="false">P151*P164*1</f>
        <v>37998.6625678405</v>
      </c>
      <c r="Q167" s="69" t="n">
        <f aca="false">Q151*Q164*1</f>
        <v>40298.0048811269</v>
      </c>
      <c r="R167" s="69" t="n">
        <f aca="false">R151*R164*1</f>
        <v>42710.1144298818</v>
      </c>
      <c r="S167" s="69" t="n">
        <f aca="false">S151*S164*1</f>
        <v>45025.7395966865</v>
      </c>
      <c r="T167" s="69" t="n">
        <f aca="false">T151*T164*1</f>
        <v>47248.7397568191</v>
      </c>
      <c r="U167" s="69" t="n">
        <f aca="false">U151*U164*1</f>
        <v>49382.8199105463</v>
      </c>
      <c r="V167" s="69" t="n">
        <f aca="false">V151*V164*1</f>
        <v>51431.5368581245</v>
      </c>
      <c r="W167" s="69" t="n">
        <f aca="false">W151*W164*1</f>
        <v>53398.3051277995</v>
      </c>
      <c r="X167" s="69" t="n">
        <f aca="false">X151*X164*1</f>
        <v>55286.4026666875</v>
      </c>
      <c r="Y167" s="69" t="n">
        <f aca="false">Y151*Y164*1</f>
        <v>57098.97630402</v>
      </c>
      <c r="Z167" s="69" t="n">
        <f aca="false">Z151*Z164*1</f>
        <v>58634.3060678592</v>
      </c>
      <c r="AA167" s="69" t="n">
        <f aca="false">AA151*AA164*1</f>
        <v>61175.9712800941</v>
      </c>
      <c r="AB167" s="69" t="n">
        <f aca="false">AB151*AB164*1</f>
        <v>62564.6111400232</v>
      </c>
      <c r="AC167" s="69" t="n">
        <f aca="false">AC151*AC164*1</f>
        <v>64112.8062245118</v>
      </c>
      <c r="AD167" s="69" t="n">
        <f aca="false">AD151*AD164*1</f>
        <v>65814.1743245778</v>
      </c>
      <c r="AE167" s="69" t="n">
        <f aca="false">AE151*AE164*1</f>
        <v>67447.487700641</v>
      </c>
      <c r="AF167" s="69" t="n">
        <f aca="false">AF151*AF164*1</f>
        <v>69015.4685416618</v>
      </c>
      <c r="AG167" s="69" t="n">
        <f aca="false">AG151*AG164*1</f>
        <v>70520.7301490417</v>
      </c>
      <c r="AH167" s="69" t="n">
        <f aca="false">AH151*AH164*1</f>
        <v>71965.7812921265</v>
      </c>
      <c r="AI167" s="69" t="n">
        <f aca="false">AI151*AI164*1</f>
        <v>73353.0303894878</v>
      </c>
      <c r="AJ167" s="69" t="n">
        <f aca="false">AJ151*AJ164*1</f>
        <v>74684.7895229547</v>
      </c>
      <c r="AK167" s="69" t="n">
        <f aca="false">AK151*AK164*1</f>
        <v>75963.2782910829</v>
      </c>
      <c r="AL167" s="69" t="n">
        <f aca="false">AL151*AL164*1</f>
        <v>76975.5266895292</v>
      </c>
    </row>
    <row r="168" customFormat="false" ht="15" hidden="false" customHeight="false" outlineLevel="0" collapsed="false">
      <c r="A168" s="113" t="s">
        <v>44</v>
      </c>
      <c r="C168" s="70" t="n">
        <f aca="false">C165+C166+C167</f>
        <v>47943.358</v>
      </c>
      <c r="D168" s="70" t="n">
        <f aca="false">D165+D166+D167</f>
        <v>54448.9359022222</v>
      </c>
      <c r="E168" s="70" t="n">
        <f aca="false">E165+E166+E167</f>
        <v>72773.4017994667</v>
      </c>
      <c r="F168" s="70" t="n">
        <f aca="false">F165+F166+F167</f>
        <v>81051.8988385991</v>
      </c>
      <c r="G168" s="70" t="n">
        <f aca="false">G165+G166+G167</f>
        <v>89490.2764406107</v>
      </c>
      <c r="H168" s="70" t="n">
        <f aca="false">H165+H166+H167</f>
        <v>98082.1393829863</v>
      </c>
      <c r="I168" s="70" t="n">
        <f aca="false">I165+I166+I167</f>
        <v>106821.348252111</v>
      </c>
      <c r="J168" s="70" t="n">
        <f aca="false">J165+J166+J167</f>
        <v>115702.009210916</v>
      </c>
      <c r="K168" s="70" t="n">
        <f aca="false">K165+K166+K167</f>
        <v>124718.464175812</v>
      </c>
      <c r="L168" s="70" t="n">
        <f aca="false">L165+L166+L167</f>
        <v>133865.281386558</v>
      </c>
      <c r="M168" s="70" t="n">
        <f aca="false">M165+M166+M167</f>
        <v>136545.550131095</v>
      </c>
      <c r="N168" s="70" t="n">
        <f aca="false">N165+N166+N167</f>
        <v>118739.728125852</v>
      </c>
      <c r="O168" s="70" t="n">
        <f aca="false">O165+O166+O167</f>
        <v>125939.355324834</v>
      </c>
      <c r="P168" s="70" t="n">
        <f aca="false">P165+P166+P167</f>
        <v>128121.23176784</v>
      </c>
      <c r="Q168" s="70" t="n">
        <f aca="false">Q165+Q166+Q167</f>
        <v>151625.884481127</v>
      </c>
      <c r="R168" s="70" t="n">
        <f aca="false">R165+R166+R167</f>
        <v>154037.994029882</v>
      </c>
      <c r="S168" s="70" t="n">
        <f aca="false">S165+S166+S167</f>
        <v>156353.619196687</v>
      </c>
      <c r="T168" s="70" t="n">
        <f aca="false">T165+T166+T167</f>
        <v>158576.619356819</v>
      </c>
      <c r="U168" s="70" t="n">
        <f aca="false">U165+U166+U167</f>
        <v>160710.699510546</v>
      </c>
      <c r="V168" s="70" t="n">
        <f aca="false">V165+V166+V167</f>
        <v>162759.416458124</v>
      </c>
      <c r="W168" s="70" t="n">
        <f aca="false">W165+W166+W167</f>
        <v>164726.1847278</v>
      </c>
      <c r="X168" s="70" t="n">
        <f aca="false">X165+X166+X167</f>
        <v>166614.282266688</v>
      </c>
      <c r="Y168" s="70" t="n">
        <f aca="false">Y165+Y166+Y167</f>
        <v>168426.85590402</v>
      </c>
      <c r="Z168" s="70" t="n">
        <f aca="false">Z165+Z166+Z167</f>
        <v>148756.875267859</v>
      </c>
      <c r="AA168" s="70" t="n">
        <f aca="false">AA165+AA166+AA167</f>
        <v>155858.742481614</v>
      </c>
      <c r="AB168" s="70" t="n">
        <f aca="false">AB165+AB166+AB167</f>
        <v>157247.382341543</v>
      </c>
      <c r="AC168" s="70" t="n">
        <f aca="false">AC165+AC166+AC167</f>
        <v>181073.876532272</v>
      </c>
      <c r="AD168" s="70" t="n">
        <f aca="false">AD165+AD166+AD167</f>
        <v>182775.244632338</v>
      </c>
      <c r="AE168" s="70" t="n">
        <f aca="false">AE165+AE166+AE167</f>
        <v>184408.558008401</v>
      </c>
      <c r="AF168" s="70" t="n">
        <f aca="false">AF165+AF166+AF167</f>
        <v>185976.538849422</v>
      </c>
      <c r="AG168" s="70" t="n">
        <f aca="false">AG165+AG166+AG167</f>
        <v>187481.800456802</v>
      </c>
      <c r="AH168" s="70" t="n">
        <f aca="false">AH165+AH166+AH167</f>
        <v>188926.851599886</v>
      </c>
      <c r="AI168" s="70" t="n">
        <f aca="false">AI165+AI166+AI167</f>
        <v>190314.100697248</v>
      </c>
      <c r="AJ168" s="70" t="n">
        <f aca="false">AJ165+AJ166+AJ167</f>
        <v>191645.859830715</v>
      </c>
      <c r="AK168" s="70" t="n">
        <f aca="false">AK165+AK166+AK167</f>
        <v>192924.348598843</v>
      </c>
      <c r="AL168" s="70" t="n">
        <f aca="false">AL165+AL166+AL167</f>
        <v>171658.297891049</v>
      </c>
    </row>
    <row r="170" customFormat="false" ht="15.75" hidden="false" customHeight="true" outlineLevel="0" collapsed="false">
      <c r="A170" s="7" t="s">
        <v>76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413</v>
      </c>
      <c r="C171" s="69" t="n">
        <f aca="false">-C159*Inputs!$C$34*(1+Inputs!$C$39)^(C$136-1)</f>
        <v>-2937.7903405</v>
      </c>
      <c r="D171" s="69" t="n">
        <f aca="false">-D159*Inputs!$C$34*(1+Inputs!$C$39)^(D$136-1)</f>
        <v>-3336.37031893556</v>
      </c>
      <c r="E171" s="69" t="n">
        <f aca="false">-E159*Inputs!$C$34*(1+Inputs!$C$39)^(E$136-1)</f>
        <v>-4637.7841856024</v>
      </c>
      <c r="F171" s="69" t="n">
        <f aca="false">-F159*Inputs!$C$34*(1+Inputs!$C$39)^(F$136-1)</f>
        <v>-5178.29382134497</v>
      </c>
      <c r="G171" s="69" t="n">
        <f aca="false">-G159*Inputs!$C$34*(1+Inputs!$C$39)^(G$136-1)</f>
        <v>-5733.07279732451</v>
      </c>
      <c r="H171" s="69" t="n">
        <f aca="false">-H159*Inputs!$C$34*(1+Inputs!$C$39)^(H$136-1)</f>
        <v>-6301.55033993153</v>
      </c>
      <c r="I171" s="69" t="n">
        <f aca="false">-I159*Inputs!$C$34*(1+Inputs!$C$39)^(I$136-1)</f>
        <v>-6883.17850650093</v>
      </c>
      <c r="J171" s="69" t="n">
        <f aca="false">-J159*Inputs!$C$34*(1+Inputs!$C$39)^(J$136-1)</f>
        <v>-7477.43127207423</v>
      </c>
      <c r="K171" s="69" t="n">
        <f aca="false">-K159*Inputs!$C$34*(1+Inputs!$C$39)^(K$136-1)</f>
        <v>-8083.80365269126</v>
      </c>
      <c r="L171" s="69" t="n">
        <f aca="false">-L159*Inputs!$C$34*(1+Inputs!$C$39)^(L$136-1)</f>
        <v>-8701.81086375027</v>
      </c>
      <c r="M171" s="69" t="n">
        <f aca="false">-M159*Inputs!$C$34*(1+Inputs!$C$39)^(M$136-1)</f>
        <v>-8941.02484920026</v>
      </c>
      <c r="N171" s="69" t="n">
        <f aca="false">-N159*Inputs!$C$34*(1+Inputs!$C$39)^(N$136-1)</f>
        <v>-7409.79585709278</v>
      </c>
      <c r="O171" s="69" t="n">
        <f aca="false">-O159*Inputs!$C$34*(1+Inputs!$C$39)^(O$136-1)</f>
        <v>-7947.97476102434</v>
      </c>
      <c r="P171" s="69" t="n">
        <f aca="false">-P159*Inputs!$C$34*(1+Inputs!$C$39)^(P$136-1)</f>
        <v>-8107.16082984536</v>
      </c>
      <c r="Q171" s="69" t="n">
        <f aca="false">-Q159*Inputs!$C$34*(1+Inputs!$C$39)^(Q$136-1)</f>
        <v>-10221.9563099116</v>
      </c>
      <c r="R171" s="69" t="n">
        <f aca="false">-R159*Inputs!$C$34*(1+Inputs!$C$39)^(R$136-1)</f>
        <v>-10439.3476829931</v>
      </c>
      <c r="S171" s="69" t="n">
        <f aca="false">-S159*Inputs!$C$34*(1+Inputs!$C$39)^(S$136-1)</f>
        <v>-10648.0434011514</v>
      </c>
      <c r="T171" s="69" t="n">
        <f aca="false">-T159*Inputs!$C$34*(1+Inputs!$C$39)^(T$136-1)</f>
        <v>-10848.3912905833</v>
      </c>
      <c r="U171" s="69" t="n">
        <f aca="false">-U159*Inputs!$C$34*(1+Inputs!$C$39)^(U$136-1)</f>
        <v>-11040.725264438</v>
      </c>
      <c r="V171" s="69" t="n">
        <f aca="false">-V159*Inputs!$C$34*(1+Inputs!$C$39)^(V$136-1)</f>
        <v>-11225.3658793385</v>
      </c>
      <c r="W171" s="69" t="n">
        <f aca="false">-W159*Inputs!$C$34*(1+Inputs!$C$39)^(W$136-1)</f>
        <v>-11402.6208696429</v>
      </c>
      <c r="X171" s="69" t="n">
        <f aca="false">-X159*Inputs!$C$34*(1+Inputs!$C$39)^(X$136-1)</f>
        <v>-11572.7856603352</v>
      </c>
      <c r="Y171" s="69" t="n">
        <f aca="false">-Y159*Inputs!$C$34*(1+Inputs!$C$39)^(Y$136-1)</f>
        <v>-11736.1438593998</v>
      </c>
      <c r="Z171" s="69" t="n">
        <f aca="false">-Z159*Inputs!$C$34*(1+Inputs!$C$39)^(Z$136-1)</f>
        <v>-9612.70298686756</v>
      </c>
      <c r="AA171" s="69" t="n">
        <f aca="false">-AA159*Inputs!$C$34*(1+Inputs!$C$39)^(AA$136-1)</f>
        <v>-10166.7883194002</v>
      </c>
      <c r="AB171" s="69" t="n">
        <f aca="false">-AB159*Inputs!$C$34*(1+Inputs!$C$39)^(AB$136-1)</f>
        <v>-10269.094432414</v>
      </c>
      <c r="AC171" s="69" t="n">
        <f aca="false">-AC159*Inputs!$C$34*(1+Inputs!$C$39)^(AC$136-1)</f>
        <v>-12826.2509796969</v>
      </c>
      <c r="AD171" s="69" t="n">
        <f aca="false">-AD159*Inputs!$C$34*(1+Inputs!$C$39)^(AD$136-1)</f>
        <v>-12981.0900718724</v>
      </c>
      <c r="AE171" s="69" t="n">
        <f aca="false">-AE159*Inputs!$C$34*(1+Inputs!$C$39)^(AE$136-1)</f>
        <v>-13129.7356003608</v>
      </c>
      <c r="AF171" s="69" t="n">
        <f aca="false">-AF159*Inputs!$C$34*(1+Inputs!$C$39)^(AF$136-1)</f>
        <v>-13272.4353077098</v>
      </c>
      <c r="AG171" s="69" t="n">
        <f aca="false">-AG159*Inputs!$C$34*(1+Inputs!$C$39)^(AG$136-1)</f>
        <v>-13409.4270267647</v>
      </c>
      <c r="AH171" s="69" t="n">
        <f aca="false">-AH159*Inputs!$C$34*(1+Inputs!$C$39)^(AH$136-1)</f>
        <v>-13540.9390770575</v>
      </c>
      <c r="AI171" s="69" t="n">
        <f aca="false">-AI159*Inputs!$C$34*(1+Inputs!$C$39)^(AI$136-1)</f>
        <v>-13667.1906453386</v>
      </c>
      <c r="AJ171" s="69" t="n">
        <f aca="false">-AJ159*Inputs!$C$34*(1+Inputs!$C$39)^(AJ$136-1)</f>
        <v>-13788.3921508884</v>
      </c>
      <c r="AK171" s="69" t="n">
        <f aca="false">-AK159*Inputs!$C$34*(1+Inputs!$C$39)^(AK$136-1)</f>
        <v>-13904.7455962162</v>
      </c>
      <c r="AL171" s="69" t="n">
        <f aca="false">-AL159*Inputs!$C$34*(1+Inputs!$C$39)^(AL$136-1)</f>
        <v>-11330.7986203633</v>
      </c>
    </row>
    <row r="172" customFormat="false" ht="15" hidden="false" customHeight="false" outlineLevel="0" collapsed="false">
      <c r="A172" s="6" t="s">
        <v>414</v>
      </c>
      <c r="C172" s="69" t="n">
        <f aca="false">-C159*Inputs!$C$35/1000*Inputs!$C$36*(1+Inputs!$C$39)^(C$136-1)</f>
        <v>-1244.2406148</v>
      </c>
      <c r="D172" s="69" t="n">
        <f aca="false">-D159*Inputs!$C$35/1000*Inputs!$C$36*(1+Inputs!$C$39)^(D$136-1)</f>
        <v>-1413.050958608</v>
      </c>
      <c r="E172" s="69" t="n">
        <f aca="false">-E159*Inputs!$C$35/1000*Inputs!$C$36*(1+Inputs!$C$39)^(E$136-1)</f>
        <v>-1964.23800801984</v>
      </c>
      <c r="F172" s="69" t="n">
        <f aca="false">-F159*Inputs!$C$35/1000*Inputs!$C$36*(1+Inputs!$C$39)^(F$136-1)</f>
        <v>-2193.15973609905</v>
      </c>
      <c r="G172" s="69" t="n">
        <f aca="false">-G159*Inputs!$C$35/1000*Inputs!$C$36*(1+Inputs!$C$39)^(G$136-1)</f>
        <v>-2428.12494945509</v>
      </c>
      <c r="H172" s="69" t="n">
        <f aca="false">-H159*Inputs!$C$35/1000*Inputs!$C$36*(1+Inputs!$C$39)^(H$136-1)</f>
        <v>-2668.89190867688</v>
      </c>
      <c r="I172" s="69" t="n">
        <f aca="false">-I159*Inputs!$C$35/1000*Inputs!$C$36*(1+Inputs!$C$39)^(I$136-1)</f>
        <v>-2915.22854392981</v>
      </c>
      <c r="J172" s="69" t="n">
        <f aca="false">-J159*Inputs!$C$35/1000*Inputs!$C$36*(1+Inputs!$C$39)^(J$136-1)</f>
        <v>-3166.91206817261</v>
      </c>
      <c r="K172" s="69" t="n">
        <f aca="false">-K159*Inputs!$C$35/1000*Inputs!$C$36*(1+Inputs!$C$39)^(K$136-1)</f>
        <v>-3423.72860584571</v>
      </c>
      <c r="L172" s="69" t="n">
        <f aca="false">-L159*Inputs!$C$35/1000*Inputs!$C$36*(1+Inputs!$C$39)^(L$136-1)</f>
        <v>-3685.47283641188</v>
      </c>
      <c r="M172" s="69" t="n">
        <f aca="false">-M159*Inputs!$C$35/1000*Inputs!$C$36*(1+Inputs!$C$39)^(M$136-1)</f>
        <v>-3786.78699495541</v>
      </c>
      <c r="N172" s="69" t="n">
        <f aca="false">-N159*Inputs!$C$35/1000*Inputs!$C$36*(1+Inputs!$C$39)^(N$136-1)</f>
        <v>-3138.26648065106</v>
      </c>
      <c r="O172" s="69" t="n">
        <f aca="false">-O159*Inputs!$C$35/1000*Inputs!$C$36*(1+Inputs!$C$39)^(O$136-1)</f>
        <v>-3366.20107525737</v>
      </c>
      <c r="P172" s="69" t="n">
        <f aca="false">-P159*Inputs!$C$35/1000*Inputs!$C$36*(1+Inputs!$C$39)^(P$136-1)</f>
        <v>-3433.62105734627</v>
      </c>
      <c r="Q172" s="69" t="n">
        <f aca="false">-Q159*Inputs!$C$35/1000*Inputs!$C$36*(1+Inputs!$C$39)^(Q$136-1)</f>
        <v>-4329.29914302137</v>
      </c>
      <c r="R172" s="69" t="n">
        <f aca="false">-R159*Inputs!$C$35/1000*Inputs!$C$36*(1+Inputs!$C$39)^(R$136-1)</f>
        <v>-4421.37078338531</v>
      </c>
      <c r="S172" s="69" t="n">
        <f aca="false">-S159*Inputs!$C$35/1000*Inputs!$C$36*(1+Inputs!$C$39)^(S$136-1)</f>
        <v>-4509.7595581347</v>
      </c>
      <c r="T172" s="69" t="n">
        <f aca="false">-T159*Inputs!$C$35/1000*Inputs!$C$36*(1+Inputs!$C$39)^(T$136-1)</f>
        <v>-4594.61278189411</v>
      </c>
      <c r="U172" s="69" t="n">
        <f aca="false">-U159*Inputs!$C$35/1000*Inputs!$C$36*(1+Inputs!$C$39)^(U$136-1)</f>
        <v>-4676.07187670315</v>
      </c>
      <c r="V172" s="69" t="n">
        <f aca="false">-V159*Inputs!$C$35/1000*Inputs!$C$36*(1+Inputs!$C$39)^(V$136-1)</f>
        <v>-4754.27260771982</v>
      </c>
      <c r="W172" s="69" t="n">
        <f aca="false">-W159*Inputs!$C$35/1000*Inputs!$C$36*(1+Inputs!$C$39)^(W$136-1)</f>
        <v>-4829.34530949583</v>
      </c>
      <c r="X172" s="69" t="n">
        <f aca="false">-X159*Inputs!$C$35/1000*Inputs!$C$36*(1+Inputs!$C$39)^(X$136-1)</f>
        <v>-4901.4151032008</v>
      </c>
      <c r="Y172" s="69" t="n">
        <f aca="false">-Y159*Inputs!$C$35/1000*Inputs!$C$36*(1+Inputs!$C$39)^(Y$136-1)</f>
        <v>-4970.60210515756</v>
      </c>
      <c r="Z172" s="69" t="n">
        <f aca="false">-Z159*Inputs!$C$35/1000*Inputs!$C$36*(1+Inputs!$C$39)^(Z$136-1)</f>
        <v>-4071.26244149685</v>
      </c>
      <c r="AA172" s="69" t="n">
        <f aca="false">-AA159*Inputs!$C$35/1000*Inputs!$C$36*(1+Inputs!$C$39)^(AA$136-1)</f>
        <v>-4305.93387645183</v>
      </c>
      <c r="AB172" s="69" t="n">
        <f aca="false">-AB159*Inputs!$C$35/1000*Inputs!$C$36*(1+Inputs!$C$39)^(AB$136-1)</f>
        <v>-4349.2635243165</v>
      </c>
      <c r="AC172" s="69" t="n">
        <f aca="false">-AC159*Inputs!$C$35/1000*Inputs!$C$36*(1+Inputs!$C$39)^(AC$136-1)</f>
        <v>-5432.2945325775</v>
      </c>
      <c r="AD172" s="69" t="n">
        <f aca="false">-AD159*Inputs!$C$35/1000*Inputs!$C$36*(1+Inputs!$C$39)^(AD$136-1)</f>
        <v>-5497.87344220477</v>
      </c>
      <c r="AE172" s="69" t="n">
        <f aca="false">-AE159*Inputs!$C$35/1000*Inputs!$C$36*(1+Inputs!$C$39)^(AE$136-1)</f>
        <v>-5560.82919544694</v>
      </c>
      <c r="AF172" s="69" t="n">
        <f aca="false">-AF159*Inputs!$C$35/1000*Inputs!$C$36*(1+Inputs!$C$39)^(AF$136-1)</f>
        <v>-5621.26671855943</v>
      </c>
      <c r="AG172" s="69" t="n">
        <f aca="false">-AG159*Inputs!$C$35/1000*Inputs!$C$36*(1+Inputs!$C$39)^(AG$136-1)</f>
        <v>-5679.28674074741</v>
      </c>
      <c r="AH172" s="69" t="n">
        <f aca="false">-AH159*Inputs!$C$35/1000*Inputs!$C$36*(1+Inputs!$C$39)^(AH$136-1)</f>
        <v>-5734.98596204788</v>
      </c>
      <c r="AI172" s="69" t="n">
        <f aca="false">-AI159*Inputs!$C$35/1000*Inputs!$C$36*(1+Inputs!$C$39)^(AI$136-1)</f>
        <v>-5788.45721449633</v>
      </c>
      <c r="AJ172" s="69" t="n">
        <f aca="false">-AJ159*Inputs!$C$35/1000*Inputs!$C$36*(1+Inputs!$C$39)^(AJ$136-1)</f>
        <v>-5839.78961684684</v>
      </c>
      <c r="AK172" s="69" t="n">
        <f aca="false">-AK159*Inputs!$C$35/1000*Inputs!$C$36*(1+Inputs!$C$39)^(AK$136-1)</f>
        <v>-5889.06872310333</v>
      </c>
      <c r="AL172" s="69" t="n">
        <f aca="false">-AL159*Inputs!$C$35/1000*Inputs!$C$36*(1+Inputs!$C$39)^(AL$136-1)</f>
        <v>-4798.92647450682</v>
      </c>
    </row>
    <row r="173" customFormat="false" ht="15" hidden="false" customHeight="false" outlineLevel="0" collapsed="false">
      <c r="A173" s="6" t="s">
        <v>415</v>
      </c>
      <c r="C173" s="69" t="n">
        <f aca="false">-C159*Inputs!$C$37*(1+Inputs!$C$39)^(C$136-1)</f>
        <v>-1451.6140506</v>
      </c>
      <c r="D173" s="69" t="n">
        <f aca="false">-D159*Inputs!$C$37*(1+Inputs!$C$39)^(D$136-1)</f>
        <v>-1648.55945170933</v>
      </c>
      <c r="E173" s="69" t="n">
        <f aca="false">-E159*Inputs!$C$37*(1+Inputs!$C$39)^(E$136-1)</f>
        <v>-2291.61100935648</v>
      </c>
      <c r="F173" s="69" t="n">
        <f aca="false">-F159*Inputs!$C$37*(1+Inputs!$C$39)^(F$136-1)</f>
        <v>-2558.68635878222</v>
      </c>
      <c r="G173" s="69" t="n">
        <f aca="false">-G159*Inputs!$C$37*(1+Inputs!$C$39)^(G$136-1)</f>
        <v>-2832.81244103093</v>
      </c>
      <c r="H173" s="69" t="n">
        <f aca="false">-H159*Inputs!$C$37*(1+Inputs!$C$39)^(H$136-1)</f>
        <v>-3113.70722678969</v>
      </c>
      <c r="I173" s="69" t="n">
        <f aca="false">-I159*Inputs!$C$37*(1+Inputs!$C$39)^(I$136-1)</f>
        <v>-3401.09996791811</v>
      </c>
      <c r="J173" s="69" t="n">
        <f aca="false">-J159*Inputs!$C$37*(1+Inputs!$C$39)^(J$136-1)</f>
        <v>-3694.73074620138</v>
      </c>
      <c r="K173" s="69" t="n">
        <f aca="false">-K159*Inputs!$C$37*(1+Inputs!$C$39)^(K$136-1)</f>
        <v>-3994.35004015333</v>
      </c>
      <c r="L173" s="69" t="n">
        <f aca="false">-L159*Inputs!$C$37*(1+Inputs!$C$39)^(L$136-1)</f>
        <v>-4299.71830914719</v>
      </c>
      <c r="M173" s="69" t="n">
        <f aca="false">-M159*Inputs!$C$37*(1+Inputs!$C$39)^(M$136-1)</f>
        <v>-4417.91816078131</v>
      </c>
      <c r="N173" s="69" t="n">
        <f aca="false">-N159*Inputs!$C$37*(1+Inputs!$C$39)^(N$136-1)</f>
        <v>-3661.3108940929</v>
      </c>
      <c r="O173" s="69" t="n">
        <f aca="false">-O159*Inputs!$C$37*(1+Inputs!$C$39)^(O$136-1)</f>
        <v>-3927.23458780026</v>
      </c>
      <c r="P173" s="69" t="n">
        <f aca="false">-P159*Inputs!$C$37*(1+Inputs!$C$39)^(P$136-1)</f>
        <v>-4005.89123357065</v>
      </c>
      <c r="Q173" s="69" t="n">
        <f aca="false">-Q159*Inputs!$C$37*(1+Inputs!$C$39)^(Q$136-1)</f>
        <v>-5050.8490001916</v>
      </c>
      <c r="R173" s="69" t="n">
        <f aca="false">-R159*Inputs!$C$37*(1+Inputs!$C$39)^(R$136-1)</f>
        <v>-5158.26591394953</v>
      </c>
      <c r="S173" s="69" t="n">
        <f aca="false">-S159*Inputs!$C$37*(1+Inputs!$C$39)^(S$136-1)</f>
        <v>-5261.38615115715</v>
      </c>
      <c r="T173" s="69" t="n">
        <f aca="false">-T159*Inputs!$C$37*(1+Inputs!$C$39)^(T$136-1)</f>
        <v>-5360.38157887646</v>
      </c>
      <c r="U173" s="69" t="n">
        <f aca="false">-U159*Inputs!$C$37*(1+Inputs!$C$39)^(U$136-1)</f>
        <v>-5455.41718948701</v>
      </c>
      <c r="V173" s="69" t="n">
        <f aca="false">-V159*Inputs!$C$37*(1+Inputs!$C$39)^(V$136-1)</f>
        <v>-5546.65137567313</v>
      </c>
      <c r="W173" s="69" t="n">
        <f aca="false">-W159*Inputs!$C$37*(1+Inputs!$C$39)^(W$136-1)</f>
        <v>-5634.2361944118</v>
      </c>
      <c r="X173" s="69" t="n">
        <f aca="false">-X159*Inputs!$C$37*(1+Inputs!$C$39)^(X$136-1)</f>
        <v>-5718.31762040093</v>
      </c>
      <c r="Y173" s="69" t="n">
        <f aca="false">-Y159*Inputs!$C$37*(1+Inputs!$C$39)^(Y$136-1)</f>
        <v>-5799.03578935049</v>
      </c>
      <c r="Z173" s="69" t="n">
        <f aca="false">-Z159*Inputs!$C$37*(1+Inputs!$C$39)^(Z$136-1)</f>
        <v>-4749.80618174632</v>
      </c>
      <c r="AA173" s="69" t="n">
        <f aca="false">-AA159*Inputs!$C$37*(1+Inputs!$C$39)^(AA$136-1)</f>
        <v>-5023.58952252714</v>
      </c>
      <c r="AB173" s="69" t="n">
        <f aca="false">-AB159*Inputs!$C$37*(1+Inputs!$C$39)^(AB$136-1)</f>
        <v>-5074.14077836925</v>
      </c>
      <c r="AC173" s="69" t="n">
        <f aca="false">-AC159*Inputs!$C$37*(1+Inputs!$C$39)^(AC$136-1)</f>
        <v>-6337.67695467375</v>
      </c>
      <c r="AD173" s="69" t="n">
        <f aca="false">-AD159*Inputs!$C$37*(1+Inputs!$C$39)^(AD$136-1)</f>
        <v>-6414.18568257223</v>
      </c>
      <c r="AE173" s="69" t="n">
        <f aca="false">-AE159*Inputs!$C$37*(1+Inputs!$C$39)^(AE$136-1)</f>
        <v>-6487.63406135476</v>
      </c>
      <c r="AF173" s="69" t="n">
        <f aca="false">-AF159*Inputs!$C$37*(1+Inputs!$C$39)^(AF$136-1)</f>
        <v>-6558.144504986</v>
      </c>
      <c r="AG173" s="69" t="n">
        <f aca="false">-AG159*Inputs!$C$37*(1+Inputs!$C$39)^(AG$136-1)</f>
        <v>-6625.83453087198</v>
      </c>
      <c r="AH173" s="69" t="n">
        <f aca="false">-AH159*Inputs!$C$37*(1+Inputs!$C$39)^(AH$136-1)</f>
        <v>-6690.81695572253</v>
      </c>
      <c r="AI173" s="69" t="n">
        <f aca="false">-AI159*Inputs!$C$37*(1+Inputs!$C$39)^(AI$136-1)</f>
        <v>-6753.20008357905</v>
      </c>
      <c r="AJ173" s="69" t="n">
        <f aca="false">-AJ159*Inputs!$C$37*(1+Inputs!$C$39)^(AJ$136-1)</f>
        <v>-6813.08788632131</v>
      </c>
      <c r="AK173" s="69" t="n">
        <f aca="false">-AK159*Inputs!$C$37*(1+Inputs!$C$39)^(AK$136-1)</f>
        <v>-6870.58017695389</v>
      </c>
      <c r="AL173" s="69" t="n">
        <f aca="false">-AL159*Inputs!$C$37*(1+Inputs!$C$39)^(AL$136-1)</f>
        <v>-5598.74755359129</v>
      </c>
    </row>
    <row r="174" customFormat="false" ht="15" hidden="false" customHeight="false" outlineLevel="0" collapsed="false">
      <c r="A174" s="6" t="s">
        <v>246</v>
      </c>
      <c r="C174" s="69" t="n">
        <f aca="false">C171+C172+C173</f>
        <v>-5633.6450059</v>
      </c>
      <c r="D174" s="69" t="n">
        <f aca="false">D171+D172+D173</f>
        <v>-6397.98072925289</v>
      </c>
      <c r="E174" s="69" t="n">
        <f aca="false">E171+E172+E173</f>
        <v>-8893.63320297872</v>
      </c>
      <c r="F174" s="69" t="n">
        <f aca="false">F171+F172+F173</f>
        <v>-9930.13991622624</v>
      </c>
      <c r="G174" s="69" t="n">
        <f aca="false">G171+G172+G173</f>
        <v>-10994.0101878105</v>
      </c>
      <c r="H174" s="69" t="n">
        <f aca="false">H171+H172+H173</f>
        <v>-12084.1494753981</v>
      </c>
      <c r="I174" s="69" t="n">
        <f aca="false">I171+I172+I173</f>
        <v>-13199.5070183488</v>
      </c>
      <c r="J174" s="69" t="n">
        <f aca="false">J171+J172+J173</f>
        <v>-14339.0740864482</v>
      </c>
      <c r="K174" s="69" t="n">
        <f aca="false">K171+K172+K173</f>
        <v>-15501.8822986903</v>
      </c>
      <c r="L174" s="69" t="n">
        <f aca="false">L171+L172+L173</f>
        <v>-16687.0020093093</v>
      </c>
      <c r="M174" s="69" t="n">
        <f aca="false">M171+M172+M173</f>
        <v>-17145.730004937</v>
      </c>
      <c r="N174" s="69" t="n">
        <f aca="false">N171+N172+N173</f>
        <v>-14209.3732318367</v>
      </c>
      <c r="O174" s="69" t="n">
        <f aca="false">O171+O172+O173</f>
        <v>-15241.410424082</v>
      </c>
      <c r="P174" s="69" t="n">
        <f aca="false">P171+P172+P173</f>
        <v>-15546.6731207623</v>
      </c>
      <c r="Q174" s="69" t="n">
        <f aca="false">Q171+Q172+Q173</f>
        <v>-19602.1044531245</v>
      </c>
      <c r="R174" s="69" t="n">
        <f aca="false">R171+R172+R173</f>
        <v>-20018.9843803279</v>
      </c>
      <c r="S174" s="69" t="n">
        <f aca="false">S171+S172+S173</f>
        <v>-20419.1891104432</v>
      </c>
      <c r="T174" s="69" t="n">
        <f aca="false">T171+T172+T173</f>
        <v>-20803.3856513539</v>
      </c>
      <c r="U174" s="69" t="n">
        <f aca="false">U171+U172+U173</f>
        <v>-21172.2143306281</v>
      </c>
      <c r="V174" s="69" t="n">
        <f aca="false">V171+V172+V173</f>
        <v>-21526.2898627314</v>
      </c>
      <c r="W174" s="69" t="n">
        <f aca="false">W171+W172+W173</f>
        <v>-21866.2023735506</v>
      </c>
      <c r="X174" s="69" t="n">
        <f aca="false">X171+X172+X173</f>
        <v>-22192.5183839369</v>
      </c>
      <c r="Y174" s="69" t="n">
        <f aca="false">Y171+Y172+Y173</f>
        <v>-22505.7817539079</v>
      </c>
      <c r="Z174" s="69" t="n">
        <f aca="false">Z171+Z172+Z173</f>
        <v>-18433.7716101107</v>
      </c>
      <c r="AA174" s="69" t="n">
        <f aca="false">AA171+AA172+AA173</f>
        <v>-19496.3117183791</v>
      </c>
      <c r="AB174" s="69" t="n">
        <f aca="false">AB171+AB172+AB173</f>
        <v>-19692.4987350997</v>
      </c>
      <c r="AC174" s="69" t="n">
        <f aca="false">AC171+AC172+AC173</f>
        <v>-24596.2224669481</v>
      </c>
      <c r="AD174" s="69" t="n">
        <f aca="false">AD171+AD172+AD173</f>
        <v>-24893.1491966494</v>
      </c>
      <c r="AE174" s="69" t="n">
        <f aca="false">AE171+AE172+AE173</f>
        <v>-25178.1988571625</v>
      </c>
      <c r="AF174" s="69" t="n">
        <f aca="false">AF171+AF172+AF173</f>
        <v>-25451.8465312552</v>
      </c>
      <c r="AG174" s="69" t="n">
        <f aca="false">AG171+AG172+AG173</f>
        <v>-25714.5482983841</v>
      </c>
      <c r="AH174" s="69" t="n">
        <f aca="false">AH171+AH172+AH173</f>
        <v>-25966.7419948279</v>
      </c>
      <c r="AI174" s="69" t="n">
        <f aca="false">AI171+AI172+AI173</f>
        <v>-26208.8479434139</v>
      </c>
      <c r="AJ174" s="69" t="n">
        <f aca="false">AJ171+AJ172+AJ173</f>
        <v>-26441.2696540565</v>
      </c>
      <c r="AK174" s="69" t="n">
        <f aca="false">AK171+AK172+AK173</f>
        <v>-26664.3944962734</v>
      </c>
      <c r="AL174" s="69" t="n">
        <f aca="false">AL171+AL172+AL173</f>
        <v>-21728.4726484614</v>
      </c>
    </row>
    <row r="175" customFormat="false" ht="15" hidden="false" customHeight="false" outlineLevel="0" collapsed="false">
      <c r="A175" s="6" t="s">
        <v>416</v>
      </c>
      <c r="C175" s="69" t="n">
        <f aca="false">-C168*Inputs!$C$38</f>
        <v>-1438.30074</v>
      </c>
      <c r="D175" s="69" t="n">
        <f aca="false">-D168*Inputs!$C$38</f>
        <v>-1633.46807706667</v>
      </c>
      <c r="E175" s="69" t="n">
        <f aca="false">-E168*Inputs!$C$38</f>
        <v>-2183.202053984</v>
      </c>
      <c r="F175" s="69" t="n">
        <f aca="false">-F168*Inputs!$C$38</f>
        <v>-2431.55696515797</v>
      </c>
      <c r="G175" s="69" t="n">
        <f aca="false">-G168*Inputs!$C$38</f>
        <v>-2684.70829321832</v>
      </c>
      <c r="H175" s="69" t="n">
        <f aca="false">-H168*Inputs!$C$38</f>
        <v>-2942.46418148959</v>
      </c>
      <c r="I175" s="69" t="n">
        <f aca="false">-I168*Inputs!$C$38</f>
        <v>-3204.64044756334</v>
      </c>
      <c r="J175" s="69" t="n">
        <f aca="false">-J168*Inputs!$C$38</f>
        <v>-3471.06027632747</v>
      </c>
      <c r="K175" s="69" t="n">
        <f aca="false">-K168*Inputs!$C$38</f>
        <v>-3741.55392527437</v>
      </c>
      <c r="L175" s="69" t="n">
        <f aca="false">-L168*Inputs!$C$38</f>
        <v>-4015.95844159673</v>
      </c>
      <c r="M175" s="69" t="n">
        <f aca="false">-M168*Inputs!$C$38</f>
        <v>-4096.36650393286</v>
      </c>
      <c r="N175" s="69" t="n">
        <f aca="false">-N168*Inputs!$C$38</f>
        <v>-3562.19184377555</v>
      </c>
      <c r="O175" s="69" t="n">
        <f aca="false">-O168*Inputs!$C$38</f>
        <v>-3778.18065974502</v>
      </c>
      <c r="P175" s="69" t="n">
        <f aca="false">-P168*Inputs!$C$38</f>
        <v>-3843.63695303521</v>
      </c>
      <c r="Q175" s="69" t="n">
        <f aca="false">-Q168*Inputs!$C$38</f>
        <v>-4548.77653443381</v>
      </c>
      <c r="R175" s="69" t="n">
        <f aca="false">-R168*Inputs!$C$38</f>
        <v>-4621.13982089645</v>
      </c>
      <c r="S175" s="69" t="n">
        <f aca="false">-S168*Inputs!$C$38</f>
        <v>-4690.6085759006</v>
      </c>
      <c r="T175" s="69" t="n">
        <f aca="false">-T168*Inputs!$C$38</f>
        <v>-4757.29858070457</v>
      </c>
      <c r="U175" s="69" t="n">
        <f aca="false">-U168*Inputs!$C$38</f>
        <v>-4821.32098531639</v>
      </c>
      <c r="V175" s="69" t="n">
        <f aca="false">-V168*Inputs!$C$38</f>
        <v>-4882.78249374373</v>
      </c>
      <c r="W175" s="69" t="n">
        <f aca="false">-W168*Inputs!$C$38</f>
        <v>-4941.78554183399</v>
      </c>
      <c r="X175" s="69" t="n">
        <f aca="false">-X168*Inputs!$C$38</f>
        <v>-4998.42846800063</v>
      </c>
      <c r="Y175" s="69" t="n">
        <f aca="false">-Y168*Inputs!$C$38</f>
        <v>-5052.8056771206</v>
      </c>
      <c r="Z175" s="69" t="n">
        <f aca="false">-Z168*Inputs!$C$38</f>
        <v>-4462.70625803578</v>
      </c>
      <c r="AA175" s="69" t="n">
        <f aca="false">-AA168*Inputs!$C$38</f>
        <v>-4675.76227444842</v>
      </c>
      <c r="AB175" s="69" t="n">
        <f aca="false">-AB168*Inputs!$C$38</f>
        <v>-4717.42147024629</v>
      </c>
      <c r="AC175" s="69" t="n">
        <f aca="false">-AC168*Inputs!$C$38</f>
        <v>-5432.21629596816</v>
      </c>
      <c r="AD175" s="69" t="n">
        <f aca="false">-AD168*Inputs!$C$38</f>
        <v>-5483.25733897013</v>
      </c>
      <c r="AE175" s="69" t="n">
        <f aca="false">-AE168*Inputs!$C$38</f>
        <v>-5532.25674025203</v>
      </c>
      <c r="AF175" s="69" t="n">
        <f aca="false">-AF168*Inputs!$C$38</f>
        <v>-5579.29616548265</v>
      </c>
      <c r="AG175" s="69" t="n">
        <f aca="false">-AG168*Inputs!$C$38</f>
        <v>-5624.45401370405</v>
      </c>
      <c r="AH175" s="69" t="n">
        <f aca="false">-AH168*Inputs!$C$38</f>
        <v>-5667.80554799659</v>
      </c>
      <c r="AI175" s="69" t="n">
        <f aca="false">-AI168*Inputs!$C$38</f>
        <v>-5709.42302091743</v>
      </c>
      <c r="AJ175" s="69" t="n">
        <f aca="false">-AJ168*Inputs!$C$38</f>
        <v>-5749.37579492144</v>
      </c>
      <c r="AK175" s="69" t="n">
        <f aca="false">-AK168*Inputs!$C$38</f>
        <v>-5787.73045796529</v>
      </c>
      <c r="AL175" s="69" t="n">
        <f aca="false">-AL168*Inputs!$C$38</f>
        <v>-5149.74893673148</v>
      </c>
    </row>
    <row r="176" customFormat="false" ht="15" hidden="false" customHeight="false" outlineLevel="0" collapsed="false">
      <c r="A176" s="4" t="s">
        <v>76</v>
      </c>
      <c r="C176" s="75" t="n">
        <f aca="false">C174+C175</f>
        <v>-7071.9457459</v>
      </c>
      <c r="D176" s="75" t="n">
        <f aca="false">D174+D175</f>
        <v>-8031.44880631956</v>
      </c>
      <c r="E176" s="75" t="n">
        <f aca="false">E174+E175</f>
        <v>-11076.8352569627</v>
      </c>
      <c r="F176" s="75" t="n">
        <f aca="false">F174+F175</f>
        <v>-12361.6968813842</v>
      </c>
      <c r="G176" s="75" t="n">
        <f aca="false">G174+G175</f>
        <v>-13678.7184810288</v>
      </c>
      <c r="H176" s="75" t="n">
        <f aca="false">H174+H175</f>
        <v>-15026.6136568877</v>
      </c>
      <c r="I176" s="75" t="n">
        <f aca="false">I174+I175</f>
        <v>-16404.1474659122</v>
      </c>
      <c r="J176" s="75" t="n">
        <f aca="false">J174+J175</f>
        <v>-17810.1343627757</v>
      </c>
      <c r="K176" s="75" t="n">
        <f aca="false">K174+K175</f>
        <v>-19243.4362239647</v>
      </c>
      <c r="L176" s="75" t="n">
        <f aca="false">L174+L175</f>
        <v>-20702.9604509061</v>
      </c>
      <c r="M176" s="75" t="n">
        <f aca="false">M174+M175</f>
        <v>-21242.0965088698</v>
      </c>
      <c r="N176" s="75" t="n">
        <f aca="false">N174+N175</f>
        <v>-17771.5650756123</v>
      </c>
      <c r="O176" s="75" t="n">
        <f aca="false">O174+O175</f>
        <v>-19019.591083827</v>
      </c>
      <c r="P176" s="75" t="n">
        <f aca="false">P174+P175</f>
        <v>-19390.3100737975</v>
      </c>
      <c r="Q176" s="75" t="n">
        <f aca="false">Q174+Q175</f>
        <v>-24150.8809875583</v>
      </c>
      <c r="R176" s="75" t="n">
        <f aca="false">R174+R175</f>
        <v>-24640.1242012244</v>
      </c>
      <c r="S176" s="75" t="n">
        <f aca="false">S174+S175</f>
        <v>-25109.7976863438</v>
      </c>
      <c r="T176" s="75" t="n">
        <f aca="false">T174+T175</f>
        <v>-25560.6842320585</v>
      </c>
      <c r="U176" s="75" t="n">
        <f aca="false">U174+U175</f>
        <v>-25993.5353159445</v>
      </c>
      <c r="V176" s="75" t="n">
        <f aca="false">V174+V175</f>
        <v>-26409.0723564752</v>
      </c>
      <c r="W176" s="75" t="n">
        <f aca="false">W174+W175</f>
        <v>-26807.9879153845</v>
      </c>
      <c r="X176" s="75" t="n">
        <f aca="false">X174+X175</f>
        <v>-27190.9468519376</v>
      </c>
      <c r="Y176" s="75" t="n">
        <f aca="false">Y174+Y175</f>
        <v>-27558.5874310285</v>
      </c>
      <c r="Z176" s="75" t="n">
        <f aca="false">Z174+Z175</f>
        <v>-22896.4778681465</v>
      </c>
      <c r="AA176" s="75" t="n">
        <f aca="false">AA174+AA175</f>
        <v>-24172.0739928275</v>
      </c>
      <c r="AB176" s="75" t="n">
        <f aca="false">AB174+AB175</f>
        <v>-24409.920205346</v>
      </c>
      <c r="AC176" s="75" t="n">
        <f aca="false">AC174+AC175</f>
        <v>-30028.4387629163</v>
      </c>
      <c r="AD176" s="75" t="n">
        <f aca="false">AD174+AD175</f>
        <v>-30376.4065356195</v>
      </c>
      <c r="AE176" s="75" t="n">
        <f aca="false">AE174+AE175</f>
        <v>-30710.4555974146</v>
      </c>
      <c r="AF176" s="75" t="n">
        <f aca="false">AF174+AF175</f>
        <v>-31031.1426967378</v>
      </c>
      <c r="AG176" s="75" t="n">
        <f aca="false">AG174+AG175</f>
        <v>-31339.0023120882</v>
      </c>
      <c r="AH176" s="75" t="n">
        <f aca="false">AH174+AH175</f>
        <v>-31634.5475428245</v>
      </c>
      <c r="AI176" s="75" t="n">
        <f aca="false">AI174+AI175</f>
        <v>-31918.2709643314</v>
      </c>
      <c r="AJ176" s="75" t="n">
        <f aca="false">AJ174+AJ175</f>
        <v>-32190.645448978</v>
      </c>
      <c r="AK176" s="75" t="n">
        <f aca="false">AK174+AK175</f>
        <v>-32452.1249542387</v>
      </c>
      <c r="AL176" s="75" t="n">
        <f aca="false">AL174+AL175</f>
        <v>-26878.2215851929</v>
      </c>
    </row>
    <row r="177" customFormat="false" ht="15" hidden="false" customHeight="false" outlineLevel="0" collapsed="false">
      <c r="A177" s="113" t="s">
        <v>45</v>
      </c>
      <c r="C177" s="70" t="n">
        <f aca="false">C168+C176</f>
        <v>40871.4122541</v>
      </c>
      <c r="D177" s="70" t="n">
        <f aca="false">D168+D176</f>
        <v>46417.4870959027</v>
      </c>
      <c r="E177" s="70" t="n">
        <f aca="false">E168+E176</f>
        <v>61696.566542504</v>
      </c>
      <c r="F177" s="70" t="n">
        <f aca="false">F168+F176</f>
        <v>68690.2019572149</v>
      </c>
      <c r="G177" s="70" t="n">
        <f aca="false">G168+G176</f>
        <v>75811.5579595819</v>
      </c>
      <c r="H177" s="70" t="n">
        <f aca="false">H168+H176</f>
        <v>83055.5257260986</v>
      </c>
      <c r="I177" s="70" t="n">
        <f aca="false">I168+I176</f>
        <v>90417.2007861991</v>
      </c>
      <c r="J177" s="70" t="n">
        <f aca="false">J168+J176</f>
        <v>97891.87484814</v>
      </c>
      <c r="K177" s="70" t="n">
        <f aca="false">K168+K176</f>
        <v>105475.027951848</v>
      </c>
      <c r="L177" s="70" t="n">
        <f aca="false">L168+L176</f>
        <v>113162.320935652</v>
      </c>
      <c r="M177" s="70" t="n">
        <f aca="false">M168+M176</f>
        <v>115303.453622226</v>
      </c>
      <c r="N177" s="70" t="n">
        <f aca="false">N168+N176</f>
        <v>100968.163050239</v>
      </c>
      <c r="O177" s="70" t="n">
        <f aca="false">O168+O176</f>
        <v>106919.764241007</v>
      </c>
      <c r="P177" s="70" t="n">
        <f aca="false">P168+P176</f>
        <v>108730.921694043</v>
      </c>
      <c r="Q177" s="70" t="n">
        <f aca="false">Q168+Q176</f>
        <v>127475.003493569</v>
      </c>
      <c r="R177" s="70" t="n">
        <f aca="false">R168+R176</f>
        <v>129397.869828657</v>
      </c>
      <c r="S177" s="70" t="n">
        <f aca="false">S168+S176</f>
        <v>131243.821510343</v>
      </c>
      <c r="T177" s="70" t="n">
        <f aca="false">T168+T176</f>
        <v>133015.935124761</v>
      </c>
      <c r="U177" s="70" t="n">
        <f aca="false">U168+U176</f>
        <v>134717.164194602</v>
      </c>
      <c r="V177" s="70" t="n">
        <f aca="false">V168+V176</f>
        <v>136350.344101649</v>
      </c>
      <c r="W177" s="70" t="n">
        <f aca="false">W168+W176</f>
        <v>137918.196812415</v>
      </c>
      <c r="X177" s="70" t="n">
        <f aca="false">X168+X176</f>
        <v>139423.33541475</v>
      </c>
      <c r="Y177" s="70" t="n">
        <f aca="false">Y168+Y176</f>
        <v>140868.268472992</v>
      </c>
      <c r="Z177" s="70" t="n">
        <f aca="false">Z168+Z176</f>
        <v>125860.397399713</v>
      </c>
      <c r="AA177" s="70" t="n">
        <f aca="false">AA168+AA176</f>
        <v>131686.668488787</v>
      </c>
      <c r="AB177" s="70" t="n">
        <f aca="false">AB168+AB176</f>
        <v>132837.462136197</v>
      </c>
      <c r="AC177" s="70" t="n">
        <f aca="false">AC168+AC176</f>
        <v>151045.437769356</v>
      </c>
      <c r="AD177" s="70" t="n">
        <f aca="false">AD168+AD176</f>
        <v>152398.838096718</v>
      </c>
      <c r="AE177" s="70" t="n">
        <f aca="false">AE168+AE176</f>
        <v>153698.102410987</v>
      </c>
      <c r="AF177" s="70" t="n">
        <f aca="false">AF168+AF176</f>
        <v>154945.396152684</v>
      </c>
      <c r="AG177" s="70" t="n">
        <f aca="false">AG168+AG176</f>
        <v>156142.798144714</v>
      </c>
      <c r="AH177" s="70" t="n">
        <f aca="false">AH168+AH176</f>
        <v>157292.304057062</v>
      </c>
      <c r="AI177" s="70" t="n">
        <f aca="false">AI168+AI176</f>
        <v>158395.829732916</v>
      </c>
      <c r="AJ177" s="70" t="n">
        <f aca="false">AJ168+AJ176</f>
        <v>159455.214381737</v>
      </c>
      <c r="AK177" s="70" t="n">
        <f aca="false">AK168+AK176</f>
        <v>160472.223644604</v>
      </c>
      <c r="AL177" s="70" t="n">
        <f aca="false">AL168+AL176</f>
        <v>144780.076305856</v>
      </c>
    </row>
    <row r="179" customFormat="false" ht="15.75" hidden="false" customHeight="true" outlineLevel="0" collapsed="false">
      <c r="A179" s="7" t="s">
        <v>47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customFormat="false" ht="15" hidden="false" customHeight="false" outlineLevel="0" collapsed="false">
      <c r="A180" s="6" t="s">
        <v>340</v>
      </c>
      <c r="C180" s="69" t="n">
        <f aca="false">C259</f>
        <v>-36586.6666666667</v>
      </c>
      <c r="D180" s="69" t="n">
        <f aca="false">D259</f>
        <v>-36586.6666666667</v>
      </c>
      <c r="E180" s="69" t="n">
        <f aca="false">E259</f>
        <v>-36586.6666666667</v>
      </c>
      <c r="F180" s="69" t="n">
        <f aca="false">F259</f>
        <v>-36586.6666666667</v>
      </c>
      <c r="G180" s="69" t="n">
        <f aca="false">G259</f>
        <v>-36586.6666666667</v>
      </c>
      <c r="H180" s="69" t="n">
        <f aca="false">H259</f>
        <v>-36586.6666666667</v>
      </c>
      <c r="I180" s="69" t="n">
        <f aca="false">I259</f>
        <v>-36586.6666666667</v>
      </c>
      <c r="J180" s="69" t="n">
        <f aca="false">J259</f>
        <v>-36586.6666666667</v>
      </c>
      <c r="K180" s="69" t="n">
        <f aca="false">K259</f>
        <v>-36586.6666666667</v>
      </c>
      <c r="L180" s="69" t="n">
        <f aca="false">L259</f>
        <v>-36586.6666666667</v>
      </c>
      <c r="M180" s="69" t="n">
        <f aca="false">M259</f>
        <v>-36586.6666666667</v>
      </c>
      <c r="N180" s="69" t="n">
        <f aca="false">N259</f>
        <v>-36586.6666666667</v>
      </c>
      <c r="O180" s="69" t="n">
        <f aca="false">O259</f>
        <v>-37684.2666666667</v>
      </c>
      <c r="P180" s="69" t="n">
        <f aca="false">P259</f>
        <v>-37684.2666666667</v>
      </c>
      <c r="Q180" s="69" t="n">
        <f aca="false">Q259</f>
        <v>-37684.2666666667</v>
      </c>
      <c r="R180" s="69" t="n">
        <f aca="false">R259</f>
        <v>-37684.2666666667</v>
      </c>
      <c r="S180" s="69" t="n">
        <f aca="false">S259</f>
        <v>-37684.2666666667</v>
      </c>
      <c r="T180" s="69" t="n">
        <f aca="false">T259</f>
        <v>-37684.2666666667</v>
      </c>
      <c r="U180" s="69" t="n">
        <f aca="false">U259</f>
        <v>-37684.2666666667</v>
      </c>
      <c r="V180" s="69" t="n">
        <f aca="false">V259</f>
        <v>-37684.2666666667</v>
      </c>
      <c r="W180" s="69" t="n">
        <f aca="false">W259</f>
        <v>-37684.2666666667</v>
      </c>
      <c r="X180" s="69" t="n">
        <f aca="false">X259</f>
        <v>-37684.2666666667</v>
      </c>
      <c r="Y180" s="69" t="n">
        <f aca="false">Y259</f>
        <v>-37684.2666666667</v>
      </c>
      <c r="Z180" s="69" t="n">
        <f aca="false">Z259</f>
        <v>-37684.2666666667</v>
      </c>
      <c r="AA180" s="69" t="n">
        <f aca="false">AA259</f>
        <v>-38814.7946666667</v>
      </c>
      <c r="AB180" s="69" t="n">
        <f aca="false">AB259</f>
        <v>-38814.7946666667</v>
      </c>
      <c r="AC180" s="69" t="n">
        <f aca="false">AC259</f>
        <v>-38814.7946666667</v>
      </c>
      <c r="AD180" s="69" t="n">
        <f aca="false">AD259</f>
        <v>-38814.7946666667</v>
      </c>
      <c r="AE180" s="69" t="n">
        <f aca="false">AE259</f>
        <v>-38814.7946666667</v>
      </c>
      <c r="AF180" s="69" t="n">
        <f aca="false">AF259</f>
        <v>-38814.7946666667</v>
      </c>
      <c r="AG180" s="69" t="n">
        <f aca="false">AG259</f>
        <v>-38814.7946666667</v>
      </c>
      <c r="AH180" s="69" t="n">
        <f aca="false">AH259</f>
        <v>-38814.7946666667</v>
      </c>
      <c r="AI180" s="69" t="n">
        <f aca="false">AI259</f>
        <v>-38814.7946666667</v>
      </c>
      <c r="AJ180" s="69" t="n">
        <f aca="false">AJ259</f>
        <v>-38814.7946666667</v>
      </c>
      <c r="AK180" s="69" t="n">
        <f aca="false">AK259</f>
        <v>-38814.7946666667</v>
      </c>
      <c r="AL180" s="69" t="n">
        <f aca="false">AL259</f>
        <v>-38814.7946666667</v>
      </c>
    </row>
    <row r="181" customFormat="false" ht="15" hidden="false" customHeight="false" outlineLevel="0" collapsed="false">
      <c r="A181" s="6" t="s">
        <v>341</v>
      </c>
      <c r="C181" s="69" t="n">
        <f aca="false">-Inputs!$C$42*(1+Inputs!$C$43)^(C$136-1)*1</f>
        <v>-30000</v>
      </c>
      <c r="D181" s="69" t="n">
        <f aca="false">-Inputs!$C$42*(1+Inputs!$C$43)^(D$136-1)*1</f>
        <v>-30000</v>
      </c>
      <c r="E181" s="69" t="n">
        <f aca="false">-Inputs!$C$42*(1+Inputs!$C$43)^(E$136-1)*1</f>
        <v>-30000</v>
      </c>
      <c r="F181" s="69" t="n">
        <f aca="false">-Inputs!$C$42*(1+Inputs!$C$43)^(F$136-1)*1</f>
        <v>-30000</v>
      </c>
      <c r="G181" s="69" t="n">
        <f aca="false">-Inputs!$C$42*(1+Inputs!$C$43)^(G$136-1)*1</f>
        <v>-30000</v>
      </c>
      <c r="H181" s="69" t="n">
        <f aca="false">-Inputs!$C$42*(1+Inputs!$C$43)^(H$136-1)*1</f>
        <v>-30000</v>
      </c>
      <c r="I181" s="69" t="n">
        <f aca="false">-Inputs!$C$42*(1+Inputs!$C$43)^(I$136-1)*1</f>
        <v>-30000</v>
      </c>
      <c r="J181" s="69" t="n">
        <f aca="false">-Inputs!$C$42*(1+Inputs!$C$43)^(J$136-1)*1</f>
        <v>-30000</v>
      </c>
      <c r="K181" s="69" t="n">
        <f aca="false">-Inputs!$C$42*(1+Inputs!$C$43)^(K$136-1)*1</f>
        <v>-30000</v>
      </c>
      <c r="L181" s="69" t="n">
        <f aca="false">-Inputs!$C$42*(1+Inputs!$C$43)^(L$136-1)*1</f>
        <v>-30000</v>
      </c>
      <c r="M181" s="69" t="n">
        <f aca="false">-Inputs!$C$42*(1+Inputs!$C$43)^(M$136-1)*1</f>
        <v>-30000</v>
      </c>
      <c r="N181" s="69" t="n">
        <f aca="false">-Inputs!$C$42*(1+Inputs!$C$43)^(N$136-1)*1</f>
        <v>-30000</v>
      </c>
      <c r="O181" s="69" t="n">
        <f aca="false">-Inputs!$C$42*(1+Inputs!$C$43)^(O$136-1)*1</f>
        <v>-30900</v>
      </c>
      <c r="P181" s="69" t="n">
        <f aca="false">-Inputs!$C$42*(1+Inputs!$C$43)^(P$136-1)*1</f>
        <v>-30900</v>
      </c>
      <c r="Q181" s="69" t="n">
        <f aca="false">-Inputs!$C$42*(1+Inputs!$C$43)^(Q$136-1)*1</f>
        <v>-30900</v>
      </c>
      <c r="R181" s="69" t="n">
        <f aca="false">-Inputs!$C$42*(1+Inputs!$C$43)^(R$136-1)*1</f>
        <v>-30900</v>
      </c>
      <c r="S181" s="69" t="n">
        <f aca="false">-Inputs!$C$42*(1+Inputs!$C$43)^(S$136-1)*1</f>
        <v>-30900</v>
      </c>
      <c r="T181" s="69" t="n">
        <f aca="false">-Inputs!$C$42*(1+Inputs!$C$43)^(T$136-1)*1</f>
        <v>-30900</v>
      </c>
      <c r="U181" s="69" t="n">
        <f aca="false">-Inputs!$C$42*(1+Inputs!$C$43)^(U$136-1)*1</f>
        <v>-30900</v>
      </c>
      <c r="V181" s="69" t="n">
        <f aca="false">-Inputs!$C$42*(1+Inputs!$C$43)^(V$136-1)*1</f>
        <v>-30900</v>
      </c>
      <c r="W181" s="69" t="n">
        <f aca="false">-Inputs!$C$42*(1+Inputs!$C$43)^(W$136-1)*1</f>
        <v>-30900</v>
      </c>
      <c r="X181" s="69" t="n">
        <f aca="false">-Inputs!$C$42*(1+Inputs!$C$43)^(X$136-1)*1</f>
        <v>-30900</v>
      </c>
      <c r="Y181" s="69" t="n">
        <f aca="false">-Inputs!$C$42*(1+Inputs!$C$43)^(Y$136-1)*1</f>
        <v>-30900</v>
      </c>
      <c r="Z181" s="69" t="n">
        <f aca="false">-Inputs!$C$42*(1+Inputs!$C$43)^(Z$136-1)*1</f>
        <v>-30900</v>
      </c>
      <c r="AA181" s="69" t="n">
        <f aca="false">-Inputs!$C$42*(1+Inputs!$C$43)^(AA$136-1)*1</f>
        <v>-31827</v>
      </c>
      <c r="AB181" s="69" t="n">
        <f aca="false">-Inputs!$C$42*(1+Inputs!$C$43)^(AB$136-1)*1</f>
        <v>-31827</v>
      </c>
      <c r="AC181" s="69" t="n">
        <f aca="false">-Inputs!$C$42*(1+Inputs!$C$43)^(AC$136-1)*1</f>
        <v>-31827</v>
      </c>
      <c r="AD181" s="69" t="n">
        <f aca="false">-Inputs!$C$42*(1+Inputs!$C$43)^(AD$136-1)*1</f>
        <v>-31827</v>
      </c>
      <c r="AE181" s="69" t="n">
        <f aca="false">-Inputs!$C$42*(1+Inputs!$C$43)^(AE$136-1)*1</f>
        <v>-31827</v>
      </c>
      <c r="AF181" s="69" t="n">
        <f aca="false">-Inputs!$C$42*(1+Inputs!$C$43)^(AF$136-1)*1</f>
        <v>-31827</v>
      </c>
      <c r="AG181" s="69" t="n">
        <f aca="false">-Inputs!$C$42*(1+Inputs!$C$43)^(AG$136-1)*1</f>
        <v>-31827</v>
      </c>
      <c r="AH181" s="69" t="n">
        <f aca="false">-Inputs!$C$42*(1+Inputs!$C$43)^(AH$136-1)*1</f>
        <v>-31827</v>
      </c>
      <c r="AI181" s="69" t="n">
        <f aca="false">-Inputs!$C$42*(1+Inputs!$C$43)^(AI$136-1)*1</f>
        <v>-31827</v>
      </c>
      <c r="AJ181" s="69" t="n">
        <f aca="false">-Inputs!$C$42*(1+Inputs!$C$43)^(AJ$136-1)*1</f>
        <v>-31827</v>
      </c>
      <c r="AK181" s="69" t="n">
        <f aca="false">-Inputs!$C$42*(1+Inputs!$C$43)^(AK$136-1)*1</f>
        <v>-31827</v>
      </c>
      <c r="AL181" s="69" t="n">
        <f aca="false">-Inputs!$C$42*(1+Inputs!$C$43)^(AL$136-1)*1</f>
        <v>-31827</v>
      </c>
    </row>
    <row r="182" customFormat="false" ht="15" hidden="false" customHeight="false" outlineLevel="0" collapsed="false">
      <c r="A182" s="6" t="s">
        <v>342</v>
      </c>
      <c r="C182" s="69" t="n">
        <f aca="false">-Inputs!$C$44*(1+Inputs!$C$39)^(C$136-1)*1</f>
        <v>-5500</v>
      </c>
      <c r="D182" s="69" t="n">
        <f aca="false">-Inputs!$C$44*(1+Inputs!$C$39)^(D$136-1)*1</f>
        <v>-5500</v>
      </c>
      <c r="E182" s="69" t="n">
        <f aca="false">-Inputs!$C$44*(1+Inputs!$C$39)^(E$136-1)*1</f>
        <v>-5500</v>
      </c>
      <c r="F182" s="69" t="n">
        <f aca="false">-Inputs!$C$44*(1+Inputs!$C$39)^(F$136-1)*1</f>
        <v>-5500</v>
      </c>
      <c r="G182" s="69" t="n">
        <f aca="false">-Inputs!$C$44*(1+Inputs!$C$39)^(G$136-1)*1</f>
        <v>-5500</v>
      </c>
      <c r="H182" s="69" t="n">
        <f aca="false">-Inputs!$C$44*(1+Inputs!$C$39)^(H$136-1)*1</f>
        <v>-5500</v>
      </c>
      <c r="I182" s="69" t="n">
        <f aca="false">-Inputs!$C$44*(1+Inputs!$C$39)^(I$136-1)*1</f>
        <v>-5500</v>
      </c>
      <c r="J182" s="69" t="n">
        <f aca="false">-Inputs!$C$44*(1+Inputs!$C$39)^(J$136-1)*1</f>
        <v>-5500</v>
      </c>
      <c r="K182" s="69" t="n">
        <f aca="false">-Inputs!$C$44*(1+Inputs!$C$39)^(K$136-1)*1</f>
        <v>-5500</v>
      </c>
      <c r="L182" s="69" t="n">
        <f aca="false">-Inputs!$C$44*(1+Inputs!$C$39)^(L$136-1)*1</f>
        <v>-5500</v>
      </c>
      <c r="M182" s="69" t="n">
        <f aca="false">-Inputs!$C$44*(1+Inputs!$C$39)^(M$136-1)*1</f>
        <v>-5500</v>
      </c>
      <c r="N182" s="69" t="n">
        <f aca="false">-Inputs!$C$44*(1+Inputs!$C$39)^(N$136-1)*1</f>
        <v>-5500</v>
      </c>
      <c r="O182" s="69" t="n">
        <f aca="false">-Inputs!$C$44*(1+Inputs!$C$39)^(O$136-1)*1</f>
        <v>-5665</v>
      </c>
      <c r="P182" s="69" t="n">
        <f aca="false">-Inputs!$C$44*(1+Inputs!$C$39)^(P$136-1)*1</f>
        <v>-5665</v>
      </c>
      <c r="Q182" s="69" t="n">
        <f aca="false">-Inputs!$C$44*(1+Inputs!$C$39)^(Q$136-1)*1</f>
        <v>-5665</v>
      </c>
      <c r="R182" s="69" t="n">
        <f aca="false">-Inputs!$C$44*(1+Inputs!$C$39)^(R$136-1)*1</f>
        <v>-5665</v>
      </c>
      <c r="S182" s="69" t="n">
        <f aca="false">-Inputs!$C$44*(1+Inputs!$C$39)^(S$136-1)*1</f>
        <v>-5665</v>
      </c>
      <c r="T182" s="69" t="n">
        <f aca="false">-Inputs!$C$44*(1+Inputs!$C$39)^(T$136-1)*1</f>
        <v>-5665</v>
      </c>
      <c r="U182" s="69" t="n">
        <f aca="false">-Inputs!$C$44*(1+Inputs!$C$39)^(U$136-1)*1</f>
        <v>-5665</v>
      </c>
      <c r="V182" s="69" t="n">
        <f aca="false">-Inputs!$C$44*(1+Inputs!$C$39)^(V$136-1)*1</f>
        <v>-5665</v>
      </c>
      <c r="W182" s="69" t="n">
        <f aca="false">-Inputs!$C$44*(1+Inputs!$C$39)^(W$136-1)*1</f>
        <v>-5665</v>
      </c>
      <c r="X182" s="69" t="n">
        <f aca="false">-Inputs!$C$44*(1+Inputs!$C$39)^(X$136-1)*1</f>
        <v>-5665</v>
      </c>
      <c r="Y182" s="69" t="n">
        <f aca="false">-Inputs!$C$44*(1+Inputs!$C$39)^(Y$136-1)*1</f>
        <v>-5665</v>
      </c>
      <c r="Z182" s="69" t="n">
        <f aca="false">-Inputs!$C$44*(1+Inputs!$C$39)^(Z$136-1)*1</f>
        <v>-5665</v>
      </c>
      <c r="AA182" s="69" t="n">
        <f aca="false">-Inputs!$C$44*(1+Inputs!$C$39)^(AA$136-1)*1</f>
        <v>-5834.95</v>
      </c>
      <c r="AB182" s="69" t="n">
        <f aca="false">-Inputs!$C$44*(1+Inputs!$C$39)^(AB$136-1)*1</f>
        <v>-5834.95</v>
      </c>
      <c r="AC182" s="69" t="n">
        <f aca="false">-Inputs!$C$44*(1+Inputs!$C$39)^(AC$136-1)*1</f>
        <v>-5834.95</v>
      </c>
      <c r="AD182" s="69" t="n">
        <f aca="false">-Inputs!$C$44*(1+Inputs!$C$39)^(AD$136-1)*1</f>
        <v>-5834.95</v>
      </c>
      <c r="AE182" s="69" t="n">
        <f aca="false">-Inputs!$C$44*(1+Inputs!$C$39)^(AE$136-1)*1</f>
        <v>-5834.95</v>
      </c>
      <c r="AF182" s="69" t="n">
        <f aca="false">-Inputs!$C$44*(1+Inputs!$C$39)^(AF$136-1)*1</f>
        <v>-5834.95</v>
      </c>
      <c r="AG182" s="69" t="n">
        <f aca="false">-Inputs!$C$44*(1+Inputs!$C$39)^(AG$136-1)*1</f>
        <v>-5834.95</v>
      </c>
      <c r="AH182" s="69" t="n">
        <f aca="false">-Inputs!$C$44*(1+Inputs!$C$39)^(AH$136-1)*1</f>
        <v>-5834.95</v>
      </c>
      <c r="AI182" s="69" t="n">
        <f aca="false">-Inputs!$C$44*(1+Inputs!$C$39)^(AI$136-1)*1</f>
        <v>-5834.95</v>
      </c>
      <c r="AJ182" s="69" t="n">
        <f aca="false">-Inputs!$C$44*(1+Inputs!$C$39)^(AJ$136-1)*1</f>
        <v>-5834.95</v>
      </c>
      <c r="AK182" s="69" t="n">
        <f aca="false">-Inputs!$C$44*(1+Inputs!$C$39)^(AK$136-1)*1</f>
        <v>-5834.95</v>
      </c>
      <c r="AL182" s="69" t="n">
        <f aca="false">-Inputs!$C$44*(1+Inputs!$C$39)^(AL$136-1)*1</f>
        <v>-5834.95</v>
      </c>
    </row>
    <row r="183" customFormat="false" ht="15" hidden="false" customHeight="false" outlineLevel="0" collapsed="false">
      <c r="A183" s="6" t="s">
        <v>343</v>
      </c>
      <c r="C183" s="69" t="n">
        <f aca="false">-Inputs!$C$45*(1+Inputs!$C$39)^(C$136-1)*1</f>
        <v>-9500</v>
      </c>
      <c r="D183" s="69" t="n">
        <f aca="false">-Inputs!$C$45*(1+Inputs!$C$39)^(D$136-1)*1</f>
        <v>-9500</v>
      </c>
      <c r="E183" s="69" t="n">
        <f aca="false">-Inputs!$C$45*(1+Inputs!$C$39)^(E$136-1)*1</f>
        <v>-9500</v>
      </c>
      <c r="F183" s="69" t="n">
        <f aca="false">-Inputs!$C$45*(1+Inputs!$C$39)^(F$136-1)*1</f>
        <v>-9500</v>
      </c>
      <c r="G183" s="69" t="n">
        <f aca="false">-Inputs!$C$45*(1+Inputs!$C$39)^(G$136-1)*1</f>
        <v>-9500</v>
      </c>
      <c r="H183" s="69" t="n">
        <f aca="false">-Inputs!$C$45*(1+Inputs!$C$39)^(H$136-1)*1</f>
        <v>-9500</v>
      </c>
      <c r="I183" s="69" t="n">
        <f aca="false">-Inputs!$C$45*(1+Inputs!$C$39)^(I$136-1)*1</f>
        <v>-9500</v>
      </c>
      <c r="J183" s="69" t="n">
        <f aca="false">-Inputs!$C$45*(1+Inputs!$C$39)^(J$136-1)*1</f>
        <v>-9500</v>
      </c>
      <c r="K183" s="69" t="n">
        <f aca="false">-Inputs!$C$45*(1+Inputs!$C$39)^(K$136-1)*1</f>
        <v>-9500</v>
      </c>
      <c r="L183" s="69" t="n">
        <f aca="false">-Inputs!$C$45*(1+Inputs!$C$39)^(L$136-1)*1</f>
        <v>-9500</v>
      </c>
      <c r="M183" s="69" t="n">
        <f aca="false">-Inputs!$C$45*(1+Inputs!$C$39)^(M$136-1)*1</f>
        <v>-9500</v>
      </c>
      <c r="N183" s="69" t="n">
        <f aca="false">-Inputs!$C$45*(1+Inputs!$C$39)^(N$136-1)*1</f>
        <v>-9500</v>
      </c>
      <c r="O183" s="69" t="n">
        <f aca="false">-Inputs!$C$45*(1+Inputs!$C$39)^(O$136-1)*1</f>
        <v>-9785</v>
      </c>
      <c r="P183" s="69" t="n">
        <f aca="false">-Inputs!$C$45*(1+Inputs!$C$39)^(P$136-1)*1</f>
        <v>-9785</v>
      </c>
      <c r="Q183" s="69" t="n">
        <f aca="false">-Inputs!$C$45*(1+Inputs!$C$39)^(Q$136-1)*1</f>
        <v>-9785</v>
      </c>
      <c r="R183" s="69" t="n">
        <f aca="false">-Inputs!$C$45*(1+Inputs!$C$39)^(R$136-1)*1</f>
        <v>-9785</v>
      </c>
      <c r="S183" s="69" t="n">
        <f aca="false">-Inputs!$C$45*(1+Inputs!$C$39)^(S$136-1)*1</f>
        <v>-9785</v>
      </c>
      <c r="T183" s="69" t="n">
        <f aca="false">-Inputs!$C$45*(1+Inputs!$C$39)^(T$136-1)*1</f>
        <v>-9785</v>
      </c>
      <c r="U183" s="69" t="n">
        <f aca="false">-Inputs!$C$45*(1+Inputs!$C$39)^(U$136-1)*1</f>
        <v>-9785</v>
      </c>
      <c r="V183" s="69" t="n">
        <f aca="false">-Inputs!$C$45*(1+Inputs!$C$39)^(V$136-1)*1</f>
        <v>-9785</v>
      </c>
      <c r="W183" s="69" t="n">
        <f aca="false">-Inputs!$C$45*(1+Inputs!$C$39)^(W$136-1)*1</f>
        <v>-9785</v>
      </c>
      <c r="X183" s="69" t="n">
        <f aca="false">-Inputs!$C$45*(1+Inputs!$C$39)^(X$136-1)*1</f>
        <v>-9785</v>
      </c>
      <c r="Y183" s="69" t="n">
        <f aca="false">-Inputs!$C$45*(1+Inputs!$C$39)^(Y$136-1)*1</f>
        <v>-9785</v>
      </c>
      <c r="Z183" s="69" t="n">
        <f aca="false">-Inputs!$C$45*(1+Inputs!$C$39)^(Z$136-1)*1</f>
        <v>-9785</v>
      </c>
      <c r="AA183" s="69" t="n">
        <f aca="false">-Inputs!$C$45*(1+Inputs!$C$39)^(AA$136-1)*1</f>
        <v>-10078.55</v>
      </c>
      <c r="AB183" s="69" t="n">
        <f aca="false">-Inputs!$C$45*(1+Inputs!$C$39)^(AB$136-1)*1</f>
        <v>-10078.55</v>
      </c>
      <c r="AC183" s="69" t="n">
        <f aca="false">-Inputs!$C$45*(1+Inputs!$C$39)^(AC$136-1)*1</f>
        <v>-10078.55</v>
      </c>
      <c r="AD183" s="69" t="n">
        <f aca="false">-Inputs!$C$45*(1+Inputs!$C$39)^(AD$136-1)*1</f>
        <v>-10078.55</v>
      </c>
      <c r="AE183" s="69" t="n">
        <f aca="false">-Inputs!$C$45*(1+Inputs!$C$39)^(AE$136-1)*1</f>
        <v>-10078.55</v>
      </c>
      <c r="AF183" s="69" t="n">
        <f aca="false">-Inputs!$C$45*(1+Inputs!$C$39)^(AF$136-1)*1</f>
        <v>-10078.55</v>
      </c>
      <c r="AG183" s="69" t="n">
        <f aca="false">-Inputs!$C$45*(1+Inputs!$C$39)^(AG$136-1)*1</f>
        <v>-10078.55</v>
      </c>
      <c r="AH183" s="69" t="n">
        <f aca="false">-Inputs!$C$45*(1+Inputs!$C$39)^(AH$136-1)*1</f>
        <v>-10078.55</v>
      </c>
      <c r="AI183" s="69" t="n">
        <f aca="false">-Inputs!$C$45*(1+Inputs!$C$39)^(AI$136-1)*1</f>
        <v>-10078.55</v>
      </c>
      <c r="AJ183" s="69" t="n">
        <f aca="false">-Inputs!$C$45*(1+Inputs!$C$39)^(AJ$136-1)*1</f>
        <v>-10078.55</v>
      </c>
      <c r="AK183" s="69" t="n">
        <f aca="false">-Inputs!$C$45*(1+Inputs!$C$39)^(AK$136-1)*1</f>
        <v>-10078.55</v>
      </c>
      <c r="AL183" s="69" t="n">
        <f aca="false">-Inputs!$C$45*(1+Inputs!$C$39)^(AL$136-1)*1</f>
        <v>-10078.55</v>
      </c>
    </row>
    <row r="184" customFormat="false" ht="15" hidden="false" customHeight="false" outlineLevel="0" collapsed="false">
      <c r="A184" s="6" t="s">
        <v>344</v>
      </c>
      <c r="C184" s="69" t="n">
        <f aca="false">-Inputs!$C$46*(1+Inputs!$C$47)^(C$136-1)*1</f>
        <v>-12000</v>
      </c>
      <c r="D184" s="69" t="n">
        <f aca="false">-Inputs!$C$46*(1+Inputs!$C$47)^(D$136-1)*1</f>
        <v>-12000</v>
      </c>
      <c r="E184" s="69" t="n">
        <f aca="false">-Inputs!$C$46*(1+Inputs!$C$47)^(E$136-1)*1</f>
        <v>-12000</v>
      </c>
      <c r="F184" s="69" t="n">
        <f aca="false">-Inputs!$C$46*(1+Inputs!$C$47)^(F$136-1)*1</f>
        <v>-12000</v>
      </c>
      <c r="G184" s="69" t="n">
        <f aca="false">-Inputs!$C$46*(1+Inputs!$C$47)^(G$136-1)*1</f>
        <v>-12000</v>
      </c>
      <c r="H184" s="69" t="n">
        <f aca="false">-Inputs!$C$46*(1+Inputs!$C$47)^(H$136-1)*1</f>
        <v>-12000</v>
      </c>
      <c r="I184" s="69" t="n">
        <f aca="false">-Inputs!$C$46*(1+Inputs!$C$47)^(I$136-1)*1</f>
        <v>-12000</v>
      </c>
      <c r="J184" s="69" t="n">
        <f aca="false">-Inputs!$C$46*(1+Inputs!$C$47)^(J$136-1)*1</f>
        <v>-12000</v>
      </c>
      <c r="K184" s="69" t="n">
        <f aca="false">-Inputs!$C$46*(1+Inputs!$C$47)^(K$136-1)*1</f>
        <v>-12000</v>
      </c>
      <c r="L184" s="69" t="n">
        <f aca="false">-Inputs!$C$46*(1+Inputs!$C$47)^(L$136-1)*1</f>
        <v>-12000</v>
      </c>
      <c r="M184" s="69" t="n">
        <f aca="false">-Inputs!$C$46*(1+Inputs!$C$47)^(M$136-1)*1</f>
        <v>-12000</v>
      </c>
      <c r="N184" s="69" t="n">
        <f aca="false">-Inputs!$C$46*(1+Inputs!$C$47)^(N$136-1)*1</f>
        <v>-12000</v>
      </c>
      <c r="O184" s="69" t="n">
        <f aca="false">-Inputs!$C$46*(1+Inputs!$C$47)^(O$136-1)*1</f>
        <v>-9600</v>
      </c>
      <c r="P184" s="69" t="n">
        <f aca="false">-Inputs!$C$46*(1+Inputs!$C$47)^(P$136-1)*1</f>
        <v>-9600</v>
      </c>
      <c r="Q184" s="69" t="n">
        <f aca="false">-Inputs!$C$46*(1+Inputs!$C$47)^(Q$136-1)*1</f>
        <v>-9600</v>
      </c>
      <c r="R184" s="69" t="n">
        <f aca="false">-Inputs!$C$46*(1+Inputs!$C$47)^(R$136-1)*1</f>
        <v>-9600</v>
      </c>
      <c r="S184" s="69" t="n">
        <f aca="false">-Inputs!$C$46*(1+Inputs!$C$47)^(S$136-1)*1</f>
        <v>-9600</v>
      </c>
      <c r="T184" s="69" t="n">
        <f aca="false">-Inputs!$C$46*(1+Inputs!$C$47)^(T$136-1)*1</f>
        <v>-9600</v>
      </c>
      <c r="U184" s="69" t="n">
        <f aca="false">-Inputs!$C$46*(1+Inputs!$C$47)^(U$136-1)*1</f>
        <v>-9600</v>
      </c>
      <c r="V184" s="69" t="n">
        <f aca="false">-Inputs!$C$46*(1+Inputs!$C$47)^(V$136-1)*1</f>
        <v>-9600</v>
      </c>
      <c r="W184" s="69" t="n">
        <f aca="false">-Inputs!$C$46*(1+Inputs!$C$47)^(W$136-1)*1</f>
        <v>-9600</v>
      </c>
      <c r="X184" s="69" t="n">
        <f aca="false">-Inputs!$C$46*(1+Inputs!$C$47)^(X$136-1)*1</f>
        <v>-9600</v>
      </c>
      <c r="Y184" s="69" t="n">
        <f aca="false">-Inputs!$C$46*(1+Inputs!$C$47)^(Y$136-1)*1</f>
        <v>-9600</v>
      </c>
      <c r="Z184" s="69" t="n">
        <f aca="false">-Inputs!$C$46*(1+Inputs!$C$47)^(Z$136-1)*1</f>
        <v>-9600</v>
      </c>
      <c r="AA184" s="69" t="n">
        <f aca="false">-Inputs!$C$46*(1+Inputs!$C$47)^(AA$136-1)*1</f>
        <v>-7680</v>
      </c>
      <c r="AB184" s="69" t="n">
        <f aca="false">-Inputs!$C$46*(1+Inputs!$C$47)^(AB$136-1)*1</f>
        <v>-7680</v>
      </c>
      <c r="AC184" s="69" t="n">
        <f aca="false">-Inputs!$C$46*(1+Inputs!$C$47)^(AC$136-1)*1</f>
        <v>-7680</v>
      </c>
      <c r="AD184" s="69" t="n">
        <f aca="false">-Inputs!$C$46*(1+Inputs!$C$47)^(AD$136-1)*1</f>
        <v>-7680</v>
      </c>
      <c r="AE184" s="69" t="n">
        <f aca="false">-Inputs!$C$46*(1+Inputs!$C$47)^(AE$136-1)*1</f>
        <v>-7680</v>
      </c>
      <c r="AF184" s="69" t="n">
        <f aca="false">-Inputs!$C$46*(1+Inputs!$C$47)^(AF$136-1)*1</f>
        <v>-7680</v>
      </c>
      <c r="AG184" s="69" t="n">
        <f aca="false">-Inputs!$C$46*(1+Inputs!$C$47)^(AG$136-1)*1</f>
        <v>-7680</v>
      </c>
      <c r="AH184" s="69" t="n">
        <f aca="false">-Inputs!$C$46*(1+Inputs!$C$47)^(AH$136-1)*1</f>
        <v>-7680</v>
      </c>
      <c r="AI184" s="69" t="n">
        <f aca="false">-Inputs!$C$46*(1+Inputs!$C$47)^(AI$136-1)*1</f>
        <v>-7680</v>
      </c>
      <c r="AJ184" s="69" t="n">
        <f aca="false">-Inputs!$C$46*(1+Inputs!$C$47)^(AJ$136-1)*1</f>
        <v>-7680</v>
      </c>
      <c r="AK184" s="69" t="n">
        <f aca="false">-Inputs!$C$46*(1+Inputs!$C$47)^(AK$136-1)*1</f>
        <v>-7680</v>
      </c>
      <c r="AL184" s="69" t="n">
        <f aca="false">-Inputs!$C$46*(1+Inputs!$C$47)^(AL$136-1)*1</f>
        <v>-7680</v>
      </c>
    </row>
    <row r="185" customFormat="false" ht="15" hidden="false" customHeight="false" outlineLevel="0" collapsed="false">
      <c r="A185" s="113" t="s">
        <v>77</v>
      </c>
      <c r="C185" s="70" t="n">
        <f aca="false">C180+C181+C182+C183+C184</f>
        <v>-93586.6666666667</v>
      </c>
      <c r="D185" s="70" t="n">
        <f aca="false">D180+D181+D182+D183+D184</f>
        <v>-93586.6666666667</v>
      </c>
      <c r="E185" s="70" t="n">
        <f aca="false">E180+E181+E182+E183+E184</f>
        <v>-93586.6666666667</v>
      </c>
      <c r="F185" s="70" t="n">
        <f aca="false">F180+F181+F182+F183+F184</f>
        <v>-93586.6666666667</v>
      </c>
      <c r="G185" s="70" t="n">
        <f aca="false">G180+G181+G182+G183+G184</f>
        <v>-93586.6666666667</v>
      </c>
      <c r="H185" s="70" t="n">
        <f aca="false">H180+H181+H182+H183+H184</f>
        <v>-93586.6666666667</v>
      </c>
      <c r="I185" s="70" t="n">
        <f aca="false">I180+I181+I182+I183+I184</f>
        <v>-93586.6666666667</v>
      </c>
      <c r="J185" s="70" t="n">
        <f aca="false">J180+J181+J182+J183+J184</f>
        <v>-93586.6666666667</v>
      </c>
      <c r="K185" s="70" t="n">
        <f aca="false">K180+K181+K182+K183+K184</f>
        <v>-93586.6666666667</v>
      </c>
      <c r="L185" s="70" t="n">
        <f aca="false">L180+L181+L182+L183+L184</f>
        <v>-93586.6666666667</v>
      </c>
      <c r="M185" s="70" t="n">
        <f aca="false">M180+M181+M182+M183+M184</f>
        <v>-93586.6666666667</v>
      </c>
      <c r="N185" s="70" t="n">
        <f aca="false">N180+N181+N182+N183+N184</f>
        <v>-93586.6666666667</v>
      </c>
      <c r="O185" s="70" t="n">
        <f aca="false">O180+O181+O182+O183+O184</f>
        <v>-93634.2666666667</v>
      </c>
      <c r="P185" s="70" t="n">
        <f aca="false">P180+P181+P182+P183+P184</f>
        <v>-93634.2666666667</v>
      </c>
      <c r="Q185" s="70" t="n">
        <f aca="false">Q180+Q181+Q182+Q183+Q184</f>
        <v>-93634.2666666667</v>
      </c>
      <c r="R185" s="70" t="n">
        <f aca="false">R180+R181+R182+R183+R184</f>
        <v>-93634.2666666667</v>
      </c>
      <c r="S185" s="70" t="n">
        <f aca="false">S180+S181+S182+S183+S184</f>
        <v>-93634.2666666667</v>
      </c>
      <c r="T185" s="70" t="n">
        <f aca="false">T180+T181+T182+T183+T184</f>
        <v>-93634.2666666667</v>
      </c>
      <c r="U185" s="70" t="n">
        <f aca="false">U180+U181+U182+U183+U184</f>
        <v>-93634.2666666667</v>
      </c>
      <c r="V185" s="70" t="n">
        <f aca="false">V180+V181+V182+V183+V184</f>
        <v>-93634.2666666667</v>
      </c>
      <c r="W185" s="70" t="n">
        <f aca="false">W180+W181+W182+W183+W184</f>
        <v>-93634.2666666667</v>
      </c>
      <c r="X185" s="70" t="n">
        <f aca="false">X180+X181+X182+X183+X184</f>
        <v>-93634.2666666667</v>
      </c>
      <c r="Y185" s="70" t="n">
        <f aca="false">Y180+Y181+Y182+Y183+Y184</f>
        <v>-93634.2666666667</v>
      </c>
      <c r="Z185" s="70" t="n">
        <f aca="false">Z180+Z181+Z182+Z183+Z184</f>
        <v>-93634.2666666667</v>
      </c>
      <c r="AA185" s="70" t="n">
        <f aca="false">AA180+AA181+AA182+AA183+AA184</f>
        <v>-94235.2946666667</v>
      </c>
      <c r="AB185" s="70" t="n">
        <f aca="false">AB180+AB181+AB182+AB183+AB184</f>
        <v>-94235.2946666667</v>
      </c>
      <c r="AC185" s="70" t="n">
        <f aca="false">AC180+AC181+AC182+AC183+AC184</f>
        <v>-94235.2946666667</v>
      </c>
      <c r="AD185" s="70" t="n">
        <f aca="false">AD180+AD181+AD182+AD183+AD184</f>
        <v>-94235.2946666667</v>
      </c>
      <c r="AE185" s="70" t="n">
        <f aca="false">AE180+AE181+AE182+AE183+AE184</f>
        <v>-94235.2946666667</v>
      </c>
      <c r="AF185" s="70" t="n">
        <f aca="false">AF180+AF181+AF182+AF183+AF184</f>
        <v>-94235.2946666667</v>
      </c>
      <c r="AG185" s="70" t="n">
        <f aca="false">AG180+AG181+AG182+AG183+AG184</f>
        <v>-94235.2946666667</v>
      </c>
      <c r="AH185" s="70" t="n">
        <f aca="false">AH180+AH181+AH182+AH183+AH184</f>
        <v>-94235.2946666667</v>
      </c>
      <c r="AI185" s="70" t="n">
        <f aca="false">AI180+AI181+AI182+AI183+AI184</f>
        <v>-94235.2946666667</v>
      </c>
      <c r="AJ185" s="70" t="n">
        <f aca="false">AJ180+AJ181+AJ182+AJ183+AJ184</f>
        <v>-94235.2946666667</v>
      </c>
      <c r="AK185" s="70" t="n">
        <f aca="false">AK180+AK181+AK182+AK183+AK184</f>
        <v>-94235.2946666667</v>
      </c>
      <c r="AL185" s="70" t="n">
        <f aca="false">AL180+AL181+AL182+AL183+AL184</f>
        <v>-94235.2946666667</v>
      </c>
    </row>
    <row r="186" customFormat="false" ht="15" hidden="false" customHeight="false" outlineLevel="0" collapsed="false">
      <c r="A186" s="113" t="s">
        <v>48</v>
      </c>
      <c r="C186" s="70" t="n">
        <f aca="false">C177+C185</f>
        <v>-52715.2544125667</v>
      </c>
      <c r="D186" s="70" t="n">
        <f aca="false">D177+D185</f>
        <v>-47169.179570764</v>
      </c>
      <c r="E186" s="70" t="n">
        <f aca="false">E177+E185</f>
        <v>-31890.1001241627</v>
      </c>
      <c r="F186" s="70" t="n">
        <f aca="false">F177+F185</f>
        <v>-24896.4647094518</v>
      </c>
      <c r="G186" s="70" t="n">
        <f aca="false">G177+G185</f>
        <v>-17775.1087070848</v>
      </c>
      <c r="H186" s="70" t="n">
        <f aca="false">H177+H185</f>
        <v>-10531.1409405681</v>
      </c>
      <c r="I186" s="70" t="n">
        <f aca="false">I177+I185</f>
        <v>-3169.46588046759</v>
      </c>
      <c r="J186" s="70" t="n">
        <f aca="false">J177+J185</f>
        <v>4305.20818147335</v>
      </c>
      <c r="K186" s="70" t="n">
        <f aca="false">K177+K185</f>
        <v>11888.3612851811</v>
      </c>
      <c r="L186" s="70" t="n">
        <f aca="false">L177+L185</f>
        <v>19575.654268985</v>
      </c>
      <c r="M186" s="70" t="n">
        <f aca="false">M177+M185</f>
        <v>21716.7869555589</v>
      </c>
      <c r="N186" s="70" t="n">
        <f aca="false">N177+N185</f>
        <v>7381.49638357262</v>
      </c>
      <c r="O186" s="70" t="n">
        <f aca="false">O177+O185</f>
        <v>13285.4975743402</v>
      </c>
      <c r="P186" s="70" t="n">
        <f aca="false">P177+P185</f>
        <v>15096.6550273763</v>
      </c>
      <c r="Q186" s="70" t="n">
        <f aca="false">Q177+Q185</f>
        <v>33840.7368269019</v>
      </c>
      <c r="R186" s="70" t="n">
        <f aca="false">R177+R185</f>
        <v>35763.6031619908</v>
      </c>
      <c r="S186" s="70" t="n">
        <f aca="false">S177+S185</f>
        <v>37609.554843676</v>
      </c>
      <c r="T186" s="70" t="n">
        <f aca="false">T177+T185</f>
        <v>39381.668458094</v>
      </c>
      <c r="U186" s="70" t="n">
        <f aca="false">U177+U185</f>
        <v>41082.8975279352</v>
      </c>
      <c r="V186" s="70" t="n">
        <f aca="false">V177+V185</f>
        <v>42716.0774349827</v>
      </c>
      <c r="W186" s="70" t="n">
        <f aca="false">W177+W185</f>
        <v>44283.9301457483</v>
      </c>
      <c r="X186" s="70" t="n">
        <f aca="false">X177+X185</f>
        <v>45789.0687480833</v>
      </c>
      <c r="Y186" s="70" t="n">
        <f aca="false">Y177+Y185</f>
        <v>47234.0018063249</v>
      </c>
      <c r="Z186" s="70" t="n">
        <f aca="false">Z177+Z185</f>
        <v>32226.130733046</v>
      </c>
      <c r="AA186" s="70" t="n">
        <f aca="false">AA177+AA185</f>
        <v>37451.3738221199</v>
      </c>
      <c r="AB186" s="70" t="n">
        <f aca="false">AB177+AB185</f>
        <v>38602.1674695305</v>
      </c>
      <c r="AC186" s="70" t="n">
        <f aca="false">AC177+AC185</f>
        <v>56810.1431026889</v>
      </c>
      <c r="AD186" s="70" t="n">
        <f aca="false">AD177+AD185</f>
        <v>58163.5434300516</v>
      </c>
      <c r="AE186" s="70" t="n">
        <f aca="false">AE177+AE185</f>
        <v>59462.8077443198</v>
      </c>
      <c r="AF186" s="70" t="n">
        <f aca="false">AF177+AF185</f>
        <v>60710.1014860173</v>
      </c>
      <c r="AG186" s="70" t="n">
        <f aca="false">AG177+AG185</f>
        <v>61907.5034780469</v>
      </c>
      <c r="AH186" s="70" t="n">
        <f aca="false">AH177+AH185</f>
        <v>63057.0093903953</v>
      </c>
      <c r="AI186" s="70" t="n">
        <f aca="false">AI177+AI185</f>
        <v>64160.5350662498</v>
      </c>
      <c r="AJ186" s="70" t="n">
        <f aca="false">AJ177+AJ185</f>
        <v>65219.9197150701</v>
      </c>
      <c r="AK186" s="70" t="n">
        <f aca="false">AK177+AK185</f>
        <v>66236.9289779375</v>
      </c>
      <c r="AL186" s="70" t="n">
        <f aca="false">AL177+AL185</f>
        <v>50544.7816391896</v>
      </c>
    </row>
    <row r="188" customFormat="false" ht="15.75" hidden="false" customHeight="true" outlineLevel="0" collapsed="false">
      <c r="A188" s="7" t="s">
        <v>417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customFormat="false" ht="15" hidden="false" customHeight="false" outlineLevel="0" collapsed="false">
      <c r="A189" s="4" t="s">
        <v>79</v>
      </c>
      <c r="C189" s="75" t="n">
        <f aca="false">C186+C206</f>
        <v>-81187.4766347889</v>
      </c>
      <c r="D189" s="75" t="n">
        <f aca="false">D186+D206</f>
        <v>-75641.4017929862</v>
      </c>
      <c r="E189" s="75" t="n">
        <f aca="false">E186+E206</f>
        <v>-60362.3223463849</v>
      </c>
      <c r="F189" s="75" t="n">
        <f aca="false">F186+F206</f>
        <v>-53368.686931674</v>
      </c>
      <c r="G189" s="75" t="n">
        <f aca="false">G186+G206</f>
        <v>-46247.330929307</v>
      </c>
      <c r="H189" s="75" t="n">
        <f aca="false">H186+H206</f>
        <v>-39003.3631627903</v>
      </c>
      <c r="I189" s="75" t="n">
        <f aca="false">I186+I206</f>
        <v>-31641.6881026898</v>
      </c>
      <c r="J189" s="75" t="n">
        <f aca="false">J186+J206</f>
        <v>-24167.0140407489</v>
      </c>
      <c r="K189" s="75" t="n">
        <f aca="false">K186+K206</f>
        <v>-16583.8609370411</v>
      </c>
      <c r="L189" s="75" t="n">
        <f aca="false">L186+L206</f>
        <v>-8896.56795323726</v>
      </c>
      <c r="M189" s="75" t="n">
        <f aca="false">M186+M206</f>
        <v>-6755.43526666334</v>
      </c>
      <c r="N189" s="75" t="n">
        <f aca="false">N186+N206</f>
        <v>-21090.7258386496</v>
      </c>
      <c r="O189" s="75" t="n">
        <f aca="false">O186+O206</f>
        <v>-15464.5024256598</v>
      </c>
      <c r="P189" s="75" t="n">
        <f aca="false">P186+P206</f>
        <v>-13653.3449726237</v>
      </c>
      <c r="Q189" s="75" t="n">
        <f aca="false">Q186+Q206</f>
        <v>5090.73682690191</v>
      </c>
      <c r="R189" s="75" t="n">
        <f aca="false">R186+R206</f>
        <v>7013.60316199076</v>
      </c>
      <c r="S189" s="75" t="n">
        <f aca="false">S186+S206</f>
        <v>8859.55484367604</v>
      </c>
      <c r="T189" s="75" t="n">
        <f aca="false">T186+T206</f>
        <v>10631.6684580939</v>
      </c>
      <c r="U189" s="75" t="n">
        <f aca="false">U186+U206</f>
        <v>12332.8975279352</v>
      </c>
      <c r="V189" s="75" t="n">
        <f aca="false">V186+V206</f>
        <v>13966.0774349827</v>
      </c>
      <c r="W189" s="75" t="n">
        <f aca="false">W186+W206</f>
        <v>15533.9301457483</v>
      </c>
      <c r="X189" s="75" t="n">
        <f aca="false">X186+X206</f>
        <v>17039.0687480833</v>
      </c>
      <c r="Y189" s="75" t="n">
        <f aca="false">Y186+Y206</f>
        <v>18484.0018063249</v>
      </c>
      <c r="Z189" s="75" t="n">
        <f aca="false">Z186+Z206</f>
        <v>3476.13073304603</v>
      </c>
      <c r="AA189" s="75" t="n">
        <f aca="false">AA186+AA206</f>
        <v>8423.59604434211</v>
      </c>
      <c r="AB189" s="75" t="n">
        <f aca="false">AB186+AB206</f>
        <v>9574.38969175272</v>
      </c>
      <c r="AC189" s="75" t="n">
        <f aca="false">AC186+AC206</f>
        <v>27782.3653249111</v>
      </c>
      <c r="AD189" s="75" t="n">
        <f aca="false">AD186+AD206</f>
        <v>29135.7656522738</v>
      </c>
      <c r="AE189" s="75" t="n">
        <f aca="false">AE186+AE206</f>
        <v>30435.0299665421</v>
      </c>
      <c r="AF189" s="75" t="n">
        <f aca="false">AF186+AF206</f>
        <v>31682.3237082395</v>
      </c>
      <c r="AG189" s="75" t="n">
        <f aca="false">AG186+AG206</f>
        <v>32879.7257002691</v>
      </c>
      <c r="AH189" s="75" t="n">
        <f aca="false">AH186+AH206</f>
        <v>34029.2316126175</v>
      </c>
      <c r="AI189" s="75" t="n">
        <f aca="false">AI186+AI206</f>
        <v>35132.757288472</v>
      </c>
      <c r="AJ189" s="75" t="n">
        <f aca="false">AJ186+AJ206</f>
        <v>36192.1419372923</v>
      </c>
      <c r="AK189" s="75" t="n">
        <f aca="false">AK186+AK206</f>
        <v>37209.1512001598</v>
      </c>
      <c r="AL189" s="75" t="n">
        <f aca="false">AL186+AL206</f>
        <v>21517.0038614118</v>
      </c>
    </row>
    <row r="190" customFormat="false" ht="15" hidden="false" customHeight="false" outlineLevel="0" collapsed="false">
      <c r="A190" s="6" t="s">
        <v>418</v>
      </c>
      <c r="C190" s="69" t="n">
        <f aca="false">-(C211+C212+C214)/2*Inputs!$C$71/12</f>
        <v>-21250</v>
      </c>
      <c r="D190" s="69" t="n">
        <f aca="false">-(D211+D212+D214)/2*Inputs!$C$71/12</f>
        <v>-21161.4583333333</v>
      </c>
      <c r="E190" s="69" t="n">
        <f aca="false">-(E211+E212+E214)/2*Inputs!$C$71/12</f>
        <v>-20984.375</v>
      </c>
      <c r="F190" s="69" t="n">
        <f aca="false">-(F211+F212+F214)/2*Inputs!$C$71/12</f>
        <v>-20807.2916666667</v>
      </c>
      <c r="G190" s="69" t="n">
        <f aca="false">-(G211+G212+G214)/2*Inputs!$C$71/12</f>
        <v>-20630.2083333333</v>
      </c>
      <c r="H190" s="69" t="n">
        <f aca="false">-(H211+H212+H214)/2*Inputs!$C$71/12</f>
        <v>-20453.125</v>
      </c>
      <c r="I190" s="69" t="n">
        <f aca="false">-(I211+I212+I214)/2*Inputs!$C$71/12</f>
        <v>-20276.0416666667</v>
      </c>
      <c r="J190" s="69" t="n">
        <f aca="false">-(J211+J212+J214)/2*Inputs!$C$71/12</f>
        <v>-20098.9583333333</v>
      </c>
      <c r="K190" s="69" t="n">
        <f aca="false">-(K211+K212+K214)/2*Inputs!$C$71/12</f>
        <v>-19921.875</v>
      </c>
      <c r="L190" s="69" t="n">
        <f aca="false">-(L211+L212+L214)/2*Inputs!$C$71/12</f>
        <v>-19744.7916666667</v>
      </c>
      <c r="M190" s="69" t="n">
        <f aca="false">-(M211+M212+M214)/2*Inputs!$C$71/12</f>
        <v>-19567.7083333333</v>
      </c>
      <c r="N190" s="69" t="n">
        <f aca="false">-(N211+N212+N214)/2*Inputs!$C$71/12</f>
        <v>-19390.625</v>
      </c>
      <c r="O190" s="69" t="n">
        <f aca="false">-(O211+O212+O214)/2*Inputs!$C$71/12</f>
        <v>-19213.5416666667</v>
      </c>
      <c r="P190" s="69" t="n">
        <f aca="false">-(P211+P212+P214)/2*Inputs!$C$71/12</f>
        <v>-19036.4583333333</v>
      </c>
      <c r="Q190" s="69" t="n">
        <f aca="false">-(Q211+Q212+Q214)/2*Inputs!$C$71/12</f>
        <v>-18859.375</v>
      </c>
      <c r="R190" s="69" t="n">
        <f aca="false">-(R211+R212+R214)/2*Inputs!$C$71/12</f>
        <v>-18682.2916666667</v>
      </c>
      <c r="S190" s="69" t="n">
        <f aca="false">-(S211+S212+S214)/2*Inputs!$C$71/12</f>
        <v>-18505.2083333333</v>
      </c>
      <c r="T190" s="69" t="n">
        <f aca="false">-(T211+T212+T214)/2*Inputs!$C$71/12</f>
        <v>-18328.125</v>
      </c>
      <c r="U190" s="69" t="n">
        <f aca="false">-(U211+U212+U214)/2*Inputs!$C$71/12</f>
        <v>-18151.0416666667</v>
      </c>
      <c r="V190" s="69" t="n">
        <f aca="false">-(V211+V212+V214)/2*Inputs!$C$71/12</f>
        <v>-17973.9583333333</v>
      </c>
      <c r="W190" s="69" t="n">
        <f aca="false">-(W211+W212+W214)/2*Inputs!$C$71/12</f>
        <v>-17796.875</v>
      </c>
      <c r="X190" s="69" t="n">
        <f aca="false">-(X211+X212+X214)/2*Inputs!$C$71/12</f>
        <v>-17619.7916666667</v>
      </c>
      <c r="Y190" s="69" t="n">
        <f aca="false">-(Y211+Y212+Y214)/2*Inputs!$C$71/12</f>
        <v>-17442.7083333333</v>
      </c>
      <c r="Z190" s="69" t="n">
        <f aca="false">-(Z211+Z212+Z214)/2*Inputs!$C$71/12</f>
        <v>-17265.625</v>
      </c>
      <c r="AA190" s="69" t="n">
        <f aca="false">-(AA211+AA212+AA214)/2*Inputs!$C$71/12</f>
        <v>-17088.5416666667</v>
      </c>
      <c r="AB190" s="69" t="n">
        <f aca="false">-(AB211+AB212+AB214)/2*Inputs!$C$71/12</f>
        <v>-16911.4583333333</v>
      </c>
      <c r="AC190" s="69" t="n">
        <f aca="false">-(AC211+AC212+AC214)/2*Inputs!$C$71/12</f>
        <v>-16734.375</v>
      </c>
      <c r="AD190" s="69" t="n">
        <f aca="false">-(AD211+AD212+AD214)/2*Inputs!$C$71/12</f>
        <v>-16557.2916666667</v>
      </c>
      <c r="AE190" s="69" t="n">
        <f aca="false">-(AE211+AE212+AE214)/2*Inputs!$C$71/12</f>
        <v>-16380.2083333333</v>
      </c>
      <c r="AF190" s="69" t="n">
        <f aca="false">-(AF211+AF212+AF214)/2*Inputs!$C$71/12</f>
        <v>-16203.125</v>
      </c>
      <c r="AG190" s="69" t="n">
        <f aca="false">-(AG211+AG212+AG214)/2*Inputs!$C$71/12</f>
        <v>-16026.0416666667</v>
      </c>
      <c r="AH190" s="69" t="n">
        <f aca="false">-(AH211+AH212+AH214)/2*Inputs!$C$71/12</f>
        <v>-15848.9583333333</v>
      </c>
      <c r="AI190" s="69" t="n">
        <f aca="false">-(AI211+AI212+AI214)/2*Inputs!$C$71/12</f>
        <v>-15671.875</v>
      </c>
      <c r="AJ190" s="69" t="n">
        <f aca="false">-(AJ211+AJ212+AJ214)/2*Inputs!$C$71/12</f>
        <v>-15494.7916666667</v>
      </c>
      <c r="AK190" s="69" t="n">
        <f aca="false">-(AK211+AK212+AK214)/2*Inputs!$C$71/12</f>
        <v>-15317.7083333333</v>
      </c>
      <c r="AL190" s="69" t="n">
        <f aca="false">-(AL211+AL212+AL214)/2*Inputs!$C$71/12</f>
        <v>-15140.625</v>
      </c>
    </row>
    <row r="191" customFormat="false" ht="15" hidden="false" customHeight="false" outlineLevel="0" collapsed="false">
      <c r="A191" s="113" t="s">
        <v>81</v>
      </c>
      <c r="C191" s="70" t="n">
        <f aca="false">C189+C190</f>
        <v>-102437.476634789</v>
      </c>
      <c r="D191" s="70" t="n">
        <f aca="false">D189+D190</f>
        <v>-96802.8601263196</v>
      </c>
      <c r="E191" s="70" t="n">
        <f aca="false">E189+E190</f>
        <v>-81346.6973463849</v>
      </c>
      <c r="F191" s="70" t="n">
        <f aca="false">F189+F190</f>
        <v>-74175.9785983407</v>
      </c>
      <c r="G191" s="70" t="n">
        <f aca="false">G189+G190</f>
        <v>-66877.5392626404</v>
      </c>
      <c r="H191" s="70" t="n">
        <f aca="false">H189+H190</f>
        <v>-59456.4881627903</v>
      </c>
      <c r="I191" s="70" t="n">
        <f aca="false">I189+I190</f>
        <v>-51917.7297693565</v>
      </c>
      <c r="J191" s="70" t="n">
        <f aca="false">J189+J190</f>
        <v>-44265.9723740822</v>
      </c>
      <c r="K191" s="70" t="n">
        <f aca="false">K189+K190</f>
        <v>-36505.7359370411</v>
      </c>
      <c r="L191" s="70" t="n">
        <f aca="false">L189+L190</f>
        <v>-28641.3596199039</v>
      </c>
      <c r="M191" s="70" t="n">
        <f aca="false">M189+M190</f>
        <v>-26323.1435999967</v>
      </c>
      <c r="N191" s="70" t="n">
        <f aca="false">N189+N190</f>
        <v>-40481.3508386496</v>
      </c>
      <c r="O191" s="70" t="n">
        <f aca="false">O189+O190</f>
        <v>-34678.0440923265</v>
      </c>
      <c r="P191" s="70" t="n">
        <f aca="false">P189+P190</f>
        <v>-32689.803305957</v>
      </c>
      <c r="Q191" s="70" t="n">
        <f aca="false">Q189+Q190</f>
        <v>-13768.6381730981</v>
      </c>
      <c r="R191" s="70" t="n">
        <f aca="false">R189+R190</f>
        <v>-11668.6885046759</v>
      </c>
      <c r="S191" s="70" t="n">
        <f aca="false">S189+S190</f>
        <v>-9645.65348965729</v>
      </c>
      <c r="T191" s="70" t="n">
        <f aca="false">T189+T190</f>
        <v>-7696.45654190606</v>
      </c>
      <c r="U191" s="70" t="n">
        <f aca="false">U189+U190</f>
        <v>-5818.14413873151</v>
      </c>
      <c r="V191" s="70" t="n">
        <f aca="false">V189+V190</f>
        <v>-4007.88089835067</v>
      </c>
      <c r="W191" s="70" t="n">
        <f aca="false">W189+W190</f>
        <v>-2262.94485425172</v>
      </c>
      <c r="X191" s="70" t="n">
        <f aca="false">X189+X190</f>
        <v>-580.722918583382</v>
      </c>
      <c r="Y191" s="70" t="n">
        <f aca="false">Y189+Y190</f>
        <v>1041.29347299157</v>
      </c>
      <c r="Z191" s="70" t="n">
        <f aca="false">Z189+Z190</f>
        <v>-13789.494266954</v>
      </c>
      <c r="AA191" s="70" t="n">
        <f aca="false">AA189+AA190</f>
        <v>-8664.94562232456</v>
      </c>
      <c r="AB191" s="70" t="n">
        <f aca="false">AB189+AB190</f>
        <v>-7337.06864158062</v>
      </c>
      <c r="AC191" s="70" t="n">
        <f aca="false">AC189+AC190</f>
        <v>11047.9903249111</v>
      </c>
      <c r="AD191" s="70" t="n">
        <f aca="false">AD189+AD190</f>
        <v>12578.4739856072</v>
      </c>
      <c r="AE191" s="70" t="n">
        <f aca="false">AE189+AE190</f>
        <v>14054.8216332087</v>
      </c>
      <c r="AF191" s="70" t="n">
        <f aca="false">AF189+AF190</f>
        <v>15479.1987082395</v>
      </c>
      <c r="AG191" s="70" t="n">
        <f aca="false">AG189+AG190</f>
        <v>16853.6840336025</v>
      </c>
      <c r="AH191" s="70" t="n">
        <f aca="false">AH189+AH190</f>
        <v>18180.2732792842</v>
      </c>
      <c r="AI191" s="70" t="n">
        <f aca="false">AI189+AI190</f>
        <v>19460.882288472</v>
      </c>
      <c r="AJ191" s="70" t="n">
        <f aca="false">AJ189+AJ190</f>
        <v>20697.3502706256</v>
      </c>
      <c r="AK191" s="70" t="n">
        <f aca="false">AK189+AK190</f>
        <v>21891.4428668264</v>
      </c>
      <c r="AL191" s="70" t="n">
        <f aca="false">AL189+AL190</f>
        <v>6376.37886141181</v>
      </c>
    </row>
    <row r="192" customFormat="false" ht="15" hidden="false" customHeight="false" outlineLevel="0" collapsed="false">
      <c r="A192" s="116" t="s">
        <v>419</v>
      </c>
      <c r="C192" s="69" t="n">
        <f aca="false">C191</f>
        <v>-102437.476634789</v>
      </c>
      <c r="D192" s="69" t="n">
        <f aca="false">C192+D191</f>
        <v>-199240.336761108</v>
      </c>
      <c r="E192" s="69" t="n">
        <f aca="false">D192+E191</f>
        <v>-280587.034107493</v>
      </c>
      <c r="F192" s="69" t="n">
        <f aca="false">E192+F191</f>
        <v>-354763.012705834</v>
      </c>
      <c r="G192" s="69" t="n">
        <f aca="false">F192+G191</f>
        <v>-421640.551968474</v>
      </c>
      <c r="H192" s="69" t="n">
        <f aca="false">G192+H191</f>
        <v>-481097.040131265</v>
      </c>
      <c r="I192" s="69" t="n">
        <f aca="false">H192+I191</f>
        <v>-533014.769900621</v>
      </c>
      <c r="J192" s="69" t="n">
        <f aca="false">I192+J191</f>
        <v>-577280.742274703</v>
      </c>
      <c r="K192" s="69" t="n">
        <f aca="false">J192+K191</f>
        <v>-613786.478211745</v>
      </c>
      <c r="L192" s="69" t="n">
        <f aca="false">K192+L191</f>
        <v>-642427.837831648</v>
      </c>
      <c r="M192" s="69" t="n">
        <f aca="false">L192+M191</f>
        <v>-668750.981431645</v>
      </c>
      <c r="N192" s="69" t="n">
        <f aca="false">M192+N191</f>
        <v>-709232.332270295</v>
      </c>
      <c r="O192" s="69" t="n">
        <f aca="false">N192+O191</f>
        <v>-743910.376362621</v>
      </c>
      <c r="P192" s="69" t="n">
        <f aca="false">O192+P191</f>
        <v>-776600.179668578</v>
      </c>
      <c r="Q192" s="69" t="n">
        <f aca="false">P192+Q191</f>
        <v>-790368.817841676</v>
      </c>
      <c r="R192" s="69" t="n">
        <f aca="false">Q192+R191</f>
        <v>-802037.506346352</v>
      </c>
      <c r="S192" s="69" t="n">
        <f aca="false">R192+S191</f>
        <v>-811683.159836009</v>
      </c>
      <c r="T192" s="69" t="n">
        <f aca="false">S192+T191</f>
        <v>-819379.616377916</v>
      </c>
      <c r="U192" s="69" t="n">
        <f aca="false">T192+U191</f>
        <v>-825197.760516647</v>
      </c>
      <c r="V192" s="69" t="n">
        <f aca="false">U192+V191</f>
        <v>-829205.641414998</v>
      </c>
      <c r="W192" s="69" t="n">
        <f aca="false">V192+W191</f>
        <v>-831468.586269249</v>
      </c>
      <c r="X192" s="69" t="n">
        <f aca="false">W192+X191</f>
        <v>-832049.309187833</v>
      </c>
      <c r="Y192" s="69" t="n">
        <f aca="false">X192+Y191</f>
        <v>-831008.015714841</v>
      </c>
      <c r="Z192" s="69" t="n">
        <f aca="false">Y192+Z191</f>
        <v>-844797.509981795</v>
      </c>
      <c r="AA192" s="69" t="n">
        <f aca="false">Z192+AA191</f>
        <v>-853462.45560412</v>
      </c>
      <c r="AB192" s="69" t="n">
        <f aca="false">AA192+AB191</f>
        <v>-860799.5242457</v>
      </c>
      <c r="AC192" s="69" t="n">
        <f aca="false">AB192+AC191</f>
        <v>-849751.533920789</v>
      </c>
      <c r="AD192" s="69" t="n">
        <f aca="false">AC192+AD191</f>
        <v>-837173.059935182</v>
      </c>
      <c r="AE192" s="69" t="n">
        <f aca="false">AD192+AE191</f>
        <v>-823118.238301974</v>
      </c>
      <c r="AF192" s="69" t="n">
        <f aca="false">AE192+AF191</f>
        <v>-807639.039593734</v>
      </c>
      <c r="AG192" s="69" t="n">
        <f aca="false">AF192+AG191</f>
        <v>-790785.355560132</v>
      </c>
      <c r="AH192" s="69" t="n">
        <f aca="false">AG192+AH191</f>
        <v>-772605.082280848</v>
      </c>
      <c r="AI192" s="69" t="n">
        <f aca="false">AH192+AI191</f>
        <v>-753144.199992375</v>
      </c>
      <c r="AJ192" s="69" t="n">
        <f aca="false">AI192+AJ191</f>
        <v>-732446.84972175</v>
      </c>
      <c r="AK192" s="69" t="n">
        <f aca="false">AJ192+AK191</f>
        <v>-710555.406854923</v>
      </c>
      <c r="AL192" s="69" t="n">
        <f aca="false">AK192+AL191</f>
        <v>-704179.027993512</v>
      </c>
    </row>
    <row r="193" customFormat="false" ht="15" hidden="false" customHeight="false" outlineLevel="0" collapsed="false">
      <c r="A193" s="116" t="s">
        <v>420</v>
      </c>
      <c r="C193" s="69" t="n">
        <f aca="false">MAX(0,C192)</f>
        <v>0</v>
      </c>
      <c r="D193" s="69" t="n">
        <f aca="false">MAX(C193,D192)</f>
        <v>0</v>
      </c>
      <c r="E193" s="69" t="n">
        <f aca="false">MAX(D193,E192)</f>
        <v>0</v>
      </c>
      <c r="F193" s="69" t="n">
        <f aca="false">MAX(E193,F192)</f>
        <v>0</v>
      </c>
      <c r="G193" s="69" t="n">
        <f aca="false">MAX(F193,G192)</f>
        <v>0</v>
      </c>
      <c r="H193" s="69" t="n">
        <f aca="false">MAX(G193,H192)</f>
        <v>0</v>
      </c>
      <c r="I193" s="69" t="n">
        <f aca="false">MAX(H193,I192)</f>
        <v>0</v>
      </c>
      <c r="J193" s="69" t="n">
        <f aca="false">MAX(I193,J192)</f>
        <v>0</v>
      </c>
      <c r="K193" s="69" t="n">
        <f aca="false">MAX(J193,K192)</f>
        <v>0</v>
      </c>
      <c r="L193" s="69" t="n">
        <f aca="false">MAX(K193,L192)</f>
        <v>0</v>
      </c>
      <c r="M193" s="69" t="n">
        <f aca="false">MAX(L193,M192)</f>
        <v>0</v>
      </c>
      <c r="N193" s="69" t="n">
        <f aca="false">MAX(M193,N192)</f>
        <v>0</v>
      </c>
      <c r="O193" s="69" t="n">
        <f aca="false">MAX(N193,O192)</f>
        <v>0</v>
      </c>
      <c r="P193" s="69" t="n">
        <f aca="false">MAX(O193,P192)</f>
        <v>0</v>
      </c>
      <c r="Q193" s="69" t="n">
        <f aca="false">MAX(P193,Q192)</f>
        <v>0</v>
      </c>
      <c r="R193" s="69" t="n">
        <f aca="false">MAX(Q193,R192)</f>
        <v>0</v>
      </c>
      <c r="S193" s="69" t="n">
        <f aca="false">MAX(R193,S192)</f>
        <v>0</v>
      </c>
      <c r="T193" s="69" t="n">
        <f aca="false">MAX(S193,T192)</f>
        <v>0</v>
      </c>
      <c r="U193" s="69" t="n">
        <f aca="false">MAX(T193,U192)</f>
        <v>0</v>
      </c>
      <c r="V193" s="69" t="n">
        <f aca="false">MAX(U193,V192)</f>
        <v>0</v>
      </c>
      <c r="W193" s="69" t="n">
        <f aca="false">MAX(V193,W192)</f>
        <v>0</v>
      </c>
      <c r="X193" s="69" t="n">
        <f aca="false">MAX(W193,X192)</f>
        <v>0</v>
      </c>
      <c r="Y193" s="69" t="n">
        <f aca="false">MAX(X193,Y192)</f>
        <v>0</v>
      </c>
      <c r="Z193" s="69" t="n">
        <f aca="false">MAX(Y193,Z192)</f>
        <v>0</v>
      </c>
      <c r="AA193" s="69" t="n">
        <f aca="false">MAX(Z193,AA192)</f>
        <v>0</v>
      </c>
      <c r="AB193" s="69" t="n">
        <f aca="false">MAX(AA193,AB192)</f>
        <v>0</v>
      </c>
      <c r="AC193" s="69" t="n">
        <f aca="false">MAX(AB193,AC192)</f>
        <v>0</v>
      </c>
      <c r="AD193" s="69" t="n">
        <f aca="false">MAX(AC193,AD192)</f>
        <v>0</v>
      </c>
      <c r="AE193" s="69" t="n">
        <f aca="false">MAX(AD193,AE192)</f>
        <v>0</v>
      </c>
      <c r="AF193" s="69" t="n">
        <f aca="false">MAX(AE193,AF192)</f>
        <v>0</v>
      </c>
      <c r="AG193" s="69" t="n">
        <f aca="false">MAX(AF193,AG192)</f>
        <v>0</v>
      </c>
      <c r="AH193" s="69" t="n">
        <f aca="false">MAX(AG193,AH192)</f>
        <v>0</v>
      </c>
      <c r="AI193" s="69" t="n">
        <f aca="false">MAX(AH193,AI192)</f>
        <v>0</v>
      </c>
      <c r="AJ193" s="69" t="n">
        <f aca="false">MAX(AI193,AJ192)</f>
        <v>0</v>
      </c>
      <c r="AK193" s="69" t="n">
        <f aca="false">MAX(AJ193,AK192)</f>
        <v>0</v>
      </c>
      <c r="AL193" s="69" t="n">
        <f aca="false">MAX(AK193,AL192)</f>
        <v>0</v>
      </c>
    </row>
    <row r="194" customFormat="false" ht="15" hidden="false" customHeight="false" outlineLevel="0" collapsed="false">
      <c r="A194" s="6" t="s">
        <v>82</v>
      </c>
      <c r="C194" s="69" t="n">
        <f aca="false">-C193*Inputs!$C$81</f>
        <v>-0</v>
      </c>
      <c r="D194" s="69" t="n">
        <f aca="false">-(D193-C193)*Inputs!$C$81</f>
        <v>-0</v>
      </c>
      <c r="E194" s="69" t="n">
        <f aca="false">-(E193-D193)*Inputs!$C$81</f>
        <v>-0</v>
      </c>
      <c r="F194" s="69" t="n">
        <f aca="false">-(F193-E193)*Inputs!$C$81</f>
        <v>-0</v>
      </c>
      <c r="G194" s="69" t="n">
        <f aca="false">-(G193-F193)*Inputs!$C$81</f>
        <v>-0</v>
      </c>
      <c r="H194" s="69" t="n">
        <f aca="false">-(H193-G193)*Inputs!$C$81</f>
        <v>-0</v>
      </c>
      <c r="I194" s="69" t="n">
        <f aca="false">-(I193-H193)*Inputs!$C$81</f>
        <v>-0</v>
      </c>
      <c r="J194" s="69" t="n">
        <f aca="false">-(J193-I193)*Inputs!$C$81</f>
        <v>-0</v>
      </c>
      <c r="K194" s="69" t="n">
        <f aca="false">-(K193-J193)*Inputs!$C$81</f>
        <v>-0</v>
      </c>
      <c r="L194" s="69" t="n">
        <f aca="false">-(L193-K193)*Inputs!$C$81</f>
        <v>-0</v>
      </c>
      <c r="M194" s="69" t="n">
        <f aca="false">-(M193-L193)*Inputs!$C$81</f>
        <v>-0</v>
      </c>
      <c r="N194" s="69" t="n">
        <f aca="false">-(N193-M193)*Inputs!$C$81</f>
        <v>-0</v>
      </c>
      <c r="O194" s="69" t="n">
        <f aca="false">-(O193-N193)*Inputs!$C$81</f>
        <v>-0</v>
      </c>
      <c r="P194" s="69" t="n">
        <f aca="false">-(P193-O193)*Inputs!$C$81</f>
        <v>-0</v>
      </c>
      <c r="Q194" s="69" t="n">
        <f aca="false">-(Q193-P193)*Inputs!$C$81</f>
        <v>-0</v>
      </c>
      <c r="R194" s="69" t="n">
        <f aca="false">-(R193-Q193)*Inputs!$C$81</f>
        <v>-0</v>
      </c>
      <c r="S194" s="69" t="n">
        <f aca="false">-(S193-R193)*Inputs!$C$81</f>
        <v>-0</v>
      </c>
      <c r="T194" s="69" t="n">
        <f aca="false">-(T193-S193)*Inputs!$C$81</f>
        <v>-0</v>
      </c>
      <c r="U194" s="69" t="n">
        <f aca="false">-(U193-T193)*Inputs!$C$81</f>
        <v>-0</v>
      </c>
      <c r="V194" s="69" t="n">
        <f aca="false">-(V193-U193)*Inputs!$C$81</f>
        <v>-0</v>
      </c>
      <c r="W194" s="69" t="n">
        <f aca="false">-(W193-V193)*Inputs!$C$81</f>
        <v>-0</v>
      </c>
      <c r="X194" s="69" t="n">
        <f aca="false">-(X193-W193)*Inputs!$C$81</f>
        <v>-0</v>
      </c>
      <c r="Y194" s="69" t="n">
        <f aca="false">-(Y193-X193)*Inputs!$C$81</f>
        <v>-0</v>
      </c>
      <c r="Z194" s="69" t="n">
        <f aca="false">-(Z193-Y193)*Inputs!$C$81</f>
        <v>-0</v>
      </c>
      <c r="AA194" s="69" t="n">
        <f aca="false">-(AA193-Z193)*Inputs!$C$81</f>
        <v>-0</v>
      </c>
      <c r="AB194" s="69" t="n">
        <f aca="false">-(AB193-AA193)*Inputs!$C$81</f>
        <v>-0</v>
      </c>
      <c r="AC194" s="69" t="n">
        <f aca="false">-(AC193-AB193)*Inputs!$C$81</f>
        <v>-0</v>
      </c>
      <c r="AD194" s="69" t="n">
        <f aca="false">-(AD193-AC193)*Inputs!$C$81</f>
        <v>-0</v>
      </c>
      <c r="AE194" s="69" t="n">
        <f aca="false">-(AE193-AD193)*Inputs!$C$81</f>
        <v>-0</v>
      </c>
      <c r="AF194" s="69" t="n">
        <f aca="false">-(AF193-AE193)*Inputs!$C$81</f>
        <v>-0</v>
      </c>
      <c r="AG194" s="69" t="n">
        <f aca="false">-(AG193-AF193)*Inputs!$C$81</f>
        <v>-0</v>
      </c>
      <c r="AH194" s="69" t="n">
        <f aca="false">-(AH193-AG193)*Inputs!$C$81</f>
        <v>-0</v>
      </c>
      <c r="AI194" s="69" t="n">
        <f aca="false">-(AI193-AH193)*Inputs!$C$81</f>
        <v>-0</v>
      </c>
      <c r="AJ194" s="69" t="n">
        <f aca="false">-(AJ193-AI193)*Inputs!$C$81</f>
        <v>-0</v>
      </c>
      <c r="AK194" s="69" t="n">
        <f aca="false">-(AK193-AJ193)*Inputs!$C$81</f>
        <v>-0</v>
      </c>
      <c r="AL194" s="69" t="n">
        <f aca="false">-(AL193-AK193)*Inputs!$C$81</f>
        <v>-0</v>
      </c>
    </row>
    <row r="195" customFormat="false" ht="15" hidden="false" customHeight="false" outlineLevel="0" collapsed="false">
      <c r="A195" s="113" t="s">
        <v>50</v>
      </c>
      <c r="C195" s="70" t="n">
        <f aca="false">C191+C194</f>
        <v>-102437.476634789</v>
      </c>
      <c r="D195" s="70" t="n">
        <f aca="false">D191+D194</f>
        <v>-96802.8601263196</v>
      </c>
      <c r="E195" s="70" t="n">
        <f aca="false">E191+E194</f>
        <v>-81346.6973463849</v>
      </c>
      <c r="F195" s="70" t="n">
        <f aca="false">F191+F194</f>
        <v>-74175.9785983407</v>
      </c>
      <c r="G195" s="70" t="n">
        <f aca="false">G191+G194</f>
        <v>-66877.5392626404</v>
      </c>
      <c r="H195" s="70" t="n">
        <f aca="false">H191+H194</f>
        <v>-59456.4881627903</v>
      </c>
      <c r="I195" s="70" t="n">
        <f aca="false">I191+I194</f>
        <v>-51917.7297693565</v>
      </c>
      <c r="J195" s="70" t="n">
        <f aca="false">J191+J194</f>
        <v>-44265.9723740822</v>
      </c>
      <c r="K195" s="70" t="n">
        <f aca="false">K191+K194</f>
        <v>-36505.7359370411</v>
      </c>
      <c r="L195" s="70" t="n">
        <f aca="false">L191+L194</f>
        <v>-28641.3596199039</v>
      </c>
      <c r="M195" s="70" t="n">
        <f aca="false">M191+M194</f>
        <v>-26323.1435999967</v>
      </c>
      <c r="N195" s="70" t="n">
        <f aca="false">N191+N194</f>
        <v>-40481.3508386496</v>
      </c>
      <c r="O195" s="70" t="n">
        <f aca="false">O191+O194</f>
        <v>-34678.0440923265</v>
      </c>
      <c r="P195" s="70" t="n">
        <f aca="false">P191+P194</f>
        <v>-32689.803305957</v>
      </c>
      <c r="Q195" s="70" t="n">
        <f aca="false">Q191+Q194</f>
        <v>-13768.6381730981</v>
      </c>
      <c r="R195" s="70" t="n">
        <f aca="false">R191+R194</f>
        <v>-11668.6885046759</v>
      </c>
      <c r="S195" s="70" t="n">
        <f aca="false">S191+S194</f>
        <v>-9645.65348965729</v>
      </c>
      <c r="T195" s="70" t="n">
        <f aca="false">T191+T194</f>
        <v>-7696.45654190606</v>
      </c>
      <c r="U195" s="70" t="n">
        <f aca="false">U191+U194</f>
        <v>-5818.14413873151</v>
      </c>
      <c r="V195" s="70" t="n">
        <f aca="false">V191+V194</f>
        <v>-4007.88089835067</v>
      </c>
      <c r="W195" s="70" t="n">
        <f aca="false">W191+W194</f>
        <v>-2262.94485425172</v>
      </c>
      <c r="X195" s="70" t="n">
        <f aca="false">X191+X194</f>
        <v>-580.722918583382</v>
      </c>
      <c r="Y195" s="70" t="n">
        <f aca="false">Y191+Y194</f>
        <v>1041.29347299157</v>
      </c>
      <c r="Z195" s="70" t="n">
        <f aca="false">Z191+Z194</f>
        <v>-13789.494266954</v>
      </c>
      <c r="AA195" s="70" t="n">
        <f aca="false">AA191+AA194</f>
        <v>-8664.94562232456</v>
      </c>
      <c r="AB195" s="70" t="n">
        <f aca="false">AB191+AB194</f>
        <v>-7337.06864158062</v>
      </c>
      <c r="AC195" s="70" t="n">
        <f aca="false">AC191+AC194</f>
        <v>11047.9903249111</v>
      </c>
      <c r="AD195" s="70" t="n">
        <f aca="false">AD191+AD194</f>
        <v>12578.4739856072</v>
      </c>
      <c r="AE195" s="70" t="n">
        <f aca="false">AE191+AE194</f>
        <v>14054.8216332087</v>
      </c>
      <c r="AF195" s="70" t="n">
        <f aca="false">AF191+AF194</f>
        <v>15479.1987082395</v>
      </c>
      <c r="AG195" s="70" t="n">
        <f aca="false">AG191+AG194</f>
        <v>16853.6840336025</v>
      </c>
      <c r="AH195" s="70" t="n">
        <f aca="false">AH191+AH194</f>
        <v>18180.2732792842</v>
      </c>
      <c r="AI195" s="70" t="n">
        <f aca="false">AI191+AI194</f>
        <v>19460.882288472</v>
      </c>
      <c r="AJ195" s="70" t="n">
        <f aca="false">AJ191+AJ194</f>
        <v>20697.3502706256</v>
      </c>
      <c r="AK195" s="70" t="n">
        <f aca="false">AK191+AK194</f>
        <v>21891.4428668264</v>
      </c>
      <c r="AL195" s="70" t="n">
        <f aca="false">AL191+AL194</f>
        <v>6376.37886141181</v>
      </c>
    </row>
    <row r="197" customFormat="false" ht="15.75" hidden="false" customHeight="true" outlineLevel="0" collapsed="false">
      <c r="A197" s="7" t="s">
        <v>421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customFormat="false" ht="15" hidden="false" customHeight="false" outlineLevel="0" collapsed="false">
      <c r="A198" s="6" t="s">
        <v>422</v>
      </c>
      <c r="C198" s="69" t="n">
        <f aca="false">IF(C$135=1,Inputs!$C$50,0)</f>
        <v>1650000</v>
      </c>
      <c r="D198" s="69" t="n">
        <f aca="false">IF(D$135=1,Inputs!$C$50,0)</f>
        <v>0</v>
      </c>
      <c r="E198" s="69" t="n">
        <f aca="false">IF(E$135=1,Inputs!$C$50,0)</f>
        <v>0</v>
      </c>
      <c r="F198" s="69" t="n">
        <f aca="false">IF(F$135=1,Inputs!$C$50,0)</f>
        <v>0</v>
      </c>
      <c r="G198" s="69" t="n">
        <f aca="false">IF(G$135=1,Inputs!$C$50,0)</f>
        <v>0</v>
      </c>
      <c r="H198" s="69" t="n">
        <f aca="false">IF(H$135=1,Inputs!$C$50,0)</f>
        <v>0</v>
      </c>
      <c r="I198" s="69" t="n">
        <f aca="false">IF(I$135=1,Inputs!$C$50,0)</f>
        <v>0</v>
      </c>
      <c r="J198" s="69" t="n">
        <f aca="false">IF(J$135=1,Inputs!$C$50,0)</f>
        <v>0</v>
      </c>
      <c r="K198" s="69" t="n">
        <f aca="false">IF(K$135=1,Inputs!$C$50,0)</f>
        <v>0</v>
      </c>
      <c r="L198" s="69" t="n">
        <f aca="false">IF(L$135=1,Inputs!$C$50,0)</f>
        <v>0</v>
      </c>
      <c r="M198" s="69" t="n">
        <f aca="false">IF(M$135=1,Inputs!$C$50,0)</f>
        <v>0</v>
      </c>
      <c r="N198" s="69" t="n">
        <f aca="false">IF(N$135=1,Inputs!$C$50,0)</f>
        <v>0</v>
      </c>
      <c r="O198" s="69" t="n">
        <f aca="false">IF(O$135=1,Inputs!$C$50,0)</f>
        <v>0</v>
      </c>
      <c r="P198" s="69" t="n">
        <f aca="false">IF(P$135=1,Inputs!$C$50,0)</f>
        <v>0</v>
      </c>
      <c r="Q198" s="69" t="n">
        <f aca="false">IF(Q$135=1,Inputs!$C$50,0)</f>
        <v>0</v>
      </c>
      <c r="R198" s="69" t="n">
        <f aca="false">IF(R$135=1,Inputs!$C$50,0)</f>
        <v>0</v>
      </c>
      <c r="S198" s="69" t="n">
        <f aca="false">IF(S$135=1,Inputs!$C$50,0)</f>
        <v>0</v>
      </c>
      <c r="T198" s="69" t="n">
        <f aca="false">IF(T$135=1,Inputs!$C$50,0)</f>
        <v>0</v>
      </c>
      <c r="U198" s="69" t="n">
        <f aca="false">IF(U$135=1,Inputs!$C$50,0)</f>
        <v>0</v>
      </c>
      <c r="V198" s="69" t="n">
        <f aca="false">IF(V$135=1,Inputs!$C$50,0)</f>
        <v>0</v>
      </c>
      <c r="W198" s="69" t="n">
        <f aca="false">IF(W$135=1,Inputs!$C$50,0)</f>
        <v>0</v>
      </c>
      <c r="X198" s="69" t="n">
        <f aca="false">IF(X$135=1,Inputs!$C$50,0)</f>
        <v>0</v>
      </c>
      <c r="Y198" s="69" t="n">
        <f aca="false">IF(Y$135=1,Inputs!$C$50,0)</f>
        <v>0</v>
      </c>
      <c r="Z198" s="69" t="n">
        <f aca="false">IF(Z$135=1,Inputs!$C$50,0)</f>
        <v>0</v>
      </c>
      <c r="AA198" s="69" t="n">
        <f aca="false">IF(AA$135=1,Inputs!$C$50,0)</f>
        <v>0</v>
      </c>
      <c r="AB198" s="69" t="n">
        <f aca="false">IF(AB$135=1,Inputs!$C$50,0)</f>
        <v>0</v>
      </c>
      <c r="AC198" s="69" t="n">
        <f aca="false">IF(AC$135=1,Inputs!$C$50,0)</f>
        <v>0</v>
      </c>
      <c r="AD198" s="69" t="n">
        <f aca="false">IF(AD$135=1,Inputs!$C$50,0)</f>
        <v>0</v>
      </c>
      <c r="AE198" s="69" t="n">
        <f aca="false">IF(AE$135=1,Inputs!$C$50,0)</f>
        <v>0</v>
      </c>
      <c r="AF198" s="69" t="n">
        <f aca="false">IF(AF$135=1,Inputs!$C$50,0)</f>
        <v>0</v>
      </c>
      <c r="AG198" s="69" t="n">
        <f aca="false">IF(AG$135=1,Inputs!$C$50,0)</f>
        <v>0</v>
      </c>
      <c r="AH198" s="69" t="n">
        <f aca="false">IF(AH$135=1,Inputs!$C$50,0)</f>
        <v>0</v>
      </c>
      <c r="AI198" s="69" t="n">
        <f aca="false">IF(AI$135=1,Inputs!$C$50,0)</f>
        <v>0</v>
      </c>
      <c r="AJ198" s="69" t="n">
        <f aca="false">IF(AJ$135=1,Inputs!$C$50,0)</f>
        <v>0</v>
      </c>
      <c r="AK198" s="69" t="n">
        <f aca="false">IF(AK$135=1,Inputs!$C$50,0)</f>
        <v>0</v>
      </c>
      <c r="AL198" s="69" t="n">
        <f aca="false">IF(AL$135=1,Inputs!$C$50,0)</f>
        <v>0</v>
      </c>
    </row>
    <row r="199" customFormat="false" ht="15" hidden="false" customHeight="false" outlineLevel="0" collapsed="false">
      <c r="A199" s="6" t="s">
        <v>423</v>
      </c>
      <c r="C199" s="69" t="n">
        <f aca="false">IF(C$135=1,Inputs!$C$51,0)</f>
        <v>2300000</v>
      </c>
      <c r="D199" s="69" t="n">
        <f aca="false">IF(D$135=1,Inputs!$C$51,0)</f>
        <v>0</v>
      </c>
      <c r="E199" s="69" t="n">
        <f aca="false">IF(E$135=1,Inputs!$C$51,0)</f>
        <v>0</v>
      </c>
      <c r="F199" s="69" t="n">
        <f aca="false">IF(F$135=1,Inputs!$C$51,0)</f>
        <v>0</v>
      </c>
      <c r="G199" s="69" t="n">
        <f aca="false">IF(G$135=1,Inputs!$C$51,0)</f>
        <v>0</v>
      </c>
      <c r="H199" s="69" t="n">
        <f aca="false">IF(H$135=1,Inputs!$C$51,0)</f>
        <v>0</v>
      </c>
      <c r="I199" s="69" t="n">
        <f aca="false">IF(I$135=1,Inputs!$C$51,0)</f>
        <v>0</v>
      </c>
      <c r="J199" s="69" t="n">
        <f aca="false">IF(J$135=1,Inputs!$C$51,0)</f>
        <v>0</v>
      </c>
      <c r="K199" s="69" t="n">
        <f aca="false">IF(K$135=1,Inputs!$C$51,0)</f>
        <v>0</v>
      </c>
      <c r="L199" s="69" t="n">
        <f aca="false">IF(L$135=1,Inputs!$C$51,0)</f>
        <v>0</v>
      </c>
      <c r="M199" s="69" t="n">
        <f aca="false">IF(M$135=1,Inputs!$C$51,0)</f>
        <v>0</v>
      </c>
      <c r="N199" s="69" t="n">
        <f aca="false">IF(N$135=1,Inputs!$C$51,0)</f>
        <v>0</v>
      </c>
      <c r="O199" s="69" t="n">
        <f aca="false">IF(O$135=1,Inputs!$C$51,0)</f>
        <v>0</v>
      </c>
      <c r="P199" s="69" t="n">
        <f aca="false">IF(P$135=1,Inputs!$C$51,0)</f>
        <v>0</v>
      </c>
      <c r="Q199" s="69" t="n">
        <f aca="false">IF(Q$135=1,Inputs!$C$51,0)</f>
        <v>0</v>
      </c>
      <c r="R199" s="69" t="n">
        <f aca="false">IF(R$135=1,Inputs!$C$51,0)</f>
        <v>0</v>
      </c>
      <c r="S199" s="69" t="n">
        <f aca="false">IF(S$135=1,Inputs!$C$51,0)</f>
        <v>0</v>
      </c>
      <c r="T199" s="69" t="n">
        <f aca="false">IF(T$135=1,Inputs!$C$51,0)</f>
        <v>0</v>
      </c>
      <c r="U199" s="69" t="n">
        <f aca="false">IF(U$135=1,Inputs!$C$51,0)</f>
        <v>0</v>
      </c>
      <c r="V199" s="69" t="n">
        <f aca="false">IF(V$135=1,Inputs!$C$51,0)</f>
        <v>0</v>
      </c>
      <c r="W199" s="69" t="n">
        <f aca="false">IF(W$135=1,Inputs!$C$51,0)</f>
        <v>0</v>
      </c>
      <c r="X199" s="69" t="n">
        <f aca="false">IF(X$135=1,Inputs!$C$51,0)</f>
        <v>0</v>
      </c>
      <c r="Y199" s="69" t="n">
        <f aca="false">IF(Y$135=1,Inputs!$C$51,0)</f>
        <v>0</v>
      </c>
      <c r="Z199" s="69" t="n">
        <f aca="false">IF(Z$135=1,Inputs!$C$51,0)</f>
        <v>0</v>
      </c>
      <c r="AA199" s="69" t="n">
        <f aca="false">IF(AA$135=1,Inputs!$C$51,0)</f>
        <v>0</v>
      </c>
      <c r="AB199" s="69" t="n">
        <f aca="false">IF(AB$135=1,Inputs!$C$51,0)</f>
        <v>0</v>
      </c>
      <c r="AC199" s="69" t="n">
        <f aca="false">IF(AC$135=1,Inputs!$C$51,0)</f>
        <v>0</v>
      </c>
      <c r="AD199" s="69" t="n">
        <f aca="false">IF(AD$135=1,Inputs!$C$51,0)</f>
        <v>0</v>
      </c>
      <c r="AE199" s="69" t="n">
        <f aca="false">IF(AE$135=1,Inputs!$C$51,0)</f>
        <v>0</v>
      </c>
      <c r="AF199" s="69" t="n">
        <f aca="false">IF(AF$135=1,Inputs!$C$51,0)</f>
        <v>0</v>
      </c>
      <c r="AG199" s="69" t="n">
        <f aca="false">IF(AG$135=1,Inputs!$C$51,0)</f>
        <v>0</v>
      </c>
      <c r="AH199" s="69" t="n">
        <f aca="false">IF(AH$135=1,Inputs!$C$51,0)</f>
        <v>0</v>
      </c>
      <c r="AI199" s="69" t="n">
        <f aca="false">IF(AI$135=1,Inputs!$C$51,0)</f>
        <v>0</v>
      </c>
      <c r="AJ199" s="69" t="n">
        <f aca="false">IF(AJ$135=1,Inputs!$C$51,0)</f>
        <v>0</v>
      </c>
      <c r="AK199" s="69" t="n">
        <f aca="false">IF(AK$135=1,Inputs!$C$51,0)</f>
        <v>0</v>
      </c>
      <c r="AL199" s="69" t="n">
        <f aca="false">IF(AL$135=1,Inputs!$C$51,0)</f>
        <v>0</v>
      </c>
    </row>
    <row r="200" customFormat="false" ht="15" hidden="false" customHeight="false" outlineLevel="0" collapsed="false">
      <c r="A200" s="6" t="s">
        <v>424</v>
      </c>
      <c r="C200" s="69" t="n">
        <f aca="false">IF(C$135=1,Inputs!$C$52,0)</f>
        <v>150000</v>
      </c>
      <c r="D200" s="69" t="n">
        <f aca="false">IF(D$135=1,Inputs!$C$52,0)</f>
        <v>0</v>
      </c>
      <c r="E200" s="69" t="n">
        <f aca="false">IF(E$135=1,Inputs!$C$52,0)</f>
        <v>0</v>
      </c>
      <c r="F200" s="69" t="n">
        <f aca="false">IF(F$135=1,Inputs!$C$52,0)</f>
        <v>0</v>
      </c>
      <c r="G200" s="69" t="n">
        <f aca="false">IF(G$135=1,Inputs!$C$52,0)</f>
        <v>0</v>
      </c>
      <c r="H200" s="69" t="n">
        <f aca="false">IF(H$135=1,Inputs!$C$52,0)</f>
        <v>0</v>
      </c>
      <c r="I200" s="69" t="n">
        <f aca="false">IF(I$135=1,Inputs!$C$52,0)</f>
        <v>0</v>
      </c>
      <c r="J200" s="69" t="n">
        <f aca="false">IF(J$135=1,Inputs!$C$52,0)</f>
        <v>0</v>
      </c>
      <c r="K200" s="69" t="n">
        <f aca="false">IF(K$135=1,Inputs!$C$52,0)</f>
        <v>0</v>
      </c>
      <c r="L200" s="69" t="n">
        <f aca="false">IF(L$135=1,Inputs!$C$52,0)</f>
        <v>0</v>
      </c>
      <c r="M200" s="69" t="n">
        <f aca="false">IF(M$135=1,Inputs!$C$52,0)</f>
        <v>0</v>
      </c>
      <c r="N200" s="69" t="n">
        <f aca="false">IF(N$135=1,Inputs!$C$52,0)</f>
        <v>0</v>
      </c>
      <c r="O200" s="69" t="n">
        <f aca="false">IF(O$135=1,Inputs!$C$52,0)</f>
        <v>0</v>
      </c>
      <c r="P200" s="69" t="n">
        <f aca="false">IF(P$135=1,Inputs!$C$52,0)</f>
        <v>0</v>
      </c>
      <c r="Q200" s="69" t="n">
        <f aca="false">IF(Q$135=1,Inputs!$C$52,0)</f>
        <v>0</v>
      </c>
      <c r="R200" s="69" t="n">
        <f aca="false">IF(R$135=1,Inputs!$C$52,0)</f>
        <v>0</v>
      </c>
      <c r="S200" s="69" t="n">
        <f aca="false">IF(S$135=1,Inputs!$C$52,0)</f>
        <v>0</v>
      </c>
      <c r="T200" s="69" t="n">
        <f aca="false">IF(T$135=1,Inputs!$C$52,0)</f>
        <v>0</v>
      </c>
      <c r="U200" s="69" t="n">
        <f aca="false">IF(U$135=1,Inputs!$C$52,0)</f>
        <v>0</v>
      </c>
      <c r="V200" s="69" t="n">
        <f aca="false">IF(V$135=1,Inputs!$C$52,0)</f>
        <v>0</v>
      </c>
      <c r="W200" s="69" t="n">
        <f aca="false">IF(W$135=1,Inputs!$C$52,0)</f>
        <v>0</v>
      </c>
      <c r="X200" s="69" t="n">
        <f aca="false">IF(X$135=1,Inputs!$C$52,0)</f>
        <v>0</v>
      </c>
      <c r="Y200" s="69" t="n">
        <f aca="false">IF(Y$135=1,Inputs!$C$52,0)</f>
        <v>0</v>
      </c>
      <c r="Z200" s="69" t="n">
        <f aca="false">IF(Z$135=1,Inputs!$C$52,0)</f>
        <v>0</v>
      </c>
      <c r="AA200" s="69" t="n">
        <f aca="false">IF(AA$135=1,Inputs!$C$52,0)</f>
        <v>0</v>
      </c>
      <c r="AB200" s="69" t="n">
        <f aca="false">IF(AB$135=1,Inputs!$C$52,0)</f>
        <v>0</v>
      </c>
      <c r="AC200" s="69" t="n">
        <f aca="false">IF(AC$135=1,Inputs!$C$52,0)</f>
        <v>0</v>
      </c>
      <c r="AD200" s="69" t="n">
        <f aca="false">IF(AD$135=1,Inputs!$C$52,0)</f>
        <v>0</v>
      </c>
      <c r="AE200" s="69" t="n">
        <f aca="false">IF(AE$135=1,Inputs!$C$52,0)</f>
        <v>0</v>
      </c>
      <c r="AF200" s="69" t="n">
        <f aca="false">IF(AF$135=1,Inputs!$C$52,0)</f>
        <v>0</v>
      </c>
      <c r="AG200" s="69" t="n">
        <f aca="false">IF(AG$135=1,Inputs!$C$52,0)</f>
        <v>0</v>
      </c>
      <c r="AH200" s="69" t="n">
        <f aca="false">IF(AH$135=1,Inputs!$C$52,0)</f>
        <v>0</v>
      </c>
      <c r="AI200" s="69" t="n">
        <f aca="false">IF(AI$135=1,Inputs!$C$52,0)</f>
        <v>0</v>
      </c>
      <c r="AJ200" s="69" t="n">
        <f aca="false">IF(AJ$135=1,Inputs!$C$52,0)</f>
        <v>0</v>
      </c>
      <c r="AK200" s="69" t="n">
        <f aca="false">IF(AK$135=1,Inputs!$C$52,0)</f>
        <v>0</v>
      </c>
      <c r="AL200" s="69" t="n">
        <f aca="false">IF(AL$135=1,Inputs!$C$52,0)</f>
        <v>0</v>
      </c>
    </row>
    <row r="201" customFormat="false" ht="15" hidden="false" customHeight="false" outlineLevel="0" collapsed="false">
      <c r="A201" s="6" t="s">
        <v>425</v>
      </c>
      <c r="C201" s="69" t="n">
        <f aca="false">IF(C$135=1,Inputs!$C$53,0)</f>
        <v>0</v>
      </c>
      <c r="D201" s="69" t="n">
        <f aca="false">IF(D$135=1,Inputs!$C$53,0)</f>
        <v>0</v>
      </c>
      <c r="E201" s="69" t="n">
        <f aca="false">IF(E$135=1,Inputs!$C$53,0)</f>
        <v>0</v>
      </c>
      <c r="F201" s="69" t="n">
        <f aca="false">IF(F$135=1,Inputs!$C$53,0)</f>
        <v>0</v>
      </c>
      <c r="G201" s="69" t="n">
        <f aca="false">IF(G$135=1,Inputs!$C$53,0)</f>
        <v>0</v>
      </c>
      <c r="H201" s="69" t="n">
        <f aca="false">IF(H$135=1,Inputs!$C$53,0)</f>
        <v>0</v>
      </c>
      <c r="I201" s="69" t="n">
        <f aca="false">IF(I$135=1,Inputs!$C$53,0)</f>
        <v>0</v>
      </c>
      <c r="J201" s="69" t="n">
        <f aca="false">IF(J$135=1,Inputs!$C$53,0)</f>
        <v>0</v>
      </c>
      <c r="K201" s="69" t="n">
        <f aca="false">IF(K$135=1,Inputs!$C$53,0)</f>
        <v>0</v>
      </c>
      <c r="L201" s="69" t="n">
        <f aca="false">IF(L$135=1,Inputs!$C$53,0)</f>
        <v>0</v>
      </c>
      <c r="M201" s="69" t="n">
        <f aca="false">IF(M$135=1,Inputs!$C$53,0)</f>
        <v>0</v>
      </c>
      <c r="N201" s="69" t="n">
        <f aca="false">IF(N$135=1,Inputs!$C$53,0)</f>
        <v>0</v>
      </c>
      <c r="O201" s="69" t="n">
        <f aca="false">IF(O$135=1,Inputs!$C$53,0)</f>
        <v>0</v>
      </c>
      <c r="P201" s="69" t="n">
        <f aca="false">IF(P$135=1,Inputs!$C$53,0)</f>
        <v>0</v>
      </c>
      <c r="Q201" s="69" t="n">
        <f aca="false">IF(Q$135=1,Inputs!$C$53,0)</f>
        <v>0</v>
      </c>
      <c r="R201" s="69" t="n">
        <f aca="false">IF(R$135=1,Inputs!$C$53,0)</f>
        <v>0</v>
      </c>
      <c r="S201" s="69" t="n">
        <f aca="false">IF(S$135=1,Inputs!$C$53,0)</f>
        <v>0</v>
      </c>
      <c r="T201" s="69" t="n">
        <f aca="false">IF(T$135=1,Inputs!$C$53,0)</f>
        <v>0</v>
      </c>
      <c r="U201" s="69" t="n">
        <f aca="false">IF(U$135=1,Inputs!$C$53,0)</f>
        <v>0</v>
      </c>
      <c r="V201" s="69" t="n">
        <f aca="false">IF(V$135=1,Inputs!$C$53,0)</f>
        <v>0</v>
      </c>
      <c r="W201" s="69" t="n">
        <f aca="false">IF(W$135=1,Inputs!$C$53,0)</f>
        <v>0</v>
      </c>
      <c r="X201" s="69" t="n">
        <f aca="false">IF(X$135=1,Inputs!$C$53,0)</f>
        <v>0</v>
      </c>
      <c r="Y201" s="69" t="n">
        <f aca="false">IF(Y$135=1,Inputs!$C$53,0)</f>
        <v>0</v>
      </c>
      <c r="Z201" s="69" t="n">
        <f aca="false">IF(Z$135=1,Inputs!$C$53,0)</f>
        <v>0</v>
      </c>
      <c r="AA201" s="69" t="n">
        <f aca="false">IF(AA$135=1,Inputs!$C$53,0)</f>
        <v>0</v>
      </c>
      <c r="AB201" s="69" t="n">
        <f aca="false">IF(AB$135=1,Inputs!$C$53,0)</f>
        <v>0</v>
      </c>
      <c r="AC201" s="69" t="n">
        <f aca="false">IF(AC$135=1,Inputs!$C$53,0)</f>
        <v>0</v>
      </c>
      <c r="AD201" s="69" t="n">
        <f aca="false">IF(AD$135=1,Inputs!$C$53,0)</f>
        <v>0</v>
      </c>
      <c r="AE201" s="69" t="n">
        <f aca="false">IF(AE$135=1,Inputs!$C$53,0)</f>
        <v>0</v>
      </c>
      <c r="AF201" s="69" t="n">
        <f aca="false">IF(AF$135=1,Inputs!$C$53,0)</f>
        <v>0</v>
      </c>
      <c r="AG201" s="69" t="n">
        <f aca="false">IF(AG$135=1,Inputs!$C$53,0)</f>
        <v>0</v>
      </c>
      <c r="AH201" s="69" t="n">
        <f aca="false">IF(AH$135=1,Inputs!$C$53,0)</f>
        <v>0</v>
      </c>
      <c r="AI201" s="69" t="n">
        <f aca="false">IF(AI$135=1,Inputs!$C$53,0)</f>
        <v>0</v>
      </c>
      <c r="AJ201" s="69" t="n">
        <f aca="false">IF(AJ$135=1,Inputs!$C$53,0)</f>
        <v>0</v>
      </c>
      <c r="AK201" s="69" t="n">
        <f aca="false">IF(AK$135=1,Inputs!$C$53,0)</f>
        <v>0</v>
      </c>
      <c r="AL201" s="69" t="n">
        <f aca="false">IF(AL$135=1,Inputs!$C$53,0)</f>
        <v>0</v>
      </c>
    </row>
    <row r="202" customFormat="false" ht="15" hidden="false" customHeight="false" outlineLevel="0" collapsed="false">
      <c r="A202" s="6" t="s">
        <v>426</v>
      </c>
      <c r="C202" s="69" t="n">
        <f aca="false">IF(AND(C$136&gt;1,MOD(C$135-1,12)=0),Inputs!$C$54,0)</f>
        <v>0</v>
      </c>
      <c r="D202" s="69" t="n">
        <f aca="false">IF(AND(D$136&gt;1,MOD(D$135-1,12)=0),Inputs!$C$54,0)</f>
        <v>0</v>
      </c>
      <c r="E202" s="69" t="n">
        <f aca="false">IF(AND(E$136&gt;1,MOD(E$135-1,12)=0),Inputs!$C$54,0)</f>
        <v>0</v>
      </c>
      <c r="F202" s="69" t="n">
        <f aca="false">IF(AND(F$136&gt;1,MOD(F$135-1,12)=0),Inputs!$C$54,0)</f>
        <v>0</v>
      </c>
      <c r="G202" s="69" t="n">
        <f aca="false">IF(AND(G$136&gt;1,MOD(G$135-1,12)=0),Inputs!$C$54,0)</f>
        <v>0</v>
      </c>
      <c r="H202" s="69" t="n">
        <f aca="false">IF(AND(H$136&gt;1,MOD(H$135-1,12)=0),Inputs!$C$54,0)</f>
        <v>0</v>
      </c>
      <c r="I202" s="69" t="n">
        <f aca="false">IF(AND(I$136&gt;1,MOD(I$135-1,12)=0),Inputs!$C$54,0)</f>
        <v>0</v>
      </c>
      <c r="J202" s="69" t="n">
        <f aca="false">IF(AND(J$136&gt;1,MOD(J$135-1,12)=0),Inputs!$C$54,0)</f>
        <v>0</v>
      </c>
      <c r="K202" s="69" t="n">
        <f aca="false">IF(AND(K$136&gt;1,MOD(K$135-1,12)=0),Inputs!$C$54,0)</f>
        <v>0</v>
      </c>
      <c r="L202" s="69" t="n">
        <f aca="false">IF(AND(L$136&gt;1,MOD(L$135-1,12)=0),Inputs!$C$54,0)</f>
        <v>0</v>
      </c>
      <c r="M202" s="69" t="n">
        <f aca="false">IF(AND(M$136&gt;1,MOD(M$135-1,12)=0),Inputs!$C$54,0)</f>
        <v>0</v>
      </c>
      <c r="N202" s="69" t="n">
        <f aca="false">IF(AND(N$136&gt;1,MOD(N$135-1,12)=0),Inputs!$C$54,0)</f>
        <v>0</v>
      </c>
      <c r="O202" s="69" t="n">
        <f aca="false">IF(AND(O$136&gt;1,MOD(O$135-1,12)=0),Inputs!$C$54,0)</f>
        <v>40000</v>
      </c>
      <c r="P202" s="69" t="n">
        <f aca="false">IF(AND(P$136&gt;1,MOD(P$135-1,12)=0),Inputs!$C$54,0)</f>
        <v>0</v>
      </c>
      <c r="Q202" s="69" t="n">
        <f aca="false">IF(AND(Q$136&gt;1,MOD(Q$135-1,12)=0),Inputs!$C$54,0)</f>
        <v>0</v>
      </c>
      <c r="R202" s="69" t="n">
        <f aca="false">IF(AND(R$136&gt;1,MOD(R$135-1,12)=0),Inputs!$C$54,0)</f>
        <v>0</v>
      </c>
      <c r="S202" s="69" t="n">
        <f aca="false">IF(AND(S$136&gt;1,MOD(S$135-1,12)=0),Inputs!$C$54,0)</f>
        <v>0</v>
      </c>
      <c r="T202" s="69" t="n">
        <f aca="false">IF(AND(T$136&gt;1,MOD(T$135-1,12)=0),Inputs!$C$54,0)</f>
        <v>0</v>
      </c>
      <c r="U202" s="69" t="n">
        <f aca="false">IF(AND(U$136&gt;1,MOD(U$135-1,12)=0),Inputs!$C$54,0)</f>
        <v>0</v>
      </c>
      <c r="V202" s="69" t="n">
        <f aca="false">IF(AND(V$136&gt;1,MOD(V$135-1,12)=0),Inputs!$C$54,0)</f>
        <v>0</v>
      </c>
      <c r="W202" s="69" t="n">
        <f aca="false">IF(AND(W$136&gt;1,MOD(W$135-1,12)=0),Inputs!$C$54,0)</f>
        <v>0</v>
      </c>
      <c r="X202" s="69" t="n">
        <f aca="false">IF(AND(X$136&gt;1,MOD(X$135-1,12)=0),Inputs!$C$54,0)</f>
        <v>0</v>
      </c>
      <c r="Y202" s="69" t="n">
        <f aca="false">IF(AND(Y$136&gt;1,MOD(Y$135-1,12)=0),Inputs!$C$54,0)</f>
        <v>0</v>
      </c>
      <c r="Z202" s="69" t="n">
        <f aca="false">IF(AND(Z$136&gt;1,MOD(Z$135-1,12)=0),Inputs!$C$54,0)</f>
        <v>0</v>
      </c>
      <c r="AA202" s="69" t="n">
        <f aca="false">IF(AND(AA$136&gt;1,MOD(AA$135-1,12)=0),Inputs!$C$54,0)</f>
        <v>40000</v>
      </c>
      <c r="AB202" s="69" t="n">
        <f aca="false">IF(AND(AB$136&gt;1,MOD(AB$135-1,12)=0),Inputs!$C$54,0)</f>
        <v>0</v>
      </c>
      <c r="AC202" s="69" t="n">
        <f aca="false">IF(AND(AC$136&gt;1,MOD(AC$135-1,12)=0),Inputs!$C$54,0)</f>
        <v>0</v>
      </c>
      <c r="AD202" s="69" t="n">
        <f aca="false">IF(AND(AD$136&gt;1,MOD(AD$135-1,12)=0),Inputs!$C$54,0)</f>
        <v>0</v>
      </c>
      <c r="AE202" s="69" t="n">
        <f aca="false">IF(AND(AE$136&gt;1,MOD(AE$135-1,12)=0),Inputs!$C$54,0)</f>
        <v>0</v>
      </c>
      <c r="AF202" s="69" t="n">
        <f aca="false">IF(AND(AF$136&gt;1,MOD(AF$135-1,12)=0),Inputs!$C$54,0)</f>
        <v>0</v>
      </c>
      <c r="AG202" s="69" t="n">
        <f aca="false">IF(AND(AG$136&gt;1,MOD(AG$135-1,12)=0),Inputs!$C$54,0)</f>
        <v>0</v>
      </c>
      <c r="AH202" s="69" t="n">
        <f aca="false">IF(AND(AH$136&gt;1,MOD(AH$135-1,12)=0),Inputs!$C$54,0)</f>
        <v>0</v>
      </c>
      <c r="AI202" s="69" t="n">
        <f aca="false">IF(AND(AI$136&gt;1,MOD(AI$135-1,12)=0),Inputs!$C$54,0)</f>
        <v>0</v>
      </c>
      <c r="AJ202" s="69" t="n">
        <f aca="false">IF(AND(AJ$136&gt;1,MOD(AJ$135-1,12)=0),Inputs!$C$54,0)</f>
        <v>0</v>
      </c>
      <c r="AK202" s="69" t="n">
        <f aca="false">IF(AND(AK$136&gt;1,MOD(AK$135-1,12)=0),Inputs!$C$54,0)</f>
        <v>0</v>
      </c>
      <c r="AL202" s="69" t="n">
        <f aca="false">IF(AND(AL$136&gt;1,MOD(AL$135-1,12)=0),Inputs!$C$54,0)</f>
        <v>0</v>
      </c>
    </row>
    <row r="203" customFormat="false" ht="15" hidden="false" customHeight="false" outlineLevel="0" collapsed="false">
      <c r="A203" s="4" t="s">
        <v>84</v>
      </c>
      <c r="C203" s="75" t="n">
        <f aca="false">C198+C199+C200+C201+C202</f>
        <v>4100000</v>
      </c>
      <c r="D203" s="75" t="n">
        <f aca="false">D198+D199+D200+D201+D202</f>
        <v>0</v>
      </c>
      <c r="E203" s="75" t="n">
        <f aca="false">E198+E199+E200+E201+E202</f>
        <v>0</v>
      </c>
      <c r="F203" s="75" t="n">
        <f aca="false">F198+F199+F200+F201+F202</f>
        <v>0</v>
      </c>
      <c r="G203" s="75" t="n">
        <f aca="false">G198+G199+G200+G201+G202</f>
        <v>0</v>
      </c>
      <c r="H203" s="75" t="n">
        <f aca="false">H198+H199+H200+H201+H202</f>
        <v>0</v>
      </c>
      <c r="I203" s="75" t="n">
        <f aca="false">I198+I199+I200+I201+I202</f>
        <v>0</v>
      </c>
      <c r="J203" s="75" t="n">
        <f aca="false">J198+J199+J200+J201+J202</f>
        <v>0</v>
      </c>
      <c r="K203" s="75" t="n">
        <f aca="false">K198+K199+K200+K201+K202</f>
        <v>0</v>
      </c>
      <c r="L203" s="75" t="n">
        <f aca="false">L198+L199+L200+L201+L202</f>
        <v>0</v>
      </c>
      <c r="M203" s="75" t="n">
        <f aca="false">M198+M199+M200+M201+M202</f>
        <v>0</v>
      </c>
      <c r="N203" s="75" t="n">
        <f aca="false">N198+N199+N200+N201+N202</f>
        <v>0</v>
      </c>
      <c r="O203" s="75" t="n">
        <f aca="false">O198+O199+O200+O201+O202</f>
        <v>40000</v>
      </c>
      <c r="P203" s="75" t="n">
        <f aca="false">P198+P199+P200+P201+P202</f>
        <v>0</v>
      </c>
      <c r="Q203" s="75" t="n">
        <f aca="false">Q198+Q199+Q200+Q201+Q202</f>
        <v>0</v>
      </c>
      <c r="R203" s="75" t="n">
        <f aca="false">R198+R199+R200+R201+R202</f>
        <v>0</v>
      </c>
      <c r="S203" s="75" t="n">
        <f aca="false">S198+S199+S200+S201+S202</f>
        <v>0</v>
      </c>
      <c r="T203" s="75" t="n">
        <f aca="false">T198+T199+T200+T201+T202</f>
        <v>0</v>
      </c>
      <c r="U203" s="75" t="n">
        <f aca="false">U198+U199+U200+U201+U202</f>
        <v>0</v>
      </c>
      <c r="V203" s="75" t="n">
        <f aca="false">V198+V199+V200+V201+V202</f>
        <v>0</v>
      </c>
      <c r="W203" s="75" t="n">
        <f aca="false">W198+W199+W200+W201+W202</f>
        <v>0</v>
      </c>
      <c r="X203" s="75" t="n">
        <f aca="false">X198+X199+X200+X201+X202</f>
        <v>0</v>
      </c>
      <c r="Y203" s="75" t="n">
        <f aca="false">Y198+Y199+Y200+Y201+Y202</f>
        <v>0</v>
      </c>
      <c r="Z203" s="75" t="n">
        <f aca="false">Z198+Z199+Z200+Z201+Z202</f>
        <v>0</v>
      </c>
      <c r="AA203" s="75" t="n">
        <f aca="false">AA198+AA199+AA200+AA201+AA202</f>
        <v>40000</v>
      </c>
      <c r="AB203" s="75" t="n">
        <f aca="false">AB198+AB199+AB200+AB201+AB202</f>
        <v>0</v>
      </c>
      <c r="AC203" s="75" t="n">
        <f aca="false">AC198+AC199+AC200+AC201+AC202</f>
        <v>0</v>
      </c>
      <c r="AD203" s="75" t="n">
        <f aca="false">AD198+AD199+AD200+AD201+AD202</f>
        <v>0</v>
      </c>
      <c r="AE203" s="75" t="n">
        <f aca="false">AE198+AE199+AE200+AE201+AE202</f>
        <v>0</v>
      </c>
      <c r="AF203" s="75" t="n">
        <f aca="false">AF198+AF199+AF200+AF201+AF202</f>
        <v>0</v>
      </c>
      <c r="AG203" s="75" t="n">
        <f aca="false">AG198+AG199+AG200+AG201+AG202</f>
        <v>0</v>
      </c>
      <c r="AH203" s="75" t="n">
        <f aca="false">AH198+AH199+AH200+AH201+AH202</f>
        <v>0</v>
      </c>
      <c r="AI203" s="75" t="n">
        <f aca="false">AI198+AI199+AI200+AI201+AI202</f>
        <v>0</v>
      </c>
      <c r="AJ203" s="75" t="n">
        <f aca="false">AJ198+AJ199+AJ200+AJ201+AJ202</f>
        <v>0</v>
      </c>
      <c r="AK203" s="75" t="n">
        <f aca="false">AK198+AK199+AK200+AK201+AK202</f>
        <v>0</v>
      </c>
      <c r="AL203" s="75" t="n">
        <f aca="false">AL198+AL199+AL200+AL201+AL202</f>
        <v>0</v>
      </c>
    </row>
    <row r="204" customFormat="false" ht="15" hidden="false" customHeight="false" outlineLevel="0" collapsed="false">
      <c r="A204" s="6" t="s">
        <v>427</v>
      </c>
      <c r="C204" s="69" t="n">
        <f aca="false">C203</f>
        <v>4100000</v>
      </c>
      <c r="D204" s="69" t="n">
        <f aca="false">C204+D203</f>
        <v>4100000</v>
      </c>
      <c r="E204" s="69" t="n">
        <f aca="false">D204+E203</f>
        <v>4100000</v>
      </c>
      <c r="F204" s="69" t="n">
        <f aca="false">E204+F203</f>
        <v>4100000</v>
      </c>
      <c r="G204" s="69" t="n">
        <f aca="false">F204+G203</f>
        <v>4100000</v>
      </c>
      <c r="H204" s="69" t="n">
        <f aca="false">G204+H203</f>
        <v>4100000</v>
      </c>
      <c r="I204" s="69" t="n">
        <f aca="false">H204+I203</f>
        <v>4100000</v>
      </c>
      <c r="J204" s="69" t="n">
        <f aca="false">I204+J203</f>
        <v>4100000</v>
      </c>
      <c r="K204" s="69" t="n">
        <f aca="false">J204+K203</f>
        <v>4100000</v>
      </c>
      <c r="L204" s="69" t="n">
        <f aca="false">K204+L203</f>
        <v>4100000</v>
      </c>
      <c r="M204" s="69" t="n">
        <f aca="false">L204+M203</f>
        <v>4100000</v>
      </c>
      <c r="N204" s="69" t="n">
        <f aca="false">M204+N203</f>
        <v>4100000</v>
      </c>
      <c r="O204" s="69" t="n">
        <f aca="false">N204+O203</f>
        <v>4140000</v>
      </c>
      <c r="P204" s="69" t="n">
        <f aca="false">O204+P203</f>
        <v>4140000</v>
      </c>
      <c r="Q204" s="69" t="n">
        <f aca="false">P204+Q203</f>
        <v>4140000</v>
      </c>
      <c r="R204" s="69" t="n">
        <f aca="false">Q204+R203</f>
        <v>4140000</v>
      </c>
      <c r="S204" s="69" t="n">
        <f aca="false">R204+S203</f>
        <v>4140000</v>
      </c>
      <c r="T204" s="69" t="n">
        <f aca="false">S204+T203</f>
        <v>4140000</v>
      </c>
      <c r="U204" s="69" t="n">
        <f aca="false">T204+U203</f>
        <v>4140000</v>
      </c>
      <c r="V204" s="69" t="n">
        <f aca="false">U204+V203</f>
        <v>4140000</v>
      </c>
      <c r="W204" s="69" t="n">
        <f aca="false">V204+W203</f>
        <v>4140000</v>
      </c>
      <c r="X204" s="69" t="n">
        <f aca="false">W204+X203</f>
        <v>4140000</v>
      </c>
      <c r="Y204" s="69" t="n">
        <f aca="false">X204+Y203</f>
        <v>4140000</v>
      </c>
      <c r="Z204" s="69" t="n">
        <f aca="false">Y204+Z203</f>
        <v>4140000</v>
      </c>
      <c r="AA204" s="69" t="n">
        <f aca="false">Z204+AA203</f>
        <v>4180000</v>
      </c>
      <c r="AB204" s="69" t="n">
        <f aca="false">AA204+AB203</f>
        <v>4180000</v>
      </c>
      <c r="AC204" s="69" t="n">
        <f aca="false">AB204+AC203</f>
        <v>4180000</v>
      </c>
      <c r="AD204" s="69" t="n">
        <f aca="false">AC204+AD203</f>
        <v>4180000</v>
      </c>
      <c r="AE204" s="69" t="n">
        <f aca="false">AD204+AE203</f>
        <v>4180000</v>
      </c>
      <c r="AF204" s="69" t="n">
        <f aca="false">AE204+AF203</f>
        <v>4180000</v>
      </c>
      <c r="AG204" s="69" t="n">
        <f aca="false">AF204+AG203</f>
        <v>4180000</v>
      </c>
      <c r="AH204" s="69" t="n">
        <f aca="false">AG204+AH203</f>
        <v>4180000</v>
      </c>
      <c r="AI204" s="69" t="n">
        <f aca="false">AH204+AI203</f>
        <v>4180000</v>
      </c>
      <c r="AJ204" s="69" t="n">
        <f aca="false">AI204+AJ203</f>
        <v>4180000</v>
      </c>
      <c r="AK204" s="69" t="n">
        <f aca="false">AJ204+AK203</f>
        <v>4180000</v>
      </c>
      <c r="AL204" s="69" t="n">
        <f aca="false">AK204+AL203</f>
        <v>4180000</v>
      </c>
    </row>
    <row r="205" customFormat="false" ht="15" hidden="false" customHeight="false" outlineLevel="0" collapsed="false">
      <c r="A205" s="6" t="s">
        <v>428</v>
      </c>
      <c r="C205" s="69" t="n">
        <f aca="false">C201</f>
        <v>0</v>
      </c>
      <c r="D205" s="69" t="n">
        <f aca="false">C205+D201</f>
        <v>0</v>
      </c>
      <c r="E205" s="69" t="n">
        <f aca="false">D205+E201</f>
        <v>0</v>
      </c>
      <c r="F205" s="69" t="n">
        <f aca="false">E205+F201</f>
        <v>0</v>
      </c>
      <c r="G205" s="69" t="n">
        <f aca="false">F205+G201</f>
        <v>0</v>
      </c>
      <c r="H205" s="69" t="n">
        <f aca="false">G205+H201</f>
        <v>0</v>
      </c>
      <c r="I205" s="69" t="n">
        <f aca="false">H205+I201</f>
        <v>0</v>
      </c>
      <c r="J205" s="69" t="n">
        <f aca="false">I205+J201</f>
        <v>0</v>
      </c>
      <c r="K205" s="69" t="n">
        <f aca="false">J205+K201</f>
        <v>0</v>
      </c>
      <c r="L205" s="69" t="n">
        <f aca="false">K205+L201</f>
        <v>0</v>
      </c>
      <c r="M205" s="69" t="n">
        <f aca="false">L205+M201</f>
        <v>0</v>
      </c>
      <c r="N205" s="69" t="n">
        <f aca="false">M205+N201</f>
        <v>0</v>
      </c>
      <c r="O205" s="69" t="n">
        <f aca="false">N205+O201</f>
        <v>0</v>
      </c>
      <c r="P205" s="69" t="n">
        <f aca="false">O205+P201</f>
        <v>0</v>
      </c>
      <c r="Q205" s="69" t="n">
        <f aca="false">P205+Q201</f>
        <v>0</v>
      </c>
      <c r="R205" s="69" t="n">
        <f aca="false">Q205+R201</f>
        <v>0</v>
      </c>
      <c r="S205" s="69" t="n">
        <f aca="false">R205+S201</f>
        <v>0</v>
      </c>
      <c r="T205" s="69" t="n">
        <f aca="false">S205+T201</f>
        <v>0</v>
      </c>
      <c r="U205" s="69" t="n">
        <f aca="false">T205+U201</f>
        <v>0</v>
      </c>
      <c r="V205" s="69" t="n">
        <f aca="false">U205+V201</f>
        <v>0</v>
      </c>
      <c r="W205" s="69" t="n">
        <f aca="false">V205+W201</f>
        <v>0</v>
      </c>
      <c r="X205" s="69" t="n">
        <f aca="false">W205+X201</f>
        <v>0</v>
      </c>
      <c r="Y205" s="69" t="n">
        <f aca="false">X205+Y201</f>
        <v>0</v>
      </c>
      <c r="Z205" s="69" t="n">
        <f aca="false">Y205+Z201</f>
        <v>0</v>
      </c>
      <c r="AA205" s="69" t="n">
        <f aca="false">Z205+AA201</f>
        <v>0</v>
      </c>
      <c r="AB205" s="69" t="n">
        <f aca="false">AA205+AB201</f>
        <v>0</v>
      </c>
      <c r="AC205" s="69" t="n">
        <f aca="false">AB205+AC201</f>
        <v>0</v>
      </c>
      <c r="AD205" s="69" t="n">
        <f aca="false">AC205+AD201</f>
        <v>0</v>
      </c>
      <c r="AE205" s="69" t="n">
        <f aca="false">AD205+AE201</f>
        <v>0</v>
      </c>
      <c r="AF205" s="69" t="n">
        <f aca="false">AE205+AF201</f>
        <v>0</v>
      </c>
      <c r="AG205" s="69" t="n">
        <f aca="false">AF205+AG201</f>
        <v>0</v>
      </c>
      <c r="AH205" s="69" t="n">
        <f aca="false">AG205+AH201</f>
        <v>0</v>
      </c>
      <c r="AI205" s="69" t="n">
        <f aca="false">AH205+AI201</f>
        <v>0</v>
      </c>
      <c r="AJ205" s="69" t="n">
        <f aca="false">AI205+AJ201</f>
        <v>0</v>
      </c>
      <c r="AK205" s="69" t="n">
        <f aca="false">AJ205+AK201</f>
        <v>0</v>
      </c>
      <c r="AL205" s="69" t="n">
        <f aca="false">AK205+AL201</f>
        <v>0</v>
      </c>
    </row>
    <row r="206" customFormat="false" ht="15" hidden="false" customHeight="false" outlineLevel="0" collapsed="false">
      <c r="A206" s="6" t="s">
        <v>78</v>
      </c>
      <c r="C206" s="69" t="n">
        <f aca="false">-MIN((C204-C205)/MAX(1,Inputs!$C$80*12),C203-C205)</f>
        <v>-28472.2222222222</v>
      </c>
      <c r="D206" s="69" t="n">
        <f aca="false">-MIN((D204-D205)/MAX(1,Inputs!$C$80*12),C208+D203-D205)</f>
        <v>-28472.2222222222</v>
      </c>
      <c r="E206" s="69" t="n">
        <f aca="false">-MIN((E204-E205)/MAX(1,Inputs!$C$80*12),D208+E203-E205)</f>
        <v>-28472.2222222222</v>
      </c>
      <c r="F206" s="69" t="n">
        <f aca="false">-MIN((F204-F205)/MAX(1,Inputs!$C$80*12),E208+F203-F205)</f>
        <v>-28472.2222222222</v>
      </c>
      <c r="G206" s="69" t="n">
        <f aca="false">-MIN((G204-G205)/MAX(1,Inputs!$C$80*12),F208+G203-G205)</f>
        <v>-28472.2222222222</v>
      </c>
      <c r="H206" s="69" t="n">
        <f aca="false">-MIN((H204-H205)/MAX(1,Inputs!$C$80*12),G208+H203-H205)</f>
        <v>-28472.2222222222</v>
      </c>
      <c r="I206" s="69" t="n">
        <f aca="false">-MIN((I204-I205)/MAX(1,Inputs!$C$80*12),H208+I203-I205)</f>
        <v>-28472.2222222222</v>
      </c>
      <c r="J206" s="69" t="n">
        <f aca="false">-MIN((J204-J205)/MAX(1,Inputs!$C$80*12),I208+J203-J205)</f>
        <v>-28472.2222222222</v>
      </c>
      <c r="K206" s="69" t="n">
        <f aca="false">-MIN((K204-K205)/MAX(1,Inputs!$C$80*12),J208+K203-K205)</f>
        <v>-28472.2222222222</v>
      </c>
      <c r="L206" s="69" t="n">
        <f aca="false">-MIN((L204-L205)/MAX(1,Inputs!$C$80*12),K208+L203-L205)</f>
        <v>-28472.2222222222</v>
      </c>
      <c r="M206" s="69" t="n">
        <f aca="false">-MIN((M204-M205)/MAX(1,Inputs!$C$80*12),L208+M203-M205)</f>
        <v>-28472.2222222222</v>
      </c>
      <c r="N206" s="69" t="n">
        <f aca="false">-MIN((N204-N205)/MAX(1,Inputs!$C$80*12),M208+N203-N205)</f>
        <v>-28472.2222222222</v>
      </c>
      <c r="O206" s="69" t="n">
        <f aca="false">-MIN((O204-O205)/MAX(1,Inputs!$C$80*12),N208+O203-O205)</f>
        <v>-28750</v>
      </c>
      <c r="P206" s="69" t="n">
        <f aca="false">-MIN((P204-P205)/MAX(1,Inputs!$C$80*12),O208+P203-P205)</f>
        <v>-28750</v>
      </c>
      <c r="Q206" s="69" t="n">
        <f aca="false">-MIN((Q204-Q205)/MAX(1,Inputs!$C$80*12),P208+Q203-Q205)</f>
        <v>-28750</v>
      </c>
      <c r="R206" s="69" t="n">
        <f aca="false">-MIN((R204-R205)/MAX(1,Inputs!$C$80*12),Q208+R203-R205)</f>
        <v>-28750</v>
      </c>
      <c r="S206" s="69" t="n">
        <f aca="false">-MIN((S204-S205)/MAX(1,Inputs!$C$80*12),R208+S203-S205)</f>
        <v>-28750</v>
      </c>
      <c r="T206" s="69" t="n">
        <f aca="false">-MIN((T204-T205)/MAX(1,Inputs!$C$80*12),S208+T203-T205)</f>
        <v>-28750</v>
      </c>
      <c r="U206" s="69" t="n">
        <f aca="false">-MIN((U204-U205)/MAX(1,Inputs!$C$80*12),T208+U203-U205)</f>
        <v>-28750</v>
      </c>
      <c r="V206" s="69" t="n">
        <f aca="false">-MIN((V204-V205)/MAX(1,Inputs!$C$80*12),U208+V203-V205)</f>
        <v>-28750</v>
      </c>
      <c r="W206" s="69" t="n">
        <f aca="false">-MIN((W204-W205)/MAX(1,Inputs!$C$80*12),V208+W203-W205)</f>
        <v>-28750</v>
      </c>
      <c r="X206" s="69" t="n">
        <f aca="false">-MIN((X204-X205)/MAX(1,Inputs!$C$80*12),W208+X203-X205)</f>
        <v>-28750</v>
      </c>
      <c r="Y206" s="69" t="n">
        <f aca="false">-MIN((Y204-Y205)/MAX(1,Inputs!$C$80*12),X208+Y203-Y205)</f>
        <v>-28750</v>
      </c>
      <c r="Z206" s="69" t="n">
        <f aca="false">-MIN((Z204-Z205)/MAX(1,Inputs!$C$80*12),Y208+Z203-Z205)</f>
        <v>-28750</v>
      </c>
      <c r="AA206" s="69" t="n">
        <f aca="false">-MIN((AA204-AA205)/MAX(1,Inputs!$C$80*12),Z208+AA203-AA205)</f>
        <v>-29027.7777777778</v>
      </c>
      <c r="AB206" s="69" t="n">
        <f aca="false">-MIN((AB204-AB205)/MAX(1,Inputs!$C$80*12),AA208+AB203-AB205)</f>
        <v>-29027.7777777778</v>
      </c>
      <c r="AC206" s="69" t="n">
        <f aca="false">-MIN((AC204-AC205)/MAX(1,Inputs!$C$80*12),AB208+AC203-AC205)</f>
        <v>-29027.7777777778</v>
      </c>
      <c r="AD206" s="69" t="n">
        <f aca="false">-MIN((AD204-AD205)/MAX(1,Inputs!$C$80*12),AC208+AD203-AD205)</f>
        <v>-29027.7777777778</v>
      </c>
      <c r="AE206" s="69" t="n">
        <f aca="false">-MIN((AE204-AE205)/MAX(1,Inputs!$C$80*12),AD208+AE203-AE205)</f>
        <v>-29027.7777777778</v>
      </c>
      <c r="AF206" s="69" t="n">
        <f aca="false">-MIN((AF204-AF205)/MAX(1,Inputs!$C$80*12),AE208+AF203-AF205)</f>
        <v>-29027.7777777778</v>
      </c>
      <c r="AG206" s="69" t="n">
        <f aca="false">-MIN((AG204-AG205)/MAX(1,Inputs!$C$80*12),AF208+AG203-AG205)</f>
        <v>-29027.7777777778</v>
      </c>
      <c r="AH206" s="69" t="n">
        <f aca="false">-MIN((AH204-AH205)/MAX(1,Inputs!$C$80*12),AG208+AH203-AH205)</f>
        <v>-29027.7777777778</v>
      </c>
      <c r="AI206" s="69" t="n">
        <f aca="false">-MIN((AI204-AI205)/MAX(1,Inputs!$C$80*12),AH208+AI203-AI205)</f>
        <v>-29027.7777777778</v>
      </c>
      <c r="AJ206" s="69" t="n">
        <f aca="false">-MIN((AJ204-AJ205)/MAX(1,Inputs!$C$80*12),AI208+AJ203-AJ205)</f>
        <v>-29027.7777777778</v>
      </c>
      <c r="AK206" s="69" t="n">
        <f aca="false">-MIN((AK204-AK205)/MAX(1,Inputs!$C$80*12),AJ208+AK203-AK205)</f>
        <v>-29027.7777777778</v>
      </c>
      <c r="AL206" s="69" t="n">
        <f aca="false">-MIN((AL204-AL205)/MAX(1,Inputs!$C$80*12),AK208+AL203-AL205)</f>
        <v>-29027.7777777778</v>
      </c>
    </row>
    <row r="207" customFormat="false" ht="15" hidden="false" customHeight="false" outlineLevel="0" collapsed="false">
      <c r="A207" s="6" t="s">
        <v>429</v>
      </c>
      <c r="C207" s="69" t="n">
        <f aca="false">C206</f>
        <v>-28472.2222222222</v>
      </c>
      <c r="D207" s="69" t="n">
        <f aca="false">C207+D206</f>
        <v>-56944.4444444444</v>
      </c>
      <c r="E207" s="69" t="n">
        <f aca="false">D207+E206</f>
        <v>-85416.6666666667</v>
      </c>
      <c r="F207" s="69" t="n">
        <f aca="false">E207+F206</f>
        <v>-113888.888888889</v>
      </c>
      <c r="G207" s="69" t="n">
        <f aca="false">F207+G206</f>
        <v>-142361.111111111</v>
      </c>
      <c r="H207" s="69" t="n">
        <f aca="false">G207+H206</f>
        <v>-170833.333333333</v>
      </c>
      <c r="I207" s="69" t="n">
        <f aca="false">H207+I206</f>
        <v>-199305.555555556</v>
      </c>
      <c r="J207" s="69" t="n">
        <f aca="false">I207+J206</f>
        <v>-227777.777777778</v>
      </c>
      <c r="K207" s="69" t="n">
        <f aca="false">J207+K206</f>
        <v>-256250</v>
      </c>
      <c r="L207" s="69" t="n">
        <f aca="false">K207+L206</f>
        <v>-284722.222222222</v>
      </c>
      <c r="M207" s="69" t="n">
        <f aca="false">L207+M206</f>
        <v>-313194.444444445</v>
      </c>
      <c r="N207" s="69" t="n">
        <f aca="false">M207+N206</f>
        <v>-341666.666666667</v>
      </c>
      <c r="O207" s="69" t="n">
        <f aca="false">N207+O206</f>
        <v>-370416.666666667</v>
      </c>
      <c r="P207" s="69" t="n">
        <f aca="false">O207+P206</f>
        <v>-399166.666666667</v>
      </c>
      <c r="Q207" s="69" t="n">
        <f aca="false">P207+Q206</f>
        <v>-427916.666666667</v>
      </c>
      <c r="R207" s="69" t="n">
        <f aca="false">Q207+R206</f>
        <v>-456666.666666667</v>
      </c>
      <c r="S207" s="69" t="n">
        <f aca="false">R207+S206</f>
        <v>-485416.666666667</v>
      </c>
      <c r="T207" s="69" t="n">
        <f aca="false">S207+T206</f>
        <v>-514166.666666667</v>
      </c>
      <c r="U207" s="69" t="n">
        <f aca="false">T207+U206</f>
        <v>-542916.666666667</v>
      </c>
      <c r="V207" s="69" t="n">
        <f aca="false">U207+V206</f>
        <v>-571666.666666667</v>
      </c>
      <c r="W207" s="69" t="n">
        <f aca="false">V207+W206</f>
        <v>-600416.666666667</v>
      </c>
      <c r="X207" s="69" t="n">
        <f aca="false">W207+X206</f>
        <v>-629166.666666667</v>
      </c>
      <c r="Y207" s="69" t="n">
        <f aca="false">X207+Y206</f>
        <v>-657916.666666667</v>
      </c>
      <c r="Z207" s="69" t="n">
        <f aca="false">Y207+Z206</f>
        <v>-686666.666666667</v>
      </c>
      <c r="AA207" s="69" t="n">
        <f aca="false">Z207+AA206</f>
        <v>-715694.444444445</v>
      </c>
      <c r="AB207" s="69" t="n">
        <f aca="false">AA207+AB206</f>
        <v>-744722.222222222</v>
      </c>
      <c r="AC207" s="69" t="n">
        <f aca="false">AB207+AC206</f>
        <v>-773750</v>
      </c>
      <c r="AD207" s="69" t="n">
        <f aca="false">AC207+AD206</f>
        <v>-802777.777777778</v>
      </c>
      <c r="AE207" s="69" t="n">
        <f aca="false">AD207+AE206</f>
        <v>-831805.555555556</v>
      </c>
      <c r="AF207" s="69" t="n">
        <f aca="false">AE207+AF206</f>
        <v>-860833.333333333</v>
      </c>
      <c r="AG207" s="69" t="n">
        <f aca="false">AF207+AG206</f>
        <v>-889861.111111111</v>
      </c>
      <c r="AH207" s="69" t="n">
        <f aca="false">AG207+AH206</f>
        <v>-918888.888888889</v>
      </c>
      <c r="AI207" s="69" t="n">
        <f aca="false">AH207+AI206</f>
        <v>-947916.666666667</v>
      </c>
      <c r="AJ207" s="69" t="n">
        <f aca="false">AI207+AJ206</f>
        <v>-976944.444444444</v>
      </c>
      <c r="AK207" s="69" t="n">
        <f aca="false">AJ207+AK206</f>
        <v>-1005972.22222222</v>
      </c>
      <c r="AL207" s="69" t="n">
        <f aca="false">AK207+AL206</f>
        <v>-1035000</v>
      </c>
    </row>
    <row r="208" customFormat="false" ht="15" hidden="false" customHeight="false" outlineLevel="0" collapsed="false">
      <c r="A208" s="4" t="s">
        <v>92</v>
      </c>
      <c r="C208" s="75" t="n">
        <f aca="false">C204+C207</f>
        <v>4071527.77777778</v>
      </c>
      <c r="D208" s="75" t="n">
        <f aca="false">D204+D207</f>
        <v>4043055.55555556</v>
      </c>
      <c r="E208" s="75" t="n">
        <f aca="false">E204+E207</f>
        <v>4014583.33333333</v>
      </c>
      <c r="F208" s="75" t="n">
        <f aca="false">F204+F207</f>
        <v>3986111.11111111</v>
      </c>
      <c r="G208" s="75" t="n">
        <f aca="false">G204+G207</f>
        <v>3957638.88888889</v>
      </c>
      <c r="H208" s="75" t="n">
        <f aca="false">H204+H207</f>
        <v>3929166.66666667</v>
      </c>
      <c r="I208" s="75" t="n">
        <f aca="false">I204+I207</f>
        <v>3900694.44444444</v>
      </c>
      <c r="J208" s="75" t="n">
        <f aca="false">J204+J207</f>
        <v>3872222.22222222</v>
      </c>
      <c r="K208" s="75" t="n">
        <f aca="false">K204+K207</f>
        <v>3843750</v>
      </c>
      <c r="L208" s="75" t="n">
        <f aca="false">L204+L207</f>
        <v>3815277.77777778</v>
      </c>
      <c r="M208" s="75" t="n">
        <f aca="false">M204+M207</f>
        <v>3786805.55555556</v>
      </c>
      <c r="N208" s="75" t="n">
        <f aca="false">N204+N207</f>
        <v>3758333.33333333</v>
      </c>
      <c r="O208" s="75" t="n">
        <f aca="false">O204+O207</f>
        <v>3769583.33333333</v>
      </c>
      <c r="P208" s="75" t="n">
        <f aca="false">P204+P207</f>
        <v>3740833.33333333</v>
      </c>
      <c r="Q208" s="75" t="n">
        <f aca="false">Q204+Q207</f>
        <v>3712083.33333333</v>
      </c>
      <c r="R208" s="75" t="n">
        <f aca="false">R204+R207</f>
        <v>3683333.33333333</v>
      </c>
      <c r="S208" s="75" t="n">
        <f aca="false">S204+S207</f>
        <v>3654583.33333333</v>
      </c>
      <c r="T208" s="75" t="n">
        <f aca="false">T204+T207</f>
        <v>3625833.33333333</v>
      </c>
      <c r="U208" s="75" t="n">
        <f aca="false">U204+U207</f>
        <v>3597083.33333333</v>
      </c>
      <c r="V208" s="75" t="n">
        <f aca="false">V204+V207</f>
        <v>3568333.33333333</v>
      </c>
      <c r="W208" s="75" t="n">
        <f aca="false">W204+W207</f>
        <v>3539583.33333333</v>
      </c>
      <c r="X208" s="75" t="n">
        <f aca="false">X204+X207</f>
        <v>3510833.33333333</v>
      </c>
      <c r="Y208" s="75" t="n">
        <f aca="false">Y204+Y207</f>
        <v>3482083.33333333</v>
      </c>
      <c r="Z208" s="75" t="n">
        <f aca="false">Z204+Z207</f>
        <v>3453333.33333333</v>
      </c>
      <c r="AA208" s="75" t="n">
        <f aca="false">AA204+AA207</f>
        <v>3464305.55555556</v>
      </c>
      <c r="AB208" s="75" t="n">
        <f aca="false">AB204+AB207</f>
        <v>3435277.77777778</v>
      </c>
      <c r="AC208" s="75" t="n">
        <f aca="false">AC204+AC207</f>
        <v>3406250</v>
      </c>
      <c r="AD208" s="75" t="n">
        <f aca="false">AD204+AD207</f>
        <v>3377222.22222222</v>
      </c>
      <c r="AE208" s="75" t="n">
        <f aca="false">AE204+AE207</f>
        <v>3348194.44444444</v>
      </c>
      <c r="AF208" s="75" t="n">
        <f aca="false">AF204+AF207</f>
        <v>3319166.66666667</v>
      </c>
      <c r="AG208" s="75" t="n">
        <f aca="false">AG204+AG207</f>
        <v>3290138.88888889</v>
      </c>
      <c r="AH208" s="75" t="n">
        <f aca="false">AH204+AH207</f>
        <v>3261111.11111111</v>
      </c>
      <c r="AI208" s="75" t="n">
        <f aca="false">AI204+AI207</f>
        <v>3232083.33333333</v>
      </c>
      <c r="AJ208" s="75" t="n">
        <f aca="false">AJ204+AJ207</f>
        <v>3203055.55555556</v>
      </c>
      <c r="AK208" s="75" t="n">
        <f aca="false">AK204+AK207</f>
        <v>3174027.77777778</v>
      </c>
      <c r="AL208" s="75" t="n">
        <f aca="false">AL204+AL207</f>
        <v>3145000</v>
      </c>
    </row>
    <row r="210" customFormat="false" ht="15.75" hidden="false" customHeight="true" outlineLevel="0" collapsed="false">
      <c r="A210" s="7" t="s">
        <v>430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customFormat="false" ht="15" hidden="false" customHeight="false" outlineLevel="0" collapsed="false">
      <c r="A211" s="6" t="s">
        <v>431</v>
      </c>
      <c r="C211" s="69" t="n">
        <f aca="false">0</f>
        <v>0</v>
      </c>
      <c r="D211" s="69" t="n">
        <f aca="false">C214</f>
        <v>3000000</v>
      </c>
      <c r="E211" s="69" t="n">
        <f aca="false">D214</f>
        <v>2975000</v>
      </c>
      <c r="F211" s="69" t="n">
        <f aca="false">E214</f>
        <v>2950000</v>
      </c>
      <c r="G211" s="69" t="n">
        <f aca="false">F214</f>
        <v>2925000</v>
      </c>
      <c r="H211" s="69" t="n">
        <f aca="false">G214</f>
        <v>2900000</v>
      </c>
      <c r="I211" s="69" t="n">
        <f aca="false">H214</f>
        <v>2875000</v>
      </c>
      <c r="J211" s="69" t="n">
        <f aca="false">I214</f>
        <v>2850000</v>
      </c>
      <c r="K211" s="69" t="n">
        <f aca="false">J214</f>
        <v>2825000</v>
      </c>
      <c r="L211" s="69" t="n">
        <f aca="false">K214</f>
        <v>2800000</v>
      </c>
      <c r="M211" s="69" t="n">
        <f aca="false">L214</f>
        <v>2775000</v>
      </c>
      <c r="N211" s="69" t="n">
        <f aca="false">M214</f>
        <v>2750000</v>
      </c>
      <c r="O211" s="69" t="n">
        <f aca="false">N214</f>
        <v>2725000</v>
      </c>
      <c r="P211" s="69" t="n">
        <f aca="false">O214</f>
        <v>2700000</v>
      </c>
      <c r="Q211" s="69" t="n">
        <f aca="false">P214</f>
        <v>2675000</v>
      </c>
      <c r="R211" s="69" t="n">
        <f aca="false">Q214</f>
        <v>2650000</v>
      </c>
      <c r="S211" s="69" t="n">
        <f aca="false">R214</f>
        <v>2625000</v>
      </c>
      <c r="T211" s="69" t="n">
        <f aca="false">S214</f>
        <v>2600000</v>
      </c>
      <c r="U211" s="69" t="n">
        <f aca="false">T214</f>
        <v>2575000</v>
      </c>
      <c r="V211" s="69" t="n">
        <f aca="false">U214</f>
        <v>2550000</v>
      </c>
      <c r="W211" s="69" t="n">
        <f aca="false">V214</f>
        <v>2525000</v>
      </c>
      <c r="X211" s="69" t="n">
        <f aca="false">W214</f>
        <v>2500000</v>
      </c>
      <c r="Y211" s="69" t="n">
        <f aca="false">X214</f>
        <v>2475000</v>
      </c>
      <c r="Z211" s="69" t="n">
        <f aca="false">Y214</f>
        <v>2450000</v>
      </c>
      <c r="AA211" s="69" t="n">
        <f aca="false">Z214</f>
        <v>2425000</v>
      </c>
      <c r="AB211" s="69" t="n">
        <f aca="false">AA214</f>
        <v>2400000</v>
      </c>
      <c r="AC211" s="69" t="n">
        <f aca="false">AB214</f>
        <v>2375000</v>
      </c>
      <c r="AD211" s="69" t="n">
        <f aca="false">AC214</f>
        <v>2350000</v>
      </c>
      <c r="AE211" s="69" t="n">
        <f aca="false">AD214</f>
        <v>2325000</v>
      </c>
      <c r="AF211" s="69" t="n">
        <f aca="false">AE214</f>
        <v>2300000</v>
      </c>
      <c r="AG211" s="69" t="n">
        <f aca="false">AF214</f>
        <v>2275000</v>
      </c>
      <c r="AH211" s="69" t="n">
        <f aca="false">AG214</f>
        <v>2250000</v>
      </c>
      <c r="AI211" s="69" t="n">
        <f aca="false">AH214</f>
        <v>2225000</v>
      </c>
      <c r="AJ211" s="69" t="n">
        <f aca="false">AI214</f>
        <v>2200000</v>
      </c>
      <c r="AK211" s="69" t="n">
        <f aca="false">AJ214</f>
        <v>2175000</v>
      </c>
      <c r="AL211" s="69" t="n">
        <f aca="false">AK214</f>
        <v>2150000</v>
      </c>
    </row>
    <row r="212" customFormat="false" ht="15" hidden="false" customHeight="false" outlineLevel="0" collapsed="false">
      <c r="A212" s="6" t="s">
        <v>85</v>
      </c>
      <c r="C212" s="69" t="n">
        <f aca="false">IF(C$135=1,Inputs!$C$70,0)</f>
        <v>3000000</v>
      </c>
      <c r="D212" s="69" t="n">
        <f aca="false">IF(D$135=1,Inputs!$C$70,0)</f>
        <v>0</v>
      </c>
      <c r="E212" s="69" t="n">
        <f aca="false">IF(E$135=1,Inputs!$C$70,0)</f>
        <v>0</v>
      </c>
      <c r="F212" s="69" t="n">
        <f aca="false">IF(F$135=1,Inputs!$C$70,0)</f>
        <v>0</v>
      </c>
      <c r="G212" s="69" t="n">
        <f aca="false">IF(G$135=1,Inputs!$C$70,0)</f>
        <v>0</v>
      </c>
      <c r="H212" s="69" t="n">
        <f aca="false">IF(H$135=1,Inputs!$C$70,0)</f>
        <v>0</v>
      </c>
      <c r="I212" s="69" t="n">
        <f aca="false">IF(I$135=1,Inputs!$C$70,0)</f>
        <v>0</v>
      </c>
      <c r="J212" s="69" t="n">
        <f aca="false">IF(J$135=1,Inputs!$C$70,0)</f>
        <v>0</v>
      </c>
      <c r="K212" s="69" t="n">
        <f aca="false">IF(K$135=1,Inputs!$C$70,0)</f>
        <v>0</v>
      </c>
      <c r="L212" s="69" t="n">
        <f aca="false">IF(L$135=1,Inputs!$C$70,0)</f>
        <v>0</v>
      </c>
      <c r="M212" s="69" t="n">
        <f aca="false">IF(M$135=1,Inputs!$C$70,0)</f>
        <v>0</v>
      </c>
      <c r="N212" s="69" t="n">
        <f aca="false">IF(N$135=1,Inputs!$C$70,0)</f>
        <v>0</v>
      </c>
      <c r="O212" s="69" t="n">
        <f aca="false">IF(O$135=1,Inputs!$C$70,0)</f>
        <v>0</v>
      </c>
      <c r="P212" s="69" t="n">
        <f aca="false">IF(P$135=1,Inputs!$C$70,0)</f>
        <v>0</v>
      </c>
      <c r="Q212" s="69" t="n">
        <f aca="false">IF(Q$135=1,Inputs!$C$70,0)</f>
        <v>0</v>
      </c>
      <c r="R212" s="69" t="n">
        <f aca="false">IF(R$135=1,Inputs!$C$70,0)</f>
        <v>0</v>
      </c>
      <c r="S212" s="69" t="n">
        <f aca="false">IF(S$135=1,Inputs!$C$70,0)</f>
        <v>0</v>
      </c>
      <c r="T212" s="69" t="n">
        <f aca="false">IF(T$135=1,Inputs!$C$70,0)</f>
        <v>0</v>
      </c>
      <c r="U212" s="69" t="n">
        <f aca="false">IF(U$135=1,Inputs!$C$70,0)</f>
        <v>0</v>
      </c>
      <c r="V212" s="69" t="n">
        <f aca="false">IF(V$135=1,Inputs!$C$70,0)</f>
        <v>0</v>
      </c>
      <c r="W212" s="69" t="n">
        <f aca="false">IF(W$135=1,Inputs!$C$70,0)</f>
        <v>0</v>
      </c>
      <c r="X212" s="69" t="n">
        <f aca="false">IF(X$135=1,Inputs!$C$70,0)</f>
        <v>0</v>
      </c>
      <c r="Y212" s="69" t="n">
        <f aca="false">IF(Y$135=1,Inputs!$C$70,0)</f>
        <v>0</v>
      </c>
      <c r="Z212" s="69" t="n">
        <f aca="false">IF(Z$135=1,Inputs!$C$70,0)</f>
        <v>0</v>
      </c>
      <c r="AA212" s="69" t="n">
        <f aca="false">IF(AA$135=1,Inputs!$C$70,0)</f>
        <v>0</v>
      </c>
      <c r="AB212" s="69" t="n">
        <f aca="false">IF(AB$135=1,Inputs!$C$70,0)</f>
        <v>0</v>
      </c>
      <c r="AC212" s="69" t="n">
        <f aca="false">IF(AC$135=1,Inputs!$C$70,0)</f>
        <v>0</v>
      </c>
      <c r="AD212" s="69" t="n">
        <f aca="false">IF(AD$135=1,Inputs!$C$70,0)</f>
        <v>0</v>
      </c>
      <c r="AE212" s="69" t="n">
        <f aca="false">IF(AE$135=1,Inputs!$C$70,0)</f>
        <v>0</v>
      </c>
      <c r="AF212" s="69" t="n">
        <f aca="false">IF(AF$135=1,Inputs!$C$70,0)</f>
        <v>0</v>
      </c>
      <c r="AG212" s="69" t="n">
        <f aca="false">IF(AG$135=1,Inputs!$C$70,0)</f>
        <v>0</v>
      </c>
      <c r="AH212" s="69" t="n">
        <f aca="false">IF(AH$135=1,Inputs!$C$70,0)</f>
        <v>0</v>
      </c>
      <c r="AI212" s="69" t="n">
        <f aca="false">IF(AI$135=1,Inputs!$C$70,0)</f>
        <v>0</v>
      </c>
      <c r="AJ212" s="69" t="n">
        <f aca="false">IF(AJ$135=1,Inputs!$C$70,0)</f>
        <v>0</v>
      </c>
      <c r="AK212" s="69" t="n">
        <f aca="false">IF(AK$135=1,Inputs!$C$70,0)</f>
        <v>0</v>
      </c>
      <c r="AL212" s="69" t="n">
        <f aca="false">IF(AL$135=1,Inputs!$C$70,0)</f>
        <v>0</v>
      </c>
    </row>
    <row r="213" customFormat="false" ht="15" hidden="false" customHeight="false" outlineLevel="0" collapsed="false">
      <c r="A213" s="6" t="s">
        <v>86</v>
      </c>
      <c r="C213" s="69" t="n">
        <f aca="false">-MIN(C211,Inputs!$C$70/MAX(1,Inputs!$C$72*12))</f>
        <v>-0</v>
      </c>
      <c r="D213" s="69" t="n">
        <f aca="false">-MIN(D211,Inputs!$C$70/MAX(1,Inputs!$C$72*12))</f>
        <v>-25000</v>
      </c>
      <c r="E213" s="69" t="n">
        <f aca="false">-MIN(E211,Inputs!$C$70/MAX(1,Inputs!$C$72*12))</f>
        <v>-25000</v>
      </c>
      <c r="F213" s="69" t="n">
        <f aca="false">-MIN(F211,Inputs!$C$70/MAX(1,Inputs!$C$72*12))</f>
        <v>-25000</v>
      </c>
      <c r="G213" s="69" t="n">
        <f aca="false">-MIN(G211,Inputs!$C$70/MAX(1,Inputs!$C$72*12))</f>
        <v>-25000</v>
      </c>
      <c r="H213" s="69" t="n">
        <f aca="false">-MIN(H211,Inputs!$C$70/MAX(1,Inputs!$C$72*12))</f>
        <v>-25000</v>
      </c>
      <c r="I213" s="69" t="n">
        <f aca="false">-MIN(I211,Inputs!$C$70/MAX(1,Inputs!$C$72*12))</f>
        <v>-25000</v>
      </c>
      <c r="J213" s="69" t="n">
        <f aca="false">-MIN(J211,Inputs!$C$70/MAX(1,Inputs!$C$72*12))</f>
        <v>-25000</v>
      </c>
      <c r="K213" s="69" t="n">
        <f aca="false">-MIN(K211,Inputs!$C$70/MAX(1,Inputs!$C$72*12))</f>
        <v>-25000</v>
      </c>
      <c r="L213" s="69" t="n">
        <f aca="false">-MIN(L211,Inputs!$C$70/MAX(1,Inputs!$C$72*12))</f>
        <v>-25000</v>
      </c>
      <c r="M213" s="69" t="n">
        <f aca="false">-MIN(M211,Inputs!$C$70/MAX(1,Inputs!$C$72*12))</f>
        <v>-25000</v>
      </c>
      <c r="N213" s="69" t="n">
        <f aca="false">-MIN(N211,Inputs!$C$70/MAX(1,Inputs!$C$72*12))</f>
        <v>-25000</v>
      </c>
      <c r="O213" s="69" t="n">
        <f aca="false">-MIN(O211,Inputs!$C$70/MAX(1,Inputs!$C$72*12))</f>
        <v>-25000</v>
      </c>
      <c r="P213" s="69" t="n">
        <f aca="false">-MIN(P211,Inputs!$C$70/MAX(1,Inputs!$C$72*12))</f>
        <v>-25000</v>
      </c>
      <c r="Q213" s="69" t="n">
        <f aca="false">-MIN(Q211,Inputs!$C$70/MAX(1,Inputs!$C$72*12))</f>
        <v>-25000</v>
      </c>
      <c r="R213" s="69" t="n">
        <f aca="false">-MIN(R211,Inputs!$C$70/MAX(1,Inputs!$C$72*12))</f>
        <v>-25000</v>
      </c>
      <c r="S213" s="69" t="n">
        <f aca="false">-MIN(S211,Inputs!$C$70/MAX(1,Inputs!$C$72*12))</f>
        <v>-25000</v>
      </c>
      <c r="T213" s="69" t="n">
        <f aca="false">-MIN(T211,Inputs!$C$70/MAX(1,Inputs!$C$72*12))</f>
        <v>-25000</v>
      </c>
      <c r="U213" s="69" t="n">
        <f aca="false">-MIN(U211,Inputs!$C$70/MAX(1,Inputs!$C$72*12))</f>
        <v>-25000</v>
      </c>
      <c r="V213" s="69" t="n">
        <f aca="false">-MIN(V211,Inputs!$C$70/MAX(1,Inputs!$C$72*12))</f>
        <v>-25000</v>
      </c>
      <c r="W213" s="69" t="n">
        <f aca="false">-MIN(W211,Inputs!$C$70/MAX(1,Inputs!$C$72*12))</f>
        <v>-25000</v>
      </c>
      <c r="X213" s="69" t="n">
        <f aca="false">-MIN(X211,Inputs!$C$70/MAX(1,Inputs!$C$72*12))</f>
        <v>-25000</v>
      </c>
      <c r="Y213" s="69" t="n">
        <f aca="false">-MIN(Y211,Inputs!$C$70/MAX(1,Inputs!$C$72*12))</f>
        <v>-25000</v>
      </c>
      <c r="Z213" s="69" t="n">
        <f aca="false">-MIN(Z211,Inputs!$C$70/MAX(1,Inputs!$C$72*12))</f>
        <v>-25000</v>
      </c>
      <c r="AA213" s="69" t="n">
        <f aca="false">-MIN(AA211,Inputs!$C$70/MAX(1,Inputs!$C$72*12))</f>
        <v>-25000</v>
      </c>
      <c r="AB213" s="69" t="n">
        <f aca="false">-MIN(AB211,Inputs!$C$70/MAX(1,Inputs!$C$72*12))</f>
        <v>-25000</v>
      </c>
      <c r="AC213" s="69" t="n">
        <f aca="false">-MIN(AC211,Inputs!$C$70/MAX(1,Inputs!$C$72*12))</f>
        <v>-25000</v>
      </c>
      <c r="AD213" s="69" t="n">
        <f aca="false">-MIN(AD211,Inputs!$C$70/MAX(1,Inputs!$C$72*12))</f>
        <v>-25000</v>
      </c>
      <c r="AE213" s="69" t="n">
        <f aca="false">-MIN(AE211,Inputs!$C$70/MAX(1,Inputs!$C$72*12))</f>
        <v>-25000</v>
      </c>
      <c r="AF213" s="69" t="n">
        <f aca="false">-MIN(AF211,Inputs!$C$70/MAX(1,Inputs!$C$72*12))</f>
        <v>-25000</v>
      </c>
      <c r="AG213" s="69" t="n">
        <f aca="false">-MIN(AG211,Inputs!$C$70/MAX(1,Inputs!$C$72*12))</f>
        <v>-25000</v>
      </c>
      <c r="AH213" s="69" t="n">
        <f aca="false">-MIN(AH211,Inputs!$C$70/MAX(1,Inputs!$C$72*12))</f>
        <v>-25000</v>
      </c>
      <c r="AI213" s="69" t="n">
        <f aca="false">-MIN(AI211,Inputs!$C$70/MAX(1,Inputs!$C$72*12))</f>
        <v>-25000</v>
      </c>
      <c r="AJ213" s="69" t="n">
        <f aca="false">-MIN(AJ211,Inputs!$C$70/MAX(1,Inputs!$C$72*12))</f>
        <v>-25000</v>
      </c>
      <c r="AK213" s="69" t="n">
        <f aca="false">-MIN(AK211,Inputs!$C$70/MAX(1,Inputs!$C$72*12))</f>
        <v>-25000</v>
      </c>
      <c r="AL213" s="69" t="n">
        <f aca="false">-MIN(AL211,Inputs!$C$70/MAX(1,Inputs!$C$72*12))</f>
        <v>-25000</v>
      </c>
    </row>
    <row r="214" customFormat="false" ht="15" hidden="false" customHeight="false" outlineLevel="0" collapsed="false">
      <c r="A214" s="4" t="s">
        <v>432</v>
      </c>
      <c r="C214" s="75" t="n">
        <f aca="false">C211+C212+C213</f>
        <v>3000000</v>
      </c>
      <c r="D214" s="75" t="n">
        <f aca="false">D211+D212+D213</f>
        <v>2975000</v>
      </c>
      <c r="E214" s="75" t="n">
        <f aca="false">E211+E212+E213</f>
        <v>2950000</v>
      </c>
      <c r="F214" s="75" t="n">
        <f aca="false">F211+F212+F213</f>
        <v>2925000</v>
      </c>
      <c r="G214" s="75" t="n">
        <f aca="false">G211+G212+G213</f>
        <v>2900000</v>
      </c>
      <c r="H214" s="75" t="n">
        <f aca="false">H211+H212+H213</f>
        <v>2875000</v>
      </c>
      <c r="I214" s="75" t="n">
        <f aca="false">I211+I212+I213</f>
        <v>2850000</v>
      </c>
      <c r="J214" s="75" t="n">
        <f aca="false">J211+J212+J213</f>
        <v>2825000</v>
      </c>
      <c r="K214" s="75" t="n">
        <f aca="false">K211+K212+K213</f>
        <v>2800000</v>
      </c>
      <c r="L214" s="75" t="n">
        <f aca="false">L211+L212+L213</f>
        <v>2775000</v>
      </c>
      <c r="M214" s="75" t="n">
        <f aca="false">M211+M212+M213</f>
        <v>2750000</v>
      </c>
      <c r="N214" s="75" t="n">
        <f aca="false">N211+N212+N213</f>
        <v>2725000</v>
      </c>
      <c r="O214" s="75" t="n">
        <f aca="false">O211+O212+O213</f>
        <v>2700000</v>
      </c>
      <c r="P214" s="75" t="n">
        <f aca="false">P211+P212+P213</f>
        <v>2675000</v>
      </c>
      <c r="Q214" s="75" t="n">
        <f aca="false">Q211+Q212+Q213</f>
        <v>2650000</v>
      </c>
      <c r="R214" s="75" t="n">
        <f aca="false">R211+R212+R213</f>
        <v>2625000</v>
      </c>
      <c r="S214" s="75" t="n">
        <f aca="false">S211+S212+S213</f>
        <v>2600000</v>
      </c>
      <c r="T214" s="75" t="n">
        <f aca="false">T211+T212+T213</f>
        <v>2575000</v>
      </c>
      <c r="U214" s="75" t="n">
        <f aca="false">U211+U212+U213</f>
        <v>2550000</v>
      </c>
      <c r="V214" s="75" t="n">
        <f aca="false">V211+V212+V213</f>
        <v>2525000</v>
      </c>
      <c r="W214" s="75" t="n">
        <f aca="false">W211+W212+W213</f>
        <v>2500000</v>
      </c>
      <c r="X214" s="75" t="n">
        <f aca="false">X211+X212+X213</f>
        <v>2475000</v>
      </c>
      <c r="Y214" s="75" t="n">
        <f aca="false">Y211+Y212+Y213</f>
        <v>2450000</v>
      </c>
      <c r="Z214" s="75" t="n">
        <f aca="false">Z211+Z212+Z213</f>
        <v>2425000</v>
      </c>
      <c r="AA214" s="75" t="n">
        <f aca="false">AA211+AA212+AA213</f>
        <v>2400000</v>
      </c>
      <c r="AB214" s="75" t="n">
        <f aca="false">AB211+AB212+AB213</f>
        <v>2375000</v>
      </c>
      <c r="AC214" s="75" t="n">
        <f aca="false">AC211+AC212+AC213</f>
        <v>2350000</v>
      </c>
      <c r="AD214" s="75" t="n">
        <f aca="false">AD211+AD212+AD213</f>
        <v>2325000</v>
      </c>
      <c r="AE214" s="75" t="n">
        <f aca="false">AE211+AE212+AE213</f>
        <v>2300000</v>
      </c>
      <c r="AF214" s="75" t="n">
        <f aca="false">AF211+AF212+AF213</f>
        <v>2275000</v>
      </c>
      <c r="AG214" s="75" t="n">
        <f aca="false">AG211+AG212+AG213</f>
        <v>2250000</v>
      </c>
      <c r="AH214" s="75" t="n">
        <f aca="false">AH211+AH212+AH213</f>
        <v>2225000</v>
      </c>
      <c r="AI214" s="75" t="n">
        <f aca="false">AI211+AI212+AI213</f>
        <v>2200000</v>
      </c>
      <c r="AJ214" s="75" t="n">
        <f aca="false">AJ211+AJ212+AJ213</f>
        <v>2175000</v>
      </c>
      <c r="AK214" s="75" t="n">
        <f aca="false">AK211+AK212+AK213</f>
        <v>2150000</v>
      </c>
      <c r="AL214" s="75" t="n">
        <f aca="false">AL211+AL212+AL213</f>
        <v>2125000</v>
      </c>
    </row>
    <row r="216" customFormat="false" ht="15.75" hidden="false" customHeight="true" outlineLevel="0" collapsed="false">
      <c r="A216" s="7" t="s">
        <v>324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6" t="s">
        <v>90</v>
      </c>
      <c r="C217" s="69" t="n">
        <f aca="false">C168*Inputs!$C$75/30</f>
        <v>3196.22386666667</v>
      </c>
      <c r="D217" s="69" t="n">
        <f aca="false">D168*Inputs!$C$75/30</f>
        <v>3629.92906014815</v>
      </c>
      <c r="E217" s="69" t="n">
        <f aca="false">E168*Inputs!$C$75/30</f>
        <v>4851.56011996444</v>
      </c>
      <c r="F217" s="69" t="n">
        <f aca="false">F168*Inputs!$C$75/30</f>
        <v>5403.45992257327</v>
      </c>
      <c r="G217" s="69" t="n">
        <f aca="false">G168*Inputs!$C$75/30</f>
        <v>5966.01842937405</v>
      </c>
      <c r="H217" s="69" t="n">
        <f aca="false">H168*Inputs!$C$75/30</f>
        <v>6538.80929219909</v>
      </c>
      <c r="I217" s="69" t="n">
        <f aca="false">I168*Inputs!$C$75/30</f>
        <v>7121.42321680742</v>
      </c>
      <c r="J217" s="69" t="n">
        <f aca="false">J168*Inputs!$C$75/30</f>
        <v>7713.46728072771</v>
      </c>
      <c r="K217" s="69" t="n">
        <f aca="false">K168*Inputs!$C$75/30</f>
        <v>8314.5642783875</v>
      </c>
      <c r="L217" s="69" t="n">
        <f aca="false">L168*Inputs!$C$75/30</f>
        <v>8924.35209243718</v>
      </c>
      <c r="M217" s="69" t="n">
        <f aca="false">M168*Inputs!$C$75/30</f>
        <v>9103.03667540636</v>
      </c>
      <c r="N217" s="69" t="n">
        <f aca="false">N168*Inputs!$C$75/30</f>
        <v>7915.98187505677</v>
      </c>
      <c r="O217" s="69" t="n">
        <f aca="false">O168*Inputs!$C$75/30</f>
        <v>8395.95702165559</v>
      </c>
      <c r="P217" s="69" t="n">
        <f aca="false">P168*Inputs!$C$75/30</f>
        <v>8541.41545118937</v>
      </c>
      <c r="Q217" s="69" t="n">
        <f aca="false">Q168*Inputs!$C$75/30</f>
        <v>10108.3922987418</v>
      </c>
      <c r="R217" s="69" t="n">
        <f aca="false">R168*Inputs!$C$75/30</f>
        <v>10269.1996019921</v>
      </c>
      <c r="S217" s="69" t="n">
        <f aca="false">S168*Inputs!$C$75/30</f>
        <v>10423.5746131124</v>
      </c>
      <c r="T217" s="69" t="n">
        <f aca="false">T168*Inputs!$C$75/30</f>
        <v>10571.7746237879</v>
      </c>
      <c r="U217" s="69" t="n">
        <f aca="false">U168*Inputs!$C$75/30</f>
        <v>10714.0466340364</v>
      </c>
      <c r="V217" s="69" t="n">
        <f aca="false">V168*Inputs!$C$75/30</f>
        <v>10850.627763875</v>
      </c>
      <c r="W217" s="69" t="n">
        <f aca="false">W168*Inputs!$C$75/30</f>
        <v>10981.74564852</v>
      </c>
      <c r="X217" s="69" t="n">
        <f aca="false">X168*Inputs!$C$75/30</f>
        <v>11107.6188177792</v>
      </c>
      <c r="Y217" s="69" t="n">
        <f aca="false">Y168*Inputs!$C$75/30</f>
        <v>11228.457060268</v>
      </c>
      <c r="Z217" s="69" t="n">
        <f aca="false">Z168*Inputs!$C$75/30</f>
        <v>9917.12501785728</v>
      </c>
      <c r="AA217" s="69" t="n">
        <f aca="false">AA168*Inputs!$C$75/30</f>
        <v>10390.5828321076</v>
      </c>
      <c r="AB217" s="69" t="n">
        <f aca="false">AB168*Inputs!$C$75/30</f>
        <v>10483.1588227695</v>
      </c>
      <c r="AC217" s="69" t="n">
        <f aca="false">AC168*Inputs!$C$75/30</f>
        <v>12071.5917688181</v>
      </c>
      <c r="AD217" s="69" t="n">
        <f aca="false">AD168*Inputs!$C$75/30</f>
        <v>12185.0163088225</v>
      </c>
      <c r="AE217" s="69" t="n">
        <f aca="false">AE168*Inputs!$C$75/30</f>
        <v>12293.9038672267</v>
      </c>
      <c r="AF217" s="69" t="n">
        <f aca="false">AF168*Inputs!$C$75/30</f>
        <v>12398.4359232948</v>
      </c>
      <c r="AG217" s="69" t="n">
        <f aca="false">AG168*Inputs!$C$75/30</f>
        <v>12498.7866971201</v>
      </c>
      <c r="AH217" s="69" t="n">
        <f aca="false">AH168*Inputs!$C$75/30</f>
        <v>12595.1234399924</v>
      </c>
      <c r="AI217" s="69" t="n">
        <f aca="false">AI168*Inputs!$C$75/30</f>
        <v>12687.6067131499</v>
      </c>
      <c r="AJ217" s="69" t="n">
        <f aca="false">AJ168*Inputs!$C$75/30</f>
        <v>12776.390655381</v>
      </c>
      <c r="AK217" s="69" t="n">
        <f aca="false">AK168*Inputs!$C$75/30</f>
        <v>12861.6232399229</v>
      </c>
      <c r="AL217" s="69" t="n">
        <f aca="false">AL168*Inputs!$C$75/30</f>
        <v>11443.8865260699</v>
      </c>
    </row>
    <row r="218" customFormat="false" ht="15" hidden="false" customHeight="false" outlineLevel="0" collapsed="false">
      <c r="A218" s="6" t="s">
        <v>91</v>
      </c>
      <c r="C218" s="69" t="n">
        <f aca="false">-C176*Inputs!$C$76/30</f>
        <v>1650.12067404333</v>
      </c>
      <c r="D218" s="69" t="n">
        <f aca="false">-D176*Inputs!$C$76/30</f>
        <v>1874.00472147456</v>
      </c>
      <c r="E218" s="69" t="n">
        <f aca="false">-E176*Inputs!$C$76/30</f>
        <v>2584.5948932913</v>
      </c>
      <c r="F218" s="69" t="n">
        <f aca="false">-F176*Inputs!$C$76/30</f>
        <v>2884.39593898965</v>
      </c>
      <c r="G218" s="69" t="n">
        <f aca="false">-G176*Inputs!$C$76/30</f>
        <v>3191.70097890673</v>
      </c>
      <c r="H218" s="69" t="n">
        <f aca="false">-H176*Inputs!$C$76/30</f>
        <v>3506.20985327379</v>
      </c>
      <c r="I218" s="69" t="n">
        <f aca="false">-I176*Inputs!$C$76/30</f>
        <v>3827.63440871284</v>
      </c>
      <c r="J218" s="69" t="n">
        <f aca="false">-J176*Inputs!$C$76/30</f>
        <v>4155.698017981</v>
      </c>
      <c r="K218" s="69" t="n">
        <f aca="false">-K176*Inputs!$C$76/30</f>
        <v>4490.13511892509</v>
      </c>
      <c r="L218" s="69" t="n">
        <f aca="false">-L176*Inputs!$C$76/30</f>
        <v>4830.69077187809</v>
      </c>
      <c r="M218" s="69" t="n">
        <f aca="false">-M176*Inputs!$C$76/30</f>
        <v>4956.48918540296</v>
      </c>
      <c r="N218" s="69" t="n">
        <f aca="false">-N176*Inputs!$C$76/30</f>
        <v>4146.69851764287</v>
      </c>
      <c r="O218" s="69" t="n">
        <f aca="false">-O176*Inputs!$C$76/30</f>
        <v>4437.9045862263</v>
      </c>
      <c r="P218" s="69" t="n">
        <f aca="false">-P176*Inputs!$C$76/30</f>
        <v>4524.40568388608</v>
      </c>
      <c r="Q218" s="69" t="n">
        <f aca="false">-Q176*Inputs!$C$76/30</f>
        <v>5635.20556376361</v>
      </c>
      <c r="R218" s="69" t="n">
        <f aca="false">-R176*Inputs!$C$76/30</f>
        <v>5749.36231361903</v>
      </c>
      <c r="S218" s="69" t="n">
        <f aca="false">-S176*Inputs!$C$76/30</f>
        <v>5858.95279348023</v>
      </c>
      <c r="T218" s="69" t="n">
        <f aca="false">-T176*Inputs!$C$76/30</f>
        <v>5964.15965414698</v>
      </c>
      <c r="U218" s="69" t="n">
        <f aca="false">-U176*Inputs!$C$76/30</f>
        <v>6065.15824038706</v>
      </c>
      <c r="V218" s="69" t="n">
        <f aca="false">-V176*Inputs!$C$76/30</f>
        <v>6162.11688317754</v>
      </c>
      <c r="W218" s="69" t="n">
        <f aca="false">-W176*Inputs!$C$76/30</f>
        <v>6255.19718025639</v>
      </c>
      <c r="X218" s="69" t="n">
        <f aca="false">-X176*Inputs!$C$76/30</f>
        <v>6344.5542654521</v>
      </c>
      <c r="Y218" s="69" t="n">
        <f aca="false">-Y176*Inputs!$C$76/30</f>
        <v>6430.33706723997</v>
      </c>
      <c r="Z218" s="69" t="n">
        <f aca="false">-Z176*Inputs!$C$76/30</f>
        <v>5342.51150256752</v>
      </c>
      <c r="AA218" s="69" t="n">
        <f aca="false">-AA176*Inputs!$C$76/30</f>
        <v>5640.15059832643</v>
      </c>
      <c r="AB218" s="69" t="n">
        <f aca="false">-AB176*Inputs!$C$76/30</f>
        <v>5695.64804791407</v>
      </c>
      <c r="AC218" s="69" t="n">
        <f aca="false">-AC176*Inputs!$C$76/30</f>
        <v>7006.63571134713</v>
      </c>
      <c r="AD218" s="69" t="n">
        <f aca="false">-AD176*Inputs!$C$76/30</f>
        <v>7087.82819164455</v>
      </c>
      <c r="AE218" s="69" t="n">
        <f aca="false">-AE176*Inputs!$C$76/30</f>
        <v>7165.77297273006</v>
      </c>
      <c r="AF218" s="69" t="n">
        <f aca="false">-AF176*Inputs!$C$76/30</f>
        <v>7240.59996257216</v>
      </c>
      <c r="AG218" s="69" t="n">
        <f aca="false">-AG176*Inputs!$C$76/30</f>
        <v>7312.43387282057</v>
      </c>
      <c r="AH218" s="69" t="n">
        <f aca="false">-AH176*Inputs!$C$76/30</f>
        <v>7381.39442665905</v>
      </c>
      <c r="AI218" s="69" t="n">
        <f aca="false">-AI176*Inputs!$C$76/30</f>
        <v>7447.59655834399</v>
      </c>
      <c r="AJ218" s="69" t="n">
        <f aca="false">-AJ176*Inputs!$C$76/30</f>
        <v>7511.15060476153</v>
      </c>
      <c r="AK218" s="69" t="n">
        <f aca="false">-AK176*Inputs!$C$76/30</f>
        <v>7572.16248932236</v>
      </c>
      <c r="AL218" s="69" t="n">
        <f aca="false">-AL176*Inputs!$C$76/30</f>
        <v>6271.58503654501</v>
      </c>
    </row>
    <row r="219" customFormat="false" ht="15" hidden="false" customHeight="false" outlineLevel="0" collapsed="false">
      <c r="A219" s="6" t="s">
        <v>94</v>
      </c>
      <c r="C219" s="69" t="n">
        <f aca="false">-C176*Inputs!$C$77/30</f>
        <v>4714.63049726667</v>
      </c>
      <c r="D219" s="69" t="n">
        <f aca="false">-D176*Inputs!$C$77/30</f>
        <v>5354.29920421304</v>
      </c>
      <c r="E219" s="69" t="n">
        <f aca="false">-E176*Inputs!$C$77/30</f>
        <v>7384.55683797515</v>
      </c>
      <c r="F219" s="69" t="n">
        <f aca="false">-F176*Inputs!$C$77/30</f>
        <v>8241.13125425614</v>
      </c>
      <c r="G219" s="69" t="n">
        <f aca="false">-G176*Inputs!$C$77/30</f>
        <v>9119.14565401923</v>
      </c>
      <c r="H219" s="69" t="n">
        <f aca="false">-H176*Inputs!$C$77/30</f>
        <v>10017.7424379251</v>
      </c>
      <c r="I219" s="69" t="n">
        <f aca="false">-I176*Inputs!$C$77/30</f>
        <v>10936.0983106081</v>
      </c>
      <c r="J219" s="69" t="n">
        <f aca="false">-J176*Inputs!$C$77/30</f>
        <v>11873.4229085171</v>
      </c>
      <c r="K219" s="69" t="n">
        <f aca="false">-K176*Inputs!$C$77/30</f>
        <v>12828.9574826431</v>
      </c>
      <c r="L219" s="69" t="n">
        <f aca="false">-L176*Inputs!$C$77/30</f>
        <v>13801.9736339374</v>
      </c>
      <c r="M219" s="69" t="n">
        <f aca="false">-M176*Inputs!$C$77/30</f>
        <v>14161.3976725799</v>
      </c>
      <c r="N219" s="69" t="n">
        <f aca="false">-N176*Inputs!$C$77/30</f>
        <v>11847.7100504082</v>
      </c>
      <c r="O219" s="69" t="n">
        <f aca="false">-O176*Inputs!$C$77/30</f>
        <v>12679.727389218</v>
      </c>
      <c r="P219" s="69" t="n">
        <f aca="false">-P176*Inputs!$C$77/30</f>
        <v>12926.8733825317</v>
      </c>
      <c r="Q219" s="69" t="n">
        <f aca="false">-Q176*Inputs!$C$77/30</f>
        <v>16100.5873250389</v>
      </c>
      <c r="R219" s="69" t="n">
        <f aca="false">-R176*Inputs!$C$77/30</f>
        <v>16426.7494674829</v>
      </c>
      <c r="S219" s="69" t="n">
        <f aca="false">-S176*Inputs!$C$77/30</f>
        <v>16739.8651242292</v>
      </c>
      <c r="T219" s="69" t="n">
        <f aca="false">-T176*Inputs!$C$77/30</f>
        <v>17040.4561547056</v>
      </c>
      <c r="U219" s="69" t="n">
        <f aca="false">-U176*Inputs!$C$77/30</f>
        <v>17329.023543963</v>
      </c>
      <c r="V219" s="69" t="n">
        <f aca="false">-V176*Inputs!$C$77/30</f>
        <v>17606.0482376501</v>
      </c>
      <c r="W219" s="69" t="n">
        <f aca="false">-W176*Inputs!$C$77/30</f>
        <v>17871.9919435897</v>
      </c>
      <c r="X219" s="69" t="n">
        <f aca="false">-X176*Inputs!$C$77/30</f>
        <v>18127.2979012917</v>
      </c>
      <c r="Y219" s="69" t="n">
        <f aca="false">-Y176*Inputs!$C$77/30</f>
        <v>18372.3916206856</v>
      </c>
      <c r="Z219" s="69" t="n">
        <f aca="false">-Z176*Inputs!$C$77/30</f>
        <v>15264.3185787643</v>
      </c>
      <c r="AA219" s="69" t="n">
        <f aca="false">-AA176*Inputs!$C$77/30</f>
        <v>16114.7159952184</v>
      </c>
      <c r="AB219" s="69" t="n">
        <f aca="false">-AB176*Inputs!$C$77/30</f>
        <v>16273.2801368973</v>
      </c>
      <c r="AC219" s="69" t="n">
        <f aca="false">-AC176*Inputs!$C$77/30</f>
        <v>20018.9591752775</v>
      </c>
      <c r="AD219" s="69" t="n">
        <f aca="false">-AD176*Inputs!$C$77/30</f>
        <v>20250.937690413</v>
      </c>
      <c r="AE219" s="69" t="n">
        <f aca="false">-AE176*Inputs!$C$77/30</f>
        <v>20473.637064943</v>
      </c>
      <c r="AF219" s="69" t="n">
        <f aca="false">-AF176*Inputs!$C$77/30</f>
        <v>20687.4284644919</v>
      </c>
      <c r="AG219" s="69" t="n">
        <f aca="false">-AG176*Inputs!$C$77/30</f>
        <v>20892.6682080588</v>
      </c>
      <c r="AH219" s="69" t="n">
        <f aca="false">-AH176*Inputs!$C$77/30</f>
        <v>21089.698361883</v>
      </c>
      <c r="AI219" s="69" t="n">
        <f aca="false">-AI176*Inputs!$C$77/30</f>
        <v>21278.8473095542</v>
      </c>
      <c r="AJ219" s="69" t="n">
        <f aca="false">-AJ176*Inputs!$C$77/30</f>
        <v>21460.4302993186</v>
      </c>
      <c r="AK219" s="69" t="n">
        <f aca="false">-AK176*Inputs!$C$77/30</f>
        <v>21634.7499694925</v>
      </c>
      <c r="AL219" s="69" t="n">
        <f aca="false">-AL176*Inputs!$C$77/30</f>
        <v>17918.8143901286</v>
      </c>
    </row>
    <row r="220" customFormat="false" ht="15" hidden="false" customHeight="false" outlineLevel="0" collapsed="false">
      <c r="A220" s="6" t="s">
        <v>346</v>
      </c>
      <c r="C220" s="69" t="n">
        <f aca="false">-C217</f>
        <v>-3196.22386666667</v>
      </c>
      <c r="D220" s="69" t="n">
        <f aca="false">C217-D217</f>
        <v>-433.705193481482</v>
      </c>
      <c r="E220" s="69" t="n">
        <f aca="false">D217-E217</f>
        <v>-1221.6310598163</v>
      </c>
      <c r="F220" s="69" t="n">
        <f aca="false">E217-F217</f>
        <v>-551.899802608829</v>
      </c>
      <c r="G220" s="69" t="n">
        <f aca="false">F217-G217</f>
        <v>-562.558506800773</v>
      </c>
      <c r="H220" s="69" t="n">
        <f aca="false">G217-H217</f>
        <v>-572.790862825039</v>
      </c>
      <c r="I220" s="69" t="n">
        <f aca="false">H217-I217</f>
        <v>-582.613924608332</v>
      </c>
      <c r="J220" s="69" t="n">
        <f aca="false">I217-J217</f>
        <v>-592.044063920296</v>
      </c>
      <c r="K220" s="69" t="n">
        <f aca="false">J217-K217</f>
        <v>-601.096997659782</v>
      </c>
      <c r="L220" s="69" t="n">
        <f aca="false">K217-L217</f>
        <v>-609.787814049685</v>
      </c>
      <c r="M220" s="69" t="n">
        <f aca="false">L217-M217</f>
        <v>-178.684582969179</v>
      </c>
      <c r="N220" s="69" t="n">
        <f aca="false">M217-N217</f>
        <v>1187.05480034959</v>
      </c>
      <c r="O220" s="69" t="n">
        <f aca="false">N217-O217</f>
        <v>-479.975146598818</v>
      </c>
      <c r="P220" s="69" t="n">
        <f aca="false">O217-P217</f>
        <v>-145.458429533775</v>
      </c>
      <c r="Q220" s="69" t="n">
        <f aca="false">P217-Q217</f>
        <v>-1566.97684755243</v>
      </c>
      <c r="R220" s="69" t="n">
        <f aca="false">Q217-R217</f>
        <v>-160.807303250327</v>
      </c>
      <c r="S220" s="69" t="n">
        <f aca="false">R217-S217</f>
        <v>-154.375011120315</v>
      </c>
      <c r="T220" s="69" t="n">
        <f aca="false">S217-T217</f>
        <v>-148.200010675502</v>
      </c>
      <c r="U220" s="69" t="n">
        <f aca="false">T217-U217</f>
        <v>-142.272010248485</v>
      </c>
      <c r="V220" s="69" t="n">
        <f aca="false">U217-V217</f>
        <v>-136.581129838542</v>
      </c>
      <c r="W220" s="69" t="n">
        <f aca="false">V217-W217</f>
        <v>-131.117884645002</v>
      </c>
      <c r="X220" s="69" t="n">
        <f aca="false">W217-X217</f>
        <v>-125.873169259201</v>
      </c>
      <c r="Y220" s="69" t="n">
        <f aca="false">X217-Y217</f>
        <v>-120.838242488833</v>
      </c>
      <c r="Z220" s="69" t="n">
        <f aca="false">Y217-Z217</f>
        <v>1311.33204241072</v>
      </c>
      <c r="AA220" s="69" t="n">
        <f aca="false">Z217-AA217</f>
        <v>-473.457814250329</v>
      </c>
      <c r="AB220" s="69" t="n">
        <f aca="false">AA217-AB217</f>
        <v>-92.5759906619351</v>
      </c>
      <c r="AC220" s="69" t="n">
        <f aca="false">AB217-AC217</f>
        <v>-1588.43294604858</v>
      </c>
      <c r="AD220" s="69" t="n">
        <f aca="false">AC217-AD217</f>
        <v>-113.424540004396</v>
      </c>
      <c r="AE220" s="69" t="n">
        <f aca="false">AD217-AE217</f>
        <v>-108.887558404218</v>
      </c>
      <c r="AF220" s="69" t="n">
        <f aca="false">AE217-AF217</f>
        <v>-104.53205606805</v>
      </c>
      <c r="AG220" s="69" t="n">
        <f aca="false">AF217-AG217</f>
        <v>-100.350773825328</v>
      </c>
      <c r="AH220" s="69" t="n">
        <f aca="false">AG217-AH217</f>
        <v>-96.3367428723159</v>
      </c>
      <c r="AI220" s="69" t="n">
        <f aca="false">AH217-AI217</f>
        <v>-92.4832731574225</v>
      </c>
      <c r="AJ220" s="69" t="n">
        <f aca="false">AI217-AJ217</f>
        <v>-88.7839422311281</v>
      </c>
      <c r="AK220" s="69" t="n">
        <f aca="false">AJ217-AK217</f>
        <v>-85.23258454188</v>
      </c>
      <c r="AL220" s="69" t="n">
        <f aca="false">AK217-AL217</f>
        <v>1417.73671385292</v>
      </c>
    </row>
    <row r="221" customFormat="false" ht="15" hidden="false" customHeight="false" outlineLevel="0" collapsed="false">
      <c r="A221" s="6" t="s">
        <v>347</v>
      </c>
      <c r="C221" s="69" t="n">
        <f aca="false">-C218</f>
        <v>-1650.12067404333</v>
      </c>
      <c r="D221" s="69" t="n">
        <f aca="false">C218-D218</f>
        <v>-223.88404743123</v>
      </c>
      <c r="E221" s="69" t="n">
        <f aca="false">D218-E218</f>
        <v>-710.590171816739</v>
      </c>
      <c r="F221" s="69" t="n">
        <f aca="false">E218-F218</f>
        <v>-299.801045698348</v>
      </c>
      <c r="G221" s="69" t="n">
        <f aca="false">F218-G218</f>
        <v>-307.30503991708</v>
      </c>
      <c r="H221" s="69" t="n">
        <f aca="false">G218-H218</f>
        <v>-314.508874367064</v>
      </c>
      <c r="I221" s="69" t="n">
        <f aca="false">H218-I218</f>
        <v>-321.424555439047</v>
      </c>
      <c r="J221" s="69" t="n">
        <f aca="false">I218-J218</f>
        <v>-328.063609268154</v>
      </c>
      <c r="K221" s="69" t="n">
        <f aca="false">J218-K218</f>
        <v>-334.437100944093</v>
      </c>
      <c r="L221" s="69" t="n">
        <f aca="false">K218-L218</f>
        <v>-340.555652952998</v>
      </c>
      <c r="M221" s="69" t="n">
        <f aca="false">L218-M218</f>
        <v>-125.798413524875</v>
      </c>
      <c r="N221" s="69" t="n">
        <f aca="false">M218-N218</f>
        <v>809.790667760095</v>
      </c>
      <c r="O221" s="69" t="n">
        <f aca="false">N218-O218</f>
        <v>-291.206068583429</v>
      </c>
      <c r="P221" s="69" t="n">
        <f aca="false">O218-P218</f>
        <v>-86.5010976597878</v>
      </c>
      <c r="Q221" s="69" t="n">
        <f aca="false">P218-Q218</f>
        <v>-1110.79987987753</v>
      </c>
      <c r="R221" s="69" t="n">
        <f aca="false">Q218-R218</f>
        <v>-114.156749855415</v>
      </c>
      <c r="S221" s="69" t="n">
        <f aca="false">R218-S218</f>
        <v>-109.5904798612</v>
      </c>
      <c r="T221" s="69" t="n">
        <f aca="false">S218-T218</f>
        <v>-105.206860666752</v>
      </c>
      <c r="U221" s="69" t="n">
        <f aca="false">T218-U218</f>
        <v>-100.998586240079</v>
      </c>
      <c r="V221" s="69" t="n">
        <f aca="false">U218-V218</f>
        <v>-96.9586427904787</v>
      </c>
      <c r="W221" s="69" t="n">
        <f aca="false">V218-W218</f>
        <v>-93.0802970788591</v>
      </c>
      <c r="X221" s="69" t="n">
        <f aca="false">W218-X218</f>
        <v>-89.3570851957029</v>
      </c>
      <c r="Y221" s="69" t="n">
        <f aca="false">X218-Y218</f>
        <v>-85.7828017878774</v>
      </c>
      <c r="Z221" s="69" t="n">
        <f aca="false">Y218-Z218</f>
        <v>1087.82556467245</v>
      </c>
      <c r="AA221" s="69" t="n">
        <f aca="false">Z218-AA218</f>
        <v>-297.639095758907</v>
      </c>
      <c r="AB221" s="69" t="n">
        <f aca="false">AA218-AB218</f>
        <v>-55.4974495876395</v>
      </c>
      <c r="AC221" s="69" t="n">
        <f aca="false">AB218-AC218</f>
        <v>-1310.98766343307</v>
      </c>
      <c r="AD221" s="69" t="n">
        <f aca="false">AC218-AD218</f>
        <v>-81.1924802974136</v>
      </c>
      <c r="AE221" s="69" t="n">
        <f aca="false">AD218-AE218</f>
        <v>-77.9447810855181</v>
      </c>
      <c r="AF221" s="69" t="n">
        <f aca="false">AE218-AF218</f>
        <v>-74.8269898420958</v>
      </c>
      <c r="AG221" s="69" t="n">
        <f aca="false">AF218-AG218</f>
        <v>-71.8339102484142</v>
      </c>
      <c r="AH221" s="69" t="n">
        <f aca="false">AG218-AH218</f>
        <v>-68.960553838474</v>
      </c>
      <c r="AI221" s="69" t="n">
        <f aca="false">AH218-AI218</f>
        <v>-66.2021316849387</v>
      </c>
      <c r="AJ221" s="69" t="n">
        <f aca="false">AI218-AJ218</f>
        <v>-63.554046417541</v>
      </c>
      <c r="AK221" s="69" t="n">
        <f aca="false">AJ218-AK218</f>
        <v>-61.0118845608367</v>
      </c>
      <c r="AL221" s="69" t="n">
        <f aca="false">AK218-AL218</f>
        <v>1300.57745277735</v>
      </c>
    </row>
    <row r="222" customFormat="false" ht="15" hidden="false" customHeight="false" outlineLevel="0" collapsed="false">
      <c r="A222" s="6" t="s">
        <v>348</v>
      </c>
      <c r="C222" s="69" t="n">
        <f aca="false">C219</f>
        <v>4714.63049726667</v>
      </c>
      <c r="D222" s="69" t="n">
        <f aca="false">D219-C219</f>
        <v>639.668706946371</v>
      </c>
      <c r="E222" s="69" t="n">
        <f aca="false">E219-D219</f>
        <v>2030.25763376211</v>
      </c>
      <c r="F222" s="69" t="n">
        <f aca="false">F219-E219</f>
        <v>856.574416280994</v>
      </c>
      <c r="G222" s="69" t="n">
        <f aca="false">G219-F219</f>
        <v>878.014399763088</v>
      </c>
      <c r="H222" s="69" t="n">
        <f aca="false">H219-G219</f>
        <v>898.596783905898</v>
      </c>
      <c r="I222" s="69" t="n">
        <f aca="false">I219-H219</f>
        <v>918.355872682992</v>
      </c>
      <c r="J222" s="69" t="n">
        <f aca="false">J219-I219</f>
        <v>937.32459790901</v>
      </c>
      <c r="K222" s="69" t="n">
        <f aca="false">K219-J219</f>
        <v>955.534574125983</v>
      </c>
      <c r="L222" s="69" t="n">
        <f aca="false">L219-K219</f>
        <v>973.016151294276</v>
      </c>
      <c r="M222" s="69" t="n">
        <f aca="false">M219-L219</f>
        <v>359.424038642504</v>
      </c>
      <c r="N222" s="69" t="n">
        <f aca="false">N219-M219</f>
        <v>-2313.68762217171</v>
      </c>
      <c r="O222" s="69" t="n">
        <f aca="false">O219-N219</f>
        <v>832.017338809799</v>
      </c>
      <c r="P222" s="69" t="n">
        <f aca="false">P219-O219</f>
        <v>247.145993313681</v>
      </c>
      <c r="Q222" s="69" t="n">
        <f aca="false">Q219-P219</f>
        <v>3173.71394250722</v>
      </c>
      <c r="R222" s="69" t="n">
        <f aca="false">R219-Q219</f>
        <v>326.16214244404</v>
      </c>
      <c r="S222" s="69" t="n">
        <f aca="false">S219-R219</f>
        <v>313.115656746286</v>
      </c>
      <c r="T222" s="69" t="n">
        <f aca="false">T219-S219</f>
        <v>300.591030476433</v>
      </c>
      <c r="U222" s="69" t="n">
        <f aca="false">U219-T219</f>
        <v>288.567389257369</v>
      </c>
      <c r="V222" s="69" t="n">
        <f aca="false">V219-U219</f>
        <v>277.024693687083</v>
      </c>
      <c r="W222" s="69" t="n">
        <f aca="false">W219-V219</f>
        <v>265.943705939601</v>
      </c>
      <c r="X222" s="69" t="n">
        <f aca="false">X219-W219</f>
        <v>255.305957702007</v>
      </c>
      <c r="Y222" s="69" t="n">
        <f aca="false">Y219-X219</f>
        <v>245.093719393935</v>
      </c>
      <c r="Z222" s="69" t="n">
        <f aca="false">Z219-Y219</f>
        <v>-3108.0730419213</v>
      </c>
      <c r="AA222" s="69" t="n">
        <f aca="false">AA219-Z219</f>
        <v>850.397416454023</v>
      </c>
      <c r="AB222" s="69" t="n">
        <f aca="false">AB219-AA219</f>
        <v>158.564141678966</v>
      </c>
      <c r="AC222" s="69" t="n">
        <f aca="false">AC219-AB219</f>
        <v>3745.67903838019</v>
      </c>
      <c r="AD222" s="69" t="n">
        <f aca="false">AD219-AC219</f>
        <v>231.97851513547</v>
      </c>
      <c r="AE222" s="69" t="n">
        <f aca="false">AE219-AD219</f>
        <v>222.69937453005</v>
      </c>
      <c r="AF222" s="69" t="n">
        <f aca="false">AF219-AE219</f>
        <v>213.791399548849</v>
      </c>
      <c r="AG222" s="69" t="n">
        <f aca="false">AG219-AF219</f>
        <v>205.23974356689</v>
      </c>
      <c r="AH222" s="69" t="n">
        <f aca="false">AH219-AG219</f>
        <v>197.03015382422</v>
      </c>
      <c r="AI222" s="69" t="n">
        <f aca="false">AI219-AH219</f>
        <v>189.148947671249</v>
      </c>
      <c r="AJ222" s="69" t="n">
        <f aca="false">AJ219-AI219</f>
        <v>181.582989764403</v>
      </c>
      <c r="AK222" s="69" t="n">
        <f aca="false">AK219-AJ219</f>
        <v>174.319670173823</v>
      </c>
      <c r="AL222" s="69" t="n">
        <f aca="false">AL219-AK219</f>
        <v>-3715.93557936386</v>
      </c>
    </row>
    <row r="224" customFormat="false" ht="15.75" hidden="false" customHeight="true" outlineLevel="0" collapsed="false">
      <c r="A224" s="7" t="s">
        <v>433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customFormat="false" ht="15" hidden="false" customHeight="false" outlineLevel="0" collapsed="false">
      <c r="A225" s="4" t="s">
        <v>52</v>
      </c>
      <c r="C225" s="75" t="n">
        <f aca="false">C195-C206+C220+C221+C222</f>
        <v>-74096.96845601</v>
      </c>
      <c r="D225" s="75" t="n">
        <f aca="false">D195-D206+D220+D221+D222</f>
        <v>-68348.5584380637</v>
      </c>
      <c r="E225" s="75" t="n">
        <f aca="false">E195-E206+E220+E221+E222</f>
        <v>-52776.4387220337</v>
      </c>
      <c r="F225" s="75" t="n">
        <f aca="false">F195-F206+F220+F221+F222</f>
        <v>-45698.8828081446</v>
      </c>
      <c r="G225" s="75" t="n">
        <f aca="false">G195-G206+G220+G221+G222</f>
        <v>-38397.1661873729</v>
      </c>
      <c r="H225" s="75" t="n">
        <f aca="false">H195-H206+H220+H221+H222</f>
        <v>-30972.9688938543</v>
      </c>
      <c r="I225" s="75" t="n">
        <f aca="false">I195-I206+I220+I221+I222</f>
        <v>-23431.1901544986</v>
      </c>
      <c r="J225" s="75" t="n">
        <f aca="false">J195-J206+J220+J221+J222</f>
        <v>-15776.5332271394</v>
      </c>
      <c r="K225" s="75" t="n">
        <f aca="false">K195-K206+K220+K221+K222</f>
        <v>-8013.5132392968</v>
      </c>
      <c r="L225" s="75" t="n">
        <f aca="false">L195-L206+L220+L221+L222</f>
        <v>-146.464713390115</v>
      </c>
      <c r="M225" s="75" t="n">
        <f aca="false">M195-M206+M220+M221+M222</f>
        <v>2204.019664374</v>
      </c>
      <c r="N225" s="75" t="n">
        <f aca="false">N195-N206+N220+N221+N222</f>
        <v>-12325.9707704894</v>
      </c>
      <c r="O225" s="75" t="n">
        <f aca="false">O195-O206+O220+O221+O222</f>
        <v>-5867.20796869892</v>
      </c>
      <c r="P225" s="75" t="n">
        <f aca="false">P195-P206+P220+P221+P222</f>
        <v>-3924.6168398369</v>
      </c>
      <c r="Q225" s="75" t="n">
        <f aca="false">Q195-Q206+Q220+Q221+Q222</f>
        <v>15477.2990419792</v>
      </c>
      <c r="R225" s="75" t="n">
        <f aca="false">R195-R206+R220+R221+R222</f>
        <v>17132.5095846624</v>
      </c>
      <c r="S225" s="75" t="n">
        <f aca="false">S195-S206+S220+S221+S222</f>
        <v>19153.4966761075</v>
      </c>
      <c r="T225" s="75" t="n">
        <f aca="false">T195-T206+T220+T221+T222</f>
        <v>21100.7276172281</v>
      </c>
      <c r="U225" s="75" t="n">
        <f aca="false">U195-U206+U220+U221+U222</f>
        <v>22977.1526540373</v>
      </c>
      <c r="V225" s="75" t="n">
        <f aca="false">V195-V206+V220+V221+V222</f>
        <v>24785.6040227074</v>
      </c>
      <c r="W225" s="75" t="n">
        <f aca="false">W195-W206+W220+W221+W222</f>
        <v>26528.800669964</v>
      </c>
      <c r="X225" s="75" t="n">
        <f aca="false">X195-X206+X220+X221+X222</f>
        <v>28209.3527846637</v>
      </c>
      <c r="Y225" s="75" t="n">
        <f aca="false">Y195-Y206+Y220+Y221+Y222</f>
        <v>29829.7661481088</v>
      </c>
      <c r="Z225" s="75" t="n">
        <f aca="false">Z195-Z206+Z220+Z221+Z222</f>
        <v>14251.5902982079</v>
      </c>
      <c r="AA225" s="75" t="n">
        <f aca="false">AA195-AA206+AA220+AA221+AA222</f>
        <v>20442.132661898</v>
      </c>
      <c r="AB225" s="75" t="n">
        <f aca="false">AB195-AB206+AB220+AB221+AB222</f>
        <v>21701.1998376266</v>
      </c>
      <c r="AC225" s="75" t="n">
        <f aca="false">AC195-AC206+AC220+AC221+AC222</f>
        <v>40922.0265315874</v>
      </c>
      <c r="AD225" s="75" t="n">
        <f aca="false">AD195-AD206+AD220+AD221+AD222</f>
        <v>41643.6132582186</v>
      </c>
      <c r="AE225" s="75" t="n">
        <f aca="false">AE195-AE206+AE220+AE221+AE222</f>
        <v>43118.4664460268</v>
      </c>
      <c r="AF225" s="75" t="n">
        <f aca="false">AF195-AF206+AF220+AF221+AF222</f>
        <v>44541.408839656</v>
      </c>
      <c r="AG225" s="75" t="n">
        <f aca="false">AG195-AG206+AG220+AG221+AG222</f>
        <v>45914.5168708734</v>
      </c>
      <c r="AH225" s="75" t="n">
        <f aca="false">AH195-AH206+AH220+AH221+AH222</f>
        <v>47239.7839141754</v>
      </c>
      <c r="AI225" s="75" t="n">
        <f aca="false">AI195-AI206+AI220+AI221+AI222</f>
        <v>48519.1236090787</v>
      </c>
      <c r="AJ225" s="75" t="n">
        <f aca="false">AJ195-AJ206+AJ220+AJ221+AJ222</f>
        <v>49754.3730495191</v>
      </c>
      <c r="AK225" s="75" t="n">
        <f aca="false">AK195-AK206+AK220+AK221+AK222</f>
        <v>50947.2958456753</v>
      </c>
      <c r="AL225" s="75" t="n">
        <f aca="false">AL195-AL206+AL220+AL221+AL222</f>
        <v>34406.535226456</v>
      </c>
    </row>
    <row r="226" customFormat="false" ht="15" hidden="false" customHeight="false" outlineLevel="0" collapsed="false">
      <c r="A226" s="6" t="s">
        <v>434</v>
      </c>
      <c r="C226" s="69" t="n">
        <f aca="false">-C203</f>
        <v>-4100000</v>
      </c>
      <c r="D226" s="69" t="n">
        <f aca="false">-D203</f>
        <v>-0</v>
      </c>
      <c r="E226" s="69" t="n">
        <f aca="false">-E203</f>
        <v>-0</v>
      </c>
      <c r="F226" s="69" t="n">
        <f aca="false">-F203</f>
        <v>-0</v>
      </c>
      <c r="G226" s="69" t="n">
        <f aca="false">-G203</f>
        <v>-0</v>
      </c>
      <c r="H226" s="69" t="n">
        <f aca="false">-H203</f>
        <v>-0</v>
      </c>
      <c r="I226" s="69" t="n">
        <f aca="false">-I203</f>
        <v>-0</v>
      </c>
      <c r="J226" s="69" t="n">
        <f aca="false">-J203</f>
        <v>-0</v>
      </c>
      <c r="K226" s="69" t="n">
        <f aca="false">-K203</f>
        <v>-0</v>
      </c>
      <c r="L226" s="69" t="n">
        <f aca="false">-L203</f>
        <v>-0</v>
      </c>
      <c r="M226" s="69" t="n">
        <f aca="false">-M203</f>
        <v>-0</v>
      </c>
      <c r="N226" s="69" t="n">
        <f aca="false">-N203</f>
        <v>-0</v>
      </c>
      <c r="O226" s="69" t="n">
        <f aca="false">-O203</f>
        <v>-40000</v>
      </c>
      <c r="P226" s="69" t="n">
        <f aca="false">-P203</f>
        <v>-0</v>
      </c>
      <c r="Q226" s="69" t="n">
        <f aca="false">-Q203</f>
        <v>-0</v>
      </c>
      <c r="R226" s="69" t="n">
        <f aca="false">-R203</f>
        <v>-0</v>
      </c>
      <c r="S226" s="69" t="n">
        <f aca="false">-S203</f>
        <v>-0</v>
      </c>
      <c r="T226" s="69" t="n">
        <f aca="false">-T203</f>
        <v>-0</v>
      </c>
      <c r="U226" s="69" t="n">
        <f aca="false">-U203</f>
        <v>-0</v>
      </c>
      <c r="V226" s="69" t="n">
        <f aca="false">-V203</f>
        <v>-0</v>
      </c>
      <c r="W226" s="69" t="n">
        <f aca="false">-W203</f>
        <v>-0</v>
      </c>
      <c r="X226" s="69" t="n">
        <f aca="false">-X203</f>
        <v>-0</v>
      </c>
      <c r="Y226" s="69" t="n">
        <f aca="false">-Y203</f>
        <v>-0</v>
      </c>
      <c r="Z226" s="69" t="n">
        <f aca="false">-Z203</f>
        <v>-0</v>
      </c>
      <c r="AA226" s="69" t="n">
        <f aca="false">-AA203</f>
        <v>-40000</v>
      </c>
      <c r="AB226" s="69" t="n">
        <f aca="false">-AB203</f>
        <v>-0</v>
      </c>
      <c r="AC226" s="69" t="n">
        <f aca="false">-AC203</f>
        <v>-0</v>
      </c>
      <c r="AD226" s="69" t="n">
        <f aca="false">-AD203</f>
        <v>-0</v>
      </c>
      <c r="AE226" s="69" t="n">
        <f aca="false">-AE203</f>
        <v>-0</v>
      </c>
      <c r="AF226" s="69" t="n">
        <f aca="false">-AF203</f>
        <v>-0</v>
      </c>
      <c r="AG226" s="69" t="n">
        <f aca="false">-AG203</f>
        <v>-0</v>
      </c>
      <c r="AH226" s="69" t="n">
        <f aca="false">-AH203</f>
        <v>-0</v>
      </c>
      <c r="AI226" s="69" t="n">
        <f aca="false">-AI203</f>
        <v>-0</v>
      </c>
      <c r="AJ226" s="69" t="n">
        <f aca="false">-AJ203</f>
        <v>-0</v>
      </c>
      <c r="AK226" s="69" t="n">
        <f aca="false">-AK203</f>
        <v>-0</v>
      </c>
      <c r="AL226" s="69" t="n">
        <f aca="false">-AL203</f>
        <v>-0</v>
      </c>
    </row>
    <row r="227" customFormat="false" ht="15" hidden="false" customHeight="false" outlineLevel="0" collapsed="false">
      <c r="A227" s="6" t="s">
        <v>64</v>
      </c>
      <c r="C227" s="69" t="n">
        <f aca="false">IF(C$135=1,Inputs!$C$69,0)</f>
        <v>2100000</v>
      </c>
      <c r="D227" s="69" t="n">
        <f aca="false">IF(D$135=1,Inputs!$C$69,0)</f>
        <v>0</v>
      </c>
      <c r="E227" s="69" t="n">
        <f aca="false">IF(E$135=1,Inputs!$C$69,0)</f>
        <v>0</v>
      </c>
      <c r="F227" s="69" t="n">
        <f aca="false">IF(F$135=1,Inputs!$C$69,0)</f>
        <v>0</v>
      </c>
      <c r="G227" s="69" t="n">
        <f aca="false">IF(G$135=1,Inputs!$C$69,0)</f>
        <v>0</v>
      </c>
      <c r="H227" s="69" t="n">
        <f aca="false">IF(H$135=1,Inputs!$C$69,0)</f>
        <v>0</v>
      </c>
      <c r="I227" s="69" t="n">
        <f aca="false">IF(I$135=1,Inputs!$C$69,0)</f>
        <v>0</v>
      </c>
      <c r="J227" s="69" t="n">
        <f aca="false">IF(J$135=1,Inputs!$C$69,0)</f>
        <v>0</v>
      </c>
      <c r="K227" s="69" t="n">
        <f aca="false">IF(K$135=1,Inputs!$C$69,0)</f>
        <v>0</v>
      </c>
      <c r="L227" s="69" t="n">
        <f aca="false">IF(L$135=1,Inputs!$C$69,0)</f>
        <v>0</v>
      </c>
      <c r="M227" s="69" t="n">
        <f aca="false">IF(M$135=1,Inputs!$C$69,0)</f>
        <v>0</v>
      </c>
      <c r="N227" s="69" t="n">
        <f aca="false">IF(N$135=1,Inputs!$C$69,0)</f>
        <v>0</v>
      </c>
      <c r="O227" s="69" t="n">
        <f aca="false">IF(O$135=1,Inputs!$C$69,0)</f>
        <v>0</v>
      </c>
      <c r="P227" s="69" t="n">
        <f aca="false">IF(P$135=1,Inputs!$C$69,0)</f>
        <v>0</v>
      </c>
      <c r="Q227" s="69" t="n">
        <f aca="false">IF(Q$135=1,Inputs!$C$69,0)</f>
        <v>0</v>
      </c>
      <c r="R227" s="69" t="n">
        <f aca="false">IF(R$135=1,Inputs!$C$69,0)</f>
        <v>0</v>
      </c>
      <c r="S227" s="69" t="n">
        <f aca="false">IF(S$135=1,Inputs!$C$69,0)</f>
        <v>0</v>
      </c>
      <c r="T227" s="69" t="n">
        <f aca="false">IF(T$135=1,Inputs!$C$69,0)</f>
        <v>0</v>
      </c>
      <c r="U227" s="69" t="n">
        <f aca="false">IF(U$135=1,Inputs!$C$69,0)</f>
        <v>0</v>
      </c>
      <c r="V227" s="69" t="n">
        <f aca="false">IF(V$135=1,Inputs!$C$69,0)</f>
        <v>0</v>
      </c>
      <c r="W227" s="69" t="n">
        <f aca="false">IF(W$135=1,Inputs!$C$69,0)</f>
        <v>0</v>
      </c>
      <c r="X227" s="69" t="n">
        <f aca="false">IF(X$135=1,Inputs!$C$69,0)</f>
        <v>0</v>
      </c>
      <c r="Y227" s="69" t="n">
        <f aca="false">IF(Y$135=1,Inputs!$C$69,0)</f>
        <v>0</v>
      </c>
      <c r="Z227" s="69" t="n">
        <f aca="false">IF(Z$135=1,Inputs!$C$69,0)</f>
        <v>0</v>
      </c>
      <c r="AA227" s="69" t="n">
        <f aca="false">IF(AA$135=1,Inputs!$C$69,0)</f>
        <v>0</v>
      </c>
      <c r="AB227" s="69" t="n">
        <f aca="false">IF(AB$135=1,Inputs!$C$69,0)</f>
        <v>0</v>
      </c>
      <c r="AC227" s="69" t="n">
        <f aca="false">IF(AC$135=1,Inputs!$C$69,0)</f>
        <v>0</v>
      </c>
      <c r="AD227" s="69" t="n">
        <f aca="false">IF(AD$135=1,Inputs!$C$69,0)</f>
        <v>0</v>
      </c>
      <c r="AE227" s="69" t="n">
        <f aca="false">IF(AE$135=1,Inputs!$C$69,0)</f>
        <v>0</v>
      </c>
      <c r="AF227" s="69" t="n">
        <f aca="false">IF(AF$135=1,Inputs!$C$69,0)</f>
        <v>0</v>
      </c>
      <c r="AG227" s="69" t="n">
        <f aca="false">IF(AG$135=1,Inputs!$C$69,0)</f>
        <v>0</v>
      </c>
      <c r="AH227" s="69" t="n">
        <f aca="false">IF(AH$135=1,Inputs!$C$69,0)</f>
        <v>0</v>
      </c>
      <c r="AI227" s="69" t="n">
        <f aca="false">IF(AI$135=1,Inputs!$C$69,0)</f>
        <v>0</v>
      </c>
      <c r="AJ227" s="69" t="n">
        <f aca="false">IF(AJ$135=1,Inputs!$C$69,0)</f>
        <v>0</v>
      </c>
      <c r="AK227" s="69" t="n">
        <f aca="false">IF(AK$135=1,Inputs!$C$69,0)</f>
        <v>0</v>
      </c>
      <c r="AL227" s="69" t="n">
        <f aca="false">IF(AL$135=1,Inputs!$C$69,0)</f>
        <v>0</v>
      </c>
    </row>
    <row r="228" customFormat="false" ht="15" hidden="false" customHeight="false" outlineLevel="0" collapsed="false">
      <c r="A228" s="6" t="s">
        <v>54</v>
      </c>
      <c r="C228" s="69" t="n">
        <f aca="false">C227+C212+C213</f>
        <v>5100000</v>
      </c>
      <c r="D228" s="69" t="n">
        <f aca="false">D227+D212+D213</f>
        <v>-25000</v>
      </c>
      <c r="E228" s="69" t="n">
        <f aca="false">E227+E212+E213</f>
        <v>-25000</v>
      </c>
      <c r="F228" s="69" t="n">
        <f aca="false">F227+F212+F213</f>
        <v>-25000</v>
      </c>
      <c r="G228" s="69" t="n">
        <f aca="false">G227+G212+G213</f>
        <v>-25000</v>
      </c>
      <c r="H228" s="69" t="n">
        <f aca="false">H227+H212+H213</f>
        <v>-25000</v>
      </c>
      <c r="I228" s="69" t="n">
        <f aca="false">I227+I212+I213</f>
        <v>-25000</v>
      </c>
      <c r="J228" s="69" t="n">
        <f aca="false">J227+J212+J213</f>
        <v>-25000</v>
      </c>
      <c r="K228" s="69" t="n">
        <f aca="false">K227+K212+K213</f>
        <v>-25000</v>
      </c>
      <c r="L228" s="69" t="n">
        <f aca="false">L227+L212+L213</f>
        <v>-25000</v>
      </c>
      <c r="M228" s="69" t="n">
        <f aca="false">M227+M212+M213</f>
        <v>-25000</v>
      </c>
      <c r="N228" s="69" t="n">
        <f aca="false">N227+N212+N213</f>
        <v>-25000</v>
      </c>
      <c r="O228" s="69" t="n">
        <f aca="false">O227+O212+O213</f>
        <v>-25000</v>
      </c>
      <c r="P228" s="69" t="n">
        <f aca="false">P227+P212+P213</f>
        <v>-25000</v>
      </c>
      <c r="Q228" s="69" t="n">
        <f aca="false">Q227+Q212+Q213</f>
        <v>-25000</v>
      </c>
      <c r="R228" s="69" t="n">
        <f aca="false">R227+R212+R213</f>
        <v>-25000</v>
      </c>
      <c r="S228" s="69" t="n">
        <f aca="false">S227+S212+S213</f>
        <v>-25000</v>
      </c>
      <c r="T228" s="69" t="n">
        <f aca="false">T227+T212+T213</f>
        <v>-25000</v>
      </c>
      <c r="U228" s="69" t="n">
        <f aca="false">U227+U212+U213</f>
        <v>-25000</v>
      </c>
      <c r="V228" s="69" t="n">
        <f aca="false">V227+V212+V213</f>
        <v>-25000</v>
      </c>
      <c r="W228" s="69" t="n">
        <f aca="false">W227+W212+W213</f>
        <v>-25000</v>
      </c>
      <c r="X228" s="69" t="n">
        <f aca="false">X227+X212+X213</f>
        <v>-25000</v>
      </c>
      <c r="Y228" s="69" t="n">
        <f aca="false">Y227+Y212+Y213</f>
        <v>-25000</v>
      </c>
      <c r="Z228" s="69" t="n">
        <f aca="false">Z227+Z212+Z213</f>
        <v>-25000</v>
      </c>
      <c r="AA228" s="69" t="n">
        <f aca="false">AA227+AA212+AA213</f>
        <v>-25000</v>
      </c>
      <c r="AB228" s="69" t="n">
        <f aca="false">AB227+AB212+AB213</f>
        <v>-25000</v>
      </c>
      <c r="AC228" s="69" t="n">
        <f aca="false">AC227+AC212+AC213</f>
        <v>-25000</v>
      </c>
      <c r="AD228" s="69" t="n">
        <f aca="false">AD227+AD212+AD213</f>
        <v>-25000</v>
      </c>
      <c r="AE228" s="69" t="n">
        <f aca="false">AE227+AE212+AE213</f>
        <v>-25000</v>
      </c>
      <c r="AF228" s="69" t="n">
        <f aca="false">AF227+AF212+AF213</f>
        <v>-25000</v>
      </c>
      <c r="AG228" s="69" t="n">
        <f aca="false">AG227+AG212+AG213</f>
        <v>-25000</v>
      </c>
      <c r="AH228" s="69" t="n">
        <f aca="false">AH227+AH212+AH213</f>
        <v>-25000</v>
      </c>
      <c r="AI228" s="69" t="n">
        <f aca="false">AI227+AI212+AI213</f>
        <v>-25000</v>
      </c>
      <c r="AJ228" s="69" t="n">
        <f aca="false">AJ227+AJ212+AJ213</f>
        <v>-25000</v>
      </c>
      <c r="AK228" s="69" t="n">
        <f aca="false">AK227+AK212+AK213</f>
        <v>-25000</v>
      </c>
      <c r="AL228" s="69" t="n">
        <f aca="false">AL227+AL212+AL213</f>
        <v>-25000</v>
      </c>
    </row>
    <row r="229" customFormat="false" ht="15" hidden="false" customHeight="false" outlineLevel="0" collapsed="false">
      <c r="A229" s="113" t="s">
        <v>435</v>
      </c>
      <c r="C229" s="70" t="n">
        <f aca="false">C225+C226+C228</f>
        <v>925903.03154399</v>
      </c>
      <c r="D229" s="70" t="n">
        <f aca="false">D225+D226+D228</f>
        <v>-93348.5584380637</v>
      </c>
      <c r="E229" s="70" t="n">
        <f aca="false">E225+E226+E228</f>
        <v>-77776.4387220337</v>
      </c>
      <c r="F229" s="70" t="n">
        <f aca="false">F225+F226+F228</f>
        <v>-70698.8828081446</v>
      </c>
      <c r="G229" s="70" t="n">
        <f aca="false">G225+G226+G228</f>
        <v>-63397.1661873729</v>
      </c>
      <c r="H229" s="70" t="n">
        <f aca="false">H225+H226+H228</f>
        <v>-55972.9688938543</v>
      </c>
      <c r="I229" s="70" t="n">
        <f aca="false">I225+I226+I228</f>
        <v>-48431.1901544986</v>
      </c>
      <c r="J229" s="70" t="n">
        <f aca="false">J225+J226+J228</f>
        <v>-40776.5332271394</v>
      </c>
      <c r="K229" s="70" t="n">
        <f aca="false">K225+K226+K228</f>
        <v>-33013.5132392968</v>
      </c>
      <c r="L229" s="70" t="n">
        <f aca="false">L225+L226+L228</f>
        <v>-25146.4647133901</v>
      </c>
      <c r="M229" s="70" t="n">
        <f aca="false">M225+M226+M228</f>
        <v>-22795.980335626</v>
      </c>
      <c r="N229" s="70" t="n">
        <f aca="false">N225+N226+N228</f>
        <v>-37325.9707704894</v>
      </c>
      <c r="O229" s="70" t="n">
        <f aca="false">O225+O226+O228</f>
        <v>-70867.2079686989</v>
      </c>
      <c r="P229" s="70" t="n">
        <f aca="false">P225+P226+P228</f>
        <v>-28924.6168398369</v>
      </c>
      <c r="Q229" s="70" t="n">
        <f aca="false">Q225+Q226+Q228</f>
        <v>-9522.70095802083</v>
      </c>
      <c r="R229" s="70" t="n">
        <f aca="false">R225+R226+R228</f>
        <v>-7867.49041533761</v>
      </c>
      <c r="S229" s="70" t="n">
        <f aca="false">S225+S226+S228</f>
        <v>-5846.50332389252</v>
      </c>
      <c r="T229" s="70" t="n">
        <f aca="false">T225+T226+T228</f>
        <v>-3899.27238277188</v>
      </c>
      <c r="U229" s="70" t="n">
        <f aca="false">U225+U226+U228</f>
        <v>-2022.84734596271</v>
      </c>
      <c r="V229" s="70" t="n">
        <f aca="false">V225+V226+V228</f>
        <v>-214.395977292606</v>
      </c>
      <c r="W229" s="70" t="n">
        <f aca="false">W225+W226+W228</f>
        <v>1528.80066996402</v>
      </c>
      <c r="X229" s="70" t="n">
        <f aca="false">X225+X226+X228</f>
        <v>3209.35278466372</v>
      </c>
      <c r="Y229" s="70" t="n">
        <f aca="false">Y225+Y226+Y228</f>
        <v>4829.76614810879</v>
      </c>
      <c r="Z229" s="70" t="n">
        <f aca="false">Z225+Z226+Z228</f>
        <v>-10748.4097017921</v>
      </c>
      <c r="AA229" s="70" t="n">
        <f aca="false">AA225+AA226+AA228</f>
        <v>-44557.867338102</v>
      </c>
      <c r="AB229" s="70" t="n">
        <f aca="false">AB225+AB226+AB228</f>
        <v>-3298.80016237345</v>
      </c>
      <c r="AC229" s="70" t="n">
        <f aca="false">AC225+AC226+AC228</f>
        <v>15922.0265315874</v>
      </c>
      <c r="AD229" s="70" t="n">
        <f aca="false">AD225+AD226+AD228</f>
        <v>16643.6132582186</v>
      </c>
      <c r="AE229" s="70" t="n">
        <f aca="false">AE225+AE226+AE228</f>
        <v>18118.4664460268</v>
      </c>
      <c r="AF229" s="70" t="n">
        <f aca="false">AF225+AF226+AF228</f>
        <v>19541.408839656</v>
      </c>
      <c r="AG229" s="70" t="n">
        <f aca="false">AG225+AG226+AG228</f>
        <v>20914.5168708734</v>
      </c>
      <c r="AH229" s="70" t="n">
        <f aca="false">AH225+AH226+AH228</f>
        <v>22239.7839141754</v>
      </c>
      <c r="AI229" s="70" t="n">
        <f aca="false">AI225+AI226+AI228</f>
        <v>23519.1236090787</v>
      </c>
      <c r="AJ229" s="70" t="n">
        <f aca="false">AJ225+AJ226+AJ228</f>
        <v>24754.3730495191</v>
      </c>
      <c r="AK229" s="70" t="n">
        <f aca="false">AK225+AK226+AK228</f>
        <v>25947.2958456753</v>
      </c>
      <c r="AL229" s="70" t="n">
        <f aca="false">AL225+AL226+AL228</f>
        <v>9406.535226456</v>
      </c>
    </row>
    <row r="230" customFormat="false" ht="15" hidden="false" customHeight="false" outlineLevel="0" collapsed="false">
      <c r="A230" s="6" t="s">
        <v>349</v>
      </c>
      <c r="C230" s="69" t="n">
        <f aca="false">0</f>
        <v>0</v>
      </c>
      <c r="D230" s="69" t="n">
        <f aca="false">C231</f>
        <v>925903.03154399</v>
      </c>
      <c r="E230" s="69" t="n">
        <f aca="false">D231</f>
        <v>832554.473105926</v>
      </c>
      <c r="F230" s="69" t="n">
        <f aca="false">E231</f>
        <v>754778.034383893</v>
      </c>
      <c r="G230" s="69" t="n">
        <f aca="false">F231</f>
        <v>684079.151575748</v>
      </c>
      <c r="H230" s="69" t="n">
        <f aca="false">G231</f>
        <v>620681.985388375</v>
      </c>
      <c r="I230" s="69" t="n">
        <f aca="false">H231</f>
        <v>564709.016494521</v>
      </c>
      <c r="J230" s="69" t="n">
        <f aca="false">I231</f>
        <v>516277.826340022</v>
      </c>
      <c r="K230" s="69" t="n">
        <f aca="false">J231</f>
        <v>475501.293112883</v>
      </c>
      <c r="L230" s="69" t="n">
        <f aca="false">K231</f>
        <v>442487.779873586</v>
      </c>
      <c r="M230" s="69" t="n">
        <f aca="false">L231</f>
        <v>417341.315160196</v>
      </c>
      <c r="N230" s="69" t="n">
        <f aca="false">M231</f>
        <v>394545.33482457</v>
      </c>
      <c r="O230" s="69" t="n">
        <f aca="false">N231</f>
        <v>357219.364054081</v>
      </c>
      <c r="P230" s="69" t="n">
        <f aca="false">O231</f>
        <v>286352.156085382</v>
      </c>
      <c r="Q230" s="69" t="n">
        <f aca="false">P231</f>
        <v>257427.539245545</v>
      </c>
      <c r="R230" s="69" t="n">
        <f aca="false">Q231</f>
        <v>247904.838287524</v>
      </c>
      <c r="S230" s="69" t="n">
        <f aca="false">R231</f>
        <v>240037.347872186</v>
      </c>
      <c r="T230" s="69" t="n">
        <f aca="false">S231</f>
        <v>234190.844548294</v>
      </c>
      <c r="U230" s="69" t="n">
        <f aca="false">T231</f>
        <v>230291.572165522</v>
      </c>
      <c r="V230" s="69" t="n">
        <f aca="false">U231</f>
        <v>228268.724819559</v>
      </c>
      <c r="W230" s="69" t="n">
        <f aca="false">V231</f>
        <v>228054.328842267</v>
      </c>
      <c r="X230" s="69" t="n">
        <f aca="false">W231</f>
        <v>229583.129512231</v>
      </c>
      <c r="Y230" s="69" t="n">
        <f aca="false">X231</f>
        <v>232792.482296894</v>
      </c>
      <c r="Z230" s="69" t="n">
        <f aca="false">Y231</f>
        <v>237622.248445003</v>
      </c>
      <c r="AA230" s="69" t="n">
        <f aca="false">Z231</f>
        <v>226873.838743211</v>
      </c>
      <c r="AB230" s="69" t="n">
        <f aca="false">AA231</f>
        <v>182315.971405109</v>
      </c>
      <c r="AC230" s="69" t="n">
        <f aca="false">AB231</f>
        <v>179017.171242736</v>
      </c>
      <c r="AD230" s="69" t="n">
        <f aca="false">AC231</f>
        <v>194939.197774323</v>
      </c>
      <c r="AE230" s="69" t="n">
        <f aca="false">AD231</f>
        <v>211582.811032542</v>
      </c>
      <c r="AF230" s="69" t="n">
        <f aca="false">AE231</f>
        <v>229701.277478568</v>
      </c>
      <c r="AG230" s="69" t="n">
        <f aca="false">AF231</f>
        <v>249242.686318224</v>
      </c>
      <c r="AH230" s="69" t="n">
        <f aca="false">AG231</f>
        <v>270157.203189098</v>
      </c>
      <c r="AI230" s="69" t="n">
        <f aca="false">AH231</f>
        <v>292396.987103273</v>
      </c>
      <c r="AJ230" s="69" t="n">
        <f aca="false">AI231</f>
        <v>315916.110712352</v>
      </c>
      <c r="AK230" s="69" t="n">
        <f aca="false">AJ231</f>
        <v>340670.483761871</v>
      </c>
      <c r="AL230" s="69" t="n">
        <f aca="false">AK231</f>
        <v>366617.779607546</v>
      </c>
    </row>
    <row r="231" customFormat="false" ht="15" hidden="false" customHeight="false" outlineLevel="0" collapsed="false">
      <c r="A231" s="113" t="s">
        <v>87</v>
      </c>
      <c r="C231" s="70" t="n">
        <f aca="false">C230+C229</f>
        <v>925903.03154399</v>
      </c>
      <c r="D231" s="70" t="n">
        <f aca="false">D230+D229</f>
        <v>832554.473105926</v>
      </c>
      <c r="E231" s="70" t="n">
        <f aca="false">E230+E229</f>
        <v>754778.034383893</v>
      </c>
      <c r="F231" s="70" t="n">
        <f aca="false">F230+F229</f>
        <v>684079.151575748</v>
      </c>
      <c r="G231" s="70" t="n">
        <f aca="false">G230+G229</f>
        <v>620681.985388375</v>
      </c>
      <c r="H231" s="70" t="n">
        <f aca="false">H230+H229</f>
        <v>564709.016494521</v>
      </c>
      <c r="I231" s="70" t="n">
        <f aca="false">I230+I229</f>
        <v>516277.826340022</v>
      </c>
      <c r="J231" s="70" t="n">
        <f aca="false">J230+J229</f>
        <v>475501.293112883</v>
      </c>
      <c r="K231" s="70" t="n">
        <f aca="false">K230+K229</f>
        <v>442487.779873586</v>
      </c>
      <c r="L231" s="70" t="n">
        <f aca="false">L230+L229</f>
        <v>417341.315160196</v>
      </c>
      <c r="M231" s="70" t="n">
        <f aca="false">M230+M229</f>
        <v>394545.33482457</v>
      </c>
      <c r="N231" s="70" t="n">
        <f aca="false">N230+N229</f>
        <v>357219.364054081</v>
      </c>
      <c r="O231" s="70" t="n">
        <f aca="false">O230+O229</f>
        <v>286352.156085382</v>
      </c>
      <c r="P231" s="70" t="n">
        <f aca="false">P230+P229</f>
        <v>257427.539245545</v>
      </c>
      <c r="Q231" s="70" t="n">
        <f aca="false">Q230+Q229</f>
        <v>247904.838287524</v>
      </c>
      <c r="R231" s="70" t="n">
        <f aca="false">R230+R229</f>
        <v>240037.347872186</v>
      </c>
      <c r="S231" s="70" t="n">
        <f aca="false">S230+S229</f>
        <v>234190.844548294</v>
      </c>
      <c r="T231" s="70" t="n">
        <f aca="false">T230+T229</f>
        <v>230291.572165522</v>
      </c>
      <c r="U231" s="70" t="n">
        <f aca="false">U230+U229</f>
        <v>228268.724819559</v>
      </c>
      <c r="V231" s="70" t="n">
        <f aca="false">V230+V229</f>
        <v>228054.328842267</v>
      </c>
      <c r="W231" s="70" t="n">
        <f aca="false">W230+W229</f>
        <v>229583.129512231</v>
      </c>
      <c r="X231" s="70" t="n">
        <f aca="false">X230+X229</f>
        <v>232792.482296894</v>
      </c>
      <c r="Y231" s="70" t="n">
        <f aca="false">Y230+Y229</f>
        <v>237622.248445003</v>
      </c>
      <c r="Z231" s="70" t="n">
        <f aca="false">Z230+Z229</f>
        <v>226873.838743211</v>
      </c>
      <c r="AA231" s="70" t="n">
        <f aca="false">AA230+AA229</f>
        <v>182315.971405109</v>
      </c>
      <c r="AB231" s="70" t="n">
        <f aca="false">AB230+AB229</f>
        <v>179017.171242736</v>
      </c>
      <c r="AC231" s="70" t="n">
        <f aca="false">AC230+AC229</f>
        <v>194939.197774323</v>
      </c>
      <c r="AD231" s="70" t="n">
        <f aca="false">AD230+AD229</f>
        <v>211582.811032542</v>
      </c>
      <c r="AE231" s="70" t="n">
        <f aca="false">AE230+AE229</f>
        <v>229701.277478568</v>
      </c>
      <c r="AF231" s="70" t="n">
        <f aca="false">AF230+AF229</f>
        <v>249242.686318224</v>
      </c>
      <c r="AG231" s="70" t="n">
        <f aca="false">AG230+AG229</f>
        <v>270157.203189098</v>
      </c>
      <c r="AH231" s="70" t="n">
        <f aca="false">AH230+AH229</f>
        <v>292396.987103273</v>
      </c>
      <c r="AI231" s="70" t="n">
        <f aca="false">AI230+AI229</f>
        <v>315916.110712352</v>
      </c>
      <c r="AJ231" s="70" t="n">
        <f aca="false">AJ230+AJ229</f>
        <v>340670.483761871</v>
      </c>
      <c r="AK231" s="70" t="n">
        <f aca="false">AK230+AK229</f>
        <v>366617.779607546</v>
      </c>
      <c r="AL231" s="70" t="n">
        <f aca="false">AL230+AL229</f>
        <v>376024.314834002</v>
      </c>
    </row>
    <row r="232" customFormat="false" ht="15" hidden="false" customHeight="false" outlineLevel="0" collapsed="false">
      <c r="A232" s="116" t="s">
        <v>436</v>
      </c>
      <c r="C232" s="118" t="n">
        <f aca="false">IF(C186&gt;0,1,0)</f>
        <v>0</v>
      </c>
      <c r="D232" s="118" t="n">
        <f aca="false">IF(D186&gt;0,1,0)</f>
        <v>0</v>
      </c>
      <c r="E232" s="118" t="n">
        <f aca="false">IF(E186&gt;0,1,0)</f>
        <v>0</v>
      </c>
      <c r="F232" s="118" t="n">
        <f aca="false">IF(F186&gt;0,1,0)</f>
        <v>0</v>
      </c>
      <c r="G232" s="118" t="n">
        <f aca="false">IF(G186&gt;0,1,0)</f>
        <v>0</v>
      </c>
      <c r="H232" s="118" t="n">
        <f aca="false">IF(H186&gt;0,1,0)</f>
        <v>0</v>
      </c>
      <c r="I232" s="118" t="n">
        <f aca="false">IF(I186&gt;0,1,0)</f>
        <v>0</v>
      </c>
      <c r="J232" s="118" t="n">
        <f aca="false">IF(J186&gt;0,1,0)</f>
        <v>1</v>
      </c>
      <c r="K232" s="118" t="n">
        <f aca="false">IF(K186&gt;0,1,0)</f>
        <v>1</v>
      </c>
      <c r="L232" s="118" t="n">
        <f aca="false">IF(L186&gt;0,1,0)</f>
        <v>1</v>
      </c>
      <c r="M232" s="118" t="n">
        <f aca="false">IF(M186&gt;0,1,0)</f>
        <v>1</v>
      </c>
      <c r="N232" s="118" t="n">
        <f aca="false">IF(N186&gt;0,1,0)</f>
        <v>1</v>
      </c>
      <c r="O232" s="118" t="n">
        <f aca="false">IF(O186&gt;0,1,0)</f>
        <v>1</v>
      </c>
      <c r="P232" s="118" t="n">
        <f aca="false">IF(P186&gt;0,1,0)</f>
        <v>1</v>
      </c>
      <c r="Q232" s="118" t="n">
        <f aca="false">IF(Q186&gt;0,1,0)</f>
        <v>1</v>
      </c>
      <c r="R232" s="118" t="n">
        <f aca="false">IF(R186&gt;0,1,0)</f>
        <v>1</v>
      </c>
      <c r="S232" s="118" t="n">
        <f aca="false">IF(S186&gt;0,1,0)</f>
        <v>1</v>
      </c>
      <c r="T232" s="118" t="n">
        <f aca="false">IF(T186&gt;0,1,0)</f>
        <v>1</v>
      </c>
      <c r="U232" s="118" t="n">
        <f aca="false">IF(U186&gt;0,1,0)</f>
        <v>1</v>
      </c>
      <c r="V232" s="118" t="n">
        <f aca="false">IF(V186&gt;0,1,0)</f>
        <v>1</v>
      </c>
      <c r="W232" s="118" t="n">
        <f aca="false">IF(W186&gt;0,1,0)</f>
        <v>1</v>
      </c>
      <c r="X232" s="118" t="n">
        <f aca="false">IF(X186&gt;0,1,0)</f>
        <v>1</v>
      </c>
      <c r="Y232" s="118" t="n">
        <f aca="false">IF(Y186&gt;0,1,0)</f>
        <v>1</v>
      </c>
      <c r="Z232" s="118" t="n">
        <f aca="false">IF(Z186&gt;0,1,0)</f>
        <v>1</v>
      </c>
      <c r="AA232" s="118" t="n">
        <f aca="false">IF(AA186&gt;0,1,0)</f>
        <v>1</v>
      </c>
      <c r="AB232" s="118" t="n">
        <f aca="false">IF(AB186&gt;0,1,0)</f>
        <v>1</v>
      </c>
      <c r="AC232" s="118" t="n">
        <f aca="false">IF(AC186&gt;0,1,0)</f>
        <v>1</v>
      </c>
      <c r="AD232" s="118" t="n">
        <f aca="false">IF(AD186&gt;0,1,0)</f>
        <v>1</v>
      </c>
      <c r="AE232" s="118" t="n">
        <f aca="false">IF(AE186&gt;0,1,0)</f>
        <v>1</v>
      </c>
      <c r="AF232" s="118" t="n">
        <f aca="false">IF(AF186&gt;0,1,0)</f>
        <v>1</v>
      </c>
      <c r="AG232" s="118" t="n">
        <f aca="false">IF(AG186&gt;0,1,0)</f>
        <v>1</v>
      </c>
      <c r="AH232" s="118" t="n">
        <f aca="false">IF(AH186&gt;0,1,0)</f>
        <v>1</v>
      </c>
      <c r="AI232" s="118" t="n">
        <f aca="false">IF(AI186&gt;0,1,0)</f>
        <v>1</v>
      </c>
      <c r="AJ232" s="118" t="n">
        <f aca="false">IF(AJ186&gt;0,1,0)</f>
        <v>1</v>
      </c>
      <c r="AK232" s="118" t="n">
        <f aca="false">IF(AK186&gt;0,1,0)</f>
        <v>1</v>
      </c>
      <c r="AL232" s="118" t="n">
        <f aca="false">IF(AL186&gt;0,1,0)</f>
        <v>1</v>
      </c>
    </row>
    <row r="234" customFormat="false" ht="15.75" hidden="false" customHeight="true" outlineLevel="0" collapsed="false">
      <c r="A234" s="7" t="s">
        <v>437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customFormat="false" ht="15" hidden="false" customHeight="false" outlineLevel="0" collapsed="false">
      <c r="A235" s="116" t="s">
        <v>438</v>
      </c>
      <c r="C235" s="118" t="n">
        <f aca="false">IF(C195&gt;0,1,0)</f>
        <v>0</v>
      </c>
      <c r="D235" s="118" t="n">
        <f aca="false">IF(D195&gt;0,1,0)</f>
        <v>0</v>
      </c>
      <c r="E235" s="118" t="n">
        <f aca="false">IF(E195&gt;0,1,0)</f>
        <v>0</v>
      </c>
      <c r="F235" s="118" t="n">
        <f aca="false">IF(F195&gt;0,1,0)</f>
        <v>0</v>
      </c>
      <c r="G235" s="118" t="n">
        <f aca="false">IF(G195&gt;0,1,0)</f>
        <v>0</v>
      </c>
      <c r="H235" s="118" t="n">
        <f aca="false">IF(H195&gt;0,1,0)</f>
        <v>0</v>
      </c>
      <c r="I235" s="118" t="n">
        <f aca="false">IF(I195&gt;0,1,0)</f>
        <v>0</v>
      </c>
      <c r="J235" s="118" t="n">
        <f aca="false">IF(J195&gt;0,1,0)</f>
        <v>0</v>
      </c>
      <c r="K235" s="118" t="n">
        <f aca="false">IF(K195&gt;0,1,0)</f>
        <v>0</v>
      </c>
      <c r="L235" s="118" t="n">
        <f aca="false">IF(L195&gt;0,1,0)</f>
        <v>0</v>
      </c>
      <c r="M235" s="118" t="n">
        <f aca="false">IF(M195&gt;0,1,0)</f>
        <v>0</v>
      </c>
      <c r="N235" s="118" t="n">
        <f aca="false">IF(N195&gt;0,1,0)</f>
        <v>0</v>
      </c>
      <c r="O235" s="118" t="n">
        <f aca="false">IF(O195&gt;0,1,0)</f>
        <v>0</v>
      </c>
      <c r="P235" s="118" t="n">
        <f aca="false">IF(P195&gt;0,1,0)</f>
        <v>0</v>
      </c>
      <c r="Q235" s="118" t="n">
        <f aca="false">IF(Q195&gt;0,1,0)</f>
        <v>0</v>
      </c>
      <c r="R235" s="118" t="n">
        <f aca="false">IF(R195&gt;0,1,0)</f>
        <v>0</v>
      </c>
      <c r="S235" s="118" t="n">
        <f aca="false">IF(S195&gt;0,1,0)</f>
        <v>0</v>
      </c>
      <c r="T235" s="118" t="n">
        <f aca="false">IF(T195&gt;0,1,0)</f>
        <v>0</v>
      </c>
      <c r="U235" s="118" t="n">
        <f aca="false">IF(U195&gt;0,1,0)</f>
        <v>0</v>
      </c>
      <c r="V235" s="118" t="n">
        <f aca="false">IF(V195&gt;0,1,0)</f>
        <v>0</v>
      </c>
      <c r="W235" s="118" t="n">
        <f aca="false">IF(W195&gt;0,1,0)</f>
        <v>0</v>
      </c>
      <c r="X235" s="118" t="n">
        <f aca="false">IF(X195&gt;0,1,0)</f>
        <v>0</v>
      </c>
      <c r="Y235" s="118" t="n">
        <f aca="false">IF(Y195&gt;0,1,0)</f>
        <v>1</v>
      </c>
      <c r="Z235" s="118" t="n">
        <f aca="false">IF(Z195&gt;0,1,0)</f>
        <v>0</v>
      </c>
      <c r="AA235" s="118" t="n">
        <f aca="false">IF(AA195&gt;0,1,0)</f>
        <v>0</v>
      </c>
      <c r="AB235" s="118" t="n">
        <f aca="false">IF(AB195&gt;0,1,0)</f>
        <v>0</v>
      </c>
      <c r="AC235" s="118" t="n">
        <f aca="false">IF(AC195&gt;0,1,0)</f>
        <v>1</v>
      </c>
      <c r="AD235" s="118" t="n">
        <f aca="false">IF(AD195&gt;0,1,0)</f>
        <v>1</v>
      </c>
      <c r="AE235" s="118" t="n">
        <f aca="false">IF(AE195&gt;0,1,0)</f>
        <v>1</v>
      </c>
      <c r="AF235" s="118" t="n">
        <f aca="false">IF(AF195&gt;0,1,0)</f>
        <v>1</v>
      </c>
      <c r="AG235" s="118" t="n">
        <f aca="false">IF(AG195&gt;0,1,0)</f>
        <v>1</v>
      </c>
      <c r="AH235" s="118" t="n">
        <f aca="false">IF(AH195&gt;0,1,0)</f>
        <v>1</v>
      </c>
      <c r="AI235" s="118" t="n">
        <f aca="false">IF(AI195&gt;0,1,0)</f>
        <v>1</v>
      </c>
      <c r="AJ235" s="118" t="n">
        <f aca="false">IF(AJ195&gt;0,1,0)</f>
        <v>1</v>
      </c>
      <c r="AK235" s="118" t="n">
        <f aca="false">IF(AK195&gt;0,1,0)</f>
        <v>1</v>
      </c>
      <c r="AL235" s="118" t="n">
        <f aca="false">IF(AL195&gt;0,1,0)</f>
        <v>1</v>
      </c>
    </row>
    <row r="236" customFormat="false" ht="15" hidden="false" customHeight="false" outlineLevel="0" collapsed="false">
      <c r="A236" s="6" t="s">
        <v>439</v>
      </c>
      <c r="C236" s="69" t="n">
        <f aca="false">C225+C226</f>
        <v>-4174096.96845601</v>
      </c>
      <c r="D236" s="69" t="n">
        <f aca="false">D225+D226</f>
        <v>-68348.5584380637</v>
      </c>
      <c r="E236" s="69" t="n">
        <f aca="false">E225+E226</f>
        <v>-52776.4387220337</v>
      </c>
      <c r="F236" s="69" t="n">
        <f aca="false">F225+F226</f>
        <v>-45698.8828081446</v>
      </c>
      <c r="G236" s="69" t="n">
        <f aca="false">G225+G226</f>
        <v>-38397.1661873729</v>
      </c>
      <c r="H236" s="69" t="n">
        <f aca="false">H225+H226</f>
        <v>-30972.9688938543</v>
      </c>
      <c r="I236" s="69" t="n">
        <f aca="false">I225+I226</f>
        <v>-23431.1901544986</v>
      </c>
      <c r="J236" s="69" t="n">
        <f aca="false">J225+J226</f>
        <v>-15776.5332271394</v>
      </c>
      <c r="K236" s="69" t="n">
        <f aca="false">K225+K226</f>
        <v>-8013.5132392968</v>
      </c>
      <c r="L236" s="69" t="n">
        <f aca="false">L225+L226</f>
        <v>-146.464713390115</v>
      </c>
      <c r="M236" s="69" t="n">
        <f aca="false">M225+M226</f>
        <v>2204.019664374</v>
      </c>
      <c r="N236" s="69" t="n">
        <f aca="false">N225+N226</f>
        <v>-12325.9707704894</v>
      </c>
      <c r="O236" s="69" t="n">
        <f aca="false">O225+O226</f>
        <v>-45867.2079686989</v>
      </c>
      <c r="P236" s="69" t="n">
        <f aca="false">P225+P226</f>
        <v>-3924.6168398369</v>
      </c>
      <c r="Q236" s="69" t="n">
        <f aca="false">Q225+Q226</f>
        <v>15477.2990419792</v>
      </c>
      <c r="R236" s="69" t="n">
        <f aca="false">R225+R226</f>
        <v>17132.5095846624</v>
      </c>
      <c r="S236" s="69" t="n">
        <f aca="false">S225+S226</f>
        <v>19153.4966761075</v>
      </c>
      <c r="T236" s="69" t="n">
        <f aca="false">T225+T226</f>
        <v>21100.7276172281</v>
      </c>
      <c r="U236" s="69" t="n">
        <f aca="false">U225+U226</f>
        <v>22977.1526540373</v>
      </c>
      <c r="V236" s="69" t="n">
        <f aca="false">V225+V226</f>
        <v>24785.6040227074</v>
      </c>
      <c r="W236" s="69" t="n">
        <f aca="false">W225+W226</f>
        <v>26528.800669964</v>
      </c>
      <c r="X236" s="69" t="n">
        <f aca="false">X225+X226</f>
        <v>28209.3527846637</v>
      </c>
      <c r="Y236" s="69" t="n">
        <f aca="false">Y225+Y226</f>
        <v>29829.7661481088</v>
      </c>
      <c r="Z236" s="69" t="n">
        <f aca="false">Z225+Z226</f>
        <v>14251.5902982079</v>
      </c>
      <c r="AA236" s="69" t="n">
        <f aca="false">AA225+AA226</f>
        <v>-19557.867338102</v>
      </c>
      <c r="AB236" s="69" t="n">
        <f aca="false">AB225+AB226</f>
        <v>21701.1998376266</v>
      </c>
      <c r="AC236" s="69" t="n">
        <f aca="false">AC225+AC226</f>
        <v>40922.0265315874</v>
      </c>
      <c r="AD236" s="69" t="n">
        <f aca="false">AD225+AD226</f>
        <v>41643.6132582186</v>
      </c>
      <c r="AE236" s="69" t="n">
        <f aca="false">AE225+AE226</f>
        <v>43118.4664460268</v>
      </c>
      <c r="AF236" s="69" t="n">
        <f aca="false">AF225+AF226</f>
        <v>44541.408839656</v>
      </c>
      <c r="AG236" s="69" t="n">
        <f aca="false">AG225+AG226</f>
        <v>45914.5168708734</v>
      </c>
      <c r="AH236" s="69" t="n">
        <f aca="false">AH225+AH226</f>
        <v>47239.7839141754</v>
      </c>
      <c r="AI236" s="69" t="n">
        <f aca="false">AI225+AI226</f>
        <v>48519.1236090787</v>
      </c>
      <c r="AJ236" s="69" t="n">
        <f aca="false">AJ225+AJ226</f>
        <v>49754.3730495191</v>
      </c>
      <c r="AK236" s="69" t="n">
        <f aca="false">AK225+AK226</f>
        <v>50947.2958456753</v>
      </c>
      <c r="AL236" s="69" t="n">
        <f aca="false">AL225+AL226</f>
        <v>34406.535226456</v>
      </c>
    </row>
    <row r="237" customFormat="false" ht="15" hidden="false" customHeight="false" outlineLevel="0" collapsed="false">
      <c r="A237" s="6" t="s">
        <v>440</v>
      </c>
      <c r="C237" s="69" t="n">
        <f aca="false">C236</f>
        <v>-4174096.96845601</v>
      </c>
      <c r="D237" s="69" t="n">
        <f aca="false">C237+D236</f>
        <v>-4242445.52689407</v>
      </c>
      <c r="E237" s="69" t="n">
        <f aca="false">D237+E236</f>
        <v>-4295221.96561611</v>
      </c>
      <c r="F237" s="69" t="n">
        <f aca="false">E237+F236</f>
        <v>-4340920.84842425</v>
      </c>
      <c r="G237" s="69" t="n">
        <f aca="false">F237+G236</f>
        <v>-4379318.01461163</v>
      </c>
      <c r="H237" s="69" t="n">
        <f aca="false">G237+H236</f>
        <v>-4410290.98350548</v>
      </c>
      <c r="I237" s="69" t="n">
        <f aca="false">H237+I236</f>
        <v>-4433722.17365998</v>
      </c>
      <c r="J237" s="69" t="n">
        <f aca="false">I237+J236</f>
        <v>-4449498.70688712</v>
      </c>
      <c r="K237" s="69" t="n">
        <f aca="false">J237+K236</f>
        <v>-4457512.22012641</v>
      </c>
      <c r="L237" s="69" t="n">
        <f aca="false">K237+L236</f>
        <v>-4457658.6848398</v>
      </c>
      <c r="M237" s="69" t="n">
        <f aca="false">L237+M236</f>
        <v>-4455454.66517543</v>
      </c>
      <c r="N237" s="69" t="n">
        <f aca="false">M237+N236</f>
        <v>-4467780.63594592</v>
      </c>
      <c r="O237" s="69" t="n">
        <f aca="false">N237+O236</f>
        <v>-4513647.84391462</v>
      </c>
      <c r="P237" s="69" t="n">
        <f aca="false">O237+P236</f>
        <v>-4517572.46075446</v>
      </c>
      <c r="Q237" s="69" t="n">
        <f aca="false">P237+Q236</f>
        <v>-4502095.16171248</v>
      </c>
      <c r="R237" s="69" t="n">
        <f aca="false">Q237+R236</f>
        <v>-4484962.65212781</v>
      </c>
      <c r="S237" s="69" t="n">
        <f aca="false">R237+S236</f>
        <v>-4465809.15545171</v>
      </c>
      <c r="T237" s="69" t="n">
        <f aca="false">S237+T236</f>
        <v>-4444708.42783448</v>
      </c>
      <c r="U237" s="69" t="n">
        <f aca="false">T237+U236</f>
        <v>-4421731.27518044</v>
      </c>
      <c r="V237" s="69" t="n">
        <f aca="false">U237+V236</f>
        <v>-4396945.67115773</v>
      </c>
      <c r="W237" s="69" t="n">
        <f aca="false">V237+W236</f>
        <v>-4370416.87048777</v>
      </c>
      <c r="X237" s="69" t="n">
        <f aca="false">W237+X236</f>
        <v>-4342207.51770311</v>
      </c>
      <c r="Y237" s="69" t="n">
        <f aca="false">X237+Y236</f>
        <v>-4312377.751555</v>
      </c>
      <c r="Z237" s="69" t="n">
        <f aca="false">Y237+Z236</f>
        <v>-4298126.16125679</v>
      </c>
      <c r="AA237" s="69" t="n">
        <f aca="false">Z237+AA236</f>
        <v>-4317684.02859489</v>
      </c>
      <c r="AB237" s="69" t="n">
        <f aca="false">AA237+AB236</f>
        <v>-4295982.82875726</v>
      </c>
      <c r="AC237" s="69" t="n">
        <f aca="false">AB237+AC236</f>
        <v>-4255060.80222568</v>
      </c>
      <c r="AD237" s="69" t="n">
        <f aca="false">AC237+AD236</f>
        <v>-4213417.18896746</v>
      </c>
      <c r="AE237" s="69" t="n">
        <f aca="false">AD237+AE236</f>
        <v>-4170298.72252143</v>
      </c>
      <c r="AF237" s="69" t="n">
        <f aca="false">AE237+AF236</f>
        <v>-4125757.31368178</v>
      </c>
      <c r="AG237" s="69" t="n">
        <f aca="false">AF237+AG236</f>
        <v>-4079842.7968109</v>
      </c>
      <c r="AH237" s="69" t="n">
        <f aca="false">AG237+AH236</f>
        <v>-4032603.01289673</v>
      </c>
      <c r="AI237" s="69" t="n">
        <f aca="false">AH237+AI236</f>
        <v>-3984083.88928765</v>
      </c>
      <c r="AJ237" s="69" t="n">
        <f aca="false">AI237+AJ236</f>
        <v>-3934329.51623813</v>
      </c>
      <c r="AK237" s="69" t="n">
        <f aca="false">AJ237+AK236</f>
        <v>-3883382.22039245</v>
      </c>
      <c r="AL237" s="69" t="n">
        <f aca="false">AK237+AL236</f>
        <v>-3848975.685166</v>
      </c>
    </row>
    <row r="238" customFormat="false" ht="15" hidden="false" customHeight="false" outlineLevel="0" collapsed="false">
      <c r="A238" s="116" t="s">
        <v>441</v>
      </c>
      <c r="C238" s="69" t="n">
        <f aca="false">C237</f>
        <v>-4174096.96845601</v>
      </c>
      <c r="D238" s="69" t="n">
        <f aca="false">MIN(C238,D237)</f>
        <v>-4242445.52689407</v>
      </c>
      <c r="E238" s="69" t="n">
        <f aca="false">MIN(D238,E237)</f>
        <v>-4295221.96561611</v>
      </c>
      <c r="F238" s="69" t="n">
        <f aca="false">MIN(E238,F237)</f>
        <v>-4340920.84842425</v>
      </c>
      <c r="G238" s="69" t="n">
        <f aca="false">MIN(F238,G237)</f>
        <v>-4379318.01461163</v>
      </c>
      <c r="H238" s="69" t="n">
        <f aca="false">MIN(G238,H237)</f>
        <v>-4410290.98350548</v>
      </c>
      <c r="I238" s="69" t="n">
        <f aca="false">MIN(H238,I237)</f>
        <v>-4433722.17365998</v>
      </c>
      <c r="J238" s="69" t="n">
        <f aca="false">MIN(I238,J237)</f>
        <v>-4449498.70688712</v>
      </c>
      <c r="K238" s="69" t="n">
        <f aca="false">MIN(J238,K237)</f>
        <v>-4457512.22012641</v>
      </c>
      <c r="L238" s="69" t="n">
        <f aca="false">MIN(K238,L237)</f>
        <v>-4457658.6848398</v>
      </c>
      <c r="M238" s="69" t="n">
        <f aca="false">MIN(L238,M237)</f>
        <v>-4457658.6848398</v>
      </c>
      <c r="N238" s="69" t="n">
        <f aca="false">MIN(M238,N237)</f>
        <v>-4467780.63594592</v>
      </c>
      <c r="O238" s="69" t="n">
        <f aca="false">MIN(N238,O237)</f>
        <v>-4513647.84391462</v>
      </c>
      <c r="P238" s="69" t="n">
        <f aca="false">MIN(O238,P237)</f>
        <v>-4517572.46075446</v>
      </c>
      <c r="Q238" s="69" t="n">
        <f aca="false">MIN(P238,Q237)</f>
        <v>-4517572.46075446</v>
      </c>
      <c r="R238" s="69" t="n">
        <f aca="false">MIN(Q238,R237)</f>
        <v>-4517572.46075446</v>
      </c>
      <c r="S238" s="69" t="n">
        <f aca="false">MIN(R238,S237)</f>
        <v>-4517572.46075446</v>
      </c>
      <c r="T238" s="69" t="n">
        <f aca="false">MIN(S238,T237)</f>
        <v>-4517572.46075446</v>
      </c>
      <c r="U238" s="69" t="n">
        <f aca="false">MIN(T238,U237)</f>
        <v>-4517572.46075446</v>
      </c>
      <c r="V238" s="69" t="n">
        <f aca="false">MIN(U238,V237)</f>
        <v>-4517572.46075446</v>
      </c>
      <c r="W238" s="69" t="n">
        <f aca="false">MIN(V238,W237)</f>
        <v>-4517572.46075446</v>
      </c>
      <c r="X238" s="69" t="n">
        <f aca="false">MIN(W238,X237)</f>
        <v>-4517572.46075446</v>
      </c>
      <c r="Y238" s="69" t="n">
        <f aca="false">MIN(X238,Y237)</f>
        <v>-4517572.46075446</v>
      </c>
      <c r="Z238" s="69" t="n">
        <f aca="false">MIN(Y238,Z237)</f>
        <v>-4517572.46075446</v>
      </c>
      <c r="AA238" s="69" t="n">
        <f aca="false">MIN(Z238,AA237)</f>
        <v>-4517572.46075446</v>
      </c>
      <c r="AB238" s="69" t="n">
        <f aca="false">MIN(AA238,AB237)</f>
        <v>-4517572.46075446</v>
      </c>
      <c r="AC238" s="69" t="n">
        <f aca="false">MIN(AB238,AC237)</f>
        <v>-4517572.46075446</v>
      </c>
      <c r="AD238" s="69" t="n">
        <f aca="false">MIN(AC238,AD237)</f>
        <v>-4517572.46075446</v>
      </c>
      <c r="AE238" s="69" t="n">
        <f aca="false">MIN(AD238,AE237)</f>
        <v>-4517572.46075446</v>
      </c>
      <c r="AF238" s="69" t="n">
        <f aca="false">MIN(AE238,AF237)</f>
        <v>-4517572.46075446</v>
      </c>
      <c r="AG238" s="69" t="n">
        <f aca="false">MIN(AF238,AG237)</f>
        <v>-4517572.46075446</v>
      </c>
      <c r="AH238" s="69" t="n">
        <f aca="false">MIN(AG238,AH237)</f>
        <v>-4517572.46075446</v>
      </c>
      <c r="AI238" s="69" t="n">
        <f aca="false">MIN(AH238,AI237)</f>
        <v>-4517572.46075446</v>
      </c>
      <c r="AJ238" s="69" t="n">
        <f aca="false">MIN(AI238,AJ237)</f>
        <v>-4517572.46075446</v>
      </c>
      <c r="AK238" s="69" t="n">
        <f aca="false">MIN(AJ238,AK237)</f>
        <v>-4517572.46075446</v>
      </c>
      <c r="AL238" s="69" t="n">
        <f aca="false">MIN(AK238,AL237)</f>
        <v>-4517572.46075446</v>
      </c>
    </row>
    <row r="239" customFormat="false" ht="15" hidden="false" customHeight="false" outlineLevel="0" collapsed="false">
      <c r="A239" s="116" t="s">
        <v>442</v>
      </c>
      <c r="C239" s="118" t="n">
        <f aca="false">IF(AND(C237&gt;=0,C238&lt;0),1,0)</f>
        <v>0</v>
      </c>
      <c r="D239" s="118" t="n">
        <f aca="false">IF(AND(D237&gt;=0,D238&lt;0),1,0)</f>
        <v>0</v>
      </c>
      <c r="E239" s="118" t="n">
        <f aca="false">IF(AND(E237&gt;=0,E238&lt;0),1,0)</f>
        <v>0</v>
      </c>
      <c r="F239" s="118" t="n">
        <f aca="false">IF(AND(F237&gt;=0,F238&lt;0),1,0)</f>
        <v>0</v>
      </c>
      <c r="G239" s="118" t="n">
        <f aca="false">IF(AND(G237&gt;=0,G238&lt;0),1,0)</f>
        <v>0</v>
      </c>
      <c r="H239" s="118" t="n">
        <f aca="false">IF(AND(H237&gt;=0,H238&lt;0),1,0)</f>
        <v>0</v>
      </c>
      <c r="I239" s="118" t="n">
        <f aca="false">IF(AND(I237&gt;=0,I238&lt;0),1,0)</f>
        <v>0</v>
      </c>
      <c r="J239" s="118" t="n">
        <f aca="false">IF(AND(J237&gt;=0,J238&lt;0),1,0)</f>
        <v>0</v>
      </c>
      <c r="K239" s="118" t="n">
        <f aca="false">IF(AND(K237&gt;=0,K238&lt;0),1,0)</f>
        <v>0</v>
      </c>
      <c r="L239" s="118" t="n">
        <f aca="false">IF(AND(L237&gt;=0,L238&lt;0),1,0)</f>
        <v>0</v>
      </c>
      <c r="M239" s="118" t="n">
        <f aca="false">IF(AND(M237&gt;=0,M238&lt;0),1,0)</f>
        <v>0</v>
      </c>
      <c r="N239" s="118" t="n">
        <f aca="false">IF(AND(N237&gt;=0,N238&lt;0),1,0)</f>
        <v>0</v>
      </c>
      <c r="O239" s="118" t="n">
        <f aca="false">IF(AND(O237&gt;=0,O238&lt;0),1,0)</f>
        <v>0</v>
      </c>
      <c r="P239" s="118" t="n">
        <f aca="false">IF(AND(P237&gt;=0,P238&lt;0),1,0)</f>
        <v>0</v>
      </c>
      <c r="Q239" s="118" t="n">
        <f aca="false">IF(AND(Q237&gt;=0,Q238&lt;0),1,0)</f>
        <v>0</v>
      </c>
      <c r="R239" s="118" t="n">
        <f aca="false">IF(AND(R237&gt;=0,R238&lt;0),1,0)</f>
        <v>0</v>
      </c>
      <c r="S239" s="118" t="n">
        <f aca="false">IF(AND(S237&gt;=0,S238&lt;0),1,0)</f>
        <v>0</v>
      </c>
      <c r="T239" s="118" t="n">
        <f aca="false">IF(AND(T237&gt;=0,T238&lt;0),1,0)</f>
        <v>0</v>
      </c>
      <c r="U239" s="118" t="n">
        <f aca="false">IF(AND(U237&gt;=0,U238&lt;0),1,0)</f>
        <v>0</v>
      </c>
      <c r="V239" s="118" t="n">
        <f aca="false">IF(AND(V237&gt;=0,V238&lt;0),1,0)</f>
        <v>0</v>
      </c>
      <c r="W239" s="118" t="n">
        <f aca="false">IF(AND(W237&gt;=0,W238&lt;0),1,0)</f>
        <v>0</v>
      </c>
      <c r="X239" s="118" t="n">
        <f aca="false">IF(AND(X237&gt;=0,X238&lt;0),1,0)</f>
        <v>0</v>
      </c>
      <c r="Y239" s="118" t="n">
        <f aca="false">IF(AND(Y237&gt;=0,Y238&lt;0),1,0)</f>
        <v>0</v>
      </c>
      <c r="Z239" s="118" t="n">
        <f aca="false">IF(AND(Z237&gt;=0,Z238&lt;0),1,0)</f>
        <v>0</v>
      </c>
      <c r="AA239" s="118" t="n">
        <f aca="false">IF(AND(AA237&gt;=0,AA238&lt;0),1,0)</f>
        <v>0</v>
      </c>
      <c r="AB239" s="118" t="n">
        <f aca="false">IF(AND(AB237&gt;=0,AB238&lt;0),1,0)</f>
        <v>0</v>
      </c>
      <c r="AC239" s="118" t="n">
        <f aca="false">IF(AND(AC237&gt;=0,AC238&lt;0),1,0)</f>
        <v>0</v>
      </c>
      <c r="AD239" s="118" t="n">
        <f aca="false">IF(AND(AD237&gt;=0,AD238&lt;0),1,0)</f>
        <v>0</v>
      </c>
      <c r="AE239" s="118" t="n">
        <f aca="false">IF(AND(AE237&gt;=0,AE238&lt;0),1,0)</f>
        <v>0</v>
      </c>
      <c r="AF239" s="118" t="n">
        <f aca="false">IF(AND(AF237&gt;=0,AF238&lt;0),1,0)</f>
        <v>0</v>
      </c>
      <c r="AG239" s="118" t="n">
        <f aca="false">IF(AND(AG237&gt;=0,AG238&lt;0),1,0)</f>
        <v>0</v>
      </c>
      <c r="AH239" s="118" t="n">
        <f aca="false">IF(AND(AH237&gt;=0,AH238&lt;0),1,0)</f>
        <v>0</v>
      </c>
      <c r="AI239" s="118" t="n">
        <f aca="false">IF(AND(AI237&gt;=0,AI238&lt;0),1,0)</f>
        <v>0</v>
      </c>
      <c r="AJ239" s="118" t="n">
        <f aca="false">IF(AND(AJ237&gt;=0,AJ238&lt;0),1,0)</f>
        <v>0</v>
      </c>
      <c r="AK239" s="118" t="n">
        <f aca="false">IF(AND(AK237&gt;=0,AK238&lt;0),1,0)</f>
        <v>0</v>
      </c>
      <c r="AL239" s="118" t="n">
        <f aca="false">IF(AND(AL237&gt;=0,AL238&lt;0),1,0)</f>
        <v>0</v>
      </c>
    </row>
    <row r="240" customFormat="false" ht="15" hidden="false" customHeight="false" outlineLevel="0" collapsed="false">
      <c r="A240" s="6" t="s">
        <v>443</v>
      </c>
      <c r="C240" s="69" t="n">
        <f aca="false">C225-C190*(1-Inputs!$C$81)+C226</f>
        <v>-4157309.46845601</v>
      </c>
      <c r="D240" s="69" t="n">
        <f aca="false">D225-D190*(1-Inputs!$C$81)+D226</f>
        <v>-51631.0063547304</v>
      </c>
      <c r="E240" s="69" t="n">
        <f aca="false">E225-E190*(1-Inputs!$C$81)+E226</f>
        <v>-36198.7824720337</v>
      </c>
      <c r="F240" s="69" t="n">
        <f aca="false">F225-F190*(1-Inputs!$C$81)+F226</f>
        <v>-29261.122391478</v>
      </c>
      <c r="G240" s="69" t="n">
        <f aca="false">G225-G190*(1-Inputs!$C$81)+G226</f>
        <v>-22099.3016040396</v>
      </c>
      <c r="H240" s="69" t="n">
        <f aca="false">H225-H190*(1-Inputs!$C$81)+H226</f>
        <v>-14815.0001438543</v>
      </c>
      <c r="I240" s="69" t="n">
        <f aca="false">I225-I190*(1-Inputs!$C$81)+I226</f>
        <v>-7413.11723783197</v>
      </c>
      <c r="J240" s="69" t="n">
        <f aca="false">J225-J190*(1-Inputs!$C$81)+J226</f>
        <v>101.64385619391</v>
      </c>
      <c r="K240" s="69" t="n">
        <f aca="false">K225-K190*(1-Inputs!$C$81)+K226</f>
        <v>7724.7680107032</v>
      </c>
      <c r="L240" s="69" t="n">
        <f aca="false">L225-L190*(1-Inputs!$C$81)+L226</f>
        <v>15451.9207032766</v>
      </c>
      <c r="M240" s="69" t="n">
        <f aca="false">M225-M190*(1-Inputs!$C$81)+M226</f>
        <v>17662.5092477073</v>
      </c>
      <c r="N240" s="69" t="n">
        <f aca="false">N225-N190*(1-Inputs!$C$81)+N226</f>
        <v>2992.6229795106</v>
      </c>
      <c r="O240" s="69" t="n">
        <f aca="false">O225-O190*(1-Inputs!$C$81)+O226</f>
        <v>-30688.5100520323</v>
      </c>
      <c r="P240" s="69" t="n">
        <f aca="false">P225-P190*(1-Inputs!$C$81)+P226</f>
        <v>11114.1852434964</v>
      </c>
      <c r="Q240" s="69" t="n">
        <f aca="false">Q225-Q190*(1-Inputs!$C$81)+Q226</f>
        <v>30376.2052919792</v>
      </c>
      <c r="R240" s="69" t="n">
        <f aca="false">R225-R190*(1-Inputs!$C$81)+R226</f>
        <v>31891.5200013291</v>
      </c>
      <c r="S240" s="69" t="n">
        <f aca="false">S225-S190*(1-Inputs!$C$81)+S226</f>
        <v>33772.6112594408</v>
      </c>
      <c r="T240" s="69" t="n">
        <f aca="false">T225-T190*(1-Inputs!$C$81)+T226</f>
        <v>35579.9463672281</v>
      </c>
      <c r="U240" s="69" t="n">
        <f aca="false">U225-U190*(1-Inputs!$C$81)+U226</f>
        <v>37316.475570704</v>
      </c>
      <c r="V240" s="69" t="n">
        <f aca="false">V225-V190*(1-Inputs!$C$81)+V226</f>
        <v>38985.0311060407</v>
      </c>
      <c r="W240" s="69" t="n">
        <f aca="false">W225-W190*(1-Inputs!$C$81)+W226</f>
        <v>40588.331919964</v>
      </c>
      <c r="X240" s="69" t="n">
        <f aca="false">X225-X190*(1-Inputs!$C$81)+X226</f>
        <v>42128.9882013304</v>
      </c>
      <c r="Y240" s="69" t="n">
        <f aca="false">Y225-Y190*(1-Inputs!$C$81)+Y226</f>
        <v>43609.5057314421</v>
      </c>
      <c r="Z240" s="69" t="n">
        <f aca="false">Z225-Z190*(1-Inputs!$C$81)+Z226</f>
        <v>27891.4340482079</v>
      </c>
      <c r="AA240" s="69" t="n">
        <f aca="false">AA225-AA190*(1-Inputs!$C$81)+AA226</f>
        <v>-6057.91942143532</v>
      </c>
      <c r="AB240" s="69" t="n">
        <f aca="false">AB225-AB190*(1-Inputs!$C$81)+AB226</f>
        <v>35061.2519209599</v>
      </c>
      <c r="AC240" s="69" t="n">
        <f aca="false">AC225-AC190*(1-Inputs!$C$81)+AC226</f>
        <v>54142.1827815874</v>
      </c>
      <c r="AD240" s="69" t="n">
        <f aca="false">AD225-AD190*(1-Inputs!$C$81)+AD226</f>
        <v>54723.8736748853</v>
      </c>
      <c r="AE240" s="69" t="n">
        <f aca="false">AE225-AE190*(1-Inputs!$C$81)+AE226</f>
        <v>56058.8310293601</v>
      </c>
      <c r="AF240" s="69" t="n">
        <f aca="false">AF225-AF190*(1-Inputs!$C$81)+AF226</f>
        <v>57341.877589656</v>
      </c>
      <c r="AG240" s="69" t="n">
        <f aca="false">AG225-AG190*(1-Inputs!$C$81)+AG226</f>
        <v>58575.08978754</v>
      </c>
      <c r="AH240" s="69" t="n">
        <f aca="false">AH225-AH190*(1-Inputs!$C$81)+AH226</f>
        <v>59760.4609975087</v>
      </c>
      <c r="AI240" s="69" t="n">
        <f aca="false">AI225-AI190*(1-Inputs!$C$81)+AI226</f>
        <v>60899.9048590787</v>
      </c>
      <c r="AJ240" s="69" t="n">
        <f aca="false">AJ225-AJ190*(1-Inputs!$C$81)+AJ226</f>
        <v>61995.2584661858</v>
      </c>
      <c r="AK240" s="69" t="n">
        <f aca="false">AK225-AK190*(1-Inputs!$C$81)+AK226</f>
        <v>63048.2854290086</v>
      </c>
      <c r="AL240" s="69" t="n">
        <f aca="false">AL225-AL190*(1-Inputs!$C$81)+AL226</f>
        <v>46367.628976456</v>
      </c>
    </row>
    <row r="242" customFormat="false" ht="15.75" hidden="false" customHeight="true" outlineLevel="0" collapsed="false">
      <c r="A242" s="7" t="s">
        <v>444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customFormat="false" ht="15" hidden="false" customHeight="false" outlineLevel="0" collapsed="false">
      <c r="A243" s="6" t="s">
        <v>97</v>
      </c>
      <c r="C243" s="69" t="n">
        <f aca="false">C227</f>
        <v>2100000</v>
      </c>
      <c r="D243" s="69" t="n">
        <f aca="false">C243+D227</f>
        <v>2100000</v>
      </c>
      <c r="E243" s="69" t="n">
        <f aca="false">D243+E227</f>
        <v>2100000</v>
      </c>
      <c r="F243" s="69" t="n">
        <f aca="false">E243+F227</f>
        <v>2100000</v>
      </c>
      <c r="G243" s="69" t="n">
        <f aca="false">F243+G227</f>
        <v>2100000</v>
      </c>
      <c r="H243" s="69" t="n">
        <f aca="false">G243+H227</f>
        <v>2100000</v>
      </c>
      <c r="I243" s="69" t="n">
        <f aca="false">H243+I227</f>
        <v>2100000</v>
      </c>
      <c r="J243" s="69" t="n">
        <f aca="false">I243+J227</f>
        <v>2100000</v>
      </c>
      <c r="K243" s="69" t="n">
        <f aca="false">J243+K227</f>
        <v>2100000</v>
      </c>
      <c r="L243" s="69" t="n">
        <f aca="false">K243+L227</f>
        <v>2100000</v>
      </c>
      <c r="M243" s="69" t="n">
        <f aca="false">L243+M227</f>
        <v>2100000</v>
      </c>
      <c r="N243" s="69" t="n">
        <f aca="false">M243+N227</f>
        <v>2100000</v>
      </c>
      <c r="O243" s="69" t="n">
        <f aca="false">N243+O227</f>
        <v>2100000</v>
      </c>
      <c r="P243" s="69" t="n">
        <f aca="false">O243+P227</f>
        <v>2100000</v>
      </c>
      <c r="Q243" s="69" t="n">
        <f aca="false">P243+Q227</f>
        <v>2100000</v>
      </c>
      <c r="R243" s="69" t="n">
        <f aca="false">Q243+R227</f>
        <v>2100000</v>
      </c>
      <c r="S243" s="69" t="n">
        <f aca="false">R243+S227</f>
        <v>2100000</v>
      </c>
      <c r="T243" s="69" t="n">
        <f aca="false">S243+T227</f>
        <v>2100000</v>
      </c>
      <c r="U243" s="69" t="n">
        <f aca="false">T243+U227</f>
        <v>2100000</v>
      </c>
      <c r="V243" s="69" t="n">
        <f aca="false">U243+V227</f>
        <v>2100000</v>
      </c>
      <c r="W243" s="69" t="n">
        <f aca="false">V243+W227</f>
        <v>2100000</v>
      </c>
      <c r="X243" s="69" t="n">
        <f aca="false">W243+X227</f>
        <v>2100000</v>
      </c>
      <c r="Y243" s="69" t="n">
        <f aca="false">X243+Y227</f>
        <v>2100000</v>
      </c>
      <c r="Z243" s="69" t="n">
        <f aca="false">Y243+Z227</f>
        <v>2100000</v>
      </c>
      <c r="AA243" s="69" t="n">
        <f aca="false">Z243+AA227</f>
        <v>2100000</v>
      </c>
      <c r="AB243" s="69" t="n">
        <f aca="false">AA243+AB227</f>
        <v>2100000</v>
      </c>
      <c r="AC243" s="69" t="n">
        <f aca="false">AB243+AC227</f>
        <v>2100000</v>
      </c>
      <c r="AD243" s="69" t="n">
        <f aca="false">AC243+AD227</f>
        <v>2100000</v>
      </c>
      <c r="AE243" s="69" t="n">
        <f aca="false">AD243+AE227</f>
        <v>2100000</v>
      </c>
      <c r="AF243" s="69" t="n">
        <f aca="false">AE243+AF227</f>
        <v>2100000</v>
      </c>
      <c r="AG243" s="69" t="n">
        <f aca="false">AF243+AG227</f>
        <v>2100000</v>
      </c>
      <c r="AH243" s="69" t="n">
        <f aca="false">AG243+AH227</f>
        <v>2100000</v>
      </c>
      <c r="AI243" s="69" t="n">
        <f aca="false">AH243+AI227</f>
        <v>2100000</v>
      </c>
      <c r="AJ243" s="69" t="n">
        <f aca="false">AI243+AJ227</f>
        <v>2100000</v>
      </c>
      <c r="AK243" s="69" t="n">
        <f aca="false">AJ243+AK227</f>
        <v>2100000</v>
      </c>
      <c r="AL243" s="69" t="n">
        <f aca="false">AK243+AL227</f>
        <v>2100000</v>
      </c>
    </row>
    <row r="244" customFormat="false" ht="15" hidden="false" customHeight="false" outlineLevel="0" collapsed="false">
      <c r="A244" s="6" t="s">
        <v>98</v>
      </c>
      <c r="C244" s="69" t="n">
        <f aca="false">C195</f>
        <v>-102437.476634789</v>
      </c>
      <c r="D244" s="69" t="n">
        <f aca="false">C244+D195</f>
        <v>-199240.336761108</v>
      </c>
      <c r="E244" s="69" t="n">
        <f aca="false">D244+E195</f>
        <v>-280587.034107493</v>
      </c>
      <c r="F244" s="69" t="n">
        <f aca="false">E244+F195</f>
        <v>-354763.012705834</v>
      </c>
      <c r="G244" s="69" t="n">
        <f aca="false">F244+G195</f>
        <v>-421640.551968474</v>
      </c>
      <c r="H244" s="69" t="n">
        <f aca="false">G244+H195</f>
        <v>-481097.040131265</v>
      </c>
      <c r="I244" s="69" t="n">
        <f aca="false">H244+I195</f>
        <v>-533014.769900621</v>
      </c>
      <c r="J244" s="69" t="n">
        <f aca="false">I244+J195</f>
        <v>-577280.742274703</v>
      </c>
      <c r="K244" s="69" t="n">
        <f aca="false">J244+K195</f>
        <v>-613786.478211745</v>
      </c>
      <c r="L244" s="69" t="n">
        <f aca="false">K244+L195</f>
        <v>-642427.837831648</v>
      </c>
      <c r="M244" s="69" t="n">
        <f aca="false">L244+M195</f>
        <v>-668750.981431645</v>
      </c>
      <c r="N244" s="69" t="n">
        <f aca="false">M244+N195</f>
        <v>-709232.332270295</v>
      </c>
      <c r="O244" s="69" t="n">
        <f aca="false">N244+O195</f>
        <v>-743910.376362621</v>
      </c>
      <c r="P244" s="69" t="n">
        <f aca="false">O244+P195</f>
        <v>-776600.179668578</v>
      </c>
      <c r="Q244" s="69" t="n">
        <f aca="false">P244+Q195</f>
        <v>-790368.817841676</v>
      </c>
      <c r="R244" s="69" t="n">
        <f aca="false">Q244+R195</f>
        <v>-802037.506346352</v>
      </c>
      <c r="S244" s="69" t="n">
        <f aca="false">R244+S195</f>
        <v>-811683.159836009</v>
      </c>
      <c r="T244" s="69" t="n">
        <f aca="false">S244+T195</f>
        <v>-819379.616377916</v>
      </c>
      <c r="U244" s="69" t="n">
        <f aca="false">T244+U195</f>
        <v>-825197.760516647</v>
      </c>
      <c r="V244" s="69" t="n">
        <f aca="false">U244+V195</f>
        <v>-829205.641414998</v>
      </c>
      <c r="W244" s="69" t="n">
        <f aca="false">V244+W195</f>
        <v>-831468.586269249</v>
      </c>
      <c r="X244" s="69" t="n">
        <f aca="false">W244+X195</f>
        <v>-832049.309187833</v>
      </c>
      <c r="Y244" s="69" t="n">
        <f aca="false">X244+Y195</f>
        <v>-831008.015714841</v>
      </c>
      <c r="Z244" s="69" t="n">
        <f aca="false">Y244+Z195</f>
        <v>-844797.509981795</v>
      </c>
      <c r="AA244" s="69" t="n">
        <f aca="false">Z244+AA195</f>
        <v>-853462.45560412</v>
      </c>
      <c r="AB244" s="69" t="n">
        <f aca="false">AA244+AB195</f>
        <v>-860799.5242457</v>
      </c>
      <c r="AC244" s="69" t="n">
        <f aca="false">AB244+AC195</f>
        <v>-849751.533920789</v>
      </c>
      <c r="AD244" s="69" t="n">
        <f aca="false">AC244+AD195</f>
        <v>-837173.059935182</v>
      </c>
      <c r="AE244" s="69" t="n">
        <f aca="false">AD244+AE195</f>
        <v>-823118.238301974</v>
      </c>
      <c r="AF244" s="69" t="n">
        <f aca="false">AE244+AF195</f>
        <v>-807639.039593734</v>
      </c>
      <c r="AG244" s="69" t="n">
        <f aca="false">AF244+AG195</f>
        <v>-790785.355560132</v>
      </c>
      <c r="AH244" s="69" t="n">
        <f aca="false">AG244+AH195</f>
        <v>-772605.082280848</v>
      </c>
      <c r="AI244" s="69" t="n">
        <f aca="false">AH244+AI195</f>
        <v>-753144.199992375</v>
      </c>
      <c r="AJ244" s="69" t="n">
        <f aca="false">AI244+AJ195</f>
        <v>-732446.84972175</v>
      </c>
      <c r="AK244" s="69" t="n">
        <f aca="false">AJ244+AK195</f>
        <v>-710555.406854923</v>
      </c>
      <c r="AL244" s="69" t="n">
        <f aca="false">AK244+AL195</f>
        <v>-704179.027993512</v>
      </c>
    </row>
    <row r="245" customFormat="false" ht="15" hidden="false" customHeight="false" outlineLevel="0" collapsed="false">
      <c r="A245" s="4" t="s">
        <v>93</v>
      </c>
      <c r="C245" s="75" t="n">
        <f aca="false">C231+C217+C218+C208</f>
        <v>5002277.15386248</v>
      </c>
      <c r="D245" s="75" t="n">
        <f aca="false">D231+D217+D218+D208</f>
        <v>4881113.96244311</v>
      </c>
      <c r="E245" s="75" t="n">
        <f aca="false">E231+E217+E218+E208</f>
        <v>4776797.52273048</v>
      </c>
      <c r="F245" s="75" t="n">
        <f aca="false">F231+F217+F218+F208</f>
        <v>4678478.11854842</v>
      </c>
      <c r="G245" s="75" t="n">
        <f aca="false">G231+G217+G218+G208</f>
        <v>4587478.59368555</v>
      </c>
      <c r="H245" s="75" t="n">
        <f aca="false">H231+H217+H218+H208</f>
        <v>4503920.70230666</v>
      </c>
      <c r="I245" s="75" t="n">
        <f aca="false">I231+I217+I218+I208</f>
        <v>4427921.32840999</v>
      </c>
      <c r="J245" s="75" t="n">
        <f aca="false">J231+J217+J218+J208</f>
        <v>4359592.68063381</v>
      </c>
      <c r="K245" s="75" t="n">
        <f aca="false">K231+K217+K218+K208</f>
        <v>4299042.4792709</v>
      </c>
      <c r="L245" s="75" t="n">
        <f aca="false">L231+L217+L218+L208</f>
        <v>4246374.13580229</v>
      </c>
      <c r="M245" s="75" t="n">
        <f aca="false">M231+M217+M218+M208</f>
        <v>4195410.41624094</v>
      </c>
      <c r="N245" s="75" t="n">
        <f aca="false">N231+N217+N218+N208</f>
        <v>4127615.37778011</v>
      </c>
      <c r="O245" s="75" t="n">
        <f aca="false">O231+O217+O218+O208</f>
        <v>4068769.3510266</v>
      </c>
      <c r="P245" s="75" t="n">
        <f aca="false">P231+P217+P218+P208</f>
        <v>4011326.69371395</v>
      </c>
      <c r="Q245" s="75" t="n">
        <f aca="false">Q231+Q217+Q218+Q208</f>
        <v>3975731.76948336</v>
      </c>
      <c r="R245" s="75" t="n">
        <f aca="false">R231+R217+R218+R208</f>
        <v>3939389.24312113</v>
      </c>
      <c r="S245" s="75" t="n">
        <f aca="false">S231+S217+S218+S208</f>
        <v>3905056.70528822</v>
      </c>
      <c r="T245" s="75" t="n">
        <f aca="false">T231+T217+T218+T208</f>
        <v>3872660.83977679</v>
      </c>
      <c r="U245" s="75" t="n">
        <f aca="false">U231+U217+U218+U208</f>
        <v>3842131.26302732</v>
      </c>
      <c r="V245" s="75" t="n">
        <f aca="false">V231+V217+V218+V208</f>
        <v>3813400.40682265</v>
      </c>
      <c r="W245" s="75" t="n">
        <f aca="false">W231+W217+W218+W208</f>
        <v>3786403.40567434</v>
      </c>
      <c r="X245" s="75" t="n">
        <f aca="false">X231+X217+X218+X208</f>
        <v>3761077.98871346</v>
      </c>
      <c r="Y245" s="75" t="n">
        <f aca="false">Y231+Y217+Y218+Y208</f>
        <v>3737364.37590584</v>
      </c>
      <c r="Z245" s="75" t="n">
        <f aca="false">Z231+Z217+Z218+Z208</f>
        <v>3695466.80859697</v>
      </c>
      <c r="AA245" s="75" t="n">
        <f aca="false">AA231+AA217+AA218+AA208</f>
        <v>3662652.2603911</v>
      </c>
      <c r="AB245" s="75" t="n">
        <f aca="false">AB231+AB217+AB218+AB208</f>
        <v>3630473.7558912</v>
      </c>
      <c r="AC245" s="75" t="n">
        <f aca="false">AC231+AC217+AC218+AC208</f>
        <v>3620267.42525449</v>
      </c>
      <c r="AD245" s="75" t="n">
        <f aca="false">AD231+AD217+AD218+AD208</f>
        <v>3608077.87775523</v>
      </c>
      <c r="AE245" s="75" t="n">
        <f aca="false">AE231+AE217+AE218+AE208</f>
        <v>3597355.39876297</v>
      </c>
      <c r="AF245" s="75" t="n">
        <f aca="false">AF231+AF217+AF218+AF208</f>
        <v>3588048.38887076</v>
      </c>
      <c r="AG245" s="75" t="n">
        <f aca="false">AG231+AG217+AG218+AG208</f>
        <v>3580107.31264793</v>
      </c>
      <c r="AH245" s="75" t="n">
        <f aca="false">AH231+AH217+AH218+AH208</f>
        <v>3573484.61608104</v>
      </c>
      <c r="AI245" s="75" t="n">
        <f aca="false">AI231+AI217+AI218+AI208</f>
        <v>3568134.64731718</v>
      </c>
      <c r="AJ245" s="75" t="n">
        <f aca="false">AJ231+AJ217+AJ218+AJ208</f>
        <v>3564013.58057757</v>
      </c>
      <c r="AK245" s="75" t="n">
        <f aca="false">AK231+AK217+AK218+AK208</f>
        <v>3561079.34311457</v>
      </c>
      <c r="AL245" s="75" t="n">
        <f aca="false">AL231+AL217+AL218+AL208</f>
        <v>3538739.78639662</v>
      </c>
    </row>
    <row r="246" customFormat="false" ht="15" hidden="false" customHeight="false" outlineLevel="0" collapsed="false">
      <c r="A246" s="6" t="s">
        <v>96</v>
      </c>
      <c r="C246" s="69" t="n">
        <f aca="false">C219+C214</f>
        <v>3004714.63049727</v>
      </c>
      <c r="D246" s="69" t="n">
        <f aca="false">D219+D214</f>
        <v>2980354.29920421</v>
      </c>
      <c r="E246" s="69" t="n">
        <f aca="false">E219+E214</f>
        <v>2957384.55683798</v>
      </c>
      <c r="F246" s="69" t="n">
        <f aca="false">F219+F214</f>
        <v>2933241.13125426</v>
      </c>
      <c r="G246" s="69" t="n">
        <f aca="false">G219+G214</f>
        <v>2909119.14565402</v>
      </c>
      <c r="H246" s="69" t="n">
        <f aca="false">H219+H214</f>
        <v>2885017.74243793</v>
      </c>
      <c r="I246" s="69" t="n">
        <f aca="false">I219+I214</f>
        <v>2860936.09831061</v>
      </c>
      <c r="J246" s="69" t="n">
        <f aca="false">J219+J214</f>
        <v>2836873.42290852</v>
      </c>
      <c r="K246" s="69" t="n">
        <f aca="false">K219+K214</f>
        <v>2812828.95748264</v>
      </c>
      <c r="L246" s="69" t="n">
        <f aca="false">L219+L214</f>
        <v>2788801.97363394</v>
      </c>
      <c r="M246" s="69" t="n">
        <f aca="false">M219+M214</f>
        <v>2764161.39767258</v>
      </c>
      <c r="N246" s="69" t="n">
        <f aca="false">N219+N214</f>
        <v>2736847.71005041</v>
      </c>
      <c r="O246" s="69" t="n">
        <f aca="false">O219+O214</f>
        <v>2712679.72738922</v>
      </c>
      <c r="P246" s="69" t="n">
        <f aca="false">P219+P214</f>
        <v>2687926.87338253</v>
      </c>
      <c r="Q246" s="69" t="n">
        <f aca="false">Q219+Q214</f>
        <v>2666100.58732504</v>
      </c>
      <c r="R246" s="69" t="n">
        <f aca="false">R219+R214</f>
        <v>2641426.74946748</v>
      </c>
      <c r="S246" s="69" t="n">
        <f aca="false">S219+S214</f>
        <v>2616739.86512423</v>
      </c>
      <c r="T246" s="69" t="n">
        <f aca="false">T219+T214</f>
        <v>2592040.45615471</v>
      </c>
      <c r="U246" s="69" t="n">
        <f aca="false">U219+U214</f>
        <v>2567329.02354396</v>
      </c>
      <c r="V246" s="69" t="n">
        <f aca="false">V219+V214</f>
        <v>2542606.04823765</v>
      </c>
      <c r="W246" s="69" t="n">
        <f aca="false">W219+W214</f>
        <v>2517871.99194359</v>
      </c>
      <c r="X246" s="69" t="n">
        <f aca="false">X219+X214</f>
        <v>2493127.29790129</v>
      </c>
      <c r="Y246" s="69" t="n">
        <f aca="false">Y219+Y214</f>
        <v>2468372.39162069</v>
      </c>
      <c r="Z246" s="69" t="n">
        <f aca="false">Z219+Z214</f>
        <v>2440264.31857876</v>
      </c>
      <c r="AA246" s="69" t="n">
        <f aca="false">AA219+AA214</f>
        <v>2416114.71599522</v>
      </c>
      <c r="AB246" s="69" t="n">
        <f aca="false">AB219+AB214</f>
        <v>2391273.2801369</v>
      </c>
      <c r="AC246" s="69" t="n">
        <f aca="false">AC219+AC214</f>
        <v>2370018.95917528</v>
      </c>
      <c r="AD246" s="69" t="n">
        <f aca="false">AD219+AD214</f>
        <v>2345250.93769041</v>
      </c>
      <c r="AE246" s="69" t="n">
        <f aca="false">AE219+AE214</f>
        <v>2320473.63706494</v>
      </c>
      <c r="AF246" s="69" t="n">
        <f aca="false">AF219+AF214</f>
        <v>2295687.42846449</v>
      </c>
      <c r="AG246" s="69" t="n">
        <f aca="false">AG219+AG214</f>
        <v>2270892.66820806</v>
      </c>
      <c r="AH246" s="69" t="n">
        <f aca="false">AH219+AH214</f>
        <v>2246089.69836188</v>
      </c>
      <c r="AI246" s="69" t="n">
        <f aca="false">AI219+AI214</f>
        <v>2221278.84730955</v>
      </c>
      <c r="AJ246" s="69" t="n">
        <f aca="false">AJ219+AJ214</f>
        <v>2196460.43029932</v>
      </c>
      <c r="AK246" s="69" t="n">
        <f aca="false">AK219+AK214</f>
        <v>2171634.74996949</v>
      </c>
      <c r="AL246" s="69" t="n">
        <f aca="false">AL219+AL214</f>
        <v>2142918.81439013</v>
      </c>
    </row>
    <row r="247" customFormat="false" ht="15" hidden="false" customHeight="false" outlineLevel="0" collapsed="false">
      <c r="A247" s="6" t="s">
        <v>99</v>
      </c>
      <c r="C247" s="69" t="n">
        <f aca="false">C243+C244</f>
        <v>1997562.52336521</v>
      </c>
      <c r="D247" s="69" t="n">
        <f aca="false">D243+D244</f>
        <v>1900759.66323889</v>
      </c>
      <c r="E247" s="69" t="n">
        <f aca="false">E243+E244</f>
        <v>1819412.96589251</v>
      </c>
      <c r="F247" s="69" t="n">
        <f aca="false">F243+F244</f>
        <v>1745236.98729417</v>
      </c>
      <c r="G247" s="69" t="n">
        <f aca="false">G243+G244</f>
        <v>1678359.44803153</v>
      </c>
      <c r="H247" s="69" t="n">
        <f aca="false">H243+H244</f>
        <v>1618902.95986874</v>
      </c>
      <c r="I247" s="69" t="n">
        <f aca="false">I243+I244</f>
        <v>1566985.23009938</v>
      </c>
      <c r="J247" s="69" t="n">
        <f aca="false">J243+J244</f>
        <v>1522719.2577253</v>
      </c>
      <c r="K247" s="69" t="n">
        <f aca="false">K243+K244</f>
        <v>1486213.52178826</v>
      </c>
      <c r="L247" s="69" t="n">
        <f aca="false">L243+L244</f>
        <v>1457572.16216835</v>
      </c>
      <c r="M247" s="69" t="n">
        <f aca="false">M243+M244</f>
        <v>1431249.01856836</v>
      </c>
      <c r="N247" s="69" t="n">
        <f aca="false">N243+N244</f>
        <v>1390767.66772971</v>
      </c>
      <c r="O247" s="69" t="n">
        <f aca="false">O243+O244</f>
        <v>1356089.62363738</v>
      </c>
      <c r="P247" s="69" t="n">
        <f aca="false">P243+P244</f>
        <v>1323399.82033142</v>
      </c>
      <c r="Q247" s="69" t="n">
        <f aca="false">Q243+Q244</f>
        <v>1309631.18215832</v>
      </c>
      <c r="R247" s="69" t="n">
        <f aca="false">R243+R244</f>
        <v>1297962.49365365</v>
      </c>
      <c r="S247" s="69" t="n">
        <f aca="false">S243+S244</f>
        <v>1288316.84016399</v>
      </c>
      <c r="T247" s="69" t="n">
        <f aca="false">T243+T244</f>
        <v>1280620.38362208</v>
      </c>
      <c r="U247" s="69" t="n">
        <f aca="false">U243+U244</f>
        <v>1274802.23948335</v>
      </c>
      <c r="V247" s="69" t="n">
        <f aca="false">V243+V244</f>
        <v>1270794.358585</v>
      </c>
      <c r="W247" s="69" t="n">
        <f aca="false">W243+W244</f>
        <v>1268531.41373075</v>
      </c>
      <c r="X247" s="69" t="n">
        <f aca="false">X243+X244</f>
        <v>1267950.69081217</v>
      </c>
      <c r="Y247" s="69" t="n">
        <f aca="false">Y243+Y244</f>
        <v>1268991.98428516</v>
      </c>
      <c r="Z247" s="69" t="n">
        <f aca="false">Z243+Z244</f>
        <v>1255202.4900182</v>
      </c>
      <c r="AA247" s="69" t="n">
        <f aca="false">AA243+AA244</f>
        <v>1246537.54439588</v>
      </c>
      <c r="AB247" s="69" t="n">
        <f aca="false">AB243+AB244</f>
        <v>1239200.4757543</v>
      </c>
      <c r="AC247" s="69" t="n">
        <f aca="false">AC243+AC244</f>
        <v>1250248.46607921</v>
      </c>
      <c r="AD247" s="69" t="n">
        <f aca="false">AD243+AD244</f>
        <v>1262826.94006482</v>
      </c>
      <c r="AE247" s="69" t="n">
        <f aca="false">AE243+AE244</f>
        <v>1276881.76169803</v>
      </c>
      <c r="AF247" s="69" t="n">
        <f aca="false">AF243+AF244</f>
        <v>1292360.96040627</v>
      </c>
      <c r="AG247" s="69" t="n">
        <f aca="false">AG243+AG244</f>
        <v>1309214.64443987</v>
      </c>
      <c r="AH247" s="69" t="n">
        <f aca="false">AH243+AH244</f>
        <v>1327394.91771915</v>
      </c>
      <c r="AI247" s="69" t="n">
        <f aca="false">AI243+AI244</f>
        <v>1346855.80000762</v>
      </c>
      <c r="AJ247" s="69" t="n">
        <f aca="false">AJ243+AJ244</f>
        <v>1367553.15027825</v>
      </c>
      <c r="AK247" s="69" t="n">
        <f aca="false">AK243+AK244</f>
        <v>1389444.59314508</v>
      </c>
      <c r="AL247" s="69" t="n">
        <f aca="false">AL243+AL244</f>
        <v>1395820.97200649</v>
      </c>
    </row>
    <row r="248" customFormat="false" ht="15" hidden="false" customHeight="false" outlineLevel="0" collapsed="false">
      <c r="A248" s="4" t="s">
        <v>100</v>
      </c>
      <c r="C248" s="75" t="n">
        <f aca="false">C246+C247</f>
        <v>5002277.15386248</v>
      </c>
      <c r="D248" s="75" t="n">
        <f aca="false">D246+D247</f>
        <v>4881113.9624431</v>
      </c>
      <c r="E248" s="75" t="n">
        <f aca="false">E246+E247</f>
        <v>4776797.52273048</v>
      </c>
      <c r="F248" s="75" t="n">
        <f aca="false">F246+F247</f>
        <v>4678478.11854842</v>
      </c>
      <c r="G248" s="75" t="n">
        <f aca="false">G246+G247</f>
        <v>4587478.59368555</v>
      </c>
      <c r="H248" s="75" t="n">
        <f aca="false">H246+H247</f>
        <v>4503920.70230666</v>
      </c>
      <c r="I248" s="75" t="n">
        <f aca="false">I246+I247</f>
        <v>4427921.32840999</v>
      </c>
      <c r="J248" s="75" t="n">
        <f aca="false">J246+J247</f>
        <v>4359592.68063381</v>
      </c>
      <c r="K248" s="75" t="n">
        <f aca="false">K246+K247</f>
        <v>4299042.4792709</v>
      </c>
      <c r="L248" s="75" t="n">
        <f aca="false">L246+L247</f>
        <v>4246374.13580229</v>
      </c>
      <c r="M248" s="75" t="n">
        <f aca="false">M246+M247</f>
        <v>4195410.41624094</v>
      </c>
      <c r="N248" s="75" t="n">
        <f aca="false">N246+N247</f>
        <v>4127615.37778011</v>
      </c>
      <c r="O248" s="75" t="n">
        <f aca="false">O246+O247</f>
        <v>4068769.3510266</v>
      </c>
      <c r="P248" s="75" t="n">
        <f aca="false">P246+P247</f>
        <v>4011326.69371395</v>
      </c>
      <c r="Q248" s="75" t="n">
        <f aca="false">Q246+Q247</f>
        <v>3975731.76948336</v>
      </c>
      <c r="R248" s="75" t="n">
        <f aca="false">R246+R247</f>
        <v>3939389.24312113</v>
      </c>
      <c r="S248" s="75" t="n">
        <f aca="false">S246+S247</f>
        <v>3905056.70528822</v>
      </c>
      <c r="T248" s="75" t="n">
        <f aca="false">T246+T247</f>
        <v>3872660.83977679</v>
      </c>
      <c r="U248" s="75" t="n">
        <f aca="false">U246+U247</f>
        <v>3842131.26302732</v>
      </c>
      <c r="V248" s="75" t="n">
        <f aca="false">V246+V247</f>
        <v>3813400.40682265</v>
      </c>
      <c r="W248" s="75" t="n">
        <f aca="false">W246+W247</f>
        <v>3786403.40567434</v>
      </c>
      <c r="X248" s="75" t="n">
        <f aca="false">X246+X247</f>
        <v>3761077.98871346</v>
      </c>
      <c r="Y248" s="75" t="n">
        <f aca="false">Y246+Y247</f>
        <v>3737364.37590584</v>
      </c>
      <c r="Z248" s="75" t="n">
        <f aca="false">Z246+Z247</f>
        <v>3695466.80859697</v>
      </c>
      <c r="AA248" s="75" t="n">
        <f aca="false">AA246+AA247</f>
        <v>3662652.2603911</v>
      </c>
      <c r="AB248" s="75" t="n">
        <f aca="false">AB246+AB247</f>
        <v>3630473.7558912</v>
      </c>
      <c r="AC248" s="75" t="n">
        <f aca="false">AC246+AC247</f>
        <v>3620267.42525449</v>
      </c>
      <c r="AD248" s="75" t="n">
        <f aca="false">AD246+AD247</f>
        <v>3608077.87775523</v>
      </c>
      <c r="AE248" s="75" t="n">
        <f aca="false">AE246+AE247</f>
        <v>3597355.39876297</v>
      </c>
      <c r="AF248" s="75" t="n">
        <f aca="false">AF246+AF247</f>
        <v>3588048.38887076</v>
      </c>
      <c r="AG248" s="75" t="n">
        <f aca="false">AG246+AG247</f>
        <v>3580107.31264793</v>
      </c>
      <c r="AH248" s="75" t="n">
        <f aca="false">AH246+AH247</f>
        <v>3573484.61608104</v>
      </c>
      <c r="AI248" s="75" t="n">
        <f aca="false">AI246+AI247</f>
        <v>3568134.64731718</v>
      </c>
      <c r="AJ248" s="75" t="n">
        <f aca="false">AJ246+AJ247</f>
        <v>3564013.58057757</v>
      </c>
      <c r="AK248" s="75" t="n">
        <f aca="false">AK246+AK247</f>
        <v>3561079.34311457</v>
      </c>
      <c r="AL248" s="75" t="n">
        <f aca="false">AL246+AL247</f>
        <v>3538739.78639662</v>
      </c>
    </row>
    <row r="249" customFormat="false" ht="15" hidden="false" customHeight="false" outlineLevel="0" collapsed="false">
      <c r="A249" s="6" t="s">
        <v>445</v>
      </c>
      <c r="C249" s="69" t="n">
        <f aca="false">C245-C248</f>
        <v>0</v>
      </c>
      <c r="D249" s="69" t="n">
        <f aca="false">D245-D248</f>
        <v>0</v>
      </c>
      <c r="E249" s="69" t="n">
        <f aca="false">E245-E248</f>
        <v>0</v>
      </c>
      <c r="F249" s="69" t="n">
        <f aca="false">F245-F248</f>
        <v>0</v>
      </c>
      <c r="G249" s="69" t="n">
        <f aca="false">G245-G248</f>
        <v>0</v>
      </c>
      <c r="H249" s="69" t="n">
        <f aca="false">H245-H248</f>
        <v>0</v>
      </c>
      <c r="I249" s="69" t="n">
        <f aca="false">I245-I248</f>
        <v>0</v>
      </c>
      <c r="J249" s="69" t="n">
        <f aca="false">J245-J248</f>
        <v>0</v>
      </c>
      <c r="K249" s="69" t="n">
        <f aca="false">K245-K248</f>
        <v>0</v>
      </c>
      <c r="L249" s="69" t="n">
        <f aca="false">L245-L248</f>
        <v>0</v>
      </c>
      <c r="M249" s="69" t="n">
        <f aca="false">M245-M248</f>
        <v>0</v>
      </c>
      <c r="N249" s="69" t="n">
        <f aca="false">N245-N248</f>
        <v>0</v>
      </c>
      <c r="O249" s="69" t="n">
        <f aca="false">O245-O248</f>
        <v>0</v>
      </c>
      <c r="P249" s="69" t="n">
        <f aca="false">P245-P248</f>
        <v>0</v>
      </c>
      <c r="Q249" s="69" t="n">
        <f aca="false">Q245-Q248</f>
        <v>0</v>
      </c>
      <c r="R249" s="69" t="n">
        <f aca="false">R245-R248</f>
        <v>0</v>
      </c>
      <c r="S249" s="69" t="n">
        <f aca="false">S245-S248</f>
        <v>0</v>
      </c>
      <c r="T249" s="69" t="n">
        <f aca="false">T245-T248</f>
        <v>0</v>
      </c>
      <c r="U249" s="69" t="n">
        <f aca="false">U245-U248</f>
        <v>0</v>
      </c>
      <c r="V249" s="69" t="n">
        <f aca="false">V245-V248</f>
        <v>0</v>
      </c>
      <c r="W249" s="69" t="n">
        <f aca="false">W245-W248</f>
        <v>0</v>
      </c>
      <c r="X249" s="69" t="n">
        <f aca="false">X245-X248</f>
        <v>0</v>
      </c>
      <c r="Y249" s="69" t="n">
        <f aca="false">Y245-Y248</f>
        <v>0</v>
      </c>
      <c r="Z249" s="69" t="n">
        <f aca="false">Z245-Z248</f>
        <v>0</v>
      </c>
      <c r="AA249" s="69" t="n">
        <f aca="false">AA245-AA248</f>
        <v>0</v>
      </c>
      <c r="AB249" s="69" t="n">
        <f aca="false">AB245-AB248</f>
        <v>0</v>
      </c>
      <c r="AC249" s="69" t="n">
        <f aca="false">AC245-AC248</f>
        <v>0</v>
      </c>
      <c r="AD249" s="69" t="n">
        <f aca="false">AD245-AD248</f>
        <v>0</v>
      </c>
      <c r="AE249" s="69" t="n">
        <f aca="false">AE245-AE248</f>
        <v>0</v>
      </c>
      <c r="AF249" s="69" t="n">
        <f aca="false">AF245-AF248</f>
        <v>0</v>
      </c>
      <c r="AG249" s="69" t="n">
        <f aca="false">AG245-AG248</f>
        <v>0</v>
      </c>
      <c r="AH249" s="69" t="n">
        <f aca="false">AH245-AH248</f>
        <v>0</v>
      </c>
      <c r="AI249" s="69" t="n">
        <f aca="false">AI245-AI248</f>
        <v>0</v>
      </c>
      <c r="AJ249" s="69" t="n">
        <f aca="false">AJ245-AJ248</f>
        <v>0</v>
      </c>
      <c r="AK249" s="69" t="n">
        <f aca="false">AK245-AK248</f>
        <v>0</v>
      </c>
      <c r="AL249" s="69" t="n">
        <f aca="false">AL245-AL248</f>
        <v>0</v>
      </c>
    </row>
    <row r="251" customFormat="false" ht="15.75" hidden="false" customHeight="true" outlineLevel="0" collapsed="false">
      <c r="A251" s="7" t="s">
        <v>447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customFormat="false" ht="15" hidden="false" customHeight="false" outlineLevel="0" collapsed="false">
      <c r="A252" s="6" t="s">
        <v>448</v>
      </c>
      <c r="C252" s="117" t="n">
        <f aca="false">Inputs!$C$57*(1+Inputs!$C$59)^(C$136-1)*MAX(0,MIN(1,C$135*1-Inputs!$C$60+1))/1</f>
        <v>1</v>
      </c>
      <c r="D252" s="117" t="n">
        <f aca="false">Inputs!$C$57*(1+Inputs!$C$59)^(D$136-1)*MAX(0,MIN(1,D$135*1-Inputs!$C$60+1))/1</f>
        <v>1</v>
      </c>
      <c r="E252" s="117" t="n">
        <f aca="false">Inputs!$C$57*(1+Inputs!$C$59)^(E$136-1)*MAX(0,MIN(1,E$135*1-Inputs!$C$60+1))/1</f>
        <v>1</v>
      </c>
      <c r="F252" s="117" t="n">
        <f aca="false">Inputs!$C$57*(1+Inputs!$C$59)^(F$136-1)*MAX(0,MIN(1,F$135*1-Inputs!$C$60+1))/1</f>
        <v>1</v>
      </c>
      <c r="G252" s="117" t="n">
        <f aca="false">Inputs!$C$57*(1+Inputs!$C$59)^(G$136-1)*MAX(0,MIN(1,G$135*1-Inputs!$C$60+1))/1</f>
        <v>1</v>
      </c>
      <c r="H252" s="117" t="n">
        <f aca="false">Inputs!$C$57*(1+Inputs!$C$59)^(H$136-1)*MAX(0,MIN(1,H$135*1-Inputs!$C$60+1))/1</f>
        <v>1</v>
      </c>
      <c r="I252" s="117" t="n">
        <f aca="false">Inputs!$C$57*(1+Inputs!$C$59)^(I$136-1)*MAX(0,MIN(1,I$135*1-Inputs!$C$60+1))/1</f>
        <v>1</v>
      </c>
      <c r="J252" s="117" t="n">
        <f aca="false">Inputs!$C$57*(1+Inputs!$C$59)^(J$136-1)*MAX(0,MIN(1,J$135*1-Inputs!$C$60+1))/1</f>
        <v>1</v>
      </c>
      <c r="K252" s="117" t="n">
        <f aca="false">Inputs!$C$57*(1+Inputs!$C$59)^(K$136-1)*MAX(0,MIN(1,K$135*1-Inputs!$C$60+1))/1</f>
        <v>1</v>
      </c>
      <c r="L252" s="117" t="n">
        <f aca="false">Inputs!$C$57*(1+Inputs!$C$59)^(L$136-1)*MAX(0,MIN(1,L$135*1-Inputs!$C$60+1))/1</f>
        <v>1</v>
      </c>
      <c r="M252" s="117" t="n">
        <f aca="false">Inputs!$C$57*(1+Inputs!$C$59)^(M$136-1)*MAX(0,MIN(1,M$135*1-Inputs!$C$60+1))/1</f>
        <v>1</v>
      </c>
      <c r="N252" s="117" t="n">
        <f aca="false">Inputs!$C$57*(1+Inputs!$C$59)^(N$136-1)*MAX(0,MIN(1,N$135*1-Inputs!$C$60+1))/1</f>
        <v>1</v>
      </c>
      <c r="O252" s="117" t="n">
        <f aca="false">Inputs!$C$57*(1+Inputs!$C$59)^(O$136-1)*MAX(0,MIN(1,O$135*1-Inputs!$C$60+1))/1</f>
        <v>1</v>
      </c>
      <c r="P252" s="117" t="n">
        <f aca="false">Inputs!$C$57*(1+Inputs!$C$59)^(P$136-1)*MAX(0,MIN(1,P$135*1-Inputs!$C$60+1))/1</f>
        <v>1</v>
      </c>
      <c r="Q252" s="117" t="n">
        <f aca="false">Inputs!$C$57*(1+Inputs!$C$59)^(Q$136-1)*MAX(0,MIN(1,Q$135*1-Inputs!$C$60+1))/1</f>
        <v>1</v>
      </c>
      <c r="R252" s="117" t="n">
        <f aca="false">Inputs!$C$57*(1+Inputs!$C$59)^(R$136-1)*MAX(0,MIN(1,R$135*1-Inputs!$C$60+1))/1</f>
        <v>1</v>
      </c>
      <c r="S252" s="117" t="n">
        <f aca="false">Inputs!$C$57*(1+Inputs!$C$59)^(S$136-1)*MAX(0,MIN(1,S$135*1-Inputs!$C$60+1))/1</f>
        <v>1</v>
      </c>
      <c r="T252" s="117" t="n">
        <f aca="false">Inputs!$C$57*(1+Inputs!$C$59)^(T$136-1)*MAX(0,MIN(1,T$135*1-Inputs!$C$60+1))/1</f>
        <v>1</v>
      </c>
      <c r="U252" s="117" t="n">
        <f aca="false">Inputs!$C$57*(1+Inputs!$C$59)^(U$136-1)*MAX(0,MIN(1,U$135*1-Inputs!$C$60+1))/1</f>
        <v>1</v>
      </c>
      <c r="V252" s="117" t="n">
        <f aca="false">Inputs!$C$57*(1+Inputs!$C$59)^(V$136-1)*MAX(0,MIN(1,V$135*1-Inputs!$C$60+1))/1</f>
        <v>1</v>
      </c>
      <c r="W252" s="117" t="n">
        <f aca="false">Inputs!$C$57*(1+Inputs!$C$59)^(W$136-1)*MAX(0,MIN(1,W$135*1-Inputs!$C$60+1))/1</f>
        <v>1</v>
      </c>
      <c r="X252" s="117" t="n">
        <f aca="false">Inputs!$C$57*(1+Inputs!$C$59)^(X$136-1)*MAX(0,MIN(1,X$135*1-Inputs!$C$60+1))/1</f>
        <v>1</v>
      </c>
      <c r="Y252" s="117" t="n">
        <f aca="false">Inputs!$C$57*(1+Inputs!$C$59)^(Y$136-1)*MAX(0,MIN(1,Y$135*1-Inputs!$C$60+1))/1</f>
        <v>1</v>
      </c>
      <c r="Z252" s="117" t="n">
        <f aca="false">Inputs!$C$57*(1+Inputs!$C$59)^(Z$136-1)*MAX(0,MIN(1,Z$135*1-Inputs!$C$60+1))/1</f>
        <v>1</v>
      </c>
      <c r="AA252" s="117" t="n">
        <f aca="false">Inputs!$C$57*(1+Inputs!$C$59)^(AA$136-1)*MAX(0,MIN(1,AA$135*1-Inputs!$C$60+1))/1</f>
        <v>1</v>
      </c>
      <c r="AB252" s="117" t="n">
        <f aca="false">Inputs!$C$57*(1+Inputs!$C$59)^(AB$136-1)*MAX(0,MIN(1,AB$135*1-Inputs!$C$60+1))/1</f>
        <v>1</v>
      </c>
      <c r="AC252" s="117" t="n">
        <f aca="false">Inputs!$C$57*(1+Inputs!$C$59)^(AC$136-1)*MAX(0,MIN(1,AC$135*1-Inputs!$C$60+1))/1</f>
        <v>1</v>
      </c>
      <c r="AD252" s="117" t="n">
        <f aca="false">Inputs!$C$57*(1+Inputs!$C$59)^(AD$136-1)*MAX(0,MIN(1,AD$135*1-Inputs!$C$60+1))/1</f>
        <v>1</v>
      </c>
      <c r="AE252" s="117" t="n">
        <f aca="false">Inputs!$C$57*(1+Inputs!$C$59)^(AE$136-1)*MAX(0,MIN(1,AE$135*1-Inputs!$C$60+1))/1</f>
        <v>1</v>
      </c>
      <c r="AF252" s="117" t="n">
        <f aca="false">Inputs!$C$57*(1+Inputs!$C$59)^(AF$136-1)*MAX(0,MIN(1,AF$135*1-Inputs!$C$60+1))/1</f>
        <v>1</v>
      </c>
      <c r="AG252" s="117" t="n">
        <f aca="false">Inputs!$C$57*(1+Inputs!$C$59)^(AG$136-1)*MAX(0,MIN(1,AG$135*1-Inputs!$C$60+1))/1</f>
        <v>1</v>
      </c>
      <c r="AH252" s="117" t="n">
        <f aca="false">Inputs!$C$57*(1+Inputs!$C$59)^(AH$136-1)*MAX(0,MIN(1,AH$135*1-Inputs!$C$60+1))/1</f>
        <v>1</v>
      </c>
      <c r="AI252" s="117" t="n">
        <f aca="false">Inputs!$C$57*(1+Inputs!$C$59)^(AI$136-1)*MAX(0,MIN(1,AI$135*1-Inputs!$C$60+1))/1</f>
        <v>1</v>
      </c>
      <c r="AJ252" s="117" t="n">
        <f aca="false">Inputs!$C$57*(1+Inputs!$C$59)^(AJ$136-1)*MAX(0,MIN(1,AJ$135*1-Inputs!$C$60+1))/1</f>
        <v>1</v>
      </c>
      <c r="AK252" s="117" t="n">
        <f aca="false">Inputs!$C$57*(1+Inputs!$C$59)^(AK$136-1)*MAX(0,MIN(1,AK$135*1-Inputs!$C$60+1))/1</f>
        <v>1</v>
      </c>
      <c r="AL252" s="117" t="n">
        <f aca="false">Inputs!$C$57*(1+Inputs!$C$59)^(AL$136-1)*MAX(0,MIN(1,AL$135*1-Inputs!$C$60+1))/1</f>
        <v>1</v>
      </c>
    </row>
    <row r="253" customFormat="false" ht="15" hidden="false" customHeight="false" outlineLevel="0" collapsed="false">
      <c r="A253" s="6" t="s">
        <v>449</v>
      </c>
      <c r="C253" s="117" t="n">
        <f aca="false">Inputs!$C$61*(1+Inputs!$C$63)^(C$136-1)*MAX(0,MIN(1,C$135*1-Inputs!$C$64+1))/1</f>
        <v>10</v>
      </c>
      <c r="D253" s="117" t="n">
        <f aca="false">Inputs!$C$61*(1+Inputs!$C$63)^(D$136-1)*MAX(0,MIN(1,D$135*1-Inputs!$C$64+1))/1</f>
        <v>10</v>
      </c>
      <c r="E253" s="117" t="n">
        <f aca="false">Inputs!$C$61*(1+Inputs!$C$63)^(E$136-1)*MAX(0,MIN(1,E$135*1-Inputs!$C$64+1))/1</f>
        <v>10</v>
      </c>
      <c r="F253" s="117" t="n">
        <f aca="false">Inputs!$C$61*(1+Inputs!$C$63)^(F$136-1)*MAX(0,MIN(1,F$135*1-Inputs!$C$64+1))/1</f>
        <v>10</v>
      </c>
      <c r="G253" s="117" t="n">
        <f aca="false">Inputs!$C$61*(1+Inputs!$C$63)^(G$136-1)*MAX(0,MIN(1,G$135*1-Inputs!$C$64+1))/1</f>
        <v>10</v>
      </c>
      <c r="H253" s="117" t="n">
        <f aca="false">Inputs!$C$61*(1+Inputs!$C$63)^(H$136-1)*MAX(0,MIN(1,H$135*1-Inputs!$C$64+1))/1</f>
        <v>10</v>
      </c>
      <c r="I253" s="117" t="n">
        <f aca="false">Inputs!$C$61*(1+Inputs!$C$63)^(I$136-1)*MAX(0,MIN(1,I$135*1-Inputs!$C$64+1))/1</f>
        <v>10</v>
      </c>
      <c r="J253" s="117" t="n">
        <f aca="false">Inputs!$C$61*(1+Inputs!$C$63)^(J$136-1)*MAX(0,MIN(1,J$135*1-Inputs!$C$64+1))/1</f>
        <v>10</v>
      </c>
      <c r="K253" s="117" t="n">
        <f aca="false">Inputs!$C$61*(1+Inputs!$C$63)^(K$136-1)*MAX(0,MIN(1,K$135*1-Inputs!$C$64+1))/1</f>
        <v>10</v>
      </c>
      <c r="L253" s="117" t="n">
        <f aca="false">Inputs!$C$61*(1+Inputs!$C$63)^(L$136-1)*MAX(0,MIN(1,L$135*1-Inputs!$C$64+1))/1</f>
        <v>10</v>
      </c>
      <c r="M253" s="117" t="n">
        <f aca="false">Inputs!$C$61*(1+Inputs!$C$63)^(M$136-1)*MAX(0,MIN(1,M$135*1-Inputs!$C$64+1))/1</f>
        <v>10</v>
      </c>
      <c r="N253" s="117" t="n">
        <f aca="false">Inputs!$C$61*(1+Inputs!$C$63)^(N$136-1)*MAX(0,MIN(1,N$135*1-Inputs!$C$64+1))/1</f>
        <v>10</v>
      </c>
      <c r="O253" s="117" t="n">
        <f aca="false">Inputs!$C$61*(1+Inputs!$C$63)^(O$136-1)*MAX(0,MIN(1,O$135*1-Inputs!$C$64+1))/1</f>
        <v>10</v>
      </c>
      <c r="P253" s="117" t="n">
        <f aca="false">Inputs!$C$61*(1+Inputs!$C$63)^(P$136-1)*MAX(0,MIN(1,P$135*1-Inputs!$C$64+1))/1</f>
        <v>10</v>
      </c>
      <c r="Q253" s="117" t="n">
        <f aca="false">Inputs!$C$61*(1+Inputs!$C$63)^(Q$136-1)*MAX(0,MIN(1,Q$135*1-Inputs!$C$64+1))/1</f>
        <v>10</v>
      </c>
      <c r="R253" s="117" t="n">
        <f aca="false">Inputs!$C$61*(1+Inputs!$C$63)^(R$136-1)*MAX(0,MIN(1,R$135*1-Inputs!$C$64+1))/1</f>
        <v>10</v>
      </c>
      <c r="S253" s="117" t="n">
        <f aca="false">Inputs!$C$61*(1+Inputs!$C$63)^(S$136-1)*MAX(0,MIN(1,S$135*1-Inputs!$C$64+1))/1</f>
        <v>10</v>
      </c>
      <c r="T253" s="117" t="n">
        <f aca="false">Inputs!$C$61*(1+Inputs!$C$63)^(T$136-1)*MAX(0,MIN(1,T$135*1-Inputs!$C$64+1))/1</f>
        <v>10</v>
      </c>
      <c r="U253" s="117" t="n">
        <f aca="false">Inputs!$C$61*(1+Inputs!$C$63)^(U$136-1)*MAX(0,MIN(1,U$135*1-Inputs!$C$64+1))/1</f>
        <v>10</v>
      </c>
      <c r="V253" s="117" t="n">
        <f aca="false">Inputs!$C$61*(1+Inputs!$C$63)^(V$136-1)*MAX(0,MIN(1,V$135*1-Inputs!$C$64+1))/1</f>
        <v>10</v>
      </c>
      <c r="W253" s="117" t="n">
        <f aca="false">Inputs!$C$61*(1+Inputs!$C$63)^(W$136-1)*MAX(0,MIN(1,W$135*1-Inputs!$C$64+1))/1</f>
        <v>10</v>
      </c>
      <c r="X253" s="117" t="n">
        <f aca="false">Inputs!$C$61*(1+Inputs!$C$63)^(X$136-1)*MAX(0,MIN(1,X$135*1-Inputs!$C$64+1))/1</f>
        <v>10</v>
      </c>
      <c r="Y253" s="117" t="n">
        <f aca="false">Inputs!$C$61*(1+Inputs!$C$63)^(Y$136-1)*MAX(0,MIN(1,Y$135*1-Inputs!$C$64+1))/1</f>
        <v>10</v>
      </c>
      <c r="Z253" s="117" t="n">
        <f aca="false">Inputs!$C$61*(1+Inputs!$C$63)^(Z$136-1)*MAX(0,MIN(1,Z$135*1-Inputs!$C$64+1))/1</f>
        <v>10</v>
      </c>
      <c r="AA253" s="117" t="n">
        <f aca="false">Inputs!$C$61*(1+Inputs!$C$63)^(AA$136-1)*MAX(0,MIN(1,AA$135*1-Inputs!$C$64+1))/1</f>
        <v>10</v>
      </c>
      <c r="AB253" s="117" t="n">
        <f aca="false">Inputs!$C$61*(1+Inputs!$C$63)^(AB$136-1)*MAX(0,MIN(1,AB$135*1-Inputs!$C$64+1))/1</f>
        <v>10</v>
      </c>
      <c r="AC253" s="117" t="n">
        <f aca="false">Inputs!$C$61*(1+Inputs!$C$63)^(AC$136-1)*MAX(0,MIN(1,AC$135*1-Inputs!$C$64+1))/1</f>
        <v>10</v>
      </c>
      <c r="AD253" s="117" t="n">
        <f aca="false">Inputs!$C$61*(1+Inputs!$C$63)^(AD$136-1)*MAX(0,MIN(1,AD$135*1-Inputs!$C$64+1))/1</f>
        <v>10</v>
      </c>
      <c r="AE253" s="117" t="n">
        <f aca="false">Inputs!$C$61*(1+Inputs!$C$63)^(AE$136-1)*MAX(0,MIN(1,AE$135*1-Inputs!$C$64+1))/1</f>
        <v>10</v>
      </c>
      <c r="AF253" s="117" t="n">
        <f aca="false">Inputs!$C$61*(1+Inputs!$C$63)^(AF$136-1)*MAX(0,MIN(1,AF$135*1-Inputs!$C$64+1))/1</f>
        <v>10</v>
      </c>
      <c r="AG253" s="117" t="n">
        <f aca="false">Inputs!$C$61*(1+Inputs!$C$63)^(AG$136-1)*MAX(0,MIN(1,AG$135*1-Inputs!$C$64+1))/1</f>
        <v>10</v>
      </c>
      <c r="AH253" s="117" t="n">
        <f aca="false">Inputs!$C$61*(1+Inputs!$C$63)^(AH$136-1)*MAX(0,MIN(1,AH$135*1-Inputs!$C$64+1))/1</f>
        <v>10</v>
      </c>
      <c r="AI253" s="117" t="n">
        <f aca="false">Inputs!$C$61*(1+Inputs!$C$63)^(AI$136-1)*MAX(0,MIN(1,AI$135*1-Inputs!$C$64+1))/1</f>
        <v>10</v>
      </c>
      <c r="AJ253" s="117" t="n">
        <f aca="false">Inputs!$C$61*(1+Inputs!$C$63)^(AJ$136-1)*MAX(0,MIN(1,AJ$135*1-Inputs!$C$64+1))/1</f>
        <v>10</v>
      </c>
      <c r="AK253" s="117" t="n">
        <f aca="false">Inputs!$C$61*(1+Inputs!$C$63)^(AK$136-1)*MAX(0,MIN(1,AK$135*1-Inputs!$C$64+1))/1</f>
        <v>10</v>
      </c>
      <c r="AL253" s="117" t="n">
        <f aca="false">Inputs!$C$61*(1+Inputs!$C$63)^(AL$136-1)*MAX(0,MIN(1,AL$135*1-Inputs!$C$64+1))/1</f>
        <v>10</v>
      </c>
    </row>
    <row r="254" customFormat="false" ht="15" hidden="false" customHeight="false" outlineLevel="0" collapsed="false">
      <c r="A254" s="113" t="s">
        <v>450</v>
      </c>
      <c r="C254" s="123" t="n">
        <f aca="false">C252+C253</f>
        <v>11</v>
      </c>
      <c r="D254" s="123" t="n">
        <f aca="false">D252+D253</f>
        <v>11</v>
      </c>
      <c r="E254" s="123" t="n">
        <f aca="false">E252+E253</f>
        <v>11</v>
      </c>
      <c r="F254" s="123" t="n">
        <f aca="false">F252+F253</f>
        <v>11</v>
      </c>
      <c r="G254" s="123" t="n">
        <f aca="false">G252+G253</f>
        <v>11</v>
      </c>
      <c r="H254" s="123" t="n">
        <f aca="false">H252+H253</f>
        <v>11</v>
      </c>
      <c r="I254" s="123" t="n">
        <f aca="false">I252+I253</f>
        <v>11</v>
      </c>
      <c r="J254" s="123" t="n">
        <f aca="false">J252+J253</f>
        <v>11</v>
      </c>
      <c r="K254" s="123" t="n">
        <f aca="false">K252+K253</f>
        <v>11</v>
      </c>
      <c r="L254" s="123" t="n">
        <f aca="false">L252+L253</f>
        <v>11</v>
      </c>
      <c r="M254" s="123" t="n">
        <f aca="false">M252+M253</f>
        <v>11</v>
      </c>
      <c r="N254" s="123" t="n">
        <f aca="false">N252+N253</f>
        <v>11</v>
      </c>
      <c r="O254" s="123" t="n">
        <f aca="false">O252+O253</f>
        <v>11</v>
      </c>
      <c r="P254" s="123" t="n">
        <f aca="false">P252+P253</f>
        <v>11</v>
      </c>
      <c r="Q254" s="123" t="n">
        <f aca="false">Q252+Q253</f>
        <v>11</v>
      </c>
      <c r="R254" s="123" t="n">
        <f aca="false">R252+R253</f>
        <v>11</v>
      </c>
      <c r="S254" s="123" t="n">
        <f aca="false">S252+S253</f>
        <v>11</v>
      </c>
      <c r="T254" s="123" t="n">
        <f aca="false">T252+T253</f>
        <v>11</v>
      </c>
      <c r="U254" s="123" t="n">
        <f aca="false">U252+U253</f>
        <v>11</v>
      </c>
      <c r="V254" s="123" t="n">
        <f aca="false">V252+V253</f>
        <v>11</v>
      </c>
      <c r="W254" s="123" t="n">
        <f aca="false">W252+W253</f>
        <v>11</v>
      </c>
      <c r="X254" s="123" t="n">
        <f aca="false">X252+X253</f>
        <v>11</v>
      </c>
      <c r="Y254" s="123" t="n">
        <f aca="false">Y252+Y253</f>
        <v>11</v>
      </c>
      <c r="Z254" s="123" t="n">
        <f aca="false">Z252+Z253</f>
        <v>11</v>
      </c>
      <c r="AA254" s="123" t="n">
        <f aca="false">AA252+AA253</f>
        <v>11</v>
      </c>
      <c r="AB254" s="123" t="n">
        <f aca="false">AB252+AB253</f>
        <v>11</v>
      </c>
      <c r="AC254" s="123" t="n">
        <f aca="false">AC252+AC253</f>
        <v>11</v>
      </c>
      <c r="AD254" s="123" t="n">
        <f aca="false">AD252+AD253</f>
        <v>11</v>
      </c>
      <c r="AE254" s="123" t="n">
        <f aca="false">AE252+AE253</f>
        <v>11</v>
      </c>
      <c r="AF254" s="123" t="n">
        <f aca="false">AF252+AF253</f>
        <v>11</v>
      </c>
      <c r="AG254" s="123" t="n">
        <f aca="false">AG252+AG253</f>
        <v>11</v>
      </c>
      <c r="AH254" s="123" t="n">
        <f aca="false">AH252+AH253</f>
        <v>11</v>
      </c>
      <c r="AI254" s="123" t="n">
        <f aca="false">AI252+AI253</f>
        <v>11</v>
      </c>
      <c r="AJ254" s="123" t="n">
        <f aca="false">AJ252+AJ253</f>
        <v>11</v>
      </c>
      <c r="AK254" s="123" t="n">
        <f aca="false">AK252+AK253</f>
        <v>11</v>
      </c>
      <c r="AL254" s="123" t="n">
        <f aca="false">AL252+AL253</f>
        <v>11</v>
      </c>
    </row>
    <row r="256" customFormat="false" ht="15.75" hidden="false" customHeight="true" outlineLevel="0" collapsed="false">
      <c r="A256" s="7" t="s">
        <v>451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customFormat="false" ht="15" hidden="false" customHeight="false" outlineLevel="0" collapsed="false">
      <c r="A257" s="6" t="s">
        <v>452</v>
      </c>
      <c r="C257" s="69" t="n">
        <f aca="false">-C252*Inputs!$C$58/12*1*(1+Inputs!$C$65)*(1+Inputs!$C$66)^(C$136-1)</f>
        <v>-6720</v>
      </c>
      <c r="D257" s="69" t="n">
        <f aca="false">-D252*Inputs!$C$58/12*1*(1+Inputs!$C$65)*(1+Inputs!$C$66)^(D$136-1)</f>
        <v>-6720</v>
      </c>
      <c r="E257" s="69" t="n">
        <f aca="false">-E252*Inputs!$C$58/12*1*(1+Inputs!$C$65)*(1+Inputs!$C$66)^(E$136-1)</f>
        <v>-6720</v>
      </c>
      <c r="F257" s="69" t="n">
        <f aca="false">-F252*Inputs!$C$58/12*1*(1+Inputs!$C$65)*(1+Inputs!$C$66)^(F$136-1)</f>
        <v>-6720</v>
      </c>
      <c r="G257" s="69" t="n">
        <f aca="false">-G252*Inputs!$C$58/12*1*(1+Inputs!$C$65)*(1+Inputs!$C$66)^(G$136-1)</f>
        <v>-6720</v>
      </c>
      <c r="H257" s="69" t="n">
        <f aca="false">-H252*Inputs!$C$58/12*1*(1+Inputs!$C$65)*(1+Inputs!$C$66)^(H$136-1)</f>
        <v>-6720</v>
      </c>
      <c r="I257" s="69" t="n">
        <f aca="false">-I252*Inputs!$C$58/12*1*(1+Inputs!$C$65)*(1+Inputs!$C$66)^(I$136-1)</f>
        <v>-6720</v>
      </c>
      <c r="J257" s="69" t="n">
        <f aca="false">-J252*Inputs!$C$58/12*1*(1+Inputs!$C$65)*(1+Inputs!$C$66)^(J$136-1)</f>
        <v>-6720</v>
      </c>
      <c r="K257" s="69" t="n">
        <f aca="false">-K252*Inputs!$C$58/12*1*(1+Inputs!$C$65)*(1+Inputs!$C$66)^(K$136-1)</f>
        <v>-6720</v>
      </c>
      <c r="L257" s="69" t="n">
        <f aca="false">-L252*Inputs!$C$58/12*1*(1+Inputs!$C$65)*(1+Inputs!$C$66)^(L$136-1)</f>
        <v>-6720</v>
      </c>
      <c r="M257" s="69" t="n">
        <f aca="false">-M252*Inputs!$C$58/12*1*(1+Inputs!$C$65)*(1+Inputs!$C$66)^(M$136-1)</f>
        <v>-6720</v>
      </c>
      <c r="N257" s="69" t="n">
        <f aca="false">-N252*Inputs!$C$58/12*1*(1+Inputs!$C$65)*(1+Inputs!$C$66)^(N$136-1)</f>
        <v>-6720</v>
      </c>
      <c r="O257" s="69" t="n">
        <f aca="false">-O252*Inputs!$C$58/12*1*(1+Inputs!$C$65)*(1+Inputs!$C$66)^(O$136-1)</f>
        <v>-6921.6</v>
      </c>
      <c r="P257" s="69" t="n">
        <f aca="false">-P252*Inputs!$C$58/12*1*(1+Inputs!$C$65)*(1+Inputs!$C$66)^(P$136-1)</f>
        <v>-6921.6</v>
      </c>
      <c r="Q257" s="69" t="n">
        <f aca="false">-Q252*Inputs!$C$58/12*1*(1+Inputs!$C$65)*(1+Inputs!$C$66)^(Q$136-1)</f>
        <v>-6921.6</v>
      </c>
      <c r="R257" s="69" t="n">
        <f aca="false">-R252*Inputs!$C$58/12*1*(1+Inputs!$C$65)*(1+Inputs!$C$66)^(R$136-1)</f>
        <v>-6921.6</v>
      </c>
      <c r="S257" s="69" t="n">
        <f aca="false">-S252*Inputs!$C$58/12*1*(1+Inputs!$C$65)*(1+Inputs!$C$66)^(S$136-1)</f>
        <v>-6921.6</v>
      </c>
      <c r="T257" s="69" t="n">
        <f aca="false">-T252*Inputs!$C$58/12*1*(1+Inputs!$C$65)*(1+Inputs!$C$66)^(T$136-1)</f>
        <v>-6921.6</v>
      </c>
      <c r="U257" s="69" t="n">
        <f aca="false">-U252*Inputs!$C$58/12*1*(1+Inputs!$C$65)*(1+Inputs!$C$66)^(U$136-1)</f>
        <v>-6921.6</v>
      </c>
      <c r="V257" s="69" t="n">
        <f aca="false">-V252*Inputs!$C$58/12*1*(1+Inputs!$C$65)*(1+Inputs!$C$66)^(V$136-1)</f>
        <v>-6921.6</v>
      </c>
      <c r="W257" s="69" t="n">
        <f aca="false">-W252*Inputs!$C$58/12*1*(1+Inputs!$C$65)*(1+Inputs!$C$66)^(W$136-1)</f>
        <v>-6921.6</v>
      </c>
      <c r="X257" s="69" t="n">
        <f aca="false">-X252*Inputs!$C$58/12*1*(1+Inputs!$C$65)*(1+Inputs!$C$66)^(X$136-1)</f>
        <v>-6921.6</v>
      </c>
      <c r="Y257" s="69" t="n">
        <f aca="false">-Y252*Inputs!$C$58/12*1*(1+Inputs!$C$65)*(1+Inputs!$C$66)^(Y$136-1)</f>
        <v>-6921.6</v>
      </c>
      <c r="Z257" s="69" t="n">
        <f aca="false">-Z252*Inputs!$C$58/12*1*(1+Inputs!$C$65)*(1+Inputs!$C$66)^(Z$136-1)</f>
        <v>-6921.6</v>
      </c>
      <c r="AA257" s="69" t="n">
        <f aca="false">-AA252*Inputs!$C$58/12*1*(1+Inputs!$C$65)*(1+Inputs!$C$66)^(AA$136-1)</f>
        <v>-7129.248</v>
      </c>
      <c r="AB257" s="69" t="n">
        <f aca="false">-AB252*Inputs!$C$58/12*1*(1+Inputs!$C$65)*(1+Inputs!$C$66)^(AB$136-1)</f>
        <v>-7129.248</v>
      </c>
      <c r="AC257" s="69" t="n">
        <f aca="false">-AC252*Inputs!$C$58/12*1*(1+Inputs!$C$65)*(1+Inputs!$C$66)^(AC$136-1)</f>
        <v>-7129.248</v>
      </c>
      <c r="AD257" s="69" t="n">
        <f aca="false">-AD252*Inputs!$C$58/12*1*(1+Inputs!$C$65)*(1+Inputs!$C$66)^(AD$136-1)</f>
        <v>-7129.248</v>
      </c>
      <c r="AE257" s="69" t="n">
        <f aca="false">-AE252*Inputs!$C$58/12*1*(1+Inputs!$C$65)*(1+Inputs!$C$66)^(AE$136-1)</f>
        <v>-7129.248</v>
      </c>
      <c r="AF257" s="69" t="n">
        <f aca="false">-AF252*Inputs!$C$58/12*1*(1+Inputs!$C$65)*(1+Inputs!$C$66)^(AF$136-1)</f>
        <v>-7129.248</v>
      </c>
      <c r="AG257" s="69" t="n">
        <f aca="false">-AG252*Inputs!$C$58/12*1*(1+Inputs!$C$65)*(1+Inputs!$C$66)^(AG$136-1)</f>
        <v>-7129.248</v>
      </c>
      <c r="AH257" s="69" t="n">
        <f aca="false">-AH252*Inputs!$C$58/12*1*(1+Inputs!$C$65)*(1+Inputs!$C$66)^(AH$136-1)</f>
        <v>-7129.248</v>
      </c>
      <c r="AI257" s="69" t="n">
        <f aca="false">-AI252*Inputs!$C$58/12*1*(1+Inputs!$C$65)*(1+Inputs!$C$66)^(AI$136-1)</f>
        <v>-7129.248</v>
      </c>
      <c r="AJ257" s="69" t="n">
        <f aca="false">-AJ252*Inputs!$C$58/12*1*(1+Inputs!$C$65)*(1+Inputs!$C$66)^(AJ$136-1)</f>
        <v>-7129.248</v>
      </c>
      <c r="AK257" s="69" t="n">
        <f aca="false">-AK252*Inputs!$C$58/12*1*(1+Inputs!$C$65)*(1+Inputs!$C$66)^(AK$136-1)</f>
        <v>-7129.248</v>
      </c>
      <c r="AL257" s="69" t="n">
        <f aca="false">-AL252*Inputs!$C$58/12*1*(1+Inputs!$C$65)*(1+Inputs!$C$66)^(AL$136-1)</f>
        <v>-7129.248</v>
      </c>
    </row>
    <row r="258" customFormat="false" ht="15" hidden="false" customHeight="false" outlineLevel="0" collapsed="false">
      <c r="A258" s="6" t="s">
        <v>453</v>
      </c>
      <c r="C258" s="69" t="n">
        <f aca="false">-C253*Inputs!$C$62/12*1*(1+Inputs!$C$65)*(1+Inputs!$C$66)^(C$136-1)</f>
        <v>-29866.6666666667</v>
      </c>
      <c r="D258" s="69" t="n">
        <f aca="false">-D253*Inputs!$C$62/12*1*(1+Inputs!$C$65)*(1+Inputs!$C$66)^(D$136-1)</f>
        <v>-29866.6666666667</v>
      </c>
      <c r="E258" s="69" t="n">
        <f aca="false">-E253*Inputs!$C$62/12*1*(1+Inputs!$C$65)*(1+Inputs!$C$66)^(E$136-1)</f>
        <v>-29866.6666666667</v>
      </c>
      <c r="F258" s="69" t="n">
        <f aca="false">-F253*Inputs!$C$62/12*1*(1+Inputs!$C$65)*(1+Inputs!$C$66)^(F$136-1)</f>
        <v>-29866.6666666667</v>
      </c>
      <c r="G258" s="69" t="n">
        <f aca="false">-G253*Inputs!$C$62/12*1*(1+Inputs!$C$65)*(1+Inputs!$C$66)^(G$136-1)</f>
        <v>-29866.6666666667</v>
      </c>
      <c r="H258" s="69" t="n">
        <f aca="false">-H253*Inputs!$C$62/12*1*(1+Inputs!$C$65)*(1+Inputs!$C$66)^(H$136-1)</f>
        <v>-29866.6666666667</v>
      </c>
      <c r="I258" s="69" t="n">
        <f aca="false">-I253*Inputs!$C$62/12*1*(1+Inputs!$C$65)*(1+Inputs!$C$66)^(I$136-1)</f>
        <v>-29866.6666666667</v>
      </c>
      <c r="J258" s="69" t="n">
        <f aca="false">-J253*Inputs!$C$62/12*1*(1+Inputs!$C$65)*(1+Inputs!$C$66)^(J$136-1)</f>
        <v>-29866.6666666667</v>
      </c>
      <c r="K258" s="69" t="n">
        <f aca="false">-K253*Inputs!$C$62/12*1*(1+Inputs!$C$65)*(1+Inputs!$C$66)^(K$136-1)</f>
        <v>-29866.6666666667</v>
      </c>
      <c r="L258" s="69" t="n">
        <f aca="false">-L253*Inputs!$C$62/12*1*(1+Inputs!$C$65)*(1+Inputs!$C$66)^(L$136-1)</f>
        <v>-29866.6666666667</v>
      </c>
      <c r="M258" s="69" t="n">
        <f aca="false">-M253*Inputs!$C$62/12*1*(1+Inputs!$C$65)*(1+Inputs!$C$66)^(M$136-1)</f>
        <v>-29866.6666666667</v>
      </c>
      <c r="N258" s="69" t="n">
        <f aca="false">-N253*Inputs!$C$62/12*1*(1+Inputs!$C$65)*(1+Inputs!$C$66)^(N$136-1)</f>
        <v>-29866.6666666667</v>
      </c>
      <c r="O258" s="69" t="n">
        <f aca="false">-O253*Inputs!$C$62/12*1*(1+Inputs!$C$65)*(1+Inputs!$C$66)^(O$136-1)</f>
        <v>-30762.6666666667</v>
      </c>
      <c r="P258" s="69" t="n">
        <f aca="false">-P253*Inputs!$C$62/12*1*(1+Inputs!$C$65)*(1+Inputs!$C$66)^(P$136-1)</f>
        <v>-30762.6666666667</v>
      </c>
      <c r="Q258" s="69" t="n">
        <f aca="false">-Q253*Inputs!$C$62/12*1*(1+Inputs!$C$65)*(1+Inputs!$C$66)^(Q$136-1)</f>
        <v>-30762.6666666667</v>
      </c>
      <c r="R258" s="69" t="n">
        <f aca="false">-R253*Inputs!$C$62/12*1*(1+Inputs!$C$65)*(1+Inputs!$C$66)^(R$136-1)</f>
        <v>-30762.6666666667</v>
      </c>
      <c r="S258" s="69" t="n">
        <f aca="false">-S253*Inputs!$C$62/12*1*(1+Inputs!$C$65)*(1+Inputs!$C$66)^(S$136-1)</f>
        <v>-30762.6666666667</v>
      </c>
      <c r="T258" s="69" t="n">
        <f aca="false">-T253*Inputs!$C$62/12*1*(1+Inputs!$C$65)*(1+Inputs!$C$66)^(T$136-1)</f>
        <v>-30762.6666666667</v>
      </c>
      <c r="U258" s="69" t="n">
        <f aca="false">-U253*Inputs!$C$62/12*1*(1+Inputs!$C$65)*(1+Inputs!$C$66)^(U$136-1)</f>
        <v>-30762.6666666667</v>
      </c>
      <c r="V258" s="69" t="n">
        <f aca="false">-V253*Inputs!$C$62/12*1*(1+Inputs!$C$65)*(1+Inputs!$C$66)^(V$136-1)</f>
        <v>-30762.6666666667</v>
      </c>
      <c r="W258" s="69" t="n">
        <f aca="false">-W253*Inputs!$C$62/12*1*(1+Inputs!$C$65)*(1+Inputs!$C$66)^(W$136-1)</f>
        <v>-30762.6666666667</v>
      </c>
      <c r="X258" s="69" t="n">
        <f aca="false">-X253*Inputs!$C$62/12*1*(1+Inputs!$C$65)*(1+Inputs!$C$66)^(X$136-1)</f>
        <v>-30762.6666666667</v>
      </c>
      <c r="Y258" s="69" t="n">
        <f aca="false">-Y253*Inputs!$C$62/12*1*(1+Inputs!$C$65)*(1+Inputs!$C$66)^(Y$136-1)</f>
        <v>-30762.6666666667</v>
      </c>
      <c r="Z258" s="69" t="n">
        <f aca="false">-Z253*Inputs!$C$62/12*1*(1+Inputs!$C$65)*(1+Inputs!$C$66)^(Z$136-1)</f>
        <v>-30762.6666666667</v>
      </c>
      <c r="AA258" s="69" t="n">
        <f aca="false">-AA253*Inputs!$C$62/12*1*(1+Inputs!$C$65)*(1+Inputs!$C$66)^(AA$136-1)</f>
        <v>-31685.5466666667</v>
      </c>
      <c r="AB258" s="69" t="n">
        <f aca="false">-AB253*Inputs!$C$62/12*1*(1+Inputs!$C$65)*(1+Inputs!$C$66)^(AB$136-1)</f>
        <v>-31685.5466666667</v>
      </c>
      <c r="AC258" s="69" t="n">
        <f aca="false">-AC253*Inputs!$C$62/12*1*(1+Inputs!$C$65)*(1+Inputs!$C$66)^(AC$136-1)</f>
        <v>-31685.5466666667</v>
      </c>
      <c r="AD258" s="69" t="n">
        <f aca="false">-AD253*Inputs!$C$62/12*1*(1+Inputs!$C$65)*(1+Inputs!$C$66)^(AD$136-1)</f>
        <v>-31685.5466666667</v>
      </c>
      <c r="AE258" s="69" t="n">
        <f aca="false">-AE253*Inputs!$C$62/12*1*(1+Inputs!$C$65)*(1+Inputs!$C$66)^(AE$136-1)</f>
        <v>-31685.5466666667</v>
      </c>
      <c r="AF258" s="69" t="n">
        <f aca="false">-AF253*Inputs!$C$62/12*1*(1+Inputs!$C$65)*(1+Inputs!$C$66)^(AF$136-1)</f>
        <v>-31685.5466666667</v>
      </c>
      <c r="AG258" s="69" t="n">
        <f aca="false">-AG253*Inputs!$C$62/12*1*(1+Inputs!$C$65)*(1+Inputs!$C$66)^(AG$136-1)</f>
        <v>-31685.5466666667</v>
      </c>
      <c r="AH258" s="69" t="n">
        <f aca="false">-AH253*Inputs!$C$62/12*1*(1+Inputs!$C$65)*(1+Inputs!$C$66)^(AH$136-1)</f>
        <v>-31685.5466666667</v>
      </c>
      <c r="AI258" s="69" t="n">
        <f aca="false">-AI253*Inputs!$C$62/12*1*(1+Inputs!$C$65)*(1+Inputs!$C$66)^(AI$136-1)</f>
        <v>-31685.5466666667</v>
      </c>
      <c r="AJ258" s="69" t="n">
        <f aca="false">-AJ253*Inputs!$C$62/12*1*(1+Inputs!$C$65)*(1+Inputs!$C$66)^(AJ$136-1)</f>
        <v>-31685.5466666667</v>
      </c>
      <c r="AK258" s="69" t="n">
        <f aca="false">-AK253*Inputs!$C$62/12*1*(1+Inputs!$C$65)*(1+Inputs!$C$66)^(AK$136-1)</f>
        <v>-31685.5466666667</v>
      </c>
      <c r="AL258" s="69" t="n">
        <f aca="false">-AL253*Inputs!$C$62/12*1*(1+Inputs!$C$65)*(1+Inputs!$C$66)^(AL$136-1)</f>
        <v>-31685.5466666667</v>
      </c>
    </row>
    <row r="259" customFormat="false" ht="15" hidden="false" customHeight="false" outlineLevel="0" collapsed="false">
      <c r="A259" s="113" t="s">
        <v>454</v>
      </c>
      <c r="C259" s="70" t="n">
        <f aca="false">C257+C258</f>
        <v>-36586.6666666667</v>
      </c>
      <c r="D259" s="70" t="n">
        <f aca="false">D257+D258</f>
        <v>-36586.6666666667</v>
      </c>
      <c r="E259" s="70" t="n">
        <f aca="false">E257+E258</f>
        <v>-36586.6666666667</v>
      </c>
      <c r="F259" s="70" t="n">
        <f aca="false">F257+F258</f>
        <v>-36586.6666666667</v>
      </c>
      <c r="G259" s="70" t="n">
        <f aca="false">G257+G258</f>
        <v>-36586.6666666667</v>
      </c>
      <c r="H259" s="70" t="n">
        <f aca="false">H257+H258</f>
        <v>-36586.6666666667</v>
      </c>
      <c r="I259" s="70" t="n">
        <f aca="false">I257+I258</f>
        <v>-36586.6666666667</v>
      </c>
      <c r="J259" s="70" t="n">
        <f aca="false">J257+J258</f>
        <v>-36586.6666666667</v>
      </c>
      <c r="K259" s="70" t="n">
        <f aca="false">K257+K258</f>
        <v>-36586.6666666667</v>
      </c>
      <c r="L259" s="70" t="n">
        <f aca="false">L257+L258</f>
        <v>-36586.6666666667</v>
      </c>
      <c r="M259" s="70" t="n">
        <f aca="false">M257+M258</f>
        <v>-36586.6666666667</v>
      </c>
      <c r="N259" s="70" t="n">
        <f aca="false">N257+N258</f>
        <v>-36586.6666666667</v>
      </c>
      <c r="O259" s="70" t="n">
        <f aca="false">O257+O258</f>
        <v>-37684.2666666667</v>
      </c>
      <c r="P259" s="70" t="n">
        <f aca="false">P257+P258</f>
        <v>-37684.2666666667</v>
      </c>
      <c r="Q259" s="70" t="n">
        <f aca="false">Q257+Q258</f>
        <v>-37684.2666666667</v>
      </c>
      <c r="R259" s="70" t="n">
        <f aca="false">R257+R258</f>
        <v>-37684.2666666667</v>
      </c>
      <c r="S259" s="70" t="n">
        <f aca="false">S257+S258</f>
        <v>-37684.2666666667</v>
      </c>
      <c r="T259" s="70" t="n">
        <f aca="false">T257+T258</f>
        <v>-37684.2666666667</v>
      </c>
      <c r="U259" s="70" t="n">
        <f aca="false">U257+U258</f>
        <v>-37684.2666666667</v>
      </c>
      <c r="V259" s="70" t="n">
        <f aca="false">V257+V258</f>
        <v>-37684.2666666667</v>
      </c>
      <c r="W259" s="70" t="n">
        <f aca="false">W257+W258</f>
        <v>-37684.2666666667</v>
      </c>
      <c r="X259" s="70" t="n">
        <f aca="false">X257+X258</f>
        <v>-37684.2666666667</v>
      </c>
      <c r="Y259" s="70" t="n">
        <f aca="false">Y257+Y258</f>
        <v>-37684.2666666667</v>
      </c>
      <c r="Z259" s="70" t="n">
        <f aca="false">Z257+Z258</f>
        <v>-37684.2666666667</v>
      </c>
      <c r="AA259" s="70" t="n">
        <f aca="false">AA257+AA258</f>
        <v>-38814.7946666667</v>
      </c>
      <c r="AB259" s="70" t="n">
        <f aca="false">AB257+AB258</f>
        <v>-38814.7946666667</v>
      </c>
      <c r="AC259" s="70" t="n">
        <f aca="false">AC257+AC258</f>
        <v>-38814.7946666667</v>
      </c>
      <c r="AD259" s="70" t="n">
        <f aca="false">AD257+AD258</f>
        <v>-38814.7946666667</v>
      </c>
      <c r="AE259" s="70" t="n">
        <f aca="false">AE257+AE258</f>
        <v>-38814.7946666667</v>
      </c>
      <c r="AF259" s="70" t="n">
        <f aca="false">AF257+AF258</f>
        <v>-38814.7946666667</v>
      </c>
      <c r="AG259" s="70" t="n">
        <f aca="false">AG257+AG258</f>
        <v>-38814.7946666667</v>
      </c>
      <c r="AH259" s="70" t="n">
        <f aca="false">AH257+AH258</f>
        <v>-38814.7946666667</v>
      </c>
      <c r="AI259" s="70" t="n">
        <f aca="false">AI257+AI258</f>
        <v>-38814.7946666667</v>
      </c>
      <c r="AJ259" s="70" t="n">
        <f aca="false">AJ257+AJ258</f>
        <v>-38814.7946666667</v>
      </c>
      <c r="AK259" s="70" t="n">
        <f aca="false">AK257+AK258</f>
        <v>-38814.7946666667</v>
      </c>
      <c r="AL259" s="70" t="n">
        <f aca="false">AL257+AL258</f>
        <v>-38814.7946666667</v>
      </c>
    </row>
    <row r="262" customFormat="false" ht="15.75" hidden="false" customHeight="true" outlineLevel="0" collapsed="false">
      <c r="A262" s="7" t="s">
        <v>459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customFormat="false" ht="15" hidden="false" customHeight="false" outlineLevel="0" collapsed="false">
      <c r="A263" s="33" t="s">
        <v>353</v>
      </c>
      <c r="C263" s="35" t="s">
        <v>354</v>
      </c>
      <c r="D263" s="35" t="s">
        <v>355</v>
      </c>
      <c r="E263" s="35" t="s">
        <v>356</v>
      </c>
      <c r="F263" s="35" t="s">
        <v>357</v>
      </c>
      <c r="G263" s="35" t="s">
        <v>358</v>
      </c>
      <c r="H263" s="35" t="s">
        <v>359</v>
      </c>
      <c r="I263" s="35" t="s">
        <v>360</v>
      </c>
      <c r="J263" s="35" t="s">
        <v>361</v>
      </c>
      <c r="K263" s="35" t="s">
        <v>362</v>
      </c>
      <c r="L263" s="35" t="s">
        <v>363</v>
      </c>
      <c r="M263" s="35" t="s">
        <v>364</v>
      </c>
      <c r="N263" s="35" t="s">
        <v>365</v>
      </c>
      <c r="O263" s="35" t="s">
        <v>366</v>
      </c>
      <c r="P263" s="35" t="s">
        <v>367</v>
      </c>
      <c r="Q263" s="35" t="s">
        <v>368</v>
      </c>
      <c r="R263" s="35" t="s">
        <v>369</v>
      </c>
      <c r="S263" s="35" t="s">
        <v>370</v>
      </c>
      <c r="T263" s="35" t="s">
        <v>371</v>
      </c>
      <c r="U263" s="35" t="s">
        <v>372</v>
      </c>
      <c r="V263" s="35" t="s">
        <v>373</v>
      </c>
      <c r="W263" s="35" t="s">
        <v>374</v>
      </c>
      <c r="X263" s="35" t="s">
        <v>375</v>
      </c>
      <c r="Y263" s="35" t="s">
        <v>376</v>
      </c>
      <c r="Z263" s="35" t="s">
        <v>377</v>
      </c>
      <c r="AA263" s="35" t="s">
        <v>378</v>
      </c>
      <c r="AB263" s="35" t="s">
        <v>379</v>
      </c>
      <c r="AC263" s="35" t="s">
        <v>380</v>
      </c>
      <c r="AD263" s="35" t="s">
        <v>381</v>
      </c>
      <c r="AE263" s="35" t="s">
        <v>382</v>
      </c>
      <c r="AF263" s="35" t="s">
        <v>383</v>
      </c>
      <c r="AG263" s="35" t="s">
        <v>384</v>
      </c>
      <c r="AH263" s="35" t="s">
        <v>385</v>
      </c>
      <c r="AI263" s="35" t="s">
        <v>386</v>
      </c>
      <c r="AJ263" s="35" t="s">
        <v>387</v>
      </c>
      <c r="AK263" s="35" t="s">
        <v>388</v>
      </c>
      <c r="AL263" s="35" t="s">
        <v>389</v>
      </c>
    </row>
    <row r="264" customFormat="false" ht="15" hidden="false" customHeight="false" outlineLevel="0" collapsed="false">
      <c r="A264" s="74" t="s">
        <v>390</v>
      </c>
      <c r="C264" s="74" t="n">
        <v>1</v>
      </c>
      <c r="D264" s="74" t="n">
        <v>2</v>
      </c>
      <c r="E264" s="74" t="n">
        <v>3</v>
      </c>
      <c r="F264" s="74" t="n">
        <v>4</v>
      </c>
      <c r="G264" s="74" t="n">
        <v>5</v>
      </c>
      <c r="H264" s="74" t="n">
        <v>6</v>
      </c>
      <c r="I264" s="74" t="n">
        <v>7</v>
      </c>
      <c r="J264" s="74" t="n">
        <v>8</v>
      </c>
      <c r="K264" s="74" t="n">
        <v>9</v>
      </c>
      <c r="L264" s="74" t="n">
        <v>10</v>
      </c>
      <c r="M264" s="74" t="n">
        <v>11</v>
      </c>
      <c r="N264" s="74" t="n">
        <v>12</v>
      </c>
      <c r="O264" s="74" t="n">
        <v>13</v>
      </c>
      <c r="P264" s="74" t="n">
        <v>14</v>
      </c>
      <c r="Q264" s="74" t="n">
        <v>15</v>
      </c>
      <c r="R264" s="74" t="n">
        <v>16</v>
      </c>
      <c r="S264" s="74" t="n">
        <v>17</v>
      </c>
      <c r="T264" s="74" t="n">
        <v>18</v>
      </c>
      <c r="U264" s="74" t="n">
        <v>19</v>
      </c>
      <c r="V264" s="74" t="n">
        <v>20</v>
      </c>
      <c r="W264" s="74" t="n">
        <v>21</v>
      </c>
      <c r="X264" s="74" t="n">
        <v>22</v>
      </c>
      <c r="Y264" s="74" t="n">
        <v>23</v>
      </c>
      <c r="Z264" s="74" t="n">
        <v>24</v>
      </c>
      <c r="AA264" s="74" t="n">
        <v>25</v>
      </c>
      <c r="AB264" s="74" t="n">
        <v>26</v>
      </c>
      <c r="AC264" s="74" t="n">
        <v>27</v>
      </c>
      <c r="AD264" s="74" t="n">
        <v>28</v>
      </c>
      <c r="AE264" s="74" t="n">
        <v>29</v>
      </c>
      <c r="AF264" s="74" t="n">
        <v>30</v>
      </c>
      <c r="AG264" s="74" t="n">
        <v>31</v>
      </c>
      <c r="AH264" s="74" t="n">
        <v>32</v>
      </c>
      <c r="AI264" s="74" t="n">
        <v>33</v>
      </c>
      <c r="AJ264" s="74" t="n">
        <v>34</v>
      </c>
      <c r="AK264" s="74" t="n">
        <v>35</v>
      </c>
      <c r="AL264" s="74" t="n">
        <v>36</v>
      </c>
    </row>
    <row r="265" customFormat="false" ht="15" hidden="false" customHeight="false" outlineLevel="0" collapsed="false">
      <c r="A265" s="74" t="s">
        <v>155</v>
      </c>
      <c r="C265" s="74" t="n">
        <f aca="false">ROUNDUP(C264*1/12,0)</f>
        <v>1</v>
      </c>
      <c r="D265" s="74" t="n">
        <f aca="false">ROUNDUP(D264*1/12,0)</f>
        <v>1</v>
      </c>
      <c r="E265" s="74" t="n">
        <f aca="false">ROUNDUP(E264*1/12,0)</f>
        <v>1</v>
      </c>
      <c r="F265" s="74" t="n">
        <f aca="false">ROUNDUP(F264*1/12,0)</f>
        <v>1</v>
      </c>
      <c r="G265" s="74" t="n">
        <f aca="false">ROUNDUP(G264*1/12,0)</f>
        <v>1</v>
      </c>
      <c r="H265" s="74" t="n">
        <f aca="false">ROUNDUP(H264*1/12,0)</f>
        <v>1</v>
      </c>
      <c r="I265" s="74" t="n">
        <f aca="false">ROUNDUP(I264*1/12,0)</f>
        <v>1</v>
      </c>
      <c r="J265" s="74" t="n">
        <f aca="false">ROUNDUP(J264*1/12,0)</f>
        <v>1</v>
      </c>
      <c r="K265" s="74" t="n">
        <f aca="false">ROUNDUP(K264*1/12,0)</f>
        <v>1</v>
      </c>
      <c r="L265" s="74" t="n">
        <f aca="false">ROUNDUP(L264*1/12,0)</f>
        <v>1</v>
      </c>
      <c r="M265" s="74" t="n">
        <f aca="false">ROUNDUP(M264*1/12,0)</f>
        <v>1</v>
      </c>
      <c r="N265" s="74" t="n">
        <f aca="false">ROUNDUP(N264*1/12,0)</f>
        <v>1</v>
      </c>
      <c r="O265" s="74" t="n">
        <f aca="false">ROUNDUP(O264*1/12,0)</f>
        <v>2</v>
      </c>
      <c r="P265" s="74" t="n">
        <f aca="false">ROUNDUP(P264*1/12,0)</f>
        <v>2</v>
      </c>
      <c r="Q265" s="74" t="n">
        <f aca="false">ROUNDUP(Q264*1/12,0)</f>
        <v>2</v>
      </c>
      <c r="R265" s="74" t="n">
        <f aca="false">ROUNDUP(R264*1/12,0)</f>
        <v>2</v>
      </c>
      <c r="S265" s="74" t="n">
        <f aca="false">ROUNDUP(S264*1/12,0)</f>
        <v>2</v>
      </c>
      <c r="T265" s="74" t="n">
        <f aca="false">ROUNDUP(T264*1/12,0)</f>
        <v>2</v>
      </c>
      <c r="U265" s="74" t="n">
        <f aca="false">ROUNDUP(U264*1/12,0)</f>
        <v>2</v>
      </c>
      <c r="V265" s="74" t="n">
        <f aca="false">ROUNDUP(V264*1/12,0)</f>
        <v>2</v>
      </c>
      <c r="W265" s="74" t="n">
        <f aca="false">ROUNDUP(W264*1/12,0)</f>
        <v>2</v>
      </c>
      <c r="X265" s="74" t="n">
        <f aca="false">ROUNDUP(X264*1/12,0)</f>
        <v>2</v>
      </c>
      <c r="Y265" s="74" t="n">
        <f aca="false">ROUNDUP(Y264*1/12,0)</f>
        <v>2</v>
      </c>
      <c r="Z265" s="74" t="n">
        <f aca="false">ROUNDUP(Z264*1/12,0)</f>
        <v>2</v>
      </c>
      <c r="AA265" s="74" t="n">
        <f aca="false">ROUNDUP(AA264*1/12,0)</f>
        <v>3</v>
      </c>
      <c r="AB265" s="74" t="n">
        <f aca="false">ROUNDUP(AB264*1/12,0)</f>
        <v>3</v>
      </c>
      <c r="AC265" s="74" t="n">
        <f aca="false">ROUNDUP(AC264*1/12,0)</f>
        <v>3</v>
      </c>
      <c r="AD265" s="74" t="n">
        <f aca="false">ROUNDUP(AD264*1/12,0)</f>
        <v>3</v>
      </c>
      <c r="AE265" s="74" t="n">
        <f aca="false">ROUNDUP(AE264*1/12,0)</f>
        <v>3</v>
      </c>
      <c r="AF265" s="74" t="n">
        <f aca="false">ROUNDUP(AF264*1/12,0)</f>
        <v>3</v>
      </c>
      <c r="AG265" s="74" t="n">
        <f aca="false">ROUNDUP(AG264*1/12,0)</f>
        <v>3</v>
      </c>
      <c r="AH265" s="74" t="n">
        <f aca="false">ROUNDUP(AH264*1/12,0)</f>
        <v>3</v>
      </c>
      <c r="AI265" s="74" t="n">
        <f aca="false">ROUNDUP(AI264*1/12,0)</f>
        <v>3</v>
      </c>
      <c r="AJ265" s="74" t="n">
        <f aca="false">ROUNDUP(AJ264*1/12,0)</f>
        <v>3</v>
      </c>
      <c r="AK265" s="74" t="n">
        <f aca="false">ROUNDUP(AK264*1/12,0)</f>
        <v>3</v>
      </c>
      <c r="AL265" s="74" t="n">
        <f aca="false">ROUNDUP(AL264*1/12,0)</f>
        <v>3</v>
      </c>
    </row>
    <row r="267" customFormat="false" ht="15.75" hidden="false" customHeight="true" outlineLevel="0" collapsed="false">
      <c r="A267" s="7" t="s">
        <v>391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customFormat="false" ht="15" hidden="false" customHeight="false" outlineLevel="0" collapsed="false">
      <c r="A268" s="116" t="s">
        <v>392</v>
      </c>
      <c r="C268" s="117" t="n">
        <f aca="false">MAX(0,MIN(1,Inputs!$D$10-(C$264-1)*1))</f>
        <v>1</v>
      </c>
      <c r="D268" s="117" t="n">
        <f aca="false">MAX(0,MIN(1,Inputs!$D$10-(D$264-1)*1))</f>
        <v>1</v>
      </c>
      <c r="E268" s="117" t="n">
        <f aca="false">MAX(0,MIN(1,Inputs!$D$10-(E$264-1)*1))</f>
        <v>1</v>
      </c>
      <c r="F268" s="117" t="n">
        <f aca="false">MAX(0,MIN(1,Inputs!$D$10-(F$264-1)*1))</f>
        <v>1</v>
      </c>
      <c r="G268" s="117" t="n">
        <f aca="false">MAX(0,MIN(1,Inputs!$D$10-(G$264-1)*1))</f>
        <v>1</v>
      </c>
      <c r="H268" s="117" t="n">
        <f aca="false">MAX(0,MIN(1,Inputs!$D$10-(H$264-1)*1))</f>
        <v>1</v>
      </c>
      <c r="I268" s="117" t="n">
        <f aca="false">MAX(0,MIN(1,Inputs!$D$10-(I$264-1)*1))</f>
        <v>1</v>
      </c>
      <c r="J268" s="117" t="n">
        <f aca="false">MAX(0,MIN(1,Inputs!$D$10-(J$264-1)*1))</f>
        <v>0</v>
      </c>
      <c r="K268" s="117" t="n">
        <f aca="false">MAX(0,MIN(1,Inputs!$D$10-(K$264-1)*1))</f>
        <v>0</v>
      </c>
      <c r="L268" s="117" t="n">
        <f aca="false">MAX(0,MIN(1,Inputs!$D$10-(L$264-1)*1))</f>
        <v>0</v>
      </c>
      <c r="M268" s="117" t="n">
        <f aca="false">MAX(0,MIN(1,Inputs!$D$10-(M$264-1)*1))</f>
        <v>0</v>
      </c>
      <c r="N268" s="117" t="n">
        <f aca="false">MAX(0,MIN(1,Inputs!$D$10-(N$264-1)*1))</f>
        <v>0</v>
      </c>
      <c r="O268" s="117" t="n">
        <f aca="false">MAX(0,MIN(1,Inputs!$D$10-(O$264-1)*1))</f>
        <v>0</v>
      </c>
      <c r="P268" s="117" t="n">
        <f aca="false">MAX(0,MIN(1,Inputs!$D$10-(P$264-1)*1))</f>
        <v>0</v>
      </c>
      <c r="Q268" s="117" t="n">
        <f aca="false">MAX(0,MIN(1,Inputs!$D$10-(Q$264-1)*1))</f>
        <v>0</v>
      </c>
      <c r="R268" s="117" t="n">
        <f aca="false">MAX(0,MIN(1,Inputs!$D$10-(R$264-1)*1))</f>
        <v>0</v>
      </c>
      <c r="S268" s="117" t="n">
        <f aca="false">MAX(0,MIN(1,Inputs!$D$10-(S$264-1)*1))</f>
        <v>0</v>
      </c>
      <c r="T268" s="117" t="n">
        <f aca="false">MAX(0,MIN(1,Inputs!$D$10-(T$264-1)*1))</f>
        <v>0</v>
      </c>
      <c r="U268" s="117" t="n">
        <f aca="false">MAX(0,MIN(1,Inputs!$D$10-(U$264-1)*1))</f>
        <v>0</v>
      </c>
      <c r="V268" s="117" t="n">
        <f aca="false">MAX(0,MIN(1,Inputs!$D$10-(V$264-1)*1))</f>
        <v>0</v>
      </c>
      <c r="W268" s="117" t="n">
        <f aca="false">MAX(0,MIN(1,Inputs!$D$10-(W$264-1)*1))</f>
        <v>0</v>
      </c>
      <c r="X268" s="117" t="n">
        <f aca="false">MAX(0,MIN(1,Inputs!$D$10-(X$264-1)*1))</f>
        <v>0</v>
      </c>
      <c r="Y268" s="117" t="n">
        <f aca="false">MAX(0,MIN(1,Inputs!$D$10-(Y$264-1)*1))</f>
        <v>0</v>
      </c>
      <c r="Z268" s="117" t="n">
        <f aca="false">MAX(0,MIN(1,Inputs!$D$10-(Z$264-1)*1))</f>
        <v>0</v>
      </c>
      <c r="AA268" s="117" t="n">
        <f aca="false">MAX(0,MIN(1,Inputs!$D$10-(AA$264-1)*1))</f>
        <v>0</v>
      </c>
      <c r="AB268" s="117" t="n">
        <f aca="false">MAX(0,MIN(1,Inputs!$D$10-(AB$264-1)*1))</f>
        <v>0</v>
      </c>
      <c r="AC268" s="117" t="n">
        <f aca="false">MAX(0,MIN(1,Inputs!$D$10-(AC$264-1)*1))</f>
        <v>0</v>
      </c>
      <c r="AD268" s="117" t="n">
        <f aca="false">MAX(0,MIN(1,Inputs!$D$10-(AD$264-1)*1))</f>
        <v>0</v>
      </c>
      <c r="AE268" s="117" t="n">
        <f aca="false">MAX(0,MIN(1,Inputs!$D$10-(AE$264-1)*1))</f>
        <v>0</v>
      </c>
      <c r="AF268" s="117" t="n">
        <f aca="false">MAX(0,MIN(1,Inputs!$D$10-(AF$264-1)*1))</f>
        <v>0</v>
      </c>
      <c r="AG268" s="117" t="n">
        <f aca="false">MAX(0,MIN(1,Inputs!$D$10-(AG$264-1)*1))</f>
        <v>0</v>
      </c>
      <c r="AH268" s="117" t="n">
        <f aca="false">MAX(0,MIN(1,Inputs!$D$10-(AH$264-1)*1))</f>
        <v>0</v>
      </c>
      <c r="AI268" s="117" t="n">
        <f aca="false">MAX(0,MIN(1,Inputs!$D$10-(AI$264-1)*1))</f>
        <v>0</v>
      </c>
      <c r="AJ268" s="117" t="n">
        <f aca="false">MAX(0,MIN(1,Inputs!$D$10-(AJ$264-1)*1))</f>
        <v>0</v>
      </c>
      <c r="AK268" s="117" t="n">
        <f aca="false">MAX(0,MIN(1,Inputs!$D$10-(AK$264-1)*1))</f>
        <v>0</v>
      </c>
      <c r="AL268" s="117" t="n">
        <f aca="false">MAX(0,MIN(1,Inputs!$D$10-(AL$264-1)*1))</f>
        <v>0</v>
      </c>
    </row>
    <row r="269" customFormat="false" ht="15" hidden="false" customHeight="false" outlineLevel="0" collapsed="false">
      <c r="A269" s="39" t="s">
        <v>393</v>
      </c>
      <c r="C269" s="76" t="n">
        <f aca="false">IF(Inputs!$D$10&lt;=0,1,(C268*Inputs!$D$11+(1-Inputs!$D$11)/MAX(1,Inputs!$D$10)*(C268*(C$264-1)*1+C268*(C268-1)/2)+1-C268)/1)</f>
        <v>0.55</v>
      </c>
      <c r="D269" s="76" t="n">
        <f aca="false">IF(Inputs!$D$10&lt;=0,1,(D268*Inputs!$D$11+(1-Inputs!$D$11)/MAX(1,Inputs!$D$10)*(D268*(D$264-1)*1+D268*(D268-1)/2)+1-D268)/1)</f>
        <v>0.614285714285714</v>
      </c>
      <c r="E269" s="76" t="n">
        <f aca="false">IF(Inputs!$D$10&lt;=0,1,(E268*Inputs!$D$11+(1-Inputs!$D$11)/MAX(1,Inputs!$D$10)*(E268*(E$264-1)*1+E268*(E268-1)/2)+1-E268)/1)</f>
        <v>0.678571428571429</v>
      </c>
      <c r="F269" s="76" t="n">
        <f aca="false">IF(Inputs!$D$10&lt;=0,1,(F268*Inputs!$D$11+(1-Inputs!$D$11)/MAX(1,Inputs!$D$10)*(F268*(F$264-1)*1+F268*(F268-1)/2)+1-F268)/1)</f>
        <v>0.742857142857143</v>
      </c>
      <c r="G269" s="76" t="n">
        <f aca="false">IF(Inputs!$D$10&lt;=0,1,(G268*Inputs!$D$11+(1-Inputs!$D$11)/MAX(1,Inputs!$D$10)*(G268*(G$264-1)*1+G268*(G268-1)/2)+1-G268)/1)</f>
        <v>0.807142857142857</v>
      </c>
      <c r="H269" s="76" t="n">
        <f aca="false">IF(Inputs!$D$10&lt;=0,1,(H268*Inputs!$D$11+(1-Inputs!$D$11)/MAX(1,Inputs!$D$10)*(H268*(H$264-1)*1+H268*(H268-1)/2)+1-H268)/1)</f>
        <v>0.871428571428571</v>
      </c>
      <c r="I269" s="76" t="n">
        <f aca="false">IF(Inputs!$D$10&lt;=0,1,(I268*Inputs!$D$11+(1-Inputs!$D$11)/MAX(1,Inputs!$D$10)*(I268*(I$264-1)*1+I268*(I268-1)/2)+1-I268)/1)</f>
        <v>0.935714285714286</v>
      </c>
      <c r="J269" s="76" t="n">
        <f aca="false">IF(Inputs!$D$10&lt;=0,1,(J268*Inputs!$D$11+(1-Inputs!$D$11)/MAX(1,Inputs!$D$10)*(J268*(J$264-1)*1+J268*(J268-1)/2)+1-J268)/1)</f>
        <v>1</v>
      </c>
      <c r="K269" s="76" t="n">
        <f aca="false">IF(Inputs!$D$10&lt;=0,1,(K268*Inputs!$D$11+(1-Inputs!$D$11)/MAX(1,Inputs!$D$10)*(K268*(K$264-1)*1+K268*(K268-1)/2)+1-K268)/1)</f>
        <v>1</v>
      </c>
      <c r="L269" s="76" t="n">
        <f aca="false">IF(Inputs!$D$10&lt;=0,1,(L268*Inputs!$D$11+(1-Inputs!$D$11)/MAX(1,Inputs!$D$10)*(L268*(L$264-1)*1+L268*(L268-1)/2)+1-L268)/1)</f>
        <v>1</v>
      </c>
      <c r="M269" s="76" t="n">
        <f aca="false">IF(Inputs!$D$10&lt;=0,1,(M268*Inputs!$D$11+(1-Inputs!$D$11)/MAX(1,Inputs!$D$10)*(M268*(M$264-1)*1+M268*(M268-1)/2)+1-M268)/1)</f>
        <v>1</v>
      </c>
      <c r="N269" s="76" t="n">
        <f aca="false">IF(Inputs!$D$10&lt;=0,1,(N268*Inputs!$D$11+(1-Inputs!$D$11)/MAX(1,Inputs!$D$10)*(N268*(N$264-1)*1+N268*(N268-1)/2)+1-N268)/1)</f>
        <v>1</v>
      </c>
      <c r="O269" s="76" t="n">
        <f aca="false">IF(Inputs!$D$10&lt;=0,1,(O268*Inputs!$D$11+(1-Inputs!$D$11)/MAX(1,Inputs!$D$10)*(O268*(O$264-1)*1+O268*(O268-1)/2)+1-O268)/1)</f>
        <v>1</v>
      </c>
      <c r="P269" s="76" t="n">
        <f aca="false">IF(Inputs!$D$10&lt;=0,1,(P268*Inputs!$D$11+(1-Inputs!$D$11)/MAX(1,Inputs!$D$10)*(P268*(P$264-1)*1+P268*(P268-1)/2)+1-P268)/1)</f>
        <v>1</v>
      </c>
      <c r="Q269" s="76" t="n">
        <f aca="false">IF(Inputs!$D$10&lt;=0,1,(Q268*Inputs!$D$11+(1-Inputs!$D$11)/MAX(1,Inputs!$D$10)*(Q268*(Q$264-1)*1+Q268*(Q268-1)/2)+1-Q268)/1)</f>
        <v>1</v>
      </c>
      <c r="R269" s="76" t="n">
        <f aca="false">IF(Inputs!$D$10&lt;=0,1,(R268*Inputs!$D$11+(1-Inputs!$D$11)/MAX(1,Inputs!$D$10)*(R268*(R$264-1)*1+R268*(R268-1)/2)+1-R268)/1)</f>
        <v>1</v>
      </c>
      <c r="S269" s="76" t="n">
        <f aca="false">IF(Inputs!$D$10&lt;=0,1,(S268*Inputs!$D$11+(1-Inputs!$D$11)/MAX(1,Inputs!$D$10)*(S268*(S$264-1)*1+S268*(S268-1)/2)+1-S268)/1)</f>
        <v>1</v>
      </c>
      <c r="T269" s="76" t="n">
        <f aca="false">IF(Inputs!$D$10&lt;=0,1,(T268*Inputs!$D$11+(1-Inputs!$D$11)/MAX(1,Inputs!$D$10)*(T268*(T$264-1)*1+T268*(T268-1)/2)+1-T268)/1)</f>
        <v>1</v>
      </c>
      <c r="U269" s="76" t="n">
        <f aca="false">IF(Inputs!$D$10&lt;=0,1,(U268*Inputs!$D$11+(1-Inputs!$D$11)/MAX(1,Inputs!$D$10)*(U268*(U$264-1)*1+U268*(U268-1)/2)+1-U268)/1)</f>
        <v>1</v>
      </c>
      <c r="V269" s="76" t="n">
        <f aca="false">IF(Inputs!$D$10&lt;=0,1,(V268*Inputs!$D$11+(1-Inputs!$D$11)/MAX(1,Inputs!$D$10)*(V268*(V$264-1)*1+V268*(V268-1)/2)+1-V268)/1)</f>
        <v>1</v>
      </c>
      <c r="W269" s="76" t="n">
        <f aca="false">IF(Inputs!$D$10&lt;=0,1,(W268*Inputs!$D$11+(1-Inputs!$D$11)/MAX(1,Inputs!$D$10)*(W268*(W$264-1)*1+W268*(W268-1)/2)+1-W268)/1)</f>
        <v>1</v>
      </c>
      <c r="X269" s="76" t="n">
        <f aca="false">IF(Inputs!$D$10&lt;=0,1,(X268*Inputs!$D$11+(1-Inputs!$D$11)/MAX(1,Inputs!$D$10)*(X268*(X$264-1)*1+X268*(X268-1)/2)+1-X268)/1)</f>
        <v>1</v>
      </c>
      <c r="Y269" s="76" t="n">
        <f aca="false">IF(Inputs!$D$10&lt;=0,1,(Y268*Inputs!$D$11+(1-Inputs!$D$11)/MAX(1,Inputs!$D$10)*(Y268*(Y$264-1)*1+Y268*(Y268-1)/2)+1-Y268)/1)</f>
        <v>1</v>
      </c>
      <c r="Z269" s="76" t="n">
        <f aca="false">IF(Inputs!$D$10&lt;=0,1,(Z268*Inputs!$D$11+(1-Inputs!$D$11)/MAX(1,Inputs!$D$10)*(Z268*(Z$264-1)*1+Z268*(Z268-1)/2)+1-Z268)/1)</f>
        <v>1</v>
      </c>
      <c r="AA269" s="76" t="n">
        <f aca="false">IF(Inputs!$D$10&lt;=0,1,(AA268*Inputs!$D$11+(1-Inputs!$D$11)/MAX(1,Inputs!$D$10)*(AA268*(AA$264-1)*1+AA268*(AA268-1)/2)+1-AA268)/1)</f>
        <v>1</v>
      </c>
      <c r="AB269" s="76" t="n">
        <f aca="false">IF(Inputs!$D$10&lt;=0,1,(AB268*Inputs!$D$11+(1-Inputs!$D$11)/MAX(1,Inputs!$D$10)*(AB268*(AB$264-1)*1+AB268*(AB268-1)/2)+1-AB268)/1)</f>
        <v>1</v>
      </c>
      <c r="AC269" s="76" t="n">
        <f aca="false">IF(Inputs!$D$10&lt;=0,1,(AC268*Inputs!$D$11+(1-Inputs!$D$11)/MAX(1,Inputs!$D$10)*(AC268*(AC$264-1)*1+AC268*(AC268-1)/2)+1-AC268)/1)</f>
        <v>1</v>
      </c>
      <c r="AD269" s="76" t="n">
        <f aca="false">IF(Inputs!$D$10&lt;=0,1,(AD268*Inputs!$D$11+(1-Inputs!$D$11)/MAX(1,Inputs!$D$10)*(AD268*(AD$264-1)*1+AD268*(AD268-1)/2)+1-AD268)/1)</f>
        <v>1</v>
      </c>
      <c r="AE269" s="76" t="n">
        <f aca="false">IF(Inputs!$D$10&lt;=0,1,(AE268*Inputs!$D$11+(1-Inputs!$D$11)/MAX(1,Inputs!$D$10)*(AE268*(AE$264-1)*1+AE268*(AE268-1)/2)+1-AE268)/1)</f>
        <v>1</v>
      </c>
      <c r="AF269" s="76" t="n">
        <f aca="false">IF(Inputs!$D$10&lt;=0,1,(AF268*Inputs!$D$11+(1-Inputs!$D$11)/MAX(1,Inputs!$D$10)*(AF268*(AF$264-1)*1+AF268*(AF268-1)/2)+1-AF268)/1)</f>
        <v>1</v>
      </c>
      <c r="AG269" s="76" t="n">
        <f aca="false">IF(Inputs!$D$10&lt;=0,1,(AG268*Inputs!$D$11+(1-Inputs!$D$11)/MAX(1,Inputs!$D$10)*(AG268*(AG$264-1)*1+AG268*(AG268-1)/2)+1-AG268)/1)</f>
        <v>1</v>
      </c>
      <c r="AH269" s="76" t="n">
        <f aca="false">IF(Inputs!$D$10&lt;=0,1,(AH268*Inputs!$D$11+(1-Inputs!$D$11)/MAX(1,Inputs!$D$10)*(AH268*(AH$264-1)*1+AH268*(AH268-1)/2)+1-AH268)/1)</f>
        <v>1</v>
      </c>
      <c r="AI269" s="76" t="n">
        <f aca="false">IF(Inputs!$D$10&lt;=0,1,(AI268*Inputs!$D$11+(1-Inputs!$D$11)/MAX(1,Inputs!$D$10)*(AI268*(AI$264-1)*1+AI268*(AI268-1)/2)+1-AI268)/1)</f>
        <v>1</v>
      </c>
      <c r="AJ269" s="76" t="n">
        <f aca="false">IF(Inputs!$D$10&lt;=0,1,(AJ268*Inputs!$D$11+(1-Inputs!$D$11)/MAX(1,Inputs!$D$10)*(AJ268*(AJ$264-1)*1+AJ268*(AJ268-1)/2)+1-AJ268)/1)</f>
        <v>1</v>
      </c>
      <c r="AK269" s="76" t="n">
        <f aca="false">IF(Inputs!$D$10&lt;=0,1,(AK268*Inputs!$D$11+(1-Inputs!$D$11)/MAX(1,Inputs!$D$10)*(AK268*(AK$264-1)*1+AK268*(AK268-1)/2)+1-AK268)/1)</f>
        <v>1</v>
      </c>
      <c r="AL269" s="76" t="n">
        <f aca="false">IF(Inputs!$D$10&lt;=0,1,(AL268*Inputs!$D$11+(1-Inputs!$D$11)/MAX(1,Inputs!$D$10)*(AL268*(AL$264-1)*1+AL268*(AL268-1)/2)+1-AL268)/1)</f>
        <v>1</v>
      </c>
    </row>
    <row r="270" customFormat="false" ht="15" hidden="false" customHeight="false" outlineLevel="0" collapsed="false">
      <c r="A270" s="6" t="s">
        <v>394</v>
      </c>
      <c r="C270" s="79" t="n">
        <f aca="false">IF(OR(MOD(C$264-1,12)&gt;=11,MOD(C$264-1,12)&lt;=1),1-Inputs!$D$12,1+Inputs!$D$12/3)</f>
        <v>0.9</v>
      </c>
      <c r="D270" s="79" t="n">
        <f aca="false">IF(OR(MOD(D$264-1,12)&gt;=11,MOD(D$264-1,12)&lt;=1),1-Inputs!$D$12,1+Inputs!$D$12/3)</f>
        <v>0.9</v>
      </c>
      <c r="E270" s="79" t="n">
        <f aca="false">IF(OR(MOD(E$264-1,12)&gt;=11,MOD(E$264-1,12)&lt;=1),1-Inputs!$D$12,1+Inputs!$D$12/3)</f>
        <v>1.03333333333333</v>
      </c>
      <c r="F270" s="79" t="n">
        <f aca="false">IF(OR(MOD(F$264-1,12)&gt;=11,MOD(F$264-1,12)&lt;=1),1-Inputs!$D$12,1+Inputs!$D$12/3)</f>
        <v>1.03333333333333</v>
      </c>
      <c r="G270" s="79" t="n">
        <f aca="false">IF(OR(MOD(G$264-1,12)&gt;=11,MOD(G$264-1,12)&lt;=1),1-Inputs!$D$12,1+Inputs!$D$12/3)</f>
        <v>1.03333333333333</v>
      </c>
      <c r="H270" s="79" t="n">
        <f aca="false">IF(OR(MOD(H$264-1,12)&gt;=11,MOD(H$264-1,12)&lt;=1),1-Inputs!$D$12,1+Inputs!$D$12/3)</f>
        <v>1.03333333333333</v>
      </c>
      <c r="I270" s="79" t="n">
        <f aca="false">IF(OR(MOD(I$264-1,12)&gt;=11,MOD(I$264-1,12)&lt;=1),1-Inputs!$D$12,1+Inputs!$D$12/3)</f>
        <v>1.03333333333333</v>
      </c>
      <c r="J270" s="79" t="n">
        <f aca="false">IF(OR(MOD(J$264-1,12)&gt;=11,MOD(J$264-1,12)&lt;=1),1-Inputs!$D$12,1+Inputs!$D$12/3)</f>
        <v>1.03333333333333</v>
      </c>
      <c r="K270" s="79" t="n">
        <f aca="false">IF(OR(MOD(K$264-1,12)&gt;=11,MOD(K$264-1,12)&lt;=1),1-Inputs!$D$12,1+Inputs!$D$12/3)</f>
        <v>1.03333333333333</v>
      </c>
      <c r="L270" s="79" t="n">
        <f aca="false">IF(OR(MOD(L$264-1,12)&gt;=11,MOD(L$264-1,12)&lt;=1),1-Inputs!$D$12,1+Inputs!$D$12/3)</f>
        <v>1.03333333333333</v>
      </c>
      <c r="M270" s="79" t="n">
        <f aca="false">IF(OR(MOD(M$264-1,12)&gt;=11,MOD(M$264-1,12)&lt;=1),1-Inputs!$D$12,1+Inputs!$D$12/3)</f>
        <v>1.03333333333333</v>
      </c>
      <c r="N270" s="79" t="n">
        <f aca="false">IF(OR(MOD(N$264-1,12)&gt;=11,MOD(N$264-1,12)&lt;=1),1-Inputs!$D$12,1+Inputs!$D$12/3)</f>
        <v>0.9</v>
      </c>
      <c r="O270" s="79" t="n">
        <f aca="false">IF(OR(MOD(O$264-1,12)&gt;=11,MOD(O$264-1,12)&lt;=1),1-Inputs!$D$12,1+Inputs!$D$12/3)</f>
        <v>0.9</v>
      </c>
      <c r="P270" s="79" t="n">
        <f aca="false">IF(OR(MOD(P$264-1,12)&gt;=11,MOD(P$264-1,12)&lt;=1),1-Inputs!$D$12,1+Inputs!$D$12/3)</f>
        <v>0.9</v>
      </c>
      <c r="Q270" s="79" t="n">
        <f aca="false">IF(OR(MOD(Q$264-1,12)&gt;=11,MOD(Q$264-1,12)&lt;=1),1-Inputs!$D$12,1+Inputs!$D$12/3)</f>
        <v>1.03333333333333</v>
      </c>
      <c r="R270" s="79" t="n">
        <f aca="false">IF(OR(MOD(R$264-1,12)&gt;=11,MOD(R$264-1,12)&lt;=1),1-Inputs!$D$12,1+Inputs!$D$12/3)</f>
        <v>1.03333333333333</v>
      </c>
      <c r="S270" s="79" t="n">
        <f aca="false">IF(OR(MOD(S$264-1,12)&gt;=11,MOD(S$264-1,12)&lt;=1),1-Inputs!$D$12,1+Inputs!$D$12/3)</f>
        <v>1.03333333333333</v>
      </c>
      <c r="T270" s="79" t="n">
        <f aca="false">IF(OR(MOD(T$264-1,12)&gt;=11,MOD(T$264-1,12)&lt;=1),1-Inputs!$D$12,1+Inputs!$D$12/3)</f>
        <v>1.03333333333333</v>
      </c>
      <c r="U270" s="79" t="n">
        <f aca="false">IF(OR(MOD(U$264-1,12)&gt;=11,MOD(U$264-1,12)&lt;=1),1-Inputs!$D$12,1+Inputs!$D$12/3)</f>
        <v>1.03333333333333</v>
      </c>
      <c r="V270" s="79" t="n">
        <f aca="false">IF(OR(MOD(V$264-1,12)&gt;=11,MOD(V$264-1,12)&lt;=1),1-Inputs!$D$12,1+Inputs!$D$12/3)</f>
        <v>1.03333333333333</v>
      </c>
      <c r="W270" s="79" t="n">
        <f aca="false">IF(OR(MOD(W$264-1,12)&gt;=11,MOD(W$264-1,12)&lt;=1),1-Inputs!$D$12,1+Inputs!$D$12/3)</f>
        <v>1.03333333333333</v>
      </c>
      <c r="X270" s="79" t="n">
        <f aca="false">IF(OR(MOD(X$264-1,12)&gt;=11,MOD(X$264-1,12)&lt;=1),1-Inputs!$D$12,1+Inputs!$D$12/3)</f>
        <v>1.03333333333333</v>
      </c>
      <c r="Y270" s="79" t="n">
        <f aca="false">IF(OR(MOD(Y$264-1,12)&gt;=11,MOD(Y$264-1,12)&lt;=1),1-Inputs!$D$12,1+Inputs!$D$12/3)</f>
        <v>1.03333333333333</v>
      </c>
      <c r="Z270" s="79" t="n">
        <f aca="false">IF(OR(MOD(Z$264-1,12)&gt;=11,MOD(Z$264-1,12)&lt;=1),1-Inputs!$D$12,1+Inputs!$D$12/3)</f>
        <v>0.9</v>
      </c>
      <c r="AA270" s="79" t="n">
        <f aca="false">IF(OR(MOD(AA$264-1,12)&gt;=11,MOD(AA$264-1,12)&lt;=1),1-Inputs!$D$12,1+Inputs!$D$12/3)</f>
        <v>0.9</v>
      </c>
      <c r="AB270" s="79" t="n">
        <f aca="false">IF(OR(MOD(AB$264-1,12)&gt;=11,MOD(AB$264-1,12)&lt;=1),1-Inputs!$D$12,1+Inputs!$D$12/3)</f>
        <v>0.9</v>
      </c>
      <c r="AC270" s="79" t="n">
        <f aca="false">IF(OR(MOD(AC$264-1,12)&gt;=11,MOD(AC$264-1,12)&lt;=1),1-Inputs!$D$12,1+Inputs!$D$12/3)</f>
        <v>1.03333333333333</v>
      </c>
      <c r="AD270" s="79" t="n">
        <f aca="false">IF(OR(MOD(AD$264-1,12)&gt;=11,MOD(AD$264-1,12)&lt;=1),1-Inputs!$D$12,1+Inputs!$D$12/3)</f>
        <v>1.03333333333333</v>
      </c>
      <c r="AE270" s="79" t="n">
        <f aca="false">IF(OR(MOD(AE$264-1,12)&gt;=11,MOD(AE$264-1,12)&lt;=1),1-Inputs!$D$12,1+Inputs!$D$12/3)</f>
        <v>1.03333333333333</v>
      </c>
      <c r="AF270" s="79" t="n">
        <f aca="false">IF(OR(MOD(AF$264-1,12)&gt;=11,MOD(AF$264-1,12)&lt;=1),1-Inputs!$D$12,1+Inputs!$D$12/3)</f>
        <v>1.03333333333333</v>
      </c>
      <c r="AG270" s="79" t="n">
        <f aca="false">IF(OR(MOD(AG$264-1,12)&gt;=11,MOD(AG$264-1,12)&lt;=1),1-Inputs!$D$12,1+Inputs!$D$12/3)</f>
        <v>1.03333333333333</v>
      </c>
      <c r="AH270" s="79" t="n">
        <f aca="false">IF(OR(MOD(AH$264-1,12)&gt;=11,MOD(AH$264-1,12)&lt;=1),1-Inputs!$D$12,1+Inputs!$D$12/3)</f>
        <v>1.03333333333333</v>
      </c>
      <c r="AI270" s="79" t="n">
        <f aca="false">IF(OR(MOD(AI$264-1,12)&gt;=11,MOD(AI$264-1,12)&lt;=1),1-Inputs!$D$12,1+Inputs!$D$12/3)</f>
        <v>1.03333333333333</v>
      </c>
      <c r="AJ270" s="79" t="n">
        <f aca="false">IF(OR(MOD(AJ$264-1,12)&gt;=11,MOD(AJ$264-1,12)&lt;=1),1-Inputs!$D$12,1+Inputs!$D$12/3)</f>
        <v>1.03333333333333</v>
      </c>
      <c r="AK270" s="79" t="n">
        <f aca="false">IF(OR(MOD(AK$264-1,12)&gt;=11,MOD(AK$264-1,12)&lt;=1),1-Inputs!$D$12,1+Inputs!$D$12/3)</f>
        <v>1.03333333333333</v>
      </c>
      <c r="AL270" s="79" t="n">
        <f aca="false">IF(OR(MOD(AL$264-1,12)&gt;=11,MOD(AL$264-1,12)&lt;=1),1-Inputs!$D$12,1+Inputs!$D$12/3)</f>
        <v>0.9</v>
      </c>
    </row>
    <row r="271" customFormat="false" ht="15" hidden="false" customHeight="false" outlineLevel="0" collapsed="false">
      <c r="A271" s="6" t="s">
        <v>395</v>
      </c>
      <c r="C271" s="118" t="n">
        <f aca="false">Inputs!$D$7*(1+Inputs!$D$8)^(C$265-1)*Inputs!$D$9*1*C269*C270</f>
        <v>4019.4</v>
      </c>
      <c r="D271" s="118" t="n">
        <f aca="false">Inputs!$D$7*(1+Inputs!$D$8)^(D$265-1)*Inputs!$D$9*1*D269*D270</f>
        <v>4489.2</v>
      </c>
      <c r="E271" s="118" t="n">
        <f aca="false">Inputs!$D$7*(1+Inputs!$D$8)^(E$265-1)*Inputs!$D$9*1*E269*E270</f>
        <v>5693.66666666667</v>
      </c>
      <c r="F271" s="118" t="n">
        <f aca="false">Inputs!$D$7*(1+Inputs!$D$8)^(F$265-1)*Inputs!$D$9*1*F269*F270</f>
        <v>6233.06666666667</v>
      </c>
      <c r="G271" s="118" t="n">
        <f aca="false">Inputs!$D$7*(1+Inputs!$D$8)^(G$265-1)*Inputs!$D$9*1*G269*G270</f>
        <v>6772.46666666667</v>
      </c>
      <c r="H271" s="118" t="n">
        <f aca="false">Inputs!$D$7*(1+Inputs!$D$8)^(H$265-1)*Inputs!$D$9*1*H269*H270</f>
        <v>7311.86666666667</v>
      </c>
      <c r="I271" s="118" t="n">
        <f aca="false">Inputs!$D$7*(1+Inputs!$D$8)^(I$265-1)*Inputs!$D$9*1*I269*I270</f>
        <v>7851.26666666667</v>
      </c>
      <c r="J271" s="118" t="n">
        <f aca="false">Inputs!$D$7*(1+Inputs!$D$8)^(J$265-1)*Inputs!$D$9*1*J269*J270</f>
        <v>8390.66666666667</v>
      </c>
      <c r="K271" s="118" t="n">
        <f aca="false">Inputs!$D$7*(1+Inputs!$D$8)^(K$265-1)*Inputs!$D$9*1*K269*K270</f>
        <v>8390.66666666667</v>
      </c>
      <c r="L271" s="118" t="n">
        <f aca="false">Inputs!$D$7*(1+Inputs!$D$8)^(L$265-1)*Inputs!$D$9*1*L269*L270</f>
        <v>8390.66666666667</v>
      </c>
      <c r="M271" s="118" t="n">
        <f aca="false">Inputs!$D$7*(1+Inputs!$D$8)^(M$265-1)*Inputs!$D$9*1*M269*M270</f>
        <v>8390.66666666667</v>
      </c>
      <c r="N271" s="118" t="n">
        <f aca="false">Inputs!$D$7*(1+Inputs!$D$8)^(N$265-1)*Inputs!$D$9*1*N269*N270</f>
        <v>7308</v>
      </c>
      <c r="O271" s="118" t="n">
        <f aca="false">Inputs!$D$7*(1+Inputs!$D$8)^(O$265-1)*Inputs!$D$9*1*O269*O270</f>
        <v>7746.48</v>
      </c>
      <c r="P271" s="118" t="n">
        <f aca="false">Inputs!$D$7*(1+Inputs!$D$8)^(P$265-1)*Inputs!$D$9*1*P269*P270</f>
        <v>7746.48</v>
      </c>
      <c r="Q271" s="118" t="n">
        <f aca="false">Inputs!$D$7*(1+Inputs!$D$8)^(Q$265-1)*Inputs!$D$9*1*Q269*Q270</f>
        <v>8894.10666666667</v>
      </c>
      <c r="R271" s="118" t="n">
        <f aca="false">Inputs!$D$7*(1+Inputs!$D$8)^(R$265-1)*Inputs!$D$9*1*R269*R270</f>
        <v>8894.10666666667</v>
      </c>
      <c r="S271" s="118" t="n">
        <f aca="false">Inputs!$D$7*(1+Inputs!$D$8)^(S$265-1)*Inputs!$D$9*1*S269*S270</f>
        <v>8894.10666666667</v>
      </c>
      <c r="T271" s="118" t="n">
        <f aca="false">Inputs!$D$7*(1+Inputs!$D$8)^(T$265-1)*Inputs!$D$9*1*T269*T270</f>
        <v>8894.10666666667</v>
      </c>
      <c r="U271" s="118" t="n">
        <f aca="false">Inputs!$D$7*(1+Inputs!$D$8)^(U$265-1)*Inputs!$D$9*1*U269*U270</f>
        <v>8894.10666666667</v>
      </c>
      <c r="V271" s="118" t="n">
        <f aca="false">Inputs!$D$7*(1+Inputs!$D$8)^(V$265-1)*Inputs!$D$9*1*V269*V270</f>
        <v>8894.10666666667</v>
      </c>
      <c r="W271" s="118" t="n">
        <f aca="false">Inputs!$D$7*(1+Inputs!$D$8)^(W$265-1)*Inputs!$D$9*1*W269*W270</f>
        <v>8894.10666666667</v>
      </c>
      <c r="X271" s="118" t="n">
        <f aca="false">Inputs!$D$7*(1+Inputs!$D$8)^(X$265-1)*Inputs!$D$9*1*X269*X270</f>
        <v>8894.10666666667</v>
      </c>
      <c r="Y271" s="118" t="n">
        <f aca="false">Inputs!$D$7*(1+Inputs!$D$8)^(Y$265-1)*Inputs!$D$9*1*Y269*Y270</f>
        <v>8894.10666666667</v>
      </c>
      <c r="Z271" s="118" t="n">
        <f aca="false">Inputs!$D$7*(1+Inputs!$D$8)^(Z$265-1)*Inputs!$D$9*1*Z269*Z270</f>
        <v>7746.48</v>
      </c>
      <c r="AA271" s="118" t="n">
        <f aca="false">Inputs!$D$7*(1+Inputs!$D$8)^(AA$265-1)*Inputs!$D$9*1*AA269*AA270</f>
        <v>8211.2688</v>
      </c>
      <c r="AB271" s="118" t="n">
        <f aca="false">Inputs!$D$7*(1+Inputs!$D$8)^(AB$265-1)*Inputs!$D$9*1*AB269*AB270</f>
        <v>8211.2688</v>
      </c>
      <c r="AC271" s="118" t="n">
        <f aca="false">Inputs!$D$7*(1+Inputs!$D$8)^(AC$265-1)*Inputs!$D$9*1*AC269*AC270</f>
        <v>9427.75306666667</v>
      </c>
      <c r="AD271" s="118" t="n">
        <f aca="false">Inputs!$D$7*(1+Inputs!$D$8)^(AD$265-1)*Inputs!$D$9*1*AD269*AD270</f>
        <v>9427.75306666667</v>
      </c>
      <c r="AE271" s="118" t="n">
        <f aca="false">Inputs!$D$7*(1+Inputs!$D$8)^(AE$265-1)*Inputs!$D$9*1*AE269*AE270</f>
        <v>9427.75306666667</v>
      </c>
      <c r="AF271" s="118" t="n">
        <f aca="false">Inputs!$D$7*(1+Inputs!$D$8)^(AF$265-1)*Inputs!$D$9*1*AF269*AF270</f>
        <v>9427.75306666667</v>
      </c>
      <c r="AG271" s="118" t="n">
        <f aca="false">Inputs!$D$7*(1+Inputs!$D$8)^(AG$265-1)*Inputs!$D$9*1*AG269*AG270</f>
        <v>9427.75306666667</v>
      </c>
      <c r="AH271" s="118" t="n">
        <f aca="false">Inputs!$D$7*(1+Inputs!$D$8)^(AH$265-1)*Inputs!$D$9*1*AH269*AH270</f>
        <v>9427.75306666667</v>
      </c>
      <c r="AI271" s="118" t="n">
        <f aca="false">Inputs!$D$7*(1+Inputs!$D$8)^(AI$265-1)*Inputs!$D$9*1*AI269*AI270</f>
        <v>9427.75306666667</v>
      </c>
      <c r="AJ271" s="118" t="n">
        <f aca="false">Inputs!$D$7*(1+Inputs!$D$8)^(AJ$265-1)*Inputs!$D$9*1*AJ269*AJ270</f>
        <v>9427.75306666667</v>
      </c>
      <c r="AK271" s="118" t="n">
        <f aca="false">Inputs!$D$7*(1+Inputs!$D$8)^(AK$265-1)*Inputs!$D$9*1*AK269*AK270</f>
        <v>9427.75306666667</v>
      </c>
      <c r="AL271" s="118" t="n">
        <f aca="false">Inputs!$D$7*(1+Inputs!$D$8)^(AL$265-1)*Inputs!$D$9*1*AL269*AL270</f>
        <v>8211.2688</v>
      </c>
    </row>
    <row r="273" customFormat="false" ht="15.75" hidden="false" customHeight="true" outlineLevel="0" collapsed="false">
      <c r="A273" s="7" t="s">
        <v>396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customFormat="false" ht="15" hidden="false" customHeight="false" outlineLevel="0" collapsed="false">
      <c r="A274" s="6" t="s">
        <v>397</v>
      </c>
      <c r="C274" s="117" t="n">
        <f aca="false">C271*Inputs!$D$23</f>
        <v>40.194</v>
      </c>
      <c r="D274" s="117" t="n">
        <f aca="false">D271*Inputs!$D$23</f>
        <v>44.892</v>
      </c>
      <c r="E274" s="117" t="n">
        <f aca="false">E271*Inputs!$D$23</f>
        <v>56.9366666666667</v>
      </c>
      <c r="F274" s="117" t="n">
        <f aca="false">F271*Inputs!$D$23</f>
        <v>62.3306666666667</v>
      </c>
      <c r="G274" s="117" t="n">
        <f aca="false">G271*Inputs!$D$23</f>
        <v>67.7246666666667</v>
      </c>
      <c r="H274" s="117" t="n">
        <f aca="false">H271*Inputs!$D$23</f>
        <v>73.1186666666667</v>
      </c>
      <c r="I274" s="117" t="n">
        <f aca="false">I271*Inputs!$D$23</f>
        <v>78.5126666666667</v>
      </c>
      <c r="J274" s="117" t="n">
        <f aca="false">J271*Inputs!$D$23</f>
        <v>83.9066666666667</v>
      </c>
      <c r="K274" s="117" t="n">
        <f aca="false">K271*Inputs!$D$23</f>
        <v>83.9066666666667</v>
      </c>
      <c r="L274" s="117" t="n">
        <f aca="false">L271*Inputs!$D$23</f>
        <v>83.9066666666667</v>
      </c>
      <c r="M274" s="117" t="n">
        <f aca="false">M271*Inputs!$D$23</f>
        <v>83.9066666666667</v>
      </c>
      <c r="N274" s="117" t="n">
        <f aca="false">N271*Inputs!$D$23</f>
        <v>73.08</v>
      </c>
      <c r="O274" s="117" t="n">
        <f aca="false">O271*Inputs!$D$23</f>
        <v>77.4648</v>
      </c>
      <c r="P274" s="117" t="n">
        <f aca="false">P271*Inputs!$D$23</f>
        <v>77.4648</v>
      </c>
      <c r="Q274" s="117" t="n">
        <f aca="false">Q271*Inputs!$D$23</f>
        <v>88.9410666666667</v>
      </c>
      <c r="R274" s="117" t="n">
        <f aca="false">R271*Inputs!$D$23</f>
        <v>88.9410666666667</v>
      </c>
      <c r="S274" s="117" t="n">
        <f aca="false">S271*Inputs!$D$23</f>
        <v>88.9410666666667</v>
      </c>
      <c r="T274" s="117" t="n">
        <f aca="false">T271*Inputs!$D$23</f>
        <v>88.9410666666667</v>
      </c>
      <c r="U274" s="117" t="n">
        <f aca="false">U271*Inputs!$D$23</f>
        <v>88.9410666666667</v>
      </c>
      <c r="V274" s="117" t="n">
        <f aca="false">V271*Inputs!$D$23</f>
        <v>88.9410666666667</v>
      </c>
      <c r="W274" s="117" t="n">
        <f aca="false">W271*Inputs!$D$23</f>
        <v>88.9410666666667</v>
      </c>
      <c r="X274" s="117" t="n">
        <f aca="false">X271*Inputs!$D$23</f>
        <v>88.9410666666667</v>
      </c>
      <c r="Y274" s="117" t="n">
        <f aca="false">Y271*Inputs!$D$23</f>
        <v>88.9410666666667</v>
      </c>
      <c r="Z274" s="117" t="n">
        <f aca="false">Z271*Inputs!$D$23</f>
        <v>77.4648</v>
      </c>
      <c r="AA274" s="117" t="n">
        <f aca="false">AA271*Inputs!$D$23</f>
        <v>82.112688</v>
      </c>
      <c r="AB274" s="117" t="n">
        <f aca="false">AB271*Inputs!$D$23</f>
        <v>82.112688</v>
      </c>
      <c r="AC274" s="117" t="n">
        <f aca="false">AC271*Inputs!$D$23</f>
        <v>94.2775306666667</v>
      </c>
      <c r="AD274" s="117" t="n">
        <f aca="false">AD271*Inputs!$D$23</f>
        <v>94.2775306666667</v>
      </c>
      <c r="AE274" s="117" t="n">
        <f aca="false">AE271*Inputs!$D$23</f>
        <v>94.2775306666667</v>
      </c>
      <c r="AF274" s="117" t="n">
        <f aca="false">AF271*Inputs!$D$23</f>
        <v>94.2775306666667</v>
      </c>
      <c r="AG274" s="117" t="n">
        <f aca="false">AG271*Inputs!$D$23</f>
        <v>94.2775306666667</v>
      </c>
      <c r="AH274" s="117" t="n">
        <f aca="false">AH271*Inputs!$D$23</f>
        <v>94.2775306666667</v>
      </c>
      <c r="AI274" s="117" t="n">
        <f aca="false">AI271*Inputs!$D$23</f>
        <v>94.2775306666667</v>
      </c>
      <c r="AJ274" s="117" t="n">
        <f aca="false">AJ271*Inputs!$D$23</f>
        <v>94.2775306666667</v>
      </c>
      <c r="AK274" s="117" t="n">
        <f aca="false">AK271*Inputs!$D$23</f>
        <v>94.2775306666667</v>
      </c>
      <c r="AL274" s="117" t="n">
        <f aca="false">AL271*Inputs!$D$23</f>
        <v>82.112688</v>
      </c>
    </row>
    <row r="275" customFormat="false" ht="15" hidden="false" customHeight="false" outlineLevel="0" collapsed="false">
      <c r="A275" s="6" t="s">
        <v>398</v>
      </c>
      <c r="C275" s="117" t="n">
        <f aca="false">Inputs!$D$21*(1+Inputs!$D$22)^(C$265-1)*1*C269</f>
        <v>33</v>
      </c>
      <c r="D275" s="117" t="n">
        <f aca="false">Inputs!$D$21*(1+Inputs!$D$22)^(D$265-1)*1*D269</f>
        <v>36.8571428571429</v>
      </c>
      <c r="E275" s="117" t="n">
        <f aca="false">Inputs!$D$21*(1+Inputs!$D$22)^(E$265-1)*1*E269</f>
        <v>40.7142857142857</v>
      </c>
      <c r="F275" s="117" t="n">
        <f aca="false">Inputs!$D$21*(1+Inputs!$D$22)^(F$265-1)*1*F269</f>
        <v>44.5714285714286</v>
      </c>
      <c r="G275" s="117" t="n">
        <f aca="false">Inputs!$D$21*(1+Inputs!$D$22)^(G$265-1)*1*G269</f>
        <v>48.4285714285714</v>
      </c>
      <c r="H275" s="117" t="n">
        <f aca="false">Inputs!$D$21*(1+Inputs!$D$22)^(H$265-1)*1*H269</f>
        <v>52.2857142857143</v>
      </c>
      <c r="I275" s="117" t="n">
        <f aca="false">Inputs!$D$21*(1+Inputs!$D$22)^(I$265-1)*1*I269</f>
        <v>56.1428571428571</v>
      </c>
      <c r="J275" s="117" t="n">
        <f aca="false">Inputs!$D$21*(1+Inputs!$D$22)^(J$265-1)*1*J269</f>
        <v>60</v>
      </c>
      <c r="K275" s="117" t="n">
        <f aca="false">Inputs!$D$21*(1+Inputs!$D$22)^(K$265-1)*1*K269</f>
        <v>60</v>
      </c>
      <c r="L275" s="117" t="n">
        <f aca="false">Inputs!$D$21*(1+Inputs!$D$22)^(L$265-1)*1*L269</f>
        <v>60</v>
      </c>
      <c r="M275" s="117" t="n">
        <f aca="false">Inputs!$D$21*(1+Inputs!$D$22)^(M$265-1)*1*M269</f>
        <v>60</v>
      </c>
      <c r="N275" s="117" t="n">
        <f aca="false">Inputs!$D$21*(1+Inputs!$D$22)^(N$265-1)*1*N269</f>
        <v>60</v>
      </c>
      <c r="O275" s="117" t="n">
        <f aca="false">Inputs!$D$21*(1+Inputs!$D$22)^(O$265-1)*1*O269</f>
        <v>66</v>
      </c>
      <c r="P275" s="117" t="n">
        <f aca="false">Inputs!$D$21*(1+Inputs!$D$22)^(P$265-1)*1*P269</f>
        <v>66</v>
      </c>
      <c r="Q275" s="117" t="n">
        <f aca="false">Inputs!$D$21*(1+Inputs!$D$22)^(Q$265-1)*1*Q269</f>
        <v>66</v>
      </c>
      <c r="R275" s="117" t="n">
        <f aca="false">Inputs!$D$21*(1+Inputs!$D$22)^(R$265-1)*1*R269</f>
        <v>66</v>
      </c>
      <c r="S275" s="117" t="n">
        <f aca="false">Inputs!$D$21*(1+Inputs!$D$22)^(S$265-1)*1*S269</f>
        <v>66</v>
      </c>
      <c r="T275" s="117" t="n">
        <f aca="false">Inputs!$D$21*(1+Inputs!$D$22)^(T$265-1)*1*T269</f>
        <v>66</v>
      </c>
      <c r="U275" s="117" t="n">
        <f aca="false">Inputs!$D$21*(1+Inputs!$D$22)^(U$265-1)*1*U269</f>
        <v>66</v>
      </c>
      <c r="V275" s="117" t="n">
        <f aca="false">Inputs!$D$21*(1+Inputs!$D$22)^(V$265-1)*1*V269</f>
        <v>66</v>
      </c>
      <c r="W275" s="117" t="n">
        <f aca="false">Inputs!$D$21*(1+Inputs!$D$22)^(W$265-1)*1*W269</f>
        <v>66</v>
      </c>
      <c r="X275" s="117" t="n">
        <f aca="false">Inputs!$D$21*(1+Inputs!$D$22)^(X$265-1)*1*X269</f>
        <v>66</v>
      </c>
      <c r="Y275" s="117" t="n">
        <f aca="false">Inputs!$D$21*(1+Inputs!$D$22)^(Y$265-1)*1*Y269</f>
        <v>66</v>
      </c>
      <c r="Z275" s="117" t="n">
        <f aca="false">Inputs!$D$21*(1+Inputs!$D$22)^(Z$265-1)*1*Z269</f>
        <v>66</v>
      </c>
      <c r="AA275" s="117" t="n">
        <f aca="false">Inputs!$D$21*(1+Inputs!$D$22)^(AA$265-1)*1*AA269</f>
        <v>72.6</v>
      </c>
      <c r="AB275" s="117" t="n">
        <f aca="false">Inputs!$D$21*(1+Inputs!$D$22)^(AB$265-1)*1*AB269</f>
        <v>72.6</v>
      </c>
      <c r="AC275" s="117" t="n">
        <f aca="false">Inputs!$D$21*(1+Inputs!$D$22)^(AC$265-1)*1*AC269</f>
        <v>72.6</v>
      </c>
      <c r="AD275" s="117" t="n">
        <f aca="false">Inputs!$D$21*(1+Inputs!$D$22)^(AD$265-1)*1*AD269</f>
        <v>72.6</v>
      </c>
      <c r="AE275" s="117" t="n">
        <f aca="false">Inputs!$D$21*(1+Inputs!$D$22)^(AE$265-1)*1*AE269</f>
        <v>72.6</v>
      </c>
      <c r="AF275" s="117" t="n">
        <f aca="false">Inputs!$D$21*(1+Inputs!$D$22)^(AF$265-1)*1*AF269</f>
        <v>72.6</v>
      </c>
      <c r="AG275" s="117" t="n">
        <f aca="false">Inputs!$D$21*(1+Inputs!$D$22)^(AG$265-1)*1*AG269</f>
        <v>72.6</v>
      </c>
      <c r="AH275" s="117" t="n">
        <f aca="false">Inputs!$D$21*(1+Inputs!$D$22)^(AH$265-1)*1*AH269</f>
        <v>72.6</v>
      </c>
      <c r="AI275" s="117" t="n">
        <f aca="false">Inputs!$D$21*(1+Inputs!$D$22)^(AI$265-1)*1*AI269</f>
        <v>72.6</v>
      </c>
      <c r="AJ275" s="117" t="n">
        <f aca="false">Inputs!$D$21*(1+Inputs!$D$22)^(AJ$265-1)*1*AJ269</f>
        <v>72.6</v>
      </c>
      <c r="AK275" s="117" t="n">
        <f aca="false">Inputs!$D$21*(1+Inputs!$D$22)^(AK$265-1)*1*AK269</f>
        <v>72.6</v>
      </c>
      <c r="AL275" s="117" t="n">
        <f aca="false">Inputs!$D$21*(1+Inputs!$D$22)^(AL$265-1)*1*AL269</f>
        <v>72.6</v>
      </c>
    </row>
    <row r="276" customFormat="false" ht="15" hidden="false" customHeight="false" outlineLevel="0" collapsed="false">
      <c r="A276" s="4" t="s">
        <v>399</v>
      </c>
      <c r="C276" s="119" t="n">
        <f aca="false">C274+C275</f>
        <v>73.194</v>
      </c>
      <c r="D276" s="119" t="n">
        <f aca="false">D274+D275</f>
        <v>81.7491428571429</v>
      </c>
      <c r="E276" s="119" t="n">
        <f aca="false">E274+E275</f>
        <v>97.6509523809524</v>
      </c>
      <c r="F276" s="119" t="n">
        <f aca="false">F274+F275</f>
        <v>106.902095238095</v>
      </c>
      <c r="G276" s="119" t="n">
        <f aca="false">G274+G275</f>
        <v>116.153238095238</v>
      </c>
      <c r="H276" s="119" t="n">
        <f aca="false">H274+H275</f>
        <v>125.404380952381</v>
      </c>
      <c r="I276" s="119" t="n">
        <f aca="false">I274+I275</f>
        <v>134.655523809524</v>
      </c>
      <c r="J276" s="119" t="n">
        <f aca="false">J274+J275</f>
        <v>143.906666666667</v>
      </c>
      <c r="K276" s="119" t="n">
        <f aca="false">K274+K275</f>
        <v>143.906666666667</v>
      </c>
      <c r="L276" s="119" t="n">
        <f aca="false">L274+L275</f>
        <v>143.906666666667</v>
      </c>
      <c r="M276" s="119" t="n">
        <f aca="false">M274+M275</f>
        <v>143.906666666667</v>
      </c>
      <c r="N276" s="119" t="n">
        <f aca="false">N274+N275</f>
        <v>133.08</v>
      </c>
      <c r="O276" s="119" t="n">
        <f aca="false">O274+O275</f>
        <v>143.4648</v>
      </c>
      <c r="P276" s="119" t="n">
        <f aca="false">P274+P275</f>
        <v>143.4648</v>
      </c>
      <c r="Q276" s="119" t="n">
        <f aca="false">Q274+Q275</f>
        <v>154.941066666667</v>
      </c>
      <c r="R276" s="119" t="n">
        <f aca="false">R274+R275</f>
        <v>154.941066666667</v>
      </c>
      <c r="S276" s="119" t="n">
        <f aca="false">S274+S275</f>
        <v>154.941066666667</v>
      </c>
      <c r="T276" s="119" t="n">
        <f aca="false">T274+T275</f>
        <v>154.941066666667</v>
      </c>
      <c r="U276" s="119" t="n">
        <f aca="false">U274+U275</f>
        <v>154.941066666667</v>
      </c>
      <c r="V276" s="119" t="n">
        <f aca="false">V274+V275</f>
        <v>154.941066666667</v>
      </c>
      <c r="W276" s="119" t="n">
        <f aca="false">W274+W275</f>
        <v>154.941066666667</v>
      </c>
      <c r="X276" s="119" t="n">
        <f aca="false">X274+X275</f>
        <v>154.941066666667</v>
      </c>
      <c r="Y276" s="119" t="n">
        <f aca="false">Y274+Y275</f>
        <v>154.941066666667</v>
      </c>
      <c r="Z276" s="119" t="n">
        <f aca="false">Z274+Z275</f>
        <v>143.4648</v>
      </c>
      <c r="AA276" s="119" t="n">
        <f aca="false">AA274+AA275</f>
        <v>154.712688</v>
      </c>
      <c r="AB276" s="119" t="n">
        <f aca="false">AB274+AB275</f>
        <v>154.712688</v>
      </c>
      <c r="AC276" s="119" t="n">
        <f aca="false">AC274+AC275</f>
        <v>166.877530666667</v>
      </c>
      <c r="AD276" s="119" t="n">
        <f aca="false">AD274+AD275</f>
        <v>166.877530666667</v>
      </c>
      <c r="AE276" s="119" t="n">
        <f aca="false">AE274+AE275</f>
        <v>166.877530666667</v>
      </c>
      <c r="AF276" s="119" t="n">
        <f aca="false">AF274+AF275</f>
        <v>166.877530666667</v>
      </c>
      <c r="AG276" s="119" t="n">
        <f aca="false">AG274+AG275</f>
        <v>166.877530666667</v>
      </c>
      <c r="AH276" s="119" t="n">
        <f aca="false">AH274+AH275</f>
        <v>166.877530666667</v>
      </c>
      <c r="AI276" s="119" t="n">
        <f aca="false">AI274+AI275</f>
        <v>166.877530666667</v>
      </c>
      <c r="AJ276" s="119" t="n">
        <f aca="false">AJ274+AJ275</f>
        <v>166.877530666667</v>
      </c>
      <c r="AK276" s="119" t="n">
        <f aca="false">AK274+AK275</f>
        <v>166.877530666667</v>
      </c>
      <c r="AL276" s="119" t="n">
        <f aca="false">AL274+AL275</f>
        <v>154.712688</v>
      </c>
    </row>
    <row r="277" customFormat="false" ht="15" hidden="false" customHeight="false" outlineLevel="0" collapsed="false">
      <c r="A277" s="6" t="s">
        <v>400</v>
      </c>
      <c r="C277" s="120" t="n">
        <f aca="false">Inputs!$D$20</f>
        <v>350</v>
      </c>
      <c r="D277" s="117" t="n">
        <f aca="false">C279</f>
        <v>411.994</v>
      </c>
      <c r="E277" s="117" t="n">
        <f aca="false">D279</f>
        <v>480.559334857143</v>
      </c>
      <c r="F277" s="117" t="n">
        <f aca="false">E279</f>
        <v>562.832388522667</v>
      </c>
      <c r="G277" s="117" t="n">
        <f aca="false">F279</f>
        <v>651.723847328037</v>
      </c>
      <c r="H277" s="117" t="n">
        <f aca="false">G279</f>
        <v>747.021922308777</v>
      </c>
      <c r="I277" s="117" t="n">
        <f aca="false">H279</f>
        <v>848.521601747278</v>
      </c>
      <c r="J277" s="117" t="n">
        <f aca="false">I279</f>
        <v>956.024434300888</v>
      </c>
      <c r="K277" s="117" t="n">
        <f aca="false">J279</f>
        <v>1069.33831906993</v>
      </c>
      <c r="L277" s="117" t="n">
        <f aca="false">K279</f>
        <v>1179.02615952636</v>
      </c>
      <c r="M277" s="117" t="n">
        <f aca="false">L279</f>
        <v>1285.20398908818</v>
      </c>
      <c r="N277" s="117" t="n">
        <f aca="false">M279</f>
        <v>1387.98412810402</v>
      </c>
      <c r="O277" s="117" t="n">
        <f aca="false">N279</f>
        <v>1476.6486360047</v>
      </c>
      <c r="P277" s="117" t="n">
        <f aca="false">O279</f>
        <v>1572.86067965254</v>
      </c>
      <c r="Q277" s="117" t="n">
        <f aca="false">P279</f>
        <v>1665.99393790366</v>
      </c>
      <c r="R277" s="117" t="n">
        <f aca="false">Q279</f>
        <v>1767.62319855741</v>
      </c>
      <c r="S277" s="117" t="n">
        <f aca="false">R279</f>
        <v>1866.00032287024</v>
      </c>
      <c r="T277" s="117" t="n">
        <f aca="false">S279</f>
        <v>1961.22937920506</v>
      </c>
      <c r="U277" s="117" t="n">
        <f aca="false">T279</f>
        <v>2053.41110573717</v>
      </c>
      <c r="V277" s="117" t="n">
        <f aca="false">U279</f>
        <v>2142.64301702024</v>
      </c>
      <c r="W277" s="117" t="n">
        <f aca="false">V279</f>
        <v>2229.01950714226</v>
      </c>
      <c r="X277" s="117" t="n">
        <f aca="false">W279</f>
        <v>2312.63194958038</v>
      </c>
      <c r="Y277" s="117" t="n">
        <f aca="false">X279</f>
        <v>2393.56879386047</v>
      </c>
      <c r="Z277" s="117" t="n">
        <f aca="false">Y279</f>
        <v>2471.9156591236</v>
      </c>
      <c r="AA277" s="117" t="n">
        <f aca="false">Z279</f>
        <v>2536.27915803165</v>
      </c>
      <c r="AB277" s="117" t="n">
        <f aca="false">AA279</f>
        <v>2609.83091297463</v>
      </c>
      <c r="AC277" s="117" t="n">
        <f aca="false">AB279</f>
        <v>2681.02901175945</v>
      </c>
      <c r="AD277" s="117" t="n">
        <f aca="false">AC279</f>
        <v>2762.11361404981</v>
      </c>
      <c r="AE277" s="117" t="n">
        <f aca="false">AD279</f>
        <v>2840.60350906688</v>
      </c>
      <c r="AF277" s="117" t="n">
        <f aca="false">AE279</f>
        <v>2916.58172744341</v>
      </c>
      <c r="AG277" s="117" t="n">
        <f aca="false">AF279</f>
        <v>2990.12864283189</v>
      </c>
      <c r="AH277" s="117" t="n">
        <f aca="false">AG279</f>
        <v>3061.32205692793</v>
      </c>
      <c r="AI277" s="117" t="n">
        <f aca="false">AH279</f>
        <v>3130.23728177291</v>
      </c>
      <c r="AJ277" s="117" t="n">
        <f aca="false">AI279</f>
        <v>3196.94721942284</v>
      </c>
      <c r="AK277" s="117" t="n">
        <f aca="false">AJ279</f>
        <v>3261.52243906798</v>
      </c>
      <c r="AL277" s="117" t="n">
        <f aca="false">AK279</f>
        <v>3324.03125168447</v>
      </c>
    </row>
    <row r="278" customFormat="false" ht="15" hidden="false" customHeight="false" outlineLevel="0" collapsed="false">
      <c r="A278" s="6" t="s">
        <v>401</v>
      </c>
      <c r="C278" s="117" t="n">
        <f aca="false">C279-C277-C276</f>
        <v>-11.2</v>
      </c>
      <c r="D278" s="117" t="n">
        <f aca="false">D279-D277-D276</f>
        <v>-13.183808</v>
      </c>
      <c r="E278" s="117" t="n">
        <f aca="false">E279-E277-E276</f>
        <v>-15.3778987154286</v>
      </c>
      <c r="F278" s="117" t="n">
        <f aca="false">F279-F277-F276</f>
        <v>-18.0106364327254</v>
      </c>
      <c r="G278" s="117" t="n">
        <f aca="false">G279-G277-G276</f>
        <v>-20.8551631144972</v>
      </c>
      <c r="H278" s="117" t="n">
        <f aca="false">H279-H277-H276</f>
        <v>-23.9047015138809</v>
      </c>
      <c r="I278" s="117" t="n">
        <f aca="false">I279-I277-I276</f>
        <v>-27.1526912559129</v>
      </c>
      <c r="J278" s="117" t="n">
        <f aca="false">J279-J277-J276</f>
        <v>-30.5927818976284</v>
      </c>
      <c r="K278" s="117" t="n">
        <f aca="false">K279-K277-K276</f>
        <v>-34.2188262102376</v>
      </c>
      <c r="L278" s="117" t="n">
        <f aca="false">L279-L277-L276</f>
        <v>-37.7288371048434</v>
      </c>
      <c r="M278" s="117" t="n">
        <f aca="false">M279-M277-M276</f>
        <v>-41.1265276508217</v>
      </c>
      <c r="N278" s="117" t="n">
        <f aca="false">N279-N277-N276</f>
        <v>-44.4154920993288</v>
      </c>
      <c r="O278" s="117" t="n">
        <f aca="false">O279-O277-O276</f>
        <v>-47.2527563521504</v>
      </c>
      <c r="P278" s="117" t="n">
        <f aca="false">P279-P277-P276</f>
        <v>-50.3315417488817</v>
      </c>
      <c r="Q278" s="117" t="n">
        <f aca="false">Q279-Q277-Q276</f>
        <v>-53.3118060129172</v>
      </c>
      <c r="R278" s="117" t="n">
        <f aca="false">R279-R277-R276</f>
        <v>-56.5639423538373</v>
      </c>
      <c r="S278" s="117" t="n">
        <f aca="false">S279-S277-S276</f>
        <v>-59.7120103318477</v>
      </c>
      <c r="T278" s="117" t="n">
        <f aca="false">T279-T277-T276</f>
        <v>-62.7593401345623</v>
      </c>
      <c r="U278" s="117" t="n">
        <f aca="false">U279-U277-U276</f>
        <v>-65.7091553835894</v>
      </c>
      <c r="V278" s="117" t="n">
        <f aca="false">V279-V277-V276</f>
        <v>-68.5645765446479</v>
      </c>
      <c r="W278" s="117" t="n">
        <f aca="false">W279-W277-W276</f>
        <v>-71.3286242285525</v>
      </c>
      <c r="X278" s="117" t="n">
        <f aca="false">X279-X277-X276</f>
        <v>-74.0042223865721</v>
      </c>
      <c r="Y278" s="117" t="n">
        <f aca="false">Y279-Y277-Y276</f>
        <v>-76.5942014035349</v>
      </c>
      <c r="Z278" s="117" t="n">
        <f aca="false">Z279-Z277-Z276</f>
        <v>-79.1013010919554</v>
      </c>
      <c r="AA278" s="117" t="n">
        <f aca="false">AA279-AA277-AA276</f>
        <v>-81.1609330570126</v>
      </c>
      <c r="AB278" s="117" t="n">
        <f aca="false">AB279-AB277-AB276</f>
        <v>-83.5145892151881</v>
      </c>
      <c r="AC278" s="117" t="n">
        <f aca="false">AC279-AC277-AC276</f>
        <v>-85.7929283763024</v>
      </c>
      <c r="AD278" s="117" t="n">
        <f aca="false">AD279-AD277-AD276</f>
        <v>-88.387635649594</v>
      </c>
      <c r="AE278" s="117" t="n">
        <f aca="false">AE279-AE277-AE276</f>
        <v>-90.8993122901402</v>
      </c>
      <c r="AF278" s="117" t="n">
        <f aca="false">AF279-AF277-AF276</f>
        <v>-93.3306152781893</v>
      </c>
      <c r="AG278" s="117" t="n">
        <f aca="false">AG279-AG277-AG276</f>
        <v>-95.6841165706206</v>
      </c>
      <c r="AH278" s="117" t="n">
        <f aca="false">AH279-AH277-AH276</f>
        <v>-97.962305821694</v>
      </c>
      <c r="AI278" s="117" t="n">
        <f aca="false">AI279-AI277-AI276</f>
        <v>-100.167593016733</v>
      </c>
      <c r="AJ278" s="117" t="n">
        <f aca="false">AJ279-AJ277-AJ276</f>
        <v>-102.302311021531</v>
      </c>
      <c r="AK278" s="117" t="n">
        <f aca="false">AK279-AK277-AK276</f>
        <v>-104.368718050175</v>
      </c>
      <c r="AL278" s="117" t="n">
        <f aca="false">AL279-AL277-AL276</f>
        <v>-106.369000053903</v>
      </c>
    </row>
    <row r="279" customFormat="false" ht="15" hidden="false" customHeight="false" outlineLevel="0" collapsed="false">
      <c r="A279" s="4" t="s">
        <v>402</v>
      </c>
      <c r="C279" s="119" t="n">
        <f aca="false">C277*(1-Inputs!$D$24)+C276</f>
        <v>411.994</v>
      </c>
      <c r="D279" s="119" t="n">
        <f aca="false">D277*(1-Inputs!$D$24)+D276</f>
        <v>480.559334857143</v>
      </c>
      <c r="E279" s="119" t="n">
        <f aca="false">E277*(1-Inputs!$D$24)+E276</f>
        <v>562.832388522667</v>
      </c>
      <c r="F279" s="119" t="n">
        <f aca="false">F277*(1-Inputs!$D$24)+F276</f>
        <v>651.723847328037</v>
      </c>
      <c r="G279" s="119" t="n">
        <f aca="false">G277*(1-Inputs!$D$24)+G276</f>
        <v>747.021922308777</v>
      </c>
      <c r="H279" s="119" t="n">
        <f aca="false">H277*(1-Inputs!$D$24)+H276</f>
        <v>848.521601747278</v>
      </c>
      <c r="I279" s="119" t="n">
        <f aca="false">I277*(1-Inputs!$D$24)+I276</f>
        <v>956.024434300888</v>
      </c>
      <c r="J279" s="119" t="n">
        <f aca="false">J277*(1-Inputs!$D$24)+J276</f>
        <v>1069.33831906993</v>
      </c>
      <c r="K279" s="119" t="n">
        <f aca="false">K277*(1-Inputs!$D$24)+K276</f>
        <v>1179.02615952636</v>
      </c>
      <c r="L279" s="119" t="n">
        <f aca="false">L277*(1-Inputs!$D$24)+L276</f>
        <v>1285.20398908818</v>
      </c>
      <c r="M279" s="119" t="n">
        <f aca="false">M277*(1-Inputs!$D$24)+M276</f>
        <v>1387.98412810402</v>
      </c>
      <c r="N279" s="119" t="n">
        <f aca="false">N277*(1-Inputs!$D$24)+N276</f>
        <v>1476.6486360047</v>
      </c>
      <c r="O279" s="119" t="n">
        <f aca="false">O277*(1-Inputs!$D$24)+O276</f>
        <v>1572.86067965254</v>
      </c>
      <c r="P279" s="119" t="n">
        <f aca="false">P277*(1-Inputs!$D$24)+P276</f>
        <v>1665.99393790366</v>
      </c>
      <c r="Q279" s="119" t="n">
        <f aca="false">Q277*(1-Inputs!$D$24)+Q276</f>
        <v>1767.62319855741</v>
      </c>
      <c r="R279" s="119" t="n">
        <f aca="false">R277*(1-Inputs!$D$24)+R276</f>
        <v>1866.00032287024</v>
      </c>
      <c r="S279" s="119" t="n">
        <f aca="false">S277*(1-Inputs!$D$24)+S276</f>
        <v>1961.22937920506</v>
      </c>
      <c r="T279" s="119" t="n">
        <f aca="false">T277*(1-Inputs!$D$24)+T276</f>
        <v>2053.41110573717</v>
      </c>
      <c r="U279" s="119" t="n">
        <f aca="false">U277*(1-Inputs!$D$24)+U276</f>
        <v>2142.64301702024</v>
      </c>
      <c r="V279" s="119" t="n">
        <f aca="false">V277*(1-Inputs!$D$24)+V276</f>
        <v>2229.01950714226</v>
      </c>
      <c r="W279" s="119" t="n">
        <f aca="false">W277*(1-Inputs!$D$24)+W276</f>
        <v>2312.63194958038</v>
      </c>
      <c r="X279" s="119" t="n">
        <f aca="false">X277*(1-Inputs!$D$24)+X276</f>
        <v>2393.56879386047</v>
      </c>
      <c r="Y279" s="119" t="n">
        <f aca="false">Y277*(1-Inputs!$D$24)+Y276</f>
        <v>2471.9156591236</v>
      </c>
      <c r="Z279" s="119" t="n">
        <f aca="false">Z277*(1-Inputs!$D$24)+Z276</f>
        <v>2536.27915803165</v>
      </c>
      <c r="AA279" s="119" t="n">
        <f aca="false">AA277*(1-Inputs!$D$24)+AA276</f>
        <v>2609.83091297463</v>
      </c>
      <c r="AB279" s="119" t="n">
        <f aca="false">AB277*(1-Inputs!$D$24)+AB276</f>
        <v>2681.02901175945</v>
      </c>
      <c r="AC279" s="119" t="n">
        <f aca="false">AC277*(1-Inputs!$D$24)+AC276</f>
        <v>2762.11361404981</v>
      </c>
      <c r="AD279" s="119" t="n">
        <f aca="false">AD277*(1-Inputs!$D$24)+AD276</f>
        <v>2840.60350906688</v>
      </c>
      <c r="AE279" s="119" t="n">
        <f aca="false">AE277*(1-Inputs!$D$24)+AE276</f>
        <v>2916.58172744341</v>
      </c>
      <c r="AF279" s="119" t="n">
        <f aca="false">AF277*(1-Inputs!$D$24)+AF276</f>
        <v>2990.12864283189</v>
      </c>
      <c r="AG279" s="119" t="n">
        <f aca="false">AG277*(1-Inputs!$D$24)+AG276</f>
        <v>3061.32205692793</v>
      </c>
      <c r="AH279" s="119" t="n">
        <f aca="false">AH277*(1-Inputs!$D$24)+AH276</f>
        <v>3130.23728177291</v>
      </c>
      <c r="AI279" s="119" t="n">
        <f aca="false">AI277*(1-Inputs!$D$24)+AI276</f>
        <v>3196.94721942284</v>
      </c>
      <c r="AJ279" s="119" t="n">
        <f aca="false">AJ277*(1-Inputs!$D$24)+AJ276</f>
        <v>3261.52243906798</v>
      </c>
      <c r="AK279" s="119" t="n">
        <f aca="false">AK277*(1-Inputs!$D$24)+AK276</f>
        <v>3324.03125168447</v>
      </c>
      <c r="AL279" s="119" t="n">
        <f aca="false">AL277*(1-Inputs!$D$24)+AL276</f>
        <v>3372.37493963056</v>
      </c>
    </row>
    <row r="280" customFormat="false" ht="15" hidden="false" customHeight="false" outlineLevel="0" collapsed="false">
      <c r="A280" s="6" t="s">
        <v>403</v>
      </c>
      <c r="C280" s="117" t="n">
        <f aca="false">(C277+C279)/2</f>
        <v>380.997</v>
      </c>
      <c r="D280" s="117" t="n">
        <f aca="false">(D277+D279)/2</f>
        <v>446.276667428571</v>
      </c>
      <c r="E280" s="117" t="n">
        <f aca="false">(E277+E279)/2</f>
        <v>521.695861689905</v>
      </c>
      <c r="F280" s="117" t="n">
        <f aca="false">(F277+F279)/2</f>
        <v>607.278117925352</v>
      </c>
      <c r="G280" s="117" t="n">
        <f aca="false">(G277+G279)/2</f>
        <v>699.372884818407</v>
      </c>
      <c r="H280" s="117" t="n">
        <f aca="false">(H277+H279)/2</f>
        <v>797.771762028028</v>
      </c>
      <c r="I280" s="117" t="n">
        <f aca="false">(I277+I279)/2</f>
        <v>902.273018024083</v>
      </c>
      <c r="J280" s="117" t="n">
        <f aca="false">(J277+J279)/2</f>
        <v>1012.68137668541</v>
      </c>
      <c r="K280" s="117" t="n">
        <f aca="false">(K277+K279)/2</f>
        <v>1124.18223929814</v>
      </c>
      <c r="L280" s="117" t="n">
        <f aca="false">(L277+L279)/2</f>
        <v>1232.11507430727</v>
      </c>
      <c r="M280" s="117" t="n">
        <f aca="false">(M277+M279)/2</f>
        <v>1336.5940585961</v>
      </c>
      <c r="N280" s="117" t="n">
        <f aca="false">(N277+N279)/2</f>
        <v>1432.31638205436</v>
      </c>
      <c r="O280" s="117" t="n">
        <f aca="false">(O277+O279)/2</f>
        <v>1524.75465782862</v>
      </c>
      <c r="P280" s="117" t="n">
        <f aca="false">(P277+P279)/2</f>
        <v>1619.4273087781</v>
      </c>
      <c r="Q280" s="117" t="n">
        <f aca="false">(Q277+Q279)/2</f>
        <v>1716.80856823054</v>
      </c>
      <c r="R280" s="117" t="n">
        <f aca="false">(R277+R279)/2</f>
        <v>1816.81176071383</v>
      </c>
      <c r="S280" s="117" t="n">
        <f aca="false">(S277+S279)/2</f>
        <v>1913.61485103765</v>
      </c>
      <c r="T280" s="117" t="n">
        <f aca="false">(T277+T279)/2</f>
        <v>2007.32024247111</v>
      </c>
      <c r="U280" s="117" t="n">
        <f aca="false">(U277+U279)/2</f>
        <v>2098.0270613787</v>
      </c>
      <c r="V280" s="117" t="n">
        <f aca="false">(V277+V279)/2</f>
        <v>2185.83126208125</v>
      </c>
      <c r="W280" s="117" t="n">
        <f aca="false">(W277+W279)/2</f>
        <v>2270.82572836132</v>
      </c>
      <c r="X280" s="117" t="n">
        <f aca="false">(X277+X279)/2</f>
        <v>2353.10037172042</v>
      </c>
      <c r="Y280" s="117" t="n">
        <f aca="false">(Y277+Y279)/2</f>
        <v>2432.74222649204</v>
      </c>
      <c r="Z280" s="117" t="n">
        <f aca="false">(Z277+Z279)/2</f>
        <v>2504.09740857762</v>
      </c>
      <c r="AA280" s="117" t="n">
        <f aca="false">(AA277+AA279)/2</f>
        <v>2573.05503550314</v>
      </c>
      <c r="AB280" s="117" t="n">
        <f aca="false">(AB277+AB279)/2</f>
        <v>2645.42996236704</v>
      </c>
      <c r="AC280" s="117" t="n">
        <f aca="false">(AC277+AC279)/2</f>
        <v>2721.57131290463</v>
      </c>
      <c r="AD280" s="117" t="n">
        <f aca="false">(AD277+AD279)/2</f>
        <v>2801.35856155835</v>
      </c>
      <c r="AE280" s="117" t="n">
        <f aca="false">(AE277+AE279)/2</f>
        <v>2878.59261825515</v>
      </c>
      <c r="AF280" s="117" t="n">
        <f aca="false">(AF277+AF279)/2</f>
        <v>2953.35518513765</v>
      </c>
      <c r="AG280" s="117" t="n">
        <f aca="false">(AG277+AG279)/2</f>
        <v>3025.72534987991</v>
      </c>
      <c r="AH280" s="117" t="n">
        <f aca="false">(AH277+AH279)/2</f>
        <v>3095.77966935042</v>
      </c>
      <c r="AI280" s="117" t="n">
        <f aca="false">(AI277+AI279)/2</f>
        <v>3163.59225059787</v>
      </c>
      <c r="AJ280" s="117" t="n">
        <f aca="false">(AJ277+AJ279)/2</f>
        <v>3229.23482924541</v>
      </c>
      <c r="AK280" s="117" t="n">
        <f aca="false">(AK277+AK279)/2</f>
        <v>3292.77684537622</v>
      </c>
      <c r="AL280" s="117" t="n">
        <f aca="false">(AL277+AL279)/2</f>
        <v>3348.20309565752</v>
      </c>
    </row>
    <row r="282" customFormat="false" ht="15.75" hidden="false" customHeight="true" outlineLevel="0" collapsed="false">
      <c r="A282" s="7" t="s">
        <v>404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customFormat="false" ht="15" hidden="false" customHeight="false" outlineLevel="0" collapsed="false">
      <c r="A283" s="6" t="s">
        <v>405</v>
      </c>
      <c r="C283" s="118" t="n">
        <f aca="false">C280*Inputs!$D$25*C270*1</f>
        <v>1097.27136</v>
      </c>
      <c r="D283" s="118" t="n">
        <f aca="false">D280*Inputs!$D$25*D270*1</f>
        <v>1285.27680219429</v>
      </c>
      <c r="E283" s="118" t="n">
        <f aca="false">E280*Inputs!$D$25*E270*1</f>
        <v>1725.07431598795</v>
      </c>
      <c r="F283" s="118" t="n">
        <f aca="false">F280*Inputs!$D$25*F270*1</f>
        <v>2008.06630993983</v>
      </c>
      <c r="G283" s="118" t="n">
        <f aca="false">G280*Inputs!$D$25*G270*1</f>
        <v>2312.59300579953</v>
      </c>
      <c r="H283" s="118" t="n">
        <f aca="false">H280*Inputs!$D$25*H270*1</f>
        <v>2637.96529310601</v>
      </c>
      <c r="I283" s="118" t="n">
        <f aca="false">I280*Inputs!$D$25*I270*1</f>
        <v>2983.51611293297</v>
      </c>
      <c r="J283" s="118" t="n">
        <f aca="false">J280*Inputs!$D$25*J270*1</f>
        <v>3348.59975223975</v>
      </c>
      <c r="K283" s="118" t="n">
        <f aca="false">K280*Inputs!$D$25*K270*1</f>
        <v>3717.29593794585</v>
      </c>
      <c r="L283" s="118" t="n">
        <f aca="false">L280*Inputs!$D$25*L270*1</f>
        <v>4074.19384570936</v>
      </c>
      <c r="M283" s="118" t="n">
        <f aca="false">M280*Inputs!$D$25*M270*1</f>
        <v>4419.67102042444</v>
      </c>
      <c r="N283" s="118" t="n">
        <f aca="false">N280*Inputs!$D$25*N270*1</f>
        <v>4125.07118031656</v>
      </c>
      <c r="O283" s="118" t="n">
        <f aca="false">O280*Inputs!$D$25*O270*1</f>
        <v>4391.29341454643</v>
      </c>
      <c r="P283" s="118" t="n">
        <f aca="false">P280*Inputs!$D$25*P270*1</f>
        <v>4663.95064928094</v>
      </c>
      <c r="Q283" s="118" t="n">
        <f aca="false">Q280*Inputs!$D$25*Q270*1</f>
        <v>5676.91366561565</v>
      </c>
      <c r="R283" s="118" t="n">
        <f aca="false">R280*Inputs!$D$25*R270*1</f>
        <v>6007.59088876039</v>
      </c>
      <c r="S283" s="118" t="n">
        <f aca="false">S280*Inputs!$D$25*S270*1</f>
        <v>6327.6864407645</v>
      </c>
      <c r="T283" s="118" t="n">
        <f aca="false">T280*Inputs!$D$25*T270*1</f>
        <v>6637.53893510448</v>
      </c>
      <c r="U283" s="118" t="n">
        <f aca="false">U280*Inputs!$D$25*U270*1</f>
        <v>6937.47614962558</v>
      </c>
      <c r="V283" s="118" t="n">
        <f aca="false">V280*Inputs!$D$25*V270*1</f>
        <v>7227.81537328201</v>
      </c>
      <c r="W283" s="118" t="n">
        <f aca="false">W280*Inputs!$D$25*W270*1</f>
        <v>7508.86374178143</v>
      </c>
      <c r="X283" s="118" t="n">
        <f aca="false">X280*Inputs!$D$25*X270*1</f>
        <v>7780.91856248887</v>
      </c>
      <c r="Y283" s="118" t="n">
        <f aca="false">Y280*Inputs!$D$25*Y270*1</f>
        <v>8044.26762893367</v>
      </c>
      <c r="Z283" s="118" t="n">
        <f aca="false">Z280*Inputs!$D$25*Z270*1</f>
        <v>7211.80053670356</v>
      </c>
      <c r="AA283" s="118" t="n">
        <f aca="false">AA280*Inputs!$D$25*AA270*1</f>
        <v>7410.39850224905</v>
      </c>
      <c r="AB283" s="118" t="n">
        <f aca="false">AB280*Inputs!$D$25*AB270*1</f>
        <v>7618.83829161708</v>
      </c>
      <c r="AC283" s="118" t="n">
        <f aca="false">AC280*Inputs!$D$25*AC270*1</f>
        <v>8999.32914133797</v>
      </c>
      <c r="AD283" s="118" t="n">
        <f aca="false">AD280*Inputs!$D$25*AD270*1</f>
        <v>9263.15897688627</v>
      </c>
      <c r="AE283" s="118" t="n">
        <f aca="false">AE280*Inputs!$D$25*AE270*1</f>
        <v>9518.54625769702</v>
      </c>
      <c r="AF283" s="118" t="n">
        <f aca="false">AF280*Inputs!$D$25*AF270*1</f>
        <v>9765.76114552183</v>
      </c>
      <c r="AG283" s="118" t="n">
        <f aca="false">AG280*Inputs!$D$25*AG270*1</f>
        <v>10005.0651569362</v>
      </c>
      <c r="AH283" s="118" t="n">
        <f aca="false">AH280*Inputs!$D$25*AH270*1</f>
        <v>10236.7114399854</v>
      </c>
      <c r="AI283" s="118" t="n">
        <f aca="false">AI280*Inputs!$D$25*AI270*1</f>
        <v>10460.945041977</v>
      </c>
      <c r="AJ283" s="118" t="n">
        <f aca="false">AJ280*Inputs!$D$25*AJ270*1</f>
        <v>10678.0031687048</v>
      </c>
      <c r="AK283" s="118" t="n">
        <f aca="false">AK280*Inputs!$D$25*AK270*1</f>
        <v>10888.1154353774</v>
      </c>
      <c r="AL283" s="118" t="n">
        <f aca="false">AL280*Inputs!$D$25*AL270*1</f>
        <v>9642.82491549365</v>
      </c>
    </row>
    <row r="284" customFormat="false" ht="15" hidden="false" customHeight="false" outlineLevel="0" collapsed="false">
      <c r="A284" s="6" t="s">
        <v>406</v>
      </c>
      <c r="C284" s="118" t="n">
        <f aca="false">Inputs!$D$15*Inputs!$D$16*Inputs!$D$17*Inputs!$D$9*1</f>
        <v>24563</v>
      </c>
      <c r="D284" s="118" t="n">
        <f aca="false">Inputs!$D$15*Inputs!$D$16*Inputs!$D$17*Inputs!$D$9*1</f>
        <v>24563</v>
      </c>
      <c r="E284" s="118" t="n">
        <f aca="false">Inputs!$D$15*Inputs!$D$16*Inputs!$D$17*Inputs!$D$9*1</f>
        <v>24563</v>
      </c>
      <c r="F284" s="118" t="n">
        <f aca="false">Inputs!$D$15*Inputs!$D$16*Inputs!$D$17*Inputs!$D$9*1</f>
        <v>24563</v>
      </c>
      <c r="G284" s="118" t="n">
        <f aca="false">Inputs!$D$15*Inputs!$D$16*Inputs!$D$17*Inputs!$D$9*1</f>
        <v>24563</v>
      </c>
      <c r="H284" s="118" t="n">
        <f aca="false">Inputs!$D$15*Inputs!$D$16*Inputs!$D$17*Inputs!$D$9*1</f>
        <v>24563</v>
      </c>
      <c r="I284" s="118" t="n">
        <f aca="false">Inputs!$D$15*Inputs!$D$16*Inputs!$D$17*Inputs!$D$9*1</f>
        <v>24563</v>
      </c>
      <c r="J284" s="118" t="n">
        <f aca="false">Inputs!$D$15*Inputs!$D$16*Inputs!$D$17*Inputs!$D$9*1</f>
        <v>24563</v>
      </c>
      <c r="K284" s="118" t="n">
        <f aca="false">Inputs!$D$15*Inputs!$D$16*Inputs!$D$17*Inputs!$D$9*1</f>
        <v>24563</v>
      </c>
      <c r="L284" s="118" t="n">
        <f aca="false">Inputs!$D$15*Inputs!$D$16*Inputs!$D$17*Inputs!$D$9*1</f>
        <v>24563</v>
      </c>
      <c r="M284" s="118" t="n">
        <f aca="false">Inputs!$D$15*Inputs!$D$16*Inputs!$D$17*Inputs!$D$9*1</f>
        <v>24563</v>
      </c>
      <c r="N284" s="118" t="n">
        <f aca="false">Inputs!$D$15*Inputs!$D$16*Inputs!$D$17*Inputs!$D$9*1</f>
        <v>24563</v>
      </c>
      <c r="O284" s="118" t="n">
        <f aca="false">Inputs!$D$15*Inputs!$D$16*Inputs!$D$17*Inputs!$D$9*1</f>
        <v>24563</v>
      </c>
      <c r="P284" s="118" t="n">
        <f aca="false">Inputs!$D$15*Inputs!$D$16*Inputs!$D$17*Inputs!$D$9*1</f>
        <v>24563</v>
      </c>
      <c r="Q284" s="118" t="n">
        <f aca="false">Inputs!$D$15*Inputs!$D$16*Inputs!$D$17*Inputs!$D$9*1</f>
        <v>24563</v>
      </c>
      <c r="R284" s="118" t="n">
        <f aca="false">Inputs!$D$15*Inputs!$D$16*Inputs!$D$17*Inputs!$D$9*1</f>
        <v>24563</v>
      </c>
      <c r="S284" s="118" t="n">
        <f aca="false">Inputs!$D$15*Inputs!$D$16*Inputs!$D$17*Inputs!$D$9*1</f>
        <v>24563</v>
      </c>
      <c r="T284" s="118" t="n">
        <f aca="false">Inputs!$D$15*Inputs!$D$16*Inputs!$D$17*Inputs!$D$9*1</f>
        <v>24563</v>
      </c>
      <c r="U284" s="118" t="n">
        <f aca="false">Inputs!$D$15*Inputs!$D$16*Inputs!$D$17*Inputs!$D$9*1</f>
        <v>24563</v>
      </c>
      <c r="V284" s="118" t="n">
        <f aca="false">Inputs!$D$15*Inputs!$D$16*Inputs!$D$17*Inputs!$D$9*1</f>
        <v>24563</v>
      </c>
      <c r="W284" s="118" t="n">
        <f aca="false">Inputs!$D$15*Inputs!$D$16*Inputs!$D$17*Inputs!$D$9*1</f>
        <v>24563</v>
      </c>
      <c r="X284" s="118" t="n">
        <f aca="false">Inputs!$D$15*Inputs!$D$16*Inputs!$D$17*Inputs!$D$9*1</f>
        <v>24563</v>
      </c>
      <c r="Y284" s="118" t="n">
        <f aca="false">Inputs!$D$15*Inputs!$D$16*Inputs!$D$17*Inputs!$D$9*1</f>
        <v>24563</v>
      </c>
      <c r="Z284" s="118" t="n">
        <f aca="false">Inputs!$D$15*Inputs!$D$16*Inputs!$D$17*Inputs!$D$9*1</f>
        <v>24563</v>
      </c>
      <c r="AA284" s="118" t="n">
        <f aca="false">Inputs!$D$15*Inputs!$D$16*Inputs!$D$17*Inputs!$D$9*1</f>
        <v>24563</v>
      </c>
      <c r="AB284" s="118" t="n">
        <f aca="false">Inputs!$D$15*Inputs!$D$16*Inputs!$D$17*Inputs!$D$9*1</f>
        <v>24563</v>
      </c>
      <c r="AC284" s="118" t="n">
        <f aca="false">Inputs!$D$15*Inputs!$D$16*Inputs!$D$17*Inputs!$D$9*1</f>
        <v>24563</v>
      </c>
      <c r="AD284" s="118" t="n">
        <f aca="false">Inputs!$D$15*Inputs!$D$16*Inputs!$D$17*Inputs!$D$9*1</f>
        <v>24563</v>
      </c>
      <c r="AE284" s="118" t="n">
        <f aca="false">Inputs!$D$15*Inputs!$D$16*Inputs!$D$17*Inputs!$D$9*1</f>
        <v>24563</v>
      </c>
      <c r="AF284" s="118" t="n">
        <f aca="false">Inputs!$D$15*Inputs!$D$16*Inputs!$D$17*Inputs!$D$9*1</f>
        <v>24563</v>
      </c>
      <c r="AG284" s="118" t="n">
        <f aca="false">Inputs!$D$15*Inputs!$D$16*Inputs!$D$17*Inputs!$D$9*1</f>
        <v>24563</v>
      </c>
      <c r="AH284" s="118" t="n">
        <f aca="false">Inputs!$D$15*Inputs!$D$16*Inputs!$D$17*Inputs!$D$9*1</f>
        <v>24563</v>
      </c>
      <c r="AI284" s="118" t="n">
        <f aca="false">Inputs!$D$15*Inputs!$D$16*Inputs!$D$17*Inputs!$D$9*1</f>
        <v>24563</v>
      </c>
      <c r="AJ284" s="118" t="n">
        <f aca="false">Inputs!$D$15*Inputs!$D$16*Inputs!$D$17*Inputs!$D$9*1</f>
        <v>24563</v>
      </c>
      <c r="AK284" s="118" t="n">
        <f aca="false">Inputs!$D$15*Inputs!$D$16*Inputs!$D$17*Inputs!$D$9*1</f>
        <v>24563</v>
      </c>
      <c r="AL284" s="118" t="n">
        <f aca="false">Inputs!$D$15*Inputs!$D$16*Inputs!$D$17*Inputs!$D$9*1</f>
        <v>24563</v>
      </c>
    </row>
    <row r="285" customFormat="false" ht="15" hidden="false" customHeight="false" outlineLevel="0" collapsed="false">
      <c r="A285" s="39" t="s">
        <v>407</v>
      </c>
      <c r="C285" s="76" t="n">
        <f aca="false">MIN(1,C284/MAX(1,C271+C283))</f>
        <v>1</v>
      </c>
      <c r="D285" s="76" t="n">
        <f aca="false">MIN(1,D284/MAX(1,D271+D283))</f>
        <v>1</v>
      </c>
      <c r="E285" s="76" t="n">
        <f aca="false">MIN(1,E284/MAX(1,E271+E283))</f>
        <v>1</v>
      </c>
      <c r="F285" s="76" t="n">
        <f aca="false">MIN(1,F284/MAX(1,F271+F283))</f>
        <v>1</v>
      </c>
      <c r="G285" s="76" t="n">
        <f aca="false">MIN(1,G284/MAX(1,G271+G283))</f>
        <v>1</v>
      </c>
      <c r="H285" s="76" t="n">
        <f aca="false">MIN(1,H284/MAX(1,H271+H283))</f>
        <v>1</v>
      </c>
      <c r="I285" s="76" t="n">
        <f aca="false">MIN(1,I284/MAX(1,I271+I283))</f>
        <v>1</v>
      </c>
      <c r="J285" s="76" t="n">
        <f aca="false">MIN(1,J284/MAX(1,J271+J283))</f>
        <v>1</v>
      </c>
      <c r="K285" s="76" t="n">
        <f aca="false">MIN(1,K284/MAX(1,K271+K283))</f>
        <v>1</v>
      </c>
      <c r="L285" s="76" t="n">
        <f aca="false">MIN(1,L284/MAX(1,L271+L283))</f>
        <v>1</v>
      </c>
      <c r="M285" s="76" t="n">
        <f aca="false">MIN(1,M284/MAX(1,M271+M283))</f>
        <v>1</v>
      </c>
      <c r="N285" s="76" t="n">
        <f aca="false">MIN(1,N284/MAX(1,N271+N283))</f>
        <v>1</v>
      </c>
      <c r="O285" s="76" t="n">
        <f aca="false">MIN(1,O284/MAX(1,O271+O283))</f>
        <v>1</v>
      </c>
      <c r="P285" s="76" t="n">
        <f aca="false">MIN(1,P284/MAX(1,P271+P283))</f>
        <v>1</v>
      </c>
      <c r="Q285" s="76" t="n">
        <f aca="false">MIN(1,Q284/MAX(1,Q271+Q283))</f>
        <v>1</v>
      </c>
      <c r="R285" s="76" t="n">
        <f aca="false">MIN(1,R284/MAX(1,R271+R283))</f>
        <v>1</v>
      </c>
      <c r="S285" s="76" t="n">
        <f aca="false">MIN(1,S284/MAX(1,S271+S283))</f>
        <v>1</v>
      </c>
      <c r="T285" s="76" t="n">
        <f aca="false">MIN(1,T284/MAX(1,T271+T283))</f>
        <v>1</v>
      </c>
      <c r="U285" s="76" t="n">
        <f aca="false">MIN(1,U284/MAX(1,U271+U283))</f>
        <v>1</v>
      </c>
      <c r="V285" s="76" t="n">
        <f aca="false">MIN(1,V284/MAX(1,V271+V283))</f>
        <v>1</v>
      </c>
      <c r="W285" s="76" t="n">
        <f aca="false">MIN(1,W284/MAX(1,W271+W283))</f>
        <v>1</v>
      </c>
      <c r="X285" s="76" t="n">
        <f aca="false">MIN(1,X284/MAX(1,X271+X283))</f>
        <v>1</v>
      </c>
      <c r="Y285" s="76" t="n">
        <f aca="false">MIN(1,Y284/MAX(1,Y271+Y283))</f>
        <v>1</v>
      </c>
      <c r="Z285" s="76" t="n">
        <f aca="false">MIN(1,Z284/MAX(1,Z271+Z283))</f>
        <v>1</v>
      </c>
      <c r="AA285" s="76" t="n">
        <f aca="false">MIN(1,AA284/MAX(1,AA271+AA283))</f>
        <v>1</v>
      </c>
      <c r="AB285" s="76" t="n">
        <f aca="false">MIN(1,AB284/MAX(1,AB271+AB283))</f>
        <v>1</v>
      </c>
      <c r="AC285" s="76" t="n">
        <f aca="false">MIN(1,AC284/MAX(1,AC271+AC283))</f>
        <v>1</v>
      </c>
      <c r="AD285" s="76" t="n">
        <f aca="false">MIN(1,AD284/MAX(1,AD271+AD283))</f>
        <v>1</v>
      </c>
      <c r="AE285" s="76" t="n">
        <f aca="false">MIN(1,AE284/MAX(1,AE271+AE283))</f>
        <v>1</v>
      </c>
      <c r="AF285" s="76" t="n">
        <f aca="false">MIN(1,AF284/MAX(1,AF271+AF283))</f>
        <v>1</v>
      </c>
      <c r="AG285" s="76" t="n">
        <f aca="false">MIN(1,AG284/MAX(1,AG271+AG283))</f>
        <v>1</v>
      </c>
      <c r="AH285" s="76" t="n">
        <f aca="false">MIN(1,AH284/MAX(1,AH271+AH283))</f>
        <v>1</v>
      </c>
      <c r="AI285" s="76" t="n">
        <f aca="false">MIN(1,AI284/MAX(1,AI271+AI283))</f>
        <v>1</v>
      </c>
      <c r="AJ285" s="76" t="n">
        <f aca="false">MIN(1,AJ284/MAX(1,AJ271+AJ283))</f>
        <v>1</v>
      </c>
      <c r="AK285" s="76" t="n">
        <f aca="false">MIN(1,AK284/MAX(1,AK271+AK283))</f>
        <v>1</v>
      </c>
      <c r="AL285" s="76" t="n">
        <f aca="false">MIN(1,AL284/MAX(1,AL271+AL283))</f>
        <v>1</v>
      </c>
    </row>
    <row r="286" customFormat="false" ht="15" hidden="false" customHeight="false" outlineLevel="0" collapsed="false">
      <c r="A286" s="6" t="s">
        <v>236</v>
      </c>
      <c r="C286" s="118" t="n">
        <f aca="false">C271*C285</f>
        <v>4019.4</v>
      </c>
      <c r="D286" s="118" t="n">
        <f aca="false">D271*D285</f>
        <v>4489.2</v>
      </c>
      <c r="E286" s="118" t="n">
        <f aca="false">E271*E285</f>
        <v>5693.66666666667</v>
      </c>
      <c r="F286" s="118" t="n">
        <f aca="false">F271*F285</f>
        <v>6233.06666666667</v>
      </c>
      <c r="G286" s="118" t="n">
        <f aca="false">G271*G285</f>
        <v>6772.46666666667</v>
      </c>
      <c r="H286" s="118" t="n">
        <f aca="false">H271*H285</f>
        <v>7311.86666666667</v>
      </c>
      <c r="I286" s="118" t="n">
        <f aca="false">I271*I285</f>
        <v>7851.26666666667</v>
      </c>
      <c r="J286" s="118" t="n">
        <f aca="false">J271*J285</f>
        <v>8390.66666666667</v>
      </c>
      <c r="K286" s="118" t="n">
        <f aca="false">K271*K285</f>
        <v>8390.66666666667</v>
      </c>
      <c r="L286" s="118" t="n">
        <f aca="false">L271*L285</f>
        <v>8390.66666666667</v>
      </c>
      <c r="M286" s="118" t="n">
        <f aca="false">M271*M285</f>
        <v>8390.66666666667</v>
      </c>
      <c r="N286" s="118" t="n">
        <f aca="false">N271*N285</f>
        <v>7308</v>
      </c>
      <c r="O286" s="118" t="n">
        <f aca="false">O271*O285</f>
        <v>7746.48</v>
      </c>
      <c r="P286" s="118" t="n">
        <f aca="false">P271*P285</f>
        <v>7746.48</v>
      </c>
      <c r="Q286" s="118" t="n">
        <f aca="false">Q271*Q285</f>
        <v>8894.10666666667</v>
      </c>
      <c r="R286" s="118" t="n">
        <f aca="false">R271*R285</f>
        <v>8894.10666666667</v>
      </c>
      <c r="S286" s="118" t="n">
        <f aca="false">S271*S285</f>
        <v>8894.10666666667</v>
      </c>
      <c r="T286" s="118" t="n">
        <f aca="false">T271*T285</f>
        <v>8894.10666666667</v>
      </c>
      <c r="U286" s="118" t="n">
        <f aca="false">U271*U285</f>
        <v>8894.10666666667</v>
      </c>
      <c r="V286" s="118" t="n">
        <f aca="false">V271*V285</f>
        <v>8894.10666666667</v>
      </c>
      <c r="W286" s="118" t="n">
        <f aca="false">W271*W285</f>
        <v>8894.10666666667</v>
      </c>
      <c r="X286" s="118" t="n">
        <f aca="false">X271*X285</f>
        <v>8894.10666666667</v>
      </c>
      <c r="Y286" s="118" t="n">
        <f aca="false">Y271*Y285</f>
        <v>8894.10666666667</v>
      </c>
      <c r="Z286" s="118" t="n">
        <f aca="false">Z271*Z285</f>
        <v>7746.48</v>
      </c>
      <c r="AA286" s="118" t="n">
        <f aca="false">AA271*AA285</f>
        <v>8211.2688</v>
      </c>
      <c r="AB286" s="118" t="n">
        <f aca="false">AB271*AB285</f>
        <v>8211.2688</v>
      </c>
      <c r="AC286" s="118" t="n">
        <f aca="false">AC271*AC285</f>
        <v>9427.75306666667</v>
      </c>
      <c r="AD286" s="118" t="n">
        <f aca="false">AD271*AD285</f>
        <v>9427.75306666667</v>
      </c>
      <c r="AE286" s="118" t="n">
        <f aca="false">AE271*AE285</f>
        <v>9427.75306666667</v>
      </c>
      <c r="AF286" s="118" t="n">
        <f aca="false">AF271*AF285</f>
        <v>9427.75306666667</v>
      </c>
      <c r="AG286" s="118" t="n">
        <f aca="false">AG271*AG285</f>
        <v>9427.75306666667</v>
      </c>
      <c r="AH286" s="118" t="n">
        <f aca="false">AH271*AH285</f>
        <v>9427.75306666667</v>
      </c>
      <c r="AI286" s="118" t="n">
        <f aca="false">AI271*AI285</f>
        <v>9427.75306666667</v>
      </c>
      <c r="AJ286" s="118" t="n">
        <f aca="false">AJ271*AJ285</f>
        <v>9427.75306666667</v>
      </c>
      <c r="AK286" s="118" t="n">
        <f aca="false">AK271*AK285</f>
        <v>9427.75306666667</v>
      </c>
      <c r="AL286" s="118" t="n">
        <f aca="false">AL271*AL285</f>
        <v>8211.2688</v>
      </c>
    </row>
    <row r="287" customFormat="false" ht="15" hidden="false" customHeight="false" outlineLevel="0" collapsed="false">
      <c r="A287" s="6" t="s">
        <v>237</v>
      </c>
      <c r="C287" s="118" t="n">
        <f aca="false">C283*C285</f>
        <v>1097.27136</v>
      </c>
      <c r="D287" s="118" t="n">
        <f aca="false">D283*D285</f>
        <v>1285.27680219429</v>
      </c>
      <c r="E287" s="118" t="n">
        <f aca="false">E283*E285</f>
        <v>1725.07431598795</v>
      </c>
      <c r="F287" s="118" t="n">
        <f aca="false">F283*F285</f>
        <v>2008.06630993983</v>
      </c>
      <c r="G287" s="118" t="n">
        <f aca="false">G283*G285</f>
        <v>2312.59300579953</v>
      </c>
      <c r="H287" s="118" t="n">
        <f aca="false">H283*H285</f>
        <v>2637.96529310601</v>
      </c>
      <c r="I287" s="118" t="n">
        <f aca="false">I283*I285</f>
        <v>2983.51611293297</v>
      </c>
      <c r="J287" s="118" t="n">
        <f aca="false">J283*J285</f>
        <v>3348.59975223975</v>
      </c>
      <c r="K287" s="118" t="n">
        <f aca="false">K283*K285</f>
        <v>3717.29593794585</v>
      </c>
      <c r="L287" s="118" t="n">
        <f aca="false">L283*L285</f>
        <v>4074.19384570936</v>
      </c>
      <c r="M287" s="118" t="n">
        <f aca="false">M283*M285</f>
        <v>4419.67102042444</v>
      </c>
      <c r="N287" s="118" t="n">
        <f aca="false">N283*N285</f>
        <v>4125.07118031656</v>
      </c>
      <c r="O287" s="118" t="n">
        <f aca="false">O283*O285</f>
        <v>4391.29341454643</v>
      </c>
      <c r="P287" s="118" t="n">
        <f aca="false">P283*P285</f>
        <v>4663.95064928094</v>
      </c>
      <c r="Q287" s="118" t="n">
        <f aca="false">Q283*Q285</f>
        <v>5676.91366561565</v>
      </c>
      <c r="R287" s="118" t="n">
        <f aca="false">R283*R285</f>
        <v>6007.59088876039</v>
      </c>
      <c r="S287" s="118" t="n">
        <f aca="false">S283*S285</f>
        <v>6327.6864407645</v>
      </c>
      <c r="T287" s="118" t="n">
        <f aca="false">T283*T285</f>
        <v>6637.53893510448</v>
      </c>
      <c r="U287" s="118" t="n">
        <f aca="false">U283*U285</f>
        <v>6937.47614962558</v>
      </c>
      <c r="V287" s="118" t="n">
        <f aca="false">V283*V285</f>
        <v>7227.81537328201</v>
      </c>
      <c r="W287" s="118" t="n">
        <f aca="false">W283*W285</f>
        <v>7508.86374178143</v>
      </c>
      <c r="X287" s="118" t="n">
        <f aca="false">X283*X285</f>
        <v>7780.91856248887</v>
      </c>
      <c r="Y287" s="118" t="n">
        <f aca="false">Y283*Y285</f>
        <v>8044.26762893367</v>
      </c>
      <c r="Z287" s="118" t="n">
        <f aca="false">Z283*Z285</f>
        <v>7211.80053670356</v>
      </c>
      <c r="AA287" s="118" t="n">
        <f aca="false">AA283*AA285</f>
        <v>7410.39850224905</v>
      </c>
      <c r="AB287" s="118" t="n">
        <f aca="false">AB283*AB285</f>
        <v>7618.83829161708</v>
      </c>
      <c r="AC287" s="118" t="n">
        <f aca="false">AC283*AC285</f>
        <v>8999.32914133797</v>
      </c>
      <c r="AD287" s="118" t="n">
        <f aca="false">AD283*AD285</f>
        <v>9263.15897688627</v>
      </c>
      <c r="AE287" s="118" t="n">
        <f aca="false">AE283*AE285</f>
        <v>9518.54625769702</v>
      </c>
      <c r="AF287" s="118" t="n">
        <f aca="false">AF283*AF285</f>
        <v>9765.76114552183</v>
      </c>
      <c r="AG287" s="118" t="n">
        <f aca="false">AG283*AG285</f>
        <v>10005.0651569362</v>
      </c>
      <c r="AH287" s="118" t="n">
        <f aca="false">AH283*AH285</f>
        <v>10236.7114399854</v>
      </c>
      <c r="AI287" s="118" t="n">
        <f aca="false">AI283*AI285</f>
        <v>10460.945041977</v>
      </c>
      <c r="AJ287" s="118" t="n">
        <f aca="false">AJ283*AJ285</f>
        <v>10678.0031687048</v>
      </c>
      <c r="AK287" s="118" t="n">
        <f aca="false">AK283*AK285</f>
        <v>10888.1154353774</v>
      </c>
      <c r="AL287" s="118" t="n">
        <f aca="false">AL283*AL285</f>
        <v>9642.82491549365</v>
      </c>
    </row>
    <row r="288" customFormat="false" ht="15" hidden="false" customHeight="false" outlineLevel="0" collapsed="false">
      <c r="A288" s="4" t="s">
        <v>408</v>
      </c>
      <c r="C288" s="121" t="n">
        <f aca="false">C286+C287</f>
        <v>5116.67136</v>
      </c>
      <c r="D288" s="121" t="n">
        <f aca="false">D286+D287</f>
        <v>5774.47680219429</v>
      </c>
      <c r="E288" s="121" t="n">
        <f aca="false">E286+E287</f>
        <v>7418.74098265462</v>
      </c>
      <c r="F288" s="121" t="n">
        <f aca="false">F286+F287</f>
        <v>8241.1329766065</v>
      </c>
      <c r="G288" s="121" t="n">
        <f aca="false">G286+G287</f>
        <v>9085.0596724662</v>
      </c>
      <c r="H288" s="121" t="n">
        <f aca="false">H286+H287</f>
        <v>9949.83195977268</v>
      </c>
      <c r="I288" s="121" t="n">
        <f aca="false">I286+I287</f>
        <v>10834.7827795996</v>
      </c>
      <c r="J288" s="121" t="n">
        <f aca="false">J286+J287</f>
        <v>11739.2664189064</v>
      </c>
      <c r="K288" s="121" t="n">
        <f aca="false">K286+K287</f>
        <v>12107.9626046125</v>
      </c>
      <c r="L288" s="121" t="n">
        <f aca="false">L286+L287</f>
        <v>12464.860512376</v>
      </c>
      <c r="M288" s="121" t="n">
        <f aca="false">M286+M287</f>
        <v>12810.3376870911</v>
      </c>
      <c r="N288" s="121" t="n">
        <f aca="false">N286+N287</f>
        <v>11433.0711803166</v>
      </c>
      <c r="O288" s="121" t="n">
        <f aca="false">O286+O287</f>
        <v>12137.7734145464</v>
      </c>
      <c r="P288" s="121" t="n">
        <f aca="false">P286+P287</f>
        <v>12410.4306492809</v>
      </c>
      <c r="Q288" s="121" t="n">
        <f aca="false">Q286+Q287</f>
        <v>14571.0203322823</v>
      </c>
      <c r="R288" s="121" t="n">
        <f aca="false">R286+R287</f>
        <v>14901.6975554271</v>
      </c>
      <c r="S288" s="121" t="n">
        <f aca="false">S286+S287</f>
        <v>15221.7931074312</v>
      </c>
      <c r="T288" s="121" t="n">
        <f aca="false">T286+T287</f>
        <v>15531.6456017712</v>
      </c>
      <c r="U288" s="121" t="n">
        <f aca="false">U286+U287</f>
        <v>15831.5828162923</v>
      </c>
      <c r="V288" s="121" t="n">
        <f aca="false">V286+V287</f>
        <v>16121.9220399487</v>
      </c>
      <c r="W288" s="121" t="n">
        <f aca="false">W286+W287</f>
        <v>16402.9704084481</v>
      </c>
      <c r="X288" s="121" t="n">
        <f aca="false">X286+X287</f>
        <v>16675.0252291555</v>
      </c>
      <c r="Y288" s="121" t="n">
        <f aca="false">Y286+Y287</f>
        <v>16938.3742956003</v>
      </c>
      <c r="Z288" s="121" t="n">
        <f aca="false">Z286+Z287</f>
        <v>14958.2805367036</v>
      </c>
      <c r="AA288" s="121" t="n">
        <f aca="false">AA286+AA287</f>
        <v>15621.667302249</v>
      </c>
      <c r="AB288" s="121" t="n">
        <f aca="false">AB286+AB287</f>
        <v>15830.1070916171</v>
      </c>
      <c r="AC288" s="121" t="n">
        <f aca="false">AC286+AC287</f>
        <v>18427.0822080046</v>
      </c>
      <c r="AD288" s="121" t="n">
        <f aca="false">AD286+AD287</f>
        <v>18690.9120435529</v>
      </c>
      <c r="AE288" s="121" t="n">
        <f aca="false">AE286+AE287</f>
        <v>18946.2993243637</v>
      </c>
      <c r="AF288" s="121" t="n">
        <f aca="false">AF286+AF287</f>
        <v>19193.5142121885</v>
      </c>
      <c r="AG288" s="121" t="n">
        <f aca="false">AG286+AG287</f>
        <v>19432.8182236029</v>
      </c>
      <c r="AH288" s="121" t="n">
        <f aca="false">AH286+AH287</f>
        <v>19664.4645066521</v>
      </c>
      <c r="AI288" s="121" t="n">
        <f aca="false">AI286+AI287</f>
        <v>19888.6981086436</v>
      </c>
      <c r="AJ288" s="121" t="n">
        <f aca="false">AJ286+AJ287</f>
        <v>20105.7562353715</v>
      </c>
      <c r="AK288" s="121" t="n">
        <f aca="false">AK286+AK287</f>
        <v>20315.868502044</v>
      </c>
      <c r="AL288" s="121" t="n">
        <f aca="false">AL286+AL287</f>
        <v>17854.0937154936</v>
      </c>
    </row>
    <row r="289" customFormat="false" ht="15" hidden="false" customHeight="false" outlineLevel="0" collapsed="false">
      <c r="A289" s="6" t="s">
        <v>240</v>
      </c>
      <c r="C289" s="118" t="n">
        <f aca="false">C271+C283-C288</f>
        <v>0</v>
      </c>
      <c r="D289" s="118" t="n">
        <f aca="false">D271+D283-D288</f>
        <v>0</v>
      </c>
      <c r="E289" s="118" t="n">
        <f aca="false">E271+E283-E288</f>
        <v>0</v>
      </c>
      <c r="F289" s="118" t="n">
        <f aca="false">F271+F283-F288</f>
        <v>0</v>
      </c>
      <c r="G289" s="118" t="n">
        <f aca="false">G271+G283-G288</f>
        <v>0</v>
      </c>
      <c r="H289" s="118" t="n">
        <f aca="false">H271+H283-H288</f>
        <v>0</v>
      </c>
      <c r="I289" s="118" t="n">
        <f aca="false">I271+I283-I288</f>
        <v>0</v>
      </c>
      <c r="J289" s="118" t="n">
        <f aca="false">J271+J283-J288</f>
        <v>0</v>
      </c>
      <c r="K289" s="118" t="n">
        <f aca="false">K271+K283-K288</f>
        <v>0</v>
      </c>
      <c r="L289" s="118" t="n">
        <f aca="false">L271+L283-L288</f>
        <v>0</v>
      </c>
      <c r="M289" s="118" t="n">
        <f aca="false">M271+M283-M288</f>
        <v>0</v>
      </c>
      <c r="N289" s="118" t="n">
        <f aca="false">N271+N283-N288</f>
        <v>0</v>
      </c>
      <c r="O289" s="118" t="n">
        <f aca="false">O271+O283-O288</f>
        <v>0</v>
      </c>
      <c r="P289" s="118" t="n">
        <f aca="false">P271+P283-P288</f>
        <v>0</v>
      </c>
      <c r="Q289" s="118" t="n">
        <f aca="false">Q271+Q283-Q288</f>
        <v>0</v>
      </c>
      <c r="R289" s="118" t="n">
        <f aca="false">R271+R283-R288</f>
        <v>0</v>
      </c>
      <c r="S289" s="118" t="n">
        <f aca="false">S271+S283-S288</f>
        <v>0</v>
      </c>
      <c r="T289" s="118" t="n">
        <f aca="false">T271+T283-T288</f>
        <v>0</v>
      </c>
      <c r="U289" s="118" t="n">
        <f aca="false">U271+U283-U288</f>
        <v>0</v>
      </c>
      <c r="V289" s="118" t="n">
        <f aca="false">V271+V283-V288</f>
        <v>0</v>
      </c>
      <c r="W289" s="118" t="n">
        <f aca="false">W271+W283-W288</f>
        <v>0</v>
      </c>
      <c r="X289" s="118" t="n">
        <f aca="false">X271+X283-X288</f>
        <v>0</v>
      </c>
      <c r="Y289" s="118" t="n">
        <f aca="false">Y271+Y283-Y288</f>
        <v>0</v>
      </c>
      <c r="Z289" s="118" t="n">
        <f aca="false">Z271+Z283-Z288</f>
        <v>0</v>
      </c>
      <c r="AA289" s="118" t="n">
        <f aca="false">AA271+AA283-AA288</f>
        <v>0</v>
      </c>
      <c r="AB289" s="118" t="n">
        <f aca="false">AB271+AB283-AB288</f>
        <v>0</v>
      </c>
      <c r="AC289" s="118" t="n">
        <f aca="false">AC271+AC283-AC288</f>
        <v>0</v>
      </c>
      <c r="AD289" s="118" t="n">
        <f aca="false">AD271+AD283-AD288</f>
        <v>0</v>
      </c>
      <c r="AE289" s="118" t="n">
        <f aca="false">AE271+AE283-AE288</f>
        <v>0</v>
      </c>
      <c r="AF289" s="118" t="n">
        <f aca="false">AF271+AF283-AF288</f>
        <v>0</v>
      </c>
      <c r="AG289" s="118" t="n">
        <f aca="false">AG271+AG283-AG288</f>
        <v>0</v>
      </c>
      <c r="AH289" s="118" t="n">
        <f aca="false">AH271+AH283-AH288</f>
        <v>0</v>
      </c>
      <c r="AI289" s="118" t="n">
        <f aca="false">AI271+AI283-AI288</f>
        <v>0</v>
      </c>
      <c r="AJ289" s="118" t="n">
        <f aca="false">AJ271+AJ283-AJ288</f>
        <v>0</v>
      </c>
      <c r="AK289" s="118" t="n">
        <f aca="false">AK271+AK283-AK288</f>
        <v>0</v>
      </c>
      <c r="AL289" s="118" t="n">
        <f aca="false">AL271+AL283-AL288</f>
        <v>0</v>
      </c>
    </row>
    <row r="291" customFormat="false" ht="15.75" hidden="false" customHeight="true" outlineLevel="0" collapsed="false">
      <c r="A291" s="7" t="s">
        <v>44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customFormat="false" ht="15" hidden="false" customHeight="false" outlineLevel="0" collapsed="false">
      <c r="A292" s="6" t="s">
        <v>409</v>
      </c>
      <c r="C292" s="122" t="n">
        <f aca="false">Inputs!$D$28*(1+Inputs!$D$31)^(C$265-1)</f>
        <v>14</v>
      </c>
      <c r="D292" s="122" t="n">
        <f aca="false">Inputs!$D$28*(1+Inputs!$D$31)^(D$265-1)</f>
        <v>14</v>
      </c>
      <c r="E292" s="122" t="n">
        <f aca="false">Inputs!$D$28*(1+Inputs!$D$31)^(E$265-1)</f>
        <v>14</v>
      </c>
      <c r="F292" s="122" t="n">
        <f aca="false">Inputs!$D$28*(1+Inputs!$D$31)^(F$265-1)</f>
        <v>14</v>
      </c>
      <c r="G292" s="122" t="n">
        <f aca="false">Inputs!$D$28*(1+Inputs!$D$31)^(G$265-1)</f>
        <v>14</v>
      </c>
      <c r="H292" s="122" t="n">
        <f aca="false">Inputs!$D$28*(1+Inputs!$D$31)^(H$265-1)</f>
        <v>14</v>
      </c>
      <c r="I292" s="122" t="n">
        <f aca="false">Inputs!$D$28*(1+Inputs!$D$31)^(I$265-1)</f>
        <v>14</v>
      </c>
      <c r="J292" s="122" t="n">
        <f aca="false">Inputs!$D$28*(1+Inputs!$D$31)^(J$265-1)</f>
        <v>14</v>
      </c>
      <c r="K292" s="122" t="n">
        <f aca="false">Inputs!$D$28*(1+Inputs!$D$31)^(K$265-1)</f>
        <v>14</v>
      </c>
      <c r="L292" s="122" t="n">
        <f aca="false">Inputs!$D$28*(1+Inputs!$D$31)^(L$265-1)</f>
        <v>14</v>
      </c>
      <c r="M292" s="122" t="n">
        <f aca="false">Inputs!$D$28*(1+Inputs!$D$31)^(M$265-1)</f>
        <v>14</v>
      </c>
      <c r="N292" s="122" t="n">
        <f aca="false">Inputs!$D$28*(1+Inputs!$D$31)^(N$265-1)</f>
        <v>14</v>
      </c>
      <c r="O292" s="122" t="n">
        <f aca="false">Inputs!$D$28*(1+Inputs!$D$31)^(O$265-1)</f>
        <v>14.42</v>
      </c>
      <c r="P292" s="122" t="n">
        <f aca="false">Inputs!$D$28*(1+Inputs!$D$31)^(P$265-1)</f>
        <v>14.42</v>
      </c>
      <c r="Q292" s="122" t="n">
        <f aca="false">Inputs!$D$28*(1+Inputs!$D$31)^(Q$265-1)</f>
        <v>14.42</v>
      </c>
      <c r="R292" s="122" t="n">
        <f aca="false">Inputs!$D$28*(1+Inputs!$D$31)^(R$265-1)</f>
        <v>14.42</v>
      </c>
      <c r="S292" s="122" t="n">
        <f aca="false">Inputs!$D$28*(1+Inputs!$D$31)^(S$265-1)</f>
        <v>14.42</v>
      </c>
      <c r="T292" s="122" t="n">
        <f aca="false">Inputs!$D$28*(1+Inputs!$D$31)^(T$265-1)</f>
        <v>14.42</v>
      </c>
      <c r="U292" s="122" t="n">
        <f aca="false">Inputs!$D$28*(1+Inputs!$D$31)^(U$265-1)</f>
        <v>14.42</v>
      </c>
      <c r="V292" s="122" t="n">
        <f aca="false">Inputs!$D$28*(1+Inputs!$D$31)^(V$265-1)</f>
        <v>14.42</v>
      </c>
      <c r="W292" s="122" t="n">
        <f aca="false">Inputs!$D$28*(1+Inputs!$D$31)^(W$265-1)</f>
        <v>14.42</v>
      </c>
      <c r="X292" s="122" t="n">
        <f aca="false">Inputs!$D$28*(1+Inputs!$D$31)^(X$265-1)</f>
        <v>14.42</v>
      </c>
      <c r="Y292" s="122" t="n">
        <f aca="false">Inputs!$D$28*(1+Inputs!$D$31)^(Y$265-1)</f>
        <v>14.42</v>
      </c>
      <c r="Z292" s="122" t="n">
        <f aca="false">Inputs!$D$28*(1+Inputs!$D$31)^(Z$265-1)</f>
        <v>14.42</v>
      </c>
      <c r="AA292" s="122" t="n">
        <f aca="false">Inputs!$D$28*(1+Inputs!$D$31)^(AA$265-1)</f>
        <v>14.8526</v>
      </c>
      <c r="AB292" s="122" t="n">
        <f aca="false">Inputs!$D$28*(1+Inputs!$D$31)^(AB$265-1)</f>
        <v>14.8526</v>
      </c>
      <c r="AC292" s="122" t="n">
        <f aca="false">Inputs!$D$28*(1+Inputs!$D$31)^(AC$265-1)</f>
        <v>14.8526</v>
      </c>
      <c r="AD292" s="122" t="n">
        <f aca="false">Inputs!$D$28*(1+Inputs!$D$31)^(AD$265-1)</f>
        <v>14.8526</v>
      </c>
      <c r="AE292" s="122" t="n">
        <f aca="false">Inputs!$D$28*(1+Inputs!$D$31)^(AE$265-1)</f>
        <v>14.8526</v>
      </c>
      <c r="AF292" s="122" t="n">
        <f aca="false">Inputs!$D$28*(1+Inputs!$D$31)^(AF$265-1)</f>
        <v>14.8526</v>
      </c>
      <c r="AG292" s="122" t="n">
        <f aca="false">Inputs!$D$28*(1+Inputs!$D$31)^(AG$265-1)</f>
        <v>14.8526</v>
      </c>
      <c r="AH292" s="122" t="n">
        <f aca="false">Inputs!$D$28*(1+Inputs!$D$31)^(AH$265-1)</f>
        <v>14.8526</v>
      </c>
      <c r="AI292" s="122" t="n">
        <f aca="false">Inputs!$D$28*(1+Inputs!$D$31)^(AI$265-1)</f>
        <v>14.8526</v>
      </c>
      <c r="AJ292" s="122" t="n">
        <f aca="false">Inputs!$D$28*(1+Inputs!$D$31)^(AJ$265-1)</f>
        <v>14.8526</v>
      </c>
      <c r="AK292" s="122" t="n">
        <f aca="false">Inputs!$D$28*(1+Inputs!$D$31)^(AK$265-1)</f>
        <v>14.8526</v>
      </c>
      <c r="AL292" s="122" t="n">
        <f aca="false">Inputs!$D$28*(1+Inputs!$D$31)^(AL$265-1)</f>
        <v>14.8526</v>
      </c>
    </row>
    <row r="293" customFormat="false" ht="15" hidden="false" customHeight="false" outlineLevel="0" collapsed="false">
      <c r="A293" s="6" t="s">
        <v>410</v>
      </c>
      <c r="C293" s="122" t="n">
        <f aca="false">Inputs!$D$30*(1+Inputs!$D$31)^(C$265-1)</f>
        <v>38</v>
      </c>
      <c r="D293" s="122" t="n">
        <f aca="false">Inputs!$D$30*(1+Inputs!$D$31)^(D$265-1)</f>
        <v>38</v>
      </c>
      <c r="E293" s="122" t="n">
        <f aca="false">Inputs!$D$30*(1+Inputs!$D$31)^(E$265-1)</f>
        <v>38</v>
      </c>
      <c r="F293" s="122" t="n">
        <f aca="false">Inputs!$D$30*(1+Inputs!$D$31)^(F$265-1)</f>
        <v>38</v>
      </c>
      <c r="G293" s="122" t="n">
        <f aca="false">Inputs!$D$30*(1+Inputs!$D$31)^(G$265-1)</f>
        <v>38</v>
      </c>
      <c r="H293" s="122" t="n">
        <f aca="false">Inputs!$D$30*(1+Inputs!$D$31)^(H$265-1)</f>
        <v>38</v>
      </c>
      <c r="I293" s="122" t="n">
        <f aca="false">Inputs!$D$30*(1+Inputs!$D$31)^(I$265-1)</f>
        <v>38</v>
      </c>
      <c r="J293" s="122" t="n">
        <f aca="false">Inputs!$D$30*(1+Inputs!$D$31)^(J$265-1)</f>
        <v>38</v>
      </c>
      <c r="K293" s="122" t="n">
        <f aca="false">Inputs!$D$30*(1+Inputs!$D$31)^(K$265-1)</f>
        <v>38</v>
      </c>
      <c r="L293" s="122" t="n">
        <f aca="false">Inputs!$D$30*(1+Inputs!$D$31)^(L$265-1)</f>
        <v>38</v>
      </c>
      <c r="M293" s="122" t="n">
        <f aca="false">Inputs!$D$30*(1+Inputs!$D$31)^(M$265-1)</f>
        <v>38</v>
      </c>
      <c r="N293" s="122" t="n">
        <f aca="false">Inputs!$D$30*(1+Inputs!$D$31)^(N$265-1)</f>
        <v>38</v>
      </c>
      <c r="O293" s="122" t="n">
        <f aca="false">Inputs!$D$30*(1+Inputs!$D$31)^(O$265-1)</f>
        <v>39.14</v>
      </c>
      <c r="P293" s="122" t="n">
        <f aca="false">Inputs!$D$30*(1+Inputs!$D$31)^(P$265-1)</f>
        <v>39.14</v>
      </c>
      <c r="Q293" s="122" t="n">
        <f aca="false">Inputs!$D$30*(1+Inputs!$D$31)^(Q$265-1)</f>
        <v>39.14</v>
      </c>
      <c r="R293" s="122" t="n">
        <f aca="false">Inputs!$D$30*(1+Inputs!$D$31)^(R$265-1)</f>
        <v>39.14</v>
      </c>
      <c r="S293" s="122" t="n">
        <f aca="false">Inputs!$D$30*(1+Inputs!$D$31)^(S$265-1)</f>
        <v>39.14</v>
      </c>
      <c r="T293" s="122" t="n">
        <f aca="false">Inputs!$D$30*(1+Inputs!$D$31)^(T$265-1)</f>
        <v>39.14</v>
      </c>
      <c r="U293" s="122" t="n">
        <f aca="false">Inputs!$D$30*(1+Inputs!$D$31)^(U$265-1)</f>
        <v>39.14</v>
      </c>
      <c r="V293" s="122" t="n">
        <f aca="false">Inputs!$D$30*(1+Inputs!$D$31)^(V$265-1)</f>
        <v>39.14</v>
      </c>
      <c r="W293" s="122" t="n">
        <f aca="false">Inputs!$D$30*(1+Inputs!$D$31)^(W$265-1)</f>
        <v>39.14</v>
      </c>
      <c r="X293" s="122" t="n">
        <f aca="false">Inputs!$D$30*(1+Inputs!$D$31)^(X$265-1)</f>
        <v>39.14</v>
      </c>
      <c r="Y293" s="122" t="n">
        <f aca="false">Inputs!$D$30*(1+Inputs!$D$31)^(Y$265-1)</f>
        <v>39.14</v>
      </c>
      <c r="Z293" s="122" t="n">
        <f aca="false">Inputs!$D$30*(1+Inputs!$D$31)^(Z$265-1)</f>
        <v>39.14</v>
      </c>
      <c r="AA293" s="122" t="n">
        <f aca="false">Inputs!$D$30*(1+Inputs!$D$31)^(AA$265-1)</f>
        <v>40.3142</v>
      </c>
      <c r="AB293" s="122" t="n">
        <f aca="false">Inputs!$D$30*(1+Inputs!$D$31)^(AB$265-1)</f>
        <v>40.3142</v>
      </c>
      <c r="AC293" s="122" t="n">
        <f aca="false">Inputs!$D$30*(1+Inputs!$D$31)^(AC$265-1)</f>
        <v>40.3142</v>
      </c>
      <c r="AD293" s="122" t="n">
        <f aca="false">Inputs!$D$30*(1+Inputs!$D$31)^(AD$265-1)</f>
        <v>40.3142</v>
      </c>
      <c r="AE293" s="122" t="n">
        <f aca="false">Inputs!$D$30*(1+Inputs!$D$31)^(AE$265-1)</f>
        <v>40.3142</v>
      </c>
      <c r="AF293" s="122" t="n">
        <f aca="false">Inputs!$D$30*(1+Inputs!$D$31)^(AF$265-1)</f>
        <v>40.3142</v>
      </c>
      <c r="AG293" s="122" t="n">
        <f aca="false">Inputs!$D$30*(1+Inputs!$D$31)^(AG$265-1)</f>
        <v>40.3142</v>
      </c>
      <c r="AH293" s="122" t="n">
        <f aca="false">Inputs!$D$30*(1+Inputs!$D$31)^(AH$265-1)</f>
        <v>40.3142</v>
      </c>
      <c r="AI293" s="122" t="n">
        <f aca="false">Inputs!$D$30*(1+Inputs!$D$31)^(AI$265-1)</f>
        <v>40.3142</v>
      </c>
      <c r="AJ293" s="122" t="n">
        <f aca="false">Inputs!$D$30*(1+Inputs!$D$31)^(AJ$265-1)</f>
        <v>40.3142</v>
      </c>
      <c r="AK293" s="122" t="n">
        <f aca="false">Inputs!$D$30*(1+Inputs!$D$31)^(AK$265-1)</f>
        <v>40.3142</v>
      </c>
      <c r="AL293" s="122" t="n">
        <f aca="false">Inputs!$D$30*(1+Inputs!$D$31)^(AL$265-1)</f>
        <v>40.3142</v>
      </c>
    </row>
    <row r="294" customFormat="false" ht="15" hidden="false" customHeight="false" outlineLevel="0" collapsed="false">
      <c r="A294" s="6" t="s">
        <v>411</v>
      </c>
      <c r="C294" s="69" t="n">
        <f aca="false">C286*C292</f>
        <v>56271.6</v>
      </c>
      <c r="D294" s="69" t="n">
        <f aca="false">D286*D292</f>
        <v>62848.8</v>
      </c>
      <c r="E294" s="69" t="n">
        <f aca="false">E286*E292</f>
        <v>79711.3333333333</v>
      </c>
      <c r="F294" s="69" t="n">
        <f aca="false">F286*F292</f>
        <v>87262.9333333334</v>
      </c>
      <c r="G294" s="69" t="n">
        <f aca="false">G286*G292</f>
        <v>94814.5333333333</v>
      </c>
      <c r="H294" s="69" t="n">
        <f aca="false">H286*H292</f>
        <v>102366.133333333</v>
      </c>
      <c r="I294" s="69" t="n">
        <f aca="false">I286*I292</f>
        <v>109917.733333333</v>
      </c>
      <c r="J294" s="69" t="n">
        <f aca="false">J286*J292</f>
        <v>117469.333333333</v>
      </c>
      <c r="K294" s="69" t="n">
        <f aca="false">K286*K292</f>
        <v>117469.333333333</v>
      </c>
      <c r="L294" s="69" t="n">
        <f aca="false">L286*L292</f>
        <v>117469.333333333</v>
      </c>
      <c r="M294" s="69" t="n">
        <f aca="false">M286*M292</f>
        <v>117469.333333333</v>
      </c>
      <c r="N294" s="69" t="n">
        <f aca="false">N286*N292</f>
        <v>102312</v>
      </c>
      <c r="O294" s="69" t="n">
        <f aca="false">O286*O292</f>
        <v>111704.2416</v>
      </c>
      <c r="P294" s="69" t="n">
        <f aca="false">P286*P292</f>
        <v>111704.2416</v>
      </c>
      <c r="Q294" s="69" t="n">
        <f aca="false">Q286*Q292</f>
        <v>128253.018133333</v>
      </c>
      <c r="R294" s="69" t="n">
        <f aca="false">R286*R292</f>
        <v>128253.018133333</v>
      </c>
      <c r="S294" s="69" t="n">
        <f aca="false">S286*S292</f>
        <v>128253.018133333</v>
      </c>
      <c r="T294" s="69" t="n">
        <f aca="false">T286*T292</f>
        <v>128253.018133333</v>
      </c>
      <c r="U294" s="69" t="n">
        <f aca="false">U286*U292</f>
        <v>128253.018133333</v>
      </c>
      <c r="V294" s="69" t="n">
        <f aca="false">V286*V292</f>
        <v>128253.018133333</v>
      </c>
      <c r="W294" s="69" t="n">
        <f aca="false">W286*W292</f>
        <v>128253.018133333</v>
      </c>
      <c r="X294" s="69" t="n">
        <f aca="false">X286*X292</f>
        <v>128253.018133333</v>
      </c>
      <c r="Y294" s="69" t="n">
        <f aca="false">Y286*Y292</f>
        <v>128253.018133333</v>
      </c>
      <c r="Z294" s="69" t="n">
        <f aca="false">Z286*Z292</f>
        <v>111704.2416</v>
      </c>
      <c r="AA294" s="69" t="n">
        <f aca="false">AA286*AA292</f>
        <v>121958.69097888</v>
      </c>
      <c r="AB294" s="69" t="n">
        <f aca="false">AB286*AB292</f>
        <v>121958.69097888</v>
      </c>
      <c r="AC294" s="69" t="n">
        <f aca="false">AC286*AC292</f>
        <v>140026.645197973</v>
      </c>
      <c r="AD294" s="69" t="n">
        <f aca="false">AD286*AD292</f>
        <v>140026.645197973</v>
      </c>
      <c r="AE294" s="69" t="n">
        <f aca="false">AE286*AE292</f>
        <v>140026.645197973</v>
      </c>
      <c r="AF294" s="69" t="n">
        <f aca="false">AF286*AF292</f>
        <v>140026.645197973</v>
      </c>
      <c r="AG294" s="69" t="n">
        <f aca="false">AG286*AG292</f>
        <v>140026.645197973</v>
      </c>
      <c r="AH294" s="69" t="n">
        <f aca="false">AH286*AH292</f>
        <v>140026.645197973</v>
      </c>
      <c r="AI294" s="69" t="n">
        <f aca="false">AI286*AI292</f>
        <v>140026.645197973</v>
      </c>
      <c r="AJ294" s="69" t="n">
        <f aca="false">AJ286*AJ292</f>
        <v>140026.645197973</v>
      </c>
      <c r="AK294" s="69" t="n">
        <f aca="false">AK286*AK292</f>
        <v>140026.645197973</v>
      </c>
      <c r="AL294" s="69" t="n">
        <f aca="false">AL286*AL292</f>
        <v>121958.69097888</v>
      </c>
    </row>
    <row r="295" customFormat="false" ht="15" hidden="false" customHeight="false" outlineLevel="0" collapsed="false">
      <c r="A295" s="6" t="s">
        <v>412</v>
      </c>
      <c r="C295" s="69" t="n">
        <f aca="false">C286*Inputs!$D$29*(1+Inputs!$D$31)^(C$265-1)</f>
        <v>7234.92</v>
      </c>
      <c r="D295" s="69" t="n">
        <f aca="false">D286*Inputs!$D$29*(1+Inputs!$D$31)^(D$265-1)</f>
        <v>8080.56</v>
      </c>
      <c r="E295" s="69" t="n">
        <f aca="false">E286*Inputs!$D$29*(1+Inputs!$D$31)^(E$265-1)</f>
        <v>10248.6</v>
      </c>
      <c r="F295" s="69" t="n">
        <f aca="false">F286*Inputs!$D$29*(1+Inputs!$D$31)^(F$265-1)</f>
        <v>11219.52</v>
      </c>
      <c r="G295" s="69" t="n">
        <f aca="false">G286*Inputs!$D$29*(1+Inputs!$D$31)^(G$265-1)</f>
        <v>12190.44</v>
      </c>
      <c r="H295" s="69" t="n">
        <f aca="false">H286*Inputs!$D$29*(1+Inputs!$D$31)^(H$265-1)</f>
        <v>13161.36</v>
      </c>
      <c r="I295" s="69" t="n">
        <f aca="false">I286*Inputs!$D$29*(1+Inputs!$D$31)^(I$265-1)</f>
        <v>14132.28</v>
      </c>
      <c r="J295" s="69" t="n">
        <f aca="false">J286*Inputs!$D$29*(1+Inputs!$D$31)^(J$265-1)</f>
        <v>15103.2</v>
      </c>
      <c r="K295" s="69" t="n">
        <f aca="false">K286*Inputs!$D$29*(1+Inputs!$D$31)^(K$265-1)</f>
        <v>15103.2</v>
      </c>
      <c r="L295" s="69" t="n">
        <f aca="false">L286*Inputs!$D$29*(1+Inputs!$D$31)^(L$265-1)</f>
        <v>15103.2</v>
      </c>
      <c r="M295" s="69" t="n">
        <f aca="false">M286*Inputs!$D$29*(1+Inputs!$D$31)^(M$265-1)</f>
        <v>15103.2</v>
      </c>
      <c r="N295" s="69" t="n">
        <f aca="false">N286*Inputs!$D$29*(1+Inputs!$D$31)^(N$265-1)</f>
        <v>13154.4</v>
      </c>
      <c r="O295" s="69" t="n">
        <f aca="false">O286*Inputs!$D$29*(1+Inputs!$D$31)^(O$265-1)</f>
        <v>14361.97392</v>
      </c>
      <c r="P295" s="69" t="n">
        <f aca="false">P286*Inputs!$D$29*(1+Inputs!$D$31)^(P$265-1)</f>
        <v>14361.97392</v>
      </c>
      <c r="Q295" s="69" t="n">
        <f aca="false">Q286*Inputs!$D$29*(1+Inputs!$D$31)^(Q$265-1)</f>
        <v>16489.67376</v>
      </c>
      <c r="R295" s="69" t="n">
        <f aca="false">R286*Inputs!$D$29*(1+Inputs!$D$31)^(R$265-1)</f>
        <v>16489.67376</v>
      </c>
      <c r="S295" s="69" t="n">
        <f aca="false">S286*Inputs!$D$29*(1+Inputs!$D$31)^(S$265-1)</f>
        <v>16489.67376</v>
      </c>
      <c r="T295" s="69" t="n">
        <f aca="false">T286*Inputs!$D$29*(1+Inputs!$D$31)^(T$265-1)</f>
        <v>16489.67376</v>
      </c>
      <c r="U295" s="69" t="n">
        <f aca="false">U286*Inputs!$D$29*(1+Inputs!$D$31)^(U$265-1)</f>
        <v>16489.67376</v>
      </c>
      <c r="V295" s="69" t="n">
        <f aca="false">V286*Inputs!$D$29*(1+Inputs!$D$31)^(V$265-1)</f>
        <v>16489.67376</v>
      </c>
      <c r="W295" s="69" t="n">
        <f aca="false">W286*Inputs!$D$29*(1+Inputs!$D$31)^(W$265-1)</f>
        <v>16489.67376</v>
      </c>
      <c r="X295" s="69" t="n">
        <f aca="false">X286*Inputs!$D$29*(1+Inputs!$D$31)^(X$265-1)</f>
        <v>16489.67376</v>
      </c>
      <c r="Y295" s="69" t="n">
        <f aca="false">Y286*Inputs!$D$29*(1+Inputs!$D$31)^(Y$265-1)</f>
        <v>16489.67376</v>
      </c>
      <c r="Z295" s="69" t="n">
        <f aca="false">Z286*Inputs!$D$29*(1+Inputs!$D$31)^(Z$265-1)</f>
        <v>14361.97392</v>
      </c>
      <c r="AA295" s="69" t="n">
        <f aca="false">AA286*Inputs!$D$29*(1+Inputs!$D$31)^(AA$265-1)</f>
        <v>15680.403125856</v>
      </c>
      <c r="AB295" s="69" t="n">
        <f aca="false">AB286*Inputs!$D$29*(1+Inputs!$D$31)^(AB$265-1)</f>
        <v>15680.403125856</v>
      </c>
      <c r="AC295" s="69" t="n">
        <f aca="false">AC286*Inputs!$D$29*(1+Inputs!$D$31)^(AC$265-1)</f>
        <v>18003.425811168</v>
      </c>
      <c r="AD295" s="69" t="n">
        <f aca="false">AD286*Inputs!$D$29*(1+Inputs!$D$31)^(AD$265-1)</f>
        <v>18003.425811168</v>
      </c>
      <c r="AE295" s="69" t="n">
        <f aca="false">AE286*Inputs!$D$29*(1+Inputs!$D$31)^(AE$265-1)</f>
        <v>18003.425811168</v>
      </c>
      <c r="AF295" s="69" t="n">
        <f aca="false">AF286*Inputs!$D$29*(1+Inputs!$D$31)^(AF$265-1)</f>
        <v>18003.425811168</v>
      </c>
      <c r="AG295" s="69" t="n">
        <f aca="false">AG286*Inputs!$D$29*(1+Inputs!$D$31)^(AG$265-1)</f>
        <v>18003.425811168</v>
      </c>
      <c r="AH295" s="69" t="n">
        <f aca="false">AH286*Inputs!$D$29*(1+Inputs!$D$31)^(AH$265-1)</f>
        <v>18003.425811168</v>
      </c>
      <c r="AI295" s="69" t="n">
        <f aca="false">AI286*Inputs!$D$29*(1+Inputs!$D$31)^(AI$265-1)</f>
        <v>18003.425811168</v>
      </c>
      <c r="AJ295" s="69" t="n">
        <f aca="false">AJ286*Inputs!$D$29*(1+Inputs!$D$31)^(AJ$265-1)</f>
        <v>18003.425811168</v>
      </c>
      <c r="AK295" s="69" t="n">
        <f aca="false">AK286*Inputs!$D$29*(1+Inputs!$D$31)^(AK$265-1)</f>
        <v>18003.425811168</v>
      </c>
      <c r="AL295" s="69" t="n">
        <f aca="false">AL286*Inputs!$D$29*(1+Inputs!$D$31)^(AL$265-1)</f>
        <v>15680.403125856</v>
      </c>
    </row>
    <row r="296" customFormat="false" ht="15" hidden="false" customHeight="false" outlineLevel="0" collapsed="false">
      <c r="A296" s="6" t="s">
        <v>241</v>
      </c>
      <c r="C296" s="69" t="n">
        <f aca="false">C280*C293*1</f>
        <v>14477.886</v>
      </c>
      <c r="D296" s="69" t="n">
        <f aca="false">D280*D293*1</f>
        <v>16958.5133622857</v>
      </c>
      <c r="E296" s="69" t="n">
        <f aca="false">E280*E293*1</f>
        <v>19824.4427442164</v>
      </c>
      <c r="F296" s="69" t="n">
        <f aca="false">F280*F293*1</f>
        <v>23076.5684811634</v>
      </c>
      <c r="G296" s="69" t="n">
        <f aca="false">G280*G293*1</f>
        <v>26576.1696230995</v>
      </c>
      <c r="H296" s="69" t="n">
        <f aca="false">H280*H293*1</f>
        <v>30315.326957065</v>
      </c>
      <c r="I296" s="69" t="n">
        <f aca="false">I280*I293*1</f>
        <v>34286.3746849152</v>
      </c>
      <c r="J296" s="69" t="n">
        <f aca="false">J280*J293*1</f>
        <v>38481.8923140455</v>
      </c>
      <c r="K296" s="69" t="n">
        <f aca="false">K280*K293*1</f>
        <v>42718.9250933294</v>
      </c>
      <c r="L296" s="69" t="n">
        <f aca="false">L280*L293*1</f>
        <v>46820.3728236762</v>
      </c>
      <c r="M296" s="69" t="n">
        <f aca="false">M280*M293*1</f>
        <v>50790.5742266519</v>
      </c>
      <c r="N296" s="69" t="n">
        <f aca="false">N280*N293*1</f>
        <v>54428.0225180657</v>
      </c>
      <c r="O296" s="69" t="n">
        <f aca="false">O280*O293*1</f>
        <v>59678.8973074122</v>
      </c>
      <c r="P296" s="69" t="n">
        <f aca="false">P280*P293*1</f>
        <v>63384.384865575</v>
      </c>
      <c r="Q296" s="69" t="n">
        <f aca="false">Q280*Q293*1</f>
        <v>67195.8873605433</v>
      </c>
      <c r="R296" s="69" t="n">
        <f aca="false">R280*R293*1</f>
        <v>71110.0123143392</v>
      </c>
      <c r="S296" s="69" t="n">
        <f aca="false">S280*S293*1</f>
        <v>74898.8852696137</v>
      </c>
      <c r="T296" s="69" t="n">
        <f aca="false">T280*T293*1</f>
        <v>78566.5142903194</v>
      </c>
      <c r="U296" s="69" t="n">
        <f aca="false">U280*U293*1</f>
        <v>82116.7791823625</v>
      </c>
      <c r="V296" s="69" t="n">
        <f aca="false">V280*V293*1</f>
        <v>85553.4355978602</v>
      </c>
      <c r="W296" s="69" t="n">
        <f aca="false">W280*W293*1</f>
        <v>88880.119008062</v>
      </c>
      <c r="X296" s="69" t="n">
        <f aca="false">X280*X293*1</f>
        <v>92100.3485491374</v>
      </c>
      <c r="Y296" s="69" t="n">
        <f aca="false">Y280*Y293*1</f>
        <v>95217.5307448983</v>
      </c>
      <c r="Z296" s="69" t="n">
        <f aca="false">Z280*Z293*1</f>
        <v>98010.3725717282</v>
      </c>
      <c r="AA296" s="69" t="n">
        <f aca="false">AA280*AA293*1</f>
        <v>103730.655312281</v>
      </c>
      <c r="AB296" s="69" t="n">
        <f aca="false">AB280*AB293*1</f>
        <v>106648.392588857</v>
      </c>
      <c r="AC296" s="69" t="n">
        <f aca="false">AC280*AC293*1</f>
        <v>109717.9702227</v>
      </c>
      <c r="AD296" s="69" t="n">
        <f aca="false">AD280*AD293*1</f>
        <v>112934.529322376</v>
      </c>
      <c r="AE296" s="69" t="n">
        <f aca="false">AE280*AE293*1</f>
        <v>116048.158530862</v>
      </c>
      <c r="AF296" s="69" t="n">
        <f aca="false">AF280*AF293*1</f>
        <v>119062.151604676</v>
      </c>
      <c r="AG296" s="69" t="n">
        <f aca="false">AG280*AG293*1</f>
        <v>121979.696900129</v>
      </c>
      <c r="AH296" s="69" t="n">
        <f aca="false">AH280*AH293*1</f>
        <v>124803.880746127</v>
      </c>
      <c r="AI296" s="69" t="n">
        <f aca="false">AI280*AI293*1</f>
        <v>127537.690709053</v>
      </c>
      <c r="AJ296" s="69" t="n">
        <f aca="false">AJ280*AJ293*1</f>
        <v>130184.018753165</v>
      </c>
      <c r="AK296" s="69" t="n">
        <f aca="false">AK280*AK293*1</f>
        <v>132745.664299866</v>
      </c>
      <c r="AL296" s="69" t="n">
        <f aca="false">AL280*AL293*1</f>
        <v>134980.129238956</v>
      </c>
    </row>
    <row r="297" customFormat="false" ht="15" hidden="false" customHeight="false" outlineLevel="0" collapsed="false">
      <c r="A297" s="113" t="s">
        <v>44</v>
      </c>
      <c r="C297" s="70" t="n">
        <f aca="false">C294+C295+C296</f>
        <v>77984.406</v>
      </c>
      <c r="D297" s="70" t="n">
        <f aca="false">D294+D295+D296</f>
        <v>87887.8733622857</v>
      </c>
      <c r="E297" s="70" t="n">
        <f aca="false">E294+E295+E296</f>
        <v>109784.37607755</v>
      </c>
      <c r="F297" s="70" t="n">
        <f aca="false">F294+F295+F296</f>
        <v>121559.021814497</v>
      </c>
      <c r="G297" s="70" t="n">
        <f aca="false">G294+G295+G296</f>
        <v>133581.142956433</v>
      </c>
      <c r="H297" s="70" t="n">
        <f aca="false">H294+H295+H296</f>
        <v>145842.820290398</v>
      </c>
      <c r="I297" s="70" t="n">
        <f aca="false">I294+I295+I296</f>
        <v>158336.388018249</v>
      </c>
      <c r="J297" s="70" t="n">
        <f aca="false">J294+J295+J296</f>
        <v>171054.425647379</v>
      </c>
      <c r="K297" s="70" t="n">
        <f aca="false">K294+K295+K296</f>
        <v>175291.458426663</v>
      </c>
      <c r="L297" s="70" t="n">
        <f aca="false">L294+L295+L296</f>
        <v>179392.90615701</v>
      </c>
      <c r="M297" s="70" t="n">
        <f aca="false">M294+M295+M296</f>
        <v>183363.107559985</v>
      </c>
      <c r="N297" s="70" t="n">
        <f aca="false">N294+N295+N296</f>
        <v>169894.422518066</v>
      </c>
      <c r="O297" s="70" t="n">
        <f aca="false">O294+O295+O296</f>
        <v>185745.112827412</v>
      </c>
      <c r="P297" s="70" t="n">
        <f aca="false">P294+P295+P296</f>
        <v>189450.600385575</v>
      </c>
      <c r="Q297" s="70" t="n">
        <f aca="false">Q294+Q295+Q296</f>
        <v>211938.579253877</v>
      </c>
      <c r="R297" s="70" t="n">
        <f aca="false">R294+R295+R296</f>
        <v>215852.704207673</v>
      </c>
      <c r="S297" s="70" t="n">
        <f aca="false">S294+S295+S296</f>
        <v>219641.577162947</v>
      </c>
      <c r="T297" s="70" t="n">
        <f aca="false">T294+T295+T296</f>
        <v>223309.206183653</v>
      </c>
      <c r="U297" s="70" t="n">
        <f aca="false">U294+U295+U296</f>
        <v>226859.471075696</v>
      </c>
      <c r="V297" s="70" t="n">
        <f aca="false">V294+V295+V296</f>
        <v>230296.127491194</v>
      </c>
      <c r="W297" s="70" t="n">
        <f aca="false">W294+W295+W296</f>
        <v>233622.810901395</v>
      </c>
      <c r="X297" s="70" t="n">
        <f aca="false">X294+X295+X296</f>
        <v>236843.040442471</v>
      </c>
      <c r="Y297" s="70" t="n">
        <f aca="false">Y294+Y295+Y296</f>
        <v>239960.222638232</v>
      </c>
      <c r="Z297" s="70" t="n">
        <f aca="false">Z294+Z295+Z296</f>
        <v>224076.588091728</v>
      </c>
      <c r="AA297" s="70" t="n">
        <f aca="false">AA294+AA295+AA296</f>
        <v>241369.749417017</v>
      </c>
      <c r="AB297" s="70" t="n">
        <f aca="false">AB294+AB295+AB296</f>
        <v>244287.486693593</v>
      </c>
      <c r="AC297" s="70" t="n">
        <f aca="false">AC294+AC295+AC296</f>
        <v>267748.041231841</v>
      </c>
      <c r="AD297" s="70" t="n">
        <f aca="false">AD294+AD295+AD296</f>
        <v>270964.600331517</v>
      </c>
      <c r="AE297" s="70" t="n">
        <f aca="false">AE294+AE295+AE296</f>
        <v>274078.229540003</v>
      </c>
      <c r="AF297" s="70" t="n">
        <f aca="false">AF294+AF295+AF296</f>
        <v>277092.222613818</v>
      </c>
      <c r="AG297" s="70" t="n">
        <f aca="false">AG294+AG295+AG296</f>
        <v>280009.76790927</v>
      </c>
      <c r="AH297" s="70" t="n">
        <f aca="false">AH294+AH295+AH296</f>
        <v>282833.951755268</v>
      </c>
      <c r="AI297" s="70" t="n">
        <f aca="false">AI294+AI295+AI296</f>
        <v>285567.761718194</v>
      </c>
      <c r="AJ297" s="70" t="n">
        <f aca="false">AJ294+AJ295+AJ296</f>
        <v>288214.089762307</v>
      </c>
      <c r="AK297" s="70" t="n">
        <f aca="false">AK294+AK295+AK296</f>
        <v>290775.735309007</v>
      </c>
      <c r="AL297" s="70" t="n">
        <f aca="false">AL294+AL295+AL296</f>
        <v>272619.223343692</v>
      </c>
    </row>
    <row r="299" customFormat="false" ht="15.75" hidden="false" customHeight="true" outlineLevel="0" collapsed="false">
      <c r="A299" s="7" t="s">
        <v>76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customFormat="false" ht="15" hidden="false" customHeight="false" outlineLevel="0" collapsed="false">
      <c r="A300" s="6" t="s">
        <v>413</v>
      </c>
      <c r="C300" s="69" t="n">
        <f aca="false">-C288*Inputs!$D$34*(1+Inputs!$D$39)^(C$265-1)</f>
        <v>-3837.50352</v>
      </c>
      <c r="D300" s="69" t="n">
        <f aca="false">-D288*Inputs!$D$34*(1+Inputs!$D$39)^(D$265-1)</f>
        <v>-4330.85760164571</v>
      </c>
      <c r="E300" s="69" t="n">
        <f aca="false">-E288*Inputs!$D$34*(1+Inputs!$D$39)^(E$265-1)</f>
        <v>-5564.05573699096</v>
      </c>
      <c r="F300" s="69" t="n">
        <f aca="false">-F288*Inputs!$D$34*(1+Inputs!$D$39)^(F$265-1)</f>
        <v>-6180.84973245487</v>
      </c>
      <c r="G300" s="69" t="n">
        <f aca="false">-G288*Inputs!$D$34*(1+Inputs!$D$39)^(G$265-1)</f>
        <v>-6813.79475434965</v>
      </c>
      <c r="H300" s="69" t="n">
        <f aca="false">-H288*Inputs!$D$34*(1+Inputs!$D$39)^(H$265-1)</f>
        <v>-7462.37396982951</v>
      </c>
      <c r="I300" s="69" t="n">
        <f aca="false">-I288*Inputs!$D$34*(1+Inputs!$D$39)^(I$265-1)</f>
        <v>-8126.08708469973</v>
      </c>
      <c r="J300" s="69" t="n">
        <f aca="false">-J288*Inputs!$D$34*(1+Inputs!$D$39)^(J$265-1)</f>
        <v>-8804.44981417981</v>
      </c>
      <c r="K300" s="69" t="n">
        <f aca="false">-K288*Inputs!$D$34*(1+Inputs!$D$39)^(K$265-1)</f>
        <v>-9080.97195345939</v>
      </c>
      <c r="L300" s="69" t="n">
        <f aca="false">-L288*Inputs!$D$34*(1+Inputs!$D$39)^(L$265-1)</f>
        <v>-9348.64538428202</v>
      </c>
      <c r="M300" s="69" t="n">
        <f aca="false">-M288*Inputs!$D$34*(1+Inputs!$D$39)^(M$265-1)</f>
        <v>-9607.75326531833</v>
      </c>
      <c r="N300" s="69" t="n">
        <f aca="false">-N288*Inputs!$D$34*(1+Inputs!$D$39)^(N$265-1)</f>
        <v>-8574.80338523742</v>
      </c>
      <c r="O300" s="69" t="n">
        <f aca="false">-O288*Inputs!$D$34*(1+Inputs!$D$39)^(O$265-1)</f>
        <v>-9330.91331243257</v>
      </c>
      <c r="P300" s="69" t="n">
        <f aca="false">-P288*Inputs!$D$34*(1+Inputs!$D$39)^(P$265-1)</f>
        <v>-9540.51856163472</v>
      </c>
      <c r="Q300" s="69" t="n">
        <f aca="false">-Q288*Inputs!$D$34*(1+Inputs!$D$39)^(Q$265-1)</f>
        <v>-11201.471880442</v>
      </c>
      <c r="R300" s="69" t="n">
        <f aca="false">-R288*Inputs!$D$34*(1+Inputs!$D$39)^(R$265-1)</f>
        <v>-11455.6799957346</v>
      </c>
      <c r="S300" s="69" t="n">
        <f aca="false">-S288*Inputs!$D$34*(1+Inputs!$D$39)^(S$265-1)</f>
        <v>-11701.7534513377</v>
      </c>
      <c r="T300" s="69" t="n">
        <f aca="false">-T288*Inputs!$D$34*(1+Inputs!$D$39)^(T$265-1)</f>
        <v>-11939.9525563616</v>
      </c>
      <c r="U300" s="69" t="n">
        <f aca="false">-U288*Inputs!$D$34*(1+Inputs!$D$39)^(U$265-1)</f>
        <v>-12170.5292900247</v>
      </c>
      <c r="V300" s="69" t="n">
        <f aca="false">-V288*Inputs!$D$34*(1+Inputs!$D$39)^(V$265-1)</f>
        <v>-12393.7275682105</v>
      </c>
      <c r="W300" s="69" t="n">
        <f aca="false">-W288*Inputs!$D$34*(1+Inputs!$D$39)^(W$265-1)</f>
        <v>-12609.7835014945</v>
      </c>
      <c r="X300" s="69" t="n">
        <f aca="false">-X288*Inputs!$D$34*(1+Inputs!$D$39)^(X$265-1)</f>
        <v>-12818.9256449133</v>
      </c>
      <c r="Y300" s="69" t="n">
        <f aca="false">-Y288*Inputs!$D$34*(1+Inputs!$D$39)^(Y$265-1)</f>
        <v>-13021.3752397428</v>
      </c>
      <c r="Z300" s="69" t="n">
        <f aca="false">-Z288*Inputs!$D$34*(1+Inputs!$D$39)^(Z$265-1)</f>
        <v>-11499.1781625909</v>
      </c>
      <c r="AA300" s="69" t="n">
        <f aca="false">-AA288*Inputs!$D$34*(1+Inputs!$D$39)^(AA$265-1)</f>
        <v>-12309.3856570691</v>
      </c>
      <c r="AB300" s="69" t="n">
        <f aca="false">-AB288*Inputs!$D$34*(1+Inputs!$D$39)^(AB$265-1)</f>
        <v>-12473.6296973476</v>
      </c>
      <c r="AC300" s="69" t="n">
        <f aca="false">-AC288*Inputs!$D$34*(1+Inputs!$D$39)^(AC$265-1)</f>
        <v>-14519.9649335887</v>
      </c>
      <c r="AD300" s="69" t="n">
        <f aca="false">-AD288*Inputs!$D$34*(1+Inputs!$D$39)^(AD$265-1)</f>
        <v>-14727.8545993184</v>
      </c>
      <c r="AE300" s="69" t="n">
        <f aca="false">-AE288*Inputs!$D$34*(1+Inputs!$D$39)^(AE$265-1)</f>
        <v>-14929.0917957447</v>
      </c>
      <c r="AF300" s="69" t="n">
        <f aca="false">-AF288*Inputs!$D$34*(1+Inputs!$D$39)^(AF$265-1)</f>
        <v>-15123.8894018854</v>
      </c>
      <c r="AG300" s="69" t="n">
        <f aca="false">-AG288*Inputs!$D$34*(1+Inputs!$D$39)^(AG$265-1)</f>
        <v>-15312.4534846296</v>
      </c>
      <c r="AH300" s="69" t="n">
        <f aca="false">-AH288*Inputs!$D$34*(1+Inputs!$D$39)^(AH$265-1)</f>
        <v>-15494.983516726</v>
      </c>
      <c r="AI300" s="69" t="n">
        <f aca="false">-AI288*Inputs!$D$34*(1+Inputs!$D$39)^(AI$265-1)</f>
        <v>-15671.6725877953</v>
      </c>
      <c r="AJ300" s="69" t="n">
        <f aca="false">-AJ288*Inputs!$D$34*(1+Inputs!$D$39)^(AJ$265-1)</f>
        <v>-15842.7076085904</v>
      </c>
      <c r="AK300" s="69" t="n">
        <f aca="false">-AK288*Inputs!$D$34*(1+Inputs!$D$39)^(AK$265-1)</f>
        <v>-16008.26950872</v>
      </c>
      <c r="AL300" s="69" t="n">
        <f aca="false">-AL288*Inputs!$D$34*(1+Inputs!$D$39)^(AL$265-1)</f>
        <v>-14068.4679073804</v>
      </c>
    </row>
    <row r="301" customFormat="false" ht="15" hidden="false" customHeight="false" outlineLevel="0" collapsed="false">
      <c r="A301" s="6" t="s">
        <v>414</v>
      </c>
      <c r="C301" s="69" t="n">
        <f aca="false">-C288*Inputs!$D$35/1000*Inputs!$D$36*(1+Inputs!$D$39)^(C$265-1)</f>
        <v>-1473.60135168</v>
      </c>
      <c r="D301" s="69" t="n">
        <f aca="false">-D288*Inputs!$D$35/1000*Inputs!$D$36*(1+Inputs!$D$39)^(D$265-1)</f>
        <v>-1663.04931903195</v>
      </c>
      <c r="E301" s="69" t="n">
        <f aca="false">-E288*Inputs!$D$35/1000*Inputs!$D$36*(1+Inputs!$D$39)^(E$265-1)</f>
        <v>-2136.59740300453</v>
      </c>
      <c r="F301" s="69" t="n">
        <f aca="false">-F288*Inputs!$D$35/1000*Inputs!$D$36*(1+Inputs!$D$39)^(F$265-1)</f>
        <v>-2373.44629726267</v>
      </c>
      <c r="G301" s="69" t="n">
        <f aca="false">-G288*Inputs!$D$35/1000*Inputs!$D$36*(1+Inputs!$D$39)^(G$265-1)</f>
        <v>-2616.49718567027</v>
      </c>
      <c r="H301" s="69" t="n">
        <f aca="false">-H288*Inputs!$D$35/1000*Inputs!$D$36*(1+Inputs!$D$39)^(H$265-1)</f>
        <v>-2865.55160441453</v>
      </c>
      <c r="I301" s="69" t="n">
        <f aca="false">-I288*Inputs!$D$35/1000*Inputs!$D$36*(1+Inputs!$D$39)^(I$265-1)</f>
        <v>-3120.41744052469</v>
      </c>
      <c r="J301" s="69" t="n">
        <f aca="false">-J288*Inputs!$D$35/1000*Inputs!$D$36*(1+Inputs!$D$39)^(J$265-1)</f>
        <v>-3380.90872864505</v>
      </c>
      <c r="K301" s="69" t="n">
        <f aca="false">-K288*Inputs!$D$35/1000*Inputs!$D$36*(1+Inputs!$D$39)^(K$265-1)</f>
        <v>-3487.09323012841</v>
      </c>
      <c r="L301" s="69" t="n">
        <f aca="false">-L288*Inputs!$D$35/1000*Inputs!$D$36*(1+Inputs!$D$39)^(L$265-1)</f>
        <v>-3589.8798275643</v>
      </c>
      <c r="M301" s="69" t="n">
        <f aca="false">-M288*Inputs!$D$35/1000*Inputs!$D$36*(1+Inputs!$D$39)^(M$265-1)</f>
        <v>-3689.37725388224</v>
      </c>
      <c r="N301" s="69" t="n">
        <f aca="false">-N288*Inputs!$D$35/1000*Inputs!$D$36*(1+Inputs!$D$39)^(N$265-1)</f>
        <v>-3292.72449993117</v>
      </c>
      <c r="O301" s="69" t="n">
        <f aca="false">-O288*Inputs!$D$35/1000*Inputs!$D$36*(1+Inputs!$D$39)^(O$265-1)</f>
        <v>-3583.07071197411</v>
      </c>
      <c r="P301" s="69" t="n">
        <f aca="false">-P288*Inputs!$D$35/1000*Inputs!$D$36*(1+Inputs!$D$39)^(P$265-1)</f>
        <v>-3663.55912766773</v>
      </c>
      <c r="Q301" s="69" t="n">
        <f aca="false">-Q288*Inputs!$D$35/1000*Inputs!$D$36*(1+Inputs!$D$39)^(Q$265-1)</f>
        <v>-4301.36520208974</v>
      </c>
      <c r="R301" s="69" t="n">
        <f aca="false">-R288*Inputs!$D$35/1000*Inputs!$D$36*(1+Inputs!$D$39)^(R$265-1)</f>
        <v>-4398.98111836207</v>
      </c>
      <c r="S301" s="69" t="n">
        <f aca="false">-S288*Inputs!$D$35/1000*Inputs!$D$36*(1+Inputs!$D$39)^(S$265-1)</f>
        <v>-4493.47332531368</v>
      </c>
      <c r="T301" s="69" t="n">
        <f aca="false">-T288*Inputs!$D$35/1000*Inputs!$D$36*(1+Inputs!$D$39)^(T$265-1)</f>
        <v>-4584.94178164284</v>
      </c>
      <c r="U301" s="69" t="n">
        <f aca="false">-U288*Inputs!$D$35/1000*Inputs!$D$36*(1+Inputs!$D$39)^(U$265-1)</f>
        <v>-4673.48324736947</v>
      </c>
      <c r="V301" s="69" t="n">
        <f aca="false">-V288*Inputs!$D$35/1000*Inputs!$D$36*(1+Inputs!$D$39)^(V$265-1)</f>
        <v>-4759.19138619285</v>
      </c>
      <c r="W301" s="69" t="n">
        <f aca="false">-W288*Inputs!$D$35/1000*Inputs!$D$36*(1+Inputs!$D$39)^(W$265-1)</f>
        <v>-4842.15686457388</v>
      </c>
      <c r="X301" s="69" t="n">
        <f aca="false">-X288*Inputs!$D$35/1000*Inputs!$D$36*(1+Inputs!$D$39)^(X$265-1)</f>
        <v>-4922.46744764671</v>
      </c>
      <c r="Y301" s="69" t="n">
        <f aca="false">-Y288*Inputs!$D$35/1000*Inputs!$D$36*(1+Inputs!$D$39)^(Y$265-1)</f>
        <v>-5000.20809206122</v>
      </c>
      <c r="Z301" s="69" t="n">
        <f aca="false">-Z288*Inputs!$D$35/1000*Inputs!$D$36*(1+Inputs!$D$39)^(Z$265-1)</f>
        <v>-4415.68441443489</v>
      </c>
      <c r="AA301" s="69" t="n">
        <f aca="false">-AA288*Inputs!$D$35/1000*Inputs!$D$36*(1+Inputs!$D$39)^(AA$265-1)</f>
        <v>-4726.80409231452</v>
      </c>
      <c r="AB301" s="69" t="n">
        <f aca="false">-AB288*Inputs!$D$35/1000*Inputs!$D$36*(1+Inputs!$D$39)^(AB$265-1)</f>
        <v>-4789.8738037815</v>
      </c>
      <c r="AC301" s="69" t="n">
        <f aca="false">-AC288*Inputs!$D$35/1000*Inputs!$D$36*(1+Inputs!$D$39)^(AC$265-1)</f>
        <v>-5575.66653449804</v>
      </c>
      <c r="AD301" s="69" t="n">
        <f aca="false">-AD288*Inputs!$D$35/1000*Inputs!$D$36*(1+Inputs!$D$39)^(AD$265-1)</f>
        <v>-5655.49616613825</v>
      </c>
      <c r="AE301" s="69" t="n">
        <f aca="false">-AE288*Inputs!$D$35/1000*Inputs!$D$36*(1+Inputs!$D$39)^(AE$265-1)</f>
        <v>-5732.77124956597</v>
      </c>
      <c r="AF301" s="69" t="n">
        <f aca="false">-AF288*Inputs!$D$35/1000*Inputs!$D$36*(1+Inputs!$D$39)^(AF$265-1)</f>
        <v>-5807.57353032399</v>
      </c>
      <c r="AG301" s="69" t="n">
        <f aca="false">-AG288*Inputs!$D$35/1000*Inputs!$D$36*(1+Inputs!$D$39)^(AG$265-1)</f>
        <v>-5879.98213809777</v>
      </c>
      <c r="AH301" s="69" t="n">
        <f aca="false">-AH288*Inputs!$D$35/1000*Inputs!$D$36*(1+Inputs!$D$39)^(AH$265-1)</f>
        <v>-5950.07367042278</v>
      </c>
      <c r="AI301" s="69" t="n">
        <f aca="false">-AI288*Inputs!$D$35/1000*Inputs!$D$36*(1+Inputs!$D$39)^(AI$265-1)</f>
        <v>-6017.92227371339</v>
      </c>
      <c r="AJ301" s="69" t="n">
        <f aca="false">-AJ288*Inputs!$D$35/1000*Inputs!$D$36*(1+Inputs!$D$39)^(AJ$265-1)</f>
        <v>-6083.5997216987</v>
      </c>
      <c r="AK301" s="69" t="n">
        <f aca="false">-AK288*Inputs!$D$35/1000*Inputs!$D$36*(1+Inputs!$D$39)^(AK$265-1)</f>
        <v>-6147.17549134849</v>
      </c>
      <c r="AL301" s="69" t="n">
        <f aca="false">-AL288*Inputs!$D$35/1000*Inputs!$D$36*(1+Inputs!$D$39)^(AL$265-1)</f>
        <v>-5402.29167643407</v>
      </c>
    </row>
    <row r="302" customFormat="false" ht="15" hidden="false" customHeight="false" outlineLevel="0" collapsed="false">
      <c r="A302" s="6" t="s">
        <v>415</v>
      </c>
      <c r="C302" s="69" t="n">
        <f aca="false">-C288*Inputs!$D$37*(1+Inputs!$D$39)^(C$265-1)</f>
        <v>-2046.668544</v>
      </c>
      <c r="D302" s="69" t="n">
        <f aca="false">-D288*Inputs!$D$37*(1+Inputs!$D$39)^(D$265-1)</f>
        <v>-2309.79072087771</v>
      </c>
      <c r="E302" s="69" t="n">
        <f aca="false">-E288*Inputs!$D$37*(1+Inputs!$D$39)^(E$265-1)</f>
        <v>-2967.49639306185</v>
      </c>
      <c r="F302" s="69" t="n">
        <f aca="false">-F288*Inputs!$D$37*(1+Inputs!$D$39)^(F$265-1)</f>
        <v>-3296.4531906426</v>
      </c>
      <c r="G302" s="69" t="n">
        <f aca="false">-G288*Inputs!$D$37*(1+Inputs!$D$39)^(G$265-1)</f>
        <v>-3634.02386898648</v>
      </c>
      <c r="H302" s="69" t="n">
        <f aca="false">-H288*Inputs!$D$37*(1+Inputs!$D$39)^(H$265-1)</f>
        <v>-3979.93278390907</v>
      </c>
      <c r="I302" s="69" t="n">
        <f aca="false">-I288*Inputs!$D$37*(1+Inputs!$D$39)^(I$265-1)</f>
        <v>-4333.91311183985</v>
      </c>
      <c r="J302" s="69" t="n">
        <f aca="false">-J288*Inputs!$D$37*(1+Inputs!$D$39)^(J$265-1)</f>
        <v>-4695.70656756257</v>
      </c>
      <c r="K302" s="69" t="n">
        <f aca="false">-K288*Inputs!$D$37*(1+Inputs!$D$39)^(K$265-1)</f>
        <v>-4843.18504184501</v>
      </c>
      <c r="L302" s="69" t="n">
        <f aca="false">-L288*Inputs!$D$37*(1+Inputs!$D$39)^(L$265-1)</f>
        <v>-4985.94420495041</v>
      </c>
      <c r="M302" s="69" t="n">
        <f aca="false">-M288*Inputs!$D$37*(1+Inputs!$D$39)^(M$265-1)</f>
        <v>-5124.13507483645</v>
      </c>
      <c r="N302" s="69" t="n">
        <f aca="false">-N288*Inputs!$D$37*(1+Inputs!$D$39)^(N$265-1)</f>
        <v>-4573.22847212662</v>
      </c>
      <c r="O302" s="69" t="n">
        <f aca="false">-O288*Inputs!$D$37*(1+Inputs!$D$39)^(O$265-1)</f>
        <v>-4976.48709996404</v>
      </c>
      <c r="P302" s="69" t="n">
        <f aca="false">-P288*Inputs!$D$37*(1+Inputs!$D$39)^(P$265-1)</f>
        <v>-5088.27656620519</v>
      </c>
      <c r="Q302" s="69" t="n">
        <f aca="false">-Q288*Inputs!$D$37*(1+Inputs!$D$39)^(Q$265-1)</f>
        <v>-5974.11833623575</v>
      </c>
      <c r="R302" s="69" t="n">
        <f aca="false">-R288*Inputs!$D$37*(1+Inputs!$D$39)^(R$265-1)</f>
        <v>-6109.69599772509</v>
      </c>
      <c r="S302" s="69" t="n">
        <f aca="false">-S288*Inputs!$D$37*(1+Inputs!$D$39)^(S$265-1)</f>
        <v>-6240.93517404678</v>
      </c>
      <c r="T302" s="69" t="n">
        <f aca="false">-T288*Inputs!$D$37*(1+Inputs!$D$39)^(T$265-1)</f>
        <v>-6367.97469672617</v>
      </c>
      <c r="U302" s="69" t="n">
        <f aca="false">-U288*Inputs!$D$37*(1+Inputs!$D$39)^(U$265-1)</f>
        <v>-6490.94895467982</v>
      </c>
      <c r="V302" s="69" t="n">
        <f aca="false">-V288*Inputs!$D$37*(1+Inputs!$D$39)^(V$265-1)</f>
        <v>-6609.98803637896</v>
      </c>
      <c r="W302" s="69" t="n">
        <f aca="false">-W288*Inputs!$D$37*(1+Inputs!$D$39)^(W$265-1)</f>
        <v>-6725.21786746372</v>
      </c>
      <c r="X302" s="69" t="n">
        <f aca="false">-X288*Inputs!$D$37*(1+Inputs!$D$39)^(X$265-1)</f>
        <v>-6836.76034395377</v>
      </c>
      <c r="Y302" s="69" t="n">
        <f aca="false">-Y288*Inputs!$D$37*(1+Inputs!$D$39)^(Y$265-1)</f>
        <v>-6944.73346119614</v>
      </c>
      <c r="Z302" s="69" t="n">
        <f aca="false">-Z288*Inputs!$D$37*(1+Inputs!$D$39)^(Z$265-1)</f>
        <v>-6132.89502004846</v>
      </c>
      <c r="AA302" s="69" t="n">
        <f aca="false">-AA288*Inputs!$D$37*(1+Inputs!$D$39)^(AA$265-1)</f>
        <v>-6565.00568377016</v>
      </c>
      <c r="AB302" s="69" t="n">
        <f aca="false">-AB288*Inputs!$D$37*(1+Inputs!$D$39)^(AB$265-1)</f>
        <v>-6652.60250525208</v>
      </c>
      <c r="AC302" s="69" t="n">
        <f aca="false">-AC288*Inputs!$D$37*(1+Inputs!$D$39)^(AC$265-1)</f>
        <v>-7743.98129791395</v>
      </c>
      <c r="AD302" s="69" t="n">
        <f aca="false">-AD288*Inputs!$D$37*(1+Inputs!$D$39)^(AD$265-1)</f>
        <v>-7854.85578630312</v>
      </c>
      <c r="AE302" s="69" t="n">
        <f aca="false">-AE288*Inputs!$D$37*(1+Inputs!$D$39)^(AE$265-1)</f>
        <v>-7962.18229106384</v>
      </c>
      <c r="AF302" s="69" t="n">
        <f aca="false">-AF288*Inputs!$D$37*(1+Inputs!$D$39)^(AF$265-1)</f>
        <v>-8066.07434767222</v>
      </c>
      <c r="AG302" s="69" t="n">
        <f aca="false">-AG288*Inputs!$D$37*(1+Inputs!$D$39)^(AG$265-1)</f>
        <v>-8166.64185846912</v>
      </c>
      <c r="AH302" s="69" t="n">
        <f aca="false">-AH288*Inputs!$D$37*(1+Inputs!$D$39)^(AH$265-1)</f>
        <v>-8263.99120892053</v>
      </c>
      <c r="AI302" s="69" t="n">
        <f aca="false">-AI288*Inputs!$D$37*(1+Inputs!$D$39)^(AI$265-1)</f>
        <v>-8358.22538015749</v>
      </c>
      <c r="AJ302" s="69" t="n">
        <f aca="false">-AJ288*Inputs!$D$37*(1+Inputs!$D$39)^(AJ$265-1)</f>
        <v>-8449.44405791487</v>
      </c>
      <c r="AK302" s="69" t="n">
        <f aca="false">-AK288*Inputs!$D$37*(1+Inputs!$D$39)^(AK$265-1)</f>
        <v>-8537.74373798401</v>
      </c>
      <c r="AL302" s="69" t="n">
        <f aca="false">-AL288*Inputs!$D$37*(1+Inputs!$D$39)^(AL$265-1)</f>
        <v>-7503.18288393621</v>
      </c>
    </row>
    <row r="303" customFormat="false" ht="15" hidden="false" customHeight="false" outlineLevel="0" collapsed="false">
      <c r="A303" s="6" t="s">
        <v>246</v>
      </c>
      <c r="C303" s="69" t="n">
        <f aca="false">C300+C301+C302</f>
        <v>-7357.77341568</v>
      </c>
      <c r="D303" s="69" t="n">
        <f aca="false">D300+D301+D302</f>
        <v>-8303.69764155538</v>
      </c>
      <c r="E303" s="69" t="n">
        <f aca="false">E300+E301+E302</f>
        <v>-10668.1495330573</v>
      </c>
      <c r="F303" s="69" t="n">
        <f aca="false">F300+F301+F302</f>
        <v>-11850.7492203601</v>
      </c>
      <c r="G303" s="69" t="n">
        <f aca="false">G300+G301+G302</f>
        <v>-13064.3158090064</v>
      </c>
      <c r="H303" s="69" t="n">
        <f aca="false">H300+H301+H302</f>
        <v>-14307.8583581531</v>
      </c>
      <c r="I303" s="69" t="n">
        <f aca="false">I300+I301+I302</f>
        <v>-15580.4176370643</v>
      </c>
      <c r="J303" s="69" t="n">
        <f aca="false">J300+J301+J302</f>
        <v>-16881.0651103874</v>
      </c>
      <c r="K303" s="69" t="n">
        <f aca="false">K300+K301+K302</f>
        <v>-17411.2502254328</v>
      </c>
      <c r="L303" s="69" t="n">
        <f aca="false">L300+L301+L302</f>
        <v>-17924.4694167967</v>
      </c>
      <c r="M303" s="69" t="n">
        <f aca="false">M300+M301+M302</f>
        <v>-18421.265594037</v>
      </c>
      <c r="N303" s="69" t="n">
        <f aca="false">N300+N301+N302</f>
        <v>-16440.7563572952</v>
      </c>
      <c r="O303" s="69" t="n">
        <f aca="false">O300+O301+O302</f>
        <v>-17890.4711243707</v>
      </c>
      <c r="P303" s="69" t="n">
        <f aca="false">P300+P301+P302</f>
        <v>-18292.3542555076</v>
      </c>
      <c r="Q303" s="69" t="n">
        <f aca="false">Q300+Q301+Q302</f>
        <v>-21476.9554187675</v>
      </c>
      <c r="R303" s="69" t="n">
        <f aca="false">R300+R301+R302</f>
        <v>-21964.3571118217</v>
      </c>
      <c r="S303" s="69" t="n">
        <f aca="false">S300+S301+S302</f>
        <v>-22436.1619506982</v>
      </c>
      <c r="T303" s="69" t="n">
        <f aca="false">T300+T301+T302</f>
        <v>-22892.8690347306</v>
      </c>
      <c r="U303" s="69" t="n">
        <f aca="false">U300+U301+U302</f>
        <v>-23334.961492074</v>
      </c>
      <c r="V303" s="69" t="n">
        <f aca="false">V300+V301+V302</f>
        <v>-23762.9069907823</v>
      </c>
      <c r="W303" s="69" t="n">
        <f aca="false">W300+W301+W302</f>
        <v>-24177.1582335321</v>
      </c>
      <c r="X303" s="69" t="n">
        <f aca="false">X300+X301+X302</f>
        <v>-24578.1534365138</v>
      </c>
      <c r="Y303" s="69" t="n">
        <f aca="false">Y300+Y301+Y302</f>
        <v>-24966.3167930001</v>
      </c>
      <c r="Z303" s="69" t="n">
        <f aca="false">Z300+Z301+Z302</f>
        <v>-22047.7575970742</v>
      </c>
      <c r="AA303" s="69" t="n">
        <f aca="false">AA300+AA301+AA302</f>
        <v>-23601.1954331537</v>
      </c>
      <c r="AB303" s="69" t="n">
        <f aca="false">AB300+AB301+AB302</f>
        <v>-23916.1060063812</v>
      </c>
      <c r="AC303" s="69" t="n">
        <f aca="false">AC300+AC301+AC302</f>
        <v>-27839.6127660007</v>
      </c>
      <c r="AD303" s="69" t="n">
        <f aca="false">AD300+AD301+AD302</f>
        <v>-28238.2065517597</v>
      </c>
      <c r="AE303" s="69" t="n">
        <f aca="false">AE300+AE301+AE302</f>
        <v>-28624.0453363745</v>
      </c>
      <c r="AF303" s="69" t="n">
        <f aca="false">AF300+AF301+AF302</f>
        <v>-28997.5372798816</v>
      </c>
      <c r="AG303" s="69" t="n">
        <f aca="false">AG300+AG301+AG302</f>
        <v>-29359.0774811965</v>
      </c>
      <c r="AH303" s="69" t="n">
        <f aca="false">AH300+AH301+AH302</f>
        <v>-29709.0483960693</v>
      </c>
      <c r="AI303" s="69" t="n">
        <f aca="false">AI300+AI301+AI302</f>
        <v>-30047.8202416662</v>
      </c>
      <c r="AJ303" s="69" t="n">
        <f aca="false">AJ300+AJ301+AJ302</f>
        <v>-30375.7513882039</v>
      </c>
      <c r="AK303" s="69" t="n">
        <f aca="false">AK300+AK301+AK302</f>
        <v>-30693.1887380525</v>
      </c>
      <c r="AL303" s="69" t="n">
        <f aca="false">AL300+AL301+AL302</f>
        <v>-26973.9424677507</v>
      </c>
    </row>
    <row r="304" customFormat="false" ht="15" hidden="false" customHeight="false" outlineLevel="0" collapsed="false">
      <c r="A304" s="6" t="s">
        <v>416</v>
      </c>
      <c r="C304" s="69" t="n">
        <f aca="false">-C297*Inputs!$D$38</f>
        <v>-2183.563368</v>
      </c>
      <c r="D304" s="69" t="n">
        <f aca="false">-D297*Inputs!$D$38</f>
        <v>-2460.860454144</v>
      </c>
      <c r="E304" s="69" t="n">
        <f aca="false">-E297*Inputs!$D$38</f>
        <v>-3073.96253017139</v>
      </c>
      <c r="F304" s="69" t="n">
        <f aca="false">-F297*Inputs!$D$38</f>
        <v>-3403.65261080591</v>
      </c>
      <c r="G304" s="69" t="n">
        <f aca="false">-G297*Inputs!$D$38</f>
        <v>-3740.27200278012</v>
      </c>
      <c r="H304" s="69" t="n">
        <f aca="false">-H297*Inputs!$D$38</f>
        <v>-4083.59896813116</v>
      </c>
      <c r="I304" s="69" t="n">
        <f aca="false">-I297*Inputs!$D$38</f>
        <v>-4433.41886451096</v>
      </c>
      <c r="J304" s="69" t="n">
        <f aca="false">-J297*Inputs!$D$38</f>
        <v>-4789.52391812661</v>
      </c>
      <c r="K304" s="69" t="n">
        <f aca="false">-K297*Inputs!$D$38</f>
        <v>-4908.16083594656</v>
      </c>
      <c r="L304" s="69" t="n">
        <f aca="false">-L297*Inputs!$D$38</f>
        <v>-5023.00137239627</v>
      </c>
      <c r="M304" s="69" t="n">
        <f aca="false">-M297*Inputs!$D$38</f>
        <v>-5134.16701167959</v>
      </c>
      <c r="N304" s="69" t="n">
        <f aca="false">-N297*Inputs!$D$38</f>
        <v>-4757.04383050584</v>
      </c>
      <c r="O304" s="69" t="n">
        <f aca="false">-O297*Inputs!$D$38</f>
        <v>-5200.86315916754</v>
      </c>
      <c r="P304" s="69" t="n">
        <f aca="false">-P297*Inputs!$D$38</f>
        <v>-5304.6168107961</v>
      </c>
      <c r="Q304" s="69" t="n">
        <f aca="false">-Q297*Inputs!$D$38</f>
        <v>-5934.28021910855</v>
      </c>
      <c r="R304" s="69" t="n">
        <f aca="false">-R297*Inputs!$D$38</f>
        <v>-6043.87571781483</v>
      </c>
      <c r="S304" s="69" t="n">
        <f aca="false">-S297*Inputs!$D$38</f>
        <v>-6149.96416056252</v>
      </c>
      <c r="T304" s="69" t="n">
        <f aca="false">-T297*Inputs!$D$38</f>
        <v>-6252.65777314228</v>
      </c>
      <c r="U304" s="69" t="n">
        <f aca="false">-U297*Inputs!$D$38</f>
        <v>-6352.06519011948</v>
      </c>
      <c r="V304" s="69" t="n">
        <f aca="false">-V297*Inputs!$D$38</f>
        <v>-6448.29156975342</v>
      </c>
      <c r="W304" s="69" t="n">
        <f aca="false">-W297*Inputs!$D$38</f>
        <v>-6541.43870523907</v>
      </c>
      <c r="X304" s="69" t="n">
        <f aca="false">-X297*Inputs!$D$38</f>
        <v>-6631.60513238918</v>
      </c>
      <c r="Y304" s="69" t="n">
        <f aca="false">-Y297*Inputs!$D$38</f>
        <v>-6718.88623387049</v>
      </c>
      <c r="Z304" s="69" t="n">
        <f aca="false">-Z297*Inputs!$D$38</f>
        <v>-6274.14446656839</v>
      </c>
      <c r="AA304" s="69" t="n">
        <f aca="false">-AA297*Inputs!$D$38</f>
        <v>-6758.35298367647</v>
      </c>
      <c r="AB304" s="69" t="n">
        <f aca="false">-AB297*Inputs!$D$38</f>
        <v>-6840.04962742062</v>
      </c>
      <c r="AC304" s="69" t="n">
        <f aca="false">-AC297*Inputs!$D$38</f>
        <v>-7496.94515449155</v>
      </c>
      <c r="AD304" s="69" t="n">
        <f aca="false">-AD297*Inputs!$D$38</f>
        <v>-7587.00880928247</v>
      </c>
      <c r="AE304" s="69" t="n">
        <f aca="false">-AE297*Inputs!$D$38</f>
        <v>-7674.19042712008</v>
      </c>
      <c r="AF304" s="69" t="n">
        <f aca="false">-AF297*Inputs!$D$38</f>
        <v>-7758.58223318689</v>
      </c>
      <c r="AG304" s="69" t="n">
        <f aca="false">-AG297*Inputs!$D$38</f>
        <v>-7840.27350145956</v>
      </c>
      <c r="AH304" s="69" t="n">
        <f aca="false">-AH297*Inputs!$D$38</f>
        <v>-7919.35064914751</v>
      </c>
      <c r="AI304" s="69" t="n">
        <f aca="false">-AI297*Inputs!$D$38</f>
        <v>-7995.89732810944</v>
      </c>
      <c r="AJ304" s="69" t="n">
        <f aca="false">-AJ297*Inputs!$D$38</f>
        <v>-8069.99451334458</v>
      </c>
      <c r="AK304" s="69" t="n">
        <f aca="false">-AK297*Inputs!$D$38</f>
        <v>-8141.72058865221</v>
      </c>
      <c r="AL304" s="69" t="n">
        <f aca="false">-AL297*Inputs!$D$38</f>
        <v>-7633.33825362338</v>
      </c>
    </row>
    <row r="305" customFormat="false" ht="15" hidden="false" customHeight="false" outlineLevel="0" collapsed="false">
      <c r="A305" s="4" t="s">
        <v>76</v>
      </c>
      <c r="C305" s="75" t="n">
        <f aca="false">C303+C304</f>
        <v>-9541.33678368</v>
      </c>
      <c r="D305" s="75" t="n">
        <f aca="false">D303+D304</f>
        <v>-10764.5580956994</v>
      </c>
      <c r="E305" s="75" t="n">
        <f aca="false">E303+E304</f>
        <v>-13742.1120632287</v>
      </c>
      <c r="F305" s="75" t="n">
        <f aca="false">F303+F304</f>
        <v>-15254.4018311661</v>
      </c>
      <c r="G305" s="75" t="n">
        <f aca="false">G303+G304</f>
        <v>-16804.5878117865</v>
      </c>
      <c r="H305" s="75" t="n">
        <f aca="false">H303+H304</f>
        <v>-18391.4573262843</v>
      </c>
      <c r="I305" s="75" t="n">
        <f aca="false">I303+I304</f>
        <v>-20013.8365015752</v>
      </c>
      <c r="J305" s="75" t="n">
        <f aca="false">J303+J304</f>
        <v>-21670.589028514</v>
      </c>
      <c r="K305" s="75" t="n">
        <f aca="false">K303+K304</f>
        <v>-22319.4110613794</v>
      </c>
      <c r="L305" s="75" t="n">
        <f aca="false">L303+L304</f>
        <v>-22947.470789193</v>
      </c>
      <c r="M305" s="75" t="n">
        <f aca="false">M303+M304</f>
        <v>-23555.4326057166</v>
      </c>
      <c r="N305" s="75" t="n">
        <f aca="false">N303+N304</f>
        <v>-21197.800187801</v>
      </c>
      <c r="O305" s="75" t="n">
        <f aca="false">O303+O304</f>
        <v>-23091.3342835383</v>
      </c>
      <c r="P305" s="75" t="n">
        <f aca="false">P303+P304</f>
        <v>-23596.9710663037</v>
      </c>
      <c r="Q305" s="75" t="n">
        <f aca="false">Q303+Q304</f>
        <v>-27411.2356378761</v>
      </c>
      <c r="R305" s="75" t="n">
        <f aca="false">R303+R304</f>
        <v>-28008.2328296365</v>
      </c>
      <c r="S305" s="75" t="n">
        <f aca="false">S303+S304</f>
        <v>-28586.1261112607</v>
      </c>
      <c r="T305" s="75" t="n">
        <f aca="false">T303+T304</f>
        <v>-29145.5268078729</v>
      </c>
      <c r="U305" s="75" t="n">
        <f aca="false">U303+U304</f>
        <v>-29687.0266821934</v>
      </c>
      <c r="V305" s="75" t="n">
        <f aca="false">V303+V304</f>
        <v>-30211.1985605358</v>
      </c>
      <c r="W305" s="75" t="n">
        <f aca="false">W303+W304</f>
        <v>-30718.5969387711</v>
      </c>
      <c r="X305" s="75" t="n">
        <f aca="false">X303+X304</f>
        <v>-31209.758568903</v>
      </c>
      <c r="Y305" s="75" t="n">
        <f aca="false">Y303+Y304</f>
        <v>-31685.2030268706</v>
      </c>
      <c r="Z305" s="75" t="n">
        <f aca="false">Z303+Z304</f>
        <v>-28321.9020636426</v>
      </c>
      <c r="AA305" s="75" t="n">
        <f aca="false">AA303+AA304</f>
        <v>-30359.5484168302</v>
      </c>
      <c r="AB305" s="75" t="n">
        <f aca="false">AB303+AB304</f>
        <v>-30756.1556338018</v>
      </c>
      <c r="AC305" s="75" t="n">
        <f aca="false">AC303+AC304</f>
        <v>-35336.5579204922</v>
      </c>
      <c r="AD305" s="75" t="n">
        <f aca="false">AD303+AD304</f>
        <v>-35825.2153610422</v>
      </c>
      <c r="AE305" s="75" t="n">
        <f aca="false">AE303+AE304</f>
        <v>-36298.2357634946</v>
      </c>
      <c r="AF305" s="75" t="n">
        <f aca="false">AF303+AF304</f>
        <v>-36756.1195130685</v>
      </c>
      <c r="AG305" s="75" t="n">
        <f aca="false">AG303+AG304</f>
        <v>-37199.3509826561</v>
      </c>
      <c r="AH305" s="75" t="n">
        <f aca="false">AH303+AH304</f>
        <v>-37628.3990452168</v>
      </c>
      <c r="AI305" s="75" t="n">
        <f aca="false">AI303+AI304</f>
        <v>-38043.7175697756</v>
      </c>
      <c r="AJ305" s="75" t="n">
        <f aca="false">AJ303+AJ304</f>
        <v>-38445.7459015485</v>
      </c>
      <c r="AK305" s="75" t="n">
        <f aca="false">AK303+AK304</f>
        <v>-38834.9093267047</v>
      </c>
      <c r="AL305" s="75" t="n">
        <f aca="false">AL303+AL304</f>
        <v>-34607.280721374</v>
      </c>
    </row>
    <row r="306" customFormat="false" ht="15" hidden="false" customHeight="false" outlineLevel="0" collapsed="false">
      <c r="A306" s="113" t="s">
        <v>45</v>
      </c>
      <c r="C306" s="70" t="n">
        <f aca="false">C297+C305</f>
        <v>68443.06921632</v>
      </c>
      <c r="D306" s="70" t="n">
        <f aca="false">D297+D305</f>
        <v>77123.3152665863</v>
      </c>
      <c r="E306" s="70" t="n">
        <f aca="false">E297+E305</f>
        <v>96042.264014321</v>
      </c>
      <c r="F306" s="70" t="n">
        <f aca="false">F297+F305</f>
        <v>106304.619983331</v>
      </c>
      <c r="G306" s="70" t="n">
        <f aca="false">G297+G305</f>
        <v>116776.555144646</v>
      </c>
      <c r="H306" s="70" t="n">
        <f aca="false">H297+H305</f>
        <v>127451.362964114</v>
      </c>
      <c r="I306" s="70" t="n">
        <f aca="false">I297+I305</f>
        <v>138322.551516673</v>
      </c>
      <c r="J306" s="70" t="n">
        <f aca="false">J297+J305</f>
        <v>149383.836618865</v>
      </c>
      <c r="K306" s="70" t="n">
        <f aca="false">K297+K305</f>
        <v>152972.047365283</v>
      </c>
      <c r="L306" s="70" t="n">
        <f aca="false">L297+L305</f>
        <v>156445.435367817</v>
      </c>
      <c r="M306" s="70" t="n">
        <f aca="false">M297+M305</f>
        <v>159807.674954269</v>
      </c>
      <c r="N306" s="70" t="n">
        <f aca="false">N297+N305</f>
        <v>148696.622330265</v>
      </c>
      <c r="O306" s="70" t="n">
        <f aca="false">O297+O305</f>
        <v>162653.778543874</v>
      </c>
      <c r="P306" s="70" t="n">
        <f aca="false">P297+P305</f>
        <v>165853.629319271</v>
      </c>
      <c r="Q306" s="70" t="n">
        <f aca="false">Q297+Q305</f>
        <v>184527.343616001</v>
      </c>
      <c r="R306" s="70" t="n">
        <f aca="false">R297+R305</f>
        <v>187844.471378036</v>
      </c>
      <c r="S306" s="70" t="n">
        <f aca="false">S297+S305</f>
        <v>191055.451051686</v>
      </c>
      <c r="T306" s="70" t="n">
        <f aca="false">T297+T305</f>
        <v>194163.67937578</v>
      </c>
      <c r="U306" s="70" t="n">
        <f aca="false">U297+U305</f>
        <v>197172.444393502</v>
      </c>
      <c r="V306" s="70" t="n">
        <f aca="false">V297+V305</f>
        <v>200084.928930658</v>
      </c>
      <c r="W306" s="70" t="n">
        <f aca="false">W297+W305</f>
        <v>202904.213962624</v>
      </c>
      <c r="X306" s="70" t="n">
        <f aca="false">X297+X305</f>
        <v>205633.281873568</v>
      </c>
      <c r="Y306" s="70" t="n">
        <f aca="false">Y297+Y305</f>
        <v>208275.019611361</v>
      </c>
      <c r="Z306" s="70" t="n">
        <f aca="false">Z297+Z305</f>
        <v>195754.686028086</v>
      </c>
      <c r="AA306" s="70" t="n">
        <f aca="false">AA297+AA305</f>
        <v>211010.201000187</v>
      </c>
      <c r="AB306" s="70" t="n">
        <f aca="false">AB297+AB305</f>
        <v>213531.331059792</v>
      </c>
      <c r="AC306" s="70" t="n">
        <f aca="false">AC297+AC305</f>
        <v>232411.483311349</v>
      </c>
      <c r="AD306" s="70" t="n">
        <f aca="false">AD297+AD305</f>
        <v>235139.384970475</v>
      </c>
      <c r="AE306" s="70" t="n">
        <f aca="false">AE297+AE305</f>
        <v>237779.993776508</v>
      </c>
      <c r="AF306" s="70" t="n">
        <f aca="false">AF297+AF305</f>
        <v>240336.103100749</v>
      </c>
      <c r="AG306" s="70" t="n">
        <f aca="false">AG297+AG305</f>
        <v>242810.416926614</v>
      </c>
      <c r="AH306" s="70" t="n">
        <f aca="false">AH297+AH305</f>
        <v>245205.552710051</v>
      </c>
      <c r="AI306" s="70" t="n">
        <f aca="false">AI297+AI305</f>
        <v>247524.044148419</v>
      </c>
      <c r="AJ306" s="70" t="n">
        <f aca="false">AJ297+AJ305</f>
        <v>249768.343860758</v>
      </c>
      <c r="AK306" s="70" t="n">
        <f aca="false">AK297+AK305</f>
        <v>251940.825982303</v>
      </c>
      <c r="AL306" s="70" t="n">
        <f aca="false">AL297+AL305</f>
        <v>238011.942622318</v>
      </c>
    </row>
    <row r="308" customFormat="false" ht="15.75" hidden="false" customHeight="true" outlineLevel="0" collapsed="false">
      <c r="A308" s="7" t="s">
        <v>47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customFormat="false" ht="15" hidden="false" customHeight="false" outlineLevel="0" collapsed="false">
      <c r="A309" s="6" t="s">
        <v>340</v>
      </c>
      <c r="C309" s="69" t="n">
        <f aca="false">C388</f>
        <v>-36586.6666666667</v>
      </c>
      <c r="D309" s="69" t="n">
        <f aca="false">D388</f>
        <v>-36586.6666666667</v>
      </c>
      <c r="E309" s="69" t="n">
        <f aca="false">E388</f>
        <v>-36586.6666666667</v>
      </c>
      <c r="F309" s="69" t="n">
        <f aca="false">F388</f>
        <v>-36586.6666666667</v>
      </c>
      <c r="G309" s="69" t="n">
        <f aca="false">G388</f>
        <v>-36586.6666666667</v>
      </c>
      <c r="H309" s="69" t="n">
        <f aca="false">H388</f>
        <v>-36586.6666666667</v>
      </c>
      <c r="I309" s="69" t="n">
        <f aca="false">I388</f>
        <v>-36586.6666666667</v>
      </c>
      <c r="J309" s="69" t="n">
        <f aca="false">J388</f>
        <v>-36586.6666666667</v>
      </c>
      <c r="K309" s="69" t="n">
        <f aca="false">K388</f>
        <v>-36586.6666666667</v>
      </c>
      <c r="L309" s="69" t="n">
        <f aca="false">L388</f>
        <v>-36586.6666666667</v>
      </c>
      <c r="M309" s="69" t="n">
        <f aca="false">M388</f>
        <v>-36586.6666666667</v>
      </c>
      <c r="N309" s="69" t="n">
        <f aca="false">N388</f>
        <v>-36586.6666666667</v>
      </c>
      <c r="O309" s="69" t="n">
        <f aca="false">O388</f>
        <v>-37684.2666666667</v>
      </c>
      <c r="P309" s="69" t="n">
        <f aca="false">P388</f>
        <v>-37684.2666666667</v>
      </c>
      <c r="Q309" s="69" t="n">
        <f aca="false">Q388</f>
        <v>-37684.2666666667</v>
      </c>
      <c r="R309" s="69" t="n">
        <f aca="false">R388</f>
        <v>-37684.2666666667</v>
      </c>
      <c r="S309" s="69" t="n">
        <f aca="false">S388</f>
        <v>-37684.2666666667</v>
      </c>
      <c r="T309" s="69" t="n">
        <f aca="false">T388</f>
        <v>-37684.2666666667</v>
      </c>
      <c r="U309" s="69" t="n">
        <f aca="false">U388</f>
        <v>-37684.2666666667</v>
      </c>
      <c r="V309" s="69" t="n">
        <f aca="false">V388</f>
        <v>-37684.2666666667</v>
      </c>
      <c r="W309" s="69" t="n">
        <f aca="false">W388</f>
        <v>-37684.2666666667</v>
      </c>
      <c r="X309" s="69" t="n">
        <f aca="false">X388</f>
        <v>-37684.2666666667</v>
      </c>
      <c r="Y309" s="69" t="n">
        <f aca="false">Y388</f>
        <v>-37684.2666666667</v>
      </c>
      <c r="Z309" s="69" t="n">
        <f aca="false">Z388</f>
        <v>-37684.2666666667</v>
      </c>
      <c r="AA309" s="69" t="n">
        <f aca="false">AA388</f>
        <v>-38814.7946666667</v>
      </c>
      <c r="AB309" s="69" t="n">
        <f aca="false">AB388</f>
        <v>-38814.7946666667</v>
      </c>
      <c r="AC309" s="69" t="n">
        <f aca="false">AC388</f>
        <v>-38814.7946666667</v>
      </c>
      <c r="AD309" s="69" t="n">
        <f aca="false">AD388</f>
        <v>-38814.7946666667</v>
      </c>
      <c r="AE309" s="69" t="n">
        <f aca="false">AE388</f>
        <v>-38814.7946666667</v>
      </c>
      <c r="AF309" s="69" t="n">
        <f aca="false">AF388</f>
        <v>-38814.7946666667</v>
      </c>
      <c r="AG309" s="69" t="n">
        <f aca="false">AG388</f>
        <v>-38814.7946666667</v>
      </c>
      <c r="AH309" s="69" t="n">
        <f aca="false">AH388</f>
        <v>-38814.7946666667</v>
      </c>
      <c r="AI309" s="69" t="n">
        <f aca="false">AI388</f>
        <v>-38814.7946666667</v>
      </c>
      <c r="AJ309" s="69" t="n">
        <f aca="false">AJ388</f>
        <v>-38814.7946666667</v>
      </c>
      <c r="AK309" s="69" t="n">
        <f aca="false">AK388</f>
        <v>-38814.7946666667</v>
      </c>
      <c r="AL309" s="69" t="n">
        <f aca="false">AL388</f>
        <v>-38814.7946666667</v>
      </c>
    </row>
    <row r="310" customFormat="false" ht="15" hidden="false" customHeight="false" outlineLevel="0" collapsed="false">
      <c r="A310" s="6" t="s">
        <v>341</v>
      </c>
      <c r="C310" s="69" t="n">
        <f aca="false">-Inputs!$D$42*(1+Inputs!$D$43)^(C$265-1)*1</f>
        <v>-30000</v>
      </c>
      <c r="D310" s="69" t="n">
        <f aca="false">-Inputs!$D$42*(1+Inputs!$D$43)^(D$265-1)*1</f>
        <v>-30000</v>
      </c>
      <c r="E310" s="69" t="n">
        <f aca="false">-Inputs!$D$42*(1+Inputs!$D$43)^(E$265-1)*1</f>
        <v>-30000</v>
      </c>
      <c r="F310" s="69" t="n">
        <f aca="false">-Inputs!$D$42*(1+Inputs!$D$43)^(F$265-1)*1</f>
        <v>-30000</v>
      </c>
      <c r="G310" s="69" t="n">
        <f aca="false">-Inputs!$D$42*(1+Inputs!$D$43)^(G$265-1)*1</f>
        <v>-30000</v>
      </c>
      <c r="H310" s="69" t="n">
        <f aca="false">-Inputs!$D$42*(1+Inputs!$D$43)^(H$265-1)*1</f>
        <v>-30000</v>
      </c>
      <c r="I310" s="69" t="n">
        <f aca="false">-Inputs!$D$42*(1+Inputs!$D$43)^(I$265-1)*1</f>
        <v>-30000</v>
      </c>
      <c r="J310" s="69" t="n">
        <f aca="false">-Inputs!$D$42*(1+Inputs!$D$43)^(J$265-1)*1</f>
        <v>-30000</v>
      </c>
      <c r="K310" s="69" t="n">
        <f aca="false">-Inputs!$D$42*(1+Inputs!$D$43)^(K$265-1)*1</f>
        <v>-30000</v>
      </c>
      <c r="L310" s="69" t="n">
        <f aca="false">-Inputs!$D$42*(1+Inputs!$D$43)^(L$265-1)*1</f>
        <v>-30000</v>
      </c>
      <c r="M310" s="69" t="n">
        <f aca="false">-Inputs!$D$42*(1+Inputs!$D$43)^(M$265-1)*1</f>
        <v>-30000</v>
      </c>
      <c r="N310" s="69" t="n">
        <f aca="false">-Inputs!$D$42*(1+Inputs!$D$43)^(N$265-1)*1</f>
        <v>-30000</v>
      </c>
      <c r="O310" s="69" t="n">
        <f aca="false">-Inputs!$D$42*(1+Inputs!$D$43)^(O$265-1)*1</f>
        <v>-30900</v>
      </c>
      <c r="P310" s="69" t="n">
        <f aca="false">-Inputs!$D$42*(1+Inputs!$D$43)^(P$265-1)*1</f>
        <v>-30900</v>
      </c>
      <c r="Q310" s="69" t="n">
        <f aca="false">-Inputs!$D$42*(1+Inputs!$D$43)^(Q$265-1)*1</f>
        <v>-30900</v>
      </c>
      <c r="R310" s="69" t="n">
        <f aca="false">-Inputs!$D$42*(1+Inputs!$D$43)^(R$265-1)*1</f>
        <v>-30900</v>
      </c>
      <c r="S310" s="69" t="n">
        <f aca="false">-Inputs!$D$42*(1+Inputs!$D$43)^(S$265-1)*1</f>
        <v>-30900</v>
      </c>
      <c r="T310" s="69" t="n">
        <f aca="false">-Inputs!$D$42*(1+Inputs!$D$43)^(T$265-1)*1</f>
        <v>-30900</v>
      </c>
      <c r="U310" s="69" t="n">
        <f aca="false">-Inputs!$D$42*(1+Inputs!$D$43)^(U$265-1)*1</f>
        <v>-30900</v>
      </c>
      <c r="V310" s="69" t="n">
        <f aca="false">-Inputs!$D$42*(1+Inputs!$D$43)^(V$265-1)*1</f>
        <v>-30900</v>
      </c>
      <c r="W310" s="69" t="n">
        <f aca="false">-Inputs!$D$42*(1+Inputs!$D$43)^(W$265-1)*1</f>
        <v>-30900</v>
      </c>
      <c r="X310" s="69" t="n">
        <f aca="false">-Inputs!$D$42*(1+Inputs!$D$43)^(X$265-1)*1</f>
        <v>-30900</v>
      </c>
      <c r="Y310" s="69" t="n">
        <f aca="false">-Inputs!$D$42*(1+Inputs!$D$43)^(Y$265-1)*1</f>
        <v>-30900</v>
      </c>
      <c r="Z310" s="69" t="n">
        <f aca="false">-Inputs!$D$42*(1+Inputs!$D$43)^(Z$265-1)*1</f>
        <v>-30900</v>
      </c>
      <c r="AA310" s="69" t="n">
        <f aca="false">-Inputs!$D$42*(1+Inputs!$D$43)^(AA$265-1)*1</f>
        <v>-31827</v>
      </c>
      <c r="AB310" s="69" t="n">
        <f aca="false">-Inputs!$D$42*(1+Inputs!$D$43)^(AB$265-1)*1</f>
        <v>-31827</v>
      </c>
      <c r="AC310" s="69" t="n">
        <f aca="false">-Inputs!$D$42*(1+Inputs!$D$43)^(AC$265-1)*1</f>
        <v>-31827</v>
      </c>
      <c r="AD310" s="69" t="n">
        <f aca="false">-Inputs!$D$42*(1+Inputs!$D$43)^(AD$265-1)*1</f>
        <v>-31827</v>
      </c>
      <c r="AE310" s="69" t="n">
        <f aca="false">-Inputs!$D$42*(1+Inputs!$D$43)^(AE$265-1)*1</f>
        <v>-31827</v>
      </c>
      <c r="AF310" s="69" t="n">
        <f aca="false">-Inputs!$D$42*(1+Inputs!$D$43)^(AF$265-1)*1</f>
        <v>-31827</v>
      </c>
      <c r="AG310" s="69" t="n">
        <f aca="false">-Inputs!$D$42*(1+Inputs!$D$43)^(AG$265-1)*1</f>
        <v>-31827</v>
      </c>
      <c r="AH310" s="69" t="n">
        <f aca="false">-Inputs!$D$42*(1+Inputs!$D$43)^(AH$265-1)*1</f>
        <v>-31827</v>
      </c>
      <c r="AI310" s="69" t="n">
        <f aca="false">-Inputs!$D$42*(1+Inputs!$D$43)^(AI$265-1)*1</f>
        <v>-31827</v>
      </c>
      <c r="AJ310" s="69" t="n">
        <f aca="false">-Inputs!$D$42*(1+Inputs!$D$43)^(AJ$265-1)*1</f>
        <v>-31827</v>
      </c>
      <c r="AK310" s="69" t="n">
        <f aca="false">-Inputs!$D$42*(1+Inputs!$D$43)^(AK$265-1)*1</f>
        <v>-31827</v>
      </c>
      <c r="AL310" s="69" t="n">
        <f aca="false">-Inputs!$D$42*(1+Inputs!$D$43)^(AL$265-1)*1</f>
        <v>-31827</v>
      </c>
    </row>
    <row r="311" customFormat="false" ht="15" hidden="false" customHeight="false" outlineLevel="0" collapsed="false">
      <c r="A311" s="6" t="s">
        <v>342</v>
      </c>
      <c r="C311" s="69" t="n">
        <f aca="false">-Inputs!$D$44*(1+Inputs!$D$39)^(C$265-1)*1</f>
        <v>-5500</v>
      </c>
      <c r="D311" s="69" t="n">
        <f aca="false">-Inputs!$D$44*(1+Inputs!$D$39)^(D$265-1)*1</f>
        <v>-5500</v>
      </c>
      <c r="E311" s="69" t="n">
        <f aca="false">-Inputs!$D$44*(1+Inputs!$D$39)^(E$265-1)*1</f>
        <v>-5500</v>
      </c>
      <c r="F311" s="69" t="n">
        <f aca="false">-Inputs!$D$44*(1+Inputs!$D$39)^(F$265-1)*1</f>
        <v>-5500</v>
      </c>
      <c r="G311" s="69" t="n">
        <f aca="false">-Inputs!$D$44*(1+Inputs!$D$39)^(G$265-1)*1</f>
        <v>-5500</v>
      </c>
      <c r="H311" s="69" t="n">
        <f aca="false">-Inputs!$D$44*(1+Inputs!$D$39)^(H$265-1)*1</f>
        <v>-5500</v>
      </c>
      <c r="I311" s="69" t="n">
        <f aca="false">-Inputs!$D$44*(1+Inputs!$D$39)^(I$265-1)*1</f>
        <v>-5500</v>
      </c>
      <c r="J311" s="69" t="n">
        <f aca="false">-Inputs!$D$44*(1+Inputs!$D$39)^(J$265-1)*1</f>
        <v>-5500</v>
      </c>
      <c r="K311" s="69" t="n">
        <f aca="false">-Inputs!$D$44*(1+Inputs!$D$39)^(K$265-1)*1</f>
        <v>-5500</v>
      </c>
      <c r="L311" s="69" t="n">
        <f aca="false">-Inputs!$D$44*(1+Inputs!$D$39)^(L$265-1)*1</f>
        <v>-5500</v>
      </c>
      <c r="M311" s="69" t="n">
        <f aca="false">-Inputs!$D$44*(1+Inputs!$D$39)^(M$265-1)*1</f>
        <v>-5500</v>
      </c>
      <c r="N311" s="69" t="n">
        <f aca="false">-Inputs!$D$44*(1+Inputs!$D$39)^(N$265-1)*1</f>
        <v>-5500</v>
      </c>
      <c r="O311" s="69" t="n">
        <f aca="false">-Inputs!$D$44*(1+Inputs!$D$39)^(O$265-1)*1</f>
        <v>-5637.5</v>
      </c>
      <c r="P311" s="69" t="n">
        <f aca="false">-Inputs!$D$44*(1+Inputs!$D$39)^(P$265-1)*1</f>
        <v>-5637.5</v>
      </c>
      <c r="Q311" s="69" t="n">
        <f aca="false">-Inputs!$D$44*(1+Inputs!$D$39)^(Q$265-1)*1</f>
        <v>-5637.5</v>
      </c>
      <c r="R311" s="69" t="n">
        <f aca="false">-Inputs!$D$44*(1+Inputs!$D$39)^(R$265-1)*1</f>
        <v>-5637.5</v>
      </c>
      <c r="S311" s="69" t="n">
        <f aca="false">-Inputs!$D$44*(1+Inputs!$D$39)^(S$265-1)*1</f>
        <v>-5637.5</v>
      </c>
      <c r="T311" s="69" t="n">
        <f aca="false">-Inputs!$D$44*(1+Inputs!$D$39)^(T$265-1)*1</f>
        <v>-5637.5</v>
      </c>
      <c r="U311" s="69" t="n">
        <f aca="false">-Inputs!$D$44*(1+Inputs!$D$39)^(U$265-1)*1</f>
        <v>-5637.5</v>
      </c>
      <c r="V311" s="69" t="n">
        <f aca="false">-Inputs!$D$44*(1+Inputs!$D$39)^(V$265-1)*1</f>
        <v>-5637.5</v>
      </c>
      <c r="W311" s="69" t="n">
        <f aca="false">-Inputs!$D$44*(1+Inputs!$D$39)^(W$265-1)*1</f>
        <v>-5637.5</v>
      </c>
      <c r="X311" s="69" t="n">
        <f aca="false">-Inputs!$D$44*(1+Inputs!$D$39)^(X$265-1)*1</f>
        <v>-5637.5</v>
      </c>
      <c r="Y311" s="69" t="n">
        <f aca="false">-Inputs!$D$44*(1+Inputs!$D$39)^(Y$265-1)*1</f>
        <v>-5637.5</v>
      </c>
      <c r="Z311" s="69" t="n">
        <f aca="false">-Inputs!$D$44*(1+Inputs!$D$39)^(Z$265-1)*1</f>
        <v>-5637.5</v>
      </c>
      <c r="AA311" s="69" t="n">
        <f aca="false">-Inputs!$D$44*(1+Inputs!$D$39)^(AA$265-1)*1</f>
        <v>-5778.4375</v>
      </c>
      <c r="AB311" s="69" t="n">
        <f aca="false">-Inputs!$D$44*(1+Inputs!$D$39)^(AB$265-1)*1</f>
        <v>-5778.4375</v>
      </c>
      <c r="AC311" s="69" t="n">
        <f aca="false">-Inputs!$D$44*(1+Inputs!$D$39)^(AC$265-1)*1</f>
        <v>-5778.4375</v>
      </c>
      <c r="AD311" s="69" t="n">
        <f aca="false">-Inputs!$D$44*(1+Inputs!$D$39)^(AD$265-1)*1</f>
        <v>-5778.4375</v>
      </c>
      <c r="AE311" s="69" t="n">
        <f aca="false">-Inputs!$D$44*(1+Inputs!$D$39)^(AE$265-1)*1</f>
        <v>-5778.4375</v>
      </c>
      <c r="AF311" s="69" t="n">
        <f aca="false">-Inputs!$D$44*(1+Inputs!$D$39)^(AF$265-1)*1</f>
        <v>-5778.4375</v>
      </c>
      <c r="AG311" s="69" t="n">
        <f aca="false">-Inputs!$D$44*(1+Inputs!$D$39)^(AG$265-1)*1</f>
        <v>-5778.4375</v>
      </c>
      <c r="AH311" s="69" t="n">
        <f aca="false">-Inputs!$D$44*(1+Inputs!$D$39)^(AH$265-1)*1</f>
        <v>-5778.4375</v>
      </c>
      <c r="AI311" s="69" t="n">
        <f aca="false">-Inputs!$D$44*(1+Inputs!$D$39)^(AI$265-1)*1</f>
        <v>-5778.4375</v>
      </c>
      <c r="AJ311" s="69" t="n">
        <f aca="false">-Inputs!$D$44*(1+Inputs!$D$39)^(AJ$265-1)*1</f>
        <v>-5778.4375</v>
      </c>
      <c r="AK311" s="69" t="n">
        <f aca="false">-Inputs!$D$44*(1+Inputs!$D$39)^(AK$265-1)*1</f>
        <v>-5778.4375</v>
      </c>
      <c r="AL311" s="69" t="n">
        <f aca="false">-Inputs!$D$44*(1+Inputs!$D$39)^(AL$265-1)*1</f>
        <v>-5778.4375</v>
      </c>
    </row>
    <row r="312" customFormat="false" ht="15" hidden="false" customHeight="false" outlineLevel="0" collapsed="false">
      <c r="A312" s="6" t="s">
        <v>343</v>
      </c>
      <c r="C312" s="69" t="n">
        <f aca="false">-Inputs!$D$45*(1+Inputs!$D$39)^(C$265-1)*1</f>
        <v>-9500</v>
      </c>
      <c r="D312" s="69" t="n">
        <f aca="false">-Inputs!$D$45*(1+Inputs!$D$39)^(D$265-1)*1</f>
        <v>-9500</v>
      </c>
      <c r="E312" s="69" t="n">
        <f aca="false">-Inputs!$D$45*(1+Inputs!$D$39)^(E$265-1)*1</f>
        <v>-9500</v>
      </c>
      <c r="F312" s="69" t="n">
        <f aca="false">-Inputs!$D$45*(1+Inputs!$D$39)^(F$265-1)*1</f>
        <v>-9500</v>
      </c>
      <c r="G312" s="69" t="n">
        <f aca="false">-Inputs!$D$45*(1+Inputs!$D$39)^(G$265-1)*1</f>
        <v>-9500</v>
      </c>
      <c r="H312" s="69" t="n">
        <f aca="false">-Inputs!$D$45*(1+Inputs!$D$39)^(H$265-1)*1</f>
        <v>-9500</v>
      </c>
      <c r="I312" s="69" t="n">
        <f aca="false">-Inputs!$D$45*(1+Inputs!$D$39)^(I$265-1)*1</f>
        <v>-9500</v>
      </c>
      <c r="J312" s="69" t="n">
        <f aca="false">-Inputs!$D$45*(1+Inputs!$D$39)^(J$265-1)*1</f>
        <v>-9500</v>
      </c>
      <c r="K312" s="69" t="n">
        <f aca="false">-Inputs!$D$45*(1+Inputs!$D$39)^(K$265-1)*1</f>
        <v>-9500</v>
      </c>
      <c r="L312" s="69" t="n">
        <f aca="false">-Inputs!$D$45*(1+Inputs!$D$39)^(L$265-1)*1</f>
        <v>-9500</v>
      </c>
      <c r="M312" s="69" t="n">
        <f aca="false">-Inputs!$D$45*(1+Inputs!$D$39)^(M$265-1)*1</f>
        <v>-9500</v>
      </c>
      <c r="N312" s="69" t="n">
        <f aca="false">-Inputs!$D$45*(1+Inputs!$D$39)^(N$265-1)*1</f>
        <v>-9500</v>
      </c>
      <c r="O312" s="69" t="n">
        <f aca="false">-Inputs!$D$45*(1+Inputs!$D$39)^(O$265-1)*1</f>
        <v>-9737.5</v>
      </c>
      <c r="P312" s="69" t="n">
        <f aca="false">-Inputs!$D$45*(1+Inputs!$D$39)^(P$265-1)*1</f>
        <v>-9737.5</v>
      </c>
      <c r="Q312" s="69" t="n">
        <f aca="false">-Inputs!$D$45*(1+Inputs!$D$39)^(Q$265-1)*1</f>
        <v>-9737.5</v>
      </c>
      <c r="R312" s="69" t="n">
        <f aca="false">-Inputs!$D$45*(1+Inputs!$D$39)^(R$265-1)*1</f>
        <v>-9737.5</v>
      </c>
      <c r="S312" s="69" t="n">
        <f aca="false">-Inputs!$D$45*(1+Inputs!$D$39)^(S$265-1)*1</f>
        <v>-9737.5</v>
      </c>
      <c r="T312" s="69" t="n">
        <f aca="false">-Inputs!$D$45*(1+Inputs!$D$39)^(T$265-1)*1</f>
        <v>-9737.5</v>
      </c>
      <c r="U312" s="69" t="n">
        <f aca="false">-Inputs!$D$45*(1+Inputs!$D$39)^(U$265-1)*1</f>
        <v>-9737.5</v>
      </c>
      <c r="V312" s="69" t="n">
        <f aca="false">-Inputs!$D$45*(1+Inputs!$D$39)^(V$265-1)*1</f>
        <v>-9737.5</v>
      </c>
      <c r="W312" s="69" t="n">
        <f aca="false">-Inputs!$D$45*(1+Inputs!$D$39)^(W$265-1)*1</f>
        <v>-9737.5</v>
      </c>
      <c r="X312" s="69" t="n">
        <f aca="false">-Inputs!$D$45*(1+Inputs!$D$39)^(X$265-1)*1</f>
        <v>-9737.5</v>
      </c>
      <c r="Y312" s="69" t="n">
        <f aca="false">-Inputs!$D$45*(1+Inputs!$D$39)^(Y$265-1)*1</f>
        <v>-9737.5</v>
      </c>
      <c r="Z312" s="69" t="n">
        <f aca="false">-Inputs!$D$45*(1+Inputs!$D$39)^(Z$265-1)*1</f>
        <v>-9737.5</v>
      </c>
      <c r="AA312" s="69" t="n">
        <f aca="false">-Inputs!$D$45*(1+Inputs!$D$39)^(AA$265-1)*1</f>
        <v>-9980.9375</v>
      </c>
      <c r="AB312" s="69" t="n">
        <f aca="false">-Inputs!$D$45*(1+Inputs!$D$39)^(AB$265-1)*1</f>
        <v>-9980.9375</v>
      </c>
      <c r="AC312" s="69" t="n">
        <f aca="false">-Inputs!$D$45*(1+Inputs!$D$39)^(AC$265-1)*1</f>
        <v>-9980.9375</v>
      </c>
      <c r="AD312" s="69" t="n">
        <f aca="false">-Inputs!$D$45*(1+Inputs!$D$39)^(AD$265-1)*1</f>
        <v>-9980.9375</v>
      </c>
      <c r="AE312" s="69" t="n">
        <f aca="false">-Inputs!$D$45*(1+Inputs!$D$39)^(AE$265-1)*1</f>
        <v>-9980.9375</v>
      </c>
      <c r="AF312" s="69" t="n">
        <f aca="false">-Inputs!$D$45*(1+Inputs!$D$39)^(AF$265-1)*1</f>
        <v>-9980.9375</v>
      </c>
      <c r="AG312" s="69" t="n">
        <f aca="false">-Inputs!$D$45*(1+Inputs!$D$39)^(AG$265-1)*1</f>
        <v>-9980.9375</v>
      </c>
      <c r="AH312" s="69" t="n">
        <f aca="false">-Inputs!$D$45*(1+Inputs!$D$39)^(AH$265-1)*1</f>
        <v>-9980.9375</v>
      </c>
      <c r="AI312" s="69" t="n">
        <f aca="false">-Inputs!$D$45*(1+Inputs!$D$39)^(AI$265-1)*1</f>
        <v>-9980.9375</v>
      </c>
      <c r="AJ312" s="69" t="n">
        <f aca="false">-Inputs!$D$45*(1+Inputs!$D$39)^(AJ$265-1)*1</f>
        <v>-9980.9375</v>
      </c>
      <c r="AK312" s="69" t="n">
        <f aca="false">-Inputs!$D$45*(1+Inputs!$D$39)^(AK$265-1)*1</f>
        <v>-9980.9375</v>
      </c>
      <c r="AL312" s="69" t="n">
        <f aca="false">-Inputs!$D$45*(1+Inputs!$D$39)^(AL$265-1)*1</f>
        <v>-9980.9375</v>
      </c>
    </row>
    <row r="313" customFormat="false" ht="15" hidden="false" customHeight="false" outlineLevel="0" collapsed="false">
      <c r="A313" s="6" t="s">
        <v>344</v>
      </c>
      <c r="C313" s="69" t="n">
        <f aca="false">-Inputs!$D$46*(1+Inputs!$D$47)^(C$265-1)*1</f>
        <v>-12000</v>
      </c>
      <c r="D313" s="69" t="n">
        <f aca="false">-Inputs!$D$46*(1+Inputs!$D$47)^(D$265-1)*1</f>
        <v>-12000</v>
      </c>
      <c r="E313" s="69" t="n">
        <f aca="false">-Inputs!$D$46*(1+Inputs!$D$47)^(E$265-1)*1</f>
        <v>-12000</v>
      </c>
      <c r="F313" s="69" t="n">
        <f aca="false">-Inputs!$D$46*(1+Inputs!$D$47)^(F$265-1)*1</f>
        <v>-12000</v>
      </c>
      <c r="G313" s="69" t="n">
        <f aca="false">-Inputs!$D$46*(1+Inputs!$D$47)^(G$265-1)*1</f>
        <v>-12000</v>
      </c>
      <c r="H313" s="69" t="n">
        <f aca="false">-Inputs!$D$46*(1+Inputs!$D$47)^(H$265-1)*1</f>
        <v>-12000</v>
      </c>
      <c r="I313" s="69" t="n">
        <f aca="false">-Inputs!$D$46*(1+Inputs!$D$47)^(I$265-1)*1</f>
        <v>-12000</v>
      </c>
      <c r="J313" s="69" t="n">
        <f aca="false">-Inputs!$D$46*(1+Inputs!$D$47)^(J$265-1)*1</f>
        <v>-12000</v>
      </c>
      <c r="K313" s="69" t="n">
        <f aca="false">-Inputs!$D$46*(1+Inputs!$D$47)^(K$265-1)*1</f>
        <v>-12000</v>
      </c>
      <c r="L313" s="69" t="n">
        <f aca="false">-Inputs!$D$46*(1+Inputs!$D$47)^(L$265-1)*1</f>
        <v>-12000</v>
      </c>
      <c r="M313" s="69" t="n">
        <f aca="false">-Inputs!$D$46*(1+Inputs!$D$47)^(M$265-1)*1</f>
        <v>-12000</v>
      </c>
      <c r="N313" s="69" t="n">
        <f aca="false">-Inputs!$D$46*(1+Inputs!$D$47)^(N$265-1)*1</f>
        <v>-12000</v>
      </c>
      <c r="O313" s="69" t="n">
        <f aca="false">-Inputs!$D$46*(1+Inputs!$D$47)^(O$265-1)*1</f>
        <v>-10800</v>
      </c>
      <c r="P313" s="69" t="n">
        <f aca="false">-Inputs!$D$46*(1+Inputs!$D$47)^(P$265-1)*1</f>
        <v>-10800</v>
      </c>
      <c r="Q313" s="69" t="n">
        <f aca="false">-Inputs!$D$46*(1+Inputs!$D$47)^(Q$265-1)*1</f>
        <v>-10800</v>
      </c>
      <c r="R313" s="69" t="n">
        <f aca="false">-Inputs!$D$46*(1+Inputs!$D$47)^(R$265-1)*1</f>
        <v>-10800</v>
      </c>
      <c r="S313" s="69" t="n">
        <f aca="false">-Inputs!$D$46*(1+Inputs!$D$47)^(S$265-1)*1</f>
        <v>-10800</v>
      </c>
      <c r="T313" s="69" t="n">
        <f aca="false">-Inputs!$D$46*(1+Inputs!$D$47)^(T$265-1)*1</f>
        <v>-10800</v>
      </c>
      <c r="U313" s="69" t="n">
        <f aca="false">-Inputs!$D$46*(1+Inputs!$D$47)^(U$265-1)*1</f>
        <v>-10800</v>
      </c>
      <c r="V313" s="69" t="n">
        <f aca="false">-Inputs!$D$46*(1+Inputs!$D$47)^(V$265-1)*1</f>
        <v>-10800</v>
      </c>
      <c r="W313" s="69" t="n">
        <f aca="false">-Inputs!$D$46*(1+Inputs!$D$47)^(W$265-1)*1</f>
        <v>-10800</v>
      </c>
      <c r="X313" s="69" t="n">
        <f aca="false">-Inputs!$D$46*(1+Inputs!$D$47)^(X$265-1)*1</f>
        <v>-10800</v>
      </c>
      <c r="Y313" s="69" t="n">
        <f aca="false">-Inputs!$D$46*(1+Inputs!$D$47)^(Y$265-1)*1</f>
        <v>-10800</v>
      </c>
      <c r="Z313" s="69" t="n">
        <f aca="false">-Inputs!$D$46*(1+Inputs!$D$47)^(Z$265-1)*1</f>
        <v>-10800</v>
      </c>
      <c r="AA313" s="69" t="n">
        <f aca="false">-Inputs!$D$46*(1+Inputs!$D$47)^(AA$265-1)*1</f>
        <v>-9720</v>
      </c>
      <c r="AB313" s="69" t="n">
        <f aca="false">-Inputs!$D$46*(1+Inputs!$D$47)^(AB$265-1)*1</f>
        <v>-9720</v>
      </c>
      <c r="AC313" s="69" t="n">
        <f aca="false">-Inputs!$D$46*(1+Inputs!$D$47)^(AC$265-1)*1</f>
        <v>-9720</v>
      </c>
      <c r="AD313" s="69" t="n">
        <f aca="false">-Inputs!$D$46*(1+Inputs!$D$47)^(AD$265-1)*1</f>
        <v>-9720</v>
      </c>
      <c r="AE313" s="69" t="n">
        <f aca="false">-Inputs!$D$46*(1+Inputs!$D$47)^(AE$265-1)*1</f>
        <v>-9720</v>
      </c>
      <c r="AF313" s="69" t="n">
        <f aca="false">-Inputs!$D$46*(1+Inputs!$D$47)^(AF$265-1)*1</f>
        <v>-9720</v>
      </c>
      <c r="AG313" s="69" t="n">
        <f aca="false">-Inputs!$D$46*(1+Inputs!$D$47)^(AG$265-1)*1</f>
        <v>-9720</v>
      </c>
      <c r="AH313" s="69" t="n">
        <f aca="false">-Inputs!$D$46*(1+Inputs!$D$47)^(AH$265-1)*1</f>
        <v>-9720</v>
      </c>
      <c r="AI313" s="69" t="n">
        <f aca="false">-Inputs!$D$46*(1+Inputs!$D$47)^(AI$265-1)*1</f>
        <v>-9720</v>
      </c>
      <c r="AJ313" s="69" t="n">
        <f aca="false">-Inputs!$D$46*(1+Inputs!$D$47)^(AJ$265-1)*1</f>
        <v>-9720</v>
      </c>
      <c r="AK313" s="69" t="n">
        <f aca="false">-Inputs!$D$46*(1+Inputs!$D$47)^(AK$265-1)*1</f>
        <v>-9720</v>
      </c>
      <c r="AL313" s="69" t="n">
        <f aca="false">-Inputs!$D$46*(1+Inputs!$D$47)^(AL$265-1)*1</f>
        <v>-9720</v>
      </c>
    </row>
    <row r="314" customFormat="false" ht="15" hidden="false" customHeight="false" outlineLevel="0" collapsed="false">
      <c r="A314" s="113" t="s">
        <v>77</v>
      </c>
      <c r="C314" s="70" t="n">
        <f aca="false">C309+C310+C311+C312+C313</f>
        <v>-93586.6666666667</v>
      </c>
      <c r="D314" s="70" t="n">
        <f aca="false">D309+D310+D311+D312+D313</f>
        <v>-93586.6666666667</v>
      </c>
      <c r="E314" s="70" t="n">
        <f aca="false">E309+E310+E311+E312+E313</f>
        <v>-93586.6666666667</v>
      </c>
      <c r="F314" s="70" t="n">
        <f aca="false">F309+F310+F311+F312+F313</f>
        <v>-93586.6666666667</v>
      </c>
      <c r="G314" s="70" t="n">
        <f aca="false">G309+G310+G311+G312+G313</f>
        <v>-93586.6666666667</v>
      </c>
      <c r="H314" s="70" t="n">
        <f aca="false">H309+H310+H311+H312+H313</f>
        <v>-93586.6666666667</v>
      </c>
      <c r="I314" s="70" t="n">
        <f aca="false">I309+I310+I311+I312+I313</f>
        <v>-93586.6666666667</v>
      </c>
      <c r="J314" s="70" t="n">
        <f aca="false">J309+J310+J311+J312+J313</f>
        <v>-93586.6666666667</v>
      </c>
      <c r="K314" s="70" t="n">
        <f aca="false">K309+K310+K311+K312+K313</f>
        <v>-93586.6666666667</v>
      </c>
      <c r="L314" s="70" t="n">
        <f aca="false">L309+L310+L311+L312+L313</f>
        <v>-93586.6666666667</v>
      </c>
      <c r="M314" s="70" t="n">
        <f aca="false">M309+M310+M311+M312+M313</f>
        <v>-93586.6666666667</v>
      </c>
      <c r="N314" s="70" t="n">
        <f aca="false">N309+N310+N311+N312+N313</f>
        <v>-93586.6666666667</v>
      </c>
      <c r="O314" s="70" t="n">
        <f aca="false">O309+O310+O311+O312+O313</f>
        <v>-94759.2666666667</v>
      </c>
      <c r="P314" s="70" t="n">
        <f aca="false">P309+P310+P311+P312+P313</f>
        <v>-94759.2666666667</v>
      </c>
      <c r="Q314" s="70" t="n">
        <f aca="false">Q309+Q310+Q311+Q312+Q313</f>
        <v>-94759.2666666667</v>
      </c>
      <c r="R314" s="70" t="n">
        <f aca="false">R309+R310+R311+R312+R313</f>
        <v>-94759.2666666667</v>
      </c>
      <c r="S314" s="70" t="n">
        <f aca="false">S309+S310+S311+S312+S313</f>
        <v>-94759.2666666667</v>
      </c>
      <c r="T314" s="70" t="n">
        <f aca="false">T309+T310+T311+T312+T313</f>
        <v>-94759.2666666667</v>
      </c>
      <c r="U314" s="70" t="n">
        <f aca="false">U309+U310+U311+U312+U313</f>
        <v>-94759.2666666667</v>
      </c>
      <c r="V314" s="70" t="n">
        <f aca="false">V309+V310+V311+V312+V313</f>
        <v>-94759.2666666667</v>
      </c>
      <c r="W314" s="70" t="n">
        <f aca="false">W309+W310+W311+W312+W313</f>
        <v>-94759.2666666667</v>
      </c>
      <c r="X314" s="70" t="n">
        <f aca="false">X309+X310+X311+X312+X313</f>
        <v>-94759.2666666667</v>
      </c>
      <c r="Y314" s="70" t="n">
        <f aca="false">Y309+Y310+Y311+Y312+Y313</f>
        <v>-94759.2666666667</v>
      </c>
      <c r="Z314" s="70" t="n">
        <f aca="false">Z309+Z310+Z311+Z312+Z313</f>
        <v>-94759.2666666667</v>
      </c>
      <c r="AA314" s="70" t="n">
        <f aca="false">AA309+AA310+AA311+AA312+AA313</f>
        <v>-96121.1696666667</v>
      </c>
      <c r="AB314" s="70" t="n">
        <f aca="false">AB309+AB310+AB311+AB312+AB313</f>
        <v>-96121.1696666667</v>
      </c>
      <c r="AC314" s="70" t="n">
        <f aca="false">AC309+AC310+AC311+AC312+AC313</f>
        <v>-96121.1696666667</v>
      </c>
      <c r="AD314" s="70" t="n">
        <f aca="false">AD309+AD310+AD311+AD312+AD313</f>
        <v>-96121.1696666667</v>
      </c>
      <c r="AE314" s="70" t="n">
        <f aca="false">AE309+AE310+AE311+AE312+AE313</f>
        <v>-96121.1696666667</v>
      </c>
      <c r="AF314" s="70" t="n">
        <f aca="false">AF309+AF310+AF311+AF312+AF313</f>
        <v>-96121.1696666667</v>
      </c>
      <c r="AG314" s="70" t="n">
        <f aca="false">AG309+AG310+AG311+AG312+AG313</f>
        <v>-96121.1696666667</v>
      </c>
      <c r="AH314" s="70" t="n">
        <f aca="false">AH309+AH310+AH311+AH312+AH313</f>
        <v>-96121.1696666667</v>
      </c>
      <c r="AI314" s="70" t="n">
        <f aca="false">AI309+AI310+AI311+AI312+AI313</f>
        <v>-96121.1696666667</v>
      </c>
      <c r="AJ314" s="70" t="n">
        <f aca="false">AJ309+AJ310+AJ311+AJ312+AJ313</f>
        <v>-96121.1696666667</v>
      </c>
      <c r="AK314" s="70" t="n">
        <f aca="false">AK309+AK310+AK311+AK312+AK313</f>
        <v>-96121.1696666667</v>
      </c>
      <c r="AL314" s="70" t="n">
        <f aca="false">AL309+AL310+AL311+AL312+AL313</f>
        <v>-96121.1696666667</v>
      </c>
    </row>
    <row r="315" customFormat="false" ht="15" hidden="false" customHeight="false" outlineLevel="0" collapsed="false">
      <c r="A315" s="113" t="s">
        <v>48</v>
      </c>
      <c r="C315" s="70" t="n">
        <f aca="false">C306+C314</f>
        <v>-25143.5974503467</v>
      </c>
      <c r="D315" s="70" t="n">
        <f aca="false">D306+D314</f>
        <v>-16463.3514000803</v>
      </c>
      <c r="E315" s="70" t="n">
        <f aca="false">E306+E314</f>
        <v>2455.59734765433</v>
      </c>
      <c r="F315" s="70" t="n">
        <f aca="false">F306+F314</f>
        <v>12717.953316664</v>
      </c>
      <c r="G315" s="70" t="n">
        <f aca="false">G306+G314</f>
        <v>23189.8884779796</v>
      </c>
      <c r="H315" s="70" t="n">
        <f aca="false">H306+H314</f>
        <v>33864.6962974474</v>
      </c>
      <c r="I315" s="70" t="n">
        <f aca="false">I306+I314</f>
        <v>44735.8848500066</v>
      </c>
      <c r="J315" s="70" t="n">
        <f aca="false">J306+J314</f>
        <v>55797.1699521981</v>
      </c>
      <c r="K315" s="70" t="n">
        <f aca="false">K306+K314</f>
        <v>59385.3806986167</v>
      </c>
      <c r="L315" s="70" t="n">
        <f aca="false">L306+L314</f>
        <v>62858.7687011498</v>
      </c>
      <c r="M315" s="70" t="n">
        <f aca="false">M306+M314</f>
        <v>66221.0082876019</v>
      </c>
      <c r="N315" s="70" t="n">
        <f aca="false">N306+N314</f>
        <v>55109.955663598</v>
      </c>
      <c r="O315" s="70" t="n">
        <f aca="false">O306+O314</f>
        <v>67894.5118772073</v>
      </c>
      <c r="P315" s="70" t="n">
        <f aca="false">P306+P314</f>
        <v>71094.3626526046</v>
      </c>
      <c r="Q315" s="70" t="n">
        <f aca="false">Q306+Q314</f>
        <v>89768.0769493339</v>
      </c>
      <c r="R315" s="70" t="n">
        <f aca="false">R306+R314</f>
        <v>93085.2047113694</v>
      </c>
      <c r="S315" s="70" t="n">
        <f aca="false">S306+S314</f>
        <v>96296.1843850197</v>
      </c>
      <c r="T315" s="70" t="n">
        <f aca="false">T306+T314</f>
        <v>99404.4127091132</v>
      </c>
      <c r="U315" s="70" t="n">
        <f aca="false">U306+U314</f>
        <v>102413.177726836</v>
      </c>
      <c r="V315" s="70" t="n">
        <f aca="false">V306+V314</f>
        <v>105325.662263991</v>
      </c>
      <c r="W315" s="70" t="n">
        <f aca="false">W306+W314</f>
        <v>108144.947295958</v>
      </c>
      <c r="X315" s="70" t="n">
        <f aca="false">X306+X314</f>
        <v>110874.015206901</v>
      </c>
      <c r="Y315" s="70" t="n">
        <f aca="false">Y306+Y314</f>
        <v>113515.752944694</v>
      </c>
      <c r="Z315" s="70" t="n">
        <f aca="false">Z306+Z314</f>
        <v>100995.419361419</v>
      </c>
      <c r="AA315" s="70" t="n">
        <f aca="false">AA306+AA314</f>
        <v>114889.03133352</v>
      </c>
      <c r="AB315" s="70" t="n">
        <f aca="false">AB306+AB314</f>
        <v>117410.161393125</v>
      </c>
      <c r="AC315" s="70" t="n">
        <f aca="false">AC306+AC314</f>
        <v>136290.313644682</v>
      </c>
      <c r="AD315" s="70" t="n">
        <f aca="false">AD306+AD314</f>
        <v>139018.215303808</v>
      </c>
      <c r="AE315" s="70" t="n">
        <f aca="false">AE306+AE314</f>
        <v>141658.824109842</v>
      </c>
      <c r="AF315" s="70" t="n">
        <f aca="false">AF306+AF314</f>
        <v>144214.933434082</v>
      </c>
      <c r="AG315" s="70" t="n">
        <f aca="false">AG306+AG314</f>
        <v>146689.247259947</v>
      </c>
      <c r="AH315" s="70" t="n">
        <f aca="false">AH306+AH314</f>
        <v>149084.383043385</v>
      </c>
      <c r="AI315" s="70" t="n">
        <f aca="false">AI306+AI314</f>
        <v>151402.874481752</v>
      </c>
      <c r="AJ315" s="70" t="n">
        <f aca="false">AJ306+AJ314</f>
        <v>153647.174194091</v>
      </c>
      <c r="AK315" s="70" t="n">
        <f aca="false">AK306+AK314</f>
        <v>155819.656315636</v>
      </c>
      <c r="AL315" s="70" t="n">
        <f aca="false">AL306+AL314</f>
        <v>141890.772955652</v>
      </c>
    </row>
    <row r="317" customFormat="false" ht="15.75" hidden="false" customHeight="true" outlineLevel="0" collapsed="false">
      <c r="A317" s="7" t="s">
        <v>417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customFormat="false" ht="15" hidden="false" customHeight="false" outlineLevel="0" collapsed="false">
      <c r="A318" s="4" t="s">
        <v>79</v>
      </c>
      <c r="C318" s="75" t="n">
        <f aca="false">C315+C335</f>
        <v>-53615.8196725689</v>
      </c>
      <c r="D318" s="75" t="n">
        <f aca="false">D315+D335</f>
        <v>-44935.5736223026</v>
      </c>
      <c r="E318" s="75" t="n">
        <f aca="false">E315+E335</f>
        <v>-26016.6248745679</v>
      </c>
      <c r="F318" s="75" t="n">
        <f aca="false">F315+F335</f>
        <v>-15754.2689055582</v>
      </c>
      <c r="G318" s="75" t="n">
        <f aca="false">G315+G335</f>
        <v>-5282.3337442426</v>
      </c>
      <c r="H318" s="75" t="n">
        <f aca="false">H315+H335</f>
        <v>5392.47407522522</v>
      </c>
      <c r="I318" s="75" t="n">
        <f aca="false">I315+I335</f>
        <v>16263.6626277844</v>
      </c>
      <c r="J318" s="75" t="n">
        <f aca="false">J315+J335</f>
        <v>27324.9477299759</v>
      </c>
      <c r="K318" s="75" t="n">
        <f aca="false">K315+K335</f>
        <v>30913.1584763945</v>
      </c>
      <c r="L318" s="75" t="n">
        <f aca="false">L315+L335</f>
        <v>34386.5464789276</v>
      </c>
      <c r="M318" s="75" t="n">
        <f aca="false">M315+M335</f>
        <v>37748.7860653797</v>
      </c>
      <c r="N318" s="75" t="n">
        <f aca="false">N315+N335</f>
        <v>26637.7334413757</v>
      </c>
      <c r="O318" s="75" t="n">
        <f aca="false">O315+O335</f>
        <v>39144.5118772073</v>
      </c>
      <c r="P318" s="75" t="n">
        <f aca="false">P315+P335</f>
        <v>42344.3626526046</v>
      </c>
      <c r="Q318" s="75" t="n">
        <f aca="false">Q315+Q335</f>
        <v>61018.0769493339</v>
      </c>
      <c r="R318" s="75" t="n">
        <f aca="false">R315+R335</f>
        <v>64335.2047113694</v>
      </c>
      <c r="S318" s="75" t="n">
        <f aca="false">S315+S335</f>
        <v>67546.1843850197</v>
      </c>
      <c r="T318" s="75" t="n">
        <f aca="false">T315+T335</f>
        <v>70654.4127091132</v>
      </c>
      <c r="U318" s="75" t="n">
        <f aca="false">U315+U335</f>
        <v>73663.1777268357</v>
      </c>
      <c r="V318" s="75" t="n">
        <f aca="false">V315+V335</f>
        <v>76575.6622639912</v>
      </c>
      <c r="W318" s="75" t="n">
        <f aca="false">W315+W335</f>
        <v>79394.9472959576</v>
      </c>
      <c r="X318" s="75" t="n">
        <f aca="false">X315+X335</f>
        <v>82124.0152069011</v>
      </c>
      <c r="Y318" s="75" t="n">
        <f aca="false">Y315+Y335</f>
        <v>84765.7529446944</v>
      </c>
      <c r="Z318" s="75" t="n">
        <f aca="false">Z315+Z335</f>
        <v>72245.419361419</v>
      </c>
      <c r="AA318" s="75" t="n">
        <f aca="false">AA315+AA335</f>
        <v>85861.2535557421</v>
      </c>
      <c r="AB318" s="75" t="n">
        <f aca="false">AB315+AB335</f>
        <v>88382.3836153471</v>
      </c>
      <c r="AC318" s="75" t="n">
        <f aca="false">AC315+AC335</f>
        <v>107262.535866905</v>
      </c>
      <c r="AD318" s="75" t="n">
        <f aca="false">AD315+AD335</f>
        <v>109990.43752603</v>
      </c>
      <c r="AE318" s="75" t="n">
        <f aca="false">AE315+AE335</f>
        <v>112631.046332064</v>
      </c>
      <c r="AF318" s="75" t="n">
        <f aca="false">AF315+AF335</f>
        <v>115187.155656305</v>
      </c>
      <c r="AG318" s="75" t="n">
        <f aca="false">AG315+AG335</f>
        <v>117661.46948217</v>
      </c>
      <c r="AH318" s="75" t="n">
        <f aca="false">AH315+AH335</f>
        <v>120056.605265607</v>
      </c>
      <c r="AI318" s="75" t="n">
        <f aca="false">AI315+AI335</f>
        <v>122375.096703974</v>
      </c>
      <c r="AJ318" s="75" t="n">
        <f aca="false">AJ315+AJ335</f>
        <v>124619.396416314</v>
      </c>
      <c r="AK318" s="75" t="n">
        <f aca="false">AK315+AK335</f>
        <v>126791.878537858</v>
      </c>
      <c r="AL318" s="75" t="n">
        <f aca="false">AL315+AL335</f>
        <v>112862.995177874</v>
      </c>
    </row>
    <row r="319" customFormat="false" ht="15" hidden="false" customHeight="false" outlineLevel="0" collapsed="false">
      <c r="A319" s="6" t="s">
        <v>418</v>
      </c>
      <c r="C319" s="69" t="n">
        <f aca="false">-(C340+C341+C343)/2*Inputs!$D$71/12</f>
        <v>-21250</v>
      </c>
      <c r="D319" s="69" t="n">
        <f aca="false">-(D340+D341+D343)/2*Inputs!$D$71/12</f>
        <v>-21161.4583333333</v>
      </c>
      <c r="E319" s="69" t="n">
        <f aca="false">-(E340+E341+E343)/2*Inputs!$D$71/12</f>
        <v>-20984.375</v>
      </c>
      <c r="F319" s="69" t="n">
        <f aca="false">-(F340+F341+F343)/2*Inputs!$D$71/12</f>
        <v>-20807.2916666667</v>
      </c>
      <c r="G319" s="69" t="n">
        <f aca="false">-(G340+G341+G343)/2*Inputs!$D$71/12</f>
        <v>-20630.2083333333</v>
      </c>
      <c r="H319" s="69" t="n">
        <f aca="false">-(H340+H341+H343)/2*Inputs!$D$71/12</f>
        <v>-20453.125</v>
      </c>
      <c r="I319" s="69" t="n">
        <f aca="false">-(I340+I341+I343)/2*Inputs!$D$71/12</f>
        <v>-20276.0416666667</v>
      </c>
      <c r="J319" s="69" t="n">
        <f aca="false">-(J340+J341+J343)/2*Inputs!$D$71/12</f>
        <v>-20098.9583333333</v>
      </c>
      <c r="K319" s="69" t="n">
        <f aca="false">-(K340+K341+K343)/2*Inputs!$D$71/12</f>
        <v>-19921.875</v>
      </c>
      <c r="L319" s="69" t="n">
        <f aca="false">-(L340+L341+L343)/2*Inputs!$D$71/12</f>
        <v>-19744.7916666667</v>
      </c>
      <c r="M319" s="69" t="n">
        <f aca="false">-(M340+M341+M343)/2*Inputs!$D$71/12</f>
        <v>-19567.7083333333</v>
      </c>
      <c r="N319" s="69" t="n">
        <f aca="false">-(N340+N341+N343)/2*Inputs!$D$71/12</f>
        <v>-19390.625</v>
      </c>
      <c r="O319" s="69" t="n">
        <f aca="false">-(O340+O341+O343)/2*Inputs!$D$71/12</f>
        <v>-19213.5416666667</v>
      </c>
      <c r="P319" s="69" t="n">
        <f aca="false">-(P340+P341+P343)/2*Inputs!$D$71/12</f>
        <v>-19036.4583333333</v>
      </c>
      <c r="Q319" s="69" t="n">
        <f aca="false">-(Q340+Q341+Q343)/2*Inputs!$D$71/12</f>
        <v>-18859.375</v>
      </c>
      <c r="R319" s="69" t="n">
        <f aca="false">-(R340+R341+R343)/2*Inputs!$D$71/12</f>
        <v>-18682.2916666667</v>
      </c>
      <c r="S319" s="69" t="n">
        <f aca="false">-(S340+S341+S343)/2*Inputs!$D$71/12</f>
        <v>-18505.2083333333</v>
      </c>
      <c r="T319" s="69" t="n">
        <f aca="false">-(T340+T341+T343)/2*Inputs!$D$71/12</f>
        <v>-18328.125</v>
      </c>
      <c r="U319" s="69" t="n">
        <f aca="false">-(U340+U341+U343)/2*Inputs!$D$71/12</f>
        <v>-18151.0416666667</v>
      </c>
      <c r="V319" s="69" t="n">
        <f aca="false">-(V340+V341+V343)/2*Inputs!$D$71/12</f>
        <v>-17973.9583333333</v>
      </c>
      <c r="W319" s="69" t="n">
        <f aca="false">-(W340+W341+W343)/2*Inputs!$D$71/12</f>
        <v>-17796.875</v>
      </c>
      <c r="X319" s="69" t="n">
        <f aca="false">-(X340+X341+X343)/2*Inputs!$D$71/12</f>
        <v>-17619.7916666667</v>
      </c>
      <c r="Y319" s="69" t="n">
        <f aca="false">-(Y340+Y341+Y343)/2*Inputs!$D$71/12</f>
        <v>-17442.7083333333</v>
      </c>
      <c r="Z319" s="69" t="n">
        <f aca="false">-(Z340+Z341+Z343)/2*Inputs!$D$71/12</f>
        <v>-17265.625</v>
      </c>
      <c r="AA319" s="69" t="n">
        <f aca="false">-(AA340+AA341+AA343)/2*Inputs!$D$71/12</f>
        <v>-17088.5416666667</v>
      </c>
      <c r="AB319" s="69" t="n">
        <f aca="false">-(AB340+AB341+AB343)/2*Inputs!$D$71/12</f>
        <v>-16911.4583333333</v>
      </c>
      <c r="AC319" s="69" t="n">
        <f aca="false">-(AC340+AC341+AC343)/2*Inputs!$D$71/12</f>
        <v>-16734.375</v>
      </c>
      <c r="AD319" s="69" t="n">
        <f aca="false">-(AD340+AD341+AD343)/2*Inputs!$D$71/12</f>
        <v>-16557.2916666667</v>
      </c>
      <c r="AE319" s="69" t="n">
        <f aca="false">-(AE340+AE341+AE343)/2*Inputs!$D$71/12</f>
        <v>-16380.2083333333</v>
      </c>
      <c r="AF319" s="69" t="n">
        <f aca="false">-(AF340+AF341+AF343)/2*Inputs!$D$71/12</f>
        <v>-16203.125</v>
      </c>
      <c r="AG319" s="69" t="n">
        <f aca="false">-(AG340+AG341+AG343)/2*Inputs!$D$71/12</f>
        <v>-16026.0416666667</v>
      </c>
      <c r="AH319" s="69" t="n">
        <f aca="false">-(AH340+AH341+AH343)/2*Inputs!$D$71/12</f>
        <v>-15848.9583333333</v>
      </c>
      <c r="AI319" s="69" t="n">
        <f aca="false">-(AI340+AI341+AI343)/2*Inputs!$D$71/12</f>
        <v>-15671.875</v>
      </c>
      <c r="AJ319" s="69" t="n">
        <f aca="false">-(AJ340+AJ341+AJ343)/2*Inputs!$D$71/12</f>
        <v>-15494.7916666667</v>
      </c>
      <c r="AK319" s="69" t="n">
        <f aca="false">-(AK340+AK341+AK343)/2*Inputs!$D$71/12</f>
        <v>-15317.7083333333</v>
      </c>
      <c r="AL319" s="69" t="n">
        <f aca="false">-(AL340+AL341+AL343)/2*Inputs!$D$71/12</f>
        <v>-15140.625</v>
      </c>
    </row>
    <row r="320" customFormat="false" ht="15" hidden="false" customHeight="false" outlineLevel="0" collapsed="false">
      <c r="A320" s="113" t="s">
        <v>81</v>
      </c>
      <c r="C320" s="70" t="n">
        <f aca="false">C318+C319</f>
        <v>-74865.8196725689</v>
      </c>
      <c r="D320" s="70" t="n">
        <f aca="false">D318+D319</f>
        <v>-66097.0319556359</v>
      </c>
      <c r="E320" s="70" t="n">
        <f aca="false">E318+E319</f>
        <v>-47000.9998745679</v>
      </c>
      <c r="F320" s="70" t="n">
        <f aca="false">F318+F319</f>
        <v>-36561.5605722249</v>
      </c>
      <c r="G320" s="70" t="n">
        <f aca="false">G318+G319</f>
        <v>-25912.5420775759</v>
      </c>
      <c r="H320" s="70" t="n">
        <f aca="false">H318+H319</f>
        <v>-15060.6509247748</v>
      </c>
      <c r="I320" s="70" t="n">
        <f aca="false">I318+I319</f>
        <v>-4012.3790388823</v>
      </c>
      <c r="J320" s="70" t="n">
        <f aca="false">J318+J319</f>
        <v>7225.98939664256</v>
      </c>
      <c r="K320" s="70" t="n">
        <f aca="false">K318+K319</f>
        <v>10991.2834763945</v>
      </c>
      <c r="L320" s="70" t="n">
        <f aca="false">L318+L319</f>
        <v>14641.7548122609</v>
      </c>
      <c r="M320" s="70" t="n">
        <f aca="false">M318+M319</f>
        <v>18181.0777320464</v>
      </c>
      <c r="N320" s="70" t="n">
        <f aca="false">N318+N319</f>
        <v>7247.10844137573</v>
      </c>
      <c r="O320" s="70" t="n">
        <f aca="false">O318+O319</f>
        <v>19930.9702105406</v>
      </c>
      <c r="P320" s="70" t="n">
        <f aca="false">P318+P319</f>
        <v>23307.9043192713</v>
      </c>
      <c r="Q320" s="70" t="n">
        <f aca="false">Q318+Q319</f>
        <v>42158.7019493339</v>
      </c>
      <c r="R320" s="70" t="n">
        <f aca="false">R318+R319</f>
        <v>45652.9130447027</v>
      </c>
      <c r="S320" s="70" t="n">
        <f aca="false">S318+S319</f>
        <v>49040.9760516863</v>
      </c>
      <c r="T320" s="70" t="n">
        <f aca="false">T318+T319</f>
        <v>52326.2877091132</v>
      </c>
      <c r="U320" s="70" t="n">
        <f aca="false">U318+U319</f>
        <v>55512.1360601691</v>
      </c>
      <c r="V320" s="70" t="n">
        <f aca="false">V318+V319</f>
        <v>58601.7039306578</v>
      </c>
      <c r="W320" s="70" t="n">
        <f aca="false">W318+W319</f>
        <v>61598.0722959576</v>
      </c>
      <c r="X320" s="70" t="n">
        <f aca="false">X318+X319</f>
        <v>64504.2235402344</v>
      </c>
      <c r="Y320" s="70" t="n">
        <f aca="false">Y318+Y319</f>
        <v>67323.0446113611</v>
      </c>
      <c r="Z320" s="70" t="n">
        <f aca="false">Z318+Z319</f>
        <v>54979.794361419</v>
      </c>
      <c r="AA320" s="70" t="n">
        <f aca="false">AA318+AA319</f>
        <v>68772.7118890754</v>
      </c>
      <c r="AB320" s="70" t="n">
        <f aca="false">AB318+AB319</f>
        <v>71470.9252820138</v>
      </c>
      <c r="AC320" s="70" t="n">
        <f aca="false">AC318+AC319</f>
        <v>90528.1608669046</v>
      </c>
      <c r="AD320" s="70" t="n">
        <f aca="false">AD318+AD319</f>
        <v>93433.1458593636</v>
      </c>
      <c r="AE320" s="70" t="n">
        <f aca="false">AE318+AE319</f>
        <v>96250.8379987306</v>
      </c>
      <c r="AF320" s="70" t="n">
        <f aca="false">AF318+AF319</f>
        <v>98984.0306563047</v>
      </c>
      <c r="AG320" s="70" t="n">
        <f aca="false">AG318+AG319</f>
        <v>101635.427815503</v>
      </c>
      <c r="AH320" s="70" t="n">
        <f aca="false">AH318+AH319</f>
        <v>104207.646932274</v>
      </c>
      <c r="AI320" s="70" t="n">
        <f aca="false">AI318+AI319</f>
        <v>106703.221703974</v>
      </c>
      <c r="AJ320" s="70" t="n">
        <f aca="false">AJ318+AJ319</f>
        <v>109124.604749647</v>
      </c>
      <c r="AK320" s="70" t="n">
        <f aca="false">AK318+AK319</f>
        <v>111474.170204525</v>
      </c>
      <c r="AL320" s="70" t="n">
        <f aca="false">AL318+AL319</f>
        <v>97722.3701778738</v>
      </c>
    </row>
    <row r="321" customFormat="false" ht="15" hidden="false" customHeight="false" outlineLevel="0" collapsed="false">
      <c r="A321" s="116" t="s">
        <v>419</v>
      </c>
      <c r="C321" s="69" t="n">
        <f aca="false">C320</f>
        <v>-74865.8196725689</v>
      </c>
      <c r="D321" s="69" t="n">
        <f aca="false">C321+D320</f>
        <v>-140962.851628205</v>
      </c>
      <c r="E321" s="69" t="n">
        <f aca="false">D321+E320</f>
        <v>-187963.851502773</v>
      </c>
      <c r="F321" s="69" t="n">
        <f aca="false">E321+F320</f>
        <v>-224525.412074998</v>
      </c>
      <c r="G321" s="69" t="n">
        <f aca="false">F321+G320</f>
        <v>-250437.954152574</v>
      </c>
      <c r="H321" s="69" t="n">
        <f aca="false">G321+H320</f>
        <v>-265498.605077348</v>
      </c>
      <c r="I321" s="69" t="n">
        <f aca="false">H321+I320</f>
        <v>-269510.984116231</v>
      </c>
      <c r="J321" s="69" t="n">
        <f aca="false">I321+J320</f>
        <v>-262284.994719588</v>
      </c>
      <c r="K321" s="69" t="n">
        <f aca="false">J321+K320</f>
        <v>-251293.711243194</v>
      </c>
      <c r="L321" s="69" t="n">
        <f aca="false">K321+L320</f>
        <v>-236651.956430933</v>
      </c>
      <c r="M321" s="69" t="n">
        <f aca="false">L321+M320</f>
        <v>-218470.878698886</v>
      </c>
      <c r="N321" s="69" t="n">
        <f aca="false">M321+N320</f>
        <v>-211223.770257511</v>
      </c>
      <c r="O321" s="69" t="n">
        <f aca="false">N321+O320</f>
        <v>-191292.80004697</v>
      </c>
      <c r="P321" s="69" t="n">
        <f aca="false">O321+P320</f>
        <v>-167984.895727699</v>
      </c>
      <c r="Q321" s="69" t="n">
        <f aca="false">P321+Q320</f>
        <v>-125826.193778365</v>
      </c>
      <c r="R321" s="69" t="n">
        <f aca="false">Q321+R320</f>
        <v>-80173.2807336621</v>
      </c>
      <c r="S321" s="69" t="n">
        <f aca="false">R321+S320</f>
        <v>-31132.3046819758</v>
      </c>
      <c r="T321" s="69" t="n">
        <f aca="false">S321+T320</f>
        <v>21193.9830271375</v>
      </c>
      <c r="U321" s="69" t="n">
        <f aca="false">T321+U320</f>
        <v>76706.1190873065</v>
      </c>
      <c r="V321" s="69" t="n">
        <f aca="false">U321+V320</f>
        <v>135307.823017964</v>
      </c>
      <c r="W321" s="69" t="n">
        <f aca="false">V321+W320</f>
        <v>196905.895313922</v>
      </c>
      <c r="X321" s="69" t="n">
        <f aca="false">W321+X320</f>
        <v>261410.118854156</v>
      </c>
      <c r="Y321" s="69" t="n">
        <f aca="false">X321+Y320</f>
        <v>328733.163465517</v>
      </c>
      <c r="Z321" s="69" t="n">
        <f aca="false">Y321+Z320</f>
        <v>383712.957826936</v>
      </c>
      <c r="AA321" s="69" t="n">
        <f aca="false">Z321+AA320</f>
        <v>452485.669716012</v>
      </c>
      <c r="AB321" s="69" t="n">
        <f aca="false">AA321+AB320</f>
        <v>523956.594998026</v>
      </c>
      <c r="AC321" s="69" t="n">
        <f aca="false">AB321+AC320</f>
        <v>614484.75586493</v>
      </c>
      <c r="AD321" s="69" t="n">
        <f aca="false">AC321+AD320</f>
        <v>707917.901724294</v>
      </c>
      <c r="AE321" s="69" t="n">
        <f aca="false">AD321+AE320</f>
        <v>804168.739723024</v>
      </c>
      <c r="AF321" s="69" t="n">
        <f aca="false">AE321+AF320</f>
        <v>903152.770379329</v>
      </c>
      <c r="AG321" s="69" t="n">
        <f aca="false">AF321+AG320</f>
        <v>1004788.19819483</v>
      </c>
      <c r="AH321" s="69" t="n">
        <f aca="false">AG321+AH320</f>
        <v>1108995.84512711</v>
      </c>
      <c r="AI321" s="69" t="n">
        <f aca="false">AH321+AI320</f>
        <v>1215699.06683108</v>
      </c>
      <c r="AJ321" s="69" t="n">
        <f aca="false">AI321+AJ320</f>
        <v>1324823.67158073</v>
      </c>
      <c r="AK321" s="69" t="n">
        <f aca="false">AJ321+AK320</f>
        <v>1436297.84178525</v>
      </c>
      <c r="AL321" s="69" t="n">
        <f aca="false">AK321+AL320</f>
        <v>1534020.21196313</v>
      </c>
    </row>
    <row r="322" customFormat="false" ht="15" hidden="false" customHeight="false" outlineLevel="0" collapsed="false">
      <c r="A322" s="116" t="s">
        <v>420</v>
      </c>
      <c r="C322" s="69" t="n">
        <f aca="false">MAX(0,C321)</f>
        <v>0</v>
      </c>
      <c r="D322" s="69" t="n">
        <f aca="false">MAX(C322,D321)</f>
        <v>0</v>
      </c>
      <c r="E322" s="69" t="n">
        <f aca="false">MAX(D322,E321)</f>
        <v>0</v>
      </c>
      <c r="F322" s="69" t="n">
        <f aca="false">MAX(E322,F321)</f>
        <v>0</v>
      </c>
      <c r="G322" s="69" t="n">
        <f aca="false">MAX(F322,G321)</f>
        <v>0</v>
      </c>
      <c r="H322" s="69" t="n">
        <f aca="false">MAX(G322,H321)</f>
        <v>0</v>
      </c>
      <c r="I322" s="69" t="n">
        <f aca="false">MAX(H322,I321)</f>
        <v>0</v>
      </c>
      <c r="J322" s="69" t="n">
        <f aca="false">MAX(I322,J321)</f>
        <v>0</v>
      </c>
      <c r="K322" s="69" t="n">
        <f aca="false">MAX(J322,K321)</f>
        <v>0</v>
      </c>
      <c r="L322" s="69" t="n">
        <f aca="false">MAX(K322,L321)</f>
        <v>0</v>
      </c>
      <c r="M322" s="69" t="n">
        <f aca="false">MAX(L322,M321)</f>
        <v>0</v>
      </c>
      <c r="N322" s="69" t="n">
        <f aca="false">MAX(M322,N321)</f>
        <v>0</v>
      </c>
      <c r="O322" s="69" t="n">
        <f aca="false">MAX(N322,O321)</f>
        <v>0</v>
      </c>
      <c r="P322" s="69" t="n">
        <f aca="false">MAX(O322,P321)</f>
        <v>0</v>
      </c>
      <c r="Q322" s="69" t="n">
        <f aca="false">MAX(P322,Q321)</f>
        <v>0</v>
      </c>
      <c r="R322" s="69" t="n">
        <f aca="false">MAX(Q322,R321)</f>
        <v>0</v>
      </c>
      <c r="S322" s="69" t="n">
        <f aca="false">MAX(R322,S321)</f>
        <v>0</v>
      </c>
      <c r="T322" s="69" t="n">
        <f aca="false">MAX(S322,T321)</f>
        <v>21193.9830271375</v>
      </c>
      <c r="U322" s="69" t="n">
        <f aca="false">MAX(T322,U321)</f>
        <v>76706.1190873065</v>
      </c>
      <c r="V322" s="69" t="n">
        <f aca="false">MAX(U322,V321)</f>
        <v>135307.823017964</v>
      </c>
      <c r="W322" s="69" t="n">
        <f aca="false">MAX(V322,W321)</f>
        <v>196905.895313922</v>
      </c>
      <c r="X322" s="69" t="n">
        <f aca="false">MAX(W322,X321)</f>
        <v>261410.118854156</v>
      </c>
      <c r="Y322" s="69" t="n">
        <f aca="false">MAX(X322,Y321)</f>
        <v>328733.163465517</v>
      </c>
      <c r="Z322" s="69" t="n">
        <f aca="false">MAX(Y322,Z321)</f>
        <v>383712.957826936</v>
      </c>
      <c r="AA322" s="69" t="n">
        <f aca="false">MAX(Z322,AA321)</f>
        <v>452485.669716012</v>
      </c>
      <c r="AB322" s="69" t="n">
        <f aca="false">MAX(AA322,AB321)</f>
        <v>523956.594998026</v>
      </c>
      <c r="AC322" s="69" t="n">
        <f aca="false">MAX(AB322,AC321)</f>
        <v>614484.75586493</v>
      </c>
      <c r="AD322" s="69" t="n">
        <f aca="false">MAX(AC322,AD321)</f>
        <v>707917.901724294</v>
      </c>
      <c r="AE322" s="69" t="n">
        <f aca="false">MAX(AD322,AE321)</f>
        <v>804168.739723024</v>
      </c>
      <c r="AF322" s="69" t="n">
        <f aca="false">MAX(AE322,AF321)</f>
        <v>903152.770379329</v>
      </c>
      <c r="AG322" s="69" t="n">
        <f aca="false">MAX(AF322,AG321)</f>
        <v>1004788.19819483</v>
      </c>
      <c r="AH322" s="69" t="n">
        <f aca="false">MAX(AG322,AH321)</f>
        <v>1108995.84512711</v>
      </c>
      <c r="AI322" s="69" t="n">
        <f aca="false">MAX(AH322,AI321)</f>
        <v>1215699.06683108</v>
      </c>
      <c r="AJ322" s="69" t="n">
        <f aca="false">MAX(AI322,AJ321)</f>
        <v>1324823.67158073</v>
      </c>
      <c r="AK322" s="69" t="n">
        <f aca="false">MAX(AJ322,AK321)</f>
        <v>1436297.84178525</v>
      </c>
      <c r="AL322" s="69" t="n">
        <f aca="false">MAX(AK322,AL321)</f>
        <v>1534020.21196313</v>
      </c>
    </row>
    <row r="323" customFormat="false" ht="15" hidden="false" customHeight="false" outlineLevel="0" collapsed="false">
      <c r="A323" s="6" t="s">
        <v>82</v>
      </c>
      <c r="C323" s="69" t="n">
        <f aca="false">-C322*Inputs!$D$81</f>
        <v>-0</v>
      </c>
      <c r="D323" s="69" t="n">
        <f aca="false">-(D322-C322)*Inputs!$D$81</f>
        <v>-0</v>
      </c>
      <c r="E323" s="69" t="n">
        <f aca="false">-(E322-D322)*Inputs!$D$81</f>
        <v>-0</v>
      </c>
      <c r="F323" s="69" t="n">
        <f aca="false">-(F322-E322)*Inputs!$D$81</f>
        <v>-0</v>
      </c>
      <c r="G323" s="69" t="n">
        <f aca="false">-(G322-F322)*Inputs!$D$81</f>
        <v>-0</v>
      </c>
      <c r="H323" s="69" t="n">
        <f aca="false">-(H322-G322)*Inputs!$D$81</f>
        <v>-0</v>
      </c>
      <c r="I323" s="69" t="n">
        <f aca="false">-(I322-H322)*Inputs!$D$81</f>
        <v>-0</v>
      </c>
      <c r="J323" s="69" t="n">
        <f aca="false">-(J322-I322)*Inputs!$D$81</f>
        <v>-0</v>
      </c>
      <c r="K323" s="69" t="n">
        <f aca="false">-(K322-J322)*Inputs!$D$81</f>
        <v>-0</v>
      </c>
      <c r="L323" s="69" t="n">
        <f aca="false">-(L322-K322)*Inputs!$D$81</f>
        <v>-0</v>
      </c>
      <c r="M323" s="69" t="n">
        <f aca="false">-(M322-L322)*Inputs!$D$81</f>
        <v>-0</v>
      </c>
      <c r="N323" s="69" t="n">
        <f aca="false">-(N322-M322)*Inputs!$D$81</f>
        <v>-0</v>
      </c>
      <c r="O323" s="69" t="n">
        <f aca="false">-(O322-N322)*Inputs!$D$81</f>
        <v>-0</v>
      </c>
      <c r="P323" s="69" t="n">
        <f aca="false">-(P322-O322)*Inputs!$D$81</f>
        <v>-0</v>
      </c>
      <c r="Q323" s="69" t="n">
        <f aca="false">-(Q322-P322)*Inputs!$D$81</f>
        <v>-0</v>
      </c>
      <c r="R323" s="69" t="n">
        <f aca="false">-(R322-Q322)*Inputs!$D$81</f>
        <v>-0</v>
      </c>
      <c r="S323" s="69" t="n">
        <f aca="false">-(S322-R322)*Inputs!$D$81</f>
        <v>-0</v>
      </c>
      <c r="T323" s="69" t="n">
        <f aca="false">-(T322-S322)*Inputs!$D$81</f>
        <v>-4450.73643569887</v>
      </c>
      <c r="U323" s="69" t="n">
        <f aca="false">-(U322-T322)*Inputs!$D$81</f>
        <v>-11657.5485726355</v>
      </c>
      <c r="V323" s="69" t="n">
        <f aca="false">-(V322-U322)*Inputs!$D$81</f>
        <v>-12306.3578254381</v>
      </c>
      <c r="W323" s="69" t="n">
        <f aca="false">-(W322-V322)*Inputs!$D$81</f>
        <v>-12935.5951821511</v>
      </c>
      <c r="X323" s="69" t="n">
        <f aca="false">-(X322-W322)*Inputs!$D$81</f>
        <v>-13545.8869434492</v>
      </c>
      <c r="Y323" s="69" t="n">
        <f aca="false">-(Y322-X322)*Inputs!$D$81</f>
        <v>-14137.8393683858</v>
      </c>
      <c r="Z323" s="69" t="n">
        <f aca="false">-(Z322-Y322)*Inputs!$D$81</f>
        <v>-11545.756815898</v>
      </c>
      <c r="AA323" s="69" t="n">
        <f aca="false">-(AA322-Z322)*Inputs!$D$81</f>
        <v>-14442.2694967058</v>
      </c>
      <c r="AB323" s="69" t="n">
        <f aca="false">-(AB322-AA322)*Inputs!$D$81</f>
        <v>-15008.8943092229</v>
      </c>
      <c r="AC323" s="69" t="n">
        <f aca="false">-(AC322-AB322)*Inputs!$D$81</f>
        <v>-19010.91378205</v>
      </c>
      <c r="AD323" s="69" t="n">
        <f aca="false">-(AD322-AC322)*Inputs!$D$81</f>
        <v>-19620.9606304664</v>
      </c>
      <c r="AE323" s="69" t="n">
        <f aca="false">-(AE322-AD322)*Inputs!$D$81</f>
        <v>-20212.6759797334</v>
      </c>
      <c r="AF323" s="69" t="n">
        <f aca="false">-(AF322-AE322)*Inputs!$D$81</f>
        <v>-20786.646437824</v>
      </c>
      <c r="AG323" s="69" t="n">
        <f aca="false">-(AG322-AF322)*Inputs!$D$81</f>
        <v>-21343.4398412556</v>
      </c>
      <c r="AH323" s="69" t="n">
        <f aca="false">-(AH322-AG322)*Inputs!$D$81</f>
        <v>-21883.6058557774</v>
      </c>
      <c r="AI323" s="69" t="n">
        <f aca="false">-(AI322-AH322)*Inputs!$D$81</f>
        <v>-22407.6765578346</v>
      </c>
      <c r="AJ323" s="69" t="n">
        <f aca="false">-(AJ322-AI322)*Inputs!$D$81</f>
        <v>-22916.1669974259</v>
      </c>
      <c r="AK323" s="69" t="n">
        <f aca="false">-(AK322-AJ322)*Inputs!$D$81</f>
        <v>-23409.5757429502</v>
      </c>
      <c r="AL323" s="69" t="n">
        <f aca="false">-(AL322-AK322)*Inputs!$D$81</f>
        <v>-20521.6977373535</v>
      </c>
    </row>
    <row r="324" customFormat="false" ht="15" hidden="false" customHeight="false" outlineLevel="0" collapsed="false">
      <c r="A324" s="113" t="s">
        <v>50</v>
      </c>
      <c r="C324" s="70" t="n">
        <f aca="false">C320+C323</f>
        <v>-74865.8196725689</v>
      </c>
      <c r="D324" s="70" t="n">
        <f aca="false">D320+D323</f>
        <v>-66097.0319556359</v>
      </c>
      <c r="E324" s="70" t="n">
        <f aca="false">E320+E323</f>
        <v>-47000.9998745679</v>
      </c>
      <c r="F324" s="70" t="n">
        <f aca="false">F320+F323</f>
        <v>-36561.5605722249</v>
      </c>
      <c r="G324" s="70" t="n">
        <f aca="false">G320+G323</f>
        <v>-25912.5420775759</v>
      </c>
      <c r="H324" s="70" t="n">
        <f aca="false">H320+H323</f>
        <v>-15060.6509247748</v>
      </c>
      <c r="I324" s="70" t="n">
        <f aca="false">I320+I323</f>
        <v>-4012.3790388823</v>
      </c>
      <c r="J324" s="70" t="n">
        <f aca="false">J320+J323</f>
        <v>7225.98939664256</v>
      </c>
      <c r="K324" s="70" t="n">
        <f aca="false">K320+K323</f>
        <v>10991.2834763945</v>
      </c>
      <c r="L324" s="70" t="n">
        <f aca="false">L320+L323</f>
        <v>14641.7548122609</v>
      </c>
      <c r="M324" s="70" t="n">
        <f aca="false">M320+M323</f>
        <v>18181.0777320464</v>
      </c>
      <c r="N324" s="70" t="n">
        <f aca="false">N320+N323</f>
        <v>7247.10844137573</v>
      </c>
      <c r="O324" s="70" t="n">
        <f aca="false">O320+O323</f>
        <v>19930.9702105406</v>
      </c>
      <c r="P324" s="70" t="n">
        <f aca="false">P320+P323</f>
        <v>23307.9043192713</v>
      </c>
      <c r="Q324" s="70" t="n">
        <f aca="false">Q320+Q323</f>
        <v>42158.7019493339</v>
      </c>
      <c r="R324" s="70" t="n">
        <f aca="false">R320+R323</f>
        <v>45652.9130447027</v>
      </c>
      <c r="S324" s="70" t="n">
        <f aca="false">S320+S323</f>
        <v>49040.9760516863</v>
      </c>
      <c r="T324" s="70" t="n">
        <f aca="false">T320+T323</f>
        <v>47875.5512734143</v>
      </c>
      <c r="U324" s="70" t="n">
        <f aca="false">U320+U323</f>
        <v>43854.5874875336</v>
      </c>
      <c r="V324" s="70" t="n">
        <f aca="false">V320+V323</f>
        <v>46295.3461052197</v>
      </c>
      <c r="W324" s="70" t="n">
        <f aca="false">W320+W323</f>
        <v>48662.4771138065</v>
      </c>
      <c r="X324" s="70" t="n">
        <f aca="false">X320+X323</f>
        <v>50958.3365967852</v>
      </c>
      <c r="Y324" s="70" t="n">
        <f aca="false">Y320+Y323</f>
        <v>53185.2052429753</v>
      </c>
      <c r="Z324" s="70" t="n">
        <f aca="false">Z320+Z323</f>
        <v>43434.037545521</v>
      </c>
      <c r="AA324" s="70" t="n">
        <f aca="false">AA320+AA323</f>
        <v>54330.4423923696</v>
      </c>
      <c r="AB324" s="70" t="n">
        <f aca="false">AB320+AB323</f>
        <v>56462.0309727909</v>
      </c>
      <c r="AC324" s="70" t="n">
        <f aca="false">AC320+AC323</f>
        <v>71517.2470848546</v>
      </c>
      <c r="AD324" s="70" t="n">
        <f aca="false">AD320+AD323</f>
        <v>73812.1852288972</v>
      </c>
      <c r="AE324" s="70" t="n">
        <f aca="false">AE320+AE323</f>
        <v>76038.1620189972</v>
      </c>
      <c r="AF324" s="70" t="n">
        <f aca="false">AF320+AF323</f>
        <v>78197.3842184807</v>
      </c>
      <c r="AG324" s="70" t="n">
        <f aca="false">AG320+AG323</f>
        <v>80291.9879742473</v>
      </c>
      <c r="AH324" s="70" t="n">
        <f aca="false">AH320+AH323</f>
        <v>82324.0410764961</v>
      </c>
      <c r="AI324" s="70" t="n">
        <f aca="false">AI320+AI323</f>
        <v>84295.5451461396</v>
      </c>
      <c r="AJ324" s="70" t="n">
        <f aca="false">AJ320+AJ323</f>
        <v>86208.4377522211</v>
      </c>
      <c r="AK324" s="70" t="n">
        <f aca="false">AK320+AK323</f>
        <v>88064.5944615747</v>
      </c>
      <c r="AL324" s="70" t="n">
        <f aca="false">AL320+AL323</f>
        <v>77200.6724405203</v>
      </c>
    </row>
    <row r="326" customFormat="false" ht="15.75" hidden="false" customHeight="true" outlineLevel="0" collapsed="false">
      <c r="A326" s="7" t="s">
        <v>421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customFormat="false" ht="15" hidden="false" customHeight="false" outlineLevel="0" collapsed="false">
      <c r="A327" s="6" t="s">
        <v>422</v>
      </c>
      <c r="C327" s="69" t="n">
        <f aca="false">IF(C$264=1,Inputs!$D$50,0)</f>
        <v>1650000</v>
      </c>
      <c r="D327" s="69" t="n">
        <f aca="false">IF(D$264=1,Inputs!$D$50,0)</f>
        <v>0</v>
      </c>
      <c r="E327" s="69" t="n">
        <f aca="false">IF(E$264=1,Inputs!$D$50,0)</f>
        <v>0</v>
      </c>
      <c r="F327" s="69" t="n">
        <f aca="false">IF(F$264=1,Inputs!$D$50,0)</f>
        <v>0</v>
      </c>
      <c r="G327" s="69" t="n">
        <f aca="false">IF(G$264=1,Inputs!$D$50,0)</f>
        <v>0</v>
      </c>
      <c r="H327" s="69" t="n">
        <f aca="false">IF(H$264=1,Inputs!$D$50,0)</f>
        <v>0</v>
      </c>
      <c r="I327" s="69" t="n">
        <f aca="false">IF(I$264=1,Inputs!$D$50,0)</f>
        <v>0</v>
      </c>
      <c r="J327" s="69" t="n">
        <f aca="false">IF(J$264=1,Inputs!$D$50,0)</f>
        <v>0</v>
      </c>
      <c r="K327" s="69" t="n">
        <f aca="false">IF(K$264=1,Inputs!$D$50,0)</f>
        <v>0</v>
      </c>
      <c r="L327" s="69" t="n">
        <f aca="false">IF(L$264=1,Inputs!$D$50,0)</f>
        <v>0</v>
      </c>
      <c r="M327" s="69" t="n">
        <f aca="false">IF(M$264=1,Inputs!$D$50,0)</f>
        <v>0</v>
      </c>
      <c r="N327" s="69" t="n">
        <f aca="false">IF(N$264=1,Inputs!$D$50,0)</f>
        <v>0</v>
      </c>
      <c r="O327" s="69" t="n">
        <f aca="false">IF(O$264=1,Inputs!$D$50,0)</f>
        <v>0</v>
      </c>
      <c r="P327" s="69" t="n">
        <f aca="false">IF(P$264=1,Inputs!$D$50,0)</f>
        <v>0</v>
      </c>
      <c r="Q327" s="69" t="n">
        <f aca="false">IF(Q$264=1,Inputs!$D$50,0)</f>
        <v>0</v>
      </c>
      <c r="R327" s="69" t="n">
        <f aca="false">IF(R$264=1,Inputs!$D$50,0)</f>
        <v>0</v>
      </c>
      <c r="S327" s="69" t="n">
        <f aca="false">IF(S$264=1,Inputs!$D$50,0)</f>
        <v>0</v>
      </c>
      <c r="T327" s="69" t="n">
        <f aca="false">IF(T$264=1,Inputs!$D$50,0)</f>
        <v>0</v>
      </c>
      <c r="U327" s="69" t="n">
        <f aca="false">IF(U$264=1,Inputs!$D$50,0)</f>
        <v>0</v>
      </c>
      <c r="V327" s="69" t="n">
        <f aca="false">IF(V$264=1,Inputs!$D$50,0)</f>
        <v>0</v>
      </c>
      <c r="W327" s="69" t="n">
        <f aca="false">IF(W$264=1,Inputs!$D$50,0)</f>
        <v>0</v>
      </c>
      <c r="X327" s="69" t="n">
        <f aca="false">IF(X$264=1,Inputs!$D$50,0)</f>
        <v>0</v>
      </c>
      <c r="Y327" s="69" t="n">
        <f aca="false">IF(Y$264=1,Inputs!$D$50,0)</f>
        <v>0</v>
      </c>
      <c r="Z327" s="69" t="n">
        <f aca="false">IF(Z$264=1,Inputs!$D$50,0)</f>
        <v>0</v>
      </c>
      <c r="AA327" s="69" t="n">
        <f aca="false">IF(AA$264=1,Inputs!$D$50,0)</f>
        <v>0</v>
      </c>
      <c r="AB327" s="69" t="n">
        <f aca="false">IF(AB$264=1,Inputs!$D$50,0)</f>
        <v>0</v>
      </c>
      <c r="AC327" s="69" t="n">
        <f aca="false">IF(AC$264=1,Inputs!$D$50,0)</f>
        <v>0</v>
      </c>
      <c r="AD327" s="69" t="n">
        <f aca="false">IF(AD$264=1,Inputs!$D$50,0)</f>
        <v>0</v>
      </c>
      <c r="AE327" s="69" t="n">
        <f aca="false">IF(AE$264=1,Inputs!$D$50,0)</f>
        <v>0</v>
      </c>
      <c r="AF327" s="69" t="n">
        <f aca="false">IF(AF$264=1,Inputs!$D$50,0)</f>
        <v>0</v>
      </c>
      <c r="AG327" s="69" t="n">
        <f aca="false">IF(AG$264=1,Inputs!$D$50,0)</f>
        <v>0</v>
      </c>
      <c r="AH327" s="69" t="n">
        <f aca="false">IF(AH$264=1,Inputs!$D$50,0)</f>
        <v>0</v>
      </c>
      <c r="AI327" s="69" t="n">
        <f aca="false">IF(AI$264=1,Inputs!$D$50,0)</f>
        <v>0</v>
      </c>
      <c r="AJ327" s="69" t="n">
        <f aca="false">IF(AJ$264=1,Inputs!$D$50,0)</f>
        <v>0</v>
      </c>
      <c r="AK327" s="69" t="n">
        <f aca="false">IF(AK$264=1,Inputs!$D$50,0)</f>
        <v>0</v>
      </c>
      <c r="AL327" s="69" t="n">
        <f aca="false">IF(AL$264=1,Inputs!$D$50,0)</f>
        <v>0</v>
      </c>
    </row>
    <row r="328" customFormat="false" ht="15" hidden="false" customHeight="false" outlineLevel="0" collapsed="false">
      <c r="A328" s="6" t="s">
        <v>423</v>
      </c>
      <c r="C328" s="69" t="n">
        <f aca="false">IF(C$264=1,Inputs!$D$51,0)</f>
        <v>2300000</v>
      </c>
      <c r="D328" s="69" t="n">
        <f aca="false">IF(D$264=1,Inputs!$D$51,0)</f>
        <v>0</v>
      </c>
      <c r="E328" s="69" t="n">
        <f aca="false">IF(E$264=1,Inputs!$D$51,0)</f>
        <v>0</v>
      </c>
      <c r="F328" s="69" t="n">
        <f aca="false">IF(F$264=1,Inputs!$D$51,0)</f>
        <v>0</v>
      </c>
      <c r="G328" s="69" t="n">
        <f aca="false">IF(G$264=1,Inputs!$D$51,0)</f>
        <v>0</v>
      </c>
      <c r="H328" s="69" t="n">
        <f aca="false">IF(H$264=1,Inputs!$D$51,0)</f>
        <v>0</v>
      </c>
      <c r="I328" s="69" t="n">
        <f aca="false">IF(I$264=1,Inputs!$D$51,0)</f>
        <v>0</v>
      </c>
      <c r="J328" s="69" t="n">
        <f aca="false">IF(J$264=1,Inputs!$D$51,0)</f>
        <v>0</v>
      </c>
      <c r="K328" s="69" t="n">
        <f aca="false">IF(K$264=1,Inputs!$D$51,0)</f>
        <v>0</v>
      </c>
      <c r="L328" s="69" t="n">
        <f aca="false">IF(L$264=1,Inputs!$D$51,0)</f>
        <v>0</v>
      </c>
      <c r="M328" s="69" t="n">
        <f aca="false">IF(M$264=1,Inputs!$D$51,0)</f>
        <v>0</v>
      </c>
      <c r="N328" s="69" t="n">
        <f aca="false">IF(N$264=1,Inputs!$D$51,0)</f>
        <v>0</v>
      </c>
      <c r="O328" s="69" t="n">
        <f aca="false">IF(O$264=1,Inputs!$D$51,0)</f>
        <v>0</v>
      </c>
      <c r="P328" s="69" t="n">
        <f aca="false">IF(P$264=1,Inputs!$D$51,0)</f>
        <v>0</v>
      </c>
      <c r="Q328" s="69" t="n">
        <f aca="false">IF(Q$264=1,Inputs!$D$51,0)</f>
        <v>0</v>
      </c>
      <c r="R328" s="69" t="n">
        <f aca="false">IF(R$264=1,Inputs!$D$51,0)</f>
        <v>0</v>
      </c>
      <c r="S328" s="69" t="n">
        <f aca="false">IF(S$264=1,Inputs!$D$51,0)</f>
        <v>0</v>
      </c>
      <c r="T328" s="69" t="n">
        <f aca="false">IF(T$264=1,Inputs!$D$51,0)</f>
        <v>0</v>
      </c>
      <c r="U328" s="69" t="n">
        <f aca="false">IF(U$264=1,Inputs!$D$51,0)</f>
        <v>0</v>
      </c>
      <c r="V328" s="69" t="n">
        <f aca="false">IF(V$264=1,Inputs!$D$51,0)</f>
        <v>0</v>
      </c>
      <c r="W328" s="69" t="n">
        <f aca="false">IF(W$264=1,Inputs!$D$51,0)</f>
        <v>0</v>
      </c>
      <c r="X328" s="69" t="n">
        <f aca="false">IF(X$264=1,Inputs!$D$51,0)</f>
        <v>0</v>
      </c>
      <c r="Y328" s="69" t="n">
        <f aca="false">IF(Y$264=1,Inputs!$D$51,0)</f>
        <v>0</v>
      </c>
      <c r="Z328" s="69" t="n">
        <f aca="false">IF(Z$264=1,Inputs!$D$51,0)</f>
        <v>0</v>
      </c>
      <c r="AA328" s="69" t="n">
        <f aca="false">IF(AA$264=1,Inputs!$D$51,0)</f>
        <v>0</v>
      </c>
      <c r="AB328" s="69" t="n">
        <f aca="false">IF(AB$264=1,Inputs!$D$51,0)</f>
        <v>0</v>
      </c>
      <c r="AC328" s="69" t="n">
        <f aca="false">IF(AC$264=1,Inputs!$D$51,0)</f>
        <v>0</v>
      </c>
      <c r="AD328" s="69" t="n">
        <f aca="false">IF(AD$264=1,Inputs!$D$51,0)</f>
        <v>0</v>
      </c>
      <c r="AE328" s="69" t="n">
        <f aca="false">IF(AE$264=1,Inputs!$D$51,0)</f>
        <v>0</v>
      </c>
      <c r="AF328" s="69" t="n">
        <f aca="false">IF(AF$264=1,Inputs!$D$51,0)</f>
        <v>0</v>
      </c>
      <c r="AG328" s="69" t="n">
        <f aca="false">IF(AG$264=1,Inputs!$D$51,0)</f>
        <v>0</v>
      </c>
      <c r="AH328" s="69" t="n">
        <f aca="false">IF(AH$264=1,Inputs!$D$51,0)</f>
        <v>0</v>
      </c>
      <c r="AI328" s="69" t="n">
        <f aca="false">IF(AI$264=1,Inputs!$D$51,0)</f>
        <v>0</v>
      </c>
      <c r="AJ328" s="69" t="n">
        <f aca="false">IF(AJ$264=1,Inputs!$D$51,0)</f>
        <v>0</v>
      </c>
      <c r="AK328" s="69" t="n">
        <f aca="false">IF(AK$264=1,Inputs!$D$51,0)</f>
        <v>0</v>
      </c>
      <c r="AL328" s="69" t="n">
        <f aca="false">IF(AL$264=1,Inputs!$D$51,0)</f>
        <v>0</v>
      </c>
    </row>
    <row r="329" customFormat="false" ht="15" hidden="false" customHeight="false" outlineLevel="0" collapsed="false">
      <c r="A329" s="6" t="s">
        <v>424</v>
      </c>
      <c r="C329" s="69" t="n">
        <f aca="false">IF(C$264=1,Inputs!$D$52,0)</f>
        <v>150000</v>
      </c>
      <c r="D329" s="69" t="n">
        <f aca="false">IF(D$264=1,Inputs!$D$52,0)</f>
        <v>0</v>
      </c>
      <c r="E329" s="69" t="n">
        <f aca="false">IF(E$264=1,Inputs!$D$52,0)</f>
        <v>0</v>
      </c>
      <c r="F329" s="69" t="n">
        <f aca="false">IF(F$264=1,Inputs!$D$52,0)</f>
        <v>0</v>
      </c>
      <c r="G329" s="69" t="n">
        <f aca="false">IF(G$264=1,Inputs!$D$52,0)</f>
        <v>0</v>
      </c>
      <c r="H329" s="69" t="n">
        <f aca="false">IF(H$264=1,Inputs!$D$52,0)</f>
        <v>0</v>
      </c>
      <c r="I329" s="69" t="n">
        <f aca="false">IF(I$264=1,Inputs!$D$52,0)</f>
        <v>0</v>
      </c>
      <c r="J329" s="69" t="n">
        <f aca="false">IF(J$264=1,Inputs!$D$52,0)</f>
        <v>0</v>
      </c>
      <c r="K329" s="69" t="n">
        <f aca="false">IF(K$264=1,Inputs!$D$52,0)</f>
        <v>0</v>
      </c>
      <c r="L329" s="69" t="n">
        <f aca="false">IF(L$264=1,Inputs!$D$52,0)</f>
        <v>0</v>
      </c>
      <c r="M329" s="69" t="n">
        <f aca="false">IF(M$264=1,Inputs!$D$52,0)</f>
        <v>0</v>
      </c>
      <c r="N329" s="69" t="n">
        <f aca="false">IF(N$264=1,Inputs!$D$52,0)</f>
        <v>0</v>
      </c>
      <c r="O329" s="69" t="n">
        <f aca="false">IF(O$264=1,Inputs!$D$52,0)</f>
        <v>0</v>
      </c>
      <c r="P329" s="69" t="n">
        <f aca="false">IF(P$264=1,Inputs!$D$52,0)</f>
        <v>0</v>
      </c>
      <c r="Q329" s="69" t="n">
        <f aca="false">IF(Q$264=1,Inputs!$D$52,0)</f>
        <v>0</v>
      </c>
      <c r="R329" s="69" t="n">
        <f aca="false">IF(R$264=1,Inputs!$D$52,0)</f>
        <v>0</v>
      </c>
      <c r="S329" s="69" t="n">
        <f aca="false">IF(S$264=1,Inputs!$D$52,0)</f>
        <v>0</v>
      </c>
      <c r="T329" s="69" t="n">
        <f aca="false">IF(T$264=1,Inputs!$D$52,0)</f>
        <v>0</v>
      </c>
      <c r="U329" s="69" t="n">
        <f aca="false">IF(U$264=1,Inputs!$D$52,0)</f>
        <v>0</v>
      </c>
      <c r="V329" s="69" t="n">
        <f aca="false">IF(V$264=1,Inputs!$D$52,0)</f>
        <v>0</v>
      </c>
      <c r="W329" s="69" t="n">
        <f aca="false">IF(W$264=1,Inputs!$D$52,0)</f>
        <v>0</v>
      </c>
      <c r="X329" s="69" t="n">
        <f aca="false">IF(X$264=1,Inputs!$D$52,0)</f>
        <v>0</v>
      </c>
      <c r="Y329" s="69" t="n">
        <f aca="false">IF(Y$264=1,Inputs!$D$52,0)</f>
        <v>0</v>
      </c>
      <c r="Z329" s="69" t="n">
        <f aca="false">IF(Z$264=1,Inputs!$D$52,0)</f>
        <v>0</v>
      </c>
      <c r="AA329" s="69" t="n">
        <f aca="false">IF(AA$264=1,Inputs!$D$52,0)</f>
        <v>0</v>
      </c>
      <c r="AB329" s="69" t="n">
        <f aca="false">IF(AB$264=1,Inputs!$D$52,0)</f>
        <v>0</v>
      </c>
      <c r="AC329" s="69" t="n">
        <f aca="false">IF(AC$264=1,Inputs!$D$52,0)</f>
        <v>0</v>
      </c>
      <c r="AD329" s="69" t="n">
        <f aca="false">IF(AD$264=1,Inputs!$D$52,0)</f>
        <v>0</v>
      </c>
      <c r="AE329" s="69" t="n">
        <f aca="false">IF(AE$264=1,Inputs!$D$52,0)</f>
        <v>0</v>
      </c>
      <c r="AF329" s="69" t="n">
        <f aca="false">IF(AF$264=1,Inputs!$D$52,0)</f>
        <v>0</v>
      </c>
      <c r="AG329" s="69" t="n">
        <f aca="false">IF(AG$264=1,Inputs!$D$52,0)</f>
        <v>0</v>
      </c>
      <c r="AH329" s="69" t="n">
        <f aca="false">IF(AH$264=1,Inputs!$D$52,0)</f>
        <v>0</v>
      </c>
      <c r="AI329" s="69" t="n">
        <f aca="false">IF(AI$264=1,Inputs!$D$52,0)</f>
        <v>0</v>
      </c>
      <c r="AJ329" s="69" t="n">
        <f aca="false">IF(AJ$264=1,Inputs!$D$52,0)</f>
        <v>0</v>
      </c>
      <c r="AK329" s="69" t="n">
        <f aca="false">IF(AK$264=1,Inputs!$D$52,0)</f>
        <v>0</v>
      </c>
      <c r="AL329" s="69" t="n">
        <f aca="false">IF(AL$264=1,Inputs!$D$52,0)</f>
        <v>0</v>
      </c>
    </row>
    <row r="330" customFormat="false" ht="15" hidden="false" customHeight="false" outlineLevel="0" collapsed="false">
      <c r="A330" s="6" t="s">
        <v>425</v>
      </c>
      <c r="C330" s="69" t="n">
        <f aca="false">IF(C$264=1,Inputs!$D$53,0)</f>
        <v>0</v>
      </c>
      <c r="D330" s="69" t="n">
        <f aca="false">IF(D$264=1,Inputs!$D$53,0)</f>
        <v>0</v>
      </c>
      <c r="E330" s="69" t="n">
        <f aca="false">IF(E$264=1,Inputs!$D$53,0)</f>
        <v>0</v>
      </c>
      <c r="F330" s="69" t="n">
        <f aca="false">IF(F$264=1,Inputs!$D$53,0)</f>
        <v>0</v>
      </c>
      <c r="G330" s="69" t="n">
        <f aca="false">IF(G$264=1,Inputs!$D$53,0)</f>
        <v>0</v>
      </c>
      <c r="H330" s="69" t="n">
        <f aca="false">IF(H$264=1,Inputs!$D$53,0)</f>
        <v>0</v>
      </c>
      <c r="I330" s="69" t="n">
        <f aca="false">IF(I$264=1,Inputs!$D$53,0)</f>
        <v>0</v>
      </c>
      <c r="J330" s="69" t="n">
        <f aca="false">IF(J$264=1,Inputs!$D$53,0)</f>
        <v>0</v>
      </c>
      <c r="K330" s="69" t="n">
        <f aca="false">IF(K$264=1,Inputs!$D$53,0)</f>
        <v>0</v>
      </c>
      <c r="L330" s="69" t="n">
        <f aca="false">IF(L$264=1,Inputs!$D$53,0)</f>
        <v>0</v>
      </c>
      <c r="M330" s="69" t="n">
        <f aca="false">IF(M$264=1,Inputs!$D$53,0)</f>
        <v>0</v>
      </c>
      <c r="N330" s="69" t="n">
        <f aca="false">IF(N$264=1,Inputs!$D$53,0)</f>
        <v>0</v>
      </c>
      <c r="O330" s="69" t="n">
        <f aca="false">IF(O$264=1,Inputs!$D$53,0)</f>
        <v>0</v>
      </c>
      <c r="P330" s="69" t="n">
        <f aca="false">IF(P$264=1,Inputs!$D$53,0)</f>
        <v>0</v>
      </c>
      <c r="Q330" s="69" t="n">
        <f aca="false">IF(Q$264=1,Inputs!$D$53,0)</f>
        <v>0</v>
      </c>
      <c r="R330" s="69" t="n">
        <f aca="false">IF(R$264=1,Inputs!$D$53,0)</f>
        <v>0</v>
      </c>
      <c r="S330" s="69" t="n">
        <f aca="false">IF(S$264=1,Inputs!$D$53,0)</f>
        <v>0</v>
      </c>
      <c r="T330" s="69" t="n">
        <f aca="false">IF(T$264=1,Inputs!$D$53,0)</f>
        <v>0</v>
      </c>
      <c r="U330" s="69" t="n">
        <f aca="false">IF(U$264=1,Inputs!$D$53,0)</f>
        <v>0</v>
      </c>
      <c r="V330" s="69" t="n">
        <f aca="false">IF(V$264=1,Inputs!$D$53,0)</f>
        <v>0</v>
      </c>
      <c r="W330" s="69" t="n">
        <f aca="false">IF(W$264=1,Inputs!$D$53,0)</f>
        <v>0</v>
      </c>
      <c r="X330" s="69" t="n">
        <f aca="false">IF(X$264=1,Inputs!$D$53,0)</f>
        <v>0</v>
      </c>
      <c r="Y330" s="69" t="n">
        <f aca="false">IF(Y$264=1,Inputs!$D$53,0)</f>
        <v>0</v>
      </c>
      <c r="Z330" s="69" t="n">
        <f aca="false">IF(Z$264=1,Inputs!$D$53,0)</f>
        <v>0</v>
      </c>
      <c r="AA330" s="69" t="n">
        <f aca="false">IF(AA$264=1,Inputs!$D$53,0)</f>
        <v>0</v>
      </c>
      <c r="AB330" s="69" t="n">
        <f aca="false">IF(AB$264=1,Inputs!$D$53,0)</f>
        <v>0</v>
      </c>
      <c r="AC330" s="69" t="n">
        <f aca="false">IF(AC$264=1,Inputs!$D$53,0)</f>
        <v>0</v>
      </c>
      <c r="AD330" s="69" t="n">
        <f aca="false">IF(AD$264=1,Inputs!$D$53,0)</f>
        <v>0</v>
      </c>
      <c r="AE330" s="69" t="n">
        <f aca="false">IF(AE$264=1,Inputs!$D$53,0)</f>
        <v>0</v>
      </c>
      <c r="AF330" s="69" t="n">
        <f aca="false">IF(AF$264=1,Inputs!$D$53,0)</f>
        <v>0</v>
      </c>
      <c r="AG330" s="69" t="n">
        <f aca="false">IF(AG$264=1,Inputs!$D$53,0)</f>
        <v>0</v>
      </c>
      <c r="AH330" s="69" t="n">
        <f aca="false">IF(AH$264=1,Inputs!$D$53,0)</f>
        <v>0</v>
      </c>
      <c r="AI330" s="69" t="n">
        <f aca="false">IF(AI$264=1,Inputs!$D$53,0)</f>
        <v>0</v>
      </c>
      <c r="AJ330" s="69" t="n">
        <f aca="false">IF(AJ$264=1,Inputs!$D$53,0)</f>
        <v>0</v>
      </c>
      <c r="AK330" s="69" t="n">
        <f aca="false">IF(AK$264=1,Inputs!$D$53,0)</f>
        <v>0</v>
      </c>
      <c r="AL330" s="69" t="n">
        <f aca="false">IF(AL$264=1,Inputs!$D$53,0)</f>
        <v>0</v>
      </c>
    </row>
    <row r="331" customFormat="false" ht="15" hidden="false" customHeight="false" outlineLevel="0" collapsed="false">
      <c r="A331" s="6" t="s">
        <v>426</v>
      </c>
      <c r="C331" s="69" t="n">
        <f aca="false">IF(AND(C$265&gt;1,MOD(C$264-1,12)=0),Inputs!$D$54,0)</f>
        <v>0</v>
      </c>
      <c r="D331" s="69" t="n">
        <f aca="false">IF(AND(D$265&gt;1,MOD(D$264-1,12)=0),Inputs!$D$54,0)</f>
        <v>0</v>
      </c>
      <c r="E331" s="69" t="n">
        <f aca="false">IF(AND(E$265&gt;1,MOD(E$264-1,12)=0),Inputs!$D$54,0)</f>
        <v>0</v>
      </c>
      <c r="F331" s="69" t="n">
        <f aca="false">IF(AND(F$265&gt;1,MOD(F$264-1,12)=0),Inputs!$D$54,0)</f>
        <v>0</v>
      </c>
      <c r="G331" s="69" t="n">
        <f aca="false">IF(AND(G$265&gt;1,MOD(G$264-1,12)=0),Inputs!$D$54,0)</f>
        <v>0</v>
      </c>
      <c r="H331" s="69" t="n">
        <f aca="false">IF(AND(H$265&gt;1,MOD(H$264-1,12)=0),Inputs!$D$54,0)</f>
        <v>0</v>
      </c>
      <c r="I331" s="69" t="n">
        <f aca="false">IF(AND(I$265&gt;1,MOD(I$264-1,12)=0),Inputs!$D$54,0)</f>
        <v>0</v>
      </c>
      <c r="J331" s="69" t="n">
        <f aca="false">IF(AND(J$265&gt;1,MOD(J$264-1,12)=0),Inputs!$D$54,0)</f>
        <v>0</v>
      </c>
      <c r="K331" s="69" t="n">
        <f aca="false">IF(AND(K$265&gt;1,MOD(K$264-1,12)=0),Inputs!$D$54,0)</f>
        <v>0</v>
      </c>
      <c r="L331" s="69" t="n">
        <f aca="false">IF(AND(L$265&gt;1,MOD(L$264-1,12)=0),Inputs!$D$54,0)</f>
        <v>0</v>
      </c>
      <c r="M331" s="69" t="n">
        <f aca="false">IF(AND(M$265&gt;1,MOD(M$264-1,12)=0),Inputs!$D$54,0)</f>
        <v>0</v>
      </c>
      <c r="N331" s="69" t="n">
        <f aca="false">IF(AND(N$265&gt;1,MOD(N$264-1,12)=0),Inputs!$D$54,0)</f>
        <v>0</v>
      </c>
      <c r="O331" s="69" t="n">
        <f aca="false">IF(AND(O$265&gt;1,MOD(O$264-1,12)=0),Inputs!$D$54,0)</f>
        <v>40000</v>
      </c>
      <c r="P331" s="69" t="n">
        <f aca="false">IF(AND(P$265&gt;1,MOD(P$264-1,12)=0),Inputs!$D$54,0)</f>
        <v>0</v>
      </c>
      <c r="Q331" s="69" t="n">
        <f aca="false">IF(AND(Q$265&gt;1,MOD(Q$264-1,12)=0),Inputs!$D$54,0)</f>
        <v>0</v>
      </c>
      <c r="R331" s="69" t="n">
        <f aca="false">IF(AND(R$265&gt;1,MOD(R$264-1,12)=0),Inputs!$D$54,0)</f>
        <v>0</v>
      </c>
      <c r="S331" s="69" t="n">
        <f aca="false">IF(AND(S$265&gt;1,MOD(S$264-1,12)=0),Inputs!$D$54,0)</f>
        <v>0</v>
      </c>
      <c r="T331" s="69" t="n">
        <f aca="false">IF(AND(T$265&gt;1,MOD(T$264-1,12)=0),Inputs!$D$54,0)</f>
        <v>0</v>
      </c>
      <c r="U331" s="69" t="n">
        <f aca="false">IF(AND(U$265&gt;1,MOD(U$264-1,12)=0),Inputs!$D$54,0)</f>
        <v>0</v>
      </c>
      <c r="V331" s="69" t="n">
        <f aca="false">IF(AND(V$265&gt;1,MOD(V$264-1,12)=0),Inputs!$D$54,0)</f>
        <v>0</v>
      </c>
      <c r="W331" s="69" t="n">
        <f aca="false">IF(AND(W$265&gt;1,MOD(W$264-1,12)=0),Inputs!$D$54,0)</f>
        <v>0</v>
      </c>
      <c r="X331" s="69" t="n">
        <f aca="false">IF(AND(X$265&gt;1,MOD(X$264-1,12)=0),Inputs!$D$54,0)</f>
        <v>0</v>
      </c>
      <c r="Y331" s="69" t="n">
        <f aca="false">IF(AND(Y$265&gt;1,MOD(Y$264-1,12)=0),Inputs!$D$54,0)</f>
        <v>0</v>
      </c>
      <c r="Z331" s="69" t="n">
        <f aca="false">IF(AND(Z$265&gt;1,MOD(Z$264-1,12)=0),Inputs!$D$54,0)</f>
        <v>0</v>
      </c>
      <c r="AA331" s="69" t="n">
        <f aca="false">IF(AND(AA$265&gt;1,MOD(AA$264-1,12)=0),Inputs!$D$54,0)</f>
        <v>40000</v>
      </c>
      <c r="AB331" s="69" t="n">
        <f aca="false">IF(AND(AB$265&gt;1,MOD(AB$264-1,12)=0),Inputs!$D$54,0)</f>
        <v>0</v>
      </c>
      <c r="AC331" s="69" t="n">
        <f aca="false">IF(AND(AC$265&gt;1,MOD(AC$264-1,12)=0),Inputs!$D$54,0)</f>
        <v>0</v>
      </c>
      <c r="AD331" s="69" t="n">
        <f aca="false">IF(AND(AD$265&gt;1,MOD(AD$264-1,12)=0),Inputs!$D$54,0)</f>
        <v>0</v>
      </c>
      <c r="AE331" s="69" t="n">
        <f aca="false">IF(AND(AE$265&gt;1,MOD(AE$264-1,12)=0),Inputs!$D$54,0)</f>
        <v>0</v>
      </c>
      <c r="AF331" s="69" t="n">
        <f aca="false">IF(AND(AF$265&gt;1,MOD(AF$264-1,12)=0),Inputs!$D$54,0)</f>
        <v>0</v>
      </c>
      <c r="AG331" s="69" t="n">
        <f aca="false">IF(AND(AG$265&gt;1,MOD(AG$264-1,12)=0),Inputs!$D$54,0)</f>
        <v>0</v>
      </c>
      <c r="AH331" s="69" t="n">
        <f aca="false">IF(AND(AH$265&gt;1,MOD(AH$264-1,12)=0),Inputs!$D$54,0)</f>
        <v>0</v>
      </c>
      <c r="AI331" s="69" t="n">
        <f aca="false">IF(AND(AI$265&gt;1,MOD(AI$264-1,12)=0),Inputs!$D$54,0)</f>
        <v>0</v>
      </c>
      <c r="AJ331" s="69" t="n">
        <f aca="false">IF(AND(AJ$265&gt;1,MOD(AJ$264-1,12)=0),Inputs!$D$54,0)</f>
        <v>0</v>
      </c>
      <c r="AK331" s="69" t="n">
        <f aca="false">IF(AND(AK$265&gt;1,MOD(AK$264-1,12)=0),Inputs!$D$54,0)</f>
        <v>0</v>
      </c>
      <c r="AL331" s="69" t="n">
        <f aca="false">IF(AND(AL$265&gt;1,MOD(AL$264-1,12)=0),Inputs!$D$54,0)</f>
        <v>0</v>
      </c>
    </row>
    <row r="332" customFormat="false" ht="15" hidden="false" customHeight="false" outlineLevel="0" collapsed="false">
      <c r="A332" s="4" t="s">
        <v>84</v>
      </c>
      <c r="C332" s="75" t="n">
        <f aca="false">C327+C328+C329+C330+C331</f>
        <v>4100000</v>
      </c>
      <c r="D332" s="75" t="n">
        <f aca="false">D327+D328+D329+D330+D331</f>
        <v>0</v>
      </c>
      <c r="E332" s="75" t="n">
        <f aca="false">E327+E328+E329+E330+E331</f>
        <v>0</v>
      </c>
      <c r="F332" s="75" t="n">
        <f aca="false">F327+F328+F329+F330+F331</f>
        <v>0</v>
      </c>
      <c r="G332" s="75" t="n">
        <f aca="false">G327+G328+G329+G330+G331</f>
        <v>0</v>
      </c>
      <c r="H332" s="75" t="n">
        <f aca="false">H327+H328+H329+H330+H331</f>
        <v>0</v>
      </c>
      <c r="I332" s="75" t="n">
        <f aca="false">I327+I328+I329+I330+I331</f>
        <v>0</v>
      </c>
      <c r="J332" s="75" t="n">
        <f aca="false">J327+J328+J329+J330+J331</f>
        <v>0</v>
      </c>
      <c r="K332" s="75" t="n">
        <f aca="false">K327+K328+K329+K330+K331</f>
        <v>0</v>
      </c>
      <c r="L332" s="75" t="n">
        <f aca="false">L327+L328+L329+L330+L331</f>
        <v>0</v>
      </c>
      <c r="M332" s="75" t="n">
        <f aca="false">M327+M328+M329+M330+M331</f>
        <v>0</v>
      </c>
      <c r="N332" s="75" t="n">
        <f aca="false">N327+N328+N329+N330+N331</f>
        <v>0</v>
      </c>
      <c r="O332" s="75" t="n">
        <f aca="false">O327+O328+O329+O330+O331</f>
        <v>40000</v>
      </c>
      <c r="P332" s="75" t="n">
        <f aca="false">P327+P328+P329+P330+P331</f>
        <v>0</v>
      </c>
      <c r="Q332" s="75" t="n">
        <f aca="false">Q327+Q328+Q329+Q330+Q331</f>
        <v>0</v>
      </c>
      <c r="R332" s="75" t="n">
        <f aca="false">R327+R328+R329+R330+R331</f>
        <v>0</v>
      </c>
      <c r="S332" s="75" t="n">
        <f aca="false">S327+S328+S329+S330+S331</f>
        <v>0</v>
      </c>
      <c r="T332" s="75" t="n">
        <f aca="false">T327+T328+T329+T330+T331</f>
        <v>0</v>
      </c>
      <c r="U332" s="75" t="n">
        <f aca="false">U327+U328+U329+U330+U331</f>
        <v>0</v>
      </c>
      <c r="V332" s="75" t="n">
        <f aca="false">V327+V328+V329+V330+V331</f>
        <v>0</v>
      </c>
      <c r="W332" s="75" t="n">
        <f aca="false">W327+W328+W329+W330+W331</f>
        <v>0</v>
      </c>
      <c r="X332" s="75" t="n">
        <f aca="false">X327+X328+X329+X330+X331</f>
        <v>0</v>
      </c>
      <c r="Y332" s="75" t="n">
        <f aca="false">Y327+Y328+Y329+Y330+Y331</f>
        <v>0</v>
      </c>
      <c r="Z332" s="75" t="n">
        <f aca="false">Z327+Z328+Z329+Z330+Z331</f>
        <v>0</v>
      </c>
      <c r="AA332" s="75" t="n">
        <f aca="false">AA327+AA328+AA329+AA330+AA331</f>
        <v>40000</v>
      </c>
      <c r="AB332" s="75" t="n">
        <f aca="false">AB327+AB328+AB329+AB330+AB331</f>
        <v>0</v>
      </c>
      <c r="AC332" s="75" t="n">
        <f aca="false">AC327+AC328+AC329+AC330+AC331</f>
        <v>0</v>
      </c>
      <c r="AD332" s="75" t="n">
        <f aca="false">AD327+AD328+AD329+AD330+AD331</f>
        <v>0</v>
      </c>
      <c r="AE332" s="75" t="n">
        <f aca="false">AE327+AE328+AE329+AE330+AE331</f>
        <v>0</v>
      </c>
      <c r="AF332" s="75" t="n">
        <f aca="false">AF327+AF328+AF329+AF330+AF331</f>
        <v>0</v>
      </c>
      <c r="AG332" s="75" t="n">
        <f aca="false">AG327+AG328+AG329+AG330+AG331</f>
        <v>0</v>
      </c>
      <c r="AH332" s="75" t="n">
        <f aca="false">AH327+AH328+AH329+AH330+AH331</f>
        <v>0</v>
      </c>
      <c r="AI332" s="75" t="n">
        <f aca="false">AI327+AI328+AI329+AI330+AI331</f>
        <v>0</v>
      </c>
      <c r="AJ332" s="75" t="n">
        <f aca="false">AJ327+AJ328+AJ329+AJ330+AJ331</f>
        <v>0</v>
      </c>
      <c r="AK332" s="75" t="n">
        <f aca="false">AK327+AK328+AK329+AK330+AK331</f>
        <v>0</v>
      </c>
      <c r="AL332" s="75" t="n">
        <f aca="false">AL327+AL328+AL329+AL330+AL331</f>
        <v>0</v>
      </c>
    </row>
    <row r="333" customFormat="false" ht="15" hidden="false" customHeight="false" outlineLevel="0" collapsed="false">
      <c r="A333" s="6" t="s">
        <v>427</v>
      </c>
      <c r="C333" s="69" t="n">
        <f aca="false">C332</f>
        <v>4100000</v>
      </c>
      <c r="D333" s="69" t="n">
        <f aca="false">C333+D332</f>
        <v>4100000</v>
      </c>
      <c r="E333" s="69" t="n">
        <f aca="false">D333+E332</f>
        <v>4100000</v>
      </c>
      <c r="F333" s="69" t="n">
        <f aca="false">E333+F332</f>
        <v>4100000</v>
      </c>
      <c r="G333" s="69" t="n">
        <f aca="false">F333+G332</f>
        <v>4100000</v>
      </c>
      <c r="H333" s="69" t="n">
        <f aca="false">G333+H332</f>
        <v>4100000</v>
      </c>
      <c r="I333" s="69" t="n">
        <f aca="false">H333+I332</f>
        <v>4100000</v>
      </c>
      <c r="J333" s="69" t="n">
        <f aca="false">I333+J332</f>
        <v>4100000</v>
      </c>
      <c r="K333" s="69" t="n">
        <f aca="false">J333+K332</f>
        <v>4100000</v>
      </c>
      <c r="L333" s="69" t="n">
        <f aca="false">K333+L332</f>
        <v>4100000</v>
      </c>
      <c r="M333" s="69" t="n">
        <f aca="false">L333+M332</f>
        <v>4100000</v>
      </c>
      <c r="N333" s="69" t="n">
        <f aca="false">M333+N332</f>
        <v>4100000</v>
      </c>
      <c r="O333" s="69" t="n">
        <f aca="false">N333+O332</f>
        <v>4140000</v>
      </c>
      <c r="P333" s="69" t="n">
        <f aca="false">O333+P332</f>
        <v>4140000</v>
      </c>
      <c r="Q333" s="69" t="n">
        <f aca="false">P333+Q332</f>
        <v>4140000</v>
      </c>
      <c r="R333" s="69" t="n">
        <f aca="false">Q333+R332</f>
        <v>4140000</v>
      </c>
      <c r="S333" s="69" t="n">
        <f aca="false">R333+S332</f>
        <v>4140000</v>
      </c>
      <c r="T333" s="69" t="n">
        <f aca="false">S333+T332</f>
        <v>4140000</v>
      </c>
      <c r="U333" s="69" t="n">
        <f aca="false">T333+U332</f>
        <v>4140000</v>
      </c>
      <c r="V333" s="69" t="n">
        <f aca="false">U333+V332</f>
        <v>4140000</v>
      </c>
      <c r="W333" s="69" t="n">
        <f aca="false">V333+W332</f>
        <v>4140000</v>
      </c>
      <c r="X333" s="69" t="n">
        <f aca="false">W333+X332</f>
        <v>4140000</v>
      </c>
      <c r="Y333" s="69" t="n">
        <f aca="false">X333+Y332</f>
        <v>4140000</v>
      </c>
      <c r="Z333" s="69" t="n">
        <f aca="false">Y333+Z332</f>
        <v>4140000</v>
      </c>
      <c r="AA333" s="69" t="n">
        <f aca="false">Z333+AA332</f>
        <v>4180000</v>
      </c>
      <c r="AB333" s="69" t="n">
        <f aca="false">AA333+AB332</f>
        <v>4180000</v>
      </c>
      <c r="AC333" s="69" t="n">
        <f aca="false">AB333+AC332</f>
        <v>4180000</v>
      </c>
      <c r="AD333" s="69" t="n">
        <f aca="false">AC333+AD332</f>
        <v>4180000</v>
      </c>
      <c r="AE333" s="69" t="n">
        <f aca="false">AD333+AE332</f>
        <v>4180000</v>
      </c>
      <c r="AF333" s="69" t="n">
        <f aca="false">AE333+AF332</f>
        <v>4180000</v>
      </c>
      <c r="AG333" s="69" t="n">
        <f aca="false">AF333+AG332</f>
        <v>4180000</v>
      </c>
      <c r="AH333" s="69" t="n">
        <f aca="false">AG333+AH332</f>
        <v>4180000</v>
      </c>
      <c r="AI333" s="69" t="n">
        <f aca="false">AH333+AI332</f>
        <v>4180000</v>
      </c>
      <c r="AJ333" s="69" t="n">
        <f aca="false">AI333+AJ332</f>
        <v>4180000</v>
      </c>
      <c r="AK333" s="69" t="n">
        <f aca="false">AJ333+AK332</f>
        <v>4180000</v>
      </c>
      <c r="AL333" s="69" t="n">
        <f aca="false">AK333+AL332</f>
        <v>4180000</v>
      </c>
    </row>
    <row r="334" customFormat="false" ht="15" hidden="false" customHeight="false" outlineLevel="0" collapsed="false">
      <c r="A334" s="6" t="s">
        <v>428</v>
      </c>
      <c r="C334" s="69" t="n">
        <f aca="false">C330</f>
        <v>0</v>
      </c>
      <c r="D334" s="69" t="n">
        <f aca="false">C334+D330</f>
        <v>0</v>
      </c>
      <c r="E334" s="69" t="n">
        <f aca="false">D334+E330</f>
        <v>0</v>
      </c>
      <c r="F334" s="69" t="n">
        <f aca="false">E334+F330</f>
        <v>0</v>
      </c>
      <c r="G334" s="69" t="n">
        <f aca="false">F334+G330</f>
        <v>0</v>
      </c>
      <c r="H334" s="69" t="n">
        <f aca="false">G334+H330</f>
        <v>0</v>
      </c>
      <c r="I334" s="69" t="n">
        <f aca="false">H334+I330</f>
        <v>0</v>
      </c>
      <c r="J334" s="69" t="n">
        <f aca="false">I334+J330</f>
        <v>0</v>
      </c>
      <c r="K334" s="69" t="n">
        <f aca="false">J334+K330</f>
        <v>0</v>
      </c>
      <c r="L334" s="69" t="n">
        <f aca="false">K334+L330</f>
        <v>0</v>
      </c>
      <c r="M334" s="69" t="n">
        <f aca="false">L334+M330</f>
        <v>0</v>
      </c>
      <c r="N334" s="69" t="n">
        <f aca="false">M334+N330</f>
        <v>0</v>
      </c>
      <c r="O334" s="69" t="n">
        <f aca="false">N334+O330</f>
        <v>0</v>
      </c>
      <c r="P334" s="69" t="n">
        <f aca="false">O334+P330</f>
        <v>0</v>
      </c>
      <c r="Q334" s="69" t="n">
        <f aca="false">P334+Q330</f>
        <v>0</v>
      </c>
      <c r="R334" s="69" t="n">
        <f aca="false">Q334+R330</f>
        <v>0</v>
      </c>
      <c r="S334" s="69" t="n">
        <f aca="false">R334+S330</f>
        <v>0</v>
      </c>
      <c r="T334" s="69" t="n">
        <f aca="false">S334+T330</f>
        <v>0</v>
      </c>
      <c r="U334" s="69" t="n">
        <f aca="false">T334+U330</f>
        <v>0</v>
      </c>
      <c r="V334" s="69" t="n">
        <f aca="false">U334+V330</f>
        <v>0</v>
      </c>
      <c r="W334" s="69" t="n">
        <f aca="false">V334+W330</f>
        <v>0</v>
      </c>
      <c r="X334" s="69" t="n">
        <f aca="false">W334+X330</f>
        <v>0</v>
      </c>
      <c r="Y334" s="69" t="n">
        <f aca="false">X334+Y330</f>
        <v>0</v>
      </c>
      <c r="Z334" s="69" t="n">
        <f aca="false">Y334+Z330</f>
        <v>0</v>
      </c>
      <c r="AA334" s="69" t="n">
        <f aca="false">Z334+AA330</f>
        <v>0</v>
      </c>
      <c r="AB334" s="69" t="n">
        <f aca="false">AA334+AB330</f>
        <v>0</v>
      </c>
      <c r="AC334" s="69" t="n">
        <f aca="false">AB334+AC330</f>
        <v>0</v>
      </c>
      <c r="AD334" s="69" t="n">
        <f aca="false">AC334+AD330</f>
        <v>0</v>
      </c>
      <c r="AE334" s="69" t="n">
        <f aca="false">AD334+AE330</f>
        <v>0</v>
      </c>
      <c r="AF334" s="69" t="n">
        <f aca="false">AE334+AF330</f>
        <v>0</v>
      </c>
      <c r="AG334" s="69" t="n">
        <f aca="false">AF334+AG330</f>
        <v>0</v>
      </c>
      <c r="AH334" s="69" t="n">
        <f aca="false">AG334+AH330</f>
        <v>0</v>
      </c>
      <c r="AI334" s="69" t="n">
        <f aca="false">AH334+AI330</f>
        <v>0</v>
      </c>
      <c r="AJ334" s="69" t="n">
        <f aca="false">AI334+AJ330</f>
        <v>0</v>
      </c>
      <c r="AK334" s="69" t="n">
        <f aca="false">AJ334+AK330</f>
        <v>0</v>
      </c>
      <c r="AL334" s="69" t="n">
        <f aca="false">AK334+AL330</f>
        <v>0</v>
      </c>
    </row>
    <row r="335" customFormat="false" ht="15" hidden="false" customHeight="false" outlineLevel="0" collapsed="false">
      <c r="A335" s="6" t="s">
        <v>78</v>
      </c>
      <c r="C335" s="69" t="n">
        <f aca="false">-MIN((C333-C334)/MAX(1,Inputs!$D$80*12),C332-C334)</f>
        <v>-28472.2222222222</v>
      </c>
      <c r="D335" s="69" t="n">
        <f aca="false">-MIN((D333-D334)/MAX(1,Inputs!$D$80*12),C337+D332-D334)</f>
        <v>-28472.2222222222</v>
      </c>
      <c r="E335" s="69" t="n">
        <f aca="false">-MIN((E333-E334)/MAX(1,Inputs!$D$80*12),D337+E332-E334)</f>
        <v>-28472.2222222222</v>
      </c>
      <c r="F335" s="69" t="n">
        <f aca="false">-MIN((F333-F334)/MAX(1,Inputs!$D$80*12),E337+F332-F334)</f>
        <v>-28472.2222222222</v>
      </c>
      <c r="G335" s="69" t="n">
        <f aca="false">-MIN((G333-G334)/MAX(1,Inputs!$D$80*12),F337+G332-G334)</f>
        <v>-28472.2222222222</v>
      </c>
      <c r="H335" s="69" t="n">
        <f aca="false">-MIN((H333-H334)/MAX(1,Inputs!$D$80*12),G337+H332-H334)</f>
        <v>-28472.2222222222</v>
      </c>
      <c r="I335" s="69" t="n">
        <f aca="false">-MIN((I333-I334)/MAX(1,Inputs!$D$80*12),H337+I332-I334)</f>
        <v>-28472.2222222222</v>
      </c>
      <c r="J335" s="69" t="n">
        <f aca="false">-MIN((J333-J334)/MAX(1,Inputs!$D$80*12),I337+J332-J334)</f>
        <v>-28472.2222222222</v>
      </c>
      <c r="K335" s="69" t="n">
        <f aca="false">-MIN((K333-K334)/MAX(1,Inputs!$D$80*12),J337+K332-K334)</f>
        <v>-28472.2222222222</v>
      </c>
      <c r="L335" s="69" t="n">
        <f aca="false">-MIN((L333-L334)/MAX(1,Inputs!$D$80*12),K337+L332-L334)</f>
        <v>-28472.2222222222</v>
      </c>
      <c r="M335" s="69" t="n">
        <f aca="false">-MIN((M333-M334)/MAX(1,Inputs!$D$80*12),L337+M332-M334)</f>
        <v>-28472.2222222222</v>
      </c>
      <c r="N335" s="69" t="n">
        <f aca="false">-MIN((N333-N334)/MAX(1,Inputs!$D$80*12),M337+N332-N334)</f>
        <v>-28472.2222222222</v>
      </c>
      <c r="O335" s="69" t="n">
        <f aca="false">-MIN((O333-O334)/MAX(1,Inputs!$D$80*12),N337+O332-O334)</f>
        <v>-28750</v>
      </c>
      <c r="P335" s="69" t="n">
        <f aca="false">-MIN((P333-P334)/MAX(1,Inputs!$D$80*12),O337+P332-P334)</f>
        <v>-28750</v>
      </c>
      <c r="Q335" s="69" t="n">
        <f aca="false">-MIN((Q333-Q334)/MAX(1,Inputs!$D$80*12),P337+Q332-Q334)</f>
        <v>-28750</v>
      </c>
      <c r="R335" s="69" t="n">
        <f aca="false">-MIN((R333-R334)/MAX(1,Inputs!$D$80*12),Q337+R332-R334)</f>
        <v>-28750</v>
      </c>
      <c r="S335" s="69" t="n">
        <f aca="false">-MIN((S333-S334)/MAX(1,Inputs!$D$80*12),R337+S332-S334)</f>
        <v>-28750</v>
      </c>
      <c r="T335" s="69" t="n">
        <f aca="false">-MIN((T333-T334)/MAX(1,Inputs!$D$80*12),S337+T332-T334)</f>
        <v>-28750</v>
      </c>
      <c r="U335" s="69" t="n">
        <f aca="false">-MIN((U333-U334)/MAX(1,Inputs!$D$80*12),T337+U332-U334)</f>
        <v>-28750</v>
      </c>
      <c r="V335" s="69" t="n">
        <f aca="false">-MIN((V333-V334)/MAX(1,Inputs!$D$80*12),U337+V332-V334)</f>
        <v>-28750</v>
      </c>
      <c r="W335" s="69" t="n">
        <f aca="false">-MIN((W333-W334)/MAX(1,Inputs!$D$80*12),V337+W332-W334)</f>
        <v>-28750</v>
      </c>
      <c r="X335" s="69" t="n">
        <f aca="false">-MIN((X333-X334)/MAX(1,Inputs!$D$80*12),W337+X332-X334)</f>
        <v>-28750</v>
      </c>
      <c r="Y335" s="69" t="n">
        <f aca="false">-MIN((Y333-Y334)/MAX(1,Inputs!$D$80*12),X337+Y332-Y334)</f>
        <v>-28750</v>
      </c>
      <c r="Z335" s="69" t="n">
        <f aca="false">-MIN((Z333-Z334)/MAX(1,Inputs!$D$80*12),Y337+Z332-Z334)</f>
        <v>-28750</v>
      </c>
      <c r="AA335" s="69" t="n">
        <f aca="false">-MIN((AA333-AA334)/MAX(1,Inputs!$D$80*12),Z337+AA332-AA334)</f>
        <v>-29027.7777777778</v>
      </c>
      <c r="AB335" s="69" t="n">
        <f aca="false">-MIN((AB333-AB334)/MAX(1,Inputs!$D$80*12),AA337+AB332-AB334)</f>
        <v>-29027.7777777778</v>
      </c>
      <c r="AC335" s="69" t="n">
        <f aca="false">-MIN((AC333-AC334)/MAX(1,Inputs!$D$80*12),AB337+AC332-AC334)</f>
        <v>-29027.7777777778</v>
      </c>
      <c r="AD335" s="69" t="n">
        <f aca="false">-MIN((AD333-AD334)/MAX(1,Inputs!$D$80*12),AC337+AD332-AD334)</f>
        <v>-29027.7777777778</v>
      </c>
      <c r="AE335" s="69" t="n">
        <f aca="false">-MIN((AE333-AE334)/MAX(1,Inputs!$D$80*12),AD337+AE332-AE334)</f>
        <v>-29027.7777777778</v>
      </c>
      <c r="AF335" s="69" t="n">
        <f aca="false">-MIN((AF333-AF334)/MAX(1,Inputs!$D$80*12),AE337+AF332-AF334)</f>
        <v>-29027.7777777778</v>
      </c>
      <c r="AG335" s="69" t="n">
        <f aca="false">-MIN((AG333-AG334)/MAX(1,Inputs!$D$80*12),AF337+AG332-AG334)</f>
        <v>-29027.7777777778</v>
      </c>
      <c r="AH335" s="69" t="n">
        <f aca="false">-MIN((AH333-AH334)/MAX(1,Inputs!$D$80*12),AG337+AH332-AH334)</f>
        <v>-29027.7777777778</v>
      </c>
      <c r="AI335" s="69" t="n">
        <f aca="false">-MIN((AI333-AI334)/MAX(1,Inputs!$D$80*12),AH337+AI332-AI334)</f>
        <v>-29027.7777777778</v>
      </c>
      <c r="AJ335" s="69" t="n">
        <f aca="false">-MIN((AJ333-AJ334)/MAX(1,Inputs!$D$80*12),AI337+AJ332-AJ334)</f>
        <v>-29027.7777777778</v>
      </c>
      <c r="AK335" s="69" t="n">
        <f aca="false">-MIN((AK333-AK334)/MAX(1,Inputs!$D$80*12),AJ337+AK332-AK334)</f>
        <v>-29027.7777777778</v>
      </c>
      <c r="AL335" s="69" t="n">
        <f aca="false">-MIN((AL333-AL334)/MAX(1,Inputs!$D$80*12),AK337+AL332-AL334)</f>
        <v>-29027.7777777778</v>
      </c>
    </row>
    <row r="336" customFormat="false" ht="15" hidden="false" customHeight="false" outlineLevel="0" collapsed="false">
      <c r="A336" s="6" t="s">
        <v>429</v>
      </c>
      <c r="C336" s="69" t="n">
        <f aca="false">C335</f>
        <v>-28472.2222222222</v>
      </c>
      <c r="D336" s="69" t="n">
        <f aca="false">C336+D335</f>
        <v>-56944.4444444444</v>
      </c>
      <c r="E336" s="69" t="n">
        <f aca="false">D336+E335</f>
        <v>-85416.6666666667</v>
      </c>
      <c r="F336" s="69" t="n">
        <f aca="false">E336+F335</f>
        <v>-113888.888888889</v>
      </c>
      <c r="G336" s="69" t="n">
        <f aca="false">F336+G335</f>
        <v>-142361.111111111</v>
      </c>
      <c r="H336" s="69" t="n">
        <f aca="false">G336+H335</f>
        <v>-170833.333333333</v>
      </c>
      <c r="I336" s="69" t="n">
        <f aca="false">H336+I335</f>
        <v>-199305.555555556</v>
      </c>
      <c r="J336" s="69" t="n">
        <f aca="false">I336+J335</f>
        <v>-227777.777777778</v>
      </c>
      <c r="K336" s="69" t="n">
        <f aca="false">J336+K335</f>
        <v>-256250</v>
      </c>
      <c r="L336" s="69" t="n">
        <f aca="false">K336+L335</f>
        <v>-284722.222222222</v>
      </c>
      <c r="M336" s="69" t="n">
        <f aca="false">L336+M335</f>
        <v>-313194.444444445</v>
      </c>
      <c r="N336" s="69" t="n">
        <f aca="false">M336+N335</f>
        <v>-341666.666666667</v>
      </c>
      <c r="O336" s="69" t="n">
        <f aca="false">N336+O335</f>
        <v>-370416.666666667</v>
      </c>
      <c r="P336" s="69" t="n">
        <f aca="false">O336+P335</f>
        <v>-399166.666666667</v>
      </c>
      <c r="Q336" s="69" t="n">
        <f aca="false">P336+Q335</f>
        <v>-427916.666666667</v>
      </c>
      <c r="R336" s="69" t="n">
        <f aca="false">Q336+R335</f>
        <v>-456666.666666667</v>
      </c>
      <c r="S336" s="69" t="n">
        <f aca="false">R336+S335</f>
        <v>-485416.666666667</v>
      </c>
      <c r="T336" s="69" t="n">
        <f aca="false">S336+T335</f>
        <v>-514166.666666667</v>
      </c>
      <c r="U336" s="69" t="n">
        <f aca="false">T336+U335</f>
        <v>-542916.666666667</v>
      </c>
      <c r="V336" s="69" t="n">
        <f aca="false">U336+V335</f>
        <v>-571666.666666667</v>
      </c>
      <c r="W336" s="69" t="n">
        <f aca="false">V336+W335</f>
        <v>-600416.666666667</v>
      </c>
      <c r="X336" s="69" t="n">
        <f aca="false">W336+X335</f>
        <v>-629166.666666667</v>
      </c>
      <c r="Y336" s="69" t="n">
        <f aca="false">X336+Y335</f>
        <v>-657916.666666667</v>
      </c>
      <c r="Z336" s="69" t="n">
        <f aca="false">Y336+Z335</f>
        <v>-686666.666666667</v>
      </c>
      <c r="AA336" s="69" t="n">
        <f aca="false">Z336+AA335</f>
        <v>-715694.444444445</v>
      </c>
      <c r="AB336" s="69" t="n">
        <f aca="false">AA336+AB335</f>
        <v>-744722.222222222</v>
      </c>
      <c r="AC336" s="69" t="n">
        <f aca="false">AB336+AC335</f>
        <v>-773750</v>
      </c>
      <c r="AD336" s="69" t="n">
        <f aca="false">AC336+AD335</f>
        <v>-802777.777777778</v>
      </c>
      <c r="AE336" s="69" t="n">
        <f aca="false">AD336+AE335</f>
        <v>-831805.555555556</v>
      </c>
      <c r="AF336" s="69" t="n">
        <f aca="false">AE336+AF335</f>
        <v>-860833.333333333</v>
      </c>
      <c r="AG336" s="69" t="n">
        <f aca="false">AF336+AG335</f>
        <v>-889861.111111111</v>
      </c>
      <c r="AH336" s="69" t="n">
        <f aca="false">AG336+AH335</f>
        <v>-918888.888888889</v>
      </c>
      <c r="AI336" s="69" t="n">
        <f aca="false">AH336+AI335</f>
        <v>-947916.666666667</v>
      </c>
      <c r="AJ336" s="69" t="n">
        <f aca="false">AI336+AJ335</f>
        <v>-976944.444444444</v>
      </c>
      <c r="AK336" s="69" t="n">
        <f aca="false">AJ336+AK335</f>
        <v>-1005972.22222222</v>
      </c>
      <c r="AL336" s="69" t="n">
        <f aca="false">AK336+AL335</f>
        <v>-1035000</v>
      </c>
    </row>
    <row r="337" customFormat="false" ht="15" hidden="false" customHeight="false" outlineLevel="0" collapsed="false">
      <c r="A337" s="4" t="s">
        <v>92</v>
      </c>
      <c r="C337" s="75" t="n">
        <f aca="false">C333+C336</f>
        <v>4071527.77777778</v>
      </c>
      <c r="D337" s="75" t="n">
        <f aca="false">D333+D336</f>
        <v>4043055.55555556</v>
      </c>
      <c r="E337" s="75" t="n">
        <f aca="false">E333+E336</f>
        <v>4014583.33333333</v>
      </c>
      <c r="F337" s="75" t="n">
        <f aca="false">F333+F336</f>
        <v>3986111.11111111</v>
      </c>
      <c r="G337" s="75" t="n">
        <f aca="false">G333+G336</f>
        <v>3957638.88888889</v>
      </c>
      <c r="H337" s="75" t="n">
        <f aca="false">H333+H336</f>
        <v>3929166.66666667</v>
      </c>
      <c r="I337" s="75" t="n">
        <f aca="false">I333+I336</f>
        <v>3900694.44444444</v>
      </c>
      <c r="J337" s="75" t="n">
        <f aca="false">J333+J336</f>
        <v>3872222.22222222</v>
      </c>
      <c r="K337" s="75" t="n">
        <f aca="false">K333+K336</f>
        <v>3843750</v>
      </c>
      <c r="L337" s="75" t="n">
        <f aca="false">L333+L336</f>
        <v>3815277.77777778</v>
      </c>
      <c r="M337" s="75" t="n">
        <f aca="false">M333+M336</f>
        <v>3786805.55555556</v>
      </c>
      <c r="N337" s="75" t="n">
        <f aca="false">N333+N336</f>
        <v>3758333.33333333</v>
      </c>
      <c r="O337" s="75" t="n">
        <f aca="false">O333+O336</f>
        <v>3769583.33333333</v>
      </c>
      <c r="P337" s="75" t="n">
        <f aca="false">P333+P336</f>
        <v>3740833.33333333</v>
      </c>
      <c r="Q337" s="75" t="n">
        <f aca="false">Q333+Q336</f>
        <v>3712083.33333333</v>
      </c>
      <c r="R337" s="75" t="n">
        <f aca="false">R333+R336</f>
        <v>3683333.33333333</v>
      </c>
      <c r="S337" s="75" t="n">
        <f aca="false">S333+S336</f>
        <v>3654583.33333333</v>
      </c>
      <c r="T337" s="75" t="n">
        <f aca="false">T333+T336</f>
        <v>3625833.33333333</v>
      </c>
      <c r="U337" s="75" t="n">
        <f aca="false">U333+U336</f>
        <v>3597083.33333333</v>
      </c>
      <c r="V337" s="75" t="n">
        <f aca="false">V333+V336</f>
        <v>3568333.33333333</v>
      </c>
      <c r="W337" s="75" t="n">
        <f aca="false">W333+W336</f>
        <v>3539583.33333333</v>
      </c>
      <c r="X337" s="75" t="n">
        <f aca="false">X333+X336</f>
        <v>3510833.33333333</v>
      </c>
      <c r="Y337" s="75" t="n">
        <f aca="false">Y333+Y336</f>
        <v>3482083.33333333</v>
      </c>
      <c r="Z337" s="75" t="n">
        <f aca="false">Z333+Z336</f>
        <v>3453333.33333333</v>
      </c>
      <c r="AA337" s="75" t="n">
        <f aca="false">AA333+AA336</f>
        <v>3464305.55555556</v>
      </c>
      <c r="AB337" s="75" t="n">
        <f aca="false">AB333+AB336</f>
        <v>3435277.77777778</v>
      </c>
      <c r="AC337" s="75" t="n">
        <f aca="false">AC333+AC336</f>
        <v>3406250</v>
      </c>
      <c r="AD337" s="75" t="n">
        <f aca="false">AD333+AD336</f>
        <v>3377222.22222222</v>
      </c>
      <c r="AE337" s="75" t="n">
        <f aca="false">AE333+AE336</f>
        <v>3348194.44444444</v>
      </c>
      <c r="AF337" s="75" t="n">
        <f aca="false">AF333+AF336</f>
        <v>3319166.66666667</v>
      </c>
      <c r="AG337" s="75" t="n">
        <f aca="false">AG333+AG336</f>
        <v>3290138.88888889</v>
      </c>
      <c r="AH337" s="75" t="n">
        <f aca="false">AH333+AH336</f>
        <v>3261111.11111111</v>
      </c>
      <c r="AI337" s="75" t="n">
        <f aca="false">AI333+AI336</f>
        <v>3232083.33333333</v>
      </c>
      <c r="AJ337" s="75" t="n">
        <f aca="false">AJ333+AJ336</f>
        <v>3203055.55555556</v>
      </c>
      <c r="AK337" s="75" t="n">
        <f aca="false">AK333+AK336</f>
        <v>3174027.77777778</v>
      </c>
      <c r="AL337" s="75" t="n">
        <f aca="false">AL333+AL336</f>
        <v>3145000</v>
      </c>
    </row>
    <row r="339" customFormat="false" ht="15.75" hidden="false" customHeight="true" outlineLevel="0" collapsed="false">
      <c r="A339" s="7" t="s">
        <v>430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customFormat="false" ht="15" hidden="false" customHeight="false" outlineLevel="0" collapsed="false">
      <c r="A340" s="6" t="s">
        <v>431</v>
      </c>
      <c r="C340" s="69" t="n">
        <f aca="false">0</f>
        <v>0</v>
      </c>
      <c r="D340" s="69" t="n">
        <f aca="false">C343</f>
        <v>3000000</v>
      </c>
      <c r="E340" s="69" t="n">
        <f aca="false">D343</f>
        <v>2975000</v>
      </c>
      <c r="F340" s="69" t="n">
        <f aca="false">E343</f>
        <v>2950000</v>
      </c>
      <c r="G340" s="69" t="n">
        <f aca="false">F343</f>
        <v>2925000</v>
      </c>
      <c r="H340" s="69" t="n">
        <f aca="false">G343</f>
        <v>2900000</v>
      </c>
      <c r="I340" s="69" t="n">
        <f aca="false">H343</f>
        <v>2875000</v>
      </c>
      <c r="J340" s="69" t="n">
        <f aca="false">I343</f>
        <v>2850000</v>
      </c>
      <c r="K340" s="69" t="n">
        <f aca="false">J343</f>
        <v>2825000</v>
      </c>
      <c r="L340" s="69" t="n">
        <f aca="false">K343</f>
        <v>2800000</v>
      </c>
      <c r="M340" s="69" t="n">
        <f aca="false">L343</f>
        <v>2775000</v>
      </c>
      <c r="N340" s="69" t="n">
        <f aca="false">M343</f>
        <v>2750000</v>
      </c>
      <c r="O340" s="69" t="n">
        <f aca="false">N343</f>
        <v>2725000</v>
      </c>
      <c r="P340" s="69" t="n">
        <f aca="false">O343</f>
        <v>2700000</v>
      </c>
      <c r="Q340" s="69" t="n">
        <f aca="false">P343</f>
        <v>2675000</v>
      </c>
      <c r="R340" s="69" t="n">
        <f aca="false">Q343</f>
        <v>2650000</v>
      </c>
      <c r="S340" s="69" t="n">
        <f aca="false">R343</f>
        <v>2625000</v>
      </c>
      <c r="T340" s="69" t="n">
        <f aca="false">S343</f>
        <v>2600000</v>
      </c>
      <c r="U340" s="69" t="n">
        <f aca="false">T343</f>
        <v>2575000</v>
      </c>
      <c r="V340" s="69" t="n">
        <f aca="false">U343</f>
        <v>2550000</v>
      </c>
      <c r="W340" s="69" t="n">
        <f aca="false">V343</f>
        <v>2525000</v>
      </c>
      <c r="X340" s="69" t="n">
        <f aca="false">W343</f>
        <v>2500000</v>
      </c>
      <c r="Y340" s="69" t="n">
        <f aca="false">X343</f>
        <v>2475000</v>
      </c>
      <c r="Z340" s="69" t="n">
        <f aca="false">Y343</f>
        <v>2450000</v>
      </c>
      <c r="AA340" s="69" t="n">
        <f aca="false">Z343</f>
        <v>2425000</v>
      </c>
      <c r="AB340" s="69" t="n">
        <f aca="false">AA343</f>
        <v>2400000</v>
      </c>
      <c r="AC340" s="69" t="n">
        <f aca="false">AB343</f>
        <v>2375000</v>
      </c>
      <c r="AD340" s="69" t="n">
        <f aca="false">AC343</f>
        <v>2350000</v>
      </c>
      <c r="AE340" s="69" t="n">
        <f aca="false">AD343</f>
        <v>2325000</v>
      </c>
      <c r="AF340" s="69" t="n">
        <f aca="false">AE343</f>
        <v>2300000</v>
      </c>
      <c r="AG340" s="69" t="n">
        <f aca="false">AF343</f>
        <v>2275000</v>
      </c>
      <c r="AH340" s="69" t="n">
        <f aca="false">AG343</f>
        <v>2250000</v>
      </c>
      <c r="AI340" s="69" t="n">
        <f aca="false">AH343</f>
        <v>2225000</v>
      </c>
      <c r="AJ340" s="69" t="n">
        <f aca="false">AI343</f>
        <v>2200000</v>
      </c>
      <c r="AK340" s="69" t="n">
        <f aca="false">AJ343</f>
        <v>2175000</v>
      </c>
      <c r="AL340" s="69" t="n">
        <f aca="false">AK343</f>
        <v>2150000</v>
      </c>
    </row>
    <row r="341" customFormat="false" ht="15" hidden="false" customHeight="false" outlineLevel="0" collapsed="false">
      <c r="A341" s="6" t="s">
        <v>85</v>
      </c>
      <c r="C341" s="69" t="n">
        <f aca="false">IF(C$264=1,Inputs!$D$70,0)</f>
        <v>3000000</v>
      </c>
      <c r="D341" s="69" t="n">
        <f aca="false">IF(D$264=1,Inputs!$D$70,0)</f>
        <v>0</v>
      </c>
      <c r="E341" s="69" t="n">
        <f aca="false">IF(E$264=1,Inputs!$D$70,0)</f>
        <v>0</v>
      </c>
      <c r="F341" s="69" t="n">
        <f aca="false">IF(F$264=1,Inputs!$D$70,0)</f>
        <v>0</v>
      </c>
      <c r="G341" s="69" t="n">
        <f aca="false">IF(G$264=1,Inputs!$D$70,0)</f>
        <v>0</v>
      </c>
      <c r="H341" s="69" t="n">
        <f aca="false">IF(H$264=1,Inputs!$D$70,0)</f>
        <v>0</v>
      </c>
      <c r="I341" s="69" t="n">
        <f aca="false">IF(I$264=1,Inputs!$D$70,0)</f>
        <v>0</v>
      </c>
      <c r="J341" s="69" t="n">
        <f aca="false">IF(J$264=1,Inputs!$D$70,0)</f>
        <v>0</v>
      </c>
      <c r="K341" s="69" t="n">
        <f aca="false">IF(K$264=1,Inputs!$D$70,0)</f>
        <v>0</v>
      </c>
      <c r="L341" s="69" t="n">
        <f aca="false">IF(L$264=1,Inputs!$D$70,0)</f>
        <v>0</v>
      </c>
      <c r="M341" s="69" t="n">
        <f aca="false">IF(M$264=1,Inputs!$D$70,0)</f>
        <v>0</v>
      </c>
      <c r="N341" s="69" t="n">
        <f aca="false">IF(N$264=1,Inputs!$D$70,0)</f>
        <v>0</v>
      </c>
      <c r="O341" s="69" t="n">
        <f aca="false">IF(O$264=1,Inputs!$D$70,0)</f>
        <v>0</v>
      </c>
      <c r="P341" s="69" t="n">
        <f aca="false">IF(P$264=1,Inputs!$D$70,0)</f>
        <v>0</v>
      </c>
      <c r="Q341" s="69" t="n">
        <f aca="false">IF(Q$264=1,Inputs!$D$70,0)</f>
        <v>0</v>
      </c>
      <c r="R341" s="69" t="n">
        <f aca="false">IF(R$264=1,Inputs!$D$70,0)</f>
        <v>0</v>
      </c>
      <c r="S341" s="69" t="n">
        <f aca="false">IF(S$264=1,Inputs!$D$70,0)</f>
        <v>0</v>
      </c>
      <c r="T341" s="69" t="n">
        <f aca="false">IF(T$264=1,Inputs!$D$70,0)</f>
        <v>0</v>
      </c>
      <c r="U341" s="69" t="n">
        <f aca="false">IF(U$264=1,Inputs!$D$70,0)</f>
        <v>0</v>
      </c>
      <c r="V341" s="69" t="n">
        <f aca="false">IF(V$264=1,Inputs!$D$70,0)</f>
        <v>0</v>
      </c>
      <c r="W341" s="69" t="n">
        <f aca="false">IF(W$264=1,Inputs!$D$70,0)</f>
        <v>0</v>
      </c>
      <c r="X341" s="69" t="n">
        <f aca="false">IF(X$264=1,Inputs!$D$70,0)</f>
        <v>0</v>
      </c>
      <c r="Y341" s="69" t="n">
        <f aca="false">IF(Y$264=1,Inputs!$D$70,0)</f>
        <v>0</v>
      </c>
      <c r="Z341" s="69" t="n">
        <f aca="false">IF(Z$264=1,Inputs!$D$70,0)</f>
        <v>0</v>
      </c>
      <c r="AA341" s="69" t="n">
        <f aca="false">IF(AA$264=1,Inputs!$D$70,0)</f>
        <v>0</v>
      </c>
      <c r="AB341" s="69" t="n">
        <f aca="false">IF(AB$264=1,Inputs!$D$70,0)</f>
        <v>0</v>
      </c>
      <c r="AC341" s="69" t="n">
        <f aca="false">IF(AC$264=1,Inputs!$D$70,0)</f>
        <v>0</v>
      </c>
      <c r="AD341" s="69" t="n">
        <f aca="false">IF(AD$264=1,Inputs!$D$70,0)</f>
        <v>0</v>
      </c>
      <c r="AE341" s="69" t="n">
        <f aca="false">IF(AE$264=1,Inputs!$D$70,0)</f>
        <v>0</v>
      </c>
      <c r="AF341" s="69" t="n">
        <f aca="false">IF(AF$264=1,Inputs!$D$70,0)</f>
        <v>0</v>
      </c>
      <c r="AG341" s="69" t="n">
        <f aca="false">IF(AG$264=1,Inputs!$D$70,0)</f>
        <v>0</v>
      </c>
      <c r="AH341" s="69" t="n">
        <f aca="false">IF(AH$264=1,Inputs!$D$70,0)</f>
        <v>0</v>
      </c>
      <c r="AI341" s="69" t="n">
        <f aca="false">IF(AI$264=1,Inputs!$D$70,0)</f>
        <v>0</v>
      </c>
      <c r="AJ341" s="69" t="n">
        <f aca="false">IF(AJ$264=1,Inputs!$D$70,0)</f>
        <v>0</v>
      </c>
      <c r="AK341" s="69" t="n">
        <f aca="false">IF(AK$264=1,Inputs!$D$70,0)</f>
        <v>0</v>
      </c>
      <c r="AL341" s="69" t="n">
        <f aca="false">IF(AL$264=1,Inputs!$D$70,0)</f>
        <v>0</v>
      </c>
    </row>
    <row r="342" customFormat="false" ht="15" hidden="false" customHeight="false" outlineLevel="0" collapsed="false">
      <c r="A342" s="6" t="s">
        <v>86</v>
      </c>
      <c r="C342" s="69" t="n">
        <f aca="false">-MIN(C340,Inputs!$D$70/MAX(1,Inputs!$D$72*12))</f>
        <v>-0</v>
      </c>
      <c r="D342" s="69" t="n">
        <f aca="false">-MIN(D340,Inputs!$D$70/MAX(1,Inputs!$D$72*12))</f>
        <v>-25000</v>
      </c>
      <c r="E342" s="69" t="n">
        <f aca="false">-MIN(E340,Inputs!$D$70/MAX(1,Inputs!$D$72*12))</f>
        <v>-25000</v>
      </c>
      <c r="F342" s="69" t="n">
        <f aca="false">-MIN(F340,Inputs!$D$70/MAX(1,Inputs!$D$72*12))</f>
        <v>-25000</v>
      </c>
      <c r="G342" s="69" t="n">
        <f aca="false">-MIN(G340,Inputs!$D$70/MAX(1,Inputs!$D$72*12))</f>
        <v>-25000</v>
      </c>
      <c r="H342" s="69" t="n">
        <f aca="false">-MIN(H340,Inputs!$D$70/MAX(1,Inputs!$D$72*12))</f>
        <v>-25000</v>
      </c>
      <c r="I342" s="69" t="n">
        <f aca="false">-MIN(I340,Inputs!$D$70/MAX(1,Inputs!$D$72*12))</f>
        <v>-25000</v>
      </c>
      <c r="J342" s="69" t="n">
        <f aca="false">-MIN(J340,Inputs!$D$70/MAX(1,Inputs!$D$72*12))</f>
        <v>-25000</v>
      </c>
      <c r="K342" s="69" t="n">
        <f aca="false">-MIN(K340,Inputs!$D$70/MAX(1,Inputs!$D$72*12))</f>
        <v>-25000</v>
      </c>
      <c r="L342" s="69" t="n">
        <f aca="false">-MIN(L340,Inputs!$D$70/MAX(1,Inputs!$D$72*12))</f>
        <v>-25000</v>
      </c>
      <c r="M342" s="69" t="n">
        <f aca="false">-MIN(M340,Inputs!$D$70/MAX(1,Inputs!$D$72*12))</f>
        <v>-25000</v>
      </c>
      <c r="N342" s="69" t="n">
        <f aca="false">-MIN(N340,Inputs!$D$70/MAX(1,Inputs!$D$72*12))</f>
        <v>-25000</v>
      </c>
      <c r="O342" s="69" t="n">
        <f aca="false">-MIN(O340,Inputs!$D$70/MAX(1,Inputs!$D$72*12))</f>
        <v>-25000</v>
      </c>
      <c r="P342" s="69" t="n">
        <f aca="false">-MIN(P340,Inputs!$D$70/MAX(1,Inputs!$D$72*12))</f>
        <v>-25000</v>
      </c>
      <c r="Q342" s="69" t="n">
        <f aca="false">-MIN(Q340,Inputs!$D$70/MAX(1,Inputs!$D$72*12))</f>
        <v>-25000</v>
      </c>
      <c r="R342" s="69" t="n">
        <f aca="false">-MIN(R340,Inputs!$D$70/MAX(1,Inputs!$D$72*12))</f>
        <v>-25000</v>
      </c>
      <c r="S342" s="69" t="n">
        <f aca="false">-MIN(S340,Inputs!$D$70/MAX(1,Inputs!$D$72*12))</f>
        <v>-25000</v>
      </c>
      <c r="T342" s="69" t="n">
        <f aca="false">-MIN(T340,Inputs!$D$70/MAX(1,Inputs!$D$72*12))</f>
        <v>-25000</v>
      </c>
      <c r="U342" s="69" t="n">
        <f aca="false">-MIN(U340,Inputs!$D$70/MAX(1,Inputs!$D$72*12))</f>
        <v>-25000</v>
      </c>
      <c r="V342" s="69" t="n">
        <f aca="false">-MIN(V340,Inputs!$D$70/MAX(1,Inputs!$D$72*12))</f>
        <v>-25000</v>
      </c>
      <c r="W342" s="69" t="n">
        <f aca="false">-MIN(W340,Inputs!$D$70/MAX(1,Inputs!$D$72*12))</f>
        <v>-25000</v>
      </c>
      <c r="X342" s="69" t="n">
        <f aca="false">-MIN(X340,Inputs!$D$70/MAX(1,Inputs!$D$72*12))</f>
        <v>-25000</v>
      </c>
      <c r="Y342" s="69" t="n">
        <f aca="false">-MIN(Y340,Inputs!$D$70/MAX(1,Inputs!$D$72*12))</f>
        <v>-25000</v>
      </c>
      <c r="Z342" s="69" t="n">
        <f aca="false">-MIN(Z340,Inputs!$D$70/MAX(1,Inputs!$D$72*12))</f>
        <v>-25000</v>
      </c>
      <c r="AA342" s="69" t="n">
        <f aca="false">-MIN(AA340,Inputs!$D$70/MAX(1,Inputs!$D$72*12))</f>
        <v>-25000</v>
      </c>
      <c r="AB342" s="69" t="n">
        <f aca="false">-MIN(AB340,Inputs!$D$70/MAX(1,Inputs!$D$72*12))</f>
        <v>-25000</v>
      </c>
      <c r="AC342" s="69" t="n">
        <f aca="false">-MIN(AC340,Inputs!$D$70/MAX(1,Inputs!$D$72*12))</f>
        <v>-25000</v>
      </c>
      <c r="AD342" s="69" t="n">
        <f aca="false">-MIN(AD340,Inputs!$D$70/MAX(1,Inputs!$D$72*12))</f>
        <v>-25000</v>
      </c>
      <c r="AE342" s="69" t="n">
        <f aca="false">-MIN(AE340,Inputs!$D$70/MAX(1,Inputs!$D$72*12))</f>
        <v>-25000</v>
      </c>
      <c r="AF342" s="69" t="n">
        <f aca="false">-MIN(AF340,Inputs!$D$70/MAX(1,Inputs!$D$72*12))</f>
        <v>-25000</v>
      </c>
      <c r="AG342" s="69" t="n">
        <f aca="false">-MIN(AG340,Inputs!$D$70/MAX(1,Inputs!$D$72*12))</f>
        <v>-25000</v>
      </c>
      <c r="AH342" s="69" t="n">
        <f aca="false">-MIN(AH340,Inputs!$D$70/MAX(1,Inputs!$D$72*12))</f>
        <v>-25000</v>
      </c>
      <c r="AI342" s="69" t="n">
        <f aca="false">-MIN(AI340,Inputs!$D$70/MAX(1,Inputs!$D$72*12))</f>
        <v>-25000</v>
      </c>
      <c r="AJ342" s="69" t="n">
        <f aca="false">-MIN(AJ340,Inputs!$D$70/MAX(1,Inputs!$D$72*12))</f>
        <v>-25000</v>
      </c>
      <c r="AK342" s="69" t="n">
        <f aca="false">-MIN(AK340,Inputs!$D$70/MAX(1,Inputs!$D$72*12))</f>
        <v>-25000</v>
      </c>
      <c r="AL342" s="69" t="n">
        <f aca="false">-MIN(AL340,Inputs!$D$70/MAX(1,Inputs!$D$72*12))</f>
        <v>-25000</v>
      </c>
    </row>
    <row r="343" customFormat="false" ht="15" hidden="false" customHeight="false" outlineLevel="0" collapsed="false">
      <c r="A343" s="4" t="s">
        <v>432</v>
      </c>
      <c r="C343" s="75" t="n">
        <f aca="false">C340+C341+C342</f>
        <v>3000000</v>
      </c>
      <c r="D343" s="75" t="n">
        <f aca="false">D340+D341+D342</f>
        <v>2975000</v>
      </c>
      <c r="E343" s="75" t="n">
        <f aca="false">E340+E341+E342</f>
        <v>2950000</v>
      </c>
      <c r="F343" s="75" t="n">
        <f aca="false">F340+F341+F342</f>
        <v>2925000</v>
      </c>
      <c r="G343" s="75" t="n">
        <f aca="false">G340+G341+G342</f>
        <v>2900000</v>
      </c>
      <c r="H343" s="75" t="n">
        <f aca="false">H340+H341+H342</f>
        <v>2875000</v>
      </c>
      <c r="I343" s="75" t="n">
        <f aca="false">I340+I341+I342</f>
        <v>2850000</v>
      </c>
      <c r="J343" s="75" t="n">
        <f aca="false">J340+J341+J342</f>
        <v>2825000</v>
      </c>
      <c r="K343" s="75" t="n">
        <f aca="false">K340+K341+K342</f>
        <v>2800000</v>
      </c>
      <c r="L343" s="75" t="n">
        <f aca="false">L340+L341+L342</f>
        <v>2775000</v>
      </c>
      <c r="M343" s="75" t="n">
        <f aca="false">M340+M341+M342</f>
        <v>2750000</v>
      </c>
      <c r="N343" s="75" t="n">
        <f aca="false">N340+N341+N342</f>
        <v>2725000</v>
      </c>
      <c r="O343" s="75" t="n">
        <f aca="false">O340+O341+O342</f>
        <v>2700000</v>
      </c>
      <c r="P343" s="75" t="n">
        <f aca="false">P340+P341+P342</f>
        <v>2675000</v>
      </c>
      <c r="Q343" s="75" t="n">
        <f aca="false">Q340+Q341+Q342</f>
        <v>2650000</v>
      </c>
      <c r="R343" s="75" t="n">
        <f aca="false">R340+R341+R342</f>
        <v>2625000</v>
      </c>
      <c r="S343" s="75" t="n">
        <f aca="false">S340+S341+S342</f>
        <v>2600000</v>
      </c>
      <c r="T343" s="75" t="n">
        <f aca="false">T340+T341+T342</f>
        <v>2575000</v>
      </c>
      <c r="U343" s="75" t="n">
        <f aca="false">U340+U341+U342</f>
        <v>2550000</v>
      </c>
      <c r="V343" s="75" t="n">
        <f aca="false">V340+V341+V342</f>
        <v>2525000</v>
      </c>
      <c r="W343" s="75" t="n">
        <f aca="false">W340+W341+W342</f>
        <v>2500000</v>
      </c>
      <c r="X343" s="75" t="n">
        <f aca="false">X340+X341+X342</f>
        <v>2475000</v>
      </c>
      <c r="Y343" s="75" t="n">
        <f aca="false">Y340+Y341+Y342</f>
        <v>2450000</v>
      </c>
      <c r="Z343" s="75" t="n">
        <f aca="false">Z340+Z341+Z342</f>
        <v>2425000</v>
      </c>
      <c r="AA343" s="75" t="n">
        <f aca="false">AA340+AA341+AA342</f>
        <v>2400000</v>
      </c>
      <c r="AB343" s="75" t="n">
        <f aca="false">AB340+AB341+AB342</f>
        <v>2375000</v>
      </c>
      <c r="AC343" s="75" t="n">
        <f aca="false">AC340+AC341+AC342</f>
        <v>2350000</v>
      </c>
      <c r="AD343" s="75" t="n">
        <f aca="false">AD340+AD341+AD342</f>
        <v>2325000</v>
      </c>
      <c r="AE343" s="75" t="n">
        <f aca="false">AE340+AE341+AE342</f>
        <v>2300000</v>
      </c>
      <c r="AF343" s="75" t="n">
        <f aca="false">AF340+AF341+AF342</f>
        <v>2275000</v>
      </c>
      <c r="AG343" s="75" t="n">
        <f aca="false">AG340+AG341+AG342</f>
        <v>2250000</v>
      </c>
      <c r="AH343" s="75" t="n">
        <f aca="false">AH340+AH341+AH342</f>
        <v>2225000</v>
      </c>
      <c r="AI343" s="75" t="n">
        <f aca="false">AI340+AI341+AI342</f>
        <v>2200000</v>
      </c>
      <c r="AJ343" s="75" t="n">
        <f aca="false">AJ340+AJ341+AJ342</f>
        <v>2175000</v>
      </c>
      <c r="AK343" s="75" t="n">
        <f aca="false">AK340+AK341+AK342</f>
        <v>2150000</v>
      </c>
      <c r="AL343" s="75" t="n">
        <f aca="false">AL340+AL341+AL342</f>
        <v>2125000</v>
      </c>
    </row>
    <row r="345" customFormat="false" ht="15.75" hidden="false" customHeight="true" outlineLevel="0" collapsed="false">
      <c r="A345" s="7" t="s">
        <v>324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customFormat="false" ht="15" hidden="false" customHeight="false" outlineLevel="0" collapsed="false">
      <c r="A346" s="6" t="s">
        <v>90</v>
      </c>
      <c r="C346" s="69" t="n">
        <f aca="false">C297*Inputs!$D$75/30</f>
        <v>5198.9604</v>
      </c>
      <c r="D346" s="69" t="n">
        <f aca="false">D297*Inputs!$D$75/30</f>
        <v>5859.19155748571</v>
      </c>
      <c r="E346" s="69" t="n">
        <f aca="false">E297*Inputs!$D$75/30</f>
        <v>7318.95840516998</v>
      </c>
      <c r="F346" s="69" t="n">
        <f aca="false">F297*Inputs!$D$75/30</f>
        <v>8103.93478763312</v>
      </c>
      <c r="G346" s="69" t="n">
        <f aca="false">G297*Inputs!$D$75/30</f>
        <v>8905.40953042885</v>
      </c>
      <c r="H346" s="69" t="n">
        <f aca="false">H297*Inputs!$D$75/30</f>
        <v>9722.85468602656</v>
      </c>
      <c r="I346" s="69" t="n">
        <f aca="false">I297*Inputs!$D$75/30</f>
        <v>10555.7592012166</v>
      </c>
      <c r="J346" s="69" t="n">
        <f aca="false">J297*Inputs!$D$75/30</f>
        <v>11403.6283764919</v>
      </c>
      <c r="K346" s="69" t="n">
        <f aca="false">K297*Inputs!$D$75/30</f>
        <v>11686.0972284442</v>
      </c>
      <c r="L346" s="69" t="n">
        <f aca="false">L297*Inputs!$D$75/30</f>
        <v>11959.527077134</v>
      </c>
      <c r="M346" s="69" t="n">
        <f aca="false">M297*Inputs!$D$75/30</f>
        <v>12224.2071706657</v>
      </c>
      <c r="N346" s="69" t="n">
        <f aca="false">N297*Inputs!$D$75/30</f>
        <v>11326.2948345377</v>
      </c>
      <c r="O346" s="69" t="n">
        <f aca="false">O297*Inputs!$D$75/30</f>
        <v>12383.0075218275</v>
      </c>
      <c r="P346" s="69" t="n">
        <f aca="false">P297*Inputs!$D$75/30</f>
        <v>12630.040025705</v>
      </c>
      <c r="Q346" s="69" t="n">
        <f aca="false">Q297*Inputs!$D$75/30</f>
        <v>14129.2386169251</v>
      </c>
      <c r="R346" s="69" t="n">
        <f aca="false">R297*Inputs!$D$75/30</f>
        <v>14390.1802805115</v>
      </c>
      <c r="S346" s="69" t="n">
        <f aca="false">S297*Inputs!$D$75/30</f>
        <v>14642.7718108631</v>
      </c>
      <c r="T346" s="69" t="n">
        <f aca="false">T297*Inputs!$D$75/30</f>
        <v>14887.2804122435</v>
      </c>
      <c r="U346" s="69" t="n">
        <f aca="false">U297*Inputs!$D$75/30</f>
        <v>15123.9647383797</v>
      </c>
      <c r="V346" s="69" t="n">
        <f aca="false">V297*Inputs!$D$75/30</f>
        <v>15353.0751660796</v>
      </c>
      <c r="W346" s="69" t="n">
        <f aca="false">W297*Inputs!$D$75/30</f>
        <v>15574.854060093</v>
      </c>
      <c r="X346" s="69" t="n">
        <f aca="false">X297*Inputs!$D$75/30</f>
        <v>15789.536029498</v>
      </c>
      <c r="Y346" s="69" t="n">
        <f aca="false">Y297*Inputs!$D$75/30</f>
        <v>15997.3481758821</v>
      </c>
      <c r="Z346" s="69" t="n">
        <f aca="false">Z297*Inputs!$D$75/30</f>
        <v>14938.4392061152</v>
      </c>
      <c r="AA346" s="69" t="n">
        <f aca="false">AA297*Inputs!$D$75/30</f>
        <v>16091.3166278011</v>
      </c>
      <c r="AB346" s="69" t="n">
        <f aca="false">AB297*Inputs!$D$75/30</f>
        <v>16285.8324462396</v>
      </c>
      <c r="AC346" s="69" t="n">
        <f aca="false">AC297*Inputs!$D$75/30</f>
        <v>17849.8694154561</v>
      </c>
      <c r="AD346" s="69" t="n">
        <f aca="false">AD297*Inputs!$D$75/30</f>
        <v>18064.3066887678</v>
      </c>
      <c r="AE346" s="69" t="n">
        <f aca="false">AE297*Inputs!$D$75/30</f>
        <v>18271.8819693335</v>
      </c>
      <c r="AF346" s="69" t="n">
        <f aca="false">AF297*Inputs!$D$75/30</f>
        <v>18472.8148409212</v>
      </c>
      <c r="AG346" s="69" t="n">
        <f aca="false">AG297*Inputs!$D$75/30</f>
        <v>18667.317860618</v>
      </c>
      <c r="AH346" s="69" t="n">
        <f aca="false">AH297*Inputs!$D$75/30</f>
        <v>18855.5967836845</v>
      </c>
      <c r="AI346" s="69" t="n">
        <f aca="false">AI297*Inputs!$D$75/30</f>
        <v>19037.8507812129</v>
      </c>
      <c r="AJ346" s="69" t="n">
        <f aca="false">AJ297*Inputs!$D$75/30</f>
        <v>19214.2726508204</v>
      </c>
      <c r="AK346" s="69" t="n">
        <f aca="false">AK297*Inputs!$D$75/30</f>
        <v>19385.0490206005</v>
      </c>
      <c r="AL346" s="69" t="n">
        <f aca="false">AL297*Inputs!$D$75/30</f>
        <v>18174.6148895795</v>
      </c>
    </row>
    <row r="347" customFormat="false" ht="15" hidden="false" customHeight="false" outlineLevel="0" collapsed="false">
      <c r="A347" s="6" t="s">
        <v>91</v>
      </c>
      <c r="C347" s="69" t="n">
        <f aca="false">-C305*Inputs!$D$76/30</f>
        <v>2226.311916192</v>
      </c>
      <c r="D347" s="69" t="n">
        <f aca="false">-D305*Inputs!$D$76/30</f>
        <v>2511.73022232986</v>
      </c>
      <c r="E347" s="69" t="n">
        <f aca="false">-E305*Inputs!$D$76/30</f>
        <v>3206.49281475337</v>
      </c>
      <c r="F347" s="69" t="n">
        <f aca="false">-F305*Inputs!$D$76/30</f>
        <v>3559.36042727208</v>
      </c>
      <c r="G347" s="69" t="n">
        <f aca="false">-G305*Inputs!$D$76/30</f>
        <v>3921.07048941685</v>
      </c>
      <c r="H347" s="69" t="n">
        <f aca="false">-H305*Inputs!$D$76/30</f>
        <v>4291.34004279966</v>
      </c>
      <c r="I347" s="69" t="n">
        <f aca="false">-I305*Inputs!$D$76/30</f>
        <v>4669.89518370089</v>
      </c>
      <c r="J347" s="69" t="n">
        <f aca="false">-J305*Inputs!$D$76/30</f>
        <v>5056.47077331994</v>
      </c>
      <c r="K347" s="69" t="n">
        <f aca="false">-K305*Inputs!$D$76/30</f>
        <v>5207.86258098852</v>
      </c>
      <c r="L347" s="69" t="n">
        <f aca="false">-L305*Inputs!$D$76/30</f>
        <v>5354.4098508117</v>
      </c>
      <c r="M347" s="69" t="n">
        <f aca="false">-M305*Inputs!$D$76/30</f>
        <v>5496.26760800054</v>
      </c>
      <c r="N347" s="69" t="n">
        <f aca="false">-N305*Inputs!$D$76/30</f>
        <v>4946.15337715358</v>
      </c>
      <c r="O347" s="69" t="n">
        <f aca="false">-O305*Inputs!$D$76/30</f>
        <v>5387.97799949226</v>
      </c>
      <c r="P347" s="69" t="n">
        <f aca="false">-P305*Inputs!$D$76/30</f>
        <v>5505.95991547087</v>
      </c>
      <c r="Q347" s="69" t="n">
        <f aca="false">-Q305*Inputs!$D$76/30</f>
        <v>6395.95498217108</v>
      </c>
      <c r="R347" s="69" t="n">
        <f aca="false">-R305*Inputs!$D$76/30</f>
        <v>6535.25432691519</v>
      </c>
      <c r="S347" s="69" t="n">
        <f aca="false">-S305*Inputs!$D$76/30</f>
        <v>6670.0960926275</v>
      </c>
      <c r="T347" s="69" t="n">
        <f aca="false">-T305*Inputs!$D$76/30</f>
        <v>6800.622921837</v>
      </c>
      <c r="U347" s="69" t="n">
        <f aca="false">-U305*Inputs!$D$76/30</f>
        <v>6926.9728925118</v>
      </c>
      <c r="V347" s="69" t="n">
        <f aca="false">-V305*Inputs!$D$76/30</f>
        <v>7049.27966412501</v>
      </c>
      <c r="W347" s="69" t="n">
        <f aca="false">-W305*Inputs!$D$76/30</f>
        <v>7167.6726190466</v>
      </c>
      <c r="X347" s="69" t="n">
        <f aca="false">-X305*Inputs!$D$76/30</f>
        <v>7282.2769994107</v>
      </c>
      <c r="Y347" s="69" t="n">
        <f aca="false">-Y305*Inputs!$D$76/30</f>
        <v>7393.21403960314</v>
      </c>
      <c r="Z347" s="69" t="n">
        <f aca="false">-Z305*Inputs!$D$76/30</f>
        <v>6608.44381484994</v>
      </c>
      <c r="AA347" s="69" t="n">
        <f aca="false">-AA305*Inputs!$D$76/30</f>
        <v>7083.89463059371</v>
      </c>
      <c r="AB347" s="69" t="n">
        <f aca="false">-AB305*Inputs!$D$76/30</f>
        <v>7176.43631455376</v>
      </c>
      <c r="AC347" s="69" t="n">
        <f aca="false">-AC305*Inputs!$D$76/30</f>
        <v>8245.19684811485</v>
      </c>
      <c r="AD347" s="69" t="n">
        <f aca="false">-AD305*Inputs!$D$76/30</f>
        <v>8359.21691757651</v>
      </c>
      <c r="AE347" s="69" t="n">
        <f aca="false">-AE305*Inputs!$D$76/30</f>
        <v>8469.5883448154</v>
      </c>
      <c r="AF347" s="69" t="n">
        <f aca="false">-AF305*Inputs!$D$76/30</f>
        <v>8576.42788638265</v>
      </c>
      <c r="AG347" s="69" t="n">
        <f aca="false">-AG305*Inputs!$D$76/30</f>
        <v>8679.84856261974</v>
      </c>
      <c r="AH347" s="69" t="n">
        <f aca="false">-AH305*Inputs!$D$76/30</f>
        <v>8779.95977721726</v>
      </c>
      <c r="AI347" s="69" t="n">
        <f aca="false">-AI305*Inputs!$D$76/30</f>
        <v>8876.86743294764</v>
      </c>
      <c r="AJ347" s="69" t="n">
        <f aca="false">-AJ305*Inputs!$D$76/30</f>
        <v>8970.67404369466</v>
      </c>
      <c r="AK347" s="69" t="n">
        <f aca="false">-AK305*Inputs!$D$76/30</f>
        <v>9061.47884289777</v>
      </c>
      <c r="AL347" s="69" t="n">
        <f aca="false">-AL305*Inputs!$D$76/30</f>
        <v>8075.03216832061</v>
      </c>
    </row>
    <row r="348" customFormat="false" ht="15" hidden="false" customHeight="false" outlineLevel="0" collapsed="false">
      <c r="A348" s="6" t="s">
        <v>94</v>
      </c>
      <c r="C348" s="69" t="n">
        <f aca="false">-C305*Inputs!$D$77/30</f>
        <v>6360.89118912</v>
      </c>
      <c r="D348" s="69" t="n">
        <f aca="false">-D305*Inputs!$D$77/30</f>
        <v>7176.37206379959</v>
      </c>
      <c r="E348" s="69" t="n">
        <f aca="false">-E305*Inputs!$D$77/30</f>
        <v>9161.40804215249</v>
      </c>
      <c r="F348" s="69" t="n">
        <f aca="false">-F305*Inputs!$D$77/30</f>
        <v>10169.6012207774</v>
      </c>
      <c r="G348" s="69" t="n">
        <f aca="false">-G305*Inputs!$D$77/30</f>
        <v>11203.058541191</v>
      </c>
      <c r="H348" s="69" t="n">
        <f aca="false">-H305*Inputs!$D$77/30</f>
        <v>12260.9715508562</v>
      </c>
      <c r="I348" s="69" t="n">
        <f aca="false">-I305*Inputs!$D$77/30</f>
        <v>13342.5576677168</v>
      </c>
      <c r="J348" s="69" t="n">
        <f aca="false">-J305*Inputs!$D$77/30</f>
        <v>14447.0593523427</v>
      </c>
      <c r="K348" s="69" t="n">
        <f aca="false">-K305*Inputs!$D$77/30</f>
        <v>14879.6073742529</v>
      </c>
      <c r="L348" s="69" t="n">
        <f aca="false">-L305*Inputs!$D$77/30</f>
        <v>15298.313859462</v>
      </c>
      <c r="M348" s="69" t="n">
        <f aca="false">-M305*Inputs!$D$77/30</f>
        <v>15703.6217371444</v>
      </c>
      <c r="N348" s="69" t="n">
        <f aca="false">-N305*Inputs!$D$77/30</f>
        <v>14131.8667918674</v>
      </c>
      <c r="O348" s="69" t="n">
        <f aca="false">-O305*Inputs!$D$77/30</f>
        <v>15394.2228556922</v>
      </c>
      <c r="P348" s="69" t="n">
        <f aca="false">-P305*Inputs!$D$77/30</f>
        <v>15731.3140442025</v>
      </c>
      <c r="Q348" s="69" t="n">
        <f aca="false">-Q305*Inputs!$D$77/30</f>
        <v>18274.1570919174</v>
      </c>
      <c r="R348" s="69" t="n">
        <f aca="false">-R305*Inputs!$D$77/30</f>
        <v>18672.1552197577</v>
      </c>
      <c r="S348" s="69" t="n">
        <f aca="false">-S305*Inputs!$D$77/30</f>
        <v>19057.4174075071</v>
      </c>
      <c r="T348" s="69" t="n">
        <f aca="false">-T305*Inputs!$D$77/30</f>
        <v>19430.3512052486</v>
      </c>
      <c r="U348" s="69" t="n">
        <f aca="false">-U305*Inputs!$D$77/30</f>
        <v>19791.3511214623</v>
      </c>
      <c r="V348" s="69" t="n">
        <f aca="false">-V305*Inputs!$D$77/30</f>
        <v>20140.7990403572</v>
      </c>
      <c r="W348" s="69" t="n">
        <f aca="false">-W305*Inputs!$D$77/30</f>
        <v>20479.0646258474</v>
      </c>
      <c r="X348" s="69" t="n">
        <f aca="false">-X305*Inputs!$D$77/30</f>
        <v>20806.505712602</v>
      </c>
      <c r="Y348" s="69" t="n">
        <f aca="false">-Y305*Inputs!$D$77/30</f>
        <v>21123.4686845804</v>
      </c>
      <c r="Z348" s="69" t="n">
        <f aca="false">-Z305*Inputs!$D$77/30</f>
        <v>18881.2680424284</v>
      </c>
      <c r="AA348" s="69" t="n">
        <f aca="false">-AA305*Inputs!$D$77/30</f>
        <v>20239.6989445535</v>
      </c>
      <c r="AB348" s="69" t="n">
        <f aca="false">-AB305*Inputs!$D$77/30</f>
        <v>20504.1037558679</v>
      </c>
      <c r="AC348" s="69" t="n">
        <f aca="false">-AC305*Inputs!$D$77/30</f>
        <v>23557.7052803281</v>
      </c>
      <c r="AD348" s="69" t="n">
        <f aca="false">-AD305*Inputs!$D$77/30</f>
        <v>23883.4769073615</v>
      </c>
      <c r="AE348" s="69" t="n">
        <f aca="false">-AE305*Inputs!$D$77/30</f>
        <v>24198.8238423297</v>
      </c>
      <c r="AF348" s="69" t="n">
        <f aca="false">-AF305*Inputs!$D$77/30</f>
        <v>24504.079675379</v>
      </c>
      <c r="AG348" s="69" t="n">
        <f aca="false">-AG305*Inputs!$D$77/30</f>
        <v>24799.5673217707</v>
      </c>
      <c r="AH348" s="69" t="n">
        <f aca="false">-AH305*Inputs!$D$77/30</f>
        <v>25085.5993634779</v>
      </c>
      <c r="AI348" s="69" t="n">
        <f aca="false">-AI305*Inputs!$D$77/30</f>
        <v>25362.4783798504</v>
      </c>
      <c r="AJ348" s="69" t="n">
        <f aca="false">-AJ305*Inputs!$D$77/30</f>
        <v>25630.497267699</v>
      </c>
      <c r="AK348" s="69" t="n">
        <f aca="false">-AK305*Inputs!$D$77/30</f>
        <v>25889.9395511365</v>
      </c>
      <c r="AL348" s="69" t="n">
        <f aca="false">-AL305*Inputs!$D$77/30</f>
        <v>23071.520480916</v>
      </c>
    </row>
    <row r="349" customFormat="false" ht="15" hidden="false" customHeight="false" outlineLevel="0" collapsed="false">
      <c r="A349" s="6" t="s">
        <v>346</v>
      </c>
      <c r="C349" s="69" t="n">
        <f aca="false">-C346</f>
        <v>-5198.9604</v>
      </c>
      <c r="D349" s="69" t="n">
        <f aca="false">C346-D346</f>
        <v>-660.231157485714</v>
      </c>
      <c r="E349" s="69" t="n">
        <f aca="false">D346-E346</f>
        <v>-1459.76684768427</v>
      </c>
      <c r="F349" s="69" t="n">
        <f aca="false">E346-F346</f>
        <v>-784.976382463133</v>
      </c>
      <c r="G349" s="69" t="n">
        <f aca="false">F346-G346</f>
        <v>-801.474742795738</v>
      </c>
      <c r="H349" s="69" t="n">
        <f aca="false">G346-H346</f>
        <v>-817.445155597705</v>
      </c>
      <c r="I349" s="69" t="n">
        <f aca="false">H346-I346</f>
        <v>-832.904515190008</v>
      </c>
      <c r="J349" s="69" t="n">
        <f aca="false">I346-J346</f>
        <v>-847.869175275357</v>
      </c>
      <c r="K349" s="69" t="n">
        <f aca="false">J346-K346</f>
        <v>-282.468851952259</v>
      </c>
      <c r="L349" s="69" t="n">
        <f aca="false">K346-L346</f>
        <v>-273.429848689786</v>
      </c>
      <c r="M349" s="69" t="n">
        <f aca="false">L346-M346</f>
        <v>-264.680093531713</v>
      </c>
      <c r="N349" s="69" t="n">
        <f aca="false">M346-N346</f>
        <v>897.912336127969</v>
      </c>
      <c r="O349" s="69" t="n">
        <f aca="false">N346-O346</f>
        <v>-1056.71268728977</v>
      </c>
      <c r="P349" s="69" t="n">
        <f aca="false">O346-P346</f>
        <v>-247.032503877521</v>
      </c>
      <c r="Q349" s="69" t="n">
        <f aca="false">P346-Q346</f>
        <v>-1499.19859122011</v>
      </c>
      <c r="R349" s="69" t="n">
        <f aca="false">Q346-R346</f>
        <v>-260.941663586395</v>
      </c>
      <c r="S349" s="69" t="n">
        <f aca="false">R346-S346</f>
        <v>-252.591530351632</v>
      </c>
      <c r="T349" s="69" t="n">
        <f aca="false">S346-T346</f>
        <v>-244.508601380379</v>
      </c>
      <c r="U349" s="69" t="n">
        <f aca="false">T346-U346</f>
        <v>-236.684326136208</v>
      </c>
      <c r="V349" s="69" t="n">
        <f aca="false">U346-V346</f>
        <v>-229.110427699849</v>
      </c>
      <c r="W349" s="69" t="n">
        <f aca="false">V346-W346</f>
        <v>-221.778894013454</v>
      </c>
      <c r="X349" s="69" t="n">
        <f aca="false">W346-X346</f>
        <v>-214.681969405021</v>
      </c>
      <c r="Y349" s="69" t="n">
        <f aca="false">X346-Y346</f>
        <v>-207.812146384063</v>
      </c>
      <c r="Z349" s="69" t="n">
        <f aca="false">Y346-Z346</f>
        <v>1058.9089697669</v>
      </c>
      <c r="AA349" s="69" t="n">
        <f aca="false">Z346-AA346</f>
        <v>-1152.8774216859</v>
      </c>
      <c r="AB349" s="69" t="n">
        <f aca="false">AA346-AB346</f>
        <v>-194.515818438444</v>
      </c>
      <c r="AC349" s="69" t="n">
        <f aca="false">AB346-AC346</f>
        <v>-1564.03696921652</v>
      </c>
      <c r="AD349" s="69" t="n">
        <f aca="false">AC346-AD346</f>
        <v>-214.437273311716</v>
      </c>
      <c r="AE349" s="69" t="n">
        <f aca="false">AD346-AE346</f>
        <v>-207.575280565736</v>
      </c>
      <c r="AF349" s="69" t="n">
        <f aca="false">AE346-AF346</f>
        <v>-200.932871587644</v>
      </c>
      <c r="AG349" s="69" t="n">
        <f aca="false">AF346-AG346</f>
        <v>-194.503019696829</v>
      </c>
      <c r="AH349" s="69" t="n">
        <f aca="false">AG346-AH346</f>
        <v>-188.278923066537</v>
      </c>
      <c r="AI349" s="69" t="n">
        <f aca="false">AH346-AI346</f>
        <v>-182.253997528405</v>
      </c>
      <c r="AJ349" s="69" t="n">
        <f aca="false">AI346-AJ346</f>
        <v>-176.421869607493</v>
      </c>
      <c r="AK349" s="69" t="n">
        <f aca="false">AJ346-AK346</f>
        <v>-170.776369780058</v>
      </c>
      <c r="AL349" s="69" t="n">
        <f aca="false">AK346-AL346</f>
        <v>1210.43413102101</v>
      </c>
    </row>
    <row r="350" customFormat="false" ht="15" hidden="false" customHeight="false" outlineLevel="0" collapsed="false">
      <c r="A350" s="6" t="s">
        <v>347</v>
      </c>
      <c r="C350" s="69" t="n">
        <f aca="false">-C347</f>
        <v>-2226.311916192</v>
      </c>
      <c r="D350" s="69" t="n">
        <f aca="false">C347-D347</f>
        <v>-285.418306137856</v>
      </c>
      <c r="E350" s="69" t="n">
        <f aca="false">D347-E347</f>
        <v>-694.762592423516</v>
      </c>
      <c r="F350" s="69" t="n">
        <f aca="false">E347-F347</f>
        <v>-352.867612518707</v>
      </c>
      <c r="G350" s="69" t="n">
        <f aca="false">F347-G347</f>
        <v>-361.710062144775</v>
      </c>
      <c r="H350" s="69" t="n">
        <f aca="false">G347-H347</f>
        <v>-370.26955338281</v>
      </c>
      <c r="I350" s="69" t="n">
        <f aca="false">H347-I347</f>
        <v>-378.555140901225</v>
      </c>
      <c r="J350" s="69" t="n">
        <f aca="false">I347-J347</f>
        <v>-386.575589619053</v>
      </c>
      <c r="K350" s="69" t="n">
        <f aca="false">J347-K347</f>
        <v>-151.391807668578</v>
      </c>
      <c r="L350" s="69" t="n">
        <f aca="false">K347-L347</f>
        <v>-146.547269823181</v>
      </c>
      <c r="M350" s="69" t="n">
        <f aca="false">L347-M347</f>
        <v>-141.857757188842</v>
      </c>
      <c r="N350" s="69" t="n">
        <f aca="false">M347-N347</f>
        <v>550.114230846964</v>
      </c>
      <c r="O350" s="69" t="n">
        <f aca="false">N347-O347</f>
        <v>-441.824622338681</v>
      </c>
      <c r="P350" s="69" t="n">
        <f aca="false">O347-P347</f>
        <v>-117.981915978615</v>
      </c>
      <c r="Q350" s="69" t="n">
        <f aca="false">P347-Q347</f>
        <v>-889.995066700209</v>
      </c>
      <c r="R350" s="69" t="n">
        <f aca="false">Q347-R347</f>
        <v>-139.299344744112</v>
      </c>
      <c r="S350" s="69" t="n">
        <f aca="false">R347-S347</f>
        <v>-134.841765712301</v>
      </c>
      <c r="T350" s="69" t="n">
        <f aca="false">S347-T347</f>
        <v>-130.526829209506</v>
      </c>
      <c r="U350" s="69" t="n">
        <f aca="false">T347-U347</f>
        <v>-126.349970674803</v>
      </c>
      <c r="V350" s="69" t="n">
        <f aca="false">U347-V347</f>
        <v>-122.306771613209</v>
      </c>
      <c r="W350" s="69" t="n">
        <f aca="false">V347-W347</f>
        <v>-118.392954921587</v>
      </c>
      <c r="X350" s="69" t="n">
        <f aca="false">W347-X347</f>
        <v>-114.604380364095</v>
      </c>
      <c r="Y350" s="69" t="n">
        <f aca="false">X347-Y347</f>
        <v>-110.937040192444</v>
      </c>
      <c r="Z350" s="69" t="n">
        <f aca="false">Y347-Z347</f>
        <v>784.770224753199</v>
      </c>
      <c r="AA350" s="69" t="n">
        <f aca="false">Z347-AA347</f>
        <v>-475.450815743773</v>
      </c>
      <c r="AB350" s="69" t="n">
        <f aca="false">AA347-AB347</f>
        <v>-92.5416839600457</v>
      </c>
      <c r="AC350" s="69" t="n">
        <f aca="false">AB347-AC347</f>
        <v>-1068.76053356109</v>
      </c>
      <c r="AD350" s="69" t="n">
        <f aca="false">AC347-AD347</f>
        <v>-114.020069461667</v>
      </c>
      <c r="AE350" s="69" t="n">
        <f aca="false">AD347-AE347</f>
        <v>-110.37142723889</v>
      </c>
      <c r="AF350" s="69" t="n">
        <f aca="false">AE347-AF347</f>
        <v>-106.839541567248</v>
      </c>
      <c r="AG350" s="69" t="n">
        <f aca="false">AF347-AG347</f>
        <v>-103.420676237092</v>
      </c>
      <c r="AH350" s="69" t="n">
        <f aca="false">AG347-AH347</f>
        <v>-100.111214597511</v>
      </c>
      <c r="AI350" s="69" t="n">
        <f aca="false">AH347-AI347</f>
        <v>-96.907655730387</v>
      </c>
      <c r="AJ350" s="69" t="n">
        <f aca="false">AI347-AJ347</f>
        <v>-93.8066107470149</v>
      </c>
      <c r="AK350" s="69" t="n">
        <f aca="false">AJ347-AK347</f>
        <v>-90.8047992031115</v>
      </c>
      <c r="AL350" s="69" t="n">
        <f aca="false">AK347-AL347</f>
        <v>986.446674577159</v>
      </c>
    </row>
    <row r="351" customFormat="false" ht="15" hidden="false" customHeight="false" outlineLevel="0" collapsed="false">
      <c r="A351" s="6" t="s">
        <v>348</v>
      </c>
      <c r="C351" s="69" t="n">
        <f aca="false">C348</f>
        <v>6360.89118912</v>
      </c>
      <c r="D351" s="69" t="n">
        <f aca="false">D348-C348</f>
        <v>815.480874679587</v>
      </c>
      <c r="E351" s="69" t="n">
        <f aca="false">E348-D348</f>
        <v>1985.0359783529</v>
      </c>
      <c r="F351" s="69" t="n">
        <f aca="false">F348-E348</f>
        <v>1008.19317862488</v>
      </c>
      <c r="G351" s="69" t="n">
        <f aca="false">G348-F348</f>
        <v>1033.45732041364</v>
      </c>
      <c r="H351" s="69" t="n">
        <f aca="false">H348-G348</f>
        <v>1057.91300966517</v>
      </c>
      <c r="I351" s="69" t="n">
        <f aca="false">I348-H348</f>
        <v>1081.58611686064</v>
      </c>
      <c r="J351" s="69" t="n">
        <f aca="false">J348-I348</f>
        <v>1104.50168462587</v>
      </c>
      <c r="K351" s="69" t="n">
        <f aca="false">K348-J348</f>
        <v>432.548021910221</v>
      </c>
      <c r="L351" s="69" t="n">
        <f aca="false">L348-K348</f>
        <v>418.70648520909</v>
      </c>
      <c r="M351" s="69" t="n">
        <f aca="false">M348-L348</f>
        <v>405.307877682402</v>
      </c>
      <c r="N351" s="69" t="n">
        <f aca="false">N348-M348</f>
        <v>-1571.75494527704</v>
      </c>
      <c r="O351" s="69" t="n">
        <f aca="false">O348-N348</f>
        <v>1262.35606382481</v>
      </c>
      <c r="P351" s="69" t="n">
        <f aca="false">P348-O348</f>
        <v>337.091188510327</v>
      </c>
      <c r="Q351" s="69" t="n">
        <f aca="false">Q348-P348</f>
        <v>2542.84304771488</v>
      </c>
      <c r="R351" s="69" t="n">
        <f aca="false">R348-Q348</f>
        <v>397.998127840321</v>
      </c>
      <c r="S351" s="69" t="n">
        <f aca="false">S348-R348</f>
        <v>385.262187749431</v>
      </c>
      <c r="T351" s="69" t="n">
        <f aca="false">T348-S348</f>
        <v>372.933797741447</v>
      </c>
      <c r="U351" s="69" t="n">
        <f aca="false">U348-T348</f>
        <v>360.999916213721</v>
      </c>
      <c r="V351" s="69" t="n">
        <f aca="false">V348-U348</f>
        <v>349.447918894883</v>
      </c>
      <c r="W351" s="69" t="n">
        <f aca="false">W348-V348</f>
        <v>338.265585490251</v>
      </c>
      <c r="X351" s="69" t="n">
        <f aca="false">X348-W348</f>
        <v>327.441086754559</v>
      </c>
      <c r="Y351" s="69" t="n">
        <f aca="false">Y348-X348</f>
        <v>316.962971978413</v>
      </c>
      <c r="Z351" s="69" t="n">
        <f aca="false">Z348-Y348</f>
        <v>-2242.200642152</v>
      </c>
      <c r="AA351" s="69" t="n">
        <f aca="false">AA348-Z348</f>
        <v>1358.43090212506</v>
      </c>
      <c r="AB351" s="69" t="n">
        <f aca="false">AB348-AA348</f>
        <v>264.404811314416</v>
      </c>
      <c r="AC351" s="69" t="n">
        <f aca="false">AC348-AB348</f>
        <v>3053.60152446025</v>
      </c>
      <c r="AD351" s="69" t="n">
        <f aca="false">AD348-AC348</f>
        <v>325.771627033337</v>
      </c>
      <c r="AE351" s="69" t="n">
        <f aca="false">AE348-AD348</f>
        <v>315.346934968256</v>
      </c>
      <c r="AF351" s="69" t="n">
        <f aca="false">AF348-AE348</f>
        <v>305.255833049283</v>
      </c>
      <c r="AG351" s="69" t="n">
        <f aca="false">AG348-AF348</f>
        <v>295.487646391692</v>
      </c>
      <c r="AH351" s="69" t="n">
        <f aca="false">AH348-AG348</f>
        <v>286.032041707167</v>
      </c>
      <c r="AI351" s="69" t="n">
        <f aca="false">AI348-AH348</f>
        <v>276.879016372532</v>
      </c>
      <c r="AJ351" s="69" t="n">
        <f aca="false">AJ348-AI348</f>
        <v>268.018887848622</v>
      </c>
      <c r="AK351" s="69" t="n">
        <f aca="false">AK348-AJ348</f>
        <v>259.442283437453</v>
      </c>
      <c r="AL351" s="69" t="n">
        <f aca="false">AL348-AK348</f>
        <v>-2818.41907022045</v>
      </c>
    </row>
    <row r="353" customFormat="false" ht="15.75" hidden="false" customHeight="true" outlineLevel="0" collapsed="false">
      <c r="A353" s="7" t="s">
        <v>433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customFormat="false" ht="15" hidden="false" customHeight="false" outlineLevel="0" collapsed="false">
      <c r="A354" s="4" t="s">
        <v>52</v>
      </c>
      <c r="C354" s="75" t="n">
        <f aca="false">C324-C335+C349+C350+C351</f>
        <v>-47457.9785774187</v>
      </c>
      <c r="D354" s="75" t="n">
        <f aca="false">D324-D335+D349+D350+D351</f>
        <v>-37754.9783223577</v>
      </c>
      <c r="E354" s="75" t="n">
        <f aca="false">E324-E335+E349+E350+E351</f>
        <v>-18698.2711141006</v>
      </c>
      <c r="F354" s="75" t="n">
        <f aca="false">F324-F335+F349+F350+F351</f>
        <v>-8218.98916635963</v>
      </c>
      <c r="G354" s="75" t="n">
        <f aca="false">G324-G335+G349+G350+G351</f>
        <v>2429.95266011941</v>
      </c>
      <c r="H354" s="75" t="n">
        <f aca="false">H324-H335+H349+H350+H351</f>
        <v>13281.7695981321</v>
      </c>
      <c r="I354" s="75" t="n">
        <f aca="false">I324-I335+I349+I350+I351</f>
        <v>24329.9696441093</v>
      </c>
      <c r="J354" s="75" t="n">
        <f aca="false">J324-J335+J349+J350+J351</f>
        <v>35568.2685385962</v>
      </c>
      <c r="K354" s="75" t="n">
        <f aca="false">K324-K335+K349+K350+K351</f>
        <v>39462.1930609061</v>
      </c>
      <c r="L354" s="75" t="n">
        <f aca="false">L324-L335+L349+L350+L351</f>
        <v>43112.7064011793</v>
      </c>
      <c r="M354" s="75" t="n">
        <f aca="false">M324-M335+M349+M350+M351</f>
        <v>46652.0699812305</v>
      </c>
      <c r="N354" s="75" t="n">
        <f aca="false">N324-N335+N349+N350+N351</f>
        <v>35595.6022852959</v>
      </c>
      <c r="O354" s="75" t="n">
        <f aca="false">O324-O335+O349+O350+O351</f>
        <v>48444.788964737</v>
      </c>
      <c r="P354" s="75" t="n">
        <f aca="false">P324-P335+P349+P350+P351</f>
        <v>52029.9810879254</v>
      </c>
      <c r="Q354" s="75" t="n">
        <f aca="false">Q324-Q335+Q349+Q350+Q351</f>
        <v>71062.3513391285</v>
      </c>
      <c r="R354" s="75" t="n">
        <f aca="false">R324-R335+R349+R350+R351</f>
        <v>74400.6701642125</v>
      </c>
      <c r="S354" s="75" t="n">
        <f aca="false">S324-S335+S349+S350+S351</f>
        <v>77788.8049433718</v>
      </c>
      <c r="T354" s="75" t="n">
        <f aca="false">T324-T335+T349+T350+T351</f>
        <v>76623.4496405659</v>
      </c>
      <c r="U354" s="75" t="n">
        <f aca="false">U324-U335+U349+U350+U351</f>
        <v>72602.5531069363</v>
      </c>
      <c r="V354" s="75" t="n">
        <f aca="false">V324-V335+V349+V350+V351</f>
        <v>75043.3768248015</v>
      </c>
      <c r="W354" s="75" t="n">
        <f aca="false">W324-W335+W349+W350+W351</f>
        <v>77410.5708503617</v>
      </c>
      <c r="X354" s="75" t="n">
        <f aca="false">X324-X335+X349+X350+X351</f>
        <v>79706.4913337706</v>
      </c>
      <c r="Y354" s="75" t="n">
        <f aca="false">Y324-Y335+Y349+Y350+Y351</f>
        <v>81933.4190283772</v>
      </c>
      <c r="Z354" s="75" t="n">
        <f aca="false">Z324-Z335+Z349+Z350+Z351</f>
        <v>71785.5160978891</v>
      </c>
      <c r="AA354" s="75" t="n">
        <f aca="false">AA324-AA335+AA349+AA350+AA351</f>
        <v>83088.3228348428</v>
      </c>
      <c r="AB354" s="75" t="n">
        <f aca="false">AB324-AB335+AB349+AB350+AB351</f>
        <v>85467.1560594846</v>
      </c>
      <c r="AC354" s="75" t="n">
        <f aca="false">AC324-AC335+AC349+AC350+AC351</f>
        <v>100965.828884315</v>
      </c>
      <c r="AD354" s="75" t="n">
        <f aca="false">AD324-AD335+AD349+AD350+AD351</f>
        <v>102837.277290935</v>
      </c>
      <c r="AE354" s="75" t="n">
        <f aca="false">AE324-AE335+AE349+AE350+AE351</f>
        <v>105063.340023939</v>
      </c>
      <c r="AF354" s="75" t="n">
        <f aca="false">AF324-AF335+AF349+AF350+AF351</f>
        <v>107222.645416153</v>
      </c>
      <c r="AG354" s="75" t="n">
        <f aca="false">AG324-AG335+AG349+AG350+AG351</f>
        <v>109317.329702483</v>
      </c>
      <c r="AH354" s="75" t="n">
        <f aca="false">AH324-AH335+AH349+AH350+AH351</f>
        <v>111349.460758317</v>
      </c>
      <c r="AI354" s="75" t="n">
        <f aca="false">AI324-AI335+AI349+AI350+AI351</f>
        <v>113321.040287031</v>
      </c>
      <c r="AJ354" s="75" t="n">
        <f aca="false">AJ324-AJ335+AJ349+AJ350+AJ351</f>
        <v>115234.005937493</v>
      </c>
      <c r="AK354" s="75" t="n">
        <f aca="false">AK324-AK335+AK349+AK350+AK351</f>
        <v>117090.233353807</v>
      </c>
      <c r="AL354" s="75" t="n">
        <f aca="false">AL324-AL335+AL349+AL350+AL351</f>
        <v>105606.911953676</v>
      </c>
    </row>
    <row r="355" customFormat="false" ht="15" hidden="false" customHeight="false" outlineLevel="0" collapsed="false">
      <c r="A355" s="6" t="s">
        <v>434</v>
      </c>
      <c r="C355" s="69" t="n">
        <f aca="false">-C332</f>
        <v>-4100000</v>
      </c>
      <c r="D355" s="69" t="n">
        <f aca="false">-D332</f>
        <v>-0</v>
      </c>
      <c r="E355" s="69" t="n">
        <f aca="false">-E332</f>
        <v>-0</v>
      </c>
      <c r="F355" s="69" t="n">
        <f aca="false">-F332</f>
        <v>-0</v>
      </c>
      <c r="G355" s="69" t="n">
        <f aca="false">-G332</f>
        <v>-0</v>
      </c>
      <c r="H355" s="69" t="n">
        <f aca="false">-H332</f>
        <v>-0</v>
      </c>
      <c r="I355" s="69" t="n">
        <f aca="false">-I332</f>
        <v>-0</v>
      </c>
      <c r="J355" s="69" t="n">
        <f aca="false">-J332</f>
        <v>-0</v>
      </c>
      <c r="K355" s="69" t="n">
        <f aca="false">-K332</f>
        <v>-0</v>
      </c>
      <c r="L355" s="69" t="n">
        <f aca="false">-L332</f>
        <v>-0</v>
      </c>
      <c r="M355" s="69" t="n">
        <f aca="false">-M332</f>
        <v>-0</v>
      </c>
      <c r="N355" s="69" t="n">
        <f aca="false">-N332</f>
        <v>-0</v>
      </c>
      <c r="O355" s="69" t="n">
        <f aca="false">-O332</f>
        <v>-40000</v>
      </c>
      <c r="P355" s="69" t="n">
        <f aca="false">-P332</f>
        <v>-0</v>
      </c>
      <c r="Q355" s="69" t="n">
        <f aca="false">-Q332</f>
        <v>-0</v>
      </c>
      <c r="R355" s="69" t="n">
        <f aca="false">-R332</f>
        <v>-0</v>
      </c>
      <c r="S355" s="69" t="n">
        <f aca="false">-S332</f>
        <v>-0</v>
      </c>
      <c r="T355" s="69" t="n">
        <f aca="false">-T332</f>
        <v>-0</v>
      </c>
      <c r="U355" s="69" t="n">
        <f aca="false">-U332</f>
        <v>-0</v>
      </c>
      <c r="V355" s="69" t="n">
        <f aca="false">-V332</f>
        <v>-0</v>
      </c>
      <c r="W355" s="69" t="n">
        <f aca="false">-W332</f>
        <v>-0</v>
      </c>
      <c r="X355" s="69" t="n">
        <f aca="false">-X332</f>
        <v>-0</v>
      </c>
      <c r="Y355" s="69" t="n">
        <f aca="false">-Y332</f>
        <v>-0</v>
      </c>
      <c r="Z355" s="69" t="n">
        <f aca="false">-Z332</f>
        <v>-0</v>
      </c>
      <c r="AA355" s="69" t="n">
        <f aca="false">-AA332</f>
        <v>-40000</v>
      </c>
      <c r="AB355" s="69" t="n">
        <f aca="false">-AB332</f>
        <v>-0</v>
      </c>
      <c r="AC355" s="69" t="n">
        <f aca="false">-AC332</f>
        <v>-0</v>
      </c>
      <c r="AD355" s="69" t="n">
        <f aca="false">-AD332</f>
        <v>-0</v>
      </c>
      <c r="AE355" s="69" t="n">
        <f aca="false">-AE332</f>
        <v>-0</v>
      </c>
      <c r="AF355" s="69" t="n">
        <f aca="false">-AF332</f>
        <v>-0</v>
      </c>
      <c r="AG355" s="69" t="n">
        <f aca="false">-AG332</f>
        <v>-0</v>
      </c>
      <c r="AH355" s="69" t="n">
        <f aca="false">-AH332</f>
        <v>-0</v>
      </c>
      <c r="AI355" s="69" t="n">
        <f aca="false">-AI332</f>
        <v>-0</v>
      </c>
      <c r="AJ355" s="69" t="n">
        <f aca="false">-AJ332</f>
        <v>-0</v>
      </c>
      <c r="AK355" s="69" t="n">
        <f aca="false">-AK332</f>
        <v>-0</v>
      </c>
      <c r="AL355" s="69" t="n">
        <f aca="false">-AL332</f>
        <v>-0</v>
      </c>
    </row>
    <row r="356" customFormat="false" ht="15" hidden="false" customHeight="false" outlineLevel="0" collapsed="false">
      <c r="A356" s="6" t="s">
        <v>64</v>
      </c>
      <c r="C356" s="69" t="n">
        <f aca="false">IF(C$264=1,Inputs!$D$69,0)</f>
        <v>2100000</v>
      </c>
      <c r="D356" s="69" t="n">
        <f aca="false">IF(D$264=1,Inputs!$D$69,0)</f>
        <v>0</v>
      </c>
      <c r="E356" s="69" t="n">
        <f aca="false">IF(E$264=1,Inputs!$D$69,0)</f>
        <v>0</v>
      </c>
      <c r="F356" s="69" t="n">
        <f aca="false">IF(F$264=1,Inputs!$D$69,0)</f>
        <v>0</v>
      </c>
      <c r="G356" s="69" t="n">
        <f aca="false">IF(G$264=1,Inputs!$D$69,0)</f>
        <v>0</v>
      </c>
      <c r="H356" s="69" t="n">
        <f aca="false">IF(H$264=1,Inputs!$D$69,0)</f>
        <v>0</v>
      </c>
      <c r="I356" s="69" t="n">
        <f aca="false">IF(I$264=1,Inputs!$D$69,0)</f>
        <v>0</v>
      </c>
      <c r="J356" s="69" t="n">
        <f aca="false">IF(J$264=1,Inputs!$D$69,0)</f>
        <v>0</v>
      </c>
      <c r="K356" s="69" t="n">
        <f aca="false">IF(K$264=1,Inputs!$D$69,0)</f>
        <v>0</v>
      </c>
      <c r="L356" s="69" t="n">
        <f aca="false">IF(L$264=1,Inputs!$D$69,0)</f>
        <v>0</v>
      </c>
      <c r="M356" s="69" t="n">
        <f aca="false">IF(M$264=1,Inputs!$D$69,0)</f>
        <v>0</v>
      </c>
      <c r="N356" s="69" t="n">
        <f aca="false">IF(N$264=1,Inputs!$D$69,0)</f>
        <v>0</v>
      </c>
      <c r="O356" s="69" t="n">
        <f aca="false">IF(O$264=1,Inputs!$D$69,0)</f>
        <v>0</v>
      </c>
      <c r="P356" s="69" t="n">
        <f aca="false">IF(P$264=1,Inputs!$D$69,0)</f>
        <v>0</v>
      </c>
      <c r="Q356" s="69" t="n">
        <f aca="false">IF(Q$264=1,Inputs!$D$69,0)</f>
        <v>0</v>
      </c>
      <c r="R356" s="69" t="n">
        <f aca="false">IF(R$264=1,Inputs!$D$69,0)</f>
        <v>0</v>
      </c>
      <c r="S356" s="69" t="n">
        <f aca="false">IF(S$264=1,Inputs!$D$69,0)</f>
        <v>0</v>
      </c>
      <c r="T356" s="69" t="n">
        <f aca="false">IF(T$264=1,Inputs!$D$69,0)</f>
        <v>0</v>
      </c>
      <c r="U356" s="69" t="n">
        <f aca="false">IF(U$264=1,Inputs!$D$69,0)</f>
        <v>0</v>
      </c>
      <c r="V356" s="69" t="n">
        <f aca="false">IF(V$264=1,Inputs!$D$69,0)</f>
        <v>0</v>
      </c>
      <c r="W356" s="69" t="n">
        <f aca="false">IF(W$264=1,Inputs!$D$69,0)</f>
        <v>0</v>
      </c>
      <c r="X356" s="69" t="n">
        <f aca="false">IF(X$264=1,Inputs!$D$69,0)</f>
        <v>0</v>
      </c>
      <c r="Y356" s="69" t="n">
        <f aca="false">IF(Y$264=1,Inputs!$D$69,0)</f>
        <v>0</v>
      </c>
      <c r="Z356" s="69" t="n">
        <f aca="false">IF(Z$264=1,Inputs!$D$69,0)</f>
        <v>0</v>
      </c>
      <c r="AA356" s="69" t="n">
        <f aca="false">IF(AA$264=1,Inputs!$D$69,0)</f>
        <v>0</v>
      </c>
      <c r="AB356" s="69" t="n">
        <f aca="false">IF(AB$264=1,Inputs!$D$69,0)</f>
        <v>0</v>
      </c>
      <c r="AC356" s="69" t="n">
        <f aca="false">IF(AC$264=1,Inputs!$D$69,0)</f>
        <v>0</v>
      </c>
      <c r="AD356" s="69" t="n">
        <f aca="false">IF(AD$264=1,Inputs!$D$69,0)</f>
        <v>0</v>
      </c>
      <c r="AE356" s="69" t="n">
        <f aca="false">IF(AE$264=1,Inputs!$D$69,0)</f>
        <v>0</v>
      </c>
      <c r="AF356" s="69" t="n">
        <f aca="false">IF(AF$264=1,Inputs!$D$69,0)</f>
        <v>0</v>
      </c>
      <c r="AG356" s="69" t="n">
        <f aca="false">IF(AG$264=1,Inputs!$D$69,0)</f>
        <v>0</v>
      </c>
      <c r="AH356" s="69" t="n">
        <f aca="false">IF(AH$264=1,Inputs!$D$69,0)</f>
        <v>0</v>
      </c>
      <c r="AI356" s="69" t="n">
        <f aca="false">IF(AI$264=1,Inputs!$D$69,0)</f>
        <v>0</v>
      </c>
      <c r="AJ356" s="69" t="n">
        <f aca="false">IF(AJ$264=1,Inputs!$D$69,0)</f>
        <v>0</v>
      </c>
      <c r="AK356" s="69" t="n">
        <f aca="false">IF(AK$264=1,Inputs!$D$69,0)</f>
        <v>0</v>
      </c>
      <c r="AL356" s="69" t="n">
        <f aca="false">IF(AL$264=1,Inputs!$D$69,0)</f>
        <v>0</v>
      </c>
    </row>
    <row r="357" customFormat="false" ht="15" hidden="false" customHeight="false" outlineLevel="0" collapsed="false">
      <c r="A357" s="6" t="s">
        <v>54</v>
      </c>
      <c r="C357" s="69" t="n">
        <f aca="false">C356+C341+C342</f>
        <v>5100000</v>
      </c>
      <c r="D357" s="69" t="n">
        <f aca="false">D356+D341+D342</f>
        <v>-25000</v>
      </c>
      <c r="E357" s="69" t="n">
        <f aca="false">E356+E341+E342</f>
        <v>-25000</v>
      </c>
      <c r="F357" s="69" t="n">
        <f aca="false">F356+F341+F342</f>
        <v>-25000</v>
      </c>
      <c r="G357" s="69" t="n">
        <f aca="false">G356+G341+G342</f>
        <v>-25000</v>
      </c>
      <c r="H357" s="69" t="n">
        <f aca="false">H356+H341+H342</f>
        <v>-25000</v>
      </c>
      <c r="I357" s="69" t="n">
        <f aca="false">I356+I341+I342</f>
        <v>-25000</v>
      </c>
      <c r="J357" s="69" t="n">
        <f aca="false">J356+J341+J342</f>
        <v>-25000</v>
      </c>
      <c r="K357" s="69" t="n">
        <f aca="false">K356+K341+K342</f>
        <v>-25000</v>
      </c>
      <c r="L357" s="69" t="n">
        <f aca="false">L356+L341+L342</f>
        <v>-25000</v>
      </c>
      <c r="M357" s="69" t="n">
        <f aca="false">M356+M341+M342</f>
        <v>-25000</v>
      </c>
      <c r="N357" s="69" t="n">
        <f aca="false">N356+N341+N342</f>
        <v>-25000</v>
      </c>
      <c r="O357" s="69" t="n">
        <f aca="false">O356+O341+O342</f>
        <v>-25000</v>
      </c>
      <c r="P357" s="69" t="n">
        <f aca="false">P356+P341+P342</f>
        <v>-25000</v>
      </c>
      <c r="Q357" s="69" t="n">
        <f aca="false">Q356+Q341+Q342</f>
        <v>-25000</v>
      </c>
      <c r="R357" s="69" t="n">
        <f aca="false">R356+R341+R342</f>
        <v>-25000</v>
      </c>
      <c r="S357" s="69" t="n">
        <f aca="false">S356+S341+S342</f>
        <v>-25000</v>
      </c>
      <c r="T357" s="69" t="n">
        <f aca="false">T356+T341+T342</f>
        <v>-25000</v>
      </c>
      <c r="U357" s="69" t="n">
        <f aca="false">U356+U341+U342</f>
        <v>-25000</v>
      </c>
      <c r="V357" s="69" t="n">
        <f aca="false">V356+V341+V342</f>
        <v>-25000</v>
      </c>
      <c r="W357" s="69" t="n">
        <f aca="false">W356+W341+W342</f>
        <v>-25000</v>
      </c>
      <c r="X357" s="69" t="n">
        <f aca="false">X356+X341+X342</f>
        <v>-25000</v>
      </c>
      <c r="Y357" s="69" t="n">
        <f aca="false">Y356+Y341+Y342</f>
        <v>-25000</v>
      </c>
      <c r="Z357" s="69" t="n">
        <f aca="false">Z356+Z341+Z342</f>
        <v>-25000</v>
      </c>
      <c r="AA357" s="69" t="n">
        <f aca="false">AA356+AA341+AA342</f>
        <v>-25000</v>
      </c>
      <c r="AB357" s="69" t="n">
        <f aca="false">AB356+AB341+AB342</f>
        <v>-25000</v>
      </c>
      <c r="AC357" s="69" t="n">
        <f aca="false">AC356+AC341+AC342</f>
        <v>-25000</v>
      </c>
      <c r="AD357" s="69" t="n">
        <f aca="false">AD356+AD341+AD342</f>
        <v>-25000</v>
      </c>
      <c r="AE357" s="69" t="n">
        <f aca="false">AE356+AE341+AE342</f>
        <v>-25000</v>
      </c>
      <c r="AF357" s="69" t="n">
        <f aca="false">AF356+AF341+AF342</f>
        <v>-25000</v>
      </c>
      <c r="AG357" s="69" t="n">
        <f aca="false">AG356+AG341+AG342</f>
        <v>-25000</v>
      </c>
      <c r="AH357" s="69" t="n">
        <f aca="false">AH356+AH341+AH342</f>
        <v>-25000</v>
      </c>
      <c r="AI357" s="69" t="n">
        <f aca="false">AI356+AI341+AI342</f>
        <v>-25000</v>
      </c>
      <c r="AJ357" s="69" t="n">
        <f aca="false">AJ356+AJ341+AJ342</f>
        <v>-25000</v>
      </c>
      <c r="AK357" s="69" t="n">
        <f aca="false">AK356+AK341+AK342</f>
        <v>-25000</v>
      </c>
      <c r="AL357" s="69" t="n">
        <f aca="false">AL356+AL341+AL342</f>
        <v>-25000</v>
      </c>
    </row>
    <row r="358" customFormat="false" ht="15" hidden="false" customHeight="false" outlineLevel="0" collapsed="false">
      <c r="A358" s="113" t="s">
        <v>435</v>
      </c>
      <c r="C358" s="70" t="n">
        <f aca="false">C354+C355+C357</f>
        <v>952542.021422581</v>
      </c>
      <c r="D358" s="70" t="n">
        <f aca="false">D354+D355+D357</f>
        <v>-62754.9783223577</v>
      </c>
      <c r="E358" s="70" t="n">
        <f aca="false">E354+E355+E357</f>
        <v>-43698.2711141006</v>
      </c>
      <c r="F358" s="70" t="n">
        <f aca="false">F354+F355+F357</f>
        <v>-33218.9891663596</v>
      </c>
      <c r="G358" s="70" t="n">
        <f aca="false">G354+G355+G357</f>
        <v>-22570.0473398806</v>
      </c>
      <c r="H358" s="70" t="n">
        <f aca="false">H354+H355+H357</f>
        <v>-11718.2304018679</v>
      </c>
      <c r="I358" s="70" t="n">
        <f aca="false">I354+I355+I357</f>
        <v>-670.030355890667</v>
      </c>
      <c r="J358" s="70" t="n">
        <f aca="false">J354+J355+J357</f>
        <v>10568.2685385962</v>
      </c>
      <c r="K358" s="70" t="n">
        <f aca="false">K354+K355+K357</f>
        <v>14462.1930609061</v>
      </c>
      <c r="L358" s="70" t="n">
        <f aca="false">L354+L355+L357</f>
        <v>18112.7064011793</v>
      </c>
      <c r="M358" s="70" t="n">
        <f aca="false">M354+M355+M357</f>
        <v>21652.0699812305</v>
      </c>
      <c r="N358" s="70" t="n">
        <f aca="false">N354+N355+N357</f>
        <v>10595.6022852958</v>
      </c>
      <c r="O358" s="70" t="n">
        <f aca="false">O354+O355+O357</f>
        <v>-16555.211035263</v>
      </c>
      <c r="P358" s="70" t="n">
        <f aca="false">P354+P355+P357</f>
        <v>27029.9810879254</v>
      </c>
      <c r="Q358" s="70" t="n">
        <f aca="false">Q354+Q355+Q357</f>
        <v>46062.3513391285</v>
      </c>
      <c r="R358" s="70" t="n">
        <f aca="false">R354+R355+R357</f>
        <v>49400.6701642125</v>
      </c>
      <c r="S358" s="70" t="n">
        <f aca="false">S354+S355+S357</f>
        <v>52788.8049433718</v>
      </c>
      <c r="T358" s="70" t="n">
        <f aca="false">T354+T355+T357</f>
        <v>51623.4496405659</v>
      </c>
      <c r="U358" s="70" t="n">
        <f aca="false">U354+U355+U357</f>
        <v>47602.5531069363</v>
      </c>
      <c r="V358" s="70" t="n">
        <f aca="false">V354+V355+V357</f>
        <v>50043.3768248015</v>
      </c>
      <c r="W358" s="70" t="n">
        <f aca="false">W354+W355+W357</f>
        <v>52410.5708503617</v>
      </c>
      <c r="X358" s="70" t="n">
        <f aca="false">X354+X355+X357</f>
        <v>54706.4913337706</v>
      </c>
      <c r="Y358" s="70" t="n">
        <f aca="false">Y354+Y355+Y357</f>
        <v>56933.4190283772</v>
      </c>
      <c r="Z358" s="70" t="n">
        <f aca="false">Z354+Z355+Z357</f>
        <v>46785.5160978891</v>
      </c>
      <c r="AA358" s="70" t="n">
        <f aca="false">AA354+AA355+AA357</f>
        <v>18088.3228348428</v>
      </c>
      <c r="AB358" s="70" t="n">
        <f aca="false">AB354+AB355+AB357</f>
        <v>60467.1560594846</v>
      </c>
      <c r="AC358" s="70" t="n">
        <f aca="false">AC354+AC355+AC357</f>
        <v>75965.828884315</v>
      </c>
      <c r="AD358" s="70" t="n">
        <f aca="false">AD354+AD355+AD357</f>
        <v>77837.277290935</v>
      </c>
      <c r="AE358" s="70" t="n">
        <f aca="false">AE354+AE355+AE357</f>
        <v>80063.3400239386</v>
      </c>
      <c r="AF358" s="70" t="n">
        <f aca="false">AF354+AF355+AF357</f>
        <v>82222.6454161528</v>
      </c>
      <c r="AG358" s="70" t="n">
        <f aca="false">AG354+AG355+AG357</f>
        <v>84317.3297024829</v>
      </c>
      <c r="AH358" s="70" t="n">
        <f aca="false">AH354+AH355+AH357</f>
        <v>86349.460758317</v>
      </c>
      <c r="AI358" s="70" t="n">
        <f aca="false">AI354+AI355+AI357</f>
        <v>88321.0402870311</v>
      </c>
      <c r="AJ358" s="70" t="n">
        <f aca="false">AJ354+AJ355+AJ357</f>
        <v>90234.005937493</v>
      </c>
      <c r="AK358" s="70" t="n">
        <f aca="false">AK354+AK355+AK357</f>
        <v>92090.2333538068</v>
      </c>
      <c r="AL358" s="70" t="n">
        <f aca="false">AL354+AL355+AL357</f>
        <v>80606.9119536758</v>
      </c>
    </row>
    <row r="359" customFormat="false" ht="15" hidden="false" customHeight="false" outlineLevel="0" collapsed="false">
      <c r="A359" s="6" t="s">
        <v>349</v>
      </c>
      <c r="C359" s="69" t="n">
        <f aca="false">0</f>
        <v>0</v>
      </c>
      <c r="D359" s="69" t="n">
        <f aca="false">C360</f>
        <v>952542.021422581</v>
      </c>
      <c r="E359" s="69" t="n">
        <f aca="false">D360</f>
        <v>889787.043100224</v>
      </c>
      <c r="F359" s="69" t="n">
        <f aca="false">E360</f>
        <v>846088.771986123</v>
      </c>
      <c r="G359" s="69" t="n">
        <f aca="false">F360</f>
        <v>812869.782819763</v>
      </c>
      <c r="H359" s="69" t="n">
        <f aca="false">G360</f>
        <v>790299.735479883</v>
      </c>
      <c r="I359" s="69" t="n">
        <f aca="false">H360</f>
        <v>778581.505078015</v>
      </c>
      <c r="J359" s="69" t="n">
        <f aca="false">I360</f>
        <v>777911.474722124</v>
      </c>
      <c r="K359" s="69" t="n">
        <f aca="false">J360</f>
        <v>788479.743260721</v>
      </c>
      <c r="L359" s="69" t="n">
        <f aca="false">K360</f>
        <v>802941.936321627</v>
      </c>
      <c r="M359" s="69" t="n">
        <f aca="false">L360</f>
        <v>821054.642722806</v>
      </c>
      <c r="N359" s="69" t="n">
        <f aca="false">M360</f>
        <v>842706.712704036</v>
      </c>
      <c r="O359" s="69" t="n">
        <f aca="false">N360</f>
        <v>853302.314989332</v>
      </c>
      <c r="P359" s="69" t="n">
        <f aca="false">O360</f>
        <v>836747.103954069</v>
      </c>
      <c r="Q359" s="69" t="n">
        <f aca="false">P360</f>
        <v>863777.085041995</v>
      </c>
      <c r="R359" s="69" t="n">
        <f aca="false">Q360</f>
        <v>909839.436381123</v>
      </c>
      <c r="S359" s="69" t="n">
        <f aca="false">R360</f>
        <v>959240.106545336</v>
      </c>
      <c r="T359" s="69" t="n">
        <f aca="false">S360</f>
        <v>1012028.91148871</v>
      </c>
      <c r="U359" s="69" t="n">
        <f aca="false">T360</f>
        <v>1063652.36112927</v>
      </c>
      <c r="V359" s="69" t="n">
        <f aca="false">U360</f>
        <v>1111254.91423621</v>
      </c>
      <c r="W359" s="69" t="n">
        <f aca="false">V360</f>
        <v>1161298.29106101</v>
      </c>
      <c r="X359" s="69" t="n">
        <f aca="false">W360</f>
        <v>1213708.86191137</v>
      </c>
      <c r="Y359" s="69" t="n">
        <f aca="false">X360</f>
        <v>1268415.35324514</v>
      </c>
      <c r="Z359" s="69" t="n">
        <f aca="false">Y360</f>
        <v>1325348.77227352</v>
      </c>
      <c r="AA359" s="69" t="n">
        <f aca="false">Z360</f>
        <v>1372134.28837141</v>
      </c>
      <c r="AB359" s="69" t="n">
        <f aca="false">AA360</f>
        <v>1390222.61120625</v>
      </c>
      <c r="AC359" s="69" t="n">
        <f aca="false">AB360</f>
        <v>1450689.76726574</v>
      </c>
      <c r="AD359" s="69" t="n">
        <f aca="false">AC360</f>
        <v>1526655.59615005</v>
      </c>
      <c r="AE359" s="69" t="n">
        <f aca="false">AD360</f>
        <v>1604492.87344099</v>
      </c>
      <c r="AF359" s="69" t="n">
        <f aca="false">AE360</f>
        <v>1684556.21346493</v>
      </c>
      <c r="AG359" s="69" t="n">
        <f aca="false">AF360</f>
        <v>1766778.85888108</v>
      </c>
      <c r="AH359" s="69" t="n">
        <f aca="false">AG360</f>
        <v>1851096.18858356</v>
      </c>
      <c r="AI359" s="69" t="n">
        <f aca="false">AH360</f>
        <v>1937445.64934188</v>
      </c>
      <c r="AJ359" s="69" t="n">
        <f aca="false">AI360</f>
        <v>2025766.68962891</v>
      </c>
      <c r="AK359" s="69" t="n">
        <f aca="false">AJ360</f>
        <v>2116000.6955664</v>
      </c>
      <c r="AL359" s="69" t="n">
        <f aca="false">AK360</f>
        <v>2208090.92892021</v>
      </c>
    </row>
    <row r="360" customFormat="false" ht="15" hidden="false" customHeight="false" outlineLevel="0" collapsed="false">
      <c r="A360" s="113" t="s">
        <v>87</v>
      </c>
      <c r="C360" s="70" t="n">
        <f aca="false">C359+C358</f>
        <v>952542.021422581</v>
      </c>
      <c r="D360" s="70" t="n">
        <f aca="false">D359+D358</f>
        <v>889787.043100224</v>
      </c>
      <c r="E360" s="70" t="n">
        <f aca="false">E359+E358</f>
        <v>846088.771986123</v>
      </c>
      <c r="F360" s="70" t="n">
        <f aca="false">F359+F358</f>
        <v>812869.782819763</v>
      </c>
      <c r="G360" s="70" t="n">
        <f aca="false">G359+G358</f>
        <v>790299.735479883</v>
      </c>
      <c r="H360" s="70" t="n">
        <f aca="false">H359+H358</f>
        <v>778581.505078015</v>
      </c>
      <c r="I360" s="70" t="n">
        <f aca="false">I359+I358</f>
        <v>777911.474722124</v>
      </c>
      <c r="J360" s="70" t="n">
        <f aca="false">J359+J358</f>
        <v>788479.743260721</v>
      </c>
      <c r="K360" s="70" t="n">
        <f aca="false">K359+K358</f>
        <v>802941.936321627</v>
      </c>
      <c r="L360" s="70" t="n">
        <f aca="false">L359+L358</f>
        <v>821054.642722806</v>
      </c>
      <c r="M360" s="70" t="n">
        <f aca="false">M359+M358</f>
        <v>842706.712704036</v>
      </c>
      <c r="N360" s="70" t="n">
        <f aca="false">N359+N358</f>
        <v>853302.314989332</v>
      </c>
      <c r="O360" s="70" t="n">
        <f aca="false">O359+O358</f>
        <v>836747.103954069</v>
      </c>
      <c r="P360" s="70" t="n">
        <f aca="false">P359+P358</f>
        <v>863777.085041995</v>
      </c>
      <c r="Q360" s="70" t="n">
        <f aca="false">Q359+Q358</f>
        <v>909839.436381123</v>
      </c>
      <c r="R360" s="70" t="n">
        <f aca="false">R359+R358</f>
        <v>959240.106545336</v>
      </c>
      <c r="S360" s="70" t="n">
        <f aca="false">S359+S358</f>
        <v>1012028.91148871</v>
      </c>
      <c r="T360" s="70" t="n">
        <f aca="false">T359+T358</f>
        <v>1063652.36112927</v>
      </c>
      <c r="U360" s="70" t="n">
        <f aca="false">U359+U358</f>
        <v>1111254.91423621</v>
      </c>
      <c r="V360" s="70" t="n">
        <f aca="false">V359+V358</f>
        <v>1161298.29106101</v>
      </c>
      <c r="W360" s="70" t="n">
        <f aca="false">W359+W358</f>
        <v>1213708.86191137</v>
      </c>
      <c r="X360" s="70" t="n">
        <f aca="false">X359+X358</f>
        <v>1268415.35324514</v>
      </c>
      <c r="Y360" s="70" t="n">
        <f aca="false">Y359+Y358</f>
        <v>1325348.77227352</v>
      </c>
      <c r="Z360" s="70" t="n">
        <f aca="false">Z359+Z358</f>
        <v>1372134.28837141</v>
      </c>
      <c r="AA360" s="70" t="n">
        <f aca="false">AA359+AA358</f>
        <v>1390222.61120625</v>
      </c>
      <c r="AB360" s="70" t="n">
        <f aca="false">AB359+AB358</f>
        <v>1450689.76726574</v>
      </c>
      <c r="AC360" s="70" t="n">
        <f aca="false">AC359+AC358</f>
        <v>1526655.59615005</v>
      </c>
      <c r="AD360" s="70" t="n">
        <f aca="false">AD359+AD358</f>
        <v>1604492.87344099</v>
      </c>
      <c r="AE360" s="70" t="n">
        <f aca="false">AE359+AE358</f>
        <v>1684556.21346493</v>
      </c>
      <c r="AF360" s="70" t="n">
        <f aca="false">AF359+AF358</f>
        <v>1766778.85888108</v>
      </c>
      <c r="AG360" s="70" t="n">
        <f aca="false">AG359+AG358</f>
        <v>1851096.18858356</v>
      </c>
      <c r="AH360" s="70" t="n">
        <f aca="false">AH359+AH358</f>
        <v>1937445.64934188</v>
      </c>
      <c r="AI360" s="70" t="n">
        <f aca="false">AI359+AI358</f>
        <v>2025766.68962891</v>
      </c>
      <c r="AJ360" s="70" t="n">
        <f aca="false">AJ359+AJ358</f>
        <v>2116000.6955664</v>
      </c>
      <c r="AK360" s="70" t="n">
        <f aca="false">AK359+AK358</f>
        <v>2208090.92892021</v>
      </c>
      <c r="AL360" s="70" t="n">
        <f aca="false">AL359+AL358</f>
        <v>2288697.84087389</v>
      </c>
    </row>
    <row r="361" customFormat="false" ht="15" hidden="false" customHeight="false" outlineLevel="0" collapsed="false">
      <c r="A361" s="116" t="s">
        <v>436</v>
      </c>
      <c r="C361" s="118" t="n">
        <f aca="false">IF(C315&gt;0,1,0)</f>
        <v>0</v>
      </c>
      <c r="D361" s="118" t="n">
        <f aca="false">IF(D315&gt;0,1,0)</f>
        <v>0</v>
      </c>
      <c r="E361" s="118" t="n">
        <f aca="false">IF(E315&gt;0,1,0)</f>
        <v>1</v>
      </c>
      <c r="F361" s="118" t="n">
        <f aca="false">IF(F315&gt;0,1,0)</f>
        <v>1</v>
      </c>
      <c r="G361" s="118" t="n">
        <f aca="false">IF(G315&gt;0,1,0)</f>
        <v>1</v>
      </c>
      <c r="H361" s="118" t="n">
        <f aca="false">IF(H315&gt;0,1,0)</f>
        <v>1</v>
      </c>
      <c r="I361" s="118" t="n">
        <f aca="false">IF(I315&gt;0,1,0)</f>
        <v>1</v>
      </c>
      <c r="J361" s="118" t="n">
        <f aca="false">IF(J315&gt;0,1,0)</f>
        <v>1</v>
      </c>
      <c r="K361" s="118" t="n">
        <f aca="false">IF(K315&gt;0,1,0)</f>
        <v>1</v>
      </c>
      <c r="L361" s="118" t="n">
        <f aca="false">IF(L315&gt;0,1,0)</f>
        <v>1</v>
      </c>
      <c r="M361" s="118" t="n">
        <f aca="false">IF(M315&gt;0,1,0)</f>
        <v>1</v>
      </c>
      <c r="N361" s="118" t="n">
        <f aca="false">IF(N315&gt;0,1,0)</f>
        <v>1</v>
      </c>
      <c r="O361" s="118" t="n">
        <f aca="false">IF(O315&gt;0,1,0)</f>
        <v>1</v>
      </c>
      <c r="P361" s="118" t="n">
        <f aca="false">IF(P315&gt;0,1,0)</f>
        <v>1</v>
      </c>
      <c r="Q361" s="118" t="n">
        <f aca="false">IF(Q315&gt;0,1,0)</f>
        <v>1</v>
      </c>
      <c r="R361" s="118" t="n">
        <f aca="false">IF(R315&gt;0,1,0)</f>
        <v>1</v>
      </c>
      <c r="S361" s="118" t="n">
        <f aca="false">IF(S315&gt;0,1,0)</f>
        <v>1</v>
      </c>
      <c r="T361" s="118" t="n">
        <f aca="false">IF(T315&gt;0,1,0)</f>
        <v>1</v>
      </c>
      <c r="U361" s="118" t="n">
        <f aca="false">IF(U315&gt;0,1,0)</f>
        <v>1</v>
      </c>
      <c r="V361" s="118" t="n">
        <f aca="false">IF(V315&gt;0,1,0)</f>
        <v>1</v>
      </c>
      <c r="W361" s="118" t="n">
        <f aca="false">IF(W315&gt;0,1,0)</f>
        <v>1</v>
      </c>
      <c r="X361" s="118" t="n">
        <f aca="false">IF(X315&gt;0,1,0)</f>
        <v>1</v>
      </c>
      <c r="Y361" s="118" t="n">
        <f aca="false">IF(Y315&gt;0,1,0)</f>
        <v>1</v>
      </c>
      <c r="Z361" s="118" t="n">
        <f aca="false">IF(Z315&gt;0,1,0)</f>
        <v>1</v>
      </c>
      <c r="AA361" s="118" t="n">
        <f aca="false">IF(AA315&gt;0,1,0)</f>
        <v>1</v>
      </c>
      <c r="AB361" s="118" t="n">
        <f aca="false">IF(AB315&gt;0,1,0)</f>
        <v>1</v>
      </c>
      <c r="AC361" s="118" t="n">
        <f aca="false">IF(AC315&gt;0,1,0)</f>
        <v>1</v>
      </c>
      <c r="AD361" s="118" t="n">
        <f aca="false">IF(AD315&gt;0,1,0)</f>
        <v>1</v>
      </c>
      <c r="AE361" s="118" t="n">
        <f aca="false">IF(AE315&gt;0,1,0)</f>
        <v>1</v>
      </c>
      <c r="AF361" s="118" t="n">
        <f aca="false">IF(AF315&gt;0,1,0)</f>
        <v>1</v>
      </c>
      <c r="AG361" s="118" t="n">
        <f aca="false">IF(AG315&gt;0,1,0)</f>
        <v>1</v>
      </c>
      <c r="AH361" s="118" t="n">
        <f aca="false">IF(AH315&gt;0,1,0)</f>
        <v>1</v>
      </c>
      <c r="AI361" s="118" t="n">
        <f aca="false">IF(AI315&gt;0,1,0)</f>
        <v>1</v>
      </c>
      <c r="AJ361" s="118" t="n">
        <f aca="false">IF(AJ315&gt;0,1,0)</f>
        <v>1</v>
      </c>
      <c r="AK361" s="118" t="n">
        <f aca="false">IF(AK315&gt;0,1,0)</f>
        <v>1</v>
      </c>
      <c r="AL361" s="118" t="n">
        <f aca="false">IF(AL315&gt;0,1,0)</f>
        <v>1</v>
      </c>
    </row>
    <row r="363" customFormat="false" ht="15.75" hidden="false" customHeight="true" outlineLevel="0" collapsed="false">
      <c r="A363" s="7" t="s">
        <v>437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customFormat="false" ht="15" hidden="false" customHeight="false" outlineLevel="0" collapsed="false">
      <c r="A364" s="116" t="s">
        <v>438</v>
      </c>
      <c r="C364" s="118" t="n">
        <f aca="false">IF(C324&gt;0,1,0)</f>
        <v>0</v>
      </c>
      <c r="D364" s="118" t="n">
        <f aca="false">IF(D324&gt;0,1,0)</f>
        <v>0</v>
      </c>
      <c r="E364" s="118" t="n">
        <f aca="false">IF(E324&gt;0,1,0)</f>
        <v>0</v>
      </c>
      <c r="F364" s="118" t="n">
        <f aca="false">IF(F324&gt;0,1,0)</f>
        <v>0</v>
      </c>
      <c r="G364" s="118" t="n">
        <f aca="false">IF(G324&gt;0,1,0)</f>
        <v>0</v>
      </c>
      <c r="H364" s="118" t="n">
        <f aca="false">IF(H324&gt;0,1,0)</f>
        <v>0</v>
      </c>
      <c r="I364" s="118" t="n">
        <f aca="false">IF(I324&gt;0,1,0)</f>
        <v>0</v>
      </c>
      <c r="J364" s="118" t="n">
        <f aca="false">IF(J324&gt;0,1,0)</f>
        <v>1</v>
      </c>
      <c r="K364" s="118" t="n">
        <f aca="false">IF(K324&gt;0,1,0)</f>
        <v>1</v>
      </c>
      <c r="L364" s="118" t="n">
        <f aca="false">IF(L324&gt;0,1,0)</f>
        <v>1</v>
      </c>
      <c r="M364" s="118" t="n">
        <f aca="false">IF(M324&gt;0,1,0)</f>
        <v>1</v>
      </c>
      <c r="N364" s="118" t="n">
        <f aca="false">IF(N324&gt;0,1,0)</f>
        <v>1</v>
      </c>
      <c r="O364" s="118" t="n">
        <f aca="false">IF(O324&gt;0,1,0)</f>
        <v>1</v>
      </c>
      <c r="P364" s="118" t="n">
        <f aca="false">IF(P324&gt;0,1,0)</f>
        <v>1</v>
      </c>
      <c r="Q364" s="118" t="n">
        <f aca="false">IF(Q324&gt;0,1,0)</f>
        <v>1</v>
      </c>
      <c r="R364" s="118" t="n">
        <f aca="false">IF(R324&gt;0,1,0)</f>
        <v>1</v>
      </c>
      <c r="S364" s="118" t="n">
        <f aca="false">IF(S324&gt;0,1,0)</f>
        <v>1</v>
      </c>
      <c r="T364" s="118" t="n">
        <f aca="false">IF(T324&gt;0,1,0)</f>
        <v>1</v>
      </c>
      <c r="U364" s="118" t="n">
        <f aca="false">IF(U324&gt;0,1,0)</f>
        <v>1</v>
      </c>
      <c r="V364" s="118" t="n">
        <f aca="false">IF(V324&gt;0,1,0)</f>
        <v>1</v>
      </c>
      <c r="W364" s="118" t="n">
        <f aca="false">IF(W324&gt;0,1,0)</f>
        <v>1</v>
      </c>
      <c r="X364" s="118" t="n">
        <f aca="false">IF(X324&gt;0,1,0)</f>
        <v>1</v>
      </c>
      <c r="Y364" s="118" t="n">
        <f aca="false">IF(Y324&gt;0,1,0)</f>
        <v>1</v>
      </c>
      <c r="Z364" s="118" t="n">
        <f aca="false">IF(Z324&gt;0,1,0)</f>
        <v>1</v>
      </c>
      <c r="AA364" s="118" t="n">
        <f aca="false">IF(AA324&gt;0,1,0)</f>
        <v>1</v>
      </c>
      <c r="AB364" s="118" t="n">
        <f aca="false">IF(AB324&gt;0,1,0)</f>
        <v>1</v>
      </c>
      <c r="AC364" s="118" t="n">
        <f aca="false">IF(AC324&gt;0,1,0)</f>
        <v>1</v>
      </c>
      <c r="AD364" s="118" t="n">
        <f aca="false">IF(AD324&gt;0,1,0)</f>
        <v>1</v>
      </c>
      <c r="AE364" s="118" t="n">
        <f aca="false">IF(AE324&gt;0,1,0)</f>
        <v>1</v>
      </c>
      <c r="AF364" s="118" t="n">
        <f aca="false">IF(AF324&gt;0,1,0)</f>
        <v>1</v>
      </c>
      <c r="AG364" s="118" t="n">
        <f aca="false">IF(AG324&gt;0,1,0)</f>
        <v>1</v>
      </c>
      <c r="AH364" s="118" t="n">
        <f aca="false">IF(AH324&gt;0,1,0)</f>
        <v>1</v>
      </c>
      <c r="AI364" s="118" t="n">
        <f aca="false">IF(AI324&gt;0,1,0)</f>
        <v>1</v>
      </c>
      <c r="AJ364" s="118" t="n">
        <f aca="false">IF(AJ324&gt;0,1,0)</f>
        <v>1</v>
      </c>
      <c r="AK364" s="118" t="n">
        <f aca="false">IF(AK324&gt;0,1,0)</f>
        <v>1</v>
      </c>
      <c r="AL364" s="118" t="n">
        <f aca="false">IF(AL324&gt;0,1,0)</f>
        <v>1</v>
      </c>
    </row>
    <row r="365" customFormat="false" ht="15" hidden="false" customHeight="false" outlineLevel="0" collapsed="false">
      <c r="A365" s="6" t="s">
        <v>439</v>
      </c>
      <c r="C365" s="69" t="n">
        <f aca="false">C354+C355</f>
        <v>-4147457.97857742</v>
      </c>
      <c r="D365" s="69" t="n">
        <f aca="false">D354+D355</f>
        <v>-37754.9783223577</v>
      </c>
      <c r="E365" s="69" t="n">
        <f aca="false">E354+E355</f>
        <v>-18698.2711141006</v>
      </c>
      <c r="F365" s="69" t="n">
        <f aca="false">F354+F355</f>
        <v>-8218.98916635963</v>
      </c>
      <c r="G365" s="69" t="n">
        <f aca="false">G354+G355</f>
        <v>2429.95266011941</v>
      </c>
      <c r="H365" s="69" t="n">
        <f aca="false">H354+H355</f>
        <v>13281.7695981321</v>
      </c>
      <c r="I365" s="69" t="n">
        <f aca="false">I354+I355</f>
        <v>24329.9696441093</v>
      </c>
      <c r="J365" s="69" t="n">
        <f aca="false">J354+J355</f>
        <v>35568.2685385962</v>
      </c>
      <c r="K365" s="69" t="n">
        <f aca="false">K354+K355</f>
        <v>39462.1930609061</v>
      </c>
      <c r="L365" s="69" t="n">
        <f aca="false">L354+L355</f>
        <v>43112.7064011793</v>
      </c>
      <c r="M365" s="69" t="n">
        <f aca="false">M354+M355</f>
        <v>46652.0699812305</v>
      </c>
      <c r="N365" s="69" t="n">
        <f aca="false">N354+N355</f>
        <v>35595.6022852959</v>
      </c>
      <c r="O365" s="69" t="n">
        <f aca="false">O354+O355</f>
        <v>8444.78896473697</v>
      </c>
      <c r="P365" s="69" t="n">
        <f aca="false">P354+P355</f>
        <v>52029.9810879254</v>
      </c>
      <c r="Q365" s="69" t="n">
        <f aca="false">Q354+Q355</f>
        <v>71062.3513391285</v>
      </c>
      <c r="R365" s="69" t="n">
        <f aca="false">R354+R355</f>
        <v>74400.6701642125</v>
      </c>
      <c r="S365" s="69" t="n">
        <f aca="false">S354+S355</f>
        <v>77788.8049433718</v>
      </c>
      <c r="T365" s="69" t="n">
        <f aca="false">T354+T355</f>
        <v>76623.4496405659</v>
      </c>
      <c r="U365" s="69" t="n">
        <f aca="false">U354+U355</f>
        <v>72602.5531069363</v>
      </c>
      <c r="V365" s="69" t="n">
        <f aca="false">V354+V355</f>
        <v>75043.3768248015</v>
      </c>
      <c r="W365" s="69" t="n">
        <f aca="false">W354+W355</f>
        <v>77410.5708503617</v>
      </c>
      <c r="X365" s="69" t="n">
        <f aca="false">X354+X355</f>
        <v>79706.4913337706</v>
      </c>
      <c r="Y365" s="69" t="n">
        <f aca="false">Y354+Y355</f>
        <v>81933.4190283772</v>
      </c>
      <c r="Z365" s="69" t="n">
        <f aca="false">Z354+Z355</f>
        <v>71785.5160978891</v>
      </c>
      <c r="AA365" s="69" t="n">
        <f aca="false">AA354+AA355</f>
        <v>43088.3228348428</v>
      </c>
      <c r="AB365" s="69" t="n">
        <f aca="false">AB354+AB355</f>
        <v>85467.1560594846</v>
      </c>
      <c r="AC365" s="69" t="n">
        <f aca="false">AC354+AC355</f>
        <v>100965.828884315</v>
      </c>
      <c r="AD365" s="69" t="n">
        <f aca="false">AD354+AD355</f>
        <v>102837.277290935</v>
      </c>
      <c r="AE365" s="69" t="n">
        <f aca="false">AE354+AE355</f>
        <v>105063.340023939</v>
      </c>
      <c r="AF365" s="69" t="n">
        <f aca="false">AF354+AF355</f>
        <v>107222.645416153</v>
      </c>
      <c r="AG365" s="69" t="n">
        <f aca="false">AG354+AG355</f>
        <v>109317.329702483</v>
      </c>
      <c r="AH365" s="69" t="n">
        <f aca="false">AH354+AH355</f>
        <v>111349.460758317</v>
      </c>
      <c r="AI365" s="69" t="n">
        <f aca="false">AI354+AI355</f>
        <v>113321.040287031</v>
      </c>
      <c r="AJ365" s="69" t="n">
        <f aca="false">AJ354+AJ355</f>
        <v>115234.005937493</v>
      </c>
      <c r="AK365" s="69" t="n">
        <f aca="false">AK354+AK355</f>
        <v>117090.233353807</v>
      </c>
      <c r="AL365" s="69" t="n">
        <f aca="false">AL354+AL355</f>
        <v>105606.911953676</v>
      </c>
    </row>
    <row r="366" customFormat="false" ht="15" hidden="false" customHeight="false" outlineLevel="0" collapsed="false">
      <c r="A366" s="6" t="s">
        <v>440</v>
      </c>
      <c r="C366" s="69" t="n">
        <f aca="false">C365</f>
        <v>-4147457.97857742</v>
      </c>
      <c r="D366" s="69" t="n">
        <f aca="false">C366+D365</f>
        <v>-4185212.95689978</v>
      </c>
      <c r="E366" s="69" t="n">
        <f aca="false">D366+E365</f>
        <v>-4203911.22801388</v>
      </c>
      <c r="F366" s="69" t="n">
        <f aca="false">E366+F365</f>
        <v>-4212130.21718024</v>
      </c>
      <c r="G366" s="69" t="n">
        <f aca="false">F366+G365</f>
        <v>-4209700.26452012</v>
      </c>
      <c r="H366" s="69" t="n">
        <f aca="false">G366+H365</f>
        <v>-4196418.49492199</v>
      </c>
      <c r="I366" s="69" t="n">
        <f aca="false">H366+I365</f>
        <v>-4172088.52527788</v>
      </c>
      <c r="J366" s="69" t="n">
        <f aca="false">I366+J365</f>
        <v>-4136520.25673928</v>
      </c>
      <c r="K366" s="69" t="n">
        <f aca="false">J366+K365</f>
        <v>-4097058.06367837</v>
      </c>
      <c r="L366" s="69" t="n">
        <f aca="false">K366+L365</f>
        <v>-4053945.35727719</v>
      </c>
      <c r="M366" s="69" t="n">
        <f aca="false">L366+M365</f>
        <v>-4007293.28729596</v>
      </c>
      <c r="N366" s="69" t="n">
        <f aca="false">M366+N365</f>
        <v>-3971697.68501067</v>
      </c>
      <c r="O366" s="69" t="n">
        <f aca="false">N366+O365</f>
        <v>-3963252.89604593</v>
      </c>
      <c r="P366" s="69" t="n">
        <f aca="false">O366+P365</f>
        <v>-3911222.91495801</v>
      </c>
      <c r="Q366" s="69" t="n">
        <f aca="false">P366+Q365</f>
        <v>-3840160.56361888</v>
      </c>
      <c r="R366" s="69" t="n">
        <f aca="false">Q366+R365</f>
        <v>-3765759.89345467</v>
      </c>
      <c r="S366" s="69" t="n">
        <f aca="false">R366+S365</f>
        <v>-3687971.08851129</v>
      </c>
      <c r="T366" s="69" t="n">
        <f aca="false">S366+T365</f>
        <v>-3611347.63887073</v>
      </c>
      <c r="U366" s="69" t="n">
        <f aca="false">T366+U365</f>
        <v>-3538745.08576379</v>
      </c>
      <c r="V366" s="69" t="n">
        <f aca="false">U366+V365</f>
        <v>-3463701.70893899</v>
      </c>
      <c r="W366" s="69" t="n">
        <f aca="false">V366+W365</f>
        <v>-3386291.13808863</v>
      </c>
      <c r="X366" s="69" t="n">
        <f aca="false">W366+X365</f>
        <v>-3306584.64675486</v>
      </c>
      <c r="Y366" s="69" t="n">
        <f aca="false">X366+Y365</f>
        <v>-3224651.22772648</v>
      </c>
      <c r="Z366" s="69" t="n">
        <f aca="false">Y366+Z365</f>
        <v>-3152865.71162859</v>
      </c>
      <c r="AA366" s="69" t="n">
        <f aca="false">Z366+AA365</f>
        <v>-3109777.38879375</v>
      </c>
      <c r="AB366" s="69" t="n">
        <f aca="false">AA366+AB365</f>
        <v>-3024310.23273426</v>
      </c>
      <c r="AC366" s="69" t="n">
        <f aca="false">AB366+AC365</f>
        <v>-2923344.40384995</v>
      </c>
      <c r="AD366" s="69" t="n">
        <f aca="false">AC366+AD365</f>
        <v>-2820507.12655901</v>
      </c>
      <c r="AE366" s="69" t="n">
        <f aca="false">AD366+AE365</f>
        <v>-2715443.78653508</v>
      </c>
      <c r="AF366" s="69" t="n">
        <f aca="false">AE366+AF365</f>
        <v>-2608221.14111892</v>
      </c>
      <c r="AG366" s="69" t="n">
        <f aca="false">AF366+AG365</f>
        <v>-2498903.81141644</v>
      </c>
      <c r="AH366" s="69" t="n">
        <f aca="false">AG366+AH365</f>
        <v>-2387554.35065812</v>
      </c>
      <c r="AI366" s="69" t="n">
        <f aca="false">AH366+AI365</f>
        <v>-2274233.31037109</v>
      </c>
      <c r="AJ366" s="69" t="n">
        <f aca="false">AI366+AJ365</f>
        <v>-2158999.3044336</v>
      </c>
      <c r="AK366" s="69" t="n">
        <f aca="false">AJ366+AK365</f>
        <v>-2041909.07107979</v>
      </c>
      <c r="AL366" s="69" t="n">
        <f aca="false">AK366+AL365</f>
        <v>-1936302.15912612</v>
      </c>
    </row>
    <row r="367" customFormat="false" ht="15" hidden="false" customHeight="false" outlineLevel="0" collapsed="false">
      <c r="A367" s="116" t="s">
        <v>441</v>
      </c>
      <c r="C367" s="69" t="n">
        <f aca="false">C366</f>
        <v>-4147457.97857742</v>
      </c>
      <c r="D367" s="69" t="n">
        <f aca="false">MIN(C367,D366)</f>
        <v>-4185212.95689978</v>
      </c>
      <c r="E367" s="69" t="n">
        <f aca="false">MIN(D367,E366)</f>
        <v>-4203911.22801388</v>
      </c>
      <c r="F367" s="69" t="n">
        <f aca="false">MIN(E367,F366)</f>
        <v>-4212130.21718024</v>
      </c>
      <c r="G367" s="69" t="n">
        <f aca="false">MIN(F367,G366)</f>
        <v>-4212130.21718024</v>
      </c>
      <c r="H367" s="69" t="n">
        <f aca="false">MIN(G367,H366)</f>
        <v>-4212130.21718024</v>
      </c>
      <c r="I367" s="69" t="n">
        <f aca="false">MIN(H367,I366)</f>
        <v>-4212130.21718024</v>
      </c>
      <c r="J367" s="69" t="n">
        <f aca="false">MIN(I367,J366)</f>
        <v>-4212130.21718024</v>
      </c>
      <c r="K367" s="69" t="n">
        <f aca="false">MIN(J367,K366)</f>
        <v>-4212130.21718024</v>
      </c>
      <c r="L367" s="69" t="n">
        <f aca="false">MIN(K367,L366)</f>
        <v>-4212130.21718024</v>
      </c>
      <c r="M367" s="69" t="n">
        <f aca="false">MIN(L367,M366)</f>
        <v>-4212130.21718024</v>
      </c>
      <c r="N367" s="69" t="n">
        <f aca="false">MIN(M367,N366)</f>
        <v>-4212130.21718024</v>
      </c>
      <c r="O367" s="69" t="n">
        <f aca="false">MIN(N367,O366)</f>
        <v>-4212130.21718024</v>
      </c>
      <c r="P367" s="69" t="n">
        <f aca="false">MIN(O367,P366)</f>
        <v>-4212130.21718024</v>
      </c>
      <c r="Q367" s="69" t="n">
        <f aca="false">MIN(P367,Q366)</f>
        <v>-4212130.21718024</v>
      </c>
      <c r="R367" s="69" t="n">
        <f aca="false">MIN(Q367,R366)</f>
        <v>-4212130.21718024</v>
      </c>
      <c r="S367" s="69" t="n">
        <f aca="false">MIN(R367,S366)</f>
        <v>-4212130.21718024</v>
      </c>
      <c r="T367" s="69" t="n">
        <f aca="false">MIN(S367,T366)</f>
        <v>-4212130.21718024</v>
      </c>
      <c r="U367" s="69" t="n">
        <f aca="false">MIN(T367,U366)</f>
        <v>-4212130.21718024</v>
      </c>
      <c r="V367" s="69" t="n">
        <f aca="false">MIN(U367,V366)</f>
        <v>-4212130.21718024</v>
      </c>
      <c r="W367" s="69" t="n">
        <f aca="false">MIN(V367,W366)</f>
        <v>-4212130.21718024</v>
      </c>
      <c r="X367" s="69" t="n">
        <f aca="false">MIN(W367,X366)</f>
        <v>-4212130.21718024</v>
      </c>
      <c r="Y367" s="69" t="n">
        <f aca="false">MIN(X367,Y366)</f>
        <v>-4212130.21718024</v>
      </c>
      <c r="Z367" s="69" t="n">
        <f aca="false">MIN(Y367,Z366)</f>
        <v>-4212130.21718024</v>
      </c>
      <c r="AA367" s="69" t="n">
        <f aca="false">MIN(Z367,AA366)</f>
        <v>-4212130.21718024</v>
      </c>
      <c r="AB367" s="69" t="n">
        <f aca="false">MIN(AA367,AB366)</f>
        <v>-4212130.21718024</v>
      </c>
      <c r="AC367" s="69" t="n">
        <f aca="false">MIN(AB367,AC366)</f>
        <v>-4212130.21718024</v>
      </c>
      <c r="AD367" s="69" t="n">
        <f aca="false">MIN(AC367,AD366)</f>
        <v>-4212130.21718024</v>
      </c>
      <c r="AE367" s="69" t="n">
        <f aca="false">MIN(AD367,AE366)</f>
        <v>-4212130.21718024</v>
      </c>
      <c r="AF367" s="69" t="n">
        <f aca="false">MIN(AE367,AF366)</f>
        <v>-4212130.21718024</v>
      </c>
      <c r="AG367" s="69" t="n">
        <f aca="false">MIN(AF367,AG366)</f>
        <v>-4212130.21718024</v>
      </c>
      <c r="AH367" s="69" t="n">
        <f aca="false">MIN(AG367,AH366)</f>
        <v>-4212130.21718024</v>
      </c>
      <c r="AI367" s="69" t="n">
        <f aca="false">MIN(AH367,AI366)</f>
        <v>-4212130.21718024</v>
      </c>
      <c r="AJ367" s="69" t="n">
        <f aca="false">MIN(AI367,AJ366)</f>
        <v>-4212130.21718024</v>
      </c>
      <c r="AK367" s="69" t="n">
        <f aca="false">MIN(AJ367,AK366)</f>
        <v>-4212130.21718024</v>
      </c>
      <c r="AL367" s="69" t="n">
        <f aca="false">MIN(AK367,AL366)</f>
        <v>-4212130.21718024</v>
      </c>
    </row>
    <row r="368" customFormat="false" ht="15" hidden="false" customHeight="false" outlineLevel="0" collapsed="false">
      <c r="A368" s="116" t="s">
        <v>442</v>
      </c>
      <c r="C368" s="118" t="n">
        <f aca="false">IF(AND(C366&gt;=0,C367&lt;0),1,0)</f>
        <v>0</v>
      </c>
      <c r="D368" s="118" t="n">
        <f aca="false">IF(AND(D366&gt;=0,D367&lt;0),1,0)</f>
        <v>0</v>
      </c>
      <c r="E368" s="118" t="n">
        <f aca="false">IF(AND(E366&gt;=0,E367&lt;0),1,0)</f>
        <v>0</v>
      </c>
      <c r="F368" s="118" t="n">
        <f aca="false">IF(AND(F366&gt;=0,F367&lt;0),1,0)</f>
        <v>0</v>
      </c>
      <c r="G368" s="118" t="n">
        <f aca="false">IF(AND(G366&gt;=0,G367&lt;0),1,0)</f>
        <v>0</v>
      </c>
      <c r="H368" s="118" t="n">
        <f aca="false">IF(AND(H366&gt;=0,H367&lt;0),1,0)</f>
        <v>0</v>
      </c>
      <c r="I368" s="118" t="n">
        <f aca="false">IF(AND(I366&gt;=0,I367&lt;0),1,0)</f>
        <v>0</v>
      </c>
      <c r="J368" s="118" t="n">
        <f aca="false">IF(AND(J366&gt;=0,J367&lt;0),1,0)</f>
        <v>0</v>
      </c>
      <c r="K368" s="118" t="n">
        <f aca="false">IF(AND(K366&gt;=0,K367&lt;0),1,0)</f>
        <v>0</v>
      </c>
      <c r="L368" s="118" t="n">
        <f aca="false">IF(AND(L366&gt;=0,L367&lt;0),1,0)</f>
        <v>0</v>
      </c>
      <c r="M368" s="118" t="n">
        <f aca="false">IF(AND(M366&gt;=0,M367&lt;0),1,0)</f>
        <v>0</v>
      </c>
      <c r="N368" s="118" t="n">
        <f aca="false">IF(AND(N366&gt;=0,N367&lt;0),1,0)</f>
        <v>0</v>
      </c>
      <c r="O368" s="118" t="n">
        <f aca="false">IF(AND(O366&gt;=0,O367&lt;0),1,0)</f>
        <v>0</v>
      </c>
      <c r="P368" s="118" t="n">
        <f aca="false">IF(AND(P366&gt;=0,P367&lt;0),1,0)</f>
        <v>0</v>
      </c>
      <c r="Q368" s="118" t="n">
        <f aca="false">IF(AND(Q366&gt;=0,Q367&lt;0),1,0)</f>
        <v>0</v>
      </c>
      <c r="R368" s="118" t="n">
        <f aca="false">IF(AND(R366&gt;=0,R367&lt;0),1,0)</f>
        <v>0</v>
      </c>
      <c r="S368" s="118" t="n">
        <f aca="false">IF(AND(S366&gt;=0,S367&lt;0),1,0)</f>
        <v>0</v>
      </c>
      <c r="T368" s="118" t="n">
        <f aca="false">IF(AND(T366&gt;=0,T367&lt;0),1,0)</f>
        <v>0</v>
      </c>
      <c r="U368" s="118" t="n">
        <f aca="false">IF(AND(U366&gt;=0,U367&lt;0),1,0)</f>
        <v>0</v>
      </c>
      <c r="V368" s="118" t="n">
        <f aca="false">IF(AND(V366&gt;=0,V367&lt;0),1,0)</f>
        <v>0</v>
      </c>
      <c r="W368" s="118" t="n">
        <f aca="false">IF(AND(W366&gt;=0,W367&lt;0),1,0)</f>
        <v>0</v>
      </c>
      <c r="X368" s="118" t="n">
        <f aca="false">IF(AND(X366&gt;=0,X367&lt;0),1,0)</f>
        <v>0</v>
      </c>
      <c r="Y368" s="118" t="n">
        <f aca="false">IF(AND(Y366&gt;=0,Y367&lt;0),1,0)</f>
        <v>0</v>
      </c>
      <c r="Z368" s="118" t="n">
        <f aca="false">IF(AND(Z366&gt;=0,Z367&lt;0),1,0)</f>
        <v>0</v>
      </c>
      <c r="AA368" s="118" t="n">
        <f aca="false">IF(AND(AA366&gt;=0,AA367&lt;0),1,0)</f>
        <v>0</v>
      </c>
      <c r="AB368" s="118" t="n">
        <f aca="false">IF(AND(AB366&gt;=0,AB367&lt;0),1,0)</f>
        <v>0</v>
      </c>
      <c r="AC368" s="118" t="n">
        <f aca="false">IF(AND(AC366&gt;=0,AC367&lt;0),1,0)</f>
        <v>0</v>
      </c>
      <c r="AD368" s="118" t="n">
        <f aca="false">IF(AND(AD366&gt;=0,AD367&lt;0),1,0)</f>
        <v>0</v>
      </c>
      <c r="AE368" s="118" t="n">
        <f aca="false">IF(AND(AE366&gt;=0,AE367&lt;0),1,0)</f>
        <v>0</v>
      </c>
      <c r="AF368" s="118" t="n">
        <f aca="false">IF(AND(AF366&gt;=0,AF367&lt;0),1,0)</f>
        <v>0</v>
      </c>
      <c r="AG368" s="118" t="n">
        <f aca="false">IF(AND(AG366&gt;=0,AG367&lt;0),1,0)</f>
        <v>0</v>
      </c>
      <c r="AH368" s="118" t="n">
        <f aca="false">IF(AND(AH366&gt;=0,AH367&lt;0),1,0)</f>
        <v>0</v>
      </c>
      <c r="AI368" s="118" t="n">
        <f aca="false">IF(AND(AI366&gt;=0,AI367&lt;0),1,0)</f>
        <v>0</v>
      </c>
      <c r="AJ368" s="118" t="n">
        <f aca="false">IF(AND(AJ366&gt;=0,AJ367&lt;0),1,0)</f>
        <v>0</v>
      </c>
      <c r="AK368" s="118" t="n">
        <f aca="false">IF(AND(AK366&gt;=0,AK367&lt;0),1,0)</f>
        <v>0</v>
      </c>
      <c r="AL368" s="118" t="n">
        <f aca="false">IF(AND(AL366&gt;=0,AL367&lt;0),1,0)</f>
        <v>0</v>
      </c>
    </row>
    <row r="369" customFormat="false" ht="15" hidden="false" customHeight="false" outlineLevel="0" collapsed="false">
      <c r="A369" s="6" t="s">
        <v>443</v>
      </c>
      <c r="C369" s="69" t="n">
        <f aca="false">C354-C319*(1-Inputs!$D$81)+C355</f>
        <v>-4130670.47857742</v>
      </c>
      <c r="D369" s="69" t="n">
        <f aca="false">D354-D319*(1-Inputs!$D$81)+D355</f>
        <v>-21037.4262390243</v>
      </c>
      <c r="E369" s="69" t="n">
        <f aca="false">E354-E319*(1-Inputs!$D$81)+E355</f>
        <v>-2120.61486410055</v>
      </c>
      <c r="F369" s="69" t="n">
        <f aca="false">F354-F319*(1-Inputs!$D$81)+F355</f>
        <v>8218.77125030704</v>
      </c>
      <c r="G369" s="69" t="n">
        <f aca="false">G354-G319*(1-Inputs!$D$81)+G355</f>
        <v>18727.8172434527</v>
      </c>
      <c r="H369" s="69" t="n">
        <f aca="false">H354-H319*(1-Inputs!$D$81)+H355</f>
        <v>29439.7383481321</v>
      </c>
      <c r="I369" s="69" t="n">
        <f aca="false">I354-I319*(1-Inputs!$D$81)+I355</f>
        <v>40348.042560776</v>
      </c>
      <c r="J369" s="69" t="n">
        <f aca="false">J354-J319*(1-Inputs!$D$81)+J355</f>
        <v>51446.4456219296</v>
      </c>
      <c r="K369" s="69" t="n">
        <f aca="false">K354-K319*(1-Inputs!$D$81)+K355</f>
        <v>55200.4743109061</v>
      </c>
      <c r="L369" s="69" t="n">
        <f aca="false">L354-L319*(1-Inputs!$D$81)+L355</f>
        <v>58711.091817846</v>
      </c>
      <c r="M369" s="69" t="n">
        <f aca="false">M354-M319*(1-Inputs!$D$81)+M355</f>
        <v>62110.5595645638</v>
      </c>
      <c r="N369" s="69" t="n">
        <f aca="false">N354-N319*(1-Inputs!$D$81)+N355</f>
        <v>50914.1960352959</v>
      </c>
      <c r="O369" s="69" t="n">
        <f aca="false">O354-O319*(1-Inputs!$D$81)+O355</f>
        <v>23623.4868814036</v>
      </c>
      <c r="P369" s="69" t="n">
        <f aca="false">P354-P319*(1-Inputs!$D$81)+P355</f>
        <v>67068.7831712588</v>
      </c>
      <c r="Q369" s="69" t="n">
        <f aca="false">Q354-Q319*(1-Inputs!$D$81)+Q355</f>
        <v>85961.2575891285</v>
      </c>
      <c r="R369" s="69" t="n">
        <f aca="false">R354-R319*(1-Inputs!$D$81)+R355</f>
        <v>89159.6805808792</v>
      </c>
      <c r="S369" s="69" t="n">
        <f aca="false">S354-S319*(1-Inputs!$D$81)+S355</f>
        <v>92407.9195267052</v>
      </c>
      <c r="T369" s="69" t="n">
        <f aca="false">T354-T319*(1-Inputs!$D$81)+T355</f>
        <v>91102.6683905659</v>
      </c>
      <c r="U369" s="69" t="n">
        <f aca="false">U354-U319*(1-Inputs!$D$81)+U355</f>
        <v>86941.876023603</v>
      </c>
      <c r="V369" s="69" t="n">
        <f aca="false">V354-V319*(1-Inputs!$D$81)+V355</f>
        <v>89242.8039081348</v>
      </c>
      <c r="W369" s="69" t="n">
        <f aca="false">W354-W319*(1-Inputs!$D$81)+W355</f>
        <v>91470.1021003617</v>
      </c>
      <c r="X369" s="69" t="n">
        <f aca="false">X354-X319*(1-Inputs!$D$81)+X355</f>
        <v>93626.1267504373</v>
      </c>
      <c r="Y369" s="69" t="n">
        <f aca="false">Y354-Y319*(1-Inputs!$D$81)+Y355</f>
        <v>95713.1586117105</v>
      </c>
      <c r="Z369" s="69" t="n">
        <f aca="false">Z354-Z319*(1-Inputs!$D$81)+Z355</f>
        <v>85425.3598478891</v>
      </c>
      <c r="AA369" s="69" t="n">
        <f aca="false">AA354-AA319*(1-Inputs!$D$81)+AA355</f>
        <v>56588.2707515095</v>
      </c>
      <c r="AB369" s="69" t="n">
        <f aca="false">AB354-AB319*(1-Inputs!$D$81)+AB355</f>
        <v>98827.2081428179</v>
      </c>
      <c r="AC369" s="69" t="n">
        <f aca="false">AC354-AC319*(1-Inputs!$D$81)+AC355</f>
        <v>114185.985134315</v>
      </c>
      <c r="AD369" s="69" t="n">
        <f aca="false">AD354-AD319*(1-Inputs!$D$81)+AD355</f>
        <v>115917.537707602</v>
      </c>
      <c r="AE369" s="69" t="n">
        <f aca="false">AE354-AE319*(1-Inputs!$D$81)+AE355</f>
        <v>118003.704607272</v>
      </c>
      <c r="AF369" s="69" t="n">
        <f aca="false">AF354-AF319*(1-Inputs!$D$81)+AF355</f>
        <v>120023.114166153</v>
      </c>
      <c r="AG369" s="69" t="n">
        <f aca="false">AG354-AG319*(1-Inputs!$D$81)+AG355</f>
        <v>121977.90261915</v>
      </c>
      <c r="AH369" s="69" t="n">
        <f aca="false">AH354-AH319*(1-Inputs!$D$81)+AH355</f>
        <v>123870.13784165</v>
      </c>
      <c r="AI369" s="69" t="n">
        <f aca="false">AI354-AI319*(1-Inputs!$D$81)+AI355</f>
        <v>125701.821537031</v>
      </c>
      <c r="AJ369" s="69" t="n">
        <f aca="false">AJ354-AJ319*(1-Inputs!$D$81)+AJ355</f>
        <v>127474.89135416</v>
      </c>
      <c r="AK369" s="69" t="n">
        <f aca="false">AK354-AK319*(1-Inputs!$D$81)+AK355</f>
        <v>129191.22293714</v>
      </c>
      <c r="AL369" s="69" t="n">
        <f aca="false">AL354-AL319*(1-Inputs!$D$81)+AL355</f>
        <v>117568.005703676</v>
      </c>
    </row>
    <row r="371" customFormat="false" ht="15.75" hidden="false" customHeight="true" outlineLevel="0" collapsed="false">
      <c r="A371" s="7" t="s">
        <v>444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customFormat="false" ht="15" hidden="false" customHeight="false" outlineLevel="0" collapsed="false">
      <c r="A372" s="6" t="s">
        <v>97</v>
      </c>
      <c r="C372" s="69" t="n">
        <f aca="false">C356</f>
        <v>2100000</v>
      </c>
      <c r="D372" s="69" t="n">
        <f aca="false">C372+D356</f>
        <v>2100000</v>
      </c>
      <c r="E372" s="69" t="n">
        <f aca="false">D372+E356</f>
        <v>2100000</v>
      </c>
      <c r="F372" s="69" t="n">
        <f aca="false">E372+F356</f>
        <v>2100000</v>
      </c>
      <c r="G372" s="69" t="n">
        <f aca="false">F372+G356</f>
        <v>2100000</v>
      </c>
      <c r="H372" s="69" t="n">
        <f aca="false">G372+H356</f>
        <v>2100000</v>
      </c>
      <c r="I372" s="69" t="n">
        <f aca="false">H372+I356</f>
        <v>2100000</v>
      </c>
      <c r="J372" s="69" t="n">
        <f aca="false">I372+J356</f>
        <v>2100000</v>
      </c>
      <c r="K372" s="69" t="n">
        <f aca="false">J372+K356</f>
        <v>2100000</v>
      </c>
      <c r="L372" s="69" t="n">
        <f aca="false">K372+L356</f>
        <v>2100000</v>
      </c>
      <c r="M372" s="69" t="n">
        <f aca="false">L372+M356</f>
        <v>2100000</v>
      </c>
      <c r="N372" s="69" t="n">
        <f aca="false">M372+N356</f>
        <v>2100000</v>
      </c>
      <c r="O372" s="69" t="n">
        <f aca="false">N372+O356</f>
        <v>2100000</v>
      </c>
      <c r="P372" s="69" t="n">
        <f aca="false">O372+P356</f>
        <v>2100000</v>
      </c>
      <c r="Q372" s="69" t="n">
        <f aca="false">P372+Q356</f>
        <v>2100000</v>
      </c>
      <c r="R372" s="69" t="n">
        <f aca="false">Q372+R356</f>
        <v>2100000</v>
      </c>
      <c r="S372" s="69" t="n">
        <f aca="false">R372+S356</f>
        <v>2100000</v>
      </c>
      <c r="T372" s="69" t="n">
        <f aca="false">S372+T356</f>
        <v>2100000</v>
      </c>
      <c r="U372" s="69" t="n">
        <f aca="false">T372+U356</f>
        <v>2100000</v>
      </c>
      <c r="V372" s="69" t="n">
        <f aca="false">U372+V356</f>
        <v>2100000</v>
      </c>
      <c r="W372" s="69" t="n">
        <f aca="false">V372+W356</f>
        <v>2100000</v>
      </c>
      <c r="X372" s="69" t="n">
        <f aca="false">W372+X356</f>
        <v>2100000</v>
      </c>
      <c r="Y372" s="69" t="n">
        <f aca="false">X372+Y356</f>
        <v>2100000</v>
      </c>
      <c r="Z372" s="69" t="n">
        <f aca="false">Y372+Z356</f>
        <v>2100000</v>
      </c>
      <c r="AA372" s="69" t="n">
        <f aca="false">Z372+AA356</f>
        <v>2100000</v>
      </c>
      <c r="AB372" s="69" t="n">
        <f aca="false">AA372+AB356</f>
        <v>2100000</v>
      </c>
      <c r="AC372" s="69" t="n">
        <f aca="false">AB372+AC356</f>
        <v>2100000</v>
      </c>
      <c r="AD372" s="69" t="n">
        <f aca="false">AC372+AD356</f>
        <v>2100000</v>
      </c>
      <c r="AE372" s="69" t="n">
        <f aca="false">AD372+AE356</f>
        <v>2100000</v>
      </c>
      <c r="AF372" s="69" t="n">
        <f aca="false">AE372+AF356</f>
        <v>2100000</v>
      </c>
      <c r="AG372" s="69" t="n">
        <f aca="false">AF372+AG356</f>
        <v>2100000</v>
      </c>
      <c r="AH372" s="69" t="n">
        <f aca="false">AG372+AH356</f>
        <v>2100000</v>
      </c>
      <c r="AI372" s="69" t="n">
        <f aca="false">AH372+AI356</f>
        <v>2100000</v>
      </c>
      <c r="AJ372" s="69" t="n">
        <f aca="false">AI372+AJ356</f>
        <v>2100000</v>
      </c>
      <c r="AK372" s="69" t="n">
        <f aca="false">AJ372+AK356</f>
        <v>2100000</v>
      </c>
      <c r="AL372" s="69" t="n">
        <f aca="false">AK372+AL356</f>
        <v>2100000</v>
      </c>
    </row>
    <row r="373" customFormat="false" ht="15" hidden="false" customHeight="false" outlineLevel="0" collapsed="false">
      <c r="A373" s="6" t="s">
        <v>98</v>
      </c>
      <c r="C373" s="69" t="n">
        <f aca="false">C324</f>
        <v>-74865.8196725689</v>
      </c>
      <c r="D373" s="69" t="n">
        <f aca="false">C373+D324</f>
        <v>-140962.851628205</v>
      </c>
      <c r="E373" s="69" t="n">
        <f aca="false">D373+E324</f>
        <v>-187963.851502773</v>
      </c>
      <c r="F373" s="69" t="n">
        <f aca="false">E373+F324</f>
        <v>-224525.412074998</v>
      </c>
      <c r="G373" s="69" t="n">
        <f aca="false">F373+G324</f>
        <v>-250437.954152574</v>
      </c>
      <c r="H373" s="69" t="n">
        <f aca="false">G373+H324</f>
        <v>-265498.605077348</v>
      </c>
      <c r="I373" s="69" t="n">
        <f aca="false">H373+I324</f>
        <v>-269510.984116231</v>
      </c>
      <c r="J373" s="69" t="n">
        <f aca="false">I373+J324</f>
        <v>-262284.994719588</v>
      </c>
      <c r="K373" s="69" t="n">
        <f aca="false">J373+K324</f>
        <v>-251293.711243194</v>
      </c>
      <c r="L373" s="69" t="n">
        <f aca="false">K373+L324</f>
        <v>-236651.956430933</v>
      </c>
      <c r="M373" s="69" t="n">
        <f aca="false">L373+M324</f>
        <v>-218470.878698886</v>
      </c>
      <c r="N373" s="69" t="n">
        <f aca="false">M373+N324</f>
        <v>-211223.770257511</v>
      </c>
      <c r="O373" s="69" t="n">
        <f aca="false">N373+O324</f>
        <v>-191292.80004697</v>
      </c>
      <c r="P373" s="69" t="n">
        <f aca="false">O373+P324</f>
        <v>-167984.895727699</v>
      </c>
      <c r="Q373" s="69" t="n">
        <f aca="false">P373+Q324</f>
        <v>-125826.193778365</v>
      </c>
      <c r="R373" s="69" t="n">
        <f aca="false">Q373+R324</f>
        <v>-80173.2807336621</v>
      </c>
      <c r="S373" s="69" t="n">
        <f aca="false">R373+S324</f>
        <v>-31132.3046819758</v>
      </c>
      <c r="T373" s="69" t="n">
        <f aca="false">S373+T324</f>
        <v>16743.2465914386</v>
      </c>
      <c r="U373" s="69" t="n">
        <f aca="false">T373+U324</f>
        <v>60597.8340789722</v>
      </c>
      <c r="V373" s="69" t="n">
        <f aca="false">U373+V324</f>
        <v>106893.180184192</v>
      </c>
      <c r="W373" s="69" t="n">
        <f aca="false">V373+W324</f>
        <v>155555.657297998</v>
      </c>
      <c r="X373" s="69" t="n">
        <f aca="false">W373+X324</f>
        <v>206513.993894784</v>
      </c>
      <c r="Y373" s="69" t="n">
        <f aca="false">X373+Y324</f>
        <v>259699.199137759</v>
      </c>
      <c r="Z373" s="69" t="n">
        <f aca="false">Y373+Z324</f>
        <v>303133.23668328</v>
      </c>
      <c r="AA373" s="69" t="n">
        <f aca="false">Z373+AA324</f>
        <v>357463.679075649</v>
      </c>
      <c r="AB373" s="69" t="n">
        <f aca="false">AA373+AB324</f>
        <v>413925.71004844</v>
      </c>
      <c r="AC373" s="69" t="n">
        <f aca="false">AB373+AC324</f>
        <v>485442.957133295</v>
      </c>
      <c r="AD373" s="69" t="n">
        <f aca="false">AC373+AD324</f>
        <v>559255.142362192</v>
      </c>
      <c r="AE373" s="69" t="n">
        <f aca="false">AD373+AE324</f>
        <v>635293.304381189</v>
      </c>
      <c r="AF373" s="69" t="n">
        <f aca="false">AE373+AF324</f>
        <v>713490.68859967</v>
      </c>
      <c r="AG373" s="69" t="n">
        <f aca="false">AF373+AG324</f>
        <v>793782.676573917</v>
      </c>
      <c r="AH373" s="69" t="n">
        <f aca="false">AG373+AH324</f>
        <v>876106.717650414</v>
      </c>
      <c r="AI373" s="69" t="n">
        <f aca="false">AH373+AI324</f>
        <v>960402.262796553</v>
      </c>
      <c r="AJ373" s="69" t="n">
        <f aca="false">AI373+AJ324</f>
        <v>1046610.70054877</v>
      </c>
      <c r="AK373" s="69" t="n">
        <f aca="false">AJ373+AK324</f>
        <v>1134675.29501035</v>
      </c>
      <c r="AL373" s="69" t="n">
        <f aca="false">AK373+AL324</f>
        <v>1211875.96745087</v>
      </c>
    </row>
    <row r="374" customFormat="false" ht="15" hidden="false" customHeight="false" outlineLevel="0" collapsed="false">
      <c r="A374" s="4" t="s">
        <v>93</v>
      </c>
      <c r="C374" s="75" t="n">
        <f aca="false">C360+C346+C347+C337</f>
        <v>5031495.07151655</v>
      </c>
      <c r="D374" s="75" t="n">
        <f aca="false">D360+D346+D347+D337</f>
        <v>4941213.5204356</v>
      </c>
      <c r="E374" s="75" t="n">
        <f aca="false">E360+E346+E347+E337</f>
        <v>4871197.55653938</v>
      </c>
      <c r="F374" s="75" t="n">
        <f aca="false">F360+F346+F347+F337</f>
        <v>4810644.18914578</v>
      </c>
      <c r="G374" s="75" t="n">
        <f aca="false">G360+G346+G347+G337</f>
        <v>4760765.10438862</v>
      </c>
      <c r="H374" s="75" t="n">
        <f aca="false">H360+H346+H347+H337</f>
        <v>4721762.36647351</v>
      </c>
      <c r="I374" s="75" t="n">
        <f aca="false">I360+I346+I347+I337</f>
        <v>4693831.57355149</v>
      </c>
      <c r="J374" s="75" t="n">
        <f aca="false">J360+J346+J347+J337</f>
        <v>4677162.06463276</v>
      </c>
      <c r="K374" s="75" t="n">
        <f aca="false">K360+K346+K347+K337</f>
        <v>4663585.89613106</v>
      </c>
      <c r="L374" s="75" t="n">
        <f aca="false">L360+L346+L347+L337</f>
        <v>4653646.35742853</v>
      </c>
      <c r="M374" s="75" t="n">
        <f aca="false">M360+M346+M347+M337</f>
        <v>4647232.74303826</v>
      </c>
      <c r="N374" s="75" t="n">
        <f aca="false">N360+N346+N347+N337</f>
        <v>4627908.09653436</v>
      </c>
      <c r="O374" s="75" t="n">
        <f aca="false">O360+O346+O347+O337</f>
        <v>4624101.42280872</v>
      </c>
      <c r="P374" s="75" t="n">
        <f aca="false">P360+P346+P347+P337</f>
        <v>4622746.4183165</v>
      </c>
      <c r="Q374" s="75" t="n">
        <f aca="false">Q360+Q346+Q347+Q337</f>
        <v>4642447.96331355</v>
      </c>
      <c r="R374" s="75" t="n">
        <f aca="false">R360+R346+R347+R337</f>
        <v>4663498.8744861</v>
      </c>
      <c r="S374" s="75" t="n">
        <f aca="false">S360+S346+S347+S337</f>
        <v>4687925.11272553</v>
      </c>
      <c r="T374" s="75" t="n">
        <f aca="false">T360+T346+T347+T337</f>
        <v>4711173.59779669</v>
      </c>
      <c r="U374" s="75" t="n">
        <f aca="false">U360+U346+U347+U337</f>
        <v>4730389.18520043</v>
      </c>
      <c r="V374" s="75" t="n">
        <f aca="false">V360+V346+V347+V337</f>
        <v>4752033.97922455</v>
      </c>
      <c r="W374" s="75" t="n">
        <f aca="false">W360+W346+W347+W337</f>
        <v>4776034.72192385</v>
      </c>
      <c r="X374" s="75" t="n">
        <f aca="false">X360+X346+X347+X337</f>
        <v>4802320.49960739</v>
      </c>
      <c r="Y374" s="75" t="n">
        <f aca="false">Y360+Y346+Y347+Y337</f>
        <v>4830822.66782234</v>
      </c>
      <c r="Z374" s="75" t="n">
        <f aca="false">Z360+Z346+Z347+Z337</f>
        <v>4847014.50472571</v>
      </c>
      <c r="AA374" s="75" t="n">
        <f aca="false">AA360+AA346+AA347+AA337</f>
        <v>4877703.3780202</v>
      </c>
      <c r="AB374" s="75" t="n">
        <f aca="false">AB360+AB346+AB347+AB337</f>
        <v>4909429.81380431</v>
      </c>
      <c r="AC374" s="75" t="n">
        <f aca="false">AC360+AC346+AC347+AC337</f>
        <v>4959000.66241362</v>
      </c>
      <c r="AD374" s="75" t="n">
        <f aca="false">AD360+AD346+AD347+AD337</f>
        <v>5008138.61926955</v>
      </c>
      <c r="AE374" s="75" t="n">
        <f aca="false">AE360+AE346+AE347+AE337</f>
        <v>5059492.12822352</v>
      </c>
      <c r="AF374" s="75" t="n">
        <f aca="false">AF360+AF346+AF347+AF337</f>
        <v>5112994.76827505</v>
      </c>
      <c r="AG374" s="75" t="n">
        <f aca="false">AG360+AG346+AG347+AG337</f>
        <v>5168582.24389569</v>
      </c>
      <c r="AH374" s="75" t="n">
        <f aca="false">AH360+AH346+AH347+AH337</f>
        <v>5226192.31701389</v>
      </c>
      <c r="AI374" s="75" t="n">
        <f aca="false">AI360+AI346+AI347+AI337</f>
        <v>5285764.7411764</v>
      </c>
      <c r="AJ374" s="75" t="n">
        <f aca="false">AJ360+AJ346+AJ347+AJ337</f>
        <v>5347241.19781647</v>
      </c>
      <c r="AK374" s="75" t="n">
        <f aca="false">AK360+AK346+AK347+AK337</f>
        <v>5410565.23456149</v>
      </c>
      <c r="AL374" s="75" t="n">
        <f aca="false">AL360+AL346+AL347+AL337</f>
        <v>5459947.48793178</v>
      </c>
    </row>
    <row r="375" customFormat="false" ht="15" hidden="false" customHeight="false" outlineLevel="0" collapsed="false">
      <c r="A375" s="6" t="s">
        <v>96</v>
      </c>
      <c r="C375" s="69" t="n">
        <f aca="false">C348+C343</f>
        <v>3006360.89118912</v>
      </c>
      <c r="D375" s="69" t="n">
        <f aca="false">D348+D343</f>
        <v>2982176.3720638</v>
      </c>
      <c r="E375" s="69" t="n">
        <f aca="false">E348+E343</f>
        <v>2959161.40804215</v>
      </c>
      <c r="F375" s="69" t="n">
        <f aca="false">F348+F343</f>
        <v>2935169.60122078</v>
      </c>
      <c r="G375" s="69" t="n">
        <f aca="false">G348+G343</f>
        <v>2911203.05854119</v>
      </c>
      <c r="H375" s="69" t="n">
        <f aca="false">H348+H343</f>
        <v>2887260.97155086</v>
      </c>
      <c r="I375" s="69" t="n">
        <f aca="false">I348+I343</f>
        <v>2863342.55766772</v>
      </c>
      <c r="J375" s="69" t="n">
        <f aca="false">J348+J343</f>
        <v>2839447.05935234</v>
      </c>
      <c r="K375" s="69" t="n">
        <f aca="false">K348+K343</f>
        <v>2814879.60737425</v>
      </c>
      <c r="L375" s="69" t="n">
        <f aca="false">L348+L343</f>
        <v>2790298.31385946</v>
      </c>
      <c r="M375" s="69" t="n">
        <f aca="false">M348+M343</f>
        <v>2765703.62173714</v>
      </c>
      <c r="N375" s="69" t="n">
        <f aca="false">N348+N343</f>
        <v>2739131.86679187</v>
      </c>
      <c r="O375" s="69" t="n">
        <f aca="false">O348+O343</f>
        <v>2715394.22285569</v>
      </c>
      <c r="P375" s="69" t="n">
        <f aca="false">P348+P343</f>
        <v>2690731.3140442</v>
      </c>
      <c r="Q375" s="69" t="n">
        <f aca="false">Q348+Q343</f>
        <v>2668274.15709192</v>
      </c>
      <c r="R375" s="69" t="n">
        <f aca="false">R348+R343</f>
        <v>2643672.15521976</v>
      </c>
      <c r="S375" s="69" t="n">
        <f aca="false">S348+S343</f>
        <v>2619057.41740751</v>
      </c>
      <c r="T375" s="69" t="n">
        <f aca="false">T348+T343</f>
        <v>2594430.35120525</v>
      </c>
      <c r="U375" s="69" t="n">
        <f aca="false">U348+U343</f>
        <v>2569791.35112146</v>
      </c>
      <c r="V375" s="69" t="n">
        <f aca="false">V348+V343</f>
        <v>2545140.79904036</v>
      </c>
      <c r="W375" s="69" t="n">
        <f aca="false">W348+W343</f>
        <v>2520479.06462585</v>
      </c>
      <c r="X375" s="69" t="n">
        <f aca="false">X348+X343</f>
        <v>2495806.5057126</v>
      </c>
      <c r="Y375" s="69" t="n">
        <f aca="false">Y348+Y343</f>
        <v>2471123.46868458</v>
      </c>
      <c r="Z375" s="69" t="n">
        <f aca="false">Z348+Z343</f>
        <v>2443881.26804243</v>
      </c>
      <c r="AA375" s="69" t="n">
        <f aca="false">AA348+AA343</f>
        <v>2420239.69894455</v>
      </c>
      <c r="AB375" s="69" t="n">
        <f aca="false">AB348+AB343</f>
        <v>2395504.10375587</v>
      </c>
      <c r="AC375" s="69" t="n">
        <f aca="false">AC348+AC343</f>
        <v>2373557.70528033</v>
      </c>
      <c r="AD375" s="69" t="n">
        <f aca="false">AD348+AD343</f>
        <v>2348883.47690736</v>
      </c>
      <c r="AE375" s="69" t="n">
        <f aca="false">AE348+AE343</f>
        <v>2324198.82384233</v>
      </c>
      <c r="AF375" s="69" t="n">
        <f aca="false">AF348+AF343</f>
        <v>2299504.07967538</v>
      </c>
      <c r="AG375" s="69" t="n">
        <f aca="false">AG348+AG343</f>
        <v>2274799.56732177</v>
      </c>
      <c r="AH375" s="69" t="n">
        <f aca="false">AH348+AH343</f>
        <v>2250085.59936348</v>
      </c>
      <c r="AI375" s="69" t="n">
        <f aca="false">AI348+AI343</f>
        <v>2225362.47837985</v>
      </c>
      <c r="AJ375" s="69" t="n">
        <f aca="false">AJ348+AJ343</f>
        <v>2200630.4972677</v>
      </c>
      <c r="AK375" s="69" t="n">
        <f aca="false">AK348+AK343</f>
        <v>2175889.93955114</v>
      </c>
      <c r="AL375" s="69" t="n">
        <f aca="false">AL348+AL343</f>
        <v>2148071.52048092</v>
      </c>
    </row>
    <row r="376" customFormat="false" ht="15" hidden="false" customHeight="false" outlineLevel="0" collapsed="false">
      <c r="A376" s="6" t="s">
        <v>99</v>
      </c>
      <c r="C376" s="69" t="n">
        <f aca="false">C372+C373</f>
        <v>2025134.18032743</v>
      </c>
      <c r="D376" s="69" t="n">
        <f aca="false">D372+D373</f>
        <v>1959037.1483718</v>
      </c>
      <c r="E376" s="69" t="n">
        <f aca="false">E372+E373</f>
        <v>1912036.14849723</v>
      </c>
      <c r="F376" s="69" t="n">
        <f aca="false">F372+F373</f>
        <v>1875474.587925</v>
      </c>
      <c r="G376" s="69" t="n">
        <f aca="false">G372+G373</f>
        <v>1849562.04584743</v>
      </c>
      <c r="H376" s="69" t="n">
        <f aca="false">H372+H373</f>
        <v>1834501.39492265</v>
      </c>
      <c r="I376" s="69" t="n">
        <f aca="false">I372+I373</f>
        <v>1830489.01588377</v>
      </c>
      <c r="J376" s="69" t="n">
        <f aca="false">J372+J373</f>
        <v>1837715.00528041</v>
      </c>
      <c r="K376" s="69" t="n">
        <f aca="false">K372+K373</f>
        <v>1848706.28875681</v>
      </c>
      <c r="L376" s="69" t="n">
        <f aca="false">L372+L373</f>
        <v>1863348.04356907</v>
      </c>
      <c r="M376" s="69" t="n">
        <f aca="false">M372+M373</f>
        <v>1881529.12130111</v>
      </c>
      <c r="N376" s="69" t="n">
        <f aca="false">N372+N373</f>
        <v>1888776.22974249</v>
      </c>
      <c r="O376" s="69" t="n">
        <f aca="false">O372+O373</f>
        <v>1908707.19995303</v>
      </c>
      <c r="P376" s="69" t="n">
        <f aca="false">P372+P373</f>
        <v>1932015.1042723</v>
      </c>
      <c r="Q376" s="69" t="n">
        <f aca="false">Q372+Q373</f>
        <v>1974173.80622164</v>
      </c>
      <c r="R376" s="69" t="n">
        <f aca="false">R372+R373</f>
        <v>2019826.71926634</v>
      </c>
      <c r="S376" s="69" t="n">
        <f aca="false">S372+S373</f>
        <v>2068867.69531802</v>
      </c>
      <c r="T376" s="69" t="n">
        <f aca="false">T372+T373</f>
        <v>2116743.24659144</v>
      </c>
      <c r="U376" s="69" t="n">
        <f aca="false">U372+U373</f>
        <v>2160597.83407897</v>
      </c>
      <c r="V376" s="69" t="n">
        <f aca="false">V372+V373</f>
        <v>2206893.18018419</v>
      </c>
      <c r="W376" s="69" t="n">
        <f aca="false">W372+W373</f>
        <v>2255555.657298</v>
      </c>
      <c r="X376" s="69" t="n">
        <f aca="false">X372+X373</f>
        <v>2306513.99389478</v>
      </c>
      <c r="Y376" s="69" t="n">
        <f aca="false">Y372+Y373</f>
        <v>2359699.19913776</v>
      </c>
      <c r="Z376" s="69" t="n">
        <f aca="false">Z372+Z373</f>
        <v>2403133.23668328</v>
      </c>
      <c r="AA376" s="69" t="n">
        <f aca="false">AA372+AA373</f>
        <v>2457463.67907565</v>
      </c>
      <c r="AB376" s="69" t="n">
        <f aca="false">AB372+AB373</f>
        <v>2513925.71004844</v>
      </c>
      <c r="AC376" s="69" t="n">
        <f aca="false">AC372+AC373</f>
        <v>2585442.9571333</v>
      </c>
      <c r="AD376" s="69" t="n">
        <f aca="false">AD372+AD373</f>
        <v>2659255.14236219</v>
      </c>
      <c r="AE376" s="69" t="n">
        <f aca="false">AE372+AE373</f>
        <v>2735293.30438119</v>
      </c>
      <c r="AF376" s="69" t="n">
        <f aca="false">AF372+AF373</f>
        <v>2813490.68859967</v>
      </c>
      <c r="AG376" s="69" t="n">
        <f aca="false">AG372+AG373</f>
        <v>2893782.67657392</v>
      </c>
      <c r="AH376" s="69" t="n">
        <f aca="false">AH372+AH373</f>
        <v>2976106.71765041</v>
      </c>
      <c r="AI376" s="69" t="n">
        <f aca="false">AI372+AI373</f>
        <v>3060402.26279655</v>
      </c>
      <c r="AJ376" s="69" t="n">
        <f aca="false">AJ372+AJ373</f>
        <v>3146610.70054877</v>
      </c>
      <c r="AK376" s="69" t="n">
        <f aca="false">AK372+AK373</f>
        <v>3234675.29501035</v>
      </c>
      <c r="AL376" s="69" t="n">
        <f aca="false">AL372+AL373</f>
        <v>3311875.96745087</v>
      </c>
    </row>
    <row r="377" customFormat="false" ht="15" hidden="false" customHeight="false" outlineLevel="0" collapsed="false">
      <c r="A377" s="4" t="s">
        <v>100</v>
      </c>
      <c r="C377" s="75" t="n">
        <f aca="false">C375+C376</f>
        <v>5031495.07151655</v>
      </c>
      <c r="D377" s="75" t="n">
        <f aca="false">D375+D376</f>
        <v>4941213.5204356</v>
      </c>
      <c r="E377" s="75" t="n">
        <f aca="false">E375+E376</f>
        <v>4871197.55653938</v>
      </c>
      <c r="F377" s="75" t="n">
        <f aca="false">F375+F376</f>
        <v>4810644.18914578</v>
      </c>
      <c r="G377" s="75" t="n">
        <f aca="false">G375+G376</f>
        <v>4760765.10438862</v>
      </c>
      <c r="H377" s="75" t="n">
        <f aca="false">H375+H376</f>
        <v>4721762.36647351</v>
      </c>
      <c r="I377" s="75" t="n">
        <f aca="false">I375+I376</f>
        <v>4693831.57355149</v>
      </c>
      <c r="J377" s="75" t="n">
        <f aca="false">J375+J376</f>
        <v>4677162.06463276</v>
      </c>
      <c r="K377" s="75" t="n">
        <f aca="false">K375+K376</f>
        <v>4663585.89613106</v>
      </c>
      <c r="L377" s="75" t="n">
        <f aca="false">L375+L376</f>
        <v>4653646.35742853</v>
      </c>
      <c r="M377" s="75" t="n">
        <f aca="false">M375+M376</f>
        <v>4647232.74303826</v>
      </c>
      <c r="N377" s="75" t="n">
        <f aca="false">N375+N376</f>
        <v>4627908.09653436</v>
      </c>
      <c r="O377" s="75" t="n">
        <f aca="false">O375+O376</f>
        <v>4624101.42280872</v>
      </c>
      <c r="P377" s="75" t="n">
        <f aca="false">P375+P376</f>
        <v>4622746.4183165</v>
      </c>
      <c r="Q377" s="75" t="n">
        <f aca="false">Q375+Q376</f>
        <v>4642447.96331355</v>
      </c>
      <c r="R377" s="75" t="n">
        <f aca="false">R375+R376</f>
        <v>4663498.8744861</v>
      </c>
      <c r="S377" s="75" t="n">
        <f aca="false">S375+S376</f>
        <v>4687925.11272553</v>
      </c>
      <c r="T377" s="75" t="n">
        <f aca="false">T375+T376</f>
        <v>4711173.59779669</v>
      </c>
      <c r="U377" s="75" t="n">
        <f aca="false">U375+U376</f>
        <v>4730389.18520043</v>
      </c>
      <c r="V377" s="75" t="n">
        <f aca="false">V375+V376</f>
        <v>4752033.97922455</v>
      </c>
      <c r="W377" s="75" t="n">
        <f aca="false">W375+W376</f>
        <v>4776034.72192385</v>
      </c>
      <c r="X377" s="75" t="n">
        <f aca="false">X375+X376</f>
        <v>4802320.49960739</v>
      </c>
      <c r="Y377" s="75" t="n">
        <f aca="false">Y375+Y376</f>
        <v>4830822.66782234</v>
      </c>
      <c r="Z377" s="75" t="n">
        <f aca="false">Z375+Z376</f>
        <v>4847014.50472571</v>
      </c>
      <c r="AA377" s="75" t="n">
        <f aca="false">AA375+AA376</f>
        <v>4877703.3780202</v>
      </c>
      <c r="AB377" s="75" t="n">
        <f aca="false">AB375+AB376</f>
        <v>4909429.81380431</v>
      </c>
      <c r="AC377" s="75" t="n">
        <f aca="false">AC375+AC376</f>
        <v>4959000.66241362</v>
      </c>
      <c r="AD377" s="75" t="n">
        <f aca="false">AD375+AD376</f>
        <v>5008138.61926955</v>
      </c>
      <c r="AE377" s="75" t="n">
        <f aca="false">AE375+AE376</f>
        <v>5059492.12822352</v>
      </c>
      <c r="AF377" s="75" t="n">
        <f aca="false">AF375+AF376</f>
        <v>5112994.76827505</v>
      </c>
      <c r="AG377" s="75" t="n">
        <f aca="false">AG375+AG376</f>
        <v>5168582.24389569</v>
      </c>
      <c r="AH377" s="75" t="n">
        <f aca="false">AH375+AH376</f>
        <v>5226192.31701389</v>
      </c>
      <c r="AI377" s="75" t="n">
        <f aca="false">AI375+AI376</f>
        <v>5285764.7411764</v>
      </c>
      <c r="AJ377" s="75" t="n">
        <f aca="false">AJ375+AJ376</f>
        <v>5347241.19781647</v>
      </c>
      <c r="AK377" s="75" t="n">
        <f aca="false">AK375+AK376</f>
        <v>5410565.23456149</v>
      </c>
      <c r="AL377" s="75" t="n">
        <f aca="false">AL375+AL376</f>
        <v>5459947.48793179</v>
      </c>
    </row>
    <row r="378" customFormat="false" ht="15" hidden="false" customHeight="false" outlineLevel="0" collapsed="false">
      <c r="A378" s="6" t="s">
        <v>445</v>
      </c>
      <c r="C378" s="69" t="n">
        <f aca="false">C374-C377</f>
        <v>0</v>
      </c>
      <c r="D378" s="69" t="n">
        <f aca="false">D374-D377</f>
        <v>0</v>
      </c>
      <c r="E378" s="69" t="n">
        <f aca="false">E374-E377</f>
        <v>0</v>
      </c>
      <c r="F378" s="69" t="n">
        <f aca="false">F374-F377</f>
        <v>0</v>
      </c>
      <c r="G378" s="69" t="n">
        <f aca="false">G374-G377</f>
        <v>0</v>
      </c>
      <c r="H378" s="69" t="n">
        <f aca="false">H374-H377</f>
        <v>0</v>
      </c>
      <c r="I378" s="69" t="n">
        <f aca="false">I374-I377</f>
        <v>0</v>
      </c>
      <c r="J378" s="69" t="n">
        <f aca="false">J374-J377</f>
        <v>0</v>
      </c>
      <c r="K378" s="69" t="n">
        <f aca="false">K374-K377</f>
        <v>0</v>
      </c>
      <c r="L378" s="69" t="n">
        <f aca="false">L374-L377</f>
        <v>0</v>
      </c>
      <c r="M378" s="69" t="n">
        <f aca="false">M374-M377</f>
        <v>0</v>
      </c>
      <c r="N378" s="69" t="n">
        <f aca="false">N374-N377</f>
        <v>0</v>
      </c>
      <c r="O378" s="69" t="n">
        <f aca="false">O374-O377</f>
        <v>0</v>
      </c>
      <c r="P378" s="69" t="n">
        <f aca="false">P374-P377</f>
        <v>0</v>
      </c>
      <c r="Q378" s="69" t="n">
        <f aca="false">Q374-Q377</f>
        <v>0</v>
      </c>
      <c r="R378" s="69" t="n">
        <f aca="false">R374-R377</f>
        <v>0</v>
      </c>
      <c r="S378" s="69" t="n">
        <f aca="false">S374-S377</f>
        <v>0</v>
      </c>
      <c r="T378" s="69" t="n">
        <f aca="false">T374-T377</f>
        <v>0</v>
      </c>
      <c r="U378" s="69" t="n">
        <f aca="false">U374-U377</f>
        <v>0</v>
      </c>
      <c r="V378" s="69" t="n">
        <f aca="false">V374-V377</f>
        <v>0</v>
      </c>
      <c r="W378" s="69" t="n">
        <f aca="false">W374-W377</f>
        <v>0</v>
      </c>
      <c r="X378" s="69" t="n">
        <f aca="false">X374-X377</f>
        <v>0</v>
      </c>
      <c r="Y378" s="69" t="n">
        <f aca="false">Y374-Y377</f>
        <v>0</v>
      </c>
      <c r="Z378" s="69" t="n">
        <f aca="false">Z374-Z377</f>
        <v>0</v>
      </c>
      <c r="AA378" s="69" t="n">
        <f aca="false">AA374-AA377</f>
        <v>0</v>
      </c>
      <c r="AB378" s="69" t="n">
        <f aca="false">AB374-AB377</f>
        <v>0</v>
      </c>
      <c r="AC378" s="69" t="n">
        <f aca="false">AC374-AC377</f>
        <v>0</v>
      </c>
      <c r="AD378" s="69" t="n">
        <f aca="false">AD374-AD377</f>
        <v>0</v>
      </c>
      <c r="AE378" s="69" t="n">
        <f aca="false">AE374-AE377</f>
        <v>0</v>
      </c>
      <c r="AF378" s="69" t="n">
        <f aca="false">AF374-AF377</f>
        <v>0</v>
      </c>
      <c r="AG378" s="69" t="n">
        <f aca="false">AG374-AG377</f>
        <v>0</v>
      </c>
      <c r="AH378" s="69" t="n">
        <f aca="false">AH374-AH377</f>
        <v>0</v>
      </c>
      <c r="AI378" s="69" t="n">
        <f aca="false">AI374-AI377</f>
        <v>0</v>
      </c>
      <c r="AJ378" s="69" t="n">
        <f aca="false">AJ374-AJ377</f>
        <v>0</v>
      </c>
      <c r="AK378" s="69" t="n">
        <f aca="false">AK374-AK377</f>
        <v>0</v>
      </c>
      <c r="AL378" s="69" t="n">
        <f aca="false">AL374-AL377</f>
        <v>0</v>
      </c>
    </row>
    <row r="380" customFormat="false" ht="15.75" hidden="false" customHeight="true" outlineLevel="0" collapsed="false">
      <c r="A380" s="7" t="s">
        <v>447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customFormat="false" ht="15" hidden="false" customHeight="false" outlineLevel="0" collapsed="false">
      <c r="A381" s="6" t="s">
        <v>448</v>
      </c>
      <c r="C381" s="117" t="n">
        <f aca="false">Inputs!$D$57*(1+Inputs!$D$59)^(C$265-1)*MAX(0,MIN(1,C$264*1-Inputs!$D$60+1))/1</f>
        <v>1</v>
      </c>
      <c r="D381" s="117" t="n">
        <f aca="false">Inputs!$D$57*(1+Inputs!$D$59)^(D$265-1)*MAX(0,MIN(1,D$264*1-Inputs!$D$60+1))/1</f>
        <v>1</v>
      </c>
      <c r="E381" s="117" t="n">
        <f aca="false">Inputs!$D$57*(1+Inputs!$D$59)^(E$265-1)*MAX(0,MIN(1,E$264*1-Inputs!$D$60+1))/1</f>
        <v>1</v>
      </c>
      <c r="F381" s="117" t="n">
        <f aca="false">Inputs!$D$57*(1+Inputs!$D$59)^(F$265-1)*MAX(0,MIN(1,F$264*1-Inputs!$D$60+1))/1</f>
        <v>1</v>
      </c>
      <c r="G381" s="117" t="n">
        <f aca="false">Inputs!$D$57*(1+Inputs!$D$59)^(G$265-1)*MAX(0,MIN(1,G$264*1-Inputs!$D$60+1))/1</f>
        <v>1</v>
      </c>
      <c r="H381" s="117" t="n">
        <f aca="false">Inputs!$D$57*(1+Inputs!$D$59)^(H$265-1)*MAX(0,MIN(1,H$264*1-Inputs!$D$60+1))/1</f>
        <v>1</v>
      </c>
      <c r="I381" s="117" t="n">
        <f aca="false">Inputs!$D$57*(1+Inputs!$D$59)^(I$265-1)*MAX(0,MIN(1,I$264*1-Inputs!$D$60+1))/1</f>
        <v>1</v>
      </c>
      <c r="J381" s="117" t="n">
        <f aca="false">Inputs!$D$57*(1+Inputs!$D$59)^(J$265-1)*MAX(0,MIN(1,J$264*1-Inputs!$D$60+1))/1</f>
        <v>1</v>
      </c>
      <c r="K381" s="117" t="n">
        <f aca="false">Inputs!$D$57*(1+Inputs!$D$59)^(K$265-1)*MAX(0,MIN(1,K$264*1-Inputs!$D$60+1))/1</f>
        <v>1</v>
      </c>
      <c r="L381" s="117" t="n">
        <f aca="false">Inputs!$D$57*(1+Inputs!$D$59)^(L$265-1)*MAX(0,MIN(1,L$264*1-Inputs!$D$60+1))/1</f>
        <v>1</v>
      </c>
      <c r="M381" s="117" t="n">
        <f aca="false">Inputs!$D$57*(1+Inputs!$D$59)^(M$265-1)*MAX(0,MIN(1,M$264*1-Inputs!$D$60+1))/1</f>
        <v>1</v>
      </c>
      <c r="N381" s="117" t="n">
        <f aca="false">Inputs!$D$57*(1+Inputs!$D$59)^(N$265-1)*MAX(0,MIN(1,N$264*1-Inputs!$D$60+1))/1</f>
        <v>1</v>
      </c>
      <c r="O381" s="117" t="n">
        <f aca="false">Inputs!$D$57*(1+Inputs!$D$59)^(O$265-1)*MAX(0,MIN(1,O$264*1-Inputs!$D$60+1))/1</f>
        <v>1</v>
      </c>
      <c r="P381" s="117" t="n">
        <f aca="false">Inputs!$D$57*(1+Inputs!$D$59)^(P$265-1)*MAX(0,MIN(1,P$264*1-Inputs!$D$60+1))/1</f>
        <v>1</v>
      </c>
      <c r="Q381" s="117" t="n">
        <f aca="false">Inputs!$D$57*(1+Inputs!$D$59)^(Q$265-1)*MAX(0,MIN(1,Q$264*1-Inputs!$D$60+1))/1</f>
        <v>1</v>
      </c>
      <c r="R381" s="117" t="n">
        <f aca="false">Inputs!$D$57*(1+Inputs!$D$59)^(R$265-1)*MAX(0,MIN(1,R$264*1-Inputs!$D$60+1))/1</f>
        <v>1</v>
      </c>
      <c r="S381" s="117" t="n">
        <f aca="false">Inputs!$D$57*(1+Inputs!$D$59)^(S$265-1)*MAX(0,MIN(1,S$264*1-Inputs!$D$60+1))/1</f>
        <v>1</v>
      </c>
      <c r="T381" s="117" t="n">
        <f aca="false">Inputs!$D$57*(1+Inputs!$D$59)^(T$265-1)*MAX(0,MIN(1,T$264*1-Inputs!$D$60+1))/1</f>
        <v>1</v>
      </c>
      <c r="U381" s="117" t="n">
        <f aca="false">Inputs!$D$57*(1+Inputs!$D$59)^(U$265-1)*MAX(0,MIN(1,U$264*1-Inputs!$D$60+1))/1</f>
        <v>1</v>
      </c>
      <c r="V381" s="117" t="n">
        <f aca="false">Inputs!$D$57*(1+Inputs!$D$59)^(V$265-1)*MAX(0,MIN(1,V$264*1-Inputs!$D$60+1))/1</f>
        <v>1</v>
      </c>
      <c r="W381" s="117" t="n">
        <f aca="false">Inputs!$D$57*(1+Inputs!$D$59)^(W$265-1)*MAX(0,MIN(1,W$264*1-Inputs!$D$60+1))/1</f>
        <v>1</v>
      </c>
      <c r="X381" s="117" t="n">
        <f aca="false">Inputs!$D$57*(1+Inputs!$D$59)^(X$265-1)*MAX(0,MIN(1,X$264*1-Inputs!$D$60+1))/1</f>
        <v>1</v>
      </c>
      <c r="Y381" s="117" t="n">
        <f aca="false">Inputs!$D$57*(1+Inputs!$D$59)^(Y$265-1)*MAX(0,MIN(1,Y$264*1-Inputs!$D$60+1))/1</f>
        <v>1</v>
      </c>
      <c r="Z381" s="117" t="n">
        <f aca="false">Inputs!$D$57*(1+Inputs!$D$59)^(Z$265-1)*MAX(0,MIN(1,Z$264*1-Inputs!$D$60+1))/1</f>
        <v>1</v>
      </c>
      <c r="AA381" s="117" t="n">
        <f aca="false">Inputs!$D$57*(1+Inputs!$D$59)^(AA$265-1)*MAX(0,MIN(1,AA$264*1-Inputs!$D$60+1))/1</f>
        <v>1</v>
      </c>
      <c r="AB381" s="117" t="n">
        <f aca="false">Inputs!$D$57*(1+Inputs!$D$59)^(AB$265-1)*MAX(0,MIN(1,AB$264*1-Inputs!$D$60+1))/1</f>
        <v>1</v>
      </c>
      <c r="AC381" s="117" t="n">
        <f aca="false">Inputs!$D$57*(1+Inputs!$D$59)^(AC$265-1)*MAX(0,MIN(1,AC$264*1-Inputs!$D$60+1))/1</f>
        <v>1</v>
      </c>
      <c r="AD381" s="117" t="n">
        <f aca="false">Inputs!$D$57*(1+Inputs!$D$59)^(AD$265-1)*MAX(0,MIN(1,AD$264*1-Inputs!$D$60+1))/1</f>
        <v>1</v>
      </c>
      <c r="AE381" s="117" t="n">
        <f aca="false">Inputs!$D$57*(1+Inputs!$D$59)^(AE$265-1)*MAX(0,MIN(1,AE$264*1-Inputs!$D$60+1))/1</f>
        <v>1</v>
      </c>
      <c r="AF381" s="117" t="n">
        <f aca="false">Inputs!$D$57*(1+Inputs!$D$59)^(AF$265-1)*MAX(0,MIN(1,AF$264*1-Inputs!$D$60+1))/1</f>
        <v>1</v>
      </c>
      <c r="AG381" s="117" t="n">
        <f aca="false">Inputs!$D$57*(1+Inputs!$D$59)^(AG$265-1)*MAX(0,MIN(1,AG$264*1-Inputs!$D$60+1))/1</f>
        <v>1</v>
      </c>
      <c r="AH381" s="117" t="n">
        <f aca="false">Inputs!$D$57*(1+Inputs!$D$59)^(AH$265-1)*MAX(0,MIN(1,AH$264*1-Inputs!$D$60+1))/1</f>
        <v>1</v>
      </c>
      <c r="AI381" s="117" t="n">
        <f aca="false">Inputs!$D$57*(1+Inputs!$D$59)^(AI$265-1)*MAX(0,MIN(1,AI$264*1-Inputs!$D$60+1))/1</f>
        <v>1</v>
      </c>
      <c r="AJ381" s="117" t="n">
        <f aca="false">Inputs!$D$57*(1+Inputs!$D$59)^(AJ$265-1)*MAX(0,MIN(1,AJ$264*1-Inputs!$D$60+1))/1</f>
        <v>1</v>
      </c>
      <c r="AK381" s="117" t="n">
        <f aca="false">Inputs!$D$57*(1+Inputs!$D$59)^(AK$265-1)*MAX(0,MIN(1,AK$264*1-Inputs!$D$60+1))/1</f>
        <v>1</v>
      </c>
      <c r="AL381" s="117" t="n">
        <f aca="false">Inputs!$D$57*(1+Inputs!$D$59)^(AL$265-1)*MAX(0,MIN(1,AL$264*1-Inputs!$D$60+1))/1</f>
        <v>1</v>
      </c>
    </row>
    <row r="382" customFormat="false" ht="15" hidden="false" customHeight="false" outlineLevel="0" collapsed="false">
      <c r="A382" s="6" t="s">
        <v>449</v>
      </c>
      <c r="C382" s="117" t="n">
        <f aca="false">Inputs!$D$61*(1+Inputs!$D$63)^(C$265-1)*MAX(0,MIN(1,C$264*1-Inputs!$D$64+1))/1</f>
        <v>10</v>
      </c>
      <c r="D382" s="117" t="n">
        <f aca="false">Inputs!$D$61*(1+Inputs!$D$63)^(D$265-1)*MAX(0,MIN(1,D$264*1-Inputs!$D$64+1))/1</f>
        <v>10</v>
      </c>
      <c r="E382" s="117" t="n">
        <f aca="false">Inputs!$D$61*(1+Inputs!$D$63)^(E$265-1)*MAX(0,MIN(1,E$264*1-Inputs!$D$64+1))/1</f>
        <v>10</v>
      </c>
      <c r="F382" s="117" t="n">
        <f aca="false">Inputs!$D$61*(1+Inputs!$D$63)^(F$265-1)*MAX(0,MIN(1,F$264*1-Inputs!$D$64+1))/1</f>
        <v>10</v>
      </c>
      <c r="G382" s="117" t="n">
        <f aca="false">Inputs!$D$61*(1+Inputs!$D$63)^(G$265-1)*MAX(0,MIN(1,G$264*1-Inputs!$D$64+1))/1</f>
        <v>10</v>
      </c>
      <c r="H382" s="117" t="n">
        <f aca="false">Inputs!$D$61*(1+Inputs!$D$63)^(H$265-1)*MAX(0,MIN(1,H$264*1-Inputs!$D$64+1))/1</f>
        <v>10</v>
      </c>
      <c r="I382" s="117" t="n">
        <f aca="false">Inputs!$D$61*(1+Inputs!$D$63)^(I$265-1)*MAX(0,MIN(1,I$264*1-Inputs!$D$64+1))/1</f>
        <v>10</v>
      </c>
      <c r="J382" s="117" t="n">
        <f aca="false">Inputs!$D$61*(1+Inputs!$D$63)^(J$265-1)*MAX(0,MIN(1,J$264*1-Inputs!$D$64+1))/1</f>
        <v>10</v>
      </c>
      <c r="K382" s="117" t="n">
        <f aca="false">Inputs!$D$61*(1+Inputs!$D$63)^(K$265-1)*MAX(0,MIN(1,K$264*1-Inputs!$D$64+1))/1</f>
        <v>10</v>
      </c>
      <c r="L382" s="117" t="n">
        <f aca="false">Inputs!$D$61*(1+Inputs!$D$63)^(L$265-1)*MAX(0,MIN(1,L$264*1-Inputs!$D$64+1))/1</f>
        <v>10</v>
      </c>
      <c r="M382" s="117" t="n">
        <f aca="false">Inputs!$D$61*(1+Inputs!$D$63)^(M$265-1)*MAX(0,MIN(1,M$264*1-Inputs!$D$64+1))/1</f>
        <v>10</v>
      </c>
      <c r="N382" s="117" t="n">
        <f aca="false">Inputs!$D$61*(1+Inputs!$D$63)^(N$265-1)*MAX(0,MIN(1,N$264*1-Inputs!$D$64+1))/1</f>
        <v>10</v>
      </c>
      <c r="O382" s="117" t="n">
        <f aca="false">Inputs!$D$61*(1+Inputs!$D$63)^(O$265-1)*MAX(0,MIN(1,O$264*1-Inputs!$D$64+1))/1</f>
        <v>10</v>
      </c>
      <c r="P382" s="117" t="n">
        <f aca="false">Inputs!$D$61*(1+Inputs!$D$63)^(P$265-1)*MAX(0,MIN(1,P$264*1-Inputs!$D$64+1))/1</f>
        <v>10</v>
      </c>
      <c r="Q382" s="117" t="n">
        <f aca="false">Inputs!$D$61*(1+Inputs!$D$63)^(Q$265-1)*MAX(0,MIN(1,Q$264*1-Inputs!$D$64+1))/1</f>
        <v>10</v>
      </c>
      <c r="R382" s="117" t="n">
        <f aca="false">Inputs!$D$61*(1+Inputs!$D$63)^(R$265-1)*MAX(0,MIN(1,R$264*1-Inputs!$D$64+1))/1</f>
        <v>10</v>
      </c>
      <c r="S382" s="117" t="n">
        <f aca="false">Inputs!$D$61*(1+Inputs!$D$63)^(S$265-1)*MAX(0,MIN(1,S$264*1-Inputs!$D$64+1))/1</f>
        <v>10</v>
      </c>
      <c r="T382" s="117" t="n">
        <f aca="false">Inputs!$D$61*(1+Inputs!$D$63)^(T$265-1)*MAX(0,MIN(1,T$264*1-Inputs!$D$64+1))/1</f>
        <v>10</v>
      </c>
      <c r="U382" s="117" t="n">
        <f aca="false">Inputs!$D$61*(1+Inputs!$D$63)^(U$265-1)*MAX(0,MIN(1,U$264*1-Inputs!$D$64+1))/1</f>
        <v>10</v>
      </c>
      <c r="V382" s="117" t="n">
        <f aca="false">Inputs!$D$61*(1+Inputs!$D$63)^(V$265-1)*MAX(0,MIN(1,V$264*1-Inputs!$D$64+1))/1</f>
        <v>10</v>
      </c>
      <c r="W382" s="117" t="n">
        <f aca="false">Inputs!$D$61*(1+Inputs!$D$63)^(W$265-1)*MAX(0,MIN(1,W$264*1-Inputs!$D$64+1))/1</f>
        <v>10</v>
      </c>
      <c r="X382" s="117" t="n">
        <f aca="false">Inputs!$D$61*(1+Inputs!$D$63)^(X$265-1)*MAX(0,MIN(1,X$264*1-Inputs!$D$64+1))/1</f>
        <v>10</v>
      </c>
      <c r="Y382" s="117" t="n">
        <f aca="false">Inputs!$D$61*(1+Inputs!$D$63)^(Y$265-1)*MAX(0,MIN(1,Y$264*1-Inputs!$D$64+1))/1</f>
        <v>10</v>
      </c>
      <c r="Z382" s="117" t="n">
        <f aca="false">Inputs!$D$61*(1+Inputs!$D$63)^(Z$265-1)*MAX(0,MIN(1,Z$264*1-Inputs!$D$64+1))/1</f>
        <v>10</v>
      </c>
      <c r="AA382" s="117" t="n">
        <f aca="false">Inputs!$D$61*(1+Inputs!$D$63)^(AA$265-1)*MAX(0,MIN(1,AA$264*1-Inputs!$D$64+1))/1</f>
        <v>10</v>
      </c>
      <c r="AB382" s="117" t="n">
        <f aca="false">Inputs!$D$61*(1+Inputs!$D$63)^(AB$265-1)*MAX(0,MIN(1,AB$264*1-Inputs!$D$64+1))/1</f>
        <v>10</v>
      </c>
      <c r="AC382" s="117" t="n">
        <f aca="false">Inputs!$D$61*(1+Inputs!$D$63)^(AC$265-1)*MAX(0,MIN(1,AC$264*1-Inputs!$D$64+1))/1</f>
        <v>10</v>
      </c>
      <c r="AD382" s="117" t="n">
        <f aca="false">Inputs!$D$61*(1+Inputs!$D$63)^(AD$265-1)*MAX(0,MIN(1,AD$264*1-Inputs!$D$64+1))/1</f>
        <v>10</v>
      </c>
      <c r="AE382" s="117" t="n">
        <f aca="false">Inputs!$D$61*(1+Inputs!$D$63)^(AE$265-1)*MAX(0,MIN(1,AE$264*1-Inputs!$D$64+1))/1</f>
        <v>10</v>
      </c>
      <c r="AF382" s="117" t="n">
        <f aca="false">Inputs!$D$61*(1+Inputs!$D$63)^(AF$265-1)*MAX(0,MIN(1,AF$264*1-Inputs!$D$64+1))/1</f>
        <v>10</v>
      </c>
      <c r="AG382" s="117" t="n">
        <f aca="false">Inputs!$D$61*(1+Inputs!$D$63)^(AG$265-1)*MAX(0,MIN(1,AG$264*1-Inputs!$D$64+1))/1</f>
        <v>10</v>
      </c>
      <c r="AH382" s="117" t="n">
        <f aca="false">Inputs!$D$61*(1+Inputs!$D$63)^(AH$265-1)*MAX(0,MIN(1,AH$264*1-Inputs!$D$64+1))/1</f>
        <v>10</v>
      </c>
      <c r="AI382" s="117" t="n">
        <f aca="false">Inputs!$D$61*(1+Inputs!$D$63)^(AI$265-1)*MAX(0,MIN(1,AI$264*1-Inputs!$D$64+1))/1</f>
        <v>10</v>
      </c>
      <c r="AJ382" s="117" t="n">
        <f aca="false">Inputs!$D$61*(1+Inputs!$D$63)^(AJ$265-1)*MAX(0,MIN(1,AJ$264*1-Inputs!$D$64+1))/1</f>
        <v>10</v>
      </c>
      <c r="AK382" s="117" t="n">
        <f aca="false">Inputs!$D$61*(1+Inputs!$D$63)^(AK$265-1)*MAX(0,MIN(1,AK$264*1-Inputs!$D$64+1))/1</f>
        <v>10</v>
      </c>
      <c r="AL382" s="117" t="n">
        <f aca="false">Inputs!$D$61*(1+Inputs!$D$63)^(AL$265-1)*MAX(0,MIN(1,AL$264*1-Inputs!$D$64+1))/1</f>
        <v>10</v>
      </c>
    </row>
    <row r="383" customFormat="false" ht="15" hidden="false" customHeight="false" outlineLevel="0" collapsed="false">
      <c r="A383" s="113" t="s">
        <v>450</v>
      </c>
      <c r="C383" s="123" t="n">
        <f aca="false">C381+C382</f>
        <v>11</v>
      </c>
      <c r="D383" s="123" t="n">
        <f aca="false">D381+D382</f>
        <v>11</v>
      </c>
      <c r="E383" s="123" t="n">
        <f aca="false">E381+E382</f>
        <v>11</v>
      </c>
      <c r="F383" s="123" t="n">
        <f aca="false">F381+F382</f>
        <v>11</v>
      </c>
      <c r="G383" s="123" t="n">
        <f aca="false">G381+G382</f>
        <v>11</v>
      </c>
      <c r="H383" s="123" t="n">
        <f aca="false">H381+H382</f>
        <v>11</v>
      </c>
      <c r="I383" s="123" t="n">
        <f aca="false">I381+I382</f>
        <v>11</v>
      </c>
      <c r="J383" s="123" t="n">
        <f aca="false">J381+J382</f>
        <v>11</v>
      </c>
      <c r="K383" s="123" t="n">
        <f aca="false">K381+K382</f>
        <v>11</v>
      </c>
      <c r="L383" s="123" t="n">
        <f aca="false">L381+L382</f>
        <v>11</v>
      </c>
      <c r="M383" s="123" t="n">
        <f aca="false">M381+M382</f>
        <v>11</v>
      </c>
      <c r="N383" s="123" t="n">
        <f aca="false">N381+N382</f>
        <v>11</v>
      </c>
      <c r="O383" s="123" t="n">
        <f aca="false">O381+O382</f>
        <v>11</v>
      </c>
      <c r="P383" s="123" t="n">
        <f aca="false">P381+P382</f>
        <v>11</v>
      </c>
      <c r="Q383" s="123" t="n">
        <f aca="false">Q381+Q382</f>
        <v>11</v>
      </c>
      <c r="R383" s="123" t="n">
        <f aca="false">R381+R382</f>
        <v>11</v>
      </c>
      <c r="S383" s="123" t="n">
        <f aca="false">S381+S382</f>
        <v>11</v>
      </c>
      <c r="T383" s="123" t="n">
        <f aca="false">T381+T382</f>
        <v>11</v>
      </c>
      <c r="U383" s="123" t="n">
        <f aca="false">U381+U382</f>
        <v>11</v>
      </c>
      <c r="V383" s="123" t="n">
        <f aca="false">V381+V382</f>
        <v>11</v>
      </c>
      <c r="W383" s="123" t="n">
        <f aca="false">W381+W382</f>
        <v>11</v>
      </c>
      <c r="X383" s="123" t="n">
        <f aca="false">X381+X382</f>
        <v>11</v>
      </c>
      <c r="Y383" s="123" t="n">
        <f aca="false">Y381+Y382</f>
        <v>11</v>
      </c>
      <c r="Z383" s="123" t="n">
        <f aca="false">Z381+Z382</f>
        <v>11</v>
      </c>
      <c r="AA383" s="123" t="n">
        <f aca="false">AA381+AA382</f>
        <v>11</v>
      </c>
      <c r="AB383" s="123" t="n">
        <f aca="false">AB381+AB382</f>
        <v>11</v>
      </c>
      <c r="AC383" s="123" t="n">
        <f aca="false">AC381+AC382</f>
        <v>11</v>
      </c>
      <c r="AD383" s="123" t="n">
        <f aca="false">AD381+AD382</f>
        <v>11</v>
      </c>
      <c r="AE383" s="123" t="n">
        <f aca="false">AE381+AE382</f>
        <v>11</v>
      </c>
      <c r="AF383" s="123" t="n">
        <f aca="false">AF381+AF382</f>
        <v>11</v>
      </c>
      <c r="AG383" s="123" t="n">
        <f aca="false">AG381+AG382</f>
        <v>11</v>
      </c>
      <c r="AH383" s="123" t="n">
        <f aca="false">AH381+AH382</f>
        <v>11</v>
      </c>
      <c r="AI383" s="123" t="n">
        <f aca="false">AI381+AI382</f>
        <v>11</v>
      </c>
      <c r="AJ383" s="123" t="n">
        <f aca="false">AJ381+AJ382</f>
        <v>11</v>
      </c>
      <c r="AK383" s="123" t="n">
        <f aca="false">AK381+AK382</f>
        <v>11</v>
      </c>
      <c r="AL383" s="123" t="n">
        <f aca="false">AL381+AL382</f>
        <v>11</v>
      </c>
    </row>
    <row r="385" customFormat="false" ht="15.75" hidden="false" customHeight="true" outlineLevel="0" collapsed="false">
      <c r="A385" s="7" t="s">
        <v>451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customFormat="false" ht="15" hidden="false" customHeight="false" outlineLevel="0" collapsed="false">
      <c r="A386" s="6" t="s">
        <v>452</v>
      </c>
      <c r="C386" s="69" t="n">
        <f aca="false">-C381*Inputs!$D$58/12*1*(1+Inputs!$D$65)*(1+Inputs!$D$66)^(C$265-1)</f>
        <v>-6720</v>
      </c>
      <c r="D386" s="69" t="n">
        <f aca="false">-D381*Inputs!$D$58/12*1*(1+Inputs!$D$65)*(1+Inputs!$D$66)^(D$265-1)</f>
        <v>-6720</v>
      </c>
      <c r="E386" s="69" t="n">
        <f aca="false">-E381*Inputs!$D$58/12*1*(1+Inputs!$D$65)*(1+Inputs!$D$66)^(E$265-1)</f>
        <v>-6720</v>
      </c>
      <c r="F386" s="69" t="n">
        <f aca="false">-F381*Inputs!$D$58/12*1*(1+Inputs!$D$65)*(1+Inputs!$D$66)^(F$265-1)</f>
        <v>-6720</v>
      </c>
      <c r="G386" s="69" t="n">
        <f aca="false">-G381*Inputs!$D$58/12*1*(1+Inputs!$D$65)*(1+Inputs!$D$66)^(G$265-1)</f>
        <v>-6720</v>
      </c>
      <c r="H386" s="69" t="n">
        <f aca="false">-H381*Inputs!$D$58/12*1*(1+Inputs!$D$65)*(1+Inputs!$D$66)^(H$265-1)</f>
        <v>-6720</v>
      </c>
      <c r="I386" s="69" t="n">
        <f aca="false">-I381*Inputs!$D$58/12*1*(1+Inputs!$D$65)*(1+Inputs!$D$66)^(I$265-1)</f>
        <v>-6720</v>
      </c>
      <c r="J386" s="69" t="n">
        <f aca="false">-J381*Inputs!$D$58/12*1*(1+Inputs!$D$65)*(1+Inputs!$D$66)^(J$265-1)</f>
        <v>-6720</v>
      </c>
      <c r="K386" s="69" t="n">
        <f aca="false">-K381*Inputs!$D$58/12*1*(1+Inputs!$D$65)*(1+Inputs!$D$66)^(K$265-1)</f>
        <v>-6720</v>
      </c>
      <c r="L386" s="69" t="n">
        <f aca="false">-L381*Inputs!$D$58/12*1*(1+Inputs!$D$65)*(1+Inputs!$D$66)^(L$265-1)</f>
        <v>-6720</v>
      </c>
      <c r="M386" s="69" t="n">
        <f aca="false">-M381*Inputs!$D$58/12*1*(1+Inputs!$D$65)*(1+Inputs!$D$66)^(M$265-1)</f>
        <v>-6720</v>
      </c>
      <c r="N386" s="69" t="n">
        <f aca="false">-N381*Inputs!$D$58/12*1*(1+Inputs!$D$65)*(1+Inputs!$D$66)^(N$265-1)</f>
        <v>-6720</v>
      </c>
      <c r="O386" s="69" t="n">
        <f aca="false">-O381*Inputs!$D$58/12*1*(1+Inputs!$D$65)*(1+Inputs!$D$66)^(O$265-1)</f>
        <v>-6921.6</v>
      </c>
      <c r="P386" s="69" t="n">
        <f aca="false">-P381*Inputs!$D$58/12*1*(1+Inputs!$D$65)*(1+Inputs!$D$66)^(P$265-1)</f>
        <v>-6921.6</v>
      </c>
      <c r="Q386" s="69" t="n">
        <f aca="false">-Q381*Inputs!$D$58/12*1*(1+Inputs!$D$65)*(1+Inputs!$D$66)^(Q$265-1)</f>
        <v>-6921.6</v>
      </c>
      <c r="R386" s="69" t="n">
        <f aca="false">-R381*Inputs!$D$58/12*1*(1+Inputs!$D$65)*(1+Inputs!$D$66)^(R$265-1)</f>
        <v>-6921.6</v>
      </c>
      <c r="S386" s="69" t="n">
        <f aca="false">-S381*Inputs!$D$58/12*1*(1+Inputs!$D$65)*(1+Inputs!$D$66)^(S$265-1)</f>
        <v>-6921.6</v>
      </c>
      <c r="T386" s="69" t="n">
        <f aca="false">-T381*Inputs!$D$58/12*1*(1+Inputs!$D$65)*(1+Inputs!$D$66)^(T$265-1)</f>
        <v>-6921.6</v>
      </c>
      <c r="U386" s="69" t="n">
        <f aca="false">-U381*Inputs!$D$58/12*1*(1+Inputs!$D$65)*(1+Inputs!$D$66)^(U$265-1)</f>
        <v>-6921.6</v>
      </c>
      <c r="V386" s="69" t="n">
        <f aca="false">-V381*Inputs!$D$58/12*1*(1+Inputs!$D$65)*(1+Inputs!$D$66)^(V$265-1)</f>
        <v>-6921.6</v>
      </c>
      <c r="W386" s="69" t="n">
        <f aca="false">-W381*Inputs!$D$58/12*1*(1+Inputs!$D$65)*(1+Inputs!$D$66)^(W$265-1)</f>
        <v>-6921.6</v>
      </c>
      <c r="X386" s="69" t="n">
        <f aca="false">-X381*Inputs!$D$58/12*1*(1+Inputs!$D$65)*(1+Inputs!$D$66)^(X$265-1)</f>
        <v>-6921.6</v>
      </c>
      <c r="Y386" s="69" t="n">
        <f aca="false">-Y381*Inputs!$D$58/12*1*(1+Inputs!$D$65)*(1+Inputs!$D$66)^(Y$265-1)</f>
        <v>-6921.6</v>
      </c>
      <c r="Z386" s="69" t="n">
        <f aca="false">-Z381*Inputs!$D$58/12*1*(1+Inputs!$D$65)*(1+Inputs!$D$66)^(Z$265-1)</f>
        <v>-6921.6</v>
      </c>
      <c r="AA386" s="69" t="n">
        <f aca="false">-AA381*Inputs!$D$58/12*1*(1+Inputs!$D$65)*(1+Inputs!$D$66)^(AA$265-1)</f>
        <v>-7129.248</v>
      </c>
      <c r="AB386" s="69" t="n">
        <f aca="false">-AB381*Inputs!$D$58/12*1*(1+Inputs!$D$65)*(1+Inputs!$D$66)^(AB$265-1)</f>
        <v>-7129.248</v>
      </c>
      <c r="AC386" s="69" t="n">
        <f aca="false">-AC381*Inputs!$D$58/12*1*(1+Inputs!$D$65)*(1+Inputs!$D$66)^(AC$265-1)</f>
        <v>-7129.248</v>
      </c>
      <c r="AD386" s="69" t="n">
        <f aca="false">-AD381*Inputs!$D$58/12*1*(1+Inputs!$D$65)*(1+Inputs!$D$66)^(AD$265-1)</f>
        <v>-7129.248</v>
      </c>
      <c r="AE386" s="69" t="n">
        <f aca="false">-AE381*Inputs!$D$58/12*1*(1+Inputs!$D$65)*(1+Inputs!$D$66)^(AE$265-1)</f>
        <v>-7129.248</v>
      </c>
      <c r="AF386" s="69" t="n">
        <f aca="false">-AF381*Inputs!$D$58/12*1*(1+Inputs!$D$65)*(1+Inputs!$D$66)^(AF$265-1)</f>
        <v>-7129.248</v>
      </c>
      <c r="AG386" s="69" t="n">
        <f aca="false">-AG381*Inputs!$D$58/12*1*(1+Inputs!$D$65)*(1+Inputs!$D$66)^(AG$265-1)</f>
        <v>-7129.248</v>
      </c>
      <c r="AH386" s="69" t="n">
        <f aca="false">-AH381*Inputs!$D$58/12*1*(1+Inputs!$D$65)*(1+Inputs!$D$66)^(AH$265-1)</f>
        <v>-7129.248</v>
      </c>
      <c r="AI386" s="69" t="n">
        <f aca="false">-AI381*Inputs!$D$58/12*1*(1+Inputs!$D$65)*(1+Inputs!$D$66)^(AI$265-1)</f>
        <v>-7129.248</v>
      </c>
      <c r="AJ386" s="69" t="n">
        <f aca="false">-AJ381*Inputs!$D$58/12*1*(1+Inputs!$D$65)*(1+Inputs!$D$66)^(AJ$265-1)</f>
        <v>-7129.248</v>
      </c>
      <c r="AK386" s="69" t="n">
        <f aca="false">-AK381*Inputs!$D$58/12*1*(1+Inputs!$D$65)*(1+Inputs!$D$66)^(AK$265-1)</f>
        <v>-7129.248</v>
      </c>
      <c r="AL386" s="69" t="n">
        <f aca="false">-AL381*Inputs!$D$58/12*1*(1+Inputs!$D$65)*(1+Inputs!$D$66)^(AL$265-1)</f>
        <v>-7129.248</v>
      </c>
    </row>
    <row r="387" customFormat="false" ht="15" hidden="false" customHeight="false" outlineLevel="0" collapsed="false">
      <c r="A387" s="6" t="s">
        <v>453</v>
      </c>
      <c r="C387" s="69" t="n">
        <f aca="false">-C382*Inputs!$D$62/12*1*(1+Inputs!$D$65)*(1+Inputs!$D$66)^(C$265-1)</f>
        <v>-29866.6666666667</v>
      </c>
      <c r="D387" s="69" t="n">
        <f aca="false">-D382*Inputs!$D$62/12*1*(1+Inputs!$D$65)*(1+Inputs!$D$66)^(D$265-1)</f>
        <v>-29866.6666666667</v>
      </c>
      <c r="E387" s="69" t="n">
        <f aca="false">-E382*Inputs!$D$62/12*1*(1+Inputs!$D$65)*(1+Inputs!$D$66)^(E$265-1)</f>
        <v>-29866.6666666667</v>
      </c>
      <c r="F387" s="69" t="n">
        <f aca="false">-F382*Inputs!$D$62/12*1*(1+Inputs!$D$65)*(1+Inputs!$D$66)^(F$265-1)</f>
        <v>-29866.6666666667</v>
      </c>
      <c r="G387" s="69" t="n">
        <f aca="false">-G382*Inputs!$D$62/12*1*(1+Inputs!$D$65)*(1+Inputs!$D$66)^(G$265-1)</f>
        <v>-29866.6666666667</v>
      </c>
      <c r="H387" s="69" t="n">
        <f aca="false">-H382*Inputs!$D$62/12*1*(1+Inputs!$D$65)*(1+Inputs!$D$66)^(H$265-1)</f>
        <v>-29866.6666666667</v>
      </c>
      <c r="I387" s="69" t="n">
        <f aca="false">-I382*Inputs!$D$62/12*1*(1+Inputs!$D$65)*(1+Inputs!$D$66)^(I$265-1)</f>
        <v>-29866.6666666667</v>
      </c>
      <c r="J387" s="69" t="n">
        <f aca="false">-J382*Inputs!$D$62/12*1*(1+Inputs!$D$65)*(1+Inputs!$D$66)^(J$265-1)</f>
        <v>-29866.6666666667</v>
      </c>
      <c r="K387" s="69" t="n">
        <f aca="false">-K382*Inputs!$D$62/12*1*(1+Inputs!$D$65)*(1+Inputs!$D$66)^(K$265-1)</f>
        <v>-29866.6666666667</v>
      </c>
      <c r="L387" s="69" t="n">
        <f aca="false">-L382*Inputs!$D$62/12*1*(1+Inputs!$D$65)*(1+Inputs!$D$66)^(L$265-1)</f>
        <v>-29866.6666666667</v>
      </c>
      <c r="M387" s="69" t="n">
        <f aca="false">-M382*Inputs!$D$62/12*1*(1+Inputs!$D$65)*(1+Inputs!$D$66)^(M$265-1)</f>
        <v>-29866.6666666667</v>
      </c>
      <c r="N387" s="69" t="n">
        <f aca="false">-N382*Inputs!$D$62/12*1*(1+Inputs!$D$65)*(1+Inputs!$D$66)^(N$265-1)</f>
        <v>-29866.6666666667</v>
      </c>
      <c r="O387" s="69" t="n">
        <f aca="false">-O382*Inputs!$D$62/12*1*(1+Inputs!$D$65)*(1+Inputs!$D$66)^(O$265-1)</f>
        <v>-30762.6666666667</v>
      </c>
      <c r="P387" s="69" t="n">
        <f aca="false">-P382*Inputs!$D$62/12*1*(1+Inputs!$D$65)*(1+Inputs!$D$66)^(P$265-1)</f>
        <v>-30762.6666666667</v>
      </c>
      <c r="Q387" s="69" t="n">
        <f aca="false">-Q382*Inputs!$D$62/12*1*(1+Inputs!$D$65)*(1+Inputs!$D$66)^(Q$265-1)</f>
        <v>-30762.6666666667</v>
      </c>
      <c r="R387" s="69" t="n">
        <f aca="false">-R382*Inputs!$D$62/12*1*(1+Inputs!$D$65)*(1+Inputs!$D$66)^(R$265-1)</f>
        <v>-30762.6666666667</v>
      </c>
      <c r="S387" s="69" t="n">
        <f aca="false">-S382*Inputs!$D$62/12*1*(1+Inputs!$D$65)*(1+Inputs!$D$66)^(S$265-1)</f>
        <v>-30762.6666666667</v>
      </c>
      <c r="T387" s="69" t="n">
        <f aca="false">-T382*Inputs!$D$62/12*1*(1+Inputs!$D$65)*(1+Inputs!$D$66)^(T$265-1)</f>
        <v>-30762.6666666667</v>
      </c>
      <c r="U387" s="69" t="n">
        <f aca="false">-U382*Inputs!$D$62/12*1*(1+Inputs!$D$65)*(1+Inputs!$D$66)^(U$265-1)</f>
        <v>-30762.6666666667</v>
      </c>
      <c r="V387" s="69" t="n">
        <f aca="false">-V382*Inputs!$D$62/12*1*(1+Inputs!$D$65)*(1+Inputs!$D$66)^(V$265-1)</f>
        <v>-30762.6666666667</v>
      </c>
      <c r="W387" s="69" t="n">
        <f aca="false">-W382*Inputs!$D$62/12*1*(1+Inputs!$D$65)*(1+Inputs!$D$66)^(W$265-1)</f>
        <v>-30762.6666666667</v>
      </c>
      <c r="X387" s="69" t="n">
        <f aca="false">-X382*Inputs!$D$62/12*1*(1+Inputs!$D$65)*(1+Inputs!$D$66)^(X$265-1)</f>
        <v>-30762.6666666667</v>
      </c>
      <c r="Y387" s="69" t="n">
        <f aca="false">-Y382*Inputs!$D$62/12*1*(1+Inputs!$D$65)*(1+Inputs!$D$66)^(Y$265-1)</f>
        <v>-30762.6666666667</v>
      </c>
      <c r="Z387" s="69" t="n">
        <f aca="false">-Z382*Inputs!$D$62/12*1*(1+Inputs!$D$65)*(1+Inputs!$D$66)^(Z$265-1)</f>
        <v>-30762.6666666667</v>
      </c>
      <c r="AA387" s="69" t="n">
        <f aca="false">-AA382*Inputs!$D$62/12*1*(1+Inputs!$D$65)*(1+Inputs!$D$66)^(AA$265-1)</f>
        <v>-31685.5466666667</v>
      </c>
      <c r="AB387" s="69" t="n">
        <f aca="false">-AB382*Inputs!$D$62/12*1*(1+Inputs!$D$65)*(1+Inputs!$D$66)^(AB$265-1)</f>
        <v>-31685.5466666667</v>
      </c>
      <c r="AC387" s="69" t="n">
        <f aca="false">-AC382*Inputs!$D$62/12*1*(1+Inputs!$D$65)*(1+Inputs!$D$66)^(AC$265-1)</f>
        <v>-31685.5466666667</v>
      </c>
      <c r="AD387" s="69" t="n">
        <f aca="false">-AD382*Inputs!$D$62/12*1*(1+Inputs!$D$65)*(1+Inputs!$D$66)^(AD$265-1)</f>
        <v>-31685.5466666667</v>
      </c>
      <c r="AE387" s="69" t="n">
        <f aca="false">-AE382*Inputs!$D$62/12*1*(1+Inputs!$D$65)*(1+Inputs!$D$66)^(AE$265-1)</f>
        <v>-31685.5466666667</v>
      </c>
      <c r="AF387" s="69" t="n">
        <f aca="false">-AF382*Inputs!$D$62/12*1*(1+Inputs!$D$65)*(1+Inputs!$D$66)^(AF$265-1)</f>
        <v>-31685.5466666667</v>
      </c>
      <c r="AG387" s="69" t="n">
        <f aca="false">-AG382*Inputs!$D$62/12*1*(1+Inputs!$D$65)*(1+Inputs!$D$66)^(AG$265-1)</f>
        <v>-31685.5466666667</v>
      </c>
      <c r="AH387" s="69" t="n">
        <f aca="false">-AH382*Inputs!$D$62/12*1*(1+Inputs!$D$65)*(1+Inputs!$D$66)^(AH$265-1)</f>
        <v>-31685.5466666667</v>
      </c>
      <c r="AI387" s="69" t="n">
        <f aca="false">-AI382*Inputs!$D$62/12*1*(1+Inputs!$D$65)*(1+Inputs!$D$66)^(AI$265-1)</f>
        <v>-31685.5466666667</v>
      </c>
      <c r="AJ387" s="69" t="n">
        <f aca="false">-AJ382*Inputs!$D$62/12*1*(1+Inputs!$D$65)*(1+Inputs!$D$66)^(AJ$265-1)</f>
        <v>-31685.5466666667</v>
      </c>
      <c r="AK387" s="69" t="n">
        <f aca="false">-AK382*Inputs!$D$62/12*1*(1+Inputs!$D$65)*(1+Inputs!$D$66)^(AK$265-1)</f>
        <v>-31685.5466666667</v>
      </c>
      <c r="AL387" s="69" t="n">
        <f aca="false">-AL382*Inputs!$D$62/12*1*(1+Inputs!$D$65)*(1+Inputs!$D$66)^(AL$265-1)</f>
        <v>-31685.5466666667</v>
      </c>
    </row>
    <row r="388" customFormat="false" ht="15" hidden="false" customHeight="false" outlineLevel="0" collapsed="false">
      <c r="A388" s="113" t="s">
        <v>454</v>
      </c>
      <c r="C388" s="70" t="n">
        <f aca="false">C386+C387</f>
        <v>-36586.6666666667</v>
      </c>
      <c r="D388" s="70" t="n">
        <f aca="false">D386+D387</f>
        <v>-36586.6666666667</v>
      </c>
      <c r="E388" s="70" t="n">
        <f aca="false">E386+E387</f>
        <v>-36586.6666666667</v>
      </c>
      <c r="F388" s="70" t="n">
        <f aca="false">F386+F387</f>
        <v>-36586.6666666667</v>
      </c>
      <c r="G388" s="70" t="n">
        <f aca="false">G386+G387</f>
        <v>-36586.6666666667</v>
      </c>
      <c r="H388" s="70" t="n">
        <f aca="false">H386+H387</f>
        <v>-36586.6666666667</v>
      </c>
      <c r="I388" s="70" t="n">
        <f aca="false">I386+I387</f>
        <v>-36586.6666666667</v>
      </c>
      <c r="J388" s="70" t="n">
        <f aca="false">J386+J387</f>
        <v>-36586.6666666667</v>
      </c>
      <c r="K388" s="70" t="n">
        <f aca="false">K386+K387</f>
        <v>-36586.6666666667</v>
      </c>
      <c r="L388" s="70" t="n">
        <f aca="false">L386+L387</f>
        <v>-36586.6666666667</v>
      </c>
      <c r="M388" s="70" t="n">
        <f aca="false">M386+M387</f>
        <v>-36586.6666666667</v>
      </c>
      <c r="N388" s="70" t="n">
        <f aca="false">N386+N387</f>
        <v>-36586.6666666667</v>
      </c>
      <c r="O388" s="70" t="n">
        <f aca="false">O386+O387</f>
        <v>-37684.2666666667</v>
      </c>
      <c r="P388" s="70" t="n">
        <f aca="false">P386+P387</f>
        <v>-37684.2666666667</v>
      </c>
      <c r="Q388" s="70" t="n">
        <f aca="false">Q386+Q387</f>
        <v>-37684.2666666667</v>
      </c>
      <c r="R388" s="70" t="n">
        <f aca="false">R386+R387</f>
        <v>-37684.2666666667</v>
      </c>
      <c r="S388" s="70" t="n">
        <f aca="false">S386+S387</f>
        <v>-37684.2666666667</v>
      </c>
      <c r="T388" s="70" t="n">
        <f aca="false">T386+T387</f>
        <v>-37684.2666666667</v>
      </c>
      <c r="U388" s="70" t="n">
        <f aca="false">U386+U387</f>
        <v>-37684.2666666667</v>
      </c>
      <c r="V388" s="70" t="n">
        <f aca="false">V386+V387</f>
        <v>-37684.2666666667</v>
      </c>
      <c r="W388" s="70" t="n">
        <f aca="false">W386+W387</f>
        <v>-37684.2666666667</v>
      </c>
      <c r="X388" s="70" t="n">
        <f aca="false">X386+X387</f>
        <v>-37684.2666666667</v>
      </c>
      <c r="Y388" s="70" t="n">
        <f aca="false">Y386+Y387</f>
        <v>-37684.2666666667</v>
      </c>
      <c r="Z388" s="70" t="n">
        <f aca="false">Z386+Z387</f>
        <v>-37684.2666666667</v>
      </c>
      <c r="AA388" s="70" t="n">
        <f aca="false">AA386+AA387</f>
        <v>-38814.7946666667</v>
      </c>
      <c r="AB388" s="70" t="n">
        <f aca="false">AB386+AB387</f>
        <v>-38814.7946666667</v>
      </c>
      <c r="AC388" s="70" t="n">
        <f aca="false">AC386+AC387</f>
        <v>-38814.7946666667</v>
      </c>
      <c r="AD388" s="70" t="n">
        <f aca="false">AD386+AD387</f>
        <v>-38814.7946666667</v>
      </c>
      <c r="AE388" s="70" t="n">
        <f aca="false">AE386+AE387</f>
        <v>-38814.7946666667</v>
      </c>
      <c r="AF388" s="70" t="n">
        <f aca="false">AF386+AF387</f>
        <v>-38814.7946666667</v>
      </c>
      <c r="AG388" s="70" t="n">
        <f aca="false">AG386+AG387</f>
        <v>-38814.7946666667</v>
      </c>
      <c r="AH388" s="70" t="n">
        <f aca="false">AH386+AH387</f>
        <v>-38814.7946666667</v>
      </c>
      <c r="AI388" s="70" t="n">
        <f aca="false">AI386+AI387</f>
        <v>-38814.7946666667</v>
      </c>
      <c r="AJ388" s="70" t="n">
        <f aca="false">AJ386+AJ387</f>
        <v>-38814.7946666667</v>
      </c>
      <c r="AK388" s="70" t="n">
        <f aca="false">AK386+AK387</f>
        <v>-38814.7946666667</v>
      </c>
      <c r="AL388" s="70" t="n">
        <f aca="false">AL386+AL387</f>
        <v>-38814.7946666667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460</v>
      </c>
    </row>
    <row r="3" customFormat="false" ht="15" hidden="false" customHeight="false" outlineLevel="0" collapsed="false">
      <c r="A3" s="33" t="s">
        <v>461</v>
      </c>
      <c r="B3" s="33" t="s">
        <v>462</v>
      </c>
      <c r="C3" s="33" t="s">
        <v>463</v>
      </c>
    </row>
    <row r="4" customFormat="false" ht="15" hidden="false" customHeight="false" outlineLevel="0" collapsed="false">
      <c r="A4" s="6" t="s">
        <v>464</v>
      </c>
      <c r="B4" s="4" t="str">
        <f aca="false">IF(ABS(SUM('P&amp;L'!$B$5:$D$5)-SUM(Monthly!$C$37:$AL$37))&lt;0.5,"PASS","FAIL")</f>
        <v>PASS</v>
      </c>
      <c r="C4" s="18" t="s">
        <v>465</v>
      </c>
    </row>
    <row r="5" customFormat="false" ht="15" hidden="false" customHeight="false" outlineLevel="0" collapsed="false">
      <c r="A5" s="6" t="s">
        <v>466</v>
      </c>
      <c r="B5" s="4" t="str">
        <f aca="false">IF(ABS(SUM('P&amp;L'!$B$22:$D$22)-SUM(Monthly!$C$64:$AL$64))&lt;0.5,"PASS","FAIL")</f>
        <v>PASS</v>
      </c>
      <c r="C5" s="18" t="s">
        <v>467</v>
      </c>
    </row>
    <row r="6" customFormat="false" ht="15" hidden="false" customHeight="false" outlineLevel="0" collapsed="false">
      <c r="A6" s="6" t="s">
        <v>468</v>
      </c>
      <c r="B6" s="4" t="str">
        <f aca="false">IF(ABS(SUM(Monthly!$C$55:$AL$55)-SUM(Monthly!$C$46:$AL$46)-SUM(Monthly!$C$54:$AL$54))&lt;0.5,"PASS","FAIL")</f>
        <v>PASS</v>
      </c>
      <c r="C6" s="18" t="s">
        <v>469</v>
      </c>
    </row>
    <row r="7" customFormat="false" ht="15" hidden="false" customHeight="false" outlineLevel="0" collapsed="false">
      <c r="A7" s="6" t="s">
        <v>470</v>
      </c>
      <c r="B7" s="4" t="str">
        <f aca="false">IF(ABS(INDEX(Monthly!$C$100:$AL$100,36)-SUM(Monthly!$C$98:$AL$98))&lt;0.5,"PASS","FAIL")</f>
        <v>PASS</v>
      </c>
      <c r="C7" s="18" t="s">
        <v>471</v>
      </c>
    </row>
    <row r="8" customFormat="false" ht="15" hidden="false" customHeight="false" outlineLevel="0" collapsed="false">
      <c r="A8" s="6" t="s">
        <v>472</v>
      </c>
      <c r="B8" s="4" t="str">
        <f aca="false">IF(AND(ISNUMBER(Dashboard!B4),Dashboard!B4&gt;=1,Dashboard!B4&lt;=3,INT(Dashboard!B4)=Dashboard!B4),"PASS","FAIL")</f>
        <v>PASS</v>
      </c>
      <c r="C8" s="18" t="s">
        <v>473</v>
      </c>
    </row>
    <row r="9" customFormat="false" ht="15" hidden="false" customHeight="false" outlineLevel="0" collapsed="false">
      <c r="A9" s="6" t="s">
        <v>474</v>
      </c>
      <c r="B9" s="4" t="str">
        <f aca="false">IF(AND(Inputs!$B$7&lt;=Inputs!$C$7,Inputs!$C$7&lt;=Inputs!$D$7,Inputs!$B$8&lt;=Inputs!$C$8,Inputs!$C$8&lt;=Inputs!$D$8,Inputs!$B$10&gt;=Inputs!$C$10,Inputs!$C$10&gt;=Inputs!$D$10,Inputs!$B$11&lt;=Inputs!$C$11,Inputs!$C$11&lt;=Inputs!$D$11,Inputs!$B$12&gt;=Inputs!$C$12,Inputs!$C$12&gt;=Inputs!$D$12,Inputs!$B$20&lt;=Inputs!$C$20,Inputs!$C$20&lt;=Inputs!$D$20,Inputs!$B$21&lt;=Inputs!$C$21,Inputs!$C$21&lt;=Inputs!$D$21,Inputs!$B$22&lt;=Inputs!$C$22,Inputs!$C$22&lt;=Inputs!$D$22,Inputs!$B$23&lt;=Inputs!$C$23,Inputs!$C$23&lt;=Inputs!$D$23,Inputs!$B$24&gt;=Inputs!$C$24,Inputs!$C$24&gt;=Inputs!$D$24,Inputs!$B$25&gt;=Inputs!$C$25,Inputs!$C$25&gt;=Inputs!$D$25,Inputs!$B$28&lt;=Inputs!$C$28,Inputs!$C$28&lt;=Inputs!$D$28,Inputs!$B$29&lt;=Inputs!$C$29,Inputs!$C$29&lt;=Inputs!$D$29,Inputs!$B$30&lt;=Inputs!$C$30,Inputs!$C$30&lt;=Inputs!$D$30,Inputs!$B$31&lt;=Inputs!$C$31,Inputs!$C$31&lt;=Inputs!$D$31,Inputs!$B$34&gt;=Inputs!$C$34,Inputs!$C$34&gt;=Inputs!$D$34,Inputs!$B$35&gt;=Inputs!$C$35,Inputs!$C$35&gt;=Inputs!$D$35,Inputs!$B$36&gt;=Inputs!$C$36,Inputs!$C$36&gt;=Inputs!$D$36,Inputs!$B$37&gt;=Inputs!$C$37,Inputs!$C$37&gt;=Inputs!$D$37,Inputs!$B$38&gt;=Inputs!$C$38,Inputs!$C$38&gt;=Inputs!$D$38,Inputs!$B$39&gt;=Inputs!$C$39,Inputs!$C$39&gt;=Inputs!$D$39,Inputs!$B$47&lt;=Inputs!$C$47,Inputs!$C$47&lt;=Inputs!$D$47,Inputs!$B$57&lt;=Inputs!$C$57,Inputs!$C$57&lt;=Inputs!$D$57,Inputs!$B$59&lt;=Inputs!$C$59,Inputs!$C$59&lt;=Inputs!$D$59,Inputs!$B$61&lt;=Inputs!$C$61,Inputs!$C$61&lt;=Inputs!$D$61,Inputs!$B$63&lt;=Inputs!$C$63,Inputs!$C$63&lt;=Inputs!$D$63,Inputs!$B$87&gt;=Inputs!$C$87,Inputs!$C$87&gt;=Inputs!$D$87,Inputs!$B$88&lt;=Inputs!$C$88,Inputs!$C$88&lt;=Inputs!$D$88,Inputs!$B$89&lt;=Inputs!$C$89,Inputs!$C$89&lt;=Inputs!$D$89),"PASS","FAIL")</f>
        <v>PASS</v>
      </c>
      <c r="C9" s="18" t="s">
        <v>475</v>
      </c>
    </row>
    <row r="10" customFormat="false" ht="15" hidden="false" customHeight="false" outlineLevel="0" collapsed="false">
      <c r="A10" s="6" t="s">
        <v>476</v>
      </c>
      <c r="B10" s="4" t="str">
        <f aca="false">IF(AND(MIN('P&amp;L'!$B$8:$D$8)&gt;=0,MAX('P&amp;L'!$B$8:$D$8)&lt;=1),"PASS","FAIL")</f>
        <v>PASS</v>
      </c>
      <c r="C10" s="18" t="s">
        <v>477</v>
      </c>
    </row>
    <row r="11" customFormat="false" ht="15" hidden="false" customHeight="false" outlineLevel="0" collapsed="false">
      <c r="A11" s="6" t="s">
        <v>478</v>
      </c>
      <c r="B11" s="4" t="str">
        <f aca="false">IF(MIN(Monthly!$C$83:$AL$83)&gt;=-0.5,"PASS","FAIL")</f>
        <v>PASS</v>
      </c>
      <c r="C11" s="18" t="s">
        <v>479</v>
      </c>
    </row>
    <row r="12" customFormat="false" ht="15" hidden="false" customHeight="false" outlineLevel="0" collapsed="false">
      <c r="A12" s="6" t="s">
        <v>480</v>
      </c>
      <c r="B12" s="4" t="str">
        <f aca="false">IF(ABS('Break-even'!B18-('Break-even'!B16-'Break-even'!B10))&lt;0.5,"PASS","FAIL")</f>
        <v>PASS</v>
      </c>
      <c r="C12" s="18" t="s">
        <v>481</v>
      </c>
    </row>
    <row r="13" customFormat="false" ht="15" hidden="false" customHeight="false" outlineLevel="0" collapsed="false">
      <c r="A13" s="6" t="s">
        <v>482</v>
      </c>
      <c r="B13" s="4" t="str">
        <f aca="false">IF(ABS(Valuation!B23-NPV(Valuation!B6,Valuation!$B$17:$D$17))&lt;0.5,"PASS","FAIL")</f>
        <v>PASS</v>
      </c>
      <c r="C13" s="18" t="s">
        <v>483</v>
      </c>
    </row>
    <row r="14" customFormat="false" ht="15" hidden="false" customHeight="false" outlineLevel="0" collapsed="false">
      <c r="A14" s="6" t="s">
        <v>484</v>
      </c>
      <c r="B14" s="4" t="str">
        <f aca="false">IF(Valuation!B6&gt;Valuation!B7,"PASS","FAIL")</f>
        <v>PASS</v>
      </c>
      <c r="C14" s="18" t="s">
        <v>485</v>
      </c>
    </row>
    <row r="15" customFormat="false" ht="15" hidden="false" customHeight="false" outlineLevel="0" collapsed="false">
      <c r="A15" s="6" t="s">
        <v>486</v>
      </c>
      <c r="B15" s="4" t="str">
        <f aca="false">IF(ABS(Valuation!D36-Valuation!B27)&lt;0.5,"PASS","FAIL")</f>
        <v>PASS</v>
      </c>
      <c r="C15" s="18" t="s">
        <v>487</v>
      </c>
    </row>
    <row r="16" customFormat="false" ht="15" hidden="false" customHeight="false" outlineLevel="0" collapsed="false">
      <c r="A16" s="6" t="s">
        <v>488</v>
      </c>
      <c r="B16" s="4" t="str">
        <f aca="false">IF(Valuation!$D$17&gt;0,"PASS","WARN")</f>
        <v>PASS</v>
      </c>
      <c r="C16" s="18" t="s">
        <v>489</v>
      </c>
    </row>
    <row r="17" customFormat="false" ht="15" hidden="false" customHeight="false" outlineLevel="0" collapsed="false">
      <c r="A17" s="6" t="s">
        <v>490</v>
      </c>
      <c r="B17" s="4" t="str">
        <f aca="false">IF(ABS('Sources &amp; Uses'!B21-'Sources &amp; Uses'!B28)&lt;0.5,"PASS","FAIL")</f>
        <v>PASS</v>
      </c>
      <c r="C17" s="18" t="s">
        <v>491</v>
      </c>
    </row>
    <row r="18" customFormat="false" ht="15" hidden="false" customHeight="false" outlineLevel="0" collapsed="false">
      <c r="A18" s="6" t="s">
        <v>492</v>
      </c>
      <c r="B18" s="4" t="str">
        <f aca="false">IF(SUMPRODUCT(--ISERROR(Monthly!$C$4:$AL$118))+SUMPRODUCT(--ISERROR(Headcount!$C$4:$AL$15))+SUMPRODUCT(--ISERROR('P&amp;L'!$B$3:$D$23))+SUMPRODUCT(--ISERROR('Cash Flow'!$B$3:$D$18))+SUMPRODUCT(--ISERROR('Balance Sheet'!$B$3:$D$17))+SUMPRODUCT(--ISERROR(KPIs!$B$27:$D$52))+SUMPRODUCT(--ISERROR('Break-even'!$B$26:$D$33))+SUMPRODUCT(--ISERROR(Valuation!$B$14:$D$19))+SUMPRODUCT(--ISERROR('Break-even'!$B$3:$D$35))+SUMPRODUCT(--ISERROR(Valuation!$A$3:$F$40))+SUMPRODUCT(--ISERROR('Sources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Uses'!$B$3:$C$30))+SUMPRODUCT(--ISERROR(Dashboard!$A$6:$W$44))+SUMPRODUCT(--ISERROR(Summary!$A$5:$S$52))+SUMPRODUCT(--ISERROR(KPIs!$A$4:$E$52))+SUMPRODUCT(--ISERROR('Scenario calc'!$C$6:$AL$130))+SUMPRODUCT(--ISERROR('Scenario calc'!$C$135:$AL$259))+SUMPRODUCT(--ISERROR('Scenario calc'!$C$264:$AL$388))+SUMPRODUCT(--ISERROR(Scenarios!$B$5:$E$51))=0,"PASS","FAIL")</f>
        <v>PASS</v>
      </c>
      <c r="C18" s="18" t="s">
        <v>493</v>
      </c>
    </row>
    <row r="19" customFormat="false" ht="15" hidden="false" customHeight="false" outlineLevel="0" collapsed="false">
      <c r="A19" s="6" t="s">
        <v>494</v>
      </c>
      <c r="B19" s="4" t="str">
        <f aca="false">IF(IFERROR(AND(SUMPRODUCT(--(ABS(Summary!$B$7:$D$7-'P&amp;L'!$B$5:$D$5)&gt;0.5))=0,SUMPRODUCT(--(ABS(Summary!$B$19:$D$19-'P&amp;L'!$B$22:$D$22)&gt;0.5))=0,SUMPRODUCT(--(ABS(Summary!$B$31:$D$31-'Cash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495</v>
      </c>
    </row>
    <row r="20" customFormat="false" ht="15" hidden="false" customHeight="false" outlineLevel="0" collapsed="false">
      <c r="A20" s="6" t="s">
        <v>496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497</v>
      </c>
    </row>
    <row r="21" customFormat="false" ht="15" hidden="false" customHeight="false" outlineLevel="0" collapsed="false">
      <c r="A21" s="6" t="s">
        <v>498</v>
      </c>
      <c r="B21" s="4" t="str">
        <f aca="false">IF(IFERROR(AND(ABS(Scenarios!E18-INDEX(Scenarios!B18:D18,1,Dashboard!$B$4))&lt;0.5,ABS(Scenarios!E19-INDEX(Scenarios!B19:D19,1,Dashboard!$B$4))&lt;0.5,ABS(Scenarios!E20-INDEX(Scenarios!B20:D20,1,Dashboard!$B$4))&lt;0.5,ABS(Scenarios!E21-INDEX(Scenarios!B21:D21,1,Dashboard!$B$4))&lt;0.000001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,ABS(Scenarios!E27-INDEX(Scenarios!B27:D27,1,Dashboard!$B$4))&lt;0.5),FALSE()),"PASS","FAIL")</f>
        <v>PASS</v>
      </c>
      <c r="C21" s="18" t="s">
        <v>499</v>
      </c>
    </row>
    <row r="22" customFormat="false" ht="15" hidden="false" customHeight="false" outlineLevel="0" collapsed="false">
      <c r="A22" s="6" t="s">
        <v>500</v>
      </c>
      <c r="B22" s="4" t="str">
        <f aca="false">IF(SUMPRODUCT(--(ABS(Monthly!$C$118:$AL$118)&gt;0.5))=0,"PASS","FAIL")</f>
        <v>PASS</v>
      </c>
      <c r="C22" s="18" t="s">
        <v>501</v>
      </c>
    </row>
    <row r="23" customFormat="false" ht="15" hidden="false" customHeight="false" outlineLevel="0" collapsed="false">
      <c r="A23" s="6" t="s">
        <v>502</v>
      </c>
      <c r="B23" s="4" t="str">
        <f aca="false">IF(MIN(Monthly!$C$100:$AL$100)&gt;=0,"PASS","WARN")</f>
        <v>PASS</v>
      </c>
      <c r="C23" s="18" t="s">
        <v>503</v>
      </c>
    </row>
    <row r="25" customFormat="false" ht="15" hidden="false" customHeight="false" outlineLevel="0" collapsed="false">
      <c r="A25" s="72" t="s">
        <v>504</v>
      </c>
      <c r="B25" s="72" t="str">
        <f aca="false">IF(COUNTIF(B4:B23,"FAIL")&gt;0,"FAIL",IF(COUNTIF(B4:B23,"WARN")&gt;0,"PASS WITH WARNINGS","PASS"))</f>
        <v>PASS</v>
      </c>
      <c r="C25" s="124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2026-10-21T14:50:27Z</dcterms:created>
  <dc:creator/>
  <dc:description/>
  <dc:language>en-US</dc:language>
  <cp:lastModifiedBy/>
  <dcterms:modified xsi:type="dcterms:W3CDTF">2026-10-21T14:50:28Z</dcterms:modified>
  <cp:revision>0</cp:revision>
  <dc:subject/>
  <dc:title>Car wash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